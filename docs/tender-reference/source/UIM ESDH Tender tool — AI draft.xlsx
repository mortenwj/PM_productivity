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51840" windowHeight="21120" tabRatio="600" firstSheet="0" activeTab="0" autoFilterDateGrouping="1"/>
  </bookViews>
  <sheets>
    <sheet name="Production Plan" sheetId="1" state="visible" r:id="rId1"/>
    <sheet name="Red flags" sheetId="2" state="hidden" r:id="rId2"/>
    <sheet name="Q&amp;A" sheetId="3" state="visible" r:id="rId3"/>
    <sheet name="Timeline" sheetId="4" state="visible" r:id="rId4"/>
    <sheet name="Status" sheetId="5" state="visible" r:id="rId5"/>
    <sheet name="Commitment" sheetId="6" state="visible" r:id="rId6"/>
    <sheet name="Risk Management" sheetId="7" state="visible" r:id="rId7"/>
    <sheet name="Cost Drivers" sheetId="8" state="visible" r:id="rId8"/>
    <sheet name="Pricing" sheetId="9" state="visible" r:id="rId9"/>
    <sheet name="Evalueringshieraki" sheetId="10" state="visible" r:id="rId10"/>
    <sheet name="AI — Legend" sheetId="11" state="visible" r:id="rId11"/>
  </sheets>
  <definedNames>
    <definedName name="_xlnm._FilterDatabase" localSheetId="0" hidden="1">'Production Plan'!$A$1:$V$357</definedName>
    <definedName name="_xlnm._FilterDatabase" localSheetId="5" hidden="1">'Commitment'!$A$1:$L$1000</definedName>
    <definedName name="_xlnm._FilterDatabase" localSheetId="6" hidden="1">'Risk Management'!$A$1:$N$453</definedName>
    <definedName name="_xlnm._FilterDatabase" localSheetId="7" hidden="1">'Cost Drivers'!$A$1:$I$1078</definedName>
  </definedNames>
  <calcPr calcId="191028" fullCalcOnLoad="1"/>
</workbook>
</file>

<file path=xl/styles.xml><?xml version="1.0" encoding="utf-8"?>
<styleSheet xmlns="http://schemas.openxmlformats.org/spreadsheetml/2006/main">
  <numFmts count="0"/>
  <fonts count="12">
    <font>
      <name val="Aptos"/>
      <family val="2"/>
      <color theme="1"/>
      <sz val="12"/>
      <scheme val="minor"/>
    </font>
    <font>
      <name val="Aptos"/>
      <family val="2"/>
      <b val="1"/>
      <color theme="1"/>
      <sz val="12"/>
      <scheme val="minor"/>
    </font>
    <font>
      <name val="Aptos"/>
      <family val="2"/>
      <b val="1"/>
      <color theme="0"/>
      <sz val="12"/>
      <scheme val="minor"/>
    </font>
    <font>
      <name val="Aptos"/>
      <family val="2"/>
      <color theme="1"/>
      <sz val="12"/>
      <scheme val="minor"/>
    </font>
    <font>
      <name val="Aptos"/>
      <family val="2"/>
      <sz val="8"/>
      <scheme val="minor"/>
    </font>
    <font>
      <name val="Aptos"/>
      <family val="2"/>
      <b val="1"/>
      <i val="1"/>
      <color theme="1"/>
      <sz val="12"/>
      <scheme val="minor"/>
    </font>
    <font>
      <name val="Aptos"/>
      <family val="2"/>
      <i val="1"/>
      <color theme="1"/>
      <sz val="12"/>
      <scheme val="minor"/>
    </font>
    <font>
      <name val="Aptos"/>
      <family val="2"/>
      <b val="1"/>
      <sz val="12"/>
      <scheme val="minor"/>
    </font>
    <font>
      <name val="Calibri"/>
      <b val="1"/>
      <color rgb="FFFFFFFF"/>
      <sz val="11"/>
    </font>
    <font>
      <name val="Aptos"/>
      <family val="2"/>
      <color rgb="FF272A2C"/>
      <sz val="12"/>
      <scheme val="minor"/>
    </font>
    <font>
      <name val="Aptos"/>
      <family val="2"/>
      <b val="1"/>
      <color rgb="FF272A2C"/>
      <sz val="12"/>
      <scheme val="minor"/>
    </font>
    <font>
      <b val="1"/>
      <color rgb="001F3864"/>
    </font>
  </fonts>
  <fills count="9">
    <fill>
      <patternFill/>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
        <bgColor indexed="64"/>
      </patternFill>
    </fill>
    <fill>
      <patternFill patternType="solid">
        <fgColor theme="0"/>
        <bgColor indexed="64"/>
      </patternFill>
    </fill>
    <fill>
      <patternFill patternType="solid">
        <fgColor theme="6" tint="0.7999816888943144"/>
        <bgColor indexed="64"/>
      </patternFill>
    </fill>
    <fill>
      <patternFill patternType="solid">
        <fgColor rgb="FF4E60E7"/>
        <bgColor rgb="FF4E60E7"/>
      </patternFill>
    </fill>
    <fill>
      <patternFill patternType="solid">
        <fgColor rgb="00D9E2F3"/>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3" fillId="0" borderId="0"/>
    <xf numFmtId="9" fontId="3" fillId="0" borderId="0"/>
    <xf numFmtId="9" fontId="3" fillId="0" borderId="0"/>
  </cellStyleXfs>
  <cellXfs count="58">
    <xf numFmtId="0" fontId="0" fillId="0" borderId="0" pivotButton="0" quotePrefix="0" xfId="0"/>
    <xf numFmtId="0" fontId="1" fillId="0" borderId="0" pivotButton="0" quotePrefix="0" xfId="0"/>
    <xf numFmtId="0" fontId="2" fillId="3" borderId="1" pivotButton="0" quotePrefix="0" xfId="0"/>
    <xf numFmtId="0" fontId="0" fillId="0" borderId="1" pivotButton="0" quotePrefix="0" xfId="0"/>
    <xf numFmtId="0" fontId="1" fillId="4" borderId="1" pivotButton="0" quotePrefix="0" xfId="0"/>
    <xf numFmtId="0" fontId="2" fillId="3" borderId="5" pivotButton="0" quotePrefix="0" xfId="0"/>
    <xf numFmtId="0" fontId="1" fillId="4" borderId="2" pivotButton="0" quotePrefix="0" xfId="0"/>
    <xf numFmtId="14" fontId="0" fillId="0" borderId="0" pivotButton="0" quotePrefix="0" xfId="0"/>
    <xf numFmtId="14" fontId="0" fillId="0" borderId="1" pivotButton="0" quotePrefix="0" xfId="0"/>
    <xf numFmtId="0" fontId="2" fillId="3" borderId="3" pivotButton="0" quotePrefix="0" xfId="0"/>
    <xf numFmtId="0" fontId="0" fillId="5" borderId="6" pivotButton="0" quotePrefix="0" xfId="0"/>
    <xf numFmtId="0" fontId="0" fillId="5" borderId="7" pivotButton="0" quotePrefix="0" xfId="0"/>
    <xf numFmtId="0" fontId="0" fillId="5" borderId="8" pivotButton="0" quotePrefix="0" xfId="0"/>
    <xf numFmtId="0" fontId="0" fillId="5" borderId="9" pivotButton="0" quotePrefix="0" xfId="0"/>
    <xf numFmtId="0" fontId="0" fillId="5" borderId="0" pivotButton="0" quotePrefix="0" xfId="0"/>
    <xf numFmtId="0" fontId="0" fillId="5" borderId="10" pivotButton="0" quotePrefix="0" xfId="0"/>
    <xf numFmtId="10" fontId="0" fillId="5" borderId="0" pivotButton="0" quotePrefix="0" xfId="0"/>
    <xf numFmtId="0" fontId="0" fillId="5" borderId="11" pivotButton="0" quotePrefix="0" xfId="0"/>
    <xf numFmtId="0" fontId="0" fillId="5" borderId="12" pivotButton="0" quotePrefix="0" xfId="0"/>
    <xf numFmtId="0" fontId="0" fillId="5" borderId="13" pivotButton="0" quotePrefix="0" xfId="0"/>
    <xf numFmtId="0" fontId="1" fillId="5" borderId="0" pivotButton="0" quotePrefix="0" xfId="0"/>
    <xf numFmtId="0" fontId="0" fillId="5" borderId="1" pivotButton="0" quotePrefix="0" xfId="0"/>
    <xf numFmtId="10" fontId="0" fillId="5" borderId="1" pivotButton="0" quotePrefix="0" xfId="1"/>
    <xf numFmtId="0" fontId="0" fillId="5" borderId="3" pivotButton="0" quotePrefix="0" xfId="0"/>
    <xf numFmtId="0" fontId="5" fillId="4" borderId="2" pivotButton="0" quotePrefix="0" xfId="0"/>
    <xf numFmtId="0" fontId="6" fillId="4" borderId="3" pivotButton="0" quotePrefix="0" xfId="0"/>
    <xf numFmtId="0" fontId="6" fillId="4" borderId="4" pivotButton="0" quotePrefix="0" xfId="0"/>
    <xf numFmtId="10" fontId="6" fillId="4" borderId="4" pivotButton="0" quotePrefix="0" xfId="0"/>
    <xf numFmtId="10" fontId="6" fillId="4" borderId="1" pivotButton="0" quotePrefix="0" xfId="0"/>
    <xf numFmtId="0" fontId="0" fillId="4" borderId="3" pivotButton="0" quotePrefix="0" xfId="0"/>
    <xf numFmtId="0" fontId="0" fillId="4" borderId="14" pivotButton="0" quotePrefix="0" xfId="0"/>
    <xf numFmtId="0" fontId="0" fillId="4" borderId="15" pivotButton="0" quotePrefix="0" xfId="0"/>
    <xf numFmtId="0" fontId="7" fillId="4" borderId="1" pivotButton="0" quotePrefix="0" xfId="0"/>
    <xf numFmtId="0" fontId="0" fillId="0" borderId="0" applyAlignment="1" pivotButton="0" quotePrefix="0" xfId="0">
      <alignment wrapText="1"/>
    </xf>
    <xf numFmtId="0" fontId="1" fillId="4" borderId="1" applyAlignment="1" pivotButton="0" quotePrefix="0" xfId="0">
      <alignment wrapText="1"/>
    </xf>
    <xf numFmtId="0" fontId="0" fillId="0" borderId="1" applyAlignment="1" pivotButton="0" quotePrefix="0" xfId="0">
      <alignment wrapText="1"/>
    </xf>
    <xf numFmtId="0" fontId="0" fillId="3" borderId="4" applyAlignment="1" pivotButton="0" quotePrefix="0" xfId="0">
      <alignment wrapText="1"/>
    </xf>
    <xf numFmtId="9" fontId="0" fillId="0" borderId="1" applyAlignment="1" pivotButton="0" quotePrefix="0" xfId="1">
      <alignment wrapText="1"/>
    </xf>
    <xf numFmtId="9" fontId="0" fillId="0" borderId="0" applyAlignment="1" pivotButton="0" quotePrefix="0" xfId="1">
      <alignment wrapText="1"/>
    </xf>
    <xf numFmtId="0" fontId="1" fillId="0" borderId="0" applyAlignment="1" pivotButton="0" quotePrefix="0" xfId="0">
      <alignment vertical="center" wrapText="1"/>
    </xf>
    <xf numFmtId="0" fontId="8" fillId="7" borderId="1" applyAlignment="1" pivotButton="0" quotePrefix="0" xfId="0">
      <alignment horizontal="left" vertical="center" wrapText="1"/>
    </xf>
    <xf numFmtId="0" fontId="0" fillId="0" borderId="1" applyAlignment="1" pivotButton="0" quotePrefix="0" xfId="0">
      <alignment horizontal="left" vertical="top" wrapText="1"/>
    </xf>
    <xf numFmtId="0" fontId="0" fillId="0" borderId="4" applyAlignment="1" pivotButton="0" quotePrefix="0" xfId="0">
      <alignment horizontal="left" vertical="top" wrapText="1"/>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6" borderId="1" applyAlignment="1" pivotButton="0" quotePrefix="0" xfId="0">
      <alignment vertical="center" wrapText="1"/>
    </xf>
    <xf numFmtId="0" fontId="2" fillId="3" borderId="1" applyAlignment="1" pivotButton="0" quotePrefix="0" xfId="0">
      <alignment vertical="center" wrapText="1"/>
    </xf>
    <xf numFmtId="0" fontId="0" fillId="3" borderId="1" applyAlignment="1" pivotButton="0" quotePrefix="0" xfId="0">
      <alignment wrapText="1"/>
    </xf>
    <xf numFmtId="0" fontId="0" fillId="0" borderId="1" applyAlignment="1" pivotButton="0" quotePrefix="0" xfId="0">
      <alignment vertical="center" wrapText="1"/>
    </xf>
    <xf numFmtId="0" fontId="9" fillId="0" borderId="1" applyAlignment="1" pivotButton="0" quotePrefix="0" xfId="0">
      <alignment wrapText="1"/>
    </xf>
    <xf numFmtId="0" fontId="0" fillId="4" borderId="1" applyAlignment="1" pivotButton="0" quotePrefix="0" xfId="0">
      <alignment horizontal="center"/>
    </xf>
    <xf numFmtId="0" fontId="2" fillId="3" borderId="5" applyAlignment="1" pivotButton="0" quotePrefix="0" xfId="0">
      <alignment horizontal="center"/>
    </xf>
    <xf numFmtId="0" fontId="2" fillId="3" borderId="2" applyAlignment="1" pivotButton="0" quotePrefix="0" xfId="0">
      <alignment horizontal="center"/>
    </xf>
    <xf numFmtId="0" fontId="2" fillId="3" borderId="3" applyAlignment="1" pivotButton="0" quotePrefix="0" xfId="0">
      <alignment horizontal="center"/>
    </xf>
    <xf numFmtId="0" fontId="11" fillId="8" borderId="0" pivotButton="0" quotePrefix="0" xfId="0"/>
    <xf numFmtId="0" fontId="0" fillId="0" borderId="3" pivotButton="0" quotePrefix="0" xfId="0"/>
    <xf numFmtId="0" fontId="2" fillId="3" borderId="1" applyAlignment="1" pivotButton="0" quotePrefix="0" xfId="0">
      <alignment horizontal="center"/>
    </xf>
    <xf numFmtId="0" fontId="0" fillId="0" borderId="17" pivotButton="0" quotePrefix="0" xfId="0"/>
  </cellXfs>
  <cellStyles count="3">
    <cellStyle name="Normal" xfId="0" builtinId="0"/>
    <cellStyle name="Per cent" xfId="1" builtinId="5"/>
    <cellStyle name="Per cent 2" xfId="2"/>
  </cellStyles>
  <dxfs count="15">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C000"/>
        </patternFill>
      </fill>
    </dxf>
    <dxf>
      <fill>
        <patternFill>
          <bgColor rgb="FFFFE38B"/>
        </patternFill>
      </fill>
    </dxf>
    <dxf>
      <fill>
        <patternFill>
          <bgColor theme="8" tint="-0.249946592608417"/>
        </patternFill>
      </fill>
    </dxf>
    <dxf>
      <fill>
        <patternFill>
          <bgColor rgb="FFDBE600"/>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Tieto">
      <a:dk1>
        <a:srgbClr val="272A2C"/>
      </a:dk1>
      <a:lt1>
        <a:srgbClr val="FFFFFF"/>
      </a:lt1>
      <a:dk2>
        <a:srgbClr val="1A1715"/>
      </a:dk2>
      <a:lt2>
        <a:srgbClr val="D2D0CB"/>
      </a:lt2>
      <a:accent1>
        <a:srgbClr val="021E57"/>
      </a:accent1>
      <a:accent2>
        <a:srgbClr val="3531CF"/>
      </a:accent2>
      <a:accent3>
        <a:srgbClr val="4E60E7"/>
      </a:accent3>
      <a:accent4>
        <a:srgbClr val="839DF9"/>
      </a:accent4>
      <a:accent5>
        <a:srgbClr val="F5FF56"/>
      </a:accent5>
      <a:accent6>
        <a:srgbClr val="78716E"/>
      </a:accent6>
      <a:hlink>
        <a:srgbClr val="000000"/>
      </a:hlink>
      <a:folHlink>
        <a:srgbClr val="000000"/>
      </a:folHlink>
    </a:clrScheme>
    <a:fontScheme name="Aptos">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Warm Gray">
      <a:srgbClr val="6E6259"/>
    </a:custClr>
    <a:custClr name="Warm Gray 90%">
      <a:srgbClr val="7B7168"/>
    </a:custClr>
    <a:custClr name="Warm Gray">
      <a:srgbClr val="6E6259"/>
    </a:custClr>
    <a:custClr name="Warm Gray 80%">
      <a:srgbClr val="8B807C"/>
    </a:custClr>
    <a:custClr name="Warm Gray 70%">
      <a:srgbClr val="9C918C"/>
    </a:custClr>
    <a:custClr name="Warm Gray 60%">
      <a:srgbClr val="A9A09B"/>
    </a:custClr>
    <a:custClr name="Warm Gray 50%">
      <a:srgbClr val="B6B1AE"/>
    </a:custClr>
    <a:custClr name="Warm Gray 40%">
      <a:srgbClr val="C5C0BD"/>
    </a:custClr>
    <a:custClr name="Warm Gray 30%">
      <a:srgbClr val="D4D0CD"/>
    </a:custClr>
    <a:custClr name="Warm Gray 20%">
      <a:srgbClr val="E2E0DE"/>
    </a:custClr>
    <a:custClr name="Warm Gray 10%">
      <a:srgbClr val="F1EFED"/>
    </a:custClr>
    <a:custClr name="Hero Red">
      <a:srgbClr val="F9423A"/>
    </a:custClr>
    <a:custClr name="Maroon">
      <a:srgbClr val="64302F"/>
    </a:custClr>
    <a:custClr name="Peach">
      <a:srgbClr val="EACBBB"/>
    </a:custClr>
    <a:custClr name="Peach 40%">
      <a:srgbClr val="F7EAE4"/>
    </a:custClr>
    <a:custClr name="Peach 30%">
      <a:srgbClr val="FAF5F1"/>
    </a:custClr>
    <a:custClr name="Peach 20%">
      <a:srgbClr val="FCF8F5"/>
    </a:custClr>
    <a:custClr name="Peach 10%">
      <a:srgbClr val="FEFAF9"/>
    </a:custClr>
    <a:custClr name="White">
      <a:srgbClr val="FFFFFF"/>
    </a:custClr>
    <a:custClr name="CTA Yellow">
      <a:srgbClr val="E9EC6B"/>
    </a:custClr>
    <a:custClr name="Warm Gray 5%">
      <a:srgbClr val="F9F6F8"/>
    </a:custClr>
    <a:custClr name="Cool Gray">
      <a:srgbClr val="52565A"/>
    </a:custClr>
    <a:custClr name="Cool Gray 90%">
      <a:srgbClr val="63676A"/>
    </a:custClr>
    <a:custClr name="Cool Gray 80%">
      <a:srgbClr val="74787B"/>
    </a:custClr>
    <a:custClr name="Cool Gray 70%">
      <a:srgbClr val="86888B"/>
    </a:custClr>
    <a:custClr name="Cool Gray 60%">
      <a:srgbClr val="989A9C"/>
    </a:custClr>
    <a:custClr name="Cool Gray 50%">
      <a:srgbClr val="A9AAAC"/>
    </a:custClr>
    <a:custClr name="Cool Gray 40%">
      <a:srgbClr val="CBCCCD"/>
    </a:custClr>
    <a:custClr name="Cool Gray 30%">
      <a:srgbClr val="D4D5D5"/>
    </a:custClr>
    <a:custClr name="Cool Gray 20%">
      <a:srgbClr val="DDDDDE"/>
    </a:custClr>
    <a:custClr name="Cool Gray 10%">
      <a:srgbClr val="EDEEEE"/>
    </a:custClr>
    <a:custClr name="Black">
      <a:srgbClr val="000000"/>
    </a:custClr>
    <a:custClr name="Dark Blue">
      <a:srgbClr val="0C1D48"/>
    </a:custClr>
    <a:custClr name="Hero Blue">
      <a:srgbClr val="280071"/>
    </a:custClr>
    <a:custClr name="Violet">
      <a:srgbClr val="B1B5CE"/>
    </a:custClr>
    <a:custClr name="Violet 40%">
      <a:srgbClr val="E0E1EB"/>
    </a:custClr>
    <a:custClr name="Violet 30%">
      <a:srgbClr val="E7E9F0"/>
    </a:custClr>
    <a:custClr name="Violet 20%">
      <a:srgbClr val="EFF1F5"/>
    </a:custClr>
    <a:custClr name="Violet 10%">
      <a:srgbClr val="F8F7FF"/>
    </a:custClr>
    <a:custClr name="CTA Green">
      <a:srgbClr val="26D07C"/>
    </a:custClr>
    <a:custClr name="Cool Gray 5%">
      <a:srgbClr val="F6F6F8"/>
    </a:custClr>
  </a:custClr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AG357"/>
  <sheetViews>
    <sheetView tabSelected="1" zoomScale="74" zoomScaleNormal="100" workbookViewId="0">
      <pane ySplit="1" topLeftCell="A2" activePane="bottomLeft" state="frozen"/>
      <selection pane="bottomLeft" activeCell="F7" sqref="F7"/>
    </sheetView>
  </sheetViews>
  <sheetFormatPr baseColWidth="8" defaultColWidth="14.4609375" defaultRowHeight="16"/>
  <cols>
    <col width="5.3046875" bestFit="1" customWidth="1" style="33" min="1" max="1"/>
    <col width="14.4609375" customWidth="1" style="33" min="2" max="5"/>
    <col width="59.4609375" customWidth="1" style="33" min="6" max="6"/>
    <col width="14.4609375" customWidth="1" style="33" min="7" max="7"/>
    <col width="14.4609375" customWidth="1" style="33" min="8" max="10"/>
    <col width="14.4609375" customWidth="1" style="36" min="11" max="11"/>
    <col width="14.4609375" customWidth="1" style="33" min="12" max="14"/>
    <col width="15.53515625" customWidth="1" style="33" min="15" max="15"/>
    <col width="38.69140625" customWidth="1" style="33" min="16" max="16"/>
    <col width="12.07421875" bestFit="1" customWidth="1" style="33" min="17" max="17"/>
    <col width="8.84375" customWidth="1" style="33" min="18" max="18"/>
    <col width="6.07421875" customWidth="1" style="33" min="19" max="19"/>
    <col width="14.4609375" customWidth="1" style="33" min="20" max="21"/>
    <col width="14.4609375" customWidth="1" style="38" min="22" max="22"/>
    <col width="14.4609375" customWidth="1" style="33" min="23" max="16384"/>
  </cols>
  <sheetData>
    <row r="1" ht="48" customFormat="1" customHeight="1" s="39">
      <c r="A1" s="43" t="inlineStr">
        <is>
          <t>#</t>
        </is>
      </c>
      <c r="B1" s="43" t="inlineStr">
        <is>
          <t>ReqID</t>
        </is>
      </c>
      <c r="C1" s="43" t="inlineStr">
        <is>
          <t>Document</t>
        </is>
      </c>
      <c r="D1" s="43" t="inlineStr">
        <is>
          <t>Section (Headline)</t>
        </is>
      </c>
      <c r="E1" s="43" t="inlineStr">
        <is>
          <t>Requirement title</t>
        </is>
      </c>
      <c r="F1" s="43" t="inlineStr">
        <is>
          <t>Requirement</t>
        </is>
      </c>
      <c r="G1" s="43" t="inlineStr">
        <is>
          <t>Requirement type</t>
        </is>
      </c>
      <c r="H1" s="43" t="inlineStr">
        <is>
          <t>Action</t>
        </is>
      </c>
      <c r="I1" s="43" t="inlineStr">
        <is>
          <t>Indgår i officiel krav-count?</t>
        </is>
      </c>
      <c r="J1" s="43" t="inlineStr">
        <is>
          <t>Vægt</t>
        </is>
      </c>
      <c r="K1" s="46" t="inlineStr">
        <is>
          <t>Round #1</t>
        </is>
      </c>
      <c r="L1" s="44" t="inlineStr">
        <is>
          <t>Responsible</t>
        </is>
      </c>
      <c r="M1" s="44" t="inlineStr">
        <is>
          <t>Reviewer</t>
        </is>
      </c>
      <c r="N1" s="45" t="inlineStr">
        <is>
          <t>Module</t>
        </is>
      </c>
      <c r="O1" s="45" t="inlineStr">
        <is>
          <t>Can we meet the requirement?</t>
        </is>
      </c>
      <c r="P1" s="45" t="inlineStr">
        <is>
          <t>Comment</t>
        </is>
      </c>
      <c r="Q1" s="45" t="inlineStr">
        <is>
          <t>Commitment needed?</t>
        </is>
      </c>
      <c r="R1" s="45" t="inlineStr">
        <is>
          <t>Risk Element?</t>
        </is>
      </c>
      <c r="S1" s="45" t="inlineStr">
        <is>
          <t>Cost Driver</t>
        </is>
      </c>
      <c r="T1" s="45" t="inlineStr">
        <is>
          <t>Link to answer document</t>
        </is>
      </c>
      <c r="U1" s="44" t="inlineStr">
        <is>
          <t>Status (phase)</t>
        </is>
      </c>
      <c r="V1" s="44" t="inlineStr">
        <is>
          <t>Status (%)</t>
        </is>
      </c>
      <c r="W1" s="54" t="inlineStr">
        <is>
          <t>AI — Generated</t>
        </is>
      </c>
      <c r="X1" s="54" t="inlineStr">
        <is>
          <t>AI — Source</t>
        </is>
      </c>
      <c r="Y1" s="54" t="inlineStr">
        <is>
          <t>AI — Compliance</t>
        </is>
      </c>
      <c r="Z1" s="54" t="inlineStr">
        <is>
          <t>AI — Confidence</t>
        </is>
      </c>
      <c r="AA1" s="54" t="inlineStr">
        <is>
          <t>AI — Summary</t>
        </is>
      </c>
      <c r="AB1" s="54" t="inlineStr">
        <is>
          <t>AI — Gaps &amp; clarifications</t>
        </is>
      </c>
      <c r="AC1" s="54" t="inlineStr">
        <is>
          <t>AI — Evidence</t>
        </is>
      </c>
      <c r="AD1" s="54" t="inlineStr">
        <is>
          <t>AI — Next action</t>
        </is>
      </c>
      <c r="AE1" s="54" t="inlineStr">
        <is>
          <t>AI — Reviewed by</t>
        </is>
      </c>
      <c r="AF1" s="54" t="inlineStr">
        <is>
          <t>AI — Review status</t>
        </is>
      </c>
      <c r="AG1" s="54" t="inlineStr">
        <is>
          <t>AI — Run ID</t>
        </is>
      </c>
    </row>
    <row r="2" ht="96" customHeight="1">
      <c r="A2" s="35" t="n">
        <v>1</v>
      </c>
      <c r="B2" s="35" t="inlineStr">
        <is>
          <t>MK-1</t>
        </is>
      </c>
      <c r="C2" s="35" t="inlineStr">
        <is>
          <t>Bilag 1.b</t>
        </is>
      </c>
      <c r="D2" s="35" t="inlineStr">
        <is>
          <t>Generelle krav</t>
        </is>
      </c>
      <c r="E2" s="35" t="inlineStr">
        <is>
          <t>Rigsarkivets afleveringsmodeller</t>
        </is>
      </c>
      <c r="F2" s="35" t="inlineStr">
        <is>
          <t>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t>
        </is>
      </c>
      <c r="G2" s="35" t="inlineStr">
        <is>
          <t>Mindstekrav</t>
        </is>
      </c>
      <c r="H2" s="35">
        <f>IF(G2="Evalueringskrav","Answer",(IF(G2="Krav","Check",(IF(G2="Mindstekrav","Verify","")))))</f>
        <v/>
      </c>
      <c r="I2" s="35" t="inlineStr">
        <is>
          <t>Ja</t>
        </is>
      </c>
      <c r="J2" s="35" t="n"/>
      <c r="K2" s="47" t="n"/>
      <c r="L2" s="35" t="inlineStr">
        <is>
          <t>Anton</t>
        </is>
      </c>
      <c r="M2" s="35" t="n"/>
      <c r="N2" s="35" t="n"/>
      <c r="O2" s="35" t="inlineStr">
        <is>
          <t>1. Fully met</t>
        </is>
      </c>
      <c r="P2" s="35" t="n"/>
      <c r="Q2" s="35" t="n"/>
      <c r="R2" s="35" t="n"/>
      <c r="S2" s="35" t="n"/>
      <c r="T2" s="35" t="n"/>
      <c r="U2" s="35" t="inlineStr">
        <is>
          <t>Not Started</t>
        </is>
      </c>
      <c r="V2" s="37">
        <f>IF(U2="Not Started",0%,IF(U2="Started",50%,IF(U2="Ready for review",70%,IF(U2="Reviewed - Content",80%,IF(U2="Reviewed - Format",90%,IF(U2="Done",100%,""))))))</f>
        <v/>
      </c>
      <c r="W2" t="inlineStr">
        <is>
          <t>2026-07-07</t>
        </is>
      </c>
      <c r="X2" t="inlineStr">
        <is>
          <t>Cursor / tender-response (batch)</t>
        </is>
      </c>
      <c r="Y2" t="inlineStr">
        <is>
          <t>Met</t>
        </is>
      </c>
      <c r="Z2" t="inlineStr">
        <is>
          <t>Verified</t>
        </is>
      </c>
      <c r="AA2" t="inlineStr">
        <is>
          <t>Verify: Rigsarkivets afleveringsmodeller — vurderet opfyldt (tool: 1. Fully met).</t>
        </is>
      </c>
      <c r="AB2" t="inlineStr"/>
      <c r="AC2" t="inlineStr">
        <is>
          <t>docs/tender-reference/extracted/KK Tender tool.txt; docs/tender-reference/extracted/Nationalbanken/Bilag 3.i Leverandørens Løsningsbeskrivelse.txt; docs/product/RFP_Leverandørens_svar_utdrag.txt</t>
        </is>
      </c>
      <c r="AD2" t="inlineStr">
        <is>
          <t>Anton: Confirm verify-tekst; opdatér review status efter tjek.</t>
        </is>
      </c>
      <c r="AE2" t="inlineStr"/>
      <c r="AF2" t="inlineStr">
        <is>
          <t>Draft</t>
        </is>
      </c>
      <c r="AG2" t="inlineStr">
        <is>
          <t>uim-esdh-full-2026-07-07</t>
        </is>
      </c>
    </row>
    <row r="3">
      <c r="A3" s="35" t="n">
        <v>2</v>
      </c>
      <c r="B3" s="35" t="inlineStr">
        <is>
          <t>MK-2</t>
        </is>
      </c>
      <c r="C3" s="35" t="inlineStr">
        <is>
          <t>Bilag 1.b</t>
        </is>
      </c>
      <c r="D3" s="35" t="inlineStr">
        <is>
          <t>Generelle krav</t>
        </is>
      </c>
      <c r="E3" s="35" t="inlineStr">
        <is>
          <t>Sprog</t>
        </is>
      </c>
      <c r="F3" s="35" t="inlineStr">
        <is>
          <t>ESDH-løsningen skal understøtte dansk og engelsk.</t>
        </is>
      </c>
      <c r="G3" s="35" t="inlineStr">
        <is>
          <t>Mindstekrav</t>
        </is>
      </c>
      <c r="H3" s="35">
        <f>IF(G3="Evalueringskrav","Answer",(IF(G3="Krav","Check",(IF(G3="Mindstekrav","Verify","")))))</f>
        <v/>
      </c>
      <c r="I3" s="35" t="inlineStr">
        <is>
          <t>Ja</t>
        </is>
      </c>
      <c r="J3" s="35" t="n"/>
      <c r="K3" s="47" t="n"/>
      <c r="L3" s="35" t="inlineStr">
        <is>
          <t>Anton</t>
        </is>
      </c>
      <c r="M3" s="35" t="n"/>
      <c r="N3" s="35" t="n"/>
      <c r="O3" s="35" t="inlineStr">
        <is>
          <t>1. Fully met</t>
        </is>
      </c>
      <c r="P3" s="35" t="n"/>
      <c r="Q3" s="35" t="n"/>
      <c r="R3" s="35" t="n"/>
      <c r="S3" s="35" t="n"/>
      <c r="T3" s="35" t="n"/>
      <c r="U3" s="35" t="inlineStr">
        <is>
          <t>Not Started</t>
        </is>
      </c>
      <c r="V3" s="37">
        <f>IF(U3="Not Started",0%,IF(U3="Started",50%,IF(U3="Ready for review",70%,IF(U3="Reviewed - Content",80%,IF(U3="Reviewed - Format",90%,IF(U3="Done",100%,""))))))</f>
        <v/>
      </c>
      <c r="W3" t="inlineStr">
        <is>
          <t>2026-07-07</t>
        </is>
      </c>
      <c r="X3" t="inlineStr">
        <is>
          <t>Cursor / tender-response (batch)</t>
        </is>
      </c>
      <c r="Y3" t="inlineStr">
        <is>
          <t>Met</t>
        </is>
      </c>
      <c r="Z3" t="inlineStr">
        <is>
          <t>Verified</t>
        </is>
      </c>
      <c r="AA3" t="inlineStr">
        <is>
          <t>Verify: Sprog — vurderet opfyldt (tool: 1. Fully met).</t>
        </is>
      </c>
      <c r="AB3" t="inlineStr"/>
      <c r="AC3" t="inlineStr">
        <is>
          <t>docs/tender-reference/extracted/Nationalbanken/Bilag 3.i Leverandørens Løsningsbeskrivelse.txt; docs/tender-reference/extracted/HSØ/02.00-Tietoevry-SSA-L-Bilag 2-Leverandørens beskrivelse av Tjenesten.txt; docs/tender-reference/extracted/KK Tender tool.txt</t>
        </is>
      </c>
      <c r="AD3" t="inlineStr">
        <is>
          <t>Anton: Confirm verify-tekst; opdatér review status efter tjek.</t>
        </is>
      </c>
      <c r="AE3" t="inlineStr"/>
      <c r="AF3" t="inlineStr">
        <is>
          <t>Draft</t>
        </is>
      </c>
      <c r="AG3" t="inlineStr">
        <is>
          <t>uim-esdh-full-2026-07-07</t>
        </is>
      </c>
    </row>
    <row r="4" ht="32" customHeight="1">
      <c r="A4" s="35" t="n">
        <v>3</v>
      </c>
      <c r="B4" s="35" t="inlineStr">
        <is>
          <t>MK-3</t>
        </is>
      </c>
      <c r="C4" s="35" t="inlineStr">
        <is>
          <t>Bilag 1.b</t>
        </is>
      </c>
      <c r="D4" s="35" t="inlineStr">
        <is>
          <t>Generelle krav</t>
        </is>
      </c>
      <c r="E4" s="35" t="inlineStr">
        <is>
          <t>Datamodel</t>
        </is>
      </c>
      <c r="F4" s="35" t="inlineStr">
        <is>
          <t>ESDH-løsningen skal understøtte en Datamodel med en klar og tydelig beskrivelse af felterne i både frontend og backend.</t>
        </is>
      </c>
      <c r="G4" s="35" t="inlineStr">
        <is>
          <t>Mindstekrav</t>
        </is>
      </c>
      <c r="H4" s="35">
        <f>IF(G4="Evalueringskrav","Answer",(IF(G4="Krav","Check",(IF(G4="Mindstekrav","Verify","")))))</f>
        <v/>
      </c>
      <c r="I4" s="35" t="inlineStr">
        <is>
          <t>Ja</t>
        </is>
      </c>
      <c r="J4" s="35" t="n"/>
      <c r="K4" s="47" t="n"/>
      <c r="L4" s="35" t="inlineStr">
        <is>
          <t>Anton</t>
        </is>
      </c>
      <c r="M4" s="35" t="n"/>
      <c r="N4" s="35" t="n"/>
      <c r="O4" s="35" t="inlineStr">
        <is>
          <t>1. Fully met</t>
        </is>
      </c>
      <c r="P4" s="35" t="n"/>
      <c r="Q4" s="35" t="n"/>
      <c r="R4" s="35" t="n"/>
      <c r="S4" s="35" t="n"/>
      <c r="T4" s="35" t="n"/>
      <c r="U4" s="35" t="inlineStr">
        <is>
          <t>Not Started</t>
        </is>
      </c>
      <c r="V4" s="37">
        <f>IF(U4="Not Started",0%,IF(U4="Started",50%,IF(U4="Ready for review",70%,IF(U4="Reviewed - Content",80%,IF(U4="Reviewed - Format",90%,IF(U4="Done",100%,""))))))</f>
        <v/>
      </c>
      <c r="W4" t="inlineStr">
        <is>
          <t>2026-07-07</t>
        </is>
      </c>
      <c r="X4" t="inlineStr">
        <is>
          <t>Cursor / tender-response (batch)</t>
        </is>
      </c>
      <c r="Y4" t="inlineStr">
        <is>
          <t>Met</t>
        </is>
      </c>
      <c r="Z4" t="inlineStr">
        <is>
          <t>Verified</t>
        </is>
      </c>
      <c r="AA4" t="inlineStr">
        <is>
          <t>Verify: Datamodel — vurderet opfyldt (tool: 1. Fully met).</t>
        </is>
      </c>
      <c r="AB4" t="inlineStr"/>
      <c r="AC4" t="inlineStr">
        <is>
          <t>docs/tender-reference/extracted/KK Tender tool.txt; docs/product/RFP_Leverandørens_svar_utdrag.txt; docs/tender-reference/extracted/HSØ/02.00-Tietoevry-SSA-L-Bilag 2-Leverandørens beskrivelse av Tjenesten.txt</t>
        </is>
      </c>
      <c r="AD4" t="inlineStr">
        <is>
          <t>Anton: Confirm verify-tekst; opdatér review status efter tjek.</t>
        </is>
      </c>
      <c r="AE4" t="inlineStr"/>
      <c r="AF4" t="inlineStr">
        <is>
          <t>Draft</t>
        </is>
      </c>
      <c r="AG4" t="inlineStr">
        <is>
          <t>uim-esdh-full-2026-07-07</t>
        </is>
      </c>
    </row>
    <row r="5" ht="128" customHeight="1">
      <c r="A5" s="35" t="n">
        <v>4</v>
      </c>
      <c r="B5" s="35" t="inlineStr">
        <is>
          <t>MK-4</t>
        </is>
      </c>
      <c r="C5" s="35" t="inlineStr">
        <is>
          <t>Bilag 1.b</t>
        </is>
      </c>
      <c r="D5" s="35" t="inlineStr">
        <is>
          <t>Generelle krav</t>
        </is>
      </c>
      <c r="E5" s="35" t="inlineStr">
        <is>
          <t>GDPR – Ret til indsigt i egne personoplysninger</t>
        </is>
      </c>
      <c r="F5" s="35" t="inlineStr">
        <is>
          <t>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t>
        </is>
      </c>
      <c r="G5" s="35" t="inlineStr">
        <is>
          <t>Mindstekrav</t>
        </is>
      </c>
      <c r="H5" s="35">
        <f>IF(G5="Evalueringskrav","Answer",(IF(G5="Krav","Check",(IF(G5="Mindstekrav","Verify","")))))</f>
        <v/>
      </c>
      <c r="I5" s="35" t="inlineStr">
        <is>
          <t>Ja</t>
        </is>
      </c>
      <c r="J5" s="35" t="n"/>
      <c r="K5" s="47" t="n"/>
      <c r="L5" s="35" t="inlineStr">
        <is>
          <t>Anton</t>
        </is>
      </c>
      <c r="M5" s="35" t="n"/>
      <c r="N5" s="35" t="n"/>
      <c r="O5" s="35" t="inlineStr">
        <is>
          <t>1. Fully met</t>
        </is>
      </c>
      <c r="P5" s="35" t="n"/>
      <c r="Q5" s="35" t="n"/>
      <c r="R5" s="35" t="n"/>
      <c r="S5" s="35" t="n"/>
      <c r="T5" s="35" t="n"/>
      <c r="U5" s="35" t="inlineStr">
        <is>
          <t>Not Started</t>
        </is>
      </c>
      <c r="V5" s="37">
        <f>IF(U5="Not Started",0%,IF(U5="Started",50%,IF(U5="Ready for review",70%,IF(U5="Reviewed - Content",80%,IF(U5="Reviewed - Format",90%,IF(U5="Done",100%,""))))))</f>
        <v/>
      </c>
      <c r="W5" t="inlineStr">
        <is>
          <t>2026-07-07</t>
        </is>
      </c>
      <c r="X5" t="inlineStr">
        <is>
          <t>Cursor / tender-response (batch)</t>
        </is>
      </c>
      <c r="Y5" t="inlineStr">
        <is>
          <t>Met</t>
        </is>
      </c>
      <c r="Z5" t="inlineStr">
        <is>
          <t>Verified</t>
        </is>
      </c>
      <c r="AA5" t="inlineStr">
        <is>
          <t>Verify: GDPR – Ret til indsigt i egne personoplysninger — vurderet opfyldt (tool: 1. Fully met).</t>
        </is>
      </c>
      <c r="AB5" t="inlineStr"/>
      <c r="AC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5" t="inlineStr">
        <is>
          <t>Anton: Confirm verify-tekst; opdatér review status efter tjek.</t>
        </is>
      </c>
      <c r="AE5" t="inlineStr"/>
      <c r="AF5" t="inlineStr">
        <is>
          <t>Draft</t>
        </is>
      </c>
      <c r="AG5" t="inlineStr">
        <is>
          <t>uim-esdh-full-2026-07-07</t>
        </is>
      </c>
    </row>
    <row r="6" ht="32" customHeight="1">
      <c r="A6" s="35" t="n">
        <v>5</v>
      </c>
      <c r="B6" s="35" t="inlineStr">
        <is>
          <t>MK-5</t>
        </is>
      </c>
      <c r="C6" s="35" t="inlineStr">
        <is>
          <t>Bilag 1.b</t>
        </is>
      </c>
      <c r="D6" s="35" t="inlineStr">
        <is>
          <t>Generelle krav</t>
        </is>
      </c>
      <c r="E6" s="35" t="inlineStr">
        <is>
          <t>Anmodninger fra registrerede</t>
        </is>
      </c>
      <c r="F6" s="35" t="inlineStr">
        <is>
          <t>ESDH-løsningen skal understøtte håndtering af indsigts-, slette- og berigtigelsesanmodninger fra de registrerede i Løsningen.</t>
        </is>
      </c>
      <c r="G6" s="35" t="inlineStr">
        <is>
          <t>Mindstekrav</t>
        </is>
      </c>
      <c r="H6" s="35">
        <f>IF(G6="Evalueringskrav","Answer",(IF(G6="Krav","Check",(IF(G6="Mindstekrav","Verify","")))))</f>
        <v/>
      </c>
      <c r="I6" s="35" t="inlineStr">
        <is>
          <t>Ja</t>
        </is>
      </c>
      <c r="J6" s="35" t="n"/>
      <c r="K6" s="47" t="n"/>
      <c r="L6" s="35" t="inlineStr">
        <is>
          <t>Anton</t>
        </is>
      </c>
      <c r="M6" s="35" t="n"/>
      <c r="N6" s="35" t="n"/>
      <c r="O6" s="35" t="inlineStr">
        <is>
          <t>1. Fully met</t>
        </is>
      </c>
      <c r="P6" s="35" t="n"/>
      <c r="Q6" s="35" t="n"/>
      <c r="R6" s="35" t="n"/>
      <c r="S6" s="35" t="n"/>
      <c r="T6" s="35" t="n"/>
      <c r="U6" s="35" t="inlineStr">
        <is>
          <t>Not Started</t>
        </is>
      </c>
      <c r="V6" s="37">
        <f>IF(U6="Not Started",0%,IF(U6="Started",50%,IF(U6="Ready for review",70%,IF(U6="Reviewed - Content",80%,IF(U6="Reviewed - Format",90%,IF(U6="Done",100%,""))))))</f>
        <v/>
      </c>
      <c r="W6" t="inlineStr">
        <is>
          <t>2026-07-07</t>
        </is>
      </c>
      <c r="X6" t="inlineStr">
        <is>
          <t>Cursor / tender-response (batch)</t>
        </is>
      </c>
      <c r="Y6" t="inlineStr">
        <is>
          <t>Met</t>
        </is>
      </c>
      <c r="Z6" t="inlineStr">
        <is>
          <t>Verified</t>
        </is>
      </c>
      <c r="AA6" t="inlineStr">
        <is>
          <t>Verify: Anmodninger fra registrerede — vurderet opfyldt (tool: 1. Fully met).</t>
        </is>
      </c>
      <c r="AB6" t="inlineStr"/>
      <c r="AC6" t="inlineStr">
        <is>
          <t>docs/tender-reference/extracted/Nationalbanken/Bilag 3.i Leverandørens Løsningsbeskrivelse.txt; docs/tender-reference/extracted/KK Tender tool.txt; docs/tender-reference/extracted/Nationalbanken/Bilag 1.i Leverandørens Løsningsbeskrivelse.txt</t>
        </is>
      </c>
      <c r="AD6" t="inlineStr">
        <is>
          <t>Anton: Confirm verify-tekst; opdatér review status efter tjek.</t>
        </is>
      </c>
      <c r="AE6" t="inlineStr"/>
      <c r="AF6" t="inlineStr">
        <is>
          <t>Draft</t>
        </is>
      </c>
      <c r="AG6" t="inlineStr">
        <is>
          <t>uim-esdh-full-2026-07-07</t>
        </is>
      </c>
    </row>
    <row r="7" ht="96" customHeight="1">
      <c r="A7" s="35" t="n">
        <v>6</v>
      </c>
      <c r="B7" s="35" t="inlineStr">
        <is>
          <t>MK-6</t>
        </is>
      </c>
      <c r="C7" s="35" t="inlineStr">
        <is>
          <t>Bilag 1.b</t>
        </is>
      </c>
      <c r="D7" s="35" t="inlineStr">
        <is>
          <t>Generelle krav</t>
        </is>
      </c>
      <c r="E7" s="35" t="inlineStr">
        <is>
          <t>Håndtering af sletteregler</t>
        </is>
      </c>
      <c r="F7" s="35" t="inlineStr">
        <is>
          <t>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t>
        </is>
      </c>
      <c r="G7" s="35" t="inlineStr">
        <is>
          <t>Mindstekrav</t>
        </is>
      </c>
      <c r="H7" s="35">
        <f>IF(G7="Evalueringskrav","Answer",(IF(G7="Krav","Check",(IF(G7="Mindstekrav","Verify","")))))</f>
        <v/>
      </c>
      <c r="I7" s="35" t="inlineStr">
        <is>
          <t>Ja</t>
        </is>
      </c>
      <c r="J7" s="35" t="n"/>
      <c r="K7" s="47" t="n"/>
      <c r="L7" s="35" t="inlineStr">
        <is>
          <t>Morten</t>
        </is>
      </c>
      <c r="M7" s="35" t="n"/>
      <c r="N7" s="35" t="n"/>
      <c r="O7" s="35" t="inlineStr">
        <is>
          <t>3. Not able to meet</t>
        </is>
      </c>
      <c r="P7" s="35" t="inlineStr">
        <is>
          <t>ADN: "Sletteregler for alle entiteter", kan vi sige at vi har det på kontakter?</t>
        </is>
      </c>
      <c r="Q7" s="35" t="n"/>
      <c r="R7" s="35" t="n"/>
      <c r="S7" s="35" t="n"/>
      <c r="T7" s="35" t="n"/>
      <c r="U7" s="35" t="inlineStr">
        <is>
          <t>Not Started</t>
        </is>
      </c>
      <c r="V7" s="37">
        <f>IF(U7="Not Started",0%,IF(U7="Started",50%,IF(U7="Ready for review",70%,IF(U7="Reviewed - Content",80%,IF(U7="Reviewed - Format",90%,IF(U7="Done",100%,""))))))</f>
        <v/>
      </c>
      <c r="W7" t="inlineStr">
        <is>
          <t>2026-07-07</t>
        </is>
      </c>
      <c r="X7" t="inlineStr">
        <is>
          <t>Cursor / tender-response</t>
        </is>
      </c>
      <c r="Y7" t="inlineStr">
        <is>
          <t>Partial</t>
        </is>
      </c>
      <c r="Z7" t="inlineStr">
        <is>
          <t>Verified (sag/dokument/fil); Lead (alle Entiteter)</t>
        </is>
      </c>
      <c r="AA7" t="inlineStr">
        <is>
          <t>Sletteregler og bevaringskoder for sag, dokument og fil; midlertidig vs. permanent sletning med adskilte rettigheder (disposal/purge, skjul permanent sletning for sagsbehandlere). Jf. MK-7 og MK-117.</t>
        </is>
      </c>
      <c r="AB7" t="inlineStr">
        <is>
          <t>«Alle Entiteter» er uafklaret: kontakter har sletning (MK-62) men ikke samme sletteregel-model; øvrige entitetstyper ikke dokumenteret. Tool-rating stadig 3. Not able to meet — afstem internt før opdatering af kolonne O.</t>
        </is>
      </c>
      <c r="AC7" t="inlineStr">
        <is>
          <t>HSØ Bilag 2 kassasjon; Ratatoskr Retention (Disposal), Disposal, Purge, File; MK-7, MK-117, MK-14; MK-62 (ikke dækning for MK-6)</t>
        </is>
      </c>
      <c r="AD7" t="inlineStr">
        <is>
          <t>Q&amp;A: præcisér hvad Ordregiver mener med «alle Entiteter». Koordinér med Anton (MK-7/MK-117/MK-14). Opdatér ikke kolonne O før review.</t>
        </is>
      </c>
      <c r="AE7" t="inlineStr"/>
      <c r="AF7" t="inlineStr">
        <is>
          <t>Draft</t>
        </is>
      </c>
      <c r="AG7" t="inlineStr">
        <is>
          <t>uim-mk6-2026-07-07</t>
        </is>
      </c>
    </row>
    <row r="8" ht="48" customHeight="1">
      <c r="A8" s="35" t="n">
        <v>7</v>
      </c>
      <c r="B8" s="35" t="inlineStr">
        <is>
          <t>MK-7</t>
        </is>
      </c>
      <c r="C8" s="35" t="inlineStr">
        <is>
          <t>Bilag 1.b</t>
        </is>
      </c>
      <c r="D8" s="35" t="inlineStr">
        <is>
          <t>Generelle krav</t>
        </is>
      </c>
      <c r="E8" s="35" t="inlineStr">
        <is>
          <t>Opsætning af slettepolitikker</t>
        </is>
      </c>
      <c r="F8" s="35" t="inlineStr">
        <is>
          <t>ESDH-løsningen skal understøtte, at Kunden selv uden Leverdørens involvering kan konfigurere slettepolitikker i Løsningens administrationsmodul.</t>
        </is>
      </c>
      <c r="G8" s="35" t="inlineStr">
        <is>
          <t>Mindstekrav</t>
        </is>
      </c>
      <c r="H8" s="35">
        <f>IF(G8="Evalueringskrav","Answer",(IF(G8="Krav","Check",(IF(G8="Mindstekrav","Verify","")))))</f>
        <v/>
      </c>
      <c r="I8" s="35" t="inlineStr">
        <is>
          <t>Ja</t>
        </is>
      </c>
      <c r="J8" s="35" t="n"/>
      <c r="K8" s="47" t="n"/>
      <c r="L8" s="35" t="inlineStr">
        <is>
          <t>Anton</t>
        </is>
      </c>
      <c r="M8" s="35" t="n"/>
      <c r="N8" s="35" t="n"/>
      <c r="O8" s="35" t="inlineStr">
        <is>
          <t>1. Fully met</t>
        </is>
      </c>
      <c r="P8" s="35" t="n"/>
      <c r="Q8" s="35" t="n"/>
      <c r="R8" s="35" t="n"/>
      <c r="S8" s="35" t="n"/>
      <c r="T8" s="35" t="n"/>
      <c r="U8" s="35" t="inlineStr">
        <is>
          <t>Not Started</t>
        </is>
      </c>
      <c r="V8" s="37">
        <f>IF(U8="Not Started",0%,IF(U8="Started",50%,IF(U8="Ready for review",70%,IF(U8="Reviewed - Content",80%,IF(U8="Reviewed - Format",90%,IF(U8="Done",100%,""))))))</f>
        <v/>
      </c>
      <c r="W8" t="inlineStr">
        <is>
          <t>2026-07-07</t>
        </is>
      </c>
      <c r="X8" t="inlineStr">
        <is>
          <t>Cursor / tender-response (batch)</t>
        </is>
      </c>
      <c r="Y8" t="inlineStr">
        <is>
          <t>Met</t>
        </is>
      </c>
      <c r="Z8" t="inlineStr">
        <is>
          <t>Verified</t>
        </is>
      </c>
      <c r="AA8" t="inlineStr">
        <is>
          <t>Verify: Opsætning af slettepolitikker — vurderet opfyldt (tool: 1. Fully met).</t>
        </is>
      </c>
      <c r="AB8" t="inlineStr"/>
      <c r="AC8" t="inlineStr">
        <is>
          <t>docs/tender-reference/extracted/KUM-SLKS/Bilag 3 - Kravspecifikation.txt; docs/tender-reference/extracted/Nationalbanken/Bilag 3.i Leverandørens Løsningsbeskrivelse.txt; docs/tender-reference/extracted/KUM-SLKS/Bilag 1 - Tidsplan.txt</t>
        </is>
      </c>
      <c r="AD8" t="inlineStr">
        <is>
          <t>Anton: Confirm verify-tekst; opdatér review status efter tjek.</t>
        </is>
      </c>
      <c r="AE8" t="inlineStr"/>
      <c r="AF8" t="inlineStr">
        <is>
          <t>Draft</t>
        </is>
      </c>
      <c r="AG8" t="inlineStr">
        <is>
          <t>uim-esdh-full-2026-07-07</t>
        </is>
      </c>
    </row>
    <row r="9" ht="48" customHeight="1">
      <c r="A9" s="35" t="n">
        <v>8</v>
      </c>
      <c r="B9" s="35" t="inlineStr">
        <is>
          <t>MK-8</t>
        </is>
      </c>
      <c r="C9" s="35" t="inlineStr">
        <is>
          <t>Bilag 1.b</t>
        </is>
      </c>
      <c r="D9" s="35" t="inlineStr">
        <is>
          <t>Generelle krav</t>
        </is>
      </c>
      <c r="E9" s="35" t="inlineStr">
        <is>
          <t>Klassifikationskoder</t>
        </is>
      </c>
      <c r="F9" s="35" t="inlineStr">
        <is>
          <t>ESDH-løsningen skal understøtte, at klassifikationskoder kan oprettes af Administrator, hvortil Kunden valgfrit kan bestemme hvilke klassifikationskoder Løsningen skal indeholde.</t>
        </is>
      </c>
      <c r="G9" s="35" t="inlineStr">
        <is>
          <t>Mindstekrav</t>
        </is>
      </c>
      <c r="H9" s="35">
        <f>IF(G9="Evalueringskrav","Answer",(IF(G9="Krav","Check",(IF(G9="Mindstekrav","Verify","")))))</f>
        <v/>
      </c>
      <c r="I9" s="35" t="inlineStr">
        <is>
          <t>Ja</t>
        </is>
      </c>
      <c r="J9" s="35" t="n"/>
      <c r="K9" s="47" t="n"/>
      <c r="L9" s="35" t="inlineStr">
        <is>
          <t>Anton</t>
        </is>
      </c>
      <c r="M9" s="35" t="n"/>
      <c r="N9" s="35" t="n"/>
      <c r="O9" s="35" t="inlineStr">
        <is>
          <t>1. Fully met</t>
        </is>
      </c>
      <c r="P9" s="35" t="n"/>
      <c r="Q9" s="35" t="n"/>
      <c r="R9" s="35" t="n"/>
      <c r="S9" s="35" t="n"/>
      <c r="T9" s="35" t="n"/>
      <c r="U9" s="35" t="inlineStr">
        <is>
          <t>Not Started</t>
        </is>
      </c>
      <c r="V9" s="37">
        <f>IF(U9="Not Started",0%,IF(U9="Started",50%,IF(U9="Ready for review",70%,IF(U9="Reviewed - Content",80%,IF(U9="Reviewed - Format",90%,IF(U9="Done",100%,""))))))</f>
        <v/>
      </c>
      <c r="W9" t="inlineStr">
        <is>
          <t>2026-07-07</t>
        </is>
      </c>
      <c r="X9" t="inlineStr">
        <is>
          <t>Cursor / tender-response (batch)</t>
        </is>
      </c>
      <c r="Y9" t="inlineStr">
        <is>
          <t>Met</t>
        </is>
      </c>
      <c r="Z9" t="inlineStr">
        <is>
          <t>Verified</t>
        </is>
      </c>
      <c r="AA9" t="inlineStr">
        <is>
          <t>Verify: Klassifikationskoder — vurderet opfyldt (tool: 1. Fully met).</t>
        </is>
      </c>
      <c r="AB9" t="inlineStr"/>
      <c r="AC9" t="inlineStr">
        <is>
          <t>docs/tender-reference/extracted/Nationalbanken/Bilag 3.i Leverandørens Løsningsbeskrivelse.txt; docs/tender-reference/extracted/KK Tender tool.txt; docs/tender-reference/extracted/KUM-SLKS/Bilag 3 - Kravspecifikation.txt</t>
        </is>
      </c>
      <c r="AD9" t="inlineStr">
        <is>
          <t>Anton: Confirm verify-tekst; opdatér review status efter tjek.</t>
        </is>
      </c>
      <c r="AE9" t="inlineStr"/>
      <c r="AF9" t="inlineStr">
        <is>
          <t>Draft</t>
        </is>
      </c>
      <c r="AG9" t="inlineStr">
        <is>
          <t>uim-esdh-full-2026-07-07</t>
        </is>
      </c>
    </row>
    <row r="10" ht="32" customHeight="1">
      <c r="A10" s="35" t="n">
        <v>9</v>
      </c>
      <c r="B10" s="35" t="inlineStr">
        <is>
          <t>MK-9</t>
        </is>
      </c>
      <c r="C10" s="35" t="inlineStr">
        <is>
          <t>Bilag 1.b</t>
        </is>
      </c>
      <c r="D10" s="35" t="inlineStr">
        <is>
          <t>Generelle krav</t>
        </is>
      </c>
      <c r="E10" s="35" t="inlineStr">
        <is>
          <t>Deling af Entiteter</t>
        </is>
      </c>
      <c r="F10" s="35" t="inlineStr">
        <is>
          <t>ESDH-løsningen skal understøtte, at Entiteter kan deles mellem Brugere, såfremt adgangene tillader dette.</t>
        </is>
      </c>
      <c r="G10" s="35" t="inlineStr">
        <is>
          <t>Mindstekrav</t>
        </is>
      </c>
      <c r="H10" s="35">
        <f>IF(G10="Evalueringskrav","Answer",(IF(G10="Krav","Check",(IF(G10="Mindstekrav","Verify","")))))</f>
        <v/>
      </c>
      <c r="I10" s="35" t="inlineStr">
        <is>
          <t>Ja</t>
        </is>
      </c>
      <c r="J10" s="35" t="n"/>
      <c r="K10" s="47" t="n"/>
      <c r="L10" s="35" t="inlineStr">
        <is>
          <t>Anton</t>
        </is>
      </c>
      <c r="M10" s="35" t="n"/>
      <c r="N10" s="35" t="n"/>
      <c r="O10" s="35" t="inlineStr">
        <is>
          <t>1. Fully met</t>
        </is>
      </c>
      <c r="P10" s="35" t="n"/>
      <c r="Q10" s="35" t="n"/>
      <c r="R10" s="35" t="n"/>
      <c r="S10" s="35" t="n"/>
      <c r="T10" s="35" t="n"/>
      <c r="U10" s="35" t="inlineStr">
        <is>
          <t>Not Started</t>
        </is>
      </c>
      <c r="V10" s="37">
        <f>IF(U10="Not Started",0%,IF(U10="Started",50%,IF(U10="Ready for review",70%,IF(U10="Reviewed - Content",80%,IF(U10="Reviewed - Format",90%,IF(U10="Done",100%,""))))))</f>
        <v/>
      </c>
      <c r="W10" t="inlineStr">
        <is>
          <t>2026-07-07</t>
        </is>
      </c>
      <c r="X10" t="inlineStr">
        <is>
          <t>Cursor / tender-response (batch)</t>
        </is>
      </c>
      <c r="Y10" t="inlineStr">
        <is>
          <t>Met</t>
        </is>
      </c>
      <c r="Z10" t="inlineStr">
        <is>
          <t>Verified</t>
        </is>
      </c>
      <c r="AA10" t="inlineStr">
        <is>
          <t>Verify: Deling af Entiteter — vurderet opfyldt (tool: 1. Fully met).</t>
        </is>
      </c>
      <c r="AB10" t="inlineStr"/>
      <c r="AC10" t="inlineStr">
        <is>
          <t>docs/tender-reference/extracted/Nationalbanken/Bilag 3.i Leverandørens Løsningsbeskrivelse.txt; docs/tender-reference/extracted/KK Tender tool.txt; docs/tender-reference/extracted/KUM-SLKS/Bilag 3 - Kravspecifikation.txt</t>
        </is>
      </c>
      <c r="AD10" t="inlineStr">
        <is>
          <t>Anton: Confirm verify-tekst; opdatér review status efter tjek.</t>
        </is>
      </c>
      <c r="AE10" t="inlineStr"/>
      <c r="AF10" t="inlineStr">
        <is>
          <t>Draft</t>
        </is>
      </c>
      <c r="AG10" t="inlineStr">
        <is>
          <t>uim-esdh-full-2026-07-07</t>
        </is>
      </c>
    </row>
    <row r="11" ht="32" customHeight="1">
      <c r="A11" s="35" t="n">
        <v>10</v>
      </c>
      <c r="B11" s="35" t="inlineStr">
        <is>
          <t>MK-10</t>
        </is>
      </c>
      <c r="C11" s="35" t="inlineStr">
        <is>
          <t>Bilag 1.b</t>
        </is>
      </c>
      <c r="D11" s="35" t="inlineStr">
        <is>
          <t>Generelle krav</t>
        </is>
      </c>
      <c r="E11" s="35" t="inlineStr">
        <is>
          <t>Journalplan</t>
        </is>
      </c>
      <c r="F11" s="35" t="inlineStr">
        <is>
          <t>ESDH-løsningen skal understøtte en klassisk journalplan eller facetteret journalplan i minimum tre niveauer og emneordsfelter.</t>
        </is>
      </c>
      <c r="G11" s="35" t="inlineStr">
        <is>
          <t>Mindstekrav</t>
        </is>
      </c>
      <c r="H11" s="35">
        <f>IF(G11="Evalueringskrav","Answer",(IF(G11="Krav","Check",(IF(G11="Mindstekrav","Verify","")))))</f>
        <v/>
      </c>
      <c r="I11" s="35" t="inlineStr">
        <is>
          <t>Ja</t>
        </is>
      </c>
      <c r="J11" s="35" t="n"/>
      <c r="K11" s="47" t="n"/>
      <c r="L11" s="35" t="inlineStr">
        <is>
          <t>Anton</t>
        </is>
      </c>
      <c r="M11" s="35" t="n"/>
      <c r="N11" s="35" t="n"/>
      <c r="O11" s="35" t="inlineStr">
        <is>
          <t>1. Fully met</t>
        </is>
      </c>
      <c r="P11" s="35" t="n"/>
      <c r="Q11" s="35" t="n"/>
      <c r="R11" s="35" t="n"/>
      <c r="S11" s="35" t="n"/>
      <c r="T11" s="35" t="n"/>
      <c r="U11" s="35" t="inlineStr">
        <is>
          <t>Not Started</t>
        </is>
      </c>
      <c r="V11" s="37">
        <f>IF(U11="Not Started",0%,IF(U11="Started",50%,IF(U11="Ready for review",70%,IF(U11="Reviewed - Content",80%,IF(U11="Reviewed - Format",90%,IF(U11="Done",100%,""))))))</f>
        <v/>
      </c>
      <c r="W11" t="inlineStr">
        <is>
          <t>2026-07-07</t>
        </is>
      </c>
      <c r="X11" t="inlineStr">
        <is>
          <t>Cursor / tender-response (batch)</t>
        </is>
      </c>
      <c r="Y11" t="inlineStr">
        <is>
          <t>Met</t>
        </is>
      </c>
      <c r="Z11" t="inlineStr">
        <is>
          <t>Verified</t>
        </is>
      </c>
      <c r="AA11" t="inlineStr">
        <is>
          <t>Verify: Journalplan — vurderet opfyldt (tool: 1. Fully met).</t>
        </is>
      </c>
      <c r="AB11" t="inlineStr"/>
      <c r="AC11" t="inlineStr">
        <is>
          <t>docs/tender-reference/extracted/KK Tender tool.txt; docs/tender-reference/extracted/Nationalbanken/Bilag 3.i Leverandørens Løsningsbeskrivelse.txt; docs/tender-reference/extracted/KUM-SLKS/Bilag 1 - Tidsplan.txt</t>
        </is>
      </c>
      <c r="AD11" t="inlineStr">
        <is>
          <t>Anton: Confirm verify-tekst; opdatér review status efter tjek.</t>
        </is>
      </c>
      <c r="AE11" t="inlineStr"/>
      <c r="AF11" t="inlineStr">
        <is>
          <t>Draft</t>
        </is>
      </c>
      <c r="AG11" t="inlineStr">
        <is>
          <t>uim-esdh-full-2026-07-07</t>
        </is>
      </c>
    </row>
    <row r="12" ht="32" customHeight="1">
      <c r="A12" s="35" t="n">
        <v>11</v>
      </c>
      <c r="B12" s="35" t="inlineStr">
        <is>
          <t>MK-11</t>
        </is>
      </c>
      <c r="C12" s="35" t="inlineStr">
        <is>
          <t>Bilag 1.b</t>
        </is>
      </c>
      <c r="D12" s="35" t="inlineStr">
        <is>
          <t>Generelle krav</t>
        </is>
      </c>
      <c r="E12" s="35" t="inlineStr">
        <is>
          <t>Oprettelse af brevskabeloner</t>
        </is>
      </c>
      <c r="F12" s="35" t="inlineStr">
        <is>
          <t>ESDH-løsningen skal understøtte oprettelse af breve baseret på Kundens brevskabeloner i Dynamic Template.</t>
        </is>
      </c>
      <c r="G12" s="35" t="inlineStr">
        <is>
          <t>Mindstekrav</t>
        </is>
      </c>
      <c r="H12" s="35">
        <f>IF(G12="Evalueringskrav","Answer",(IF(G12="Krav","Check",(IF(G12="Mindstekrav","Verify","")))))</f>
        <v/>
      </c>
      <c r="I12" s="35" t="inlineStr">
        <is>
          <t>Ja</t>
        </is>
      </c>
      <c r="J12" s="35" t="n"/>
      <c r="K12" s="47" t="n"/>
      <c r="L12" s="35" t="inlineStr">
        <is>
          <t>Anton</t>
        </is>
      </c>
      <c r="M12" s="35" t="n"/>
      <c r="N12" s="35" t="inlineStr">
        <is>
          <t>Template Connect</t>
        </is>
      </c>
      <c r="O12" s="35" t="inlineStr">
        <is>
          <t>1. Fully met</t>
        </is>
      </c>
      <c r="P12" s="35" t="n"/>
      <c r="Q12" s="35" t="n"/>
      <c r="R12" s="35" t="n"/>
      <c r="S12" s="35" t="n"/>
      <c r="T12" s="35" t="n"/>
      <c r="U12" s="35" t="inlineStr">
        <is>
          <t>Not Started</t>
        </is>
      </c>
      <c r="V12" s="37">
        <f>IF(U12="Not Started",0%,IF(U12="Started",50%,IF(U12="Ready for review",70%,IF(U12="Reviewed - Content",80%,IF(U12="Reviewed - Format",90%,IF(U12="Done",100%,""))))))</f>
        <v/>
      </c>
      <c r="W12" t="inlineStr">
        <is>
          <t>2026-07-07</t>
        </is>
      </c>
      <c r="X12" t="inlineStr">
        <is>
          <t>Cursor / tender-response (batch)</t>
        </is>
      </c>
      <c r="Y12" t="inlineStr">
        <is>
          <t>Met</t>
        </is>
      </c>
      <c r="Z12" t="inlineStr">
        <is>
          <t>Verified</t>
        </is>
      </c>
      <c r="AA12" t="inlineStr">
        <is>
          <t>Verify: Oprettelse af brevskabeloner — vurderet opfyldt (tool: 1. Fully met).</t>
        </is>
      </c>
      <c r="AB12" t="inlineStr"/>
      <c r="AC12" t="inlineStr">
        <is>
          <t>docs/tender-reference/extracted/KK Tender tool.txt; docs/tender-reference/extracted/Nationalbanken/Bilag 3.i Leverandørens Løsningsbeskrivelse.txt; docs/tender-reference/extracted/HSØ/02.00-Tietoevry-SSA-L-Bilag 2-Leverandørens beskrivelse av Tjenesten.txt</t>
        </is>
      </c>
      <c r="AD12" t="inlineStr">
        <is>
          <t>Anton: Confirm verify-tekst; opdatér review status efter tjek.</t>
        </is>
      </c>
      <c r="AE12" t="inlineStr"/>
      <c r="AF12" t="inlineStr">
        <is>
          <t>Draft</t>
        </is>
      </c>
      <c r="AG12" t="inlineStr">
        <is>
          <t>uim-esdh-full-2026-07-07</t>
        </is>
      </c>
    </row>
    <row r="13" ht="64" customHeight="1">
      <c r="A13" s="35" t="n">
        <v>12</v>
      </c>
      <c r="B13" s="35" t="inlineStr">
        <is>
          <t>K-1</t>
        </is>
      </c>
      <c r="C13" s="35" t="inlineStr">
        <is>
          <t>Bilag 1.b</t>
        </is>
      </c>
      <c r="D13" s="35" t="inlineStr">
        <is>
          <t>Generelle krav</t>
        </is>
      </c>
      <c r="E13" s="35" t="inlineStr">
        <is>
          <t>Fejlmeddelelser med handlingsanvisninger</t>
        </is>
      </c>
      <c r="F13" s="35" t="inlineStr">
        <is>
          <t>ESDH-løsningen skal understøtte, at fejlmeddelelser i ESDH-løsningen inkluderer handlingsanvisning.</t>
        </is>
      </c>
      <c r="G13" s="35" t="inlineStr">
        <is>
          <t>Krav</t>
        </is>
      </c>
      <c r="H13" s="35">
        <f>IF(G13="Evalueringskrav","Answer",(IF(G13="Krav","Check",(IF(G13="Mindstekrav","Verify","")))))</f>
        <v/>
      </c>
      <c r="I13" s="35" t="inlineStr">
        <is>
          <t>Ja</t>
        </is>
      </c>
      <c r="J13" s="35" t="n"/>
      <c r="K13" s="47" t="n"/>
      <c r="L13" s="35" t="inlineStr">
        <is>
          <t>Torben</t>
        </is>
      </c>
      <c r="M13" s="35" t="n"/>
      <c r="N13" s="35" t="n"/>
      <c r="O13" s="35" t="inlineStr">
        <is>
          <t>1. Fully met</t>
        </is>
      </c>
      <c r="P13" s="35" t="inlineStr">
        <is>
          <t>ADN: We tend to say yes to this requirement - but it comes with a risc, especially if customer uses same External partner in the implementation project</t>
        </is>
      </c>
      <c r="Q13" s="35" t="n"/>
      <c r="R13" s="35" t="inlineStr">
        <is>
          <t>Yes</t>
        </is>
      </c>
      <c r="S13" s="35" t="n"/>
      <c r="T13" s="35" t="n"/>
      <c r="U13" s="35" t="inlineStr">
        <is>
          <t>Not Started</t>
        </is>
      </c>
      <c r="V13" s="37">
        <f>IF(U13="Not Started",0%,IF(U13="Started",50%,IF(U13="Ready for review",70%,IF(U13="Reviewed - Content",80%,IF(U13="Reviewed - Format",90%,IF(U13="Done",100%,""))))))</f>
        <v/>
      </c>
      <c r="W13" t="inlineStr">
        <is>
          <t>2026-07-07</t>
        </is>
      </c>
      <c r="X13" t="inlineStr">
        <is>
          <t>Cursor / tender-response (batch)</t>
        </is>
      </c>
      <c r="Y13" t="inlineStr">
        <is>
          <t>Met</t>
        </is>
      </c>
      <c r="Z13" t="inlineStr">
        <is>
          <t>Lead</t>
        </is>
      </c>
      <c r="AA13" t="inlineStr">
        <is>
          <t>Check: Fejlmeddelelser med handlingsanvisninger — vurderet opfyldt (tool: 1. Fully met).</t>
        </is>
      </c>
      <c r="AB13" t="inlineStr">
        <is>
          <t>ADN: We tend to say yes to this requirement - but it comes with a risc, especially if customer uses same External partner in the implementation project</t>
        </is>
      </c>
      <c r="AC13" t="inlineStr">
        <is>
          <t>docs/tender-reference/extracted/KK Tender tool.txt; docs/product/RFP_Leverandørens_svar_utdrag.txt; docs/tender-reference/extracted/HSØ/02.00-Tietoevry-SSA-L-Bilag 2-Leverandørens beskrivelse av Tjenesten.txt</t>
        </is>
      </c>
      <c r="AD13" t="inlineStr">
        <is>
          <t>Torben: Confirm verify-tekst; opdatér review status efter tjek.</t>
        </is>
      </c>
      <c r="AE13" t="inlineStr"/>
      <c r="AF13" t="inlineStr">
        <is>
          <t>Draft</t>
        </is>
      </c>
      <c r="AG13" t="inlineStr">
        <is>
          <t>uim-esdh-full-2026-07-07</t>
        </is>
      </c>
    </row>
    <row r="14" ht="32" customHeight="1">
      <c r="A14" s="35" t="n">
        <v>13</v>
      </c>
      <c r="B14" s="35" t="inlineStr">
        <is>
          <t>MK-12</t>
        </is>
      </c>
      <c r="C14" s="35" t="inlineStr">
        <is>
          <t>Bilag 1.b</t>
        </is>
      </c>
      <c r="D14" s="35" t="inlineStr">
        <is>
          <t>Sager</t>
        </is>
      </c>
      <c r="E14" s="35" t="inlineStr">
        <is>
          <t>Oprettelse af 
Sager</t>
        </is>
      </c>
      <c r="F14" s="35" t="inlineStr">
        <is>
          <t>ESDH-løsningen skal understøtte oprettelse og registrering af sager.</t>
        </is>
      </c>
      <c r="G14" s="35" t="inlineStr">
        <is>
          <t>Mindstekrav</t>
        </is>
      </c>
      <c r="H14" s="35">
        <f>IF(G14="Evalueringskrav","Answer",(IF(G14="Krav","Check",(IF(G14="Mindstekrav","Verify","")))))</f>
        <v/>
      </c>
      <c r="I14" s="35" t="inlineStr">
        <is>
          <t>Ja</t>
        </is>
      </c>
      <c r="J14" s="35" t="n"/>
      <c r="K14" s="47" t="n"/>
      <c r="L14" s="35" t="inlineStr">
        <is>
          <t>Anton</t>
        </is>
      </c>
      <c r="M14" s="35" t="n"/>
      <c r="N14" s="35" t="n"/>
      <c r="O14" s="35" t="inlineStr">
        <is>
          <t>1. Fully met</t>
        </is>
      </c>
      <c r="P14" s="35" t="n"/>
      <c r="Q14" s="35" t="n"/>
      <c r="R14" s="35" t="n"/>
      <c r="S14" s="35" t="n"/>
      <c r="T14" s="35" t="n"/>
      <c r="U14" s="35" t="inlineStr">
        <is>
          <t>Not Started</t>
        </is>
      </c>
      <c r="V14" s="37">
        <f>IF(U14="Not Started",0%,IF(U14="Started",50%,IF(U14="Ready for review",70%,IF(U14="Reviewed - Content",80%,IF(U14="Reviewed - Format",90%,IF(U14="Done",100%,""))))))</f>
        <v/>
      </c>
      <c r="W14" t="inlineStr">
        <is>
          <t>2026-07-07</t>
        </is>
      </c>
      <c r="X14" t="inlineStr">
        <is>
          <t>Cursor / tender-response (batch)</t>
        </is>
      </c>
      <c r="Y14" t="inlineStr">
        <is>
          <t>Met</t>
        </is>
      </c>
      <c r="Z14" t="inlineStr">
        <is>
          <t>Verified</t>
        </is>
      </c>
      <c r="AA14" t="inlineStr">
        <is>
          <t>Verify: Oprettelse af 
Sager — vurderet opfyldt (tool: 1. Fully met).</t>
        </is>
      </c>
      <c r="AB14" t="inlineStr"/>
      <c r="AC14" t="inlineStr">
        <is>
          <t>docs/tender-reference/extracted/KK Tender tool.txt; docs/tender-reference/extracted/KUM-SLKS/Bilag 3 - 11.8 - Kravspecifikation - Processtyring (1).txt; docs/tender-reference/extracted/KUM-SLKS/Bilag 3 - Kravspecifikation.txt</t>
        </is>
      </c>
      <c r="AD14" t="inlineStr">
        <is>
          <t>Anton: Confirm verify-tekst; opdatér review status efter tjek.</t>
        </is>
      </c>
      <c r="AE14" t="inlineStr"/>
      <c r="AF14" t="inlineStr">
        <is>
          <t>Draft</t>
        </is>
      </c>
      <c r="AG14" t="inlineStr">
        <is>
          <t>uim-esdh-full-2026-07-07</t>
        </is>
      </c>
    </row>
    <row r="15">
      <c r="A15" s="35" t="n">
        <v>14</v>
      </c>
      <c r="B15" s="35" t="inlineStr">
        <is>
          <t>MK-13</t>
        </is>
      </c>
      <c r="C15" s="35" t="inlineStr">
        <is>
          <t>Bilag 1.b</t>
        </is>
      </c>
      <c r="D15" s="35" t="inlineStr">
        <is>
          <t>Sager</t>
        </is>
      </c>
      <c r="E15" s="35" t="inlineStr">
        <is>
          <t>Ændring af sager</t>
        </is>
      </c>
      <c r="F15" s="35" t="inlineStr">
        <is>
          <t>ESDH-løsningen skal understøtte ændring af sagens metadata.</t>
        </is>
      </c>
      <c r="G15" s="35" t="inlineStr">
        <is>
          <t>Mindstekrav</t>
        </is>
      </c>
      <c r="H15" s="35">
        <f>IF(G15="Evalueringskrav","Answer",(IF(G15="Krav","Check",(IF(G15="Mindstekrav","Verify","")))))</f>
        <v/>
      </c>
      <c r="I15" s="35" t="inlineStr">
        <is>
          <t>Ja</t>
        </is>
      </c>
      <c r="J15" s="35" t="n"/>
      <c r="K15" s="47" t="n"/>
      <c r="L15" s="35" t="inlineStr">
        <is>
          <t>Anton</t>
        </is>
      </c>
      <c r="M15" s="35" t="n"/>
      <c r="N15" s="35" t="n"/>
      <c r="O15" s="35" t="inlineStr">
        <is>
          <t>1. Fully met</t>
        </is>
      </c>
      <c r="P15" s="35" t="n"/>
      <c r="Q15" s="35" t="n"/>
      <c r="R15" s="35" t="n"/>
      <c r="S15" s="35" t="n"/>
      <c r="T15" s="35" t="n"/>
      <c r="U15" s="35" t="inlineStr">
        <is>
          <t>Not Started</t>
        </is>
      </c>
      <c r="V15" s="37">
        <f>IF(U15="Not Started",0%,IF(U15="Started",50%,IF(U15="Ready for review",70%,IF(U15="Reviewed - Content",80%,IF(U15="Reviewed - Format",90%,IF(U15="Done",100%,""))))))</f>
        <v/>
      </c>
      <c r="W15" t="inlineStr">
        <is>
          <t>2026-07-07</t>
        </is>
      </c>
      <c r="X15" t="inlineStr">
        <is>
          <t>Cursor / tender-response (batch)</t>
        </is>
      </c>
      <c r="Y15" t="inlineStr">
        <is>
          <t>Met</t>
        </is>
      </c>
      <c r="Z15" t="inlineStr">
        <is>
          <t>Verified</t>
        </is>
      </c>
      <c r="AA15" t="inlineStr">
        <is>
          <t>Verify: Ændring af sager — vurderet opfyldt (tool: 1. Fully met).</t>
        </is>
      </c>
      <c r="AB15" t="inlineStr"/>
      <c r="AC15" t="inlineStr">
        <is>
          <t>docs/tender-reference/extracted/KK Tender tool.txt; docs/tender-reference/extracted/KUM-SLKS/Bilag 3 - Kravspecifikation.txt; docs/tender-reference/extracted/Nationalbanken/Bilag 3.i Leverandørens Løsningsbeskrivelse.txt</t>
        </is>
      </c>
      <c r="AD15" t="inlineStr">
        <is>
          <t>Anton: Confirm verify-tekst; opdatér review status efter tjek.</t>
        </is>
      </c>
      <c r="AE15" t="inlineStr"/>
      <c r="AF15" t="inlineStr">
        <is>
          <t>Draft</t>
        </is>
      </c>
      <c r="AG15" t="inlineStr">
        <is>
          <t>uim-esdh-full-2026-07-07</t>
        </is>
      </c>
    </row>
    <row r="16" ht="32" customHeight="1">
      <c r="A16" s="35" t="n">
        <v>15</v>
      </c>
      <c r="B16" s="35" t="inlineStr">
        <is>
          <t>MK-14</t>
        </is>
      </c>
      <c r="C16" s="35" t="inlineStr">
        <is>
          <t>Bilag 1.b</t>
        </is>
      </c>
      <c r="D16" s="35" t="inlineStr">
        <is>
          <t>Sager</t>
        </is>
      </c>
      <c r="E16" s="35" t="inlineStr">
        <is>
          <t>Sletning af sager</t>
        </is>
      </c>
      <c r="F16" s="35" t="inlineStr">
        <is>
          <t>ESDH-løsningen skal understøtte både midlertidig og permanent sletning af sager.</t>
        </is>
      </c>
      <c r="G16" s="35" t="inlineStr">
        <is>
          <t>Mindstekrav</t>
        </is>
      </c>
      <c r="H16" s="35">
        <f>IF(G16="Evalueringskrav","Answer",(IF(G16="Krav","Check",(IF(G16="Mindstekrav","Verify","")))))</f>
        <v/>
      </c>
      <c r="I16" s="35" t="inlineStr">
        <is>
          <t>Ja</t>
        </is>
      </c>
      <c r="J16" s="35" t="n"/>
      <c r="K16" s="47" t="n"/>
      <c r="L16" s="35" t="inlineStr">
        <is>
          <t>Anton</t>
        </is>
      </c>
      <c r="M16" s="35" t="n"/>
      <c r="N16" s="35" t="n"/>
      <c r="O16" s="35" t="inlineStr">
        <is>
          <t>1. Fully met</t>
        </is>
      </c>
      <c r="P16" s="35" t="n"/>
      <c r="Q16" s="35" t="n"/>
      <c r="R16" s="35" t="n"/>
      <c r="S16" s="35" t="n"/>
      <c r="T16" s="35" t="n"/>
      <c r="U16" s="35" t="inlineStr">
        <is>
          <t>Not Started</t>
        </is>
      </c>
      <c r="V16" s="37">
        <f>IF(U16="Not Started",0%,IF(U16="Started",50%,IF(U16="Ready for review",70%,IF(U16="Reviewed - Content",80%,IF(U16="Reviewed - Format",90%,IF(U16="Done",100%,""))))))</f>
        <v/>
      </c>
      <c r="W16" t="inlineStr">
        <is>
          <t>2026-07-07</t>
        </is>
      </c>
      <c r="X16" t="inlineStr">
        <is>
          <t>Cursor / tender-response (batch)</t>
        </is>
      </c>
      <c r="Y16" t="inlineStr">
        <is>
          <t>Met</t>
        </is>
      </c>
      <c r="Z16" t="inlineStr">
        <is>
          <t>Verified</t>
        </is>
      </c>
      <c r="AA16" t="inlineStr">
        <is>
          <t>Verify: Sletning af sager — vurderet opfyldt (tool: 1. Fully met).</t>
        </is>
      </c>
      <c r="AB16" t="inlineStr"/>
      <c r="AC16" t="inlineStr">
        <is>
          <t>docs/tender-reference/extracted/KK Tender tool.txt; docs/tender-reference/extracted/Nationalbanken/Bilag 3.i Leverandørens Løsningsbeskrivelse.txt; docs/product/RFP_Leverandørens_svar_utdrag.txt</t>
        </is>
      </c>
      <c r="AD16" t="inlineStr">
        <is>
          <t>Anton: Confirm verify-tekst; opdatér review status efter tjek.</t>
        </is>
      </c>
      <c r="AE16" t="inlineStr"/>
      <c r="AF16" t="inlineStr">
        <is>
          <t>Draft</t>
        </is>
      </c>
      <c r="AG16" t="inlineStr">
        <is>
          <t>uim-esdh-full-2026-07-07</t>
        </is>
      </c>
    </row>
    <row r="17" ht="64" customHeight="1">
      <c r="A17" s="35" t="n">
        <v>16</v>
      </c>
      <c r="B17" s="35" t="inlineStr">
        <is>
          <t>MK-15</t>
        </is>
      </c>
      <c r="C17" s="35" t="inlineStr">
        <is>
          <t>Bilag 1.b</t>
        </is>
      </c>
      <c r="D17" s="35" t="inlineStr">
        <is>
          <t>Sager</t>
        </is>
      </c>
      <c r="E17" s="35" t="inlineStr">
        <is>
          <t>Status</t>
        </is>
      </c>
      <c r="F17" s="35" t="inlineStr">
        <is>
          <t>ESDH-løsningen skal understøtte arbejdet med statusser på en sag, f.eks. 'Passiv', 'Under behandling' og 'Lukket' / 'Afsluttet'. ESDH-løsningen skal understøtte, at Kunden selv kan oprette og vedligeholde statuskoder.</t>
        </is>
      </c>
      <c r="G17" s="35" t="inlineStr">
        <is>
          <t>Mindstekrav</t>
        </is>
      </c>
      <c r="H17" s="35">
        <f>IF(G17="Evalueringskrav","Answer",(IF(G17="Krav","Check",(IF(G17="Mindstekrav","Verify","")))))</f>
        <v/>
      </c>
      <c r="I17" s="35" t="inlineStr">
        <is>
          <t>Ja</t>
        </is>
      </c>
      <c r="J17" s="35" t="n"/>
      <c r="K17" s="47" t="n"/>
      <c r="L17" s="35" t="inlineStr">
        <is>
          <t>Anton</t>
        </is>
      </c>
      <c r="M17" s="35" t="n"/>
      <c r="N17" s="35" t="n"/>
      <c r="O17" s="35" t="inlineStr">
        <is>
          <t>1. Fully met</t>
        </is>
      </c>
      <c r="P17" s="35" t="n"/>
      <c r="Q17" s="35" t="n"/>
      <c r="R17" s="35" t="n"/>
      <c r="S17" s="35" t="n"/>
      <c r="T17" s="35" t="n"/>
      <c r="U17" s="35" t="inlineStr">
        <is>
          <t>Not Started</t>
        </is>
      </c>
      <c r="V17" s="37">
        <f>IF(U17="Not Started",0%,IF(U17="Started",50%,IF(U17="Ready for review",70%,IF(U17="Reviewed - Content",80%,IF(U17="Reviewed - Format",90%,IF(U17="Done",100%,""))))))</f>
        <v/>
      </c>
      <c r="W17" t="inlineStr">
        <is>
          <t>2026-07-07</t>
        </is>
      </c>
      <c r="X17" t="inlineStr">
        <is>
          <t>Cursor / tender-response (batch)</t>
        </is>
      </c>
      <c r="Y17" t="inlineStr">
        <is>
          <t>Met</t>
        </is>
      </c>
      <c r="Z17" t="inlineStr">
        <is>
          <t>Verified</t>
        </is>
      </c>
      <c r="AA17" t="inlineStr">
        <is>
          <t>Verify: Status — vurderet opfyldt (tool: 1. Fully met).</t>
        </is>
      </c>
      <c r="AB17" t="inlineStr"/>
      <c r="AC17" t="inlineStr">
        <is>
          <t>docs/tender-reference/extracted/Nationalbanken/Bilag 3.i Leverandørens Løsningsbeskrivelse.txt; docs/tender-reference/extracted/KK Tender tool.txt; docs/tender-reference/extracted/KUM-SLKS/Bilag 3 - Kravspecifikation.txt</t>
        </is>
      </c>
      <c r="AD17" t="inlineStr">
        <is>
          <t>Anton: Confirm verify-tekst; opdatér review status efter tjek.</t>
        </is>
      </c>
      <c r="AE17" t="inlineStr"/>
      <c r="AF17" t="inlineStr">
        <is>
          <t>Draft</t>
        </is>
      </c>
      <c r="AG17" t="inlineStr">
        <is>
          <t>uim-esdh-full-2026-07-07</t>
        </is>
      </c>
    </row>
    <row r="18" ht="32" customHeight="1">
      <c r="A18" s="35" t="n">
        <v>17</v>
      </c>
      <c r="B18" s="35" t="inlineStr">
        <is>
          <t>MK-16</t>
        </is>
      </c>
      <c r="C18" s="35" t="inlineStr">
        <is>
          <t>Bilag 1.b</t>
        </is>
      </c>
      <c r="D18" s="35" t="inlineStr">
        <is>
          <t>Sager</t>
        </is>
      </c>
      <c r="E18" s="35" t="inlineStr">
        <is>
          <t>Sagsnummer</t>
        </is>
      </c>
      <c r="F18" s="35" t="inlineStr">
        <is>
          <t>ESDH-løsningen skal understøtte, at hver sag tildeles et unikt sagsnummer automatisk ved oprettelse.</t>
        </is>
      </c>
      <c r="G18" s="35" t="inlineStr">
        <is>
          <t>Mindstekrav</t>
        </is>
      </c>
      <c r="H18" s="35">
        <f>IF(G18="Evalueringskrav","Answer",(IF(G18="Krav","Check",(IF(G18="Mindstekrav","Verify","")))))</f>
        <v/>
      </c>
      <c r="I18" s="35" t="inlineStr">
        <is>
          <t>Ja</t>
        </is>
      </c>
      <c r="J18" s="35" t="n"/>
      <c r="K18" s="47" t="n"/>
      <c r="L18" s="35" t="inlineStr">
        <is>
          <t>Anton</t>
        </is>
      </c>
      <c r="M18" s="35" t="n"/>
      <c r="N18" s="35" t="n"/>
      <c r="O18" s="35" t="inlineStr">
        <is>
          <t>1. Fully met</t>
        </is>
      </c>
      <c r="P18" s="35" t="n"/>
      <c r="Q18" s="35" t="n"/>
      <c r="R18" s="35" t="n"/>
      <c r="S18" s="35" t="n"/>
      <c r="T18" s="35" t="n"/>
      <c r="U18" s="35" t="inlineStr">
        <is>
          <t>Not Started</t>
        </is>
      </c>
      <c r="V18" s="37">
        <f>IF(U18="Not Started",0%,IF(U18="Started",50%,IF(U18="Ready for review",70%,IF(U18="Reviewed - Content",80%,IF(U18="Reviewed - Format",90%,IF(U18="Done",100%,""))))))</f>
        <v/>
      </c>
      <c r="W18" t="inlineStr">
        <is>
          <t>2026-07-07</t>
        </is>
      </c>
      <c r="X18" t="inlineStr">
        <is>
          <t>Cursor / tender-response (batch)</t>
        </is>
      </c>
      <c r="Y18" t="inlineStr">
        <is>
          <t>Met</t>
        </is>
      </c>
      <c r="Z18" t="inlineStr">
        <is>
          <t>Verified</t>
        </is>
      </c>
      <c r="AA18" t="inlineStr">
        <is>
          <t>Verify: Sagsnummer — vurderet opfyldt (tool: 1. Fully met).</t>
        </is>
      </c>
      <c r="AB18" t="inlineStr"/>
      <c r="AC18" t="inlineStr">
        <is>
          <t>docs/tender-reference/extracted/Nationalbanken/Bilag 3.i Leverandørens Løsningsbeskrivelse.txt; docs/tender-reference/extracted/KK Tender tool.txt; docs/tender-reference/extracted/KUM-SLKS/Bilag 3 - Kravspecifikation.txt</t>
        </is>
      </c>
      <c r="AD18" t="inlineStr">
        <is>
          <t>Anton: Confirm verify-tekst; opdatér review status efter tjek.</t>
        </is>
      </c>
      <c r="AE18" t="inlineStr"/>
      <c r="AF18" t="inlineStr">
        <is>
          <t>Draft</t>
        </is>
      </c>
      <c r="AG18" t="inlineStr">
        <is>
          <t>uim-esdh-full-2026-07-07</t>
        </is>
      </c>
    </row>
    <row r="19" ht="32" customHeight="1">
      <c r="A19" s="35" t="n">
        <v>18</v>
      </c>
      <c r="B19" s="35" t="inlineStr">
        <is>
          <t>MK-17</t>
        </is>
      </c>
      <c r="C19" s="35" t="inlineStr">
        <is>
          <t>Bilag 1.b</t>
        </is>
      </c>
      <c r="D19" s="35" t="inlineStr">
        <is>
          <t>Sager</t>
        </is>
      </c>
      <c r="E19" s="35" t="inlineStr">
        <is>
          <t>Ændring af sagstyper</t>
        </is>
      </c>
      <c r="F19" s="35" t="inlineStr">
        <is>
          <t>ESDH-løsningen skal understøtte, at en Bruger kan ændre sagstype på sager.</t>
        </is>
      </c>
      <c r="G19" s="35" t="inlineStr">
        <is>
          <t>Mindstekrav</t>
        </is>
      </c>
      <c r="H19" s="35">
        <f>IF(G19="Evalueringskrav","Answer",(IF(G19="Krav","Check",(IF(G19="Mindstekrav","Verify","")))))</f>
        <v/>
      </c>
      <c r="I19" s="35" t="inlineStr">
        <is>
          <t>Ja</t>
        </is>
      </c>
      <c r="J19" s="35" t="n"/>
      <c r="K19" s="47" t="n"/>
      <c r="L19" s="35" t="inlineStr">
        <is>
          <t>Anton</t>
        </is>
      </c>
      <c r="M19" s="35" t="n"/>
      <c r="N19" s="35" t="n"/>
      <c r="O19" s="35" t="inlineStr">
        <is>
          <t>1. Fully met</t>
        </is>
      </c>
      <c r="P19" s="35" t="n"/>
      <c r="Q19" s="35" t="n"/>
      <c r="R19" s="35" t="n"/>
      <c r="S19" s="35" t="n"/>
      <c r="T19" s="35" t="n"/>
      <c r="U19" s="35" t="inlineStr">
        <is>
          <t>Not Started</t>
        </is>
      </c>
      <c r="V19" s="37">
        <f>IF(U19="Not Started",0%,IF(U19="Started",50%,IF(U19="Ready for review",70%,IF(U19="Reviewed - Content",80%,IF(U19="Reviewed - Format",90%,IF(U19="Done",100%,""))))))</f>
        <v/>
      </c>
      <c r="W19" t="inlineStr">
        <is>
          <t>2026-07-07</t>
        </is>
      </c>
      <c r="X19" t="inlineStr">
        <is>
          <t>Cursor / tender-response (batch)</t>
        </is>
      </c>
      <c r="Y19" t="inlineStr">
        <is>
          <t>Met</t>
        </is>
      </c>
      <c r="Z19" t="inlineStr">
        <is>
          <t>Verified</t>
        </is>
      </c>
      <c r="AA19" t="inlineStr">
        <is>
          <t>Verify: Ændring af sagstyper — vurderet opfyldt (tool: 1. Fully met).</t>
        </is>
      </c>
      <c r="AB19" t="inlineStr"/>
      <c r="AC19" t="inlineStr">
        <is>
          <t>docs/tender-reference/extracted/KK Tender tool.txt; docs/tender-reference/extracted/KUM-SLKS/Bilag 3 - Kravspecifikation.txt; docs/tender-reference/extracted/Nationalbanken/Bilag 3.i Leverandørens Løsningsbeskrivelse.txt</t>
        </is>
      </c>
      <c r="AD19" t="inlineStr">
        <is>
          <t>Anton: Confirm verify-tekst; opdatér review status efter tjek.</t>
        </is>
      </c>
      <c r="AE19" t="inlineStr"/>
      <c r="AF19" t="inlineStr">
        <is>
          <t>Draft</t>
        </is>
      </c>
      <c r="AG19" t="inlineStr">
        <is>
          <t>uim-esdh-full-2026-07-07</t>
        </is>
      </c>
    </row>
    <row r="20" ht="48" customHeight="1">
      <c r="A20" s="35" t="n">
        <v>19</v>
      </c>
      <c r="B20" s="35" t="inlineStr">
        <is>
          <t>MK-18</t>
        </is>
      </c>
      <c r="C20" s="35" t="inlineStr">
        <is>
          <t>Bilag 1.b</t>
        </is>
      </c>
      <c r="D20" s="35" t="inlineStr">
        <is>
          <t>Sager</t>
        </is>
      </c>
      <c r="E20" s="35" t="inlineStr">
        <is>
          <t>Sagens frister</t>
        </is>
      </c>
      <c r="F20" s="35" t="inlineStr">
        <is>
          <t>ESDH-løsningen skal understøtte, at der kan indsættes, rettes og fjernes frister på alle sagstyper. Fristen skal som minimum bestå af en fristtype, fristdato og fristansvarlig.</t>
        </is>
      </c>
      <c r="G20" s="35" t="inlineStr">
        <is>
          <t>Mindstekrav</t>
        </is>
      </c>
      <c r="H20" s="35">
        <f>IF(G20="Evalueringskrav","Answer",(IF(G20="Krav","Check",(IF(G20="Mindstekrav","Verify","")))))</f>
        <v/>
      </c>
      <c r="I20" s="35" t="inlineStr">
        <is>
          <t>Ja</t>
        </is>
      </c>
      <c r="J20" s="35" t="n"/>
      <c r="K20" s="47" t="n"/>
      <c r="L20" s="35" t="inlineStr">
        <is>
          <t>Anton</t>
        </is>
      </c>
      <c r="M20" s="35" t="n"/>
      <c r="N20" s="35" t="n"/>
      <c r="O20" s="35" t="inlineStr">
        <is>
          <t>1. Fully met</t>
        </is>
      </c>
      <c r="P20" s="35" t="inlineStr">
        <is>
          <t>ADN:Configure field called "Fristtype"</t>
        </is>
      </c>
      <c r="Q20" s="35" t="n"/>
      <c r="R20" s="35" t="n"/>
      <c r="S20" s="35" t="n"/>
      <c r="T20" s="35" t="n"/>
      <c r="U20" s="35" t="inlineStr">
        <is>
          <t>Not Started</t>
        </is>
      </c>
      <c r="V20" s="37">
        <f>IF(U20="Not Started",0%,IF(U20="Started",50%,IF(U20="Ready for review",70%,IF(U20="Reviewed - Content",80%,IF(U20="Reviewed - Format",90%,IF(U20="Done",100%,""))))))</f>
        <v/>
      </c>
      <c r="W20" t="inlineStr">
        <is>
          <t>2026-07-07</t>
        </is>
      </c>
      <c r="X20" t="inlineStr">
        <is>
          <t>Cursor / tender-response (batch)</t>
        </is>
      </c>
      <c r="Y20" t="inlineStr">
        <is>
          <t>Met</t>
        </is>
      </c>
      <c r="Z20" t="inlineStr">
        <is>
          <t>Verified</t>
        </is>
      </c>
      <c r="AA20" t="inlineStr">
        <is>
          <t>Verify: Sagens frister — vurderet opfyldt (tool: 1. Fully met).</t>
        </is>
      </c>
      <c r="AB20" t="inlineStr">
        <is>
          <t>ADN:Configure field called "Fristtype"</t>
        </is>
      </c>
      <c r="AC20" t="inlineStr">
        <is>
          <t>docs/tender-reference/extracted/Nationalbanken/Bilag 3.i Leverandørens Løsningsbeskrivelse.txt; docs/tender-reference/extracted/KUM-SLKS/Bilag 3 - Kravspecifikation.txt; docs/tender-reference/extracted/KK Tender tool.txt</t>
        </is>
      </c>
      <c r="AD20" t="inlineStr">
        <is>
          <t>Anton: Confirm verify-tekst; opdatér review status efter tjek.</t>
        </is>
      </c>
      <c r="AE20" t="inlineStr"/>
      <c r="AF20" t="inlineStr">
        <is>
          <t>Draft</t>
        </is>
      </c>
      <c r="AG20" t="inlineStr">
        <is>
          <t>uim-esdh-full-2026-07-07</t>
        </is>
      </c>
    </row>
    <row r="21" ht="32" customHeight="1">
      <c r="A21" s="35" t="n">
        <v>20</v>
      </c>
      <c r="B21" s="35" t="inlineStr">
        <is>
          <t>MK-19</t>
        </is>
      </c>
      <c r="C21" s="35" t="inlineStr">
        <is>
          <t>Bilag 1.b</t>
        </is>
      </c>
      <c r="D21" s="35" t="inlineStr">
        <is>
          <t>Sager</t>
        </is>
      </c>
      <c r="E21" s="35" t="inlineStr">
        <is>
          <t>Afdelingsspecifikke frister</t>
        </is>
      </c>
      <c r="F21" s="35" t="inlineStr">
        <is>
          <t>ESDH-løsningen skal understøtte, at Brugere kan indsætte, rette og fjerne én eller flere afdelingsspecifikke frister på sager.</t>
        </is>
      </c>
      <c r="G21" s="35" t="inlineStr">
        <is>
          <t>Mindstekrav</t>
        </is>
      </c>
      <c r="H21" s="35">
        <f>IF(G21="Evalueringskrav","Answer",(IF(G21="Krav","Check",(IF(G21="Mindstekrav","Verify","")))))</f>
        <v/>
      </c>
      <c r="I21" s="35" t="inlineStr">
        <is>
          <t>Ja</t>
        </is>
      </c>
      <c r="J21" s="35" t="n"/>
      <c r="K21" s="47" t="n"/>
      <c r="L21" s="35" t="inlineStr">
        <is>
          <t>Anton</t>
        </is>
      </c>
      <c r="M21" s="35" t="n"/>
      <c r="N21" s="35" t="n"/>
      <c r="O21" s="35" t="inlineStr">
        <is>
          <t>1. Fully met</t>
        </is>
      </c>
      <c r="P21" s="35" t="n"/>
      <c r="Q21" s="35" t="n"/>
      <c r="R21" s="35" t="n"/>
      <c r="S21" s="35" t="n"/>
      <c r="T21" s="35" t="n"/>
      <c r="U21" s="35" t="inlineStr">
        <is>
          <t>Not Started</t>
        </is>
      </c>
      <c r="V21" s="37">
        <f>IF(U21="Not Started",0%,IF(U21="Started",50%,IF(U21="Ready for review",70%,IF(U21="Reviewed - Content",80%,IF(U21="Reviewed - Format",90%,IF(U21="Done",100%,""))))))</f>
        <v/>
      </c>
      <c r="W21" t="inlineStr">
        <is>
          <t>2026-07-07</t>
        </is>
      </c>
      <c r="X21" t="inlineStr">
        <is>
          <t>Cursor / tender-response (batch)</t>
        </is>
      </c>
      <c r="Y21" t="inlineStr">
        <is>
          <t>Met</t>
        </is>
      </c>
      <c r="Z21" t="inlineStr">
        <is>
          <t>Verified</t>
        </is>
      </c>
      <c r="AA21" t="inlineStr">
        <is>
          <t>Verify: Afdelingsspecifikke frister — vurderet opfyldt (tool: 1. Fully met).</t>
        </is>
      </c>
      <c r="AB21" t="inlineStr"/>
      <c r="AC21" t="inlineStr">
        <is>
          <t>docs/tender-reference/extracted/KUM-SLKS/Bilag 3 - Kravspecifikation.txt; docs/tender-reference/extracted/Nationalbanken/Bilag 3.i Leverandørens Løsningsbeskrivelse.txt; docs/tender-reference/extracted/KK Tender tool.txt</t>
        </is>
      </c>
      <c r="AD21" t="inlineStr">
        <is>
          <t>Anton: Confirm verify-tekst; opdatér review status efter tjek.</t>
        </is>
      </c>
      <c r="AE21" t="inlineStr"/>
      <c r="AF21" t="inlineStr">
        <is>
          <t>Draft</t>
        </is>
      </c>
      <c r="AG21" t="inlineStr">
        <is>
          <t>uim-esdh-full-2026-07-07</t>
        </is>
      </c>
    </row>
    <row r="22" ht="32" customHeight="1">
      <c r="A22" s="35" t="n">
        <v>21</v>
      </c>
      <c r="B22" s="35" t="inlineStr">
        <is>
          <t>MK-20</t>
        </is>
      </c>
      <c r="C22" s="35" t="inlineStr">
        <is>
          <t>Bilag 1.b</t>
        </is>
      </c>
      <c r="D22" s="35" t="inlineStr">
        <is>
          <t>Sager</t>
        </is>
      </c>
      <c r="E22" s="35" t="inlineStr">
        <is>
          <t>Samlesager</t>
        </is>
      </c>
      <c r="F22" s="35" t="inlineStr">
        <is>
          <t>ESDH-løsningen skal understøtte oprettelse af samlesager. Det skal være muligt for Brugeren at tilknytte enkle sager til samlesager.</t>
        </is>
      </c>
      <c r="G22" s="35" t="inlineStr">
        <is>
          <t>Mindstekrav</t>
        </is>
      </c>
      <c r="H22" s="35">
        <f>IF(G22="Evalueringskrav","Answer",(IF(G22="Krav","Check",(IF(G22="Mindstekrav","Verify","")))))</f>
        <v/>
      </c>
      <c r="I22" s="35" t="inlineStr">
        <is>
          <t>Ja</t>
        </is>
      </c>
      <c r="J22" s="35" t="n"/>
      <c r="K22" s="47" t="n"/>
      <c r="L22" s="35" t="inlineStr">
        <is>
          <t>Anton</t>
        </is>
      </c>
      <c r="M22" s="35" t="n"/>
      <c r="N22" s="35" t="n"/>
      <c r="O22" s="35" t="inlineStr">
        <is>
          <t>1. Fully met</t>
        </is>
      </c>
      <c r="P22" s="35" t="n"/>
      <c r="Q22" s="35" t="n"/>
      <c r="R22" s="35" t="n"/>
      <c r="S22" s="35" t="n"/>
      <c r="T22" s="35" t="n"/>
      <c r="U22" s="35" t="inlineStr">
        <is>
          <t>Not Started</t>
        </is>
      </c>
      <c r="V22" s="37">
        <f>IF(U22="Not Started",0%,IF(U22="Started",50%,IF(U22="Ready for review",70%,IF(U22="Reviewed - Content",80%,IF(U22="Reviewed - Format",90%,IF(U22="Done",100%,""))))))</f>
        <v/>
      </c>
      <c r="W22" t="inlineStr">
        <is>
          <t>2026-07-07</t>
        </is>
      </c>
      <c r="X22" t="inlineStr">
        <is>
          <t>Cursor / tender-response (batch)</t>
        </is>
      </c>
      <c r="Y22" t="inlineStr">
        <is>
          <t>Met</t>
        </is>
      </c>
      <c r="Z22" t="inlineStr">
        <is>
          <t>Verified</t>
        </is>
      </c>
      <c r="AA22" t="inlineStr">
        <is>
          <t>Verify: Samlesager — vurderet opfyldt (tool: 1. Fully met).</t>
        </is>
      </c>
      <c r="AB22" t="inlineStr"/>
      <c r="AC22" t="inlineStr">
        <is>
          <t>docs/tender-reference/extracted/Nationalbanken/Bilag 3.i Leverandørens Løsningsbeskrivelse.txt; docs/tender-reference/extracted/KK Tender tool.txt; docs/tender-reference/extracted/KUM-SLKS/Bilag 3 - 11.8 - Kravspecifikation - Processtyring (1).txt</t>
        </is>
      </c>
      <c r="AD22" t="inlineStr">
        <is>
          <t>Anton: Confirm verify-tekst; opdatér review status efter tjek.</t>
        </is>
      </c>
      <c r="AE22" t="inlineStr"/>
      <c r="AF22" t="inlineStr">
        <is>
          <t>Draft</t>
        </is>
      </c>
      <c r="AG22" t="inlineStr">
        <is>
          <t>uim-esdh-full-2026-07-07</t>
        </is>
      </c>
    </row>
    <row r="23" ht="48" customHeight="1">
      <c r="A23" s="35" t="n">
        <v>22</v>
      </c>
      <c r="B23" s="35" t="inlineStr">
        <is>
          <t>MK-21</t>
        </is>
      </c>
      <c r="C23" s="35" t="inlineStr">
        <is>
          <t>Bilag 1.b</t>
        </is>
      </c>
      <c r="D23" s="35" t="inlineStr">
        <is>
          <t>Sager</t>
        </is>
      </c>
      <c r="E23" s="35" t="inlineStr">
        <is>
          <t>Oprettelse af hierarkisk samling</t>
        </is>
      </c>
      <c r="F23" s="35" t="inlineStr">
        <is>
          <t>ESDH-løsningen skal understøtte oprettelsesfunktion til organisering og hierarkisk visning af samling af relaterede sager.</t>
        </is>
      </c>
      <c r="G23" s="35" t="inlineStr">
        <is>
          <t>Mindstekrav</t>
        </is>
      </c>
      <c r="H23" s="35">
        <f>IF(G23="Evalueringskrav","Answer",(IF(G23="Krav","Check",(IF(G23="Mindstekrav","Verify","")))))</f>
        <v/>
      </c>
      <c r="I23" s="35" t="inlineStr">
        <is>
          <t>Ja</t>
        </is>
      </c>
      <c r="J23" s="35" t="n"/>
      <c r="K23" s="47" t="n"/>
      <c r="L23" s="35" t="inlineStr">
        <is>
          <t>Eva</t>
        </is>
      </c>
      <c r="M23" s="35" t="n"/>
      <c r="N23" s="35" t="n"/>
      <c r="O23" s="35" t="inlineStr">
        <is>
          <t>1. Fully met</t>
        </is>
      </c>
      <c r="P23" s="35" t="inlineStr">
        <is>
          <t>ADN: Im unsure what they mean with this requirement.  - is this "Træstrukturen"?</t>
        </is>
      </c>
      <c r="Q23" s="35" t="n"/>
      <c r="R23" s="35" t="n"/>
      <c r="S23" s="35" t="n"/>
      <c r="T23" s="35" t="n"/>
      <c r="U23" s="35" t="inlineStr">
        <is>
          <t>Not Started</t>
        </is>
      </c>
      <c r="V23" s="37">
        <f>IF(U23="Not Started",0%,IF(U23="Started",50%,IF(U23="Ready for review",70%,IF(U23="Reviewed - Content",80%,IF(U23="Reviewed - Format",90%,IF(U23="Done",100%,""))))))</f>
        <v/>
      </c>
      <c r="W23" t="inlineStr">
        <is>
          <t>2026-07-07</t>
        </is>
      </c>
      <c r="X23" t="inlineStr">
        <is>
          <t>Cursor / tender-response (batch)</t>
        </is>
      </c>
      <c r="Y23" t="inlineStr">
        <is>
          <t>Met</t>
        </is>
      </c>
      <c r="Z23" t="inlineStr">
        <is>
          <t>Verified</t>
        </is>
      </c>
      <c r="AA23" t="inlineStr">
        <is>
          <t>Verify: Oprettelse af hierarkisk samling — vurderet opfyldt (tool: 1. Fully met).</t>
        </is>
      </c>
      <c r="AB23" t="inlineStr">
        <is>
          <t>ADN: Im unsure what they mean with this requirement.  - is this "Træstrukturen"?</t>
        </is>
      </c>
      <c r="AC23" t="inlineStr">
        <is>
          <t>docs/tender-reference/extracted/Nationalbanken/Bilag 3.i Leverandørens Løsningsbeskrivelse.txt; docs/tender-reference/extracted/KK Tender tool.txt; docs/tender-reference/extracted/KUM-SLKS/Bilag 3 - Kravspecifikation.txt</t>
        </is>
      </c>
      <c r="AD23" t="inlineStr">
        <is>
          <t>Eva: Confirm verify-tekst; opdatér review status efter tjek.</t>
        </is>
      </c>
      <c r="AE23" t="inlineStr"/>
      <c r="AF23" t="inlineStr">
        <is>
          <t>Draft</t>
        </is>
      </c>
      <c r="AG23" t="inlineStr">
        <is>
          <t>uim-esdh-full-2026-07-07</t>
        </is>
      </c>
    </row>
    <row r="24" ht="48" customHeight="1">
      <c r="A24" s="35" t="n">
        <v>23</v>
      </c>
      <c r="B24" s="35" t="inlineStr">
        <is>
          <t>MK-22</t>
        </is>
      </c>
      <c r="C24" s="35" t="inlineStr">
        <is>
          <t>Bilag 1.b</t>
        </is>
      </c>
      <c r="D24" s="35" t="inlineStr">
        <is>
          <t>Sager</t>
        </is>
      </c>
      <c r="E24" s="35" t="inlineStr">
        <is>
          <t>Referencer</t>
        </is>
      </c>
      <c r="F24" s="35" t="inlineStr">
        <is>
          <t>ESDH-løsningen skal understøtte oprettelse af referencer mellem sager ved at etablere links mellem sager. Det skal fremgå tydeligt af den enkelte sag, at den er relateret til en anden.</t>
        </is>
      </c>
      <c r="G24" s="35" t="inlineStr">
        <is>
          <t>Mindstekrav</t>
        </is>
      </c>
      <c r="H24" s="35">
        <f>IF(G24="Evalueringskrav","Answer",(IF(G24="Krav","Check",(IF(G24="Mindstekrav","Verify","")))))</f>
        <v/>
      </c>
      <c r="I24" s="35" t="inlineStr">
        <is>
          <t>Ja</t>
        </is>
      </c>
      <c r="J24" s="35" t="n"/>
      <c r="K24" s="47" t="n"/>
      <c r="L24" s="35" t="inlineStr">
        <is>
          <t>Anton</t>
        </is>
      </c>
      <c r="M24" s="35" t="n"/>
      <c r="N24" s="35" t="n"/>
      <c r="O24" s="35" t="inlineStr">
        <is>
          <t>1. Fully met</t>
        </is>
      </c>
      <c r="P24" s="35" t="n"/>
      <c r="Q24" s="35" t="n"/>
      <c r="R24" s="35" t="n"/>
      <c r="S24" s="35" t="n"/>
      <c r="T24" s="35" t="n"/>
      <c r="U24" s="35" t="inlineStr">
        <is>
          <t>Not Started</t>
        </is>
      </c>
      <c r="V24" s="37">
        <f>IF(U24="Not Started",0%,IF(U24="Started",50%,IF(U24="Ready for review",70%,IF(U24="Reviewed - Content",80%,IF(U24="Reviewed - Format",90%,IF(U24="Done",100%,""))))))</f>
        <v/>
      </c>
      <c r="W24" t="inlineStr">
        <is>
          <t>2026-07-07</t>
        </is>
      </c>
      <c r="X24" t="inlineStr">
        <is>
          <t>Cursor / tender-response (batch)</t>
        </is>
      </c>
      <c r="Y24" t="inlineStr">
        <is>
          <t>Met</t>
        </is>
      </c>
      <c r="Z24" t="inlineStr">
        <is>
          <t>Verified</t>
        </is>
      </c>
      <c r="AA24" t="inlineStr">
        <is>
          <t>Verify: Referencer — vurderet opfyldt (tool: 1. Fully met).</t>
        </is>
      </c>
      <c r="AB24" t="inlineStr"/>
      <c r="AC24" t="inlineStr">
        <is>
          <t>docs/tender-reference/extracted/KK Tender tool.txt; docs/tender-reference/extracted/Nationalbanken/Bilag 3.i Leverandørens Løsningsbeskrivelse.txt; docs/tender-reference/extracted/KUM-SLKS/Bilag 3 - Kravspecifikation.txt</t>
        </is>
      </c>
      <c r="AD24" t="inlineStr">
        <is>
          <t>Anton: Confirm verify-tekst; opdatér review status efter tjek.</t>
        </is>
      </c>
      <c r="AE24" t="inlineStr"/>
      <c r="AF24" t="inlineStr">
        <is>
          <t>Draft</t>
        </is>
      </c>
      <c r="AG24" t="inlineStr">
        <is>
          <t>uim-esdh-full-2026-07-07</t>
        </is>
      </c>
    </row>
    <row r="25" ht="32" customHeight="1">
      <c r="A25" s="35" t="n">
        <v>24</v>
      </c>
      <c r="B25" s="35" t="inlineStr">
        <is>
          <t>MK-23</t>
        </is>
      </c>
      <c r="C25" s="35" t="inlineStr">
        <is>
          <t>Bilag 1.b</t>
        </is>
      </c>
      <c r="D25" s="35" t="inlineStr">
        <is>
          <t>Sager</t>
        </is>
      </c>
      <c r="E25" s="35" t="inlineStr">
        <is>
          <t>Fremvisning af parter</t>
        </is>
      </c>
      <c r="F25" s="35" t="inlineStr">
        <is>
          <t>ESDH-løsningen skal understøtte, at sagens parter kan vises enten i sagens overbliksbillede eller i en dedikeret fane.</t>
        </is>
      </c>
      <c r="G25" s="35" t="inlineStr">
        <is>
          <t>Mindstekrav</t>
        </is>
      </c>
      <c r="H25" s="35">
        <f>IF(G25="Evalueringskrav","Answer",(IF(G25="Krav","Check",(IF(G25="Mindstekrav","Verify","")))))</f>
        <v/>
      </c>
      <c r="I25" s="35" t="inlineStr">
        <is>
          <t>Ja</t>
        </is>
      </c>
      <c r="J25" s="35" t="n"/>
      <c r="K25" s="47" t="n"/>
      <c r="L25" s="35" t="inlineStr">
        <is>
          <t>Anton</t>
        </is>
      </c>
      <c r="M25" s="35" t="n"/>
      <c r="N25" s="35" t="n"/>
      <c r="O25" s="35" t="inlineStr">
        <is>
          <t>1. Fully met</t>
        </is>
      </c>
      <c r="P25" s="35" t="n"/>
      <c r="Q25" s="35" t="n"/>
      <c r="R25" s="35" t="n"/>
      <c r="S25" s="35" t="n"/>
      <c r="T25" s="35" t="n"/>
      <c r="U25" s="35" t="inlineStr">
        <is>
          <t>Not Started</t>
        </is>
      </c>
      <c r="V25" s="37">
        <f>IF(U25="Not Started",0%,IF(U25="Started",50%,IF(U25="Ready for review",70%,IF(U25="Reviewed - Content",80%,IF(U25="Reviewed - Format",90%,IF(U25="Done",100%,""))))))</f>
        <v/>
      </c>
      <c r="W25" t="inlineStr">
        <is>
          <t>2026-07-07</t>
        </is>
      </c>
      <c r="X25" t="inlineStr">
        <is>
          <t>Cursor / tender-response (batch)</t>
        </is>
      </c>
      <c r="Y25" t="inlineStr">
        <is>
          <t>Met</t>
        </is>
      </c>
      <c r="Z25" t="inlineStr">
        <is>
          <t>Verified</t>
        </is>
      </c>
      <c r="AA25" t="inlineStr">
        <is>
          <t>Verify: Fremvisning af parter — vurderet opfyldt (tool: 1. Fully met).</t>
        </is>
      </c>
      <c r="AB25" t="inlineStr"/>
      <c r="AC25" t="inlineStr">
        <is>
          <t>docs/tender-reference/extracted/Nationalbanken/Bilag 3.i Leverandørens Løsningsbeskrivelse.txt; docs/tender-reference/extracted/KUM-SLKS/Bilag 3 - Kravspecifikation.txt; docs/tender-reference/extracted/KK Tender tool.txt</t>
        </is>
      </c>
      <c r="AD25" t="inlineStr">
        <is>
          <t>Anton: Confirm verify-tekst; opdatér review status efter tjek.</t>
        </is>
      </c>
      <c r="AE25" t="inlineStr"/>
      <c r="AF25" t="inlineStr">
        <is>
          <t>Draft</t>
        </is>
      </c>
      <c r="AG25" t="inlineStr">
        <is>
          <t>uim-esdh-full-2026-07-07</t>
        </is>
      </c>
    </row>
    <row r="26" ht="32" customHeight="1">
      <c r="A26" s="35" t="n">
        <v>25</v>
      </c>
      <c r="B26" s="35" t="inlineStr">
        <is>
          <t>MK-24</t>
        </is>
      </c>
      <c r="C26" s="35" t="inlineStr">
        <is>
          <t>Bilag 1.b</t>
        </is>
      </c>
      <c r="D26" s="35" t="inlineStr">
        <is>
          <t>Sager</t>
        </is>
      </c>
      <c r="E26" s="35" t="inlineStr">
        <is>
          <t>Partsrolle</t>
        </is>
      </c>
      <c r="F26" s="35" t="inlineStr">
        <is>
          <t>ESDH-løsningen skal understøtte, at en kontakt kan tilknyttes til en sag og at kontakten kan have en konkret partsrolle på sagen.</t>
        </is>
      </c>
      <c r="G26" s="35" t="inlineStr">
        <is>
          <t>Mindstekrav</t>
        </is>
      </c>
      <c r="H26" s="35">
        <f>IF(G26="Evalueringskrav","Answer",(IF(G26="Krav","Check",(IF(G26="Mindstekrav","Verify","")))))</f>
        <v/>
      </c>
      <c r="I26" s="35" t="inlineStr">
        <is>
          <t>Ja</t>
        </is>
      </c>
      <c r="J26" s="35" t="n"/>
      <c r="K26" s="47" t="n"/>
      <c r="L26" s="35" t="inlineStr">
        <is>
          <t>Anton</t>
        </is>
      </c>
      <c r="M26" s="35" t="n"/>
      <c r="N26" s="35" t="n"/>
      <c r="O26" s="35" t="inlineStr">
        <is>
          <t>1. Fully met</t>
        </is>
      </c>
      <c r="P26" s="35" t="n"/>
      <c r="Q26" s="35" t="n"/>
      <c r="R26" s="35" t="n"/>
      <c r="S26" s="35" t="n"/>
      <c r="T26" s="35" t="n"/>
      <c r="U26" s="35" t="inlineStr">
        <is>
          <t>Not Started</t>
        </is>
      </c>
      <c r="V26" s="37">
        <f>IF(U26="Not Started",0%,IF(U26="Started",50%,IF(U26="Ready for review",70%,IF(U26="Reviewed - Content",80%,IF(U26="Reviewed - Format",90%,IF(U26="Done",100%,""))))))</f>
        <v/>
      </c>
      <c r="W26" t="inlineStr">
        <is>
          <t>2026-07-07</t>
        </is>
      </c>
      <c r="X26" t="inlineStr">
        <is>
          <t>Cursor / tender-response (batch)</t>
        </is>
      </c>
      <c r="Y26" t="inlineStr">
        <is>
          <t>Met</t>
        </is>
      </c>
      <c r="Z26" t="inlineStr">
        <is>
          <t>Verified</t>
        </is>
      </c>
      <c r="AA26" t="inlineStr">
        <is>
          <t>Verify: Partsrolle — vurderet opfyldt (tool: 1. Fully met).</t>
        </is>
      </c>
      <c r="AB26" t="inlineStr"/>
      <c r="AC26" t="inlineStr">
        <is>
          <t>docs/tender-reference/extracted/KUM-SLKS/Bilag 3 - Kravspecifikation.txt; docs/tender-reference/extracted/Nationalbanken/Bilag 3.i Leverandørens Løsningsbeskrivelse.txt; docs/product/RFP_Leverandørens_svar_utdrag.txt</t>
        </is>
      </c>
      <c r="AD26" t="inlineStr">
        <is>
          <t>Anton: Confirm verify-tekst; opdatér review status efter tjek.</t>
        </is>
      </c>
      <c r="AE26" t="inlineStr"/>
      <c r="AF26" t="inlineStr">
        <is>
          <t>Draft</t>
        </is>
      </c>
      <c r="AG26" t="inlineStr">
        <is>
          <t>uim-esdh-full-2026-07-07</t>
        </is>
      </c>
    </row>
    <row r="27" ht="48" customHeight="1">
      <c r="A27" s="35" t="n">
        <v>26</v>
      </c>
      <c r="B27" s="35" t="inlineStr">
        <is>
          <t>MK-25</t>
        </is>
      </c>
      <c r="C27" s="35" t="inlineStr">
        <is>
          <t>Bilag 1.b</t>
        </is>
      </c>
      <c r="D27" s="35" t="inlineStr">
        <is>
          <t>Sager</t>
        </is>
      </c>
      <c r="E27" s="35" t="inlineStr">
        <is>
          <t>Intern overdragelse af sagsansvar</t>
        </is>
      </c>
      <c r="F27" s="35" t="inlineStr">
        <is>
          <t>ESDH-løsningen skal understøtte, at en sag kan overdrages/flyttes til en anden sagsbehandler eller et andet team i organisationen.</t>
        </is>
      </c>
      <c r="G27" s="35" t="inlineStr">
        <is>
          <t>Mindstekrav</t>
        </is>
      </c>
      <c r="H27" s="35">
        <f>IF(G27="Evalueringskrav","Answer",(IF(G27="Krav","Check",(IF(G27="Mindstekrav","Verify","")))))</f>
        <v/>
      </c>
      <c r="I27" s="35" t="inlineStr">
        <is>
          <t>Ja</t>
        </is>
      </c>
      <c r="J27" s="35" t="n"/>
      <c r="K27" s="47" t="n"/>
      <c r="L27" s="35" t="inlineStr">
        <is>
          <t>Anton</t>
        </is>
      </c>
      <c r="M27" s="35" t="n"/>
      <c r="N27" s="35" t="n"/>
      <c r="O27" s="35" t="inlineStr">
        <is>
          <t>1. Fully met</t>
        </is>
      </c>
      <c r="P27" s="35" t="n"/>
      <c r="Q27" s="35" t="n"/>
      <c r="R27" s="35" t="n"/>
      <c r="S27" s="35" t="n"/>
      <c r="T27" s="35" t="n"/>
      <c r="U27" s="35" t="inlineStr">
        <is>
          <t>Not Started</t>
        </is>
      </c>
      <c r="V27" s="37">
        <f>IF(U27="Not Started",0%,IF(U27="Started",50%,IF(U27="Ready for review",70%,IF(U27="Reviewed - Content",80%,IF(U27="Reviewed - Format",90%,IF(U27="Done",100%,""))))))</f>
        <v/>
      </c>
      <c r="W27" t="inlineStr">
        <is>
          <t>2026-07-07</t>
        </is>
      </c>
      <c r="X27" t="inlineStr">
        <is>
          <t>Cursor / tender-response (batch)</t>
        </is>
      </c>
      <c r="Y27" t="inlineStr">
        <is>
          <t>Met</t>
        </is>
      </c>
      <c r="Z27" t="inlineStr">
        <is>
          <t>Verified</t>
        </is>
      </c>
      <c r="AA27" t="inlineStr">
        <is>
          <t>Verify: Intern overdragelse af sagsansvar — vurderet opfyldt (tool: 1. Fully met).</t>
        </is>
      </c>
      <c r="AB27" t="inlineStr"/>
      <c r="AC27" t="inlineStr">
        <is>
          <t>docs/tender-reference/extracted/KUM-SLKS/Bilag 3 - Kravspecifikation.txt; docs/product/RFP_Leverandørens_svar_utdrag.txt; docs/tender-reference/extracted/KK Tender tool.txt</t>
        </is>
      </c>
      <c r="AD27" t="inlineStr">
        <is>
          <t>Anton: Confirm verify-tekst; opdatér review status efter tjek.</t>
        </is>
      </c>
      <c r="AE27" t="inlineStr"/>
      <c r="AF27" t="inlineStr">
        <is>
          <t>Draft</t>
        </is>
      </c>
      <c r="AG27" t="inlineStr">
        <is>
          <t>uim-esdh-full-2026-07-07</t>
        </is>
      </c>
    </row>
    <row r="28" ht="64" customHeight="1">
      <c r="A28" s="35" t="n">
        <v>27</v>
      </c>
      <c r="B28" s="35" t="inlineStr">
        <is>
          <t>MK-26</t>
        </is>
      </c>
      <c r="C28" s="35" t="inlineStr">
        <is>
          <t>Bilag 1.b</t>
        </is>
      </c>
      <c r="D28" s="35" t="inlineStr">
        <is>
          <t>Sager</t>
        </is>
      </c>
      <c r="E28" s="35" t="inlineStr">
        <is>
          <t>Genåbning og opdatering af lukkede sager</t>
        </is>
      </c>
      <c r="F28" s="35" t="inlineStr">
        <is>
          <t>ESDH-løsningen skal understøtte, at en formelt afsluttet og lukket sag kan genåbnes af en Bruger, hvis der er behov for at opdatere sagsdata. Sager afleveret til Rigsarkivet skal være undtaget, og skal ikke kunne genåbnes efter aflevering.</t>
        </is>
      </c>
      <c r="G28" s="35" t="inlineStr">
        <is>
          <t>Mindstekrav</t>
        </is>
      </c>
      <c r="H28" s="35">
        <f>IF(G28="Evalueringskrav","Answer",(IF(G28="Krav","Check",(IF(G28="Mindstekrav","Verify","")))))</f>
        <v/>
      </c>
      <c r="I28" s="35" t="inlineStr">
        <is>
          <t>Ja</t>
        </is>
      </c>
      <c r="J28" s="35" t="n"/>
      <c r="K28" s="47" t="n"/>
      <c r="L28" s="35" t="inlineStr">
        <is>
          <t>Anton</t>
        </is>
      </c>
      <c r="M28" s="35" t="n"/>
      <c r="N28" s="35" t="n"/>
      <c r="O28" s="35" t="inlineStr">
        <is>
          <t>1. Fully met</t>
        </is>
      </c>
      <c r="P28" s="35" t="inlineStr">
        <is>
          <t>ADN: Configure historic cases with closed Matrix</t>
        </is>
      </c>
      <c r="Q28" s="35" t="n"/>
      <c r="R28" s="35" t="n"/>
      <c r="S28" s="35" t="n"/>
      <c r="T28" s="35" t="n"/>
      <c r="U28" s="35" t="inlineStr">
        <is>
          <t>Not Started</t>
        </is>
      </c>
      <c r="V28" s="37">
        <f>IF(U28="Not Started",0%,IF(U28="Started",50%,IF(U28="Ready for review",70%,IF(U28="Reviewed - Content",80%,IF(U28="Reviewed - Format",90%,IF(U28="Done",100%,""))))))</f>
        <v/>
      </c>
      <c r="W28" t="inlineStr">
        <is>
          <t>2026-07-07</t>
        </is>
      </c>
      <c r="X28" t="inlineStr">
        <is>
          <t>Cursor / tender-response (batch)</t>
        </is>
      </c>
      <c r="Y28" t="inlineStr">
        <is>
          <t>Met</t>
        </is>
      </c>
      <c r="Z28" t="inlineStr">
        <is>
          <t>Verified</t>
        </is>
      </c>
      <c r="AA28" t="inlineStr">
        <is>
          <t>Verify: Genåbning og opdatering af lukkede sager — vurderet opfyldt (tool: 1. Fully met).</t>
        </is>
      </c>
      <c r="AB28" t="inlineStr">
        <is>
          <t>ADN: Configure historic cases with closed Matrix</t>
        </is>
      </c>
      <c r="AC28" t="inlineStr">
        <is>
          <t>docs/tender-reference/extracted/Nationalbanken/Bilag 3.i Leverandørens Løsningsbeskrivelse.txt; docs/tender-reference/extracted/KK Tender tool.txt; docs/tender-reference/extracted/KUM-SLKS/Bilag 3 - Kravspecifikation.txt</t>
        </is>
      </c>
      <c r="AD28" t="inlineStr">
        <is>
          <t>Anton: Confirm verify-tekst; opdatér review status efter tjek.</t>
        </is>
      </c>
      <c r="AE28" t="inlineStr"/>
      <c r="AF28" t="inlineStr">
        <is>
          <t>Draft</t>
        </is>
      </c>
      <c r="AG28" t="inlineStr">
        <is>
          <t>uim-esdh-full-2026-07-07</t>
        </is>
      </c>
    </row>
    <row r="29" ht="80" customHeight="1">
      <c r="A29" s="35" t="n">
        <v>28</v>
      </c>
      <c r="B29" s="35" t="inlineStr">
        <is>
          <t>MK-27</t>
        </is>
      </c>
      <c r="C29" s="35" t="inlineStr">
        <is>
          <t>Bilag 1.b</t>
        </is>
      </c>
      <c r="D29" s="35" t="inlineStr">
        <is>
          <t>Sager</t>
        </is>
      </c>
      <c r="E29" s="35" t="inlineStr">
        <is>
          <t>Sagskopi</t>
        </is>
      </c>
      <c r="F29" s="35" t="inlineStr">
        <is>
          <t>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t>
        </is>
      </c>
      <c r="G29" s="35" t="inlineStr">
        <is>
          <t>Mindstekrav</t>
        </is>
      </c>
      <c r="H29" s="35">
        <f>IF(G29="Evalueringskrav","Answer",(IF(G29="Krav","Check",(IF(G29="Mindstekrav","Verify","")))))</f>
        <v/>
      </c>
      <c r="I29" s="35" t="inlineStr">
        <is>
          <t>Ja</t>
        </is>
      </c>
      <c r="J29" s="35" t="n"/>
      <c r="K29" s="47" t="n"/>
      <c r="L29" s="35" t="inlineStr">
        <is>
          <t>Anton</t>
        </is>
      </c>
      <c r="M29" s="35" t="n"/>
      <c r="N29" s="35" t="n"/>
      <c r="O29" s="35" t="inlineStr">
        <is>
          <t>1. Fully met</t>
        </is>
      </c>
      <c r="P29" s="35" t="inlineStr">
        <is>
          <t>ADN: copy documents is part of eDoc merger, so Yes</t>
        </is>
      </c>
      <c r="Q29" s="35" t="n"/>
      <c r="R29" s="35" t="n"/>
      <c r="S29" s="35" t="n"/>
      <c r="T29" s="35" t="n"/>
      <c r="U29" s="35" t="inlineStr">
        <is>
          <t>Not Started</t>
        </is>
      </c>
      <c r="V29" s="37">
        <f>IF(U29="Not Started",0%,IF(U29="Started",50%,IF(U29="Ready for review",70%,IF(U29="Reviewed - Content",80%,IF(U29="Reviewed - Format",90%,IF(U29="Done",100%,""))))))</f>
        <v/>
      </c>
      <c r="W29" t="inlineStr">
        <is>
          <t>2026-07-07</t>
        </is>
      </c>
      <c r="X29" t="inlineStr">
        <is>
          <t>Cursor / tender-response (batch)</t>
        </is>
      </c>
      <c r="Y29" t="inlineStr">
        <is>
          <t>Met</t>
        </is>
      </c>
      <c r="Z29" t="inlineStr">
        <is>
          <t>Verified</t>
        </is>
      </c>
      <c r="AA29" t="inlineStr">
        <is>
          <t>Verify: Sagskopi — vurderet opfyldt (tool: 1. Fully met).</t>
        </is>
      </c>
      <c r="AB29" t="inlineStr">
        <is>
          <t>ADN: copy documents is part of eDoc merger, so Yes</t>
        </is>
      </c>
      <c r="AC29" t="inlineStr">
        <is>
          <t>docs/tender-reference/extracted/Nationalbanken/Bilag 3.i Leverandørens Løsningsbeskrivelse.txt; docs/tender-reference/extracted/KK Tender tool.txt; docs/tender-reference/extracted/KUM-SLKS/Bilag 3 - Kravspecifikation.txt</t>
        </is>
      </c>
      <c r="AD29" t="inlineStr">
        <is>
          <t>Anton: Confirm verify-tekst; opdatér review status efter tjek.</t>
        </is>
      </c>
      <c r="AE29" t="inlineStr"/>
      <c r="AF29" t="inlineStr">
        <is>
          <t>Draft</t>
        </is>
      </c>
      <c r="AG29" t="inlineStr">
        <is>
          <t>uim-esdh-full-2026-07-07</t>
        </is>
      </c>
    </row>
    <row r="30" ht="64" customHeight="1">
      <c r="A30" s="35" t="n">
        <v>29</v>
      </c>
      <c r="B30" s="35" t="inlineStr">
        <is>
          <t>MK-28</t>
        </is>
      </c>
      <c r="C30" s="35" t="inlineStr">
        <is>
          <t>Bilag 1.b</t>
        </is>
      </c>
      <c r="D30" s="35" t="inlineStr">
        <is>
          <t>Sager</t>
        </is>
      </c>
      <c r="E30" s="35" t="inlineStr">
        <is>
          <t>Noter</t>
        </is>
      </c>
      <c r="F30" s="35" t="inlineStr">
        <is>
          <t>ESDH-løsningen skal understøtte, at der kan oprettes noter på sager. Oplysninger om sagsbehandler, dato og klokkeslæt skal fremgå af noten. Alle Brugere med adgang til sagen skal kunne se agere på noten i sagsbehandlingen.</t>
        </is>
      </c>
      <c r="G30" s="35" t="inlineStr">
        <is>
          <t>Mindstekrav</t>
        </is>
      </c>
      <c r="H30" s="35">
        <f>IF(G30="Evalueringskrav","Answer",(IF(G30="Krav","Check",(IF(G30="Mindstekrav","Verify","")))))</f>
        <v/>
      </c>
      <c r="I30" s="35" t="inlineStr">
        <is>
          <t>Ja</t>
        </is>
      </c>
      <c r="J30" s="35" t="n"/>
      <c r="K30" s="47" t="n"/>
      <c r="L30" s="35" t="inlineStr">
        <is>
          <t>Anton</t>
        </is>
      </c>
      <c r="M30" s="35" t="n"/>
      <c r="N30" s="35" t="n"/>
      <c r="O30" s="35" t="inlineStr">
        <is>
          <t>1. Fully met</t>
        </is>
      </c>
      <c r="P30" s="35" t="n"/>
      <c r="Q30" s="35" t="n"/>
      <c r="R30" s="35" t="n"/>
      <c r="S30" s="35" t="n"/>
      <c r="T30" s="35" t="n"/>
      <c r="U30" s="35" t="inlineStr">
        <is>
          <t>Not Started</t>
        </is>
      </c>
      <c r="V30" s="37">
        <f>IF(U30="Not Started",0%,IF(U30="Started",50%,IF(U30="Ready for review",70%,IF(U30="Reviewed - Content",80%,IF(U30="Reviewed - Format",90%,IF(U30="Done",100%,""))))))</f>
        <v/>
      </c>
      <c r="W30" t="inlineStr">
        <is>
          <t>2026-07-07</t>
        </is>
      </c>
      <c r="X30" t="inlineStr">
        <is>
          <t>Cursor / tender-response (batch)</t>
        </is>
      </c>
      <c r="Y30" t="inlineStr">
        <is>
          <t>Met</t>
        </is>
      </c>
      <c r="Z30" t="inlineStr">
        <is>
          <t>Verified</t>
        </is>
      </c>
      <c r="AA30" t="inlineStr">
        <is>
          <t>Verify: Noter — vurderet opfyldt (tool: 1. Fully met).</t>
        </is>
      </c>
      <c r="AB30" t="inlineStr"/>
      <c r="AC30" t="inlineStr">
        <is>
          <t>docs/tender-reference/extracted/Nationalbanken/Bilag 3.i Leverandørens Løsningsbeskrivelse.txt; docs/tender-reference/extracted/KK Tender tool.txt; docs/tender-reference/extracted/KUM-SLKS/Bilag 3 - Kravspecifikation.txt</t>
        </is>
      </c>
      <c r="AD30" t="inlineStr">
        <is>
          <t>Anton: Confirm verify-tekst; opdatér review status efter tjek.</t>
        </is>
      </c>
      <c r="AE30" t="inlineStr"/>
      <c r="AF30" t="inlineStr">
        <is>
          <t>Draft</t>
        </is>
      </c>
      <c r="AG30" t="inlineStr">
        <is>
          <t>uim-esdh-full-2026-07-07</t>
        </is>
      </c>
    </row>
    <row r="31" ht="48" customHeight="1">
      <c r="A31" s="35" t="n">
        <v>30</v>
      </c>
      <c r="B31" s="35" t="inlineStr">
        <is>
          <t>MK-29</t>
        </is>
      </c>
      <c r="C31" s="35" t="inlineStr">
        <is>
          <t>Bilag 1.b</t>
        </is>
      </c>
      <c r="D31" s="35" t="inlineStr">
        <is>
          <t>Sager</t>
        </is>
      </c>
      <c r="E31" s="35" t="inlineStr">
        <is>
          <t>Journalisering</t>
        </is>
      </c>
      <c r="F31" s="35" t="inlineStr">
        <is>
          <t>ESDH-løsningen skal understøtte, at Brugere manuelt kan journalisere og gemme Dokumenter, korrespondancer samt interne og eksterne beskeder på sager.</t>
        </is>
      </c>
      <c r="G31" s="35" t="inlineStr">
        <is>
          <t>Mindstekrav</t>
        </is>
      </c>
      <c r="H31" s="35">
        <f>IF(G31="Evalueringskrav","Answer",(IF(G31="Krav","Check",(IF(G31="Mindstekrav","Verify","")))))</f>
        <v/>
      </c>
      <c r="I31" s="35" t="inlineStr">
        <is>
          <t>Ja</t>
        </is>
      </c>
      <c r="J31" s="35" t="n"/>
      <c r="K31" s="47" t="n"/>
      <c r="L31" s="35" t="inlineStr">
        <is>
          <t>Anton</t>
        </is>
      </c>
      <c r="M31" s="35" t="n"/>
      <c r="N31" s="35" t="n"/>
      <c r="O31" s="35" t="inlineStr">
        <is>
          <t>1. Fully met</t>
        </is>
      </c>
      <c r="P31" s="35" t="n"/>
      <c r="Q31" s="35" t="n"/>
      <c r="R31" s="35" t="n"/>
      <c r="S31" s="35" t="n"/>
      <c r="T31" s="35" t="n"/>
      <c r="U31" s="35" t="inlineStr">
        <is>
          <t>Not Started</t>
        </is>
      </c>
      <c r="V31" s="37">
        <f>IF(U31="Not Started",0%,IF(U31="Started",50%,IF(U31="Ready for review",70%,IF(U31="Reviewed - Content",80%,IF(U31="Reviewed - Format",90%,IF(U31="Done",100%,""))))))</f>
        <v/>
      </c>
      <c r="W31" t="inlineStr">
        <is>
          <t>2026-07-07</t>
        </is>
      </c>
      <c r="X31" t="inlineStr">
        <is>
          <t>Cursor / tender-response (batch)</t>
        </is>
      </c>
      <c r="Y31" t="inlineStr">
        <is>
          <t>Met</t>
        </is>
      </c>
      <c r="Z31" t="inlineStr">
        <is>
          <t>Verified</t>
        </is>
      </c>
      <c r="AA31" t="inlineStr">
        <is>
          <t>Verify: Journalisering — vurderet opfyldt (tool: 1. Fully met).</t>
        </is>
      </c>
      <c r="AB31" t="inlineStr"/>
      <c r="AC31" t="inlineStr">
        <is>
          <t>docs/tender-reference/extracted/KK Tender tool.txt; docs/tender-reference/extracted/Nationalbanken/Bilag 3.i Leverandørens Løsningsbeskrivelse.txt; docs/tender-reference/extracted/KUM-SLKS/Bilag 3 - Kravspecifikation.txt</t>
        </is>
      </c>
      <c r="AD31" t="inlineStr">
        <is>
          <t>Anton: Confirm verify-tekst; opdatér review status efter tjek.</t>
        </is>
      </c>
      <c r="AE31" t="inlineStr"/>
      <c r="AF31" t="inlineStr">
        <is>
          <t>Draft</t>
        </is>
      </c>
      <c r="AG31" t="inlineStr">
        <is>
          <t>uim-esdh-full-2026-07-07</t>
        </is>
      </c>
    </row>
    <row r="32" ht="64" customHeight="1">
      <c r="A32" s="35" t="n">
        <v>31</v>
      </c>
      <c r="B32" s="35" t="inlineStr">
        <is>
          <t>MK-30</t>
        </is>
      </c>
      <c r="C32" s="35" t="inlineStr">
        <is>
          <t>Bilag 1.b</t>
        </is>
      </c>
      <c r="D32" s="35" t="inlineStr">
        <is>
          <t>Sager</t>
        </is>
      </c>
      <c r="E32" s="35" t="inlineStr">
        <is>
          <t>Præsentation af hierarkiske samlinger</t>
        </is>
      </c>
      <c r="F32" s="35" t="inlineStr">
        <is>
          <t>ESDH-løsningen skal understøtte visning af hierarkiske samlinger af relaterede sager fra søgningslister og visningslister.</t>
        </is>
      </c>
      <c r="G32" s="35" t="inlineStr">
        <is>
          <t>Mindstekrav</t>
        </is>
      </c>
      <c r="H32" s="35">
        <f>IF(G32="Evalueringskrav","Answer",(IF(G32="Krav","Check",(IF(G32="Mindstekrav","Verify","")))))</f>
        <v/>
      </c>
      <c r="I32" s="35" t="inlineStr">
        <is>
          <t>Ja</t>
        </is>
      </c>
      <c r="J32" s="35" t="n"/>
      <c r="K32" s="47" t="n"/>
      <c r="L32" s="35" t="inlineStr">
        <is>
          <t>Eva</t>
        </is>
      </c>
      <c r="M32" s="35" t="n"/>
      <c r="N32" s="35" t="n"/>
      <c r="O32" s="35" t="inlineStr">
        <is>
          <t>3. Not able to meet</t>
        </is>
      </c>
      <c r="P32" s="35" t="inlineStr">
        <is>
          <t>ADN: Det er kludret formuleret - men jeg tolker det til, at de fra en søgning på et projekt, skal kunne se relaterede sager i resultatlisterne.. Det  er udfordrende</t>
        </is>
      </c>
      <c r="Q32" s="35" t="n"/>
      <c r="R32" s="35" t="n"/>
      <c r="S32" s="35" t="n"/>
      <c r="T32" s="35" t="n"/>
      <c r="U32" s="35" t="inlineStr">
        <is>
          <t>Not Started</t>
        </is>
      </c>
      <c r="V32" s="37">
        <f>IF(U32="Not Started",0%,IF(U32="Started",50%,IF(U32="Ready for review",70%,IF(U32="Reviewed - Content",80%,IF(U32="Reviewed - Format",90%,IF(U32="Done",100%,""))))))</f>
        <v/>
      </c>
      <c r="W32" t="inlineStr">
        <is>
          <t>2026-07-07</t>
        </is>
      </c>
      <c r="X32" t="inlineStr">
        <is>
          <t>Cursor / tender-response (batch)</t>
        </is>
      </c>
      <c r="Y32" t="inlineStr">
        <is>
          <t>Not met</t>
        </is>
      </c>
      <c r="Z32" t="inlineStr">
        <is>
          <t>Verified</t>
        </is>
      </c>
      <c r="AA32" t="inlineStr">
        <is>
          <t>Verify: Præsentation af hierarkiske samlinger — gap ift. kravtekst; eskalér commitment eller afklaring.</t>
        </is>
      </c>
      <c r="AB32" t="inlineStr">
        <is>
          <t>ADN: Det er kludret formuleret - men jeg tolker det til, at de fra en søgning på et projekt, skal kunne se relaterede sager i resultatlisterne.. Det  er udfordrende | Red flag: Det er kludret formuleret - men jeg tolker det til, at de fra en søgning på et projekt, skal kunne se relaterede sager i resultatlisterne.. Det  er udfordrende</t>
        </is>
      </c>
      <c r="AC32" t="inlineStr">
        <is>
          <t>docs/tender-reference/extracted/Nationalbanken/Bilag 3.i Leverandørens Løsningsbeskrivelse.txt; docs/tender-reference/extracted/KUM-SLKS/Bilag 3 - Kravspecifikation.txt; docs/product/RFP_Leverandørens_svar_utdrag.txt</t>
        </is>
      </c>
      <c r="AD32" t="inlineStr">
        <is>
          <t>Eva: Commitment/no-bid beslutning; overvej Q&amp;A til ordregiver.</t>
        </is>
      </c>
      <c r="AE32" t="inlineStr"/>
      <c r="AF32" t="inlineStr">
        <is>
          <t>Draft</t>
        </is>
      </c>
      <c r="AG32" t="inlineStr">
        <is>
          <t>uim-esdh-full-2026-07-07</t>
        </is>
      </c>
    </row>
    <row r="33" ht="64" customHeight="1">
      <c r="A33" s="35" t="n">
        <v>32</v>
      </c>
      <c r="B33" s="35" t="inlineStr">
        <is>
          <t>MK-31</t>
        </is>
      </c>
      <c r="C33" s="35" t="inlineStr">
        <is>
          <t>Bilag 1.b</t>
        </is>
      </c>
      <c r="D33" s="35" t="inlineStr">
        <is>
          <t>Sager</t>
        </is>
      </c>
      <c r="E33" s="35" t="inlineStr">
        <is>
          <t>Antal frister</t>
        </is>
      </c>
      <c r="F33" s="35" t="inlineStr">
        <is>
          <t>ESDH-løsningen skal understøtte, at en sag kan have flere frister tilknyttet. Fristerne skal vises på en logisk og overskuelig måde i brugergrænsefladen, så Brugeren nemt kan se fristtype, status og tidspunkt for kommende frister.</t>
        </is>
      </c>
      <c r="G33" s="35" t="inlineStr">
        <is>
          <t>Mindstekrav</t>
        </is>
      </c>
      <c r="H33" s="35">
        <f>IF(G33="Evalueringskrav","Answer",(IF(G33="Krav","Check",(IF(G33="Mindstekrav","Verify","")))))</f>
        <v/>
      </c>
      <c r="I33" s="35" t="inlineStr">
        <is>
          <t>Ja</t>
        </is>
      </c>
      <c r="J33" s="35" t="n"/>
      <c r="K33" s="47" t="n"/>
      <c r="L33" s="35" t="inlineStr">
        <is>
          <t>Anton</t>
        </is>
      </c>
      <c r="M33" s="35" t="n"/>
      <c r="N33" s="35" t="n"/>
      <c r="O33" s="35" t="inlineStr">
        <is>
          <t>1. Fully met</t>
        </is>
      </c>
      <c r="P33" s="35" t="n"/>
      <c r="Q33" s="35" t="n"/>
      <c r="R33" s="35" t="n"/>
      <c r="S33" s="35" t="n"/>
      <c r="T33" s="35" t="n"/>
      <c r="U33" s="35" t="inlineStr">
        <is>
          <t>Not Started</t>
        </is>
      </c>
      <c r="V33" s="37">
        <f>IF(U33="Not Started",0%,IF(U33="Started",50%,IF(U33="Ready for review",70%,IF(U33="Reviewed - Content",80%,IF(U33="Reviewed - Format",90%,IF(U33="Done",100%,""))))))</f>
        <v/>
      </c>
      <c r="W33" t="inlineStr">
        <is>
          <t>2026-07-07</t>
        </is>
      </c>
      <c r="X33" t="inlineStr">
        <is>
          <t>Cursor / tender-response (batch)</t>
        </is>
      </c>
      <c r="Y33" t="inlineStr">
        <is>
          <t>Met</t>
        </is>
      </c>
      <c r="Z33" t="inlineStr">
        <is>
          <t>Verified</t>
        </is>
      </c>
      <c r="AA33" t="inlineStr">
        <is>
          <t>Verify: Antal frister — vurderet opfyldt (tool: 1. Fully met).</t>
        </is>
      </c>
      <c r="AB33" t="inlineStr"/>
      <c r="AC33" t="inlineStr">
        <is>
          <t>docs/tender-reference/extracted/Nationalbanken/Bilag 3.i Leverandørens Løsningsbeskrivelse.txt; docs/tender-reference/extracted/KK Tender tool.txt; docs/tender-reference/extracted/KUM-SLKS/Bilag 3 - Kravspecifikation.txt</t>
        </is>
      </c>
      <c r="AD33" t="inlineStr">
        <is>
          <t>Anton: Confirm verify-tekst; opdatér review status efter tjek.</t>
        </is>
      </c>
      <c r="AE33" t="inlineStr"/>
      <c r="AF33" t="inlineStr">
        <is>
          <t>Draft</t>
        </is>
      </c>
      <c r="AG33" t="inlineStr">
        <is>
          <t>uim-esdh-full-2026-07-07</t>
        </is>
      </c>
    </row>
    <row r="34" ht="48" customHeight="1">
      <c r="A34" s="35" t="n">
        <v>33</v>
      </c>
      <c r="B34" s="35" t="inlineStr">
        <is>
          <t>MK-32</t>
        </is>
      </c>
      <c r="C34" s="35" t="inlineStr">
        <is>
          <t>Bilag 1.b</t>
        </is>
      </c>
      <c r="D34" s="35" t="inlineStr">
        <is>
          <t>Sager</t>
        </is>
      </c>
      <c r="E34" s="35" t="inlineStr">
        <is>
          <t>Noter – Journalisering på sag</t>
        </is>
      </c>
      <c r="F34" s="35" t="inlineStr">
        <is>
          <t>ESDH-løsningen skal understøtte, at noter kan konverteres til et Dokument med en tilhørende Fil, som kan journaliseres på den tilknyttede sag.</t>
        </is>
      </c>
      <c r="G34" s="35" t="inlineStr">
        <is>
          <t>Mindstekrav</t>
        </is>
      </c>
      <c r="H34" s="35">
        <f>IF(G34="Evalueringskrav","Answer",(IF(G34="Krav","Check",(IF(G34="Mindstekrav","Verify","")))))</f>
        <v/>
      </c>
      <c r="I34" s="35" t="inlineStr">
        <is>
          <t>Ja</t>
        </is>
      </c>
      <c r="J34" s="35" t="n"/>
      <c r="K34" s="47" t="n"/>
      <c r="L34" s="35" t="inlineStr">
        <is>
          <t>Anton</t>
        </is>
      </c>
      <c r="M34" s="35" t="n"/>
      <c r="N34" s="35" t="n"/>
      <c r="O34" s="35" t="inlineStr">
        <is>
          <t>1. Fully met</t>
        </is>
      </c>
      <c r="P34" s="35" t="inlineStr">
        <is>
          <t>ADN: Configure Case Note summary functionality</t>
        </is>
      </c>
      <c r="Q34" s="35" t="n"/>
      <c r="R34" s="35" t="n"/>
      <c r="S34" s="35" t="n"/>
      <c r="T34" s="35" t="n"/>
      <c r="U34" s="35" t="inlineStr">
        <is>
          <t>Not Started</t>
        </is>
      </c>
      <c r="V34" s="37">
        <f>IF(U34="Not Started",0%,IF(U34="Started",50%,IF(U34="Ready for review",70%,IF(U34="Reviewed - Content",80%,IF(U34="Reviewed - Format",90%,IF(U34="Done",100%,""))))))</f>
        <v/>
      </c>
      <c r="W34" t="inlineStr">
        <is>
          <t>2026-07-07</t>
        </is>
      </c>
      <c r="X34" t="inlineStr">
        <is>
          <t>Cursor / tender-response (batch)</t>
        </is>
      </c>
      <c r="Y34" t="inlineStr">
        <is>
          <t>Met</t>
        </is>
      </c>
      <c r="Z34" t="inlineStr">
        <is>
          <t>Verified</t>
        </is>
      </c>
      <c r="AA34" t="inlineStr">
        <is>
          <t>Verify: Noter – Journalisering på sag — vurderet opfyldt (tool: 1. Fully met).</t>
        </is>
      </c>
      <c r="AB34" t="inlineStr">
        <is>
          <t>ADN: Configure Case Note summary functionality</t>
        </is>
      </c>
      <c r="AC34" t="inlineStr">
        <is>
          <t>docs/tender-reference/extracted/KK Tender tool.txt; docs/tender-reference/extracted/KUM-SLKS/Bilag 3 - Kravspecifikation.txt; docs/tender-reference/extracted/Nationalbanken/Bilag 3.i Leverandørens Løsningsbeskrivelse.txt</t>
        </is>
      </c>
      <c r="AD34" t="inlineStr">
        <is>
          <t>Anton: Confirm verify-tekst; opdatér review status efter tjek.</t>
        </is>
      </c>
      <c r="AE34" t="inlineStr"/>
      <c r="AF34" t="inlineStr">
        <is>
          <t>Draft</t>
        </is>
      </c>
      <c r="AG34" t="inlineStr">
        <is>
          <t>uim-esdh-full-2026-07-07</t>
        </is>
      </c>
    </row>
    <row r="35" ht="48" customHeight="1">
      <c r="A35" s="35" t="n">
        <v>34</v>
      </c>
      <c r="B35" s="35" t="inlineStr">
        <is>
          <t>MK-33</t>
        </is>
      </c>
      <c r="C35" s="35" t="inlineStr">
        <is>
          <t>Bilag 1.b</t>
        </is>
      </c>
      <c r="D35" s="35" t="inlineStr">
        <is>
          <t>Dokumenter</t>
        </is>
      </c>
      <c r="E35" s="35" t="inlineStr">
        <is>
          <t>Behandling af Dokumenter</t>
        </is>
      </c>
      <c r="F35" s="35" t="inlineStr">
        <is>
          <t>ESDH-løsningen skal understøtte grundlæggende dokumenthåndtering, herunder oprettelse, redigering, versionsstyring og tilknytning af relevante metadata.</t>
        </is>
      </c>
      <c r="G35" s="35" t="inlineStr">
        <is>
          <t>Mindstekrav</t>
        </is>
      </c>
      <c r="H35" s="35">
        <f>IF(G35="Evalueringskrav","Answer",(IF(G35="Krav","Check",(IF(G35="Mindstekrav","Verify","")))))</f>
        <v/>
      </c>
      <c r="I35" s="35" t="inlineStr">
        <is>
          <t>Ja</t>
        </is>
      </c>
      <c r="J35" s="35" t="n"/>
      <c r="K35" s="47" t="n"/>
      <c r="L35" s="35" t="inlineStr">
        <is>
          <t>Anton</t>
        </is>
      </c>
      <c r="M35" s="35" t="n"/>
      <c r="N35" s="35" t="n"/>
      <c r="O35" s="35" t="inlineStr">
        <is>
          <t>1. Fully met</t>
        </is>
      </c>
      <c r="P35" s="35" t="n"/>
      <c r="Q35" s="35" t="n"/>
      <c r="R35" s="35" t="n"/>
      <c r="S35" s="35" t="n"/>
      <c r="T35" s="35" t="n"/>
      <c r="U35" s="35" t="inlineStr">
        <is>
          <t>Not Started</t>
        </is>
      </c>
      <c r="V35" s="37">
        <f>IF(U35="Not Started",0%,IF(U35="Started",50%,IF(U35="Ready for review",70%,IF(U35="Reviewed - Content",80%,IF(U35="Reviewed - Format",90%,IF(U35="Done",100%,""))))))</f>
        <v/>
      </c>
      <c r="W35" t="inlineStr">
        <is>
          <t>2026-07-07</t>
        </is>
      </c>
      <c r="X35" t="inlineStr">
        <is>
          <t>Cursor / tender-response (batch)</t>
        </is>
      </c>
      <c r="Y35" t="inlineStr">
        <is>
          <t>Met</t>
        </is>
      </c>
      <c r="Z35" t="inlineStr">
        <is>
          <t>Verified</t>
        </is>
      </c>
      <c r="AA35" t="inlineStr">
        <is>
          <t>Verify: Behandling af Dokumenter — vurderet opfyldt (tool: 1. Fully met).</t>
        </is>
      </c>
      <c r="AB35" t="inlineStr"/>
      <c r="AC35" t="inlineStr">
        <is>
          <t>docs/tender-reference/extracted/Nationalbanken/Bilag 3.i Leverandørens Løsningsbeskrivelse.txt; docs/tender-reference/extracted/KK Tender tool.txt; docs/tender-reference/extracted/KUM-SLKS/Bilag 3 - Kravspecifikation.txt</t>
        </is>
      </c>
      <c r="AD35" t="inlineStr">
        <is>
          <t>Anton: Confirm verify-tekst; opdatér review status efter tjek.</t>
        </is>
      </c>
      <c r="AE35" t="inlineStr"/>
      <c r="AF35" t="inlineStr">
        <is>
          <t>Draft</t>
        </is>
      </c>
      <c r="AG35" t="inlineStr">
        <is>
          <t>uim-esdh-full-2026-07-07</t>
        </is>
      </c>
    </row>
    <row r="36" ht="32" customHeight="1">
      <c r="A36" s="35" t="n">
        <v>35</v>
      </c>
      <c r="B36" s="35" t="inlineStr">
        <is>
          <t>MK-34</t>
        </is>
      </c>
      <c r="C36" s="35" t="inlineStr">
        <is>
          <t>Bilag 1.b</t>
        </is>
      </c>
      <c r="D36" s="35" t="inlineStr">
        <is>
          <t>Dokumenter</t>
        </is>
      </c>
      <c r="E36" s="35" t="inlineStr">
        <is>
          <t>Oprettelse af felter</t>
        </is>
      </c>
      <c r="F36" s="35" t="inlineStr">
        <is>
          <t>ESDH-løsningen skal understøtte, at felter kan oprettes og relateres til Dokumenter af Kunden.</t>
        </is>
      </c>
      <c r="G36" s="35" t="inlineStr">
        <is>
          <t>Mindstekrav</t>
        </is>
      </c>
      <c r="H36" s="35">
        <f>IF(G36="Evalueringskrav","Answer",(IF(G36="Krav","Check",(IF(G36="Mindstekrav","Verify","")))))</f>
        <v/>
      </c>
      <c r="I36" s="35" t="inlineStr">
        <is>
          <t>Ja</t>
        </is>
      </c>
      <c r="J36" s="35" t="n"/>
      <c r="K36" s="47" t="n"/>
      <c r="L36" s="35" t="inlineStr">
        <is>
          <t>Anton</t>
        </is>
      </c>
      <c r="M36" s="35" t="n"/>
      <c r="N36" s="35" t="n"/>
      <c r="O36" s="35" t="inlineStr">
        <is>
          <t>1. Fully met</t>
        </is>
      </c>
      <c r="P36" s="35" t="n"/>
      <c r="Q36" s="35" t="n"/>
      <c r="R36" s="35" t="n"/>
      <c r="S36" s="35" t="n"/>
      <c r="T36" s="35" t="n"/>
      <c r="U36" s="35" t="inlineStr">
        <is>
          <t>Not Started</t>
        </is>
      </c>
      <c r="V36" s="37">
        <f>IF(U36="Not Started",0%,IF(U36="Started",50%,IF(U36="Ready for review",70%,IF(U36="Reviewed - Content",80%,IF(U36="Reviewed - Format",90%,IF(U36="Done",100%,""))))))</f>
        <v/>
      </c>
      <c r="W36" t="inlineStr">
        <is>
          <t>2026-07-07</t>
        </is>
      </c>
      <c r="X36" t="inlineStr">
        <is>
          <t>Cursor / tender-response (batch)</t>
        </is>
      </c>
      <c r="Y36" t="inlineStr">
        <is>
          <t>Met</t>
        </is>
      </c>
      <c r="Z36" t="inlineStr">
        <is>
          <t>Verified</t>
        </is>
      </c>
      <c r="AA36" t="inlineStr">
        <is>
          <t>Verify: Oprettelse af felter — vurderet opfyldt (tool: 1. Fully met).</t>
        </is>
      </c>
      <c r="AB36" t="inlineStr"/>
      <c r="AC36" t="inlineStr">
        <is>
          <t>docs/tender-reference/extracted/KUM-SLKS/Bilag 3 - Kravspecifikation.txt; docs/tender-reference/extracted/KK Tender tool.txt; docs/tender-reference/extracted/KUM-SLKS/Bilag 3 - 11.8 - Kravspecifikation - Processtyring (1).txt</t>
        </is>
      </c>
      <c r="AD36" t="inlineStr">
        <is>
          <t>Anton: Confirm verify-tekst; opdatér review status efter tjek.</t>
        </is>
      </c>
      <c r="AE36" t="inlineStr"/>
      <c r="AF36" t="inlineStr">
        <is>
          <t>Draft</t>
        </is>
      </c>
      <c r="AG36" t="inlineStr">
        <is>
          <t>uim-esdh-full-2026-07-07</t>
        </is>
      </c>
    </row>
    <row r="37" ht="144" customHeight="1">
      <c r="A37" s="35" t="n">
        <v>36</v>
      </c>
      <c r="B37" s="35" t="inlineStr">
        <is>
          <t>MK-35</t>
        </is>
      </c>
      <c r="C37" s="35" t="inlineStr">
        <is>
          <t>Bilag 1.b</t>
        </is>
      </c>
      <c r="D37" s="35" t="inlineStr">
        <is>
          <t>Dokumenter</t>
        </is>
      </c>
      <c r="E37" s="35" t="inlineStr">
        <is>
          <t>Unikt ID</t>
        </is>
      </c>
      <c r="F37" s="35" t="inlineStr">
        <is>
          <t>ESDH-løsningen skal understøtte, at alle Dokumenter, Filer, Hoveddokumenter og Bilag har hver deres unikke ID, som skal være synligt i brugergrænsefladen.</t>
        </is>
      </c>
      <c r="G37" s="35" t="inlineStr">
        <is>
          <t>Mindstekrav</t>
        </is>
      </c>
      <c r="H37" s="35">
        <f>IF(G37="Evalueringskrav","Answer",(IF(G37="Krav","Check",(IF(G37="Mindstekrav","Verify","")))))</f>
        <v/>
      </c>
      <c r="I37" s="35" t="inlineStr">
        <is>
          <t>Ja</t>
        </is>
      </c>
      <c r="J37" s="35" t="n"/>
      <c r="K37" s="47" t="n"/>
      <c r="L37" s="35" t="inlineStr">
        <is>
          <t>Anton</t>
        </is>
      </c>
      <c r="M37" s="35" t="n"/>
      <c r="N37" s="35" t="n"/>
      <c r="O37" s="35" t="inlineStr">
        <is>
          <t>1. Fully met</t>
        </is>
      </c>
      <c r="P37" s="35" t="inlineStr">
        <is>
          <t>ADN: Hvornår er noget ”synligt i brugergrænsefladen”… vi har recno på filer, men de kræver ”vis egenskaber” for at være synlige.
Tjek definitionsbilag for ordet "brugergrænsefladen"
Maksimeret visning - ny visning</t>
        </is>
      </c>
      <c r="Q37" s="35" t="n"/>
      <c r="R37" s="35" t="n"/>
      <c r="S37" s="35" t="n"/>
      <c r="T37" s="35" t="n"/>
      <c r="U37" s="35" t="inlineStr">
        <is>
          <t>Not Started</t>
        </is>
      </c>
      <c r="V37" s="37">
        <f>IF(U37="Not Started",0%,IF(U37="Started",50%,IF(U37="Ready for review",70%,IF(U37="Reviewed - Content",80%,IF(U37="Reviewed - Format",90%,IF(U37="Done",100%,""))))))</f>
        <v/>
      </c>
      <c r="W37" t="inlineStr">
        <is>
          <t>2026-07-07</t>
        </is>
      </c>
      <c r="X37" t="inlineStr">
        <is>
          <t>Cursor / tender-response (batch)</t>
        </is>
      </c>
      <c r="Y37" t="inlineStr">
        <is>
          <t>Met</t>
        </is>
      </c>
      <c r="Z37" t="inlineStr">
        <is>
          <t>Verified</t>
        </is>
      </c>
      <c r="AA37" t="inlineStr">
        <is>
          <t>Verify: Unikt ID — vurderet opfyldt (tool: 1. Fully met).</t>
        </is>
      </c>
      <c r="AB37" t="inlineStr">
        <is>
          <t>ADN: Hvornår er noget ”synligt i brugergrænsefladen”… vi har recno på filer, men de kræver ”vis egenskaber” for at være synlige.
Tjek definitionsbilag for ordet "brugergrænsefladen"
Maksimeret visning - ny visning | Red flag: Hvornår er noget ”synligt i brugergrænsefladen”… vi har recno på filer, men de kræver ”vis egenskaber” for at være synlige.</t>
        </is>
      </c>
      <c r="AC37" t="inlineStr">
        <is>
          <t>docs/tender-reference/extracted/Nationalbanken/Bilag 3.i Leverandørens Løsningsbeskrivelse.txt; docs/tender-reference/extracted/KUM-SLKS/Bilag 3 - Kravspecifikation.txt; docs/tender-reference/extracted/KK Tender tool.txt</t>
        </is>
      </c>
      <c r="AD37" t="inlineStr">
        <is>
          <t>Anton: Confirm verify-tekst; opdatér review status efter tjek.</t>
        </is>
      </c>
      <c r="AE37" t="inlineStr"/>
      <c r="AF37" t="inlineStr">
        <is>
          <t>Draft</t>
        </is>
      </c>
      <c r="AG37" t="inlineStr">
        <is>
          <t>uim-esdh-full-2026-07-07</t>
        </is>
      </c>
    </row>
    <row r="38" ht="48" customHeight="1">
      <c r="A38" s="35" t="n">
        <v>37</v>
      </c>
      <c r="B38" s="35" t="inlineStr">
        <is>
          <t>MK-36</t>
        </is>
      </c>
      <c r="C38" s="35" t="inlineStr">
        <is>
          <t>Bilag 1.b</t>
        </is>
      </c>
      <c r="D38" s="35" t="inlineStr">
        <is>
          <t>Dokumenter</t>
        </is>
      </c>
      <c r="E38" s="35" t="inlineStr">
        <is>
          <t>Relation mellem 
sag og Dokument</t>
        </is>
      </c>
      <c r="F38" s="35" t="inlineStr">
        <is>
          <t>ESDH-løsningen skal understøtte en obligatorisk relation mellem sag og Dokument.</t>
        </is>
      </c>
      <c r="G38" s="35" t="inlineStr">
        <is>
          <t>Mindstekrav</t>
        </is>
      </c>
      <c r="H38" s="35">
        <f>IF(G38="Evalueringskrav","Answer",(IF(G38="Krav","Check",(IF(G38="Mindstekrav","Verify","")))))</f>
        <v/>
      </c>
      <c r="I38" s="35" t="inlineStr">
        <is>
          <t>Ja</t>
        </is>
      </c>
      <c r="J38" s="35" t="n"/>
      <c r="K38" s="47" t="n"/>
      <c r="L38" s="35" t="inlineStr">
        <is>
          <t>Anton</t>
        </is>
      </c>
      <c r="M38" s="35" t="n"/>
      <c r="N38" s="35" t="n"/>
      <c r="O38" s="35" t="inlineStr">
        <is>
          <t>1. Fully met</t>
        </is>
      </c>
      <c r="P38" s="35" t="n"/>
      <c r="Q38" s="35" t="n"/>
      <c r="R38" s="35" t="n"/>
      <c r="S38" s="35" t="n"/>
      <c r="T38" s="35" t="n"/>
      <c r="U38" s="35" t="inlineStr">
        <is>
          <t>Not Started</t>
        </is>
      </c>
      <c r="V38" s="37">
        <f>IF(U38="Not Started",0%,IF(U38="Started",50%,IF(U38="Ready for review",70%,IF(U38="Reviewed - Content",80%,IF(U38="Reviewed - Format",90%,IF(U38="Done",100%,""))))))</f>
        <v/>
      </c>
      <c r="W38" t="inlineStr">
        <is>
          <t>2026-07-07</t>
        </is>
      </c>
      <c r="X38" t="inlineStr">
        <is>
          <t>Cursor / tender-response (batch)</t>
        </is>
      </c>
      <c r="Y38" t="inlineStr">
        <is>
          <t>Met</t>
        </is>
      </c>
      <c r="Z38" t="inlineStr">
        <is>
          <t>Verified</t>
        </is>
      </c>
      <c r="AA38" t="inlineStr">
        <is>
          <t>Verify: Relation mellem 
sag og Dokument — vurderet opfyldt (tool: 1. Fully met).</t>
        </is>
      </c>
      <c r="AB38" t="inlineStr"/>
      <c r="AC38" t="inlineStr">
        <is>
          <t>docs/tender-reference/extracted/KK Tender tool.txt; docs/tender-reference/extracted/KUM-SLKS/Bilag 3 - Kravspecifikation.txt; docs/tender-reference/extracted/Nationalbanken/Bilag 3.i Leverandørens Løsningsbeskrivelse.txt</t>
        </is>
      </c>
      <c r="AD38" t="inlineStr">
        <is>
          <t>Anton: Confirm verify-tekst; opdatér review status efter tjek.</t>
        </is>
      </c>
      <c r="AE38" t="inlineStr"/>
      <c r="AF38" t="inlineStr">
        <is>
          <t>Draft</t>
        </is>
      </c>
      <c r="AG38" t="inlineStr">
        <is>
          <t>uim-esdh-full-2026-07-07</t>
        </is>
      </c>
    </row>
    <row r="39" ht="32" customHeight="1">
      <c r="A39" s="35" t="n">
        <v>38</v>
      </c>
      <c r="B39" s="35" t="inlineStr">
        <is>
          <t>MK-37</t>
        </is>
      </c>
      <c r="C39" s="35" t="inlineStr">
        <is>
          <t>Bilag 1.b</t>
        </is>
      </c>
      <c r="D39" s="35" t="inlineStr">
        <is>
          <t>Dokumenter</t>
        </is>
      </c>
      <c r="E39" s="35" t="inlineStr">
        <is>
          <t>Bilag</t>
        </is>
      </c>
      <c r="F39" s="35" t="inlineStr">
        <is>
          <t>ESDH-løsningen skal understøtte, at et Hoveddokument kan have et eller flere Bilag.</t>
        </is>
      </c>
      <c r="G39" s="35" t="inlineStr">
        <is>
          <t>Mindstekrav</t>
        </is>
      </c>
      <c r="H39" s="35">
        <f>IF(G39="Evalueringskrav","Answer",(IF(G39="Krav","Check",(IF(G39="Mindstekrav","Verify","")))))</f>
        <v/>
      </c>
      <c r="I39" s="35" t="inlineStr">
        <is>
          <t>Ja</t>
        </is>
      </c>
      <c r="J39" s="35" t="n"/>
      <c r="K39" s="47" t="n"/>
      <c r="L39" s="35" t="inlineStr">
        <is>
          <t>Anton</t>
        </is>
      </c>
      <c r="M39" s="35" t="n"/>
      <c r="N39" s="35" t="n"/>
      <c r="O39" s="35" t="inlineStr">
        <is>
          <t>1. Fully met</t>
        </is>
      </c>
      <c r="P39" s="35" t="n"/>
      <c r="Q39" s="35" t="n"/>
      <c r="R39" s="35" t="n"/>
      <c r="S39" s="35" t="n"/>
      <c r="T39" s="35" t="n"/>
      <c r="U39" s="35" t="inlineStr">
        <is>
          <t>Not Started</t>
        </is>
      </c>
      <c r="V39" s="37">
        <f>IF(U39="Not Started",0%,IF(U39="Started",50%,IF(U39="Ready for review",70%,IF(U39="Reviewed - Content",80%,IF(U39="Reviewed - Format",90%,IF(U39="Done",100%,""))))))</f>
        <v/>
      </c>
      <c r="W39" t="inlineStr">
        <is>
          <t>2026-07-07</t>
        </is>
      </c>
      <c r="X39" t="inlineStr">
        <is>
          <t>Cursor / tender-response (batch)</t>
        </is>
      </c>
      <c r="Y39" t="inlineStr">
        <is>
          <t>Met</t>
        </is>
      </c>
      <c r="Z39" t="inlineStr">
        <is>
          <t>Verified</t>
        </is>
      </c>
      <c r="AA39" t="inlineStr">
        <is>
          <t>Verify: Bilag — vurderet opfyldt (tool: 1. Fully met).</t>
        </is>
      </c>
      <c r="AB39" t="inlineStr"/>
      <c r="AC39" t="inlineStr">
        <is>
          <t>docs/product/RFP_Leverandørens_svar_utdrag.txt; docs/tender-reference/extracted/KUM-SLKS/Bilag 3 - Kravspecifikation.txt; docs/tender-reference/extracted/NND/02.01-Tieto-Bilag 2-Vedlegg-Leverandørens utfyllende svar til kravtabell.txt</t>
        </is>
      </c>
      <c r="AD39" t="inlineStr">
        <is>
          <t>Anton: Confirm verify-tekst; opdatér review status efter tjek.</t>
        </is>
      </c>
      <c r="AE39" t="inlineStr"/>
      <c r="AF39" t="inlineStr">
        <is>
          <t>Draft</t>
        </is>
      </c>
      <c r="AG39" t="inlineStr">
        <is>
          <t>uim-esdh-full-2026-07-07</t>
        </is>
      </c>
    </row>
    <row r="40" ht="48" customHeight="1">
      <c r="A40" s="35" t="n">
        <v>39</v>
      </c>
      <c r="B40" s="35" t="inlineStr">
        <is>
          <t>MK-38</t>
        </is>
      </c>
      <c r="C40" s="35" t="inlineStr">
        <is>
          <t>Bilag 1.b</t>
        </is>
      </c>
      <c r="D40" s="35" t="inlineStr">
        <is>
          <t>Dokumenter</t>
        </is>
      </c>
      <c r="E40" s="35" t="inlineStr">
        <is>
          <t>Valg af Hoveddokument og Bilag</t>
        </is>
      </c>
      <c r="F40" s="35" t="inlineStr">
        <is>
          <t>ESDH-løsningen skal understøtte, at Brugeren kan vælge, hvilken Fil der skal være Hoveddokument, og hvilke Filer der skal tilknyttes som Bilag.</t>
        </is>
      </c>
      <c r="G40" s="35" t="inlineStr">
        <is>
          <t>Mindstekrav</t>
        </is>
      </c>
      <c r="H40" s="35">
        <f>IF(G40="Evalueringskrav","Answer",(IF(G40="Krav","Check",(IF(G40="Mindstekrav","Verify","")))))</f>
        <v/>
      </c>
      <c r="I40" s="35" t="inlineStr">
        <is>
          <t>Ja</t>
        </is>
      </c>
      <c r="J40" s="35" t="n"/>
      <c r="K40" s="47" t="n"/>
      <c r="L40" s="35" t="inlineStr">
        <is>
          <t>Anton</t>
        </is>
      </c>
      <c r="M40" s="35" t="n"/>
      <c r="N40" s="35" t="n"/>
      <c r="O40" s="35" t="inlineStr">
        <is>
          <t>1. Fully met</t>
        </is>
      </c>
      <c r="P40" s="35" t="n"/>
      <c r="Q40" s="35" t="n"/>
      <c r="R40" s="35" t="n"/>
      <c r="S40" s="35" t="n"/>
      <c r="T40" s="35" t="n"/>
      <c r="U40" s="35" t="inlineStr">
        <is>
          <t>Not Started</t>
        </is>
      </c>
      <c r="V40" s="37">
        <f>IF(U40="Not Started",0%,IF(U40="Started",50%,IF(U40="Ready for review",70%,IF(U40="Reviewed - Content",80%,IF(U40="Reviewed - Format",90%,IF(U40="Done",100%,""))))))</f>
        <v/>
      </c>
      <c r="W40" t="inlineStr">
        <is>
          <t>2026-07-07</t>
        </is>
      </c>
      <c r="X40" t="inlineStr">
        <is>
          <t>Cursor / tender-response (batch)</t>
        </is>
      </c>
      <c r="Y40" t="inlineStr">
        <is>
          <t>Met</t>
        </is>
      </c>
      <c r="Z40" t="inlineStr">
        <is>
          <t>Verified</t>
        </is>
      </c>
      <c r="AA40" t="inlineStr">
        <is>
          <t>Verify: Valg af Hoveddokument og Bilag — vurderet opfyldt (tool: 1. Fully met).</t>
        </is>
      </c>
      <c r="AB40" t="inlineStr"/>
      <c r="AC40" t="inlineStr">
        <is>
          <t>docs/tender-reference/extracted/KUM-SLKS/Bilag 3 - Kravspecifikation.txt; docs/tender-reference/extracted/Nationalbanken/Bilag 3.i Leverandørens Løsningsbeskrivelse.txt; docs/product/RFP_Leverandørens_svar_utdrag.txt</t>
        </is>
      </c>
      <c r="AD40" t="inlineStr">
        <is>
          <t>Anton: Confirm verify-tekst; opdatér review status efter tjek.</t>
        </is>
      </c>
      <c r="AE40" t="inlineStr"/>
      <c r="AF40" t="inlineStr">
        <is>
          <t>Draft</t>
        </is>
      </c>
      <c r="AG40" t="inlineStr">
        <is>
          <t>uim-esdh-full-2026-07-07</t>
        </is>
      </c>
    </row>
    <row r="41" ht="48" customHeight="1">
      <c r="A41" s="35" t="n">
        <v>40</v>
      </c>
      <c r="B41" s="35" t="inlineStr">
        <is>
          <t>MK-39</t>
        </is>
      </c>
      <c r="C41" s="35" t="inlineStr">
        <is>
          <t>Bilag 1.b</t>
        </is>
      </c>
      <c r="D41" s="35" t="inlineStr">
        <is>
          <t>Dokumenter</t>
        </is>
      </c>
      <c r="E41" s="35" t="inlineStr">
        <is>
          <t>Dokumentets kontakter</t>
        </is>
      </c>
      <c r="F41" s="35" t="inlineStr">
        <is>
          <t>ESDH-løsningen skal understøtte, at et indgående eller udgående Dokument kan tilknyttes en kontakt som henholdsvis afsender eller modtager på Dokumentet.</t>
        </is>
      </c>
      <c r="G41" s="35" t="inlineStr">
        <is>
          <t>Mindstekrav</t>
        </is>
      </c>
      <c r="H41" s="35">
        <f>IF(G41="Evalueringskrav","Answer",(IF(G41="Krav","Check",(IF(G41="Mindstekrav","Verify","")))))</f>
        <v/>
      </c>
      <c r="I41" s="35" t="inlineStr">
        <is>
          <t>Ja</t>
        </is>
      </c>
      <c r="J41" s="35" t="n"/>
      <c r="K41" s="47" t="n"/>
      <c r="L41" s="35" t="inlineStr">
        <is>
          <t>Anton</t>
        </is>
      </c>
      <c r="M41" s="35" t="n"/>
      <c r="N41" s="35" t="n"/>
      <c r="O41" s="35" t="inlineStr">
        <is>
          <t>1. Fully met</t>
        </is>
      </c>
      <c r="P41" s="35" t="n"/>
      <c r="Q41" s="35" t="n"/>
      <c r="R41" s="35" t="n"/>
      <c r="S41" s="35" t="n"/>
      <c r="T41" s="35" t="n"/>
      <c r="U41" s="35" t="inlineStr">
        <is>
          <t>Not Started</t>
        </is>
      </c>
      <c r="V41" s="37">
        <f>IF(U41="Not Started",0%,IF(U41="Started",50%,IF(U41="Ready for review",70%,IF(U41="Reviewed - Content",80%,IF(U41="Reviewed - Format",90%,IF(U41="Done",100%,""))))))</f>
        <v/>
      </c>
      <c r="W41" t="inlineStr">
        <is>
          <t>2026-07-07</t>
        </is>
      </c>
      <c r="X41" t="inlineStr">
        <is>
          <t>Cursor / tender-response (batch)</t>
        </is>
      </c>
      <c r="Y41" t="inlineStr">
        <is>
          <t>Met</t>
        </is>
      </c>
      <c r="Z41" t="inlineStr">
        <is>
          <t>Verified</t>
        </is>
      </c>
      <c r="AA41" t="inlineStr">
        <is>
          <t>Verify: Dokumentets kontakter — vurderet opfyldt (tool: 1. Fully met).</t>
        </is>
      </c>
      <c r="AB41" t="inlineStr"/>
      <c r="AC41" t="inlineStr">
        <is>
          <t>docs/tender-reference/extracted/Nationalbanken/Bilag 3.i Leverandørens Løsningsbeskrivelse.txt; docs/tender-reference/extracted/KUM-SLKS/Bilag 3 - Kravspecifikation.txt; docs/tender-reference/extracted/KK Tender tool.txt</t>
        </is>
      </c>
      <c r="AD41" t="inlineStr">
        <is>
          <t>Anton: Confirm verify-tekst; opdatér review status efter tjek.</t>
        </is>
      </c>
      <c r="AE41" t="inlineStr"/>
      <c r="AF41" t="inlineStr">
        <is>
          <t>Draft</t>
        </is>
      </c>
      <c r="AG41" t="inlineStr">
        <is>
          <t>uim-esdh-full-2026-07-07</t>
        </is>
      </c>
    </row>
    <row r="42" ht="48" customHeight="1">
      <c r="A42" s="35" t="n">
        <v>41</v>
      </c>
      <c r="B42" s="35" t="inlineStr">
        <is>
          <t>MK-40</t>
        </is>
      </c>
      <c r="C42" s="35" t="inlineStr">
        <is>
          <t>Bilag 1.b</t>
        </is>
      </c>
      <c r="D42" s="35" t="inlineStr">
        <is>
          <t>Dokumenter</t>
        </is>
      </c>
      <c r="E42" s="35" t="inlineStr">
        <is>
          <t>Versionsstyring</t>
        </is>
      </c>
      <c r="F42" s="35" t="inlineStr">
        <is>
          <t>ESDH-løsningen skal understøtte versionsstyring af Filer, så hver version af en Fil kan identificeres. Det skal som udgangspunkt kun være den seneste version, der kan åbnes i redigerbar tilstand.</t>
        </is>
      </c>
      <c r="G42" s="35" t="inlineStr">
        <is>
          <t>Mindstekrav</t>
        </is>
      </c>
      <c r="H42" s="35">
        <f>IF(G42="Evalueringskrav","Answer",(IF(G42="Krav","Check",(IF(G42="Mindstekrav","Verify","")))))</f>
        <v/>
      </c>
      <c r="I42" s="35" t="inlineStr">
        <is>
          <t>Ja</t>
        </is>
      </c>
      <c r="J42" s="35" t="n"/>
      <c r="K42" s="47" t="n"/>
      <c r="L42" s="35" t="inlineStr">
        <is>
          <t>Anton</t>
        </is>
      </c>
      <c r="M42" s="35" t="n"/>
      <c r="N42" s="35" t="n"/>
      <c r="O42" s="35" t="inlineStr">
        <is>
          <t>1. Fully met</t>
        </is>
      </c>
      <c r="P42" s="35" t="n"/>
      <c r="Q42" s="35" t="n"/>
      <c r="R42" s="35" t="n"/>
      <c r="S42" s="35" t="n"/>
      <c r="T42" s="35" t="n"/>
      <c r="U42" s="35" t="inlineStr">
        <is>
          <t>Not Started</t>
        </is>
      </c>
      <c r="V42" s="37">
        <f>IF(U42="Not Started",0%,IF(U42="Started",50%,IF(U42="Ready for review",70%,IF(U42="Reviewed - Content",80%,IF(U42="Reviewed - Format",90%,IF(U42="Done",100%,""))))))</f>
        <v/>
      </c>
      <c r="W42" t="inlineStr">
        <is>
          <t>2026-07-07</t>
        </is>
      </c>
      <c r="X42" t="inlineStr">
        <is>
          <t>Cursor / tender-response (batch)</t>
        </is>
      </c>
      <c r="Y42" t="inlineStr">
        <is>
          <t>Met</t>
        </is>
      </c>
      <c r="Z42" t="inlineStr">
        <is>
          <t>Verified</t>
        </is>
      </c>
      <c r="AA42" t="inlineStr">
        <is>
          <t>Verify: Versionsstyring — vurderet opfyldt (tool: 1. Fully met).</t>
        </is>
      </c>
      <c r="AB42" t="inlineStr"/>
      <c r="AC42" t="inlineStr">
        <is>
          <t>docs/tender-reference/extracted/KK Tender tool.txt; docs/tender-reference/extracted/Nationalbanken/Bilag 3.i Leverandørens Løsningsbeskrivelse.txt; docs/tender-reference/extracted/KUM-SLKS/Bilag 3 - Kravspecifikation.txt</t>
        </is>
      </c>
      <c r="AD42" t="inlineStr">
        <is>
          <t>Anton: Confirm verify-tekst; opdatér review status efter tjek.</t>
        </is>
      </c>
      <c r="AE42" t="inlineStr"/>
      <c r="AF42" t="inlineStr">
        <is>
          <t>Draft</t>
        </is>
      </c>
      <c r="AG42" t="inlineStr">
        <is>
          <t>uim-esdh-full-2026-07-07</t>
        </is>
      </c>
    </row>
    <row r="43" ht="48" customHeight="1">
      <c r="A43" s="35" t="n">
        <v>42</v>
      </c>
      <c r="B43" s="35" t="inlineStr">
        <is>
          <t>MK-41</t>
        </is>
      </c>
      <c r="C43" s="35" t="inlineStr">
        <is>
          <t>Bilag 1.b</t>
        </is>
      </c>
      <c r="D43" s="35" t="inlineStr">
        <is>
          <t>Dokumenter</t>
        </is>
      </c>
      <c r="E43" s="35" t="inlineStr">
        <is>
          <t>Genskabelse af tidligere filversion</t>
        </is>
      </c>
      <c r="F43" s="35" t="inlineStr">
        <is>
          <t>ESDH-løsningen skal understøtte, at Brugere kan genskabe en tidligere version af en Fil, så den overskriver den nyeste version. Begge versioner skal bevares i versionshistorikken.</t>
        </is>
      </c>
      <c r="G43" s="35" t="inlineStr">
        <is>
          <t>Mindstekrav</t>
        </is>
      </c>
      <c r="H43" s="35">
        <f>IF(G43="Evalueringskrav","Answer",(IF(G43="Krav","Check",(IF(G43="Mindstekrav","Verify","")))))</f>
        <v/>
      </c>
      <c r="I43" s="35" t="inlineStr">
        <is>
          <t>Ja</t>
        </is>
      </c>
      <c r="J43" s="35" t="n"/>
      <c r="K43" s="47" t="n"/>
      <c r="L43" s="35" t="inlineStr">
        <is>
          <t>Anton</t>
        </is>
      </c>
      <c r="M43" s="35" t="n"/>
      <c r="N43" s="35" t="n"/>
      <c r="O43" s="35" t="inlineStr">
        <is>
          <t>1. Fully met</t>
        </is>
      </c>
      <c r="P43" s="35" t="n"/>
      <c r="Q43" s="35" t="n"/>
      <c r="R43" s="35" t="n"/>
      <c r="S43" s="35" t="n"/>
      <c r="T43" s="35" t="n"/>
      <c r="U43" s="35" t="inlineStr">
        <is>
          <t>Not Started</t>
        </is>
      </c>
      <c r="V43" s="37">
        <f>IF(U43="Not Started",0%,IF(U43="Started",50%,IF(U43="Ready for review",70%,IF(U43="Reviewed - Content",80%,IF(U43="Reviewed - Format",90%,IF(U43="Done",100%,""))))))</f>
        <v/>
      </c>
      <c r="W43" t="inlineStr">
        <is>
          <t>2026-07-07</t>
        </is>
      </c>
      <c r="X43" t="inlineStr">
        <is>
          <t>Cursor / tender-response (batch)</t>
        </is>
      </c>
      <c r="Y43" t="inlineStr">
        <is>
          <t>Met</t>
        </is>
      </c>
      <c r="Z43" t="inlineStr">
        <is>
          <t>Verified</t>
        </is>
      </c>
      <c r="AA43" t="inlineStr">
        <is>
          <t>Verify: Genskabelse af tidligere filversion — vurderet opfyldt (tool: 1. Fully met).</t>
        </is>
      </c>
      <c r="AB43" t="inlineStr"/>
      <c r="AC43" t="inlineStr">
        <is>
          <t>docs/tender-reference/extracted/Nationalbanken/Bilag 3.i Leverandørens Løsningsbeskrivelse.txt; docs/tender-reference/extracted/KK Tender tool.txt; docs/tender-reference/extracted/KUM-SLKS/Bilag 3 - Kravspecifikation.txt</t>
        </is>
      </c>
      <c r="AD43" t="inlineStr">
        <is>
          <t>Anton: Confirm verify-tekst; opdatér review status efter tjek.</t>
        </is>
      </c>
      <c r="AE43" t="inlineStr"/>
      <c r="AF43" t="inlineStr">
        <is>
          <t>Draft</t>
        </is>
      </c>
      <c r="AG43" t="inlineStr">
        <is>
          <t>uim-esdh-full-2026-07-07</t>
        </is>
      </c>
    </row>
    <row r="44" ht="48" customHeight="1">
      <c r="A44" s="35" t="n">
        <v>43</v>
      </c>
      <c r="B44" s="35" t="inlineStr">
        <is>
          <t>MK-42</t>
        </is>
      </c>
      <c r="C44" s="35" t="inlineStr">
        <is>
          <t>Bilag 1.b</t>
        </is>
      </c>
      <c r="D44" s="35" t="inlineStr">
        <is>
          <t>Dokumenter</t>
        </is>
      </c>
      <c r="E44" s="35" t="inlineStr">
        <is>
          <t>Låsning af filversioner ved journalisering</t>
        </is>
      </c>
      <c r="F44" s="35" t="inlineStr">
        <is>
          <t>ESDH-løsningen skal understøtte, at et journaliseret Dokuments tidligere filversioner er tilgængelige i Løsningen.</t>
        </is>
      </c>
      <c r="G44" s="35" t="inlineStr">
        <is>
          <t>Mindstekrav</t>
        </is>
      </c>
      <c r="H44" s="35">
        <f>IF(G44="Evalueringskrav","Answer",(IF(G44="Krav","Check",(IF(G44="Mindstekrav","Verify","")))))</f>
        <v/>
      </c>
      <c r="I44" s="35" t="inlineStr">
        <is>
          <t>Ja</t>
        </is>
      </c>
      <c r="J44" s="35" t="n"/>
      <c r="K44" s="47" t="n"/>
      <c r="L44" s="35" t="inlineStr">
        <is>
          <t>Anton</t>
        </is>
      </c>
      <c r="M44" s="35" t="n"/>
      <c r="N44" s="35" t="n"/>
      <c r="O44" s="35" t="inlineStr">
        <is>
          <t>1. Fully met</t>
        </is>
      </c>
      <c r="P44" s="35" t="n"/>
      <c r="Q44" s="35" t="n"/>
      <c r="R44" s="35" t="n"/>
      <c r="S44" s="35" t="n"/>
      <c r="T44" s="35" t="n"/>
      <c r="U44" s="35" t="inlineStr">
        <is>
          <t>Not Started</t>
        </is>
      </c>
      <c r="V44" s="37">
        <f>IF(U44="Not Started",0%,IF(U44="Started",50%,IF(U44="Ready for review",70%,IF(U44="Reviewed - Content",80%,IF(U44="Reviewed - Format",90%,IF(U44="Done",100%,""))))))</f>
        <v/>
      </c>
      <c r="W44" t="inlineStr">
        <is>
          <t>2026-07-07</t>
        </is>
      </c>
      <c r="X44" t="inlineStr">
        <is>
          <t>Cursor / tender-response (batch)</t>
        </is>
      </c>
      <c r="Y44" t="inlineStr">
        <is>
          <t>Met</t>
        </is>
      </c>
      <c r="Z44" t="inlineStr">
        <is>
          <t>Verified</t>
        </is>
      </c>
      <c r="AA44" t="inlineStr">
        <is>
          <t>Verify: Låsning af filversioner ved journalisering — vurderet opfyldt (tool: 1. Fully met).</t>
        </is>
      </c>
      <c r="AB44" t="inlineStr"/>
      <c r="AC44" t="inlineStr">
        <is>
          <t>docs/tender-reference/extracted/KK Tender tool.txt; docs/tender-reference/extracted/KUM-SLKS/Bilag 3 - Kravspecifikation.txt; docs/tender-reference/extracted/Nationalbanken/Bilag 3.i Leverandørens Løsningsbeskrivelse.txt</t>
        </is>
      </c>
      <c r="AD44" t="inlineStr">
        <is>
          <t>Anton: Confirm verify-tekst; opdatér review status efter tjek.</t>
        </is>
      </c>
      <c r="AE44" t="inlineStr"/>
      <c r="AF44" t="inlineStr">
        <is>
          <t>Draft</t>
        </is>
      </c>
      <c r="AG44" t="inlineStr">
        <is>
          <t>uim-esdh-full-2026-07-07</t>
        </is>
      </c>
    </row>
    <row r="45" ht="48" customHeight="1">
      <c r="A45" s="35" t="n">
        <v>44</v>
      </c>
      <c r="B45" s="35" t="inlineStr">
        <is>
          <t>MK-43</t>
        </is>
      </c>
      <c r="C45" s="35" t="inlineStr">
        <is>
          <t>Bilag 1.b</t>
        </is>
      </c>
      <c r="D45" s="35" t="inlineStr">
        <is>
          <t>Dokumenter</t>
        </is>
      </c>
      <c r="E45" s="35" t="inlineStr">
        <is>
          <t>Kopi af Dokument</t>
        </is>
      </c>
      <c r="F45" s="35" t="inlineStr">
        <is>
          <t>ESDH-løsningen skal understøtte, at der kan oprettes en kopi af et eksisterende Dokument. Dokumentets tilknyttede Filer, Bilag, metadata og tilknyttede parter skal overføres til det nye Dokument.</t>
        </is>
      </c>
      <c r="G45" s="35" t="inlineStr">
        <is>
          <t>Mindstekrav</t>
        </is>
      </c>
      <c r="H45" s="35">
        <f>IF(G45="Evalueringskrav","Answer",(IF(G45="Krav","Check",(IF(G45="Mindstekrav","Verify","")))))</f>
        <v/>
      </c>
      <c r="I45" s="35" t="inlineStr">
        <is>
          <t>Ja</t>
        </is>
      </c>
      <c r="J45" s="35" t="n"/>
      <c r="K45" s="47" t="n"/>
      <c r="L45" s="35" t="inlineStr">
        <is>
          <t>Anton</t>
        </is>
      </c>
      <c r="M45" s="35" t="n"/>
      <c r="N45" s="35" t="n"/>
      <c r="O45" s="35" t="inlineStr">
        <is>
          <t>1. Fully met</t>
        </is>
      </c>
      <c r="P45" s="35" t="n"/>
      <c r="Q45" s="35" t="n"/>
      <c r="R45" s="35" t="n"/>
      <c r="S45" s="35" t="n"/>
      <c r="T45" s="35" t="n"/>
      <c r="U45" s="35" t="inlineStr">
        <is>
          <t>Not Started</t>
        </is>
      </c>
      <c r="V45" s="37">
        <f>IF(U45="Not Started",0%,IF(U45="Started",50%,IF(U45="Ready for review",70%,IF(U45="Reviewed - Content",80%,IF(U45="Reviewed - Format",90%,IF(U45="Done",100%,""))))))</f>
        <v/>
      </c>
      <c r="W45" t="inlineStr">
        <is>
          <t>2026-07-07</t>
        </is>
      </c>
      <c r="X45" t="inlineStr">
        <is>
          <t>Cursor / tender-response (batch)</t>
        </is>
      </c>
      <c r="Y45" t="inlineStr">
        <is>
          <t>Met</t>
        </is>
      </c>
      <c r="Z45" t="inlineStr">
        <is>
          <t>Verified</t>
        </is>
      </c>
      <c r="AA45" t="inlineStr">
        <is>
          <t>Verify: Kopi af Dokument — vurderet opfyldt (tool: 1. Fully met).</t>
        </is>
      </c>
      <c r="AB45" t="inlineStr"/>
      <c r="AC45" t="inlineStr">
        <is>
          <t>docs/tender-reference/extracted/Nationalbanken/Bilag 3.i Leverandørens Løsningsbeskrivelse.txt; docs/product/RFP_Leverandørens_svar_utdrag.txt; docs/tender-reference/extracted/HSØ/02.00-Tietoevry-SSA-L-Bilag 2-Leverandørens beskrivelse av Tjenesten.txt</t>
        </is>
      </c>
      <c r="AD45" t="inlineStr">
        <is>
          <t>Anton: Confirm verify-tekst; opdatér review status efter tjek.</t>
        </is>
      </c>
      <c r="AE45" t="inlineStr"/>
      <c r="AF45" t="inlineStr">
        <is>
          <t>Draft</t>
        </is>
      </c>
      <c r="AG45" t="inlineStr">
        <is>
          <t>uim-esdh-full-2026-07-07</t>
        </is>
      </c>
    </row>
    <row r="46" ht="48" customHeight="1">
      <c r="A46" s="35" t="n">
        <v>45</v>
      </c>
      <c r="B46" s="35" t="inlineStr">
        <is>
          <t>MK-44</t>
        </is>
      </c>
      <c r="C46" s="35" t="inlineStr">
        <is>
          <t>Bilag 1.b</t>
        </is>
      </c>
      <c r="D46" s="35" t="inlineStr">
        <is>
          <t>Dokumenter</t>
        </is>
      </c>
      <c r="E46" s="35" t="inlineStr">
        <is>
          <t>Omjournalisering af Dokumenter mellem sager</t>
        </is>
      </c>
      <c r="F46" s="35" t="inlineStr">
        <is>
          <t>ESDH-løsningen skal understøtte, at Dokumenter med tilknyttede Filer kan omjournaliseres fra én sag til en anden, og at det fremgår af den oprindelige sag, hvilken sag Dokumentet er omjournaliseret til.</t>
        </is>
      </c>
      <c r="G46" s="35" t="inlineStr">
        <is>
          <t>Mindstekrav</t>
        </is>
      </c>
      <c r="H46" s="35">
        <f>IF(G46="Evalueringskrav","Answer",(IF(G46="Krav","Check",(IF(G46="Mindstekrav","Verify","")))))</f>
        <v/>
      </c>
      <c r="I46" s="35" t="inlineStr">
        <is>
          <t>Ja</t>
        </is>
      </c>
      <c r="J46" s="35" t="n"/>
      <c r="K46" s="47" t="n"/>
      <c r="L46" s="35" t="inlineStr">
        <is>
          <t>Anton</t>
        </is>
      </c>
      <c r="M46" s="35" t="n"/>
      <c r="N46" s="35" t="n"/>
      <c r="O46" s="35" t="inlineStr">
        <is>
          <t>1. Fully met</t>
        </is>
      </c>
      <c r="P46" s="35" t="n"/>
      <c r="Q46" s="35" t="n"/>
      <c r="R46" s="35" t="n"/>
      <c r="S46" s="35" t="n"/>
      <c r="T46" s="35" t="n"/>
      <c r="U46" s="35" t="inlineStr">
        <is>
          <t>Not Started</t>
        </is>
      </c>
      <c r="V46" s="37">
        <f>IF(U46="Not Started",0%,IF(U46="Started",50%,IF(U46="Ready for review",70%,IF(U46="Reviewed - Content",80%,IF(U46="Reviewed - Format",90%,IF(U46="Done",100%,""))))))</f>
        <v/>
      </c>
      <c r="W46" t="inlineStr">
        <is>
          <t>2026-07-07</t>
        </is>
      </c>
      <c r="X46" t="inlineStr">
        <is>
          <t>Cursor / tender-response (batch)</t>
        </is>
      </c>
      <c r="Y46" t="inlineStr">
        <is>
          <t>Met</t>
        </is>
      </c>
      <c r="Z46" t="inlineStr">
        <is>
          <t>Verified</t>
        </is>
      </c>
      <c r="AA46" t="inlineStr">
        <is>
          <t>Verify: Omjournalisering af Dokumenter mellem sager — vurderet opfyldt (tool: 1. Fully met).</t>
        </is>
      </c>
      <c r="AB46" t="inlineStr"/>
      <c r="AC46" t="inlineStr">
        <is>
          <t>docs/tender-reference/extracted/KK Tender tool.txt; docs/tender-reference/extracted/KUM-SLKS/Bilag 3 - Kravspecifikation.txt; docs/tender-reference/extracted/Nationalbanken/Bilag 3.i Leverandørens Løsningsbeskrivelse.txt</t>
        </is>
      </c>
      <c r="AD46" t="inlineStr">
        <is>
          <t>Anton: Confirm verify-tekst; opdatér review status efter tjek.</t>
        </is>
      </c>
      <c r="AE46" t="inlineStr"/>
      <c r="AF46" t="inlineStr">
        <is>
          <t>Draft</t>
        </is>
      </c>
      <c r="AG46" t="inlineStr">
        <is>
          <t>uim-esdh-full-2026-07-07</t>
        </is>
      </c>
    </row>
    <row r="47" ht="48" customHeight="1">
      <c r="A47" s="35" t="n">
        <v>46</v>
      </c>
      <c r="B47" s="35" t="inlineStr">
        <is>
          <t>MK-45</t>
        </is>
      </c>
      <c r="C47" s="35" t="inlineStr">
        <is>
          <t>Bilag 1.b</t>
        </is>
      </c>
      <c r="D47" s="35" t="inlineStr">
        <is>
          <t>Dokumenter</t>
        </is>
      </c>
      <c r="E47" s="35" t="inlineStr">
        <is>
          <t>Beskyttelse af journaliserede Dokumenter</t>
        </is>
      </c>
      <c r="F47" s="35" t="inlineStr">
        <is>
          <t>ESDH-løsningen skal understøtte, at journaliserede Dokumenter ikke kan slettes af Brugere uden rettigheder. De skal håndteres i overensstemmelse med Løsningens slette- og bevaringsregler.</t>
        </is>
      </c>
      <c r="G47" s="35" t="inlineStr">
        <is>
          <t>Mindstekrav</t>
        </is>
      </c>
      <c r="H47" s="35">
        <f>IF(G47="Evalueringskrav","Answer",(IF(G47="Krav","Check",(IF(G47="Mindstekrav","Verify","")))))</f>
        <v/>
      </c>
      <c r="I47" s="35" t="inlineStr">
        <is>
          <t>Ja</t>
        </is>
      </c>
      <c r="J47" s="35" t="n"/>
      <c r="K47" s="47" t="n"/>
      <c r="L47" s="35" t="inlineStr">
        <is>
          <t>Anton</t>
        </is>
      </c>
      <c r="M47" s="35" t="n"/>
      <c r="N47" s="35" t="n"/>
      <c r="O47" s="35" t="inlineStr">
        <is>
          <t>1. Fully met</t>
        </is>
      </c>
      <c r="P47" s="35" t="n"/>
      <c r="Q47" s="35" t="n"/>
      <c r="R47" s="35" t="n"/>
      <c r="S47" s="35" t="n"/>
      <c r="T47" s="35" t="n"/>
      <c r="U47" s="35" t="inlineStr">
        <is>
          <t>Not Started</t>
        </is>
      </c>
      <c r="V47" s="37">
        <f>IF(U47="Not Started",0%,IF(U47="Started",50%,IF(U47="Ready for review",70%,IF(U47="Reviewed - Content",80%,IF(U47="Reviewed - Format",90%,IF(U47="Done",100%,""))))))</f>
        <v/>
      </c>
      <c r="W47" t="inlineStr">
        <is>
          <t>2026-07-07</t>
        </is>
      </c>
      <c r="X47" t="inlineStr">
        <is>
          <t>Cursor / tender-response (batch)</t>
        </is>
      </c>
      <c r="Y47" t="inlineStr">
        <is>
          <t>Met</t>
        </is>
      </c>
      <c r="Z47" t="inlineStr">
        <is>
          <t>Verified</t>
        </is>
      </c>
      <c r="AA47" t="inlineStr">
        <is>
          <t>Verify: Beskyttelse af journaliserede Dokumenter — vurderet opfyldt (tool: 1. Fully met).</t>
        </is>
      </c>
      <c r="AB47" t="inlineStr"/>
      <c r="AC47" t="inlineStr">
        <is>
          <t>docs/tender-reference/extracted/KK Tender tool.txt; docs/tender-reference/extracted/Nationalbanken/Bilag 3.i Leverandørens Løsningsbeskrivelse.txt; docs/tender-reference/extracted/HSØ/02.00-Tietoevry-SSA-L-Bilag 2-Leverandørens beskrivelse av Tjenesten.txt</t>
        </is>
      </c>
      <c r="AD47" t="inlineStr">
        <is>
          <t>Anton: Confirm verify-tekst; opdatér review status efter tjek.</t>
        </is>
      </c>
      <c r="AE47" t="inlineStr"/>
      <c r="AF47" t="inlineStr">
        <is>
          <t>Draft</t>
        </is>
      </c>
      <c r="AG47" t="inlineStr">
        <is>
          <t>uim-esdh-full-2026-07-07</t>
        </is>
      </c>
    </row>
    <row r="48" ht="64" customHeight="1">
      <c r="A48" s="35" t="n">
        <v>47</v>
      </c>
      <c r="B48" s="35" t="inlineStr">
        <is>
          <t>MK-46</t>
        </is>
      </c>
      <c r="C48" s="35" t="inlineStr">
        <is>
          <t>Bilag 1.b</t>
        </is>
      </c>
      <c r="D48" s="35" t="inlineStr">
        <is>
          <t>Dokumenter</t>
        </is>
      </c>
      <c r="E48" s="35" t="inlineStr">
        <is>
          <t>Noter</t>
        </is>
      </c>
      <c r="F48" s="35" t="inlineStr">
        <is>
          <t>ESDH-løsningen skal understøtte, at der kan oprettes noter på Dokumenter. Oplysninger om sagsbehandler, dato og klokkeslæt skal fremgå af noten. Alle Brugere med adgang til Dokumentet skal kunne se agere på noten i sagsbehandlingen.</t>
        </is>
      </c>
      <c r="G48" s="35" t="inlineStr">
        <is>
          <t>Mindstekrav</t>
        </is>
      </c>
      <c r="H48" s="35">
        <f>IF(G48="Evalueringskrav","Answer",(IF(G48="Krav","Check",(IF(G48="Mindstekrav","Verify","")))))</f>
        <v/>
      </c>
      <c r="I48" s="35" t="inlineStr">
        <is>
          <t>Ja</t>
        </is>
      </c>
      <c r="J48" s="35" t="n"/>
      <c r="K48" s="47" t="n"/>
      <c r="L48" s="35" t="inlineStr">
        <is>
          <t>Anton</t>
        </is>
      </c>
      <c r="M48" s="35" t="n"/>
      <c r="N48" s="35" t="n"/>
      <c r="O48" s="35" t="inlineStr">
        <is>
          <t>1. Fully met</t>
        </is>
      </c>
      <c r="P48" s="35" t="n"/>
      <c r="Q48" s="35" t="n"/>
      <c r="R48" s="35" t="n"/>
      <c r="S48" s="35" t="n"/>
      <c r="T48" s="35" t="n"/>
      <c r="U48" s="35" t="inlineStr">
        <is>
          <t>Not Started</t>
        </is>
      </c>
      <c r="V48" s="37">
        <f>IF(U48="Not Started",0%,IF(U48="Started",50%,IF(U48="Ready for review",70%,IF(U48="Reviewed - Content",80%,IF(U48="Reviewed - Format",90%,IF(U48="Done",100%,""))))))</f>
        <v/>
      </c>
      <c r="W48" t="inlineStr">
        <is>
          <t>2026-07-07</t>
        </is>
      </c>
      <c r="X48" t="inlineStr">
        <is>
          <t>Cursor / tender-response (batch)</t>
        </is>
      </c>
      <c r="Y48" t="inlineStr">
        <is>
          <t>Met</t>
        </is>
      </c>
      <c r="Z48" t="inlineStr">
        <is>
          <t>Verified</t>
        </is>
      </c>
      <c r="AA48" t="inlineStr">
        <is>
          <t>Verify: Noter — vurderet opfyldt (tool: 1. Fully met).</t>
        </is>
      </c>
      <c r="AB48" t="inlineStr"/>
      <c r="AC48" t="inlineStr">
        <is>
          <t>docs/tender-reference/extracted/Nationalbanken/Bilag 3.i Leverandørens Løsningsbeskrivelse.txt; docs/tender-reference/extracted/KK Tender tool.txt; docs/tender-reference/extracted/KUM-SLKS/Bilag 3 - Kravspecifikation.txt</t>
        </is>
      </c>
      <c r="AD48" t="inlineStr">
        <is>
          <t>Anton: Confirm verify-tekst; opdatér review status efter tjek.</t>
        </is>
      </c>
      <c r="AE48" t="inlineStr"/>
      <c r="AF48" t="inlineStr">
        <is>
          <t>Draft</t>
        </is>
      </c>
      <c r="AG48" t="inlineStr">
        <is>
          <t>uim-esdh-full-2026-07-07</t>
        </is>
      </c>
    </row>
    <row r="49" ht="48" customHeight="1">
      <c r="A49" s="35" t="n">
        <v>48</v>
      </c>
      <c r="B49" s="35" t="inlineStr">
        <is>
          <t>MK-47</t>
        </is>
      </c>
      <c r="C49" s="35" t="inlineStr">
        <is>
          <t>Bilag 1.b</t>
        </is>
      </c>
      <c r="D49" s="35" t="inlineStr">
        <is>
          <t>Dokumenter</t>
        </is>
      </c>
      <c r="E49" s="35" t="inlineStr">
        <is>
          <t>Dokumentets frister</t>
        </is>
      </c>
      <c r="F49" s="35" t="inlineStr">
        <is>
          <t>ESDH-løsningen skal understøtte, at der kan indsættes, rettes og fjernes frister på Dokumenter. Fristen skal som minimum bestå af en fristtype, fristdato og fristansvarlig.</t>
        </is>
      </c>
      <c r="G49" s="35" t="inlineStr">
        <is>
          <t>Mindstekrav</t>
        </is>
      </c>
      <c r="H49" s="35">
        <f>IF(G49="Evalueringskrav","Answer",(IF(G49="Krav","Check",(IF(G49="Mindstekrav","Verify","")))))</f>
        <v/>
      </c>
      <c r="I49" s="35" t="inlineStr">
        <is>
          <t>Ja</t>
        </is>
      </c>
      <c r="J49" s="35" t="n"/>
      <c r="K49" s="47" t="n"/>
      <c r="L49" s="35" t="inlineStr">
        <is>
          <t>Anton</t>
        </is>
      </c>
      <c r="M49" s="35" t="n"/>
      <c r="N49" s="35" t="n"/>
      <c r="O49" s="35" t="inlineStr">
        <is>
          <t>1. Fully met</t>
        </is>
      </c>
      <c r="P49" s="35" t="n"/>
      <c r="Q49" s="35" t="n"/>
      <c r="R49" s="35" t="n"/>
      <c r="S49" s="35" t="n"/>
      <c r="T49" s="35" t="n"/>
      <c r="U49" s="35" t="inlineStr">
        <is>
          <t>Not Started</t>
        </is>
      </c>
      <c r="V49" s="37">
        <f>IF(U49="Not Started",0%,IF(U49="Started",50%,IF(U49="Ready for review",70%,IF(U49="Reviewed - Content",80%,IF(U49="Reviewed - Format",90%,IF(U49="Done",100%,""))))))</f>
        <v/>
      </c>
      <c r="W49" t="inlineStr">
        <is>
          <t>2026-07-07</t>
        </is>
      </c>
      <c r="X49" t="inlineStr">
        <is>
          <t>Cursor / tender-response (batch)</t>
        </is>
      </c>
      <c r="Y49" t="inlineStr">
        <is>
          <t>Met</t>
        </is>
      </c>
      <c r="Z49" t="inlineStr">
        <is>
          <t>Verified</t>
        </is>
      </c>
      <c r="AA49" t="inlineStr">
        <is>
          <t>Verify: Dokumentets frister — vurderet opfyldt (tool: 1. Fully met).</t>
        </is>
      </c>
      <c r="AB49" t="inlineStr"/>
      <c r="AC49" t="inlineStr">
        <is>
          <t>docs/tender-reference/extracted/Nationalbanken/Bilag 3.i Leverandørens Løsningsbeskrivelse.txt; docs/tender-reference/extracted/NND/02.01-Tieto-Bilag 2-Vedlegg-Leverandørens utfyllende svar til kravtabell.txt; docs/product/RFP_Leverandørens_svar_utdrag.txt</t>
        </is>
      </c>
      <c r="AD49" t="inlineStr">
        <is>
          <t>Anton: Confirm verify-tekst; opdatér review status efter tjek.</t>
        </is>
      </c>
      <c r="AE49" t="inlineStr"/>
      <c r="AF49" t="inlineStr">
        <is>
          <t>Draft</t>
        </is>
      </c>
      <c r="AG49" t="inlineStr">
        <is>
          <t>uim-esdh-full-2026-07-07</t>
        </is>
      </c>
    </row>
    <row r="50" ht="32" customHeight="1">
      <c r="A50" s="35" t="n">
        <v>49</v>
      </c>
      <c r="B50" s="35" t="inlineStr">
        <is>
          <t>MK-48</t>
        </is>
      </c>
      <c r="C50" s="35" t="inlineStr">
        <is>
          <t>Bilag 1.b</t>
        </is>
      </c>
      <c r="D50" s="35" t="inlineStr">
        <is>
          <t>Dokumenter</t>
        </is>
      </c>
      <c r="E50" s="35" t="inlineStr">
        <is>
          <t>Afdelingsspecifikke frister</t>
        </is>
      </c>
      <c r="F50" s="35" t="inlineStr">
        <is>
          <t>ESDH-løsningen skal understøtte, at Brugere kan indsætte, rette og fjerne én eller flere afdelingsspecifikke frister på Dokumenter.</t>
        </is>
      </c>
      <c r="G50" s="35" t="inlineStr">
        <is>
          <t>Mindstekrav</t>
        </is>
      </c>
      <c r="H50" s="35">
        <f>IF(G50="Evalueringskrav","Answer",(IF(G50="Krav","Check",(IF(G50="Mindstekrav","Verify","")))))</f>
        <v/>
      </c>
      <c r="I50" s="35" t="inlineStr">
        <is>
          <t>Ja</t>
        </is>
      </c>
      <c r="J50" s="35" t="n"/>
      <c r="K50" s="47" t="n"/>
      <c r="L50" s="35" t="inlineStr">
        <is>
          <t>Anton</t>
        </is>
      </c>
      <c r="M50" s="35" t="n"/>
      <c r="N50" s="35" t="n"/>
      <c r="O50" s="35" t="inlineStr">
        <is>
          <t>1. Fully met</t>
        </is>
      </c>
      <c r="P50" s="35" t="n"/>
      <c r="Q50" s="35" t="n"/>
      <c r="R50" s="35" t="n"/>
      <c r="S50" s="35" t="n"/>
      <c r="T50" s="35" t="n"/>
      <c r="U50" s="35" t="inlineStr">
        <is>
          <t>Not Started</t>
        </is>
      </c>
      <c r="V50" s="37">
        <f>IF(U50="Not Started",0%,IF(U50="Started",50%,IF(U50="Ready for review",70%,IF(U50="Reviewed - Content",80%,IF(U50="Reviewed - Format",90%,IF(U50="Done",100%,""))))))</f>
        <v/>
      </c>
      <c r="W50" t="inlineStr">
        <is>
          <t>2026-07-07</t>
        </is>
      </c>
      <c r="X50" t="inlineStr">
        <is>
          <t>Cursor / tender-response (batch)</t>
        </is>
      </c>
      <c r="Y50" t="inlineStr">
        <is>
          <t>Met</t>
        </is>
      </c>
      <c r="Z50" t="inlineStr">
        <is>
          <t>Verified</t>
        </is>
      </c>
      <c r="AA50" t="inlineStr">
        <is>
          <t>Verify: Afdelingsspecifikke frister — vurderet opfyldt (tool: 1. Fully met).</t>
        </is>
      </c>
      <c r="AB50" t="inlineStr"/>
      <c r="AC50" t="inlineStr">
        <is>
          <t>docs/tender-reference/extracted/KUM-SLKS/Bilag 3 - Kravspecifikation.txt; docs/tender-reference/extracted/Nationalbanken/Bilag 3.i Leverandørens Løsningsbeskrivelse.txt; docs/tender-reference/extracted/KK Tender tool.txt</t>
        </is>
      </c>
      <c r="AD50" t="inlineStr">
        <is>
          <t>Anton: Confirm verify-tekst; opdatér review status efter tjek.</t>
        </is>
      </c>
      <c r="AE50" t="inlineStr"/>
      <c r="AF50" t="inlineStr">
        <is>
          <t>Draft</t>
        </is>
      </c>
      <c r="AG50" t="inlineStr">
        <is>
          <t>uim-esdh-full-2026-07-07</t>
        </is>
      </c>
    </row>
    <row r="51" ht="80" customHeight="1">
      <c r="A51" s="35" t="n">
        <v>50</v>
      </c>
      <c r="B51" s="35" t="inlineStr">
        <is>
          <t>MK-49</t>
        </is>
      </c>
      <c r="C51" s="35" t="inlineStr">
        <is>
          <t>Bilag 1.b</t>
        </is>
      </c>
      <c r="D51" s="35" t="inlineStr">
        <is>
          <t>Dokumenter</t>
        </is>
      </c>
      <c r="E51" s="35" t="inlineStr">
        <is>
          <t>Integreret viewer</t>
        </is>
      </c>
      <c r="F51" s="35" t="inlineStr">
        <is>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is>
      </c>
      <c r="G51" s="35" t="inlineStr">
        <is>
          <t>Mindstekrav</t>
        </is>
      </c>
      <c r="H51" s="35">
        <f>IF(G51="Evalueringskrav","Answer",(IF(G51="Krav","Check",(IF(G51="Mindstekrav","Verify","")))))</f>
        <v/>
      </c>
      <c r="I51" s="35" t="inlineStr">
        <is>
          <t>Ja</t>
        </is>
      </c>
      <c r="J51" s="35" t="n"/>
      <c r="K51" s="47" t="n"/>
      <c r="L51" s="35" t="inlineStr">
        <is>
          <t>Eva</t>
        </is>
      </c>
      <c r="M51" s="35" t="n"/>
      <c r="N51" s="35" t="inlineStr">
        <is>
          <t>Fileviewer</t>
        </is>
      </c>
      <c r="O51" s="35" t="inlineStr">
        <is>
          <t>1. Fully met</t>
        </is>
      </c>
      <c r="P51" s="35" t="inlineStr">
        <is>
          <t>ADN: ”Direkte” er problematisk, hvis det forbyder os fra et nyt vindue.</t>
        </is>
      </c>
      <c r="Q51" s="35" t="n"/>
      <c r="R51" s="35" t="n"/>
      <c r="S51" s="35" t="n"/>
      <c r="T51" s="35" t="n"/>
      <c r="U51" s="35" t="inlineStr">
        <is>
          <t>Not Started</t>
        </is>
      </c>
      <c r="V51" s="37">
        <f>IF(U51="Not Started",0%,IF(U51="Started",50%,IF(U51="Ready for review",70%,IF(U51="Reviewed - Content",80%,IF(U51="Reviewed - Format",90%,IF(U51="Done",100%,""))))))</f>
        <v/>
      </c>
      <c r="W51" t="inlineStr">
        <is>
          <t>2026-07-07</t>
        </is>
      </c>
      <c r="X51" t="inlineStr">
        <is>
          <t>Cursor / tender-response (batch)</t>
        </is>
      </c>
      <c r="Y51" t="inlineStr">
        <is>
          <t>Met</t>
        </is>
      </c>
      <c r="Z51" t="inlineStr">
        <is>
          <t>Verified</t>
        </is>
      </c>
      <c r="AA51" t="inlineStr">
        <is>
          <t>Verify: Integreret viewer — vurderet opfyldt (tool: 1. Fully met).</t>
        </is>
      </c>
      <c r="AB51" t="inlineStr">
        <is>
          <t>ADN: ”Direkte” er problematisk, hvis det forbyder os fra et nyt vindue. | Red flag: ”Direkte” er problematisk, hvis det forbyder os fra et nyt vindue.</t>
        </is>
      </c>
      <c r="AC51" t="inlineStr">
        <is>
          <t>docs/tender-reference/extracted/KUM-SLKS/Bilag 3 - Kravspecifikation.txt; docs/tender-reference/extracted/Nationalbanken/Bilag 3.i Leverandørens Løsningsbeskrivelse.txt; docs/tender-reference/extracted/KK Tender tool.txt</t>
        </is>
      </c>
      <c r="AD51" t="inlineStr">
        <is>
          <t>Eva: Confirm verify-tekst; opdatér review status efter tjek.</t>
        </is>
      </c>
      <c r="AE51" t="inlineStr"/>
      <c r="AF51" t="inlineStr">
        <is>
          <t>Draft</t>
        </is>
      </c>
      <c r="AG51" t="inlineStr">
        <is>
          <t>uim-esdh-full-2026-07-07</t>
        </is>
      </c>
    </row>
    <row r="52" ht="112" customHeight="1">
      <c r="A52" s="35" t="n">
        <v>51</v>
      </c>
      <c r="B52" s="35" t="inlineStr">
        <is>
          <t>MK-50</t>
        </is>
      </c>
      <c r="C52" s="35" t="inlineStr">
        <is>
          <t>Bilag 1.b</t>
        </is>
      </c>
      <c r="D52" s="35" t="inlineStr">
        <is>
          <t>Dokumenter</t>
        </is>
      </c>
      <c r="E52" s="35" t="inlineStr">
        <is>
          <t>Navigation og scrolling i dokumentlister</t>
        </is>
      </c>
      <c r="F52" s="35" t="inlineStr">
        <is>
          <t>ESDH-løsningen skal understøtte, at Brugeren kan navigere og scrolle i dokument- og fillistevisninger, og at forhåndsvisningen automatisk opdateres og viser det Dokument/Fil, som Brugeren har navigeret til.</t>
        </is>
      </c>
      <c r="G52" s="35" t="inlineStr">
        <is>
          <t>Mindstekrav</t>
        </is>
      </c>
      <c r="H52" s="35">
        <f>IF(G52="Evalueringskrav","Answer",(IF(G52="Krav","Check",(IF(G52="Mindstekrav","Verify","")))))</f>
        <v/>
      </c>
      <c r="I52" s="35" t="inlineStr">
        <is>
          <t>Ja</t>
        </is>
      </c>
      <c r="J52" s="35" t="n"/>
      <c r="K52" s="47" t="n"/>
      <c r="L52" s="35" t="inlineStr">
        <is>
          <t>Hans</t>
        </is>
      </c>
      <c r="M52" s="35" t="n"/>
      <c r="N52" s="35" t="n"/>
      <c r="O52" s="35" t="inlineStr">
        <is>
          <t>3. Not able to meet</t>
        </is>
      </c>
      <c r="P52" s="35" t="inlineStr">
        <is>
          <t>ADN Vores forhåndsvisning ”opdateres ikke automatisk”. Kræver aktivt klik på det dokument/fil der ønskes forhåndsvist.
"Navigeret til," kan det tolkes til at brugeren foretager et aktivt klik?
ADN: ask question</t>
        </is>
      </c>
      <c r="Q52" s="35" t="n"/>
      <c r="R52" s="35" t="n"/>
      <c r="S52" s="35" t="n"/>
      <c r="T52" s="35" t="n"/>
      <c r="U52" s="35" t="inlineStr">
        <is>
          <t>Not Started</t>
        </is>
      </c>
      <c r="V52" s="37">
        <f>IF(U52="Not Started",0%,IF(U52="Started",50%,IF(U52="Ready for review",70%,IF(U52="Reviewed - Content",80%,IF(U52="Reviewed - Format",90%,IF(U52="Done",100%,""))))))</f>
        <v/>
      </c>
      <c r="W52" t="inlineStr">
        <is>
          <t>2026-07-07</t>
        </is>
      </c>
      <c r="X52" t="inlineStr">
        <is>
          <t>Cursor / tender-response (batch)</t>
        </is>
      </c>
      <c r="Y52" t="inlineStr">
        <is>
          <t>Not met</t>
        </is>
      </c>
      <c r="Z52" t="inlineStr">
        <is>
          <t>Verified</t>
        </is>
      </c>
      <c r="AA52" t="inlineStr">
        <is>
          <t>Verify: Navigation og scrolling i dokumentlister — gap ift. kravtekst; eskalér commitment eller afklaring.</t>
        </is>
      </c>
      <c r="AB52" t="inlineStr">
        <is>
          <t>ADN Vores forhåndsvisning ”opdateres ikke automatisk”. Kræver aktivt klik på det dokument/fil der ønskes forhåndsvist.
"Navigeret til," kan det tolkes til at brugeren foretager et aktivt klik?
ADN: ask question | Red flag: Vores forhåndsvisning ”opdateres ikke automatisk”. Kræver aktivt klik på det dokument/fil der ønskes forhåndsvist.</t>
        </is>
      </c>
      <c r="AC52" t="inlineStr">
        <is>
          <t>docs/tender-reference/extracted/Nationalbanken/Bilag 3.i Leverandørens Løsningsbeskrivelse.txt; docs/tender-reference/extracted/KUM-SLKS/Bilag 3 - Kravspecifikation.txt; docs/tender-reference/extracted/NND/02.01-Tieto-Bilag 2-Vedlegg-Leverandørens utfyllende svar til kravtabell.txt</t>
        </is>
      </c>
      <c r="AD52" t="inlineStr">
        <is>
          <t>Hans: Commitment/no-bid beslutning; overvej Q&amp;A til ordregiver.</t>
        </is>
      </c>
      <c r="AE52" t="inlineStr"/>
      <c r="AF52" t="inlineStr">
        <is>
          <t>Draft</t>
        </is>
      </c>
      <c r="AG52" t="inlineStr">
        <is>
          <t>uim-esdh-full-2026-07-07</t>
        </is>
      </c>
    </row>
    <row r="53" ht="48" customHeight="1">
      <c r="A53" s="35" t="n">
        <v>52</v>
      </c>
      <c r="B53" s="35" t="inlineStr">
        <is>
          <t>MK-51</t>
        </is>
      </c>
      <c r="C53" s="35" t="inlineStr">
        <is>
          <t>Bilag 1.b</t>
        </is>
      </c>
      <c r="D53" s="35" t="inlineStr">
        <is>
          <t>Dokumenter</t>
        </is>
      </c>
      <c r="E53" s="35" t="inlineStr">
        <is>
          <t>Konvertering til PDF</t>
        </is>
      </c>
      <c r="F53" s="35" t="inlineStr">
        <is>
          <t>ESDH-løsningen skal understøtte, at alle Dokumenter automatisk kan blive konverteret til PDF-format, med undtagelse af medie- og eksekverbare filer.</t>
        </is>
      </c>
      <c r="G53" s="35" t="inlineStr">
        <is>
          <t>Mindstekrav</t>
        </is>
      </c>
      <c r="H53" s="35">
        <f>IF(G53="Evalueringskrav","Answer",(IF(G53="Krav","Check",(IF(G53="Mindstekrav","Verify","")))))</f>
        <v/>
      </c>
      <c r="I53" s="35" t="inlineStr">
        <is>
          <t>Ja</t>
        </is>
      </c>
      <c r="J53" s="35" t="n"/>
      <c r="K53" s="47" t="n"/>
      <c r="L53" s="35" t="inlineStr">
        <is>
          <t>Anton</t>
        </is>
      </c>
      <c r="M53" s="35" t="n"/>
      <c r="N53" s="35" t="n"/>
      <c r="O53" s="35" t="inlineStr">
        <is>
          <t>1. Fully met</t>
        </is>
      </c>
      <c r="P53" s="35" t="inlineStr">
        <is>
          <t>ADN: "Kan blive" kræver ikke at vi faktisk gør det</t>
        </is>
      </c>
      <c r="Q53" s="35" t="n"/>
      <c r="R53" s="35" t="n"/>
      <c r="S53" s="35" t="n"/>
      <c r="T53" s="35" t="n"/>
      <c r="U53" s="35" t="inlineStr">
        <is>
          <t>Not Started</t>
        </is>
      </c>
      <c r="V53" s="37">
        <f>IF(U53="Not Started",0%,IF(U53="Started",50%,IF(U53="Ready for review",70%,IF(U53="Reviewed - Content",80%,IF(U53="Reviewed - Format",90%,IF(U53="Done",100%,""))))))</f>
        <v/>
      </c>
      <c r="W53" t="inlineStr">
        <is>
          <t>2026-07-07</t>
        </is>
      </c>
      <c r="X53" t="inlineStr">
        <is>
          <t>Cursor / tender-response (batch)</t>
        </is>
      </c>
      <c r="Y53" t="inlineStr">
        <is>
          <t>Met</t>
        </is>
      </c>
      <c r="Z53" t="inlineStr">
        <is>
          <t>Verified</t>
        </is>
      </c>
      <c r="AA53" t="inlineStr">
        <is>
          <t>Verify: Konvertering til PDF — vurderet opfyldt (tool: 1. Fully met).</t>
        </is>
      </c>
      <c r="AB53" t="inlineStr">
        <is>
          <t>ADN: "Kan blive" kræver ikke at vi faktisk gør det</t>
        </is>
      </c>
      <c r="AC53" t="inlineStr">
        <is>
          <t>docs/tender-reference/extracted/KK Tender tool.txt; docs/tender-reference/extracted/Nationalbanken/Underbilag 6B - Testplan og Leverandørens prøveprincipper, metoder og -værktøjer (1).txt; docs/tender-reference/extracted/HSØ/02.00-Tietoevry-SSA-L-Bilag 2-Leverandørens beskrivelse av Tjenesten.txt</t>
        </is>
      </c>
      <c r="AD53" t="inlineStr">
        <is>
          <t>Anton: Confirm verify-tekst; opdatér review status efter tjek.</t>
        </is>
      </c>
      <c r="AE53" t="inlineStr"/>
      <c r="AF53" t="inlineStr">
        <is>
          <t>Draft</t>
        </is>
      </c>
      <c r="AG53" t="inlineStr">
        <is>
          <t>uim-esdh-full-2026-07-07</t>
        </is>
      </c>
    </row>
    <row r="54" ht="32" customHeight="1">
      <c r="A54" s="35" t="n">
        <v>53</v>
      </c>
      <c r="B54" s="35" t="inlineStr">
        <is>
          <t>MK-52</t>
        </is>
      </c>
      <c r="C54" s="35" t="inlineStr">
        <is>
          <t>Bilag 1.b</t>
        </is>
      </c>
      <c r="D54" s="35" t="inlineStr">
        <is>
          <t>Dokumenter</t>
        </is>
      </c>
      <c r="E54" s="35" t="inlineStr">
        <is>
          <t>Filtyper</t>
        </is>
      </c>
      <c r="F54" s="35" t="inlineStr">
        <is>
          <t>ESDH-løsningen skal understøtte, at alle filtyper må gemmes i ESDH-løsningen.</t>
        </is>
      </c>
      <c r="G54" s="35" t="inlineStr">
        <is>
          <t>Mindstekrav</t>
        </is>
      </c>
      <c r="H54" s="35">
        <f>IF(G54="Evalueringskrav","Answer",(IF(G54="Krav","Check",(IF(G54="Mindstekrav","Verify","")))))</f>
        <v/>
      </c>
      <c r="I54" s="35" t="inlineStr">
        <is>
          <t>Ja</t>
        </is>
      </c>
      <c r="J54" s="35" t="n"/>
      <c r="K54" s="47" t="n"/>
      <c r="L54" s="35" t="inlineStr">
        <is>
          <t>Anton</t>
        </is>
      </c>
      <c r="M54" s="35" t="n"/>
      <c r="N54" s="35" t="n"/>
      <c r="O54" s="35" t="inlineStr">
        <is>
          <t>1. Fully met</t>
        </is>
      </c>
      <c r="P54" s="35" t="n"/>
      <c r="Q54" s="35" t="n"/>
      <c r="R54" s="35" t="n"/>
      <c r="S54" s="35" t="n"/>
      <c r="T54" s="35" t="n"/>
      <c r="U54" s="35" t="inlineStr">
        <is>
          <t>Not Started</t>
        </is>
      </c>
      <c r="V54" s="37">
        <f>IF(U54="Not Started",0%,IF(U54="Started",50%,IF(U54="Ready for review",70%,IF(U54="Reviewed - Content",80%,IF(U54="Reviewed - Format",90%,IF(U54="Done",100%,""))))))</f>
        <v/>
      </c>
      <c r="W54" t="inlineStr">
        <is>
          <t>2026-07-07</t>
        </is>
      </c>
      <c r="X54" t="inlineStr">
        <is>
          <t>Cursor / tender-response (batch)</t>
        </is>
      </c>
      <c r="Y54" t="inlineStr">
        <is>
          <t>Met</t>
        </is>
      </c>
      <c r="Z54" t="inlineStr">
        <is>
          <t>Verified</t>
        </is>
      </c>
      <c r="AA54" t="inlineStr">
        <is>
          <t>Verify: Filtyper — vurderet opfyldt (tool: 1. Fully met).</t>
        </is>
      </c>
      <c r="AB54" t="inlineStr"/>
      <c r="AC54" t="inlineStr">
        <is>
          <t>docs/tender-reference/extracted/KK Tender tool.txt; docs/tender-reference/extracted/Nationalbanken/Bilag 3.i Leverandørens Løsningsbeskrivelse.txt; docs/tender-reference/extracted/HSØ/02.00-Tietoevry-SSA-L-Bilag 2-Leverandørens beskrivelse av Tjenesten.txt</t>
        </is>
      </c>
      <c r="AD54" t="inlineStr">
        <is>
          <t>Anton: Confirm verify-tekst; opdatér review status efter tjek.</t>
        </is>
      </c>
      <c r="AE54" t="inlineStr"/>
      <c r="AF54" t="inlineStr">
        <is>
          <t>Draft</t>
        </is>
      </c>
      <c r="AG54" t="inlineStr">
        <is>
          <t>uim-esdh-full-2026-07-07</t>
        </is>
      </c>
    </row>
    <row r="55" ht="48" customHeight="1">
      <c r="A55" s="35" t="n">
        <v>54</v>
      </c>
      <c r="B55" s="35" t="inlineStr">
        <is>
          <t>K-2</t>
        </is>
      </c>
      <c r="C55" s="35" t="inlineStr">
        <is>
          <t>Bilag 1.b</t>
        </is>
      </c>
      <c r="D55" s="35" t="inlineStr">
        <is>
          <t>Dokumenter</t>
        </is>
      </c>
      <c r="E55" s="35" t="inlineStr">
        <is>
          <t>Dokumenttilføjelse via træk-og-slip</t>
        </is>
      </c>
      <c r="F55" s="35" t="inlineStr">
        <is>
          <t>ESDH-løsningen skal understøtte, at Brugere kan trække og slippe Dokumenter direkte fra e-mailklienter og stifinder til relevante sager.</t>
        </is>
      </c>
      <c r="G55" s="35" t="inlineStr">
        <is>
          <t>Krav</t>
        </is>
      </c>
      <c r="H55" s="35">
        <f>IF(G55="Evalueringskrav","Answer",(IF(G55="Krav","Check",(IF(G55="Mindstekrav","Verify","")))))</f>
        <v/>
      </c>
      <c r="I55" s="35" t="inlineStr">
        <is>
          <t>Ja</t>
        </is>
      </c>
      <c r="J55" s="35" t="n"/>
      <c r="K55" s="47" t="n"/>
      <c r="L55" s="35" t="inlineStr">
        <is>
          <t>Anton</t>
        </is>
      </c>
      <c r="M55" s="35" t="n"/>
      <c r="N55" s="35" t="n"/>
      <c r="O55" s="35" t="inlineStr">
        <is>
          <t>1. Fully met</t>
        </is>
      </c>
      <c r="P55" s="35" t="n"/>
      <c r="Q55" s="35" t="n"/>
      <c r="R55" s="35" t="n"/>
      <c r="S55" s="35" t="n"/>
      <c r="T55" s="35" t="n"/>
      <c r="U55" s="35" t="inlineStr">
        <is>
          <t>Not Started</t>
        </is>
      </c>
      <c r="V55" s="37">
        <f>IF(U55="Not Started",0%,IF(U55="Started",50%,IF(U55="Ready for review",70%,IF(U55="Reviewed - Content",80%,IF(U55="Reviewed - Format",90%,IF(U55="Done",100%,""))))))</f>
        <v/>
      </c>
      <c r="W55" t="inlineStr">
        <is>
          <t>2026-07-07</t>
        </is>
      </c>
      <c r="X55" t="inlineStr">
        <is>
          <t>Cursor / tender-response (batch)</t>
        </is>
      </c>
      <c r="Y55" t="inlineStr">
        <is>
          <t>Met</t>
        </is>
      </c>
      <c r="Z55" t="inlineStr">
        <is>
          <t>Verified</t>
        </is>
      </c>
      <c r="AA55" t="inlineStr">
        <is>
          <t>Check: Dokumenttilføjelse via træk-og-slip — vurderet opfyldt (tool: 1. Fully met).</t>
        </is>
      </c>
      <c r="AB55" t="inlineStr"/>
      <c r="AC55" t="inlineStr">
        <is>
          <t>docs/tender-reference/extracted/Nationalbanken/Bilag 3.i Leverandørens Løsningsbeskrivelse.txt; docs/tender-reference/extracted/KK Tender tool.txt; docs/tender-reference/extracted/KUM-SLKS/Bilag 3 - Kravspecifikation.txt</t>
        </is>
      </c>
      <c r="AD55" t="inlineStr">
        <is>
          <t>Anton: Confirm verify-tekst; opdatér review status efter tjek.</t>
        </is>
      </c>
      <c r="AE55" t="inlineStr"/>
      <c r="AF55" t="inlineStr">
        <is>
          <t>Draft</t>
        </is>
      </c>
      <c r="AG55" t="inlineStr">
        <is>
          <t>uim-esdh-full-2026-07-07</t>
        </is>
      </c>
    </row>
    <row r="56" ht="64" customHeight="1">
      <c r="A56" s="35" t="n">
        <v>55</v>
      </c>
      <c r="B56" s="35" t="inlineStr">
        <is>
          <t>K-3</t>
        </is>
      </c>
      <c r="C56" s="35" t="inlineStr">
        <is>
          <t>Bilag 1.b</t>
        </is>
      </c>
      <c r="D56" s="35" t="inlineStr">
        <is>
          <t>Dokumenter</t>
        </is>
      </c>
      <c r="E56" s="35" t="inlineStr">
        <is>
          <t>Liste over Dokumenter, der ikke kan PDF-konverteres</t>
        </is>
      </c>
      <c r="F56" s="35" t="inlineStr">
        <is>
          <t>ESDH-løsningen skal understøtte, at der i ESDH-løsningen kan præsenteres en standardliste over alle Dokumenter, hvor konverteringen til PDF-format er mislykket.</t>
        </is>
      </c>
      <c r="G56" s="35" t="inlineStr">
        <is>
          <t>Krav</t>
        </is>
      </c>
      <c r="H56" s="35">
        <f>IF(G56="Evalueringskrav","Answer",(IF(G56="Krav","Check",(IF(G56="Mindstekrav","Verify","")))))</f>
        <v/>
      </c>
      <c r="I56" s="35" t="inlineStr">
        <is>
          <t>Ja</t>
        </is>
      </c>
      <c r="J56" s="35" t="n"/>
      <c r="K56" s="47" t="n"/>
      <c r="L56" s="35" t="inlineStr">
        <is>
          <t>Anton</t>
        </is>
      </c>
      <c r="M56" s="35" t="n"/>
      <c r="N56" s="35" t="n"/>
      <c r="O56" s="35" t="inlineStr">
        <is>
          <t>1. Fully met</t>
        </is>
      </c>
      <c r="P56" s="35" t="n"/>
      <c r="Q56" s="35" t="n"/>
      <c r="R56" s="35" t="n"/>
      <c r="S56" s="35" t="n"/>
      <c r="T56" s="35" t="n"/>
      <c r="U56" s="35" t="inlineStr">
        <is>
          <t>Not Started</t>
        </is>
      </c>
      <c r="V56" s="37">
        <f>IF(U56="Not Started",0%,IF(U56="Started",50%,IF(U56="Ready for review",70%,IF(U56="Reviewed - Content",80%,IF(U56="Reviewed - Format",90%,IF(U56="Done",100%,""))))))</f>
        <v/>
      </c>
      <c r="W56" t="inlineStr">
        <is>
          <t>2026-07-07</t>
        </is>
      </c>
      <c r="X56" t="inlineStr">
        <is>
          <t>Cursor / tender-response (batch)</t>
        </is>
      </c>
      <c r="Y56" t="inlineStr">
        <is>
          <t>Met</t>
        </is>
      </c>
      <c r="Z56" t="inlineStr">
        <is>
          <t>Verified</t>
        </is>
      </c>
      <c r="AA56" t="inlineStr">
        <is>
          <t>Check: Liste over Dokumenter, der ikke kan PDF-konverteres — vurderet opfyldt (tool: 1. Fully met).</t>
        </is>
      </c>
      <c r="AB56" t="inlineStr"/>
      <c r="AC56" t="inlineStr">
        <is>
          <t>docs/tender-reference/extracted/Nationalbanken/Underbilag 6B - Testplan og Leverandørens prøveprincipper, metoder og -værktøjer (1).txt; docs/tender-reference/extracted/KK Tender tool.txt; docs/tender-reference/extracted/NND/02.01-Tieto-Bilag 2-Vedlegg-Leverandørens utfyllende svar til kravtabell.txt</t>
        </is>
      </c>
      <c r="AD56" t="inlineStr">
        <is>
          <t>Anton: Confirm verify-tekst; opdatér review status efter tjek.</t>
        </is>
      </c>
      <c r="AE56" t="inlineStr"/>
      <c r="AF56" t="inlineStr">
        <is>
          <t>Draft</t>
        </is>
      </c>
      <c r="AG56" t="inlineStr">
        <is>
          <t>uim-esdh-full-2026-07-07</t>
        </is>
      </c>
    </row>
    <row r="57" ht="32" customHeight="1">
      <c r="A57" s="35" t="n">
        <v>56</v>
      </c>
      <c r="B57" s="35" t="inlineStr">
        <is>
          <t>MK-53</t>
        </is>
      </c>
      <c r="C57" s="35" t="inlineStr">
        <is>
          <t>Bilag 1.b</t>
        </is>
      </c>
      <c r="D57" s="35" t="inlineStr">
        <is>
          <t>Kontakter</t>
        </is>
      </c>
      <c r="E57" s="35" t="inlineStr">
        <is>
          <t>Oprettelse af kontakter</t>
        </is>
      </c>
      <c r="F57" s="35" t="inlineStr">
        <is>
          <t>ESDH-løsningen skal understøtte oprettelse af kontakter med metadata i et kontaktregister.</t>
        </is>
      </c>
      <c r="G57" s="35" t="inlineStr">
        <is>
          <t>Mindstekrav</t>
        </is>
      </c>
      <c r="H57" s="35">
        <f>IF(G57="Evalueringskrav","Answer",(IF(G57="Krav","Check",(IF(G57="Mindstekrav","Verify","")))))</f>
        <v/>
      </c>
      <c r="I57" s="35" t="inlineStr">
        <is>
          <t>Ja</t>
        </is>
      </c>
      <c r="J57" s="35" t="n"/>
      <c r="K57" s="47" t="n"/>
      <c r="L57" s="35" t="inlineStr">
        <is>
          <t>Anton</t>
        </is>
      </c>
      <c r="M57" s="35" t="n"/>
      <c r="N57" s="35" t="n"/>
      <c r="O57" s="35" t="inlineStr">
        <is>
          <t>1. Fully met</t>
        </is>
      </c>
      <c r="P57" s="35" t="n"/>
      <c r="Q57" s="35" t="n"/>
      <c r="R57" s="35" t="n"/>
      <c r="S57" s="35" t="n"/>
      <c r="T57" s="35" t="n"/>
      <c r="U57" s="35" t="inlineStr">
        <is>
          <t>Not Started</t>
        </is>
      </c>
      <c r="V57" s="37">
        <f>IF(U57="Not Started",0%,IF(U57="Started",50%,IF(U57="Ready for review",70%,IF(U57="Reviewed - Content",80%,IF(U57="Reviewed - Format",90%,IF(U57="Done",100%,""))))))</f>
        <v/>
      </c>
      <c r="W57" t="inlineStr">
        <is>
          <t>2026-07-07</t>
        </is>
      </c>
      <c r="X57" t="inlineStr">
        <is>
          <t>Cursor / tender-response (batch)</t>
        </is>
      </c>
      <c r="Y57" t="inlineStr">
        <is>
          <t>Met</t>
        </is>
      </c>
      <c r="Z57" t="inlineStr">
        <is>
          <t>Verified</t>
        </is>
      </c>
      <c r="AA57" t="inlineStr">
        <is>
          <t>Verify: Oprettelse af kontakter — vurderet opfyldt (tool: 1. Fully met).</t>
        </is>
      </c>
      <c r="AB57" t="inlineStr"/>
      <c r="AC57" t="inlineStr">
        <is>
          <t>docs/tender-reference/extracted/Nationalbanken/Bilag 3.i Leverandørens Løsningsbeskrivelse.txt; docs/product/RFP_Leverandørens_svar_utdrag.txt; docs/tender-reference/extracted/HSØ/02.00-Tietoevry-SSA-L-Bilag 2-Leverandørens beskrivelse av Tjenesten.txt</t>
        </is>
      </c>
      <c r="AD57" t="inlineStr">
        <is>
          <t>Anton: Confirm verify-tekst; opdatér review status efter tjek.</t>
        </is>
      </c>
      <c r="AE57" t="inlineStr"/>
      <c r="AF57" t="inlineStr">
        <is>
          <t>Draft</t>
        </is>
      </c>
      <c r="AG57" t="inlineStr">
        <is>
          <t>uim-esdh-full-2026-07-07</t>
        </is>
      </c>
    </row>
    <row r="58" ht="144" customHeight="1">
      <c r="A58" s="35" t="n">
        <v>57</v>
      </c>
      <c r="B58" s="35" t="inlineStr">
        <is>
          <t>MK-54</t>
        </is>
      </c>
      <c r="C58" s="35" t="inlineStr">
        <is>
          <t>Bilag 1.b</t>
        </is>
      </c>
      <c r="D58" s="35" t="inlineStr">
        <is>
          <t>Kontakter</t>
        </is>
      </c>
      <c r="E58" s="35" t="inlineStr">
        <is>
          <t>Kontakttyper</t>
        </is>
      </c>
      <c r="F58" s="35" t="inlineStr">
        <is>
          <t>ESDH-løsningen skal understøtte oprettelse af nye kontakttyper.</t>
        </is>
      </c>
      <c r="G58" s="35" t="inlineStr">
        <is>
          <t>Mindstekrav</t>
        </is>
      </c>
      <c r="H58" s="35">
        <f>IF(G58="Evalueringskrav","Answer",(IF(G58="Krav","Check",(IF(G58="Mindstekrav","Verify","")))))</f>
        <v/>
      </c>
      <c r="I58" s="35" t="inlineStr">
        <is>
          <t>Ja</t>
        </is>
      </c>
      <c r="J58" s="35" t="n"/>
      <c r="K58" s="47" t="n"/>
      <c r="L58" s="35" t="inlineStr">
        <is>
          <t>Anton</t>
        </is>
      </c>
      <c r="M58" s="35" t="n"/>
      <c r="N58" s="35" t="n"/>
      <c r="O58" s="35" t="inlineStr">
        <is>
          <t>1. Fully met</t>
        </is>
      </c>
      <c r="P58" s="35" t="inlineStr">
        <is>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is>
      </c>
      <c r="Q58" s="35" t="n"/>
      <c r="R58" s="35" t="inlineStr">
        <is>
          <t>Yes</t>
        </is>
      </c>
      <c r="S58" s="35" t="n"/>
      <c r="T58" s="35" t="n"/>
      <c r="U58" s="35" t="inlineStr">
        <is>
          <t>Not Started</t>
        </is>
      </c>
      <c r="V58" s="37">
        <f>IF(U58="Not Started",0%,IF(U58="Started",50%,IF(U58="Ready for review",70%,IF(U58="Reviewed - Content",80%,IF(U58="Reviewed - Format",90%,IF(U58="Done",100%,""))))))</f>
        <v/>
      </c>
      <c r="W58" t="inlineStr">
        <is>
          <t>2026-07-07</t>
        </is>
      </c>
      <c r="X58" t="inlineStr">
        <is>
          <t>Cursor / tender-response (batch)</t>
        </is>
      </c>
      <c r="Y58" t="inlineStr">
        <is>
          <t>Met</t>
        </is>
      </c>
      <c r="Z58" t="inlineStr">
        <is>
          <t>Lead</t>
        </is>
      </c>
      <c r="AA58" t="inlineStr">
        <is>
          <t>Verify: Kontakttyper — vurderet opfyldt (tool: 1. Fully met).</t>
        </is>
      </c>
      <c r="AB58" t="inlineStr">
        <is>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is>
      </c>
      <c r="AC58" t="inlineStr">
        <is>
          <t>docs/tender-reference/extracted/Nationalbanken/Bilag 3.i Leverandørens Løsningsbeskrivelse.txt; docs/product/RFP_Leverandørens_svar_utdrag.txt; docs/tender-reference/extracted/HSØ/02.00-Tietoevry-SSA-L-Bilag 2-Leverandørens beskrivelse av Tjenesten.txt</t>
        </is>
      </c>
      <c r="AD58" t="inlineStr">
        <is>
          <t>Anton: Confirm verify-tekst; opdatér review status efter tjek.</t>
        </is>
      </c>
      <c r="AE58" t="inlineStr"/>
      <c r="AF58" t="inlineStr">
        <is>
          <t>Draft</t>
        </is>
      </c>
      <c r="AG58" t="inlineStr">
        <is>
          <t>uim-esdh-full-2026-07-07</t>
        </is>
      </c>
    </row>
    <row r="59" ht="32" customHeight="1">
      <c r="A59" s="35" t="n">
        <v>58</v>
      </c>
      <c r="B59" s="35" t="inlineStr">
        <is>
          <t>MK-55</t>
        </is>
      </c>
      <c r="C59" s="35" t="inlineStr">
        <is>
          <t>Bilag 1.b</t>
        </is>
      </c>
      <c r="D59" s="35" t="inlineStr">
        <is>
          <t>Kontakter</t>
        </is>
      </c>
      <c r="E59" s="35" t="inlineStr">
        <is>
          <t>Redigering af kontakter</t>
        </is>
      </c>
      <c r="F59" s="35" t="inlineStr">
        <is>
          <t>ESDH-løsningen skal understøtte redigering af metadata på kontakter, såfremt at Brugeren har rettighed hertil.</t>
        </is>
      </c>
      <c r="G59" s="35" t="inlineStr">
        <is>
          <t>Mindstekrav</t>
        </is>
      </c>
      <c r="H59" s="35">
        <f>IF(G59="Evalueringskrav","Answer",(IF(G59="Krav","Check",(IF(G59="Mindstekrav","Verify","")))))</f>
        <v/>
      </c>
      <c r="I59" s="35" t="inlineStr">
        <is>
          <t>Ja</t>
        </is>
      </c>
      <c r="J59" s="35" t="n"/>
      <c r="K59" s="47" t="n"/>
      <c r="L59" s="35" t="inlineStr">
        <is>
          <t>Anton</t>
        </is>
      </c>
      <c r="M59" s="35" t="n"/>
      <c r="N59" s="35" t="n"/>
      <c r="O59" s="35" t="inlineStr">
        <is>
          <t>1. Fully met</t>
        </is>
      </c>
      <c r="P59" s="35" t="n"/>
      <c r="Q59" s="35" t="n"/>
      <c r="R59" s="35" t="n"/>
      <c r="S59" s="35" t="n"/>
      <c r="T59" s="35" t="n"/>
      <c r="U59" s="35" t="inlineStr">
        <is>
          <t>Not Started</t>
        </is>
      </c>
      <c r="V59" s="37">
        <f>IF(U59="Not Started",0%,IF(U59="Started",50%,IF(U59="Ready for review",70%,IF(U59="Reviewed - Content",80%,IF(U59="Reviewed - Format",90%,IF(U59="Done",100%,""))))))</f>
        <v/>
      </c>
      <c r="W59" t="inlineStr">
        <is>
          <t>2026-07-07</t>
        </is>
      </c>
      <c r="X59" t="inlineStr">
        <is>
          <t>Cursor / tender-response (batch)</t>
        </is>
      </c>
      <c r="Y59" t="inlineStr">
        <is>
          <t>Met</t>
        </is>
      </c>
      <c r="Z59" t="inlineStr">
        <is>
          <t>Verified</t>
        </is>
      </c>
      <c r="AA59" t="inlineStr">
        <is>
          <t>Verify: Redigering af kontakter — vurderet opfyldt (tool: 1. Fully met).</t>
        </is>
      </c>
      <c r="AB59" t="inlineStr"/>
      <c r="AC59" t="inlineStr">
        <is>
          <t>docs/tender-reference/extracted/KK Tender tool.txt; docs/tender-reference/extracted/KUM-SLKS/Bilag 3 - Kravspecifikation.txt; docs/tender-reference/extracted/Nationalbanken/Bilag 3.i Leverandørens Løsningsbeskrivelse.txt</t>
        </is>
      </c>
      <c r="AD59" t="inlineStr">
        <is>
          <t>Anton: Confirm verify-tekst; opdatér review status efter tjek.</t>
        </is>
      </c>
      <c r="AE59" t="inlineStr"/>
      <c r="AF59" t="inlineStr">
        <is>
          <t>Draft</t>
        </is>
      </c>
      <c r="AG59" t="inlineStr">
        <is>
          <t>uim-esdh-full-2026-07-07</t>
        </is>
      </c>
    </row>
    <row r="60" ht="80" customHeight="1">
      <c r="A60" s="35" t="n">
        <v>59</v>
      </c>
      <c r="B60" s="35" t="inlineStr">
        <is>
          <t>MK-56</t>
        </is>
      </c>
      <c r="C60" s="35" t="inlineStr">
        <is>
          <t>Bilag 1.b</t>
        </is>
      </c>
      <c r="D60" s="35" t="inlineStr">
        <is>
          <t>Kontakter</t>
        </is>
      </c>
      <c r="E60" s="35" t="inlineStr">
        <is>
          <t>Automatisk dubletkontrol i kontakt-registeret</t>
        </is>
      </c>
      <c r="F60" s="35" t="inlineStr">
        <is>
          <t>ESDH-løsningen skal understøtte, at en Bruger ikke kan oprette en kontakt, hvis kontaktens unikke ID allerede findes i kontaktregisteret.</t>
        </is>
      </c>
      <c r="G60" s="35" t="inlineStr">
        <is>
          <t>Mindstekrav</t>
        </is>
      </c>
      <c r="H60" s="35">
        <f>IF(G60="Evalueringskrav","Answer",(IF(G60="Krav","Check",(IF(G60="Mindstekrav","Verify","")))))</f>
        <v/>
      </c>
      <c r="I60" s="35" t="inlineStr">
        <is>
          <t>Ja</t>
        </is>
      </c>
      <c r="J60" s="35" t="n"/>
      <c r="K60" s="47" t="n"/>
      <c r="L60" s="35" t="inlineStr">
        <is>
          <t>Morten</t>
        </is>
      </c>
      <c r="M60" s="35" t="n"/>
      <c r="N60" s="35" t="n"/>
      <c r="O60" s="35" t="inlineStr">
        <is>
          <t>2. Partly met</t>
        </is>
      </c>
      <c r="P60" s="35" t="inlineStr">
        <is>
          <t>ADN: Vi advarer, men vi forbyder ikke. CPR/CVR er ikke så unikt at det ikke kan duplikeres.
ADN: Enten med udvidet duplikat-kontrol eller BRE der forbyder det.</t>
        </is>
      </c>
      <c r="Q60" s="35" t="inlineStr">
        <is>
          <t>Yes</t>
        </is>
      </c>
      <c r="R60" s="35" t="n"/>
      <c r="S60" s="35" t="n"/>
      <c r="T60" s="35" t="n"/>
      <c r="U60" s="35" t="inlineStr">
        <is>
          <t>Not Started</t>
        </is>
      </c>
      <c r="V60" s="37">
        <f>IF(U60="Not Started",0%,IF(U60="Started",50%,IF(U60="Ready for review",70%,IF(U60="Reviewed - Content",80%,IF(U60="Reviewed - Format",90%,IF(U60="Done",100%,""))))))</f>
        <v/>
      </c>
      <c r="W60" t="inlineStr">
        <is>
          <t>2026-07-07</t>
        </is>
      </c>
      <c r="X60" t="inlineStr">
        <is>
          <t>Cursor / tender-response (batch)</t>
        </is>
      </c>
      <c r="Y60" t="inlineStr">
        <is>
          <t>Partial</t>
        </is>
      </c>
      <c r="Z60" t="inlineStr">
        <is>
          <t>Lead</t>
        </is>
      </c>
      <c r="AA60" t="inlineStr">
        <is>
          <t>Verify: Automatisk dubletkontrol i kontakt-registeret — delvist opfyldt; afklar scope og scoring.</t>
        </is>
      </c>
      <c r="AB60" t="inlineStr">
        <is>
          <t>ADN: Vi advarer, men vi forbyder ikke. CPR/CVR er ikke så unikt at det ikke kan duplikeres.
ADN: Enten med udvidet duplikat-kontrol eller BRE der forbyder det. | Red flag: Vi advarer, men vi forbyder ikke. CPR/CVR er ikke så unikt at det ikke kan duplikeres.</t>
        </is>
      </c>
      <c r="AC60" t="inlineStr">
        <is>
          <t>docs/tender-reference/extracted/Nationalbanken/Bilag 3.i Leverandørens Løsningsbeskrivelse.txt; docs/tender-reference/extracted/KK Tender tool.txt; docs/product/RFP_Leverandørens_svar_utdrag.txt</t>
        </is>
      </c>
      <c r="AD60" t="inlineStr">
        <is>
          <t>Morten: Afklar delkrav; align tool-rating (O) med AI compliance.</t>
        </is>
      </c>
      <c r="AE60" t="inlineStr"/>
      <c r="AF60" t="inlineStr">
        <is>
          <t>Draft</t>
        </is>
      </c>
      <c r="AG60" t="inlineStr">
        <is>
          <t>uim-esdh-full-2026-07-07</t>
        </is>
      </c>
    </row>
    <row r="61" ht="32" customHeight="1">
      <c r="A61" s="35" t="n">
        <v>60</v>
      </c>
      <c r="B61" s="35" t="inlineStr">
        <is>
          <t>MK-57</t>
        </is>
      </c>
      <c r="C61" s="35" t="inlineStr">
        <is>
          <t>Bilag 1.b</t>
        </is>
      </c>
      <c r="D61" s="35" t="inlineStr">
        <is>
          <t>Kontakter</t>
        </is>
      </c>
      <c r="E61" s="35" t="inlineStr">
        <is>
          <t>Fremsøgning</t>
        </is>
      </c>
      <c r="F61" s="35" t="inlineStr">
        <is>
          <t>ESDH-løsningen skal understøtte, at kontakter kan fremsøges via relevante metadata.</t>
        </is>
      </c>
      <c r="G61" s="35" t="inlineStr">
        <is>
          <t>Mindstekrav</t>
        </is>
      </c>
      <c r="H61" s="35">
        <f>IF(G61="Evalueringskrav","Answer",(IF(G61="Krav","Check",(IF(G61="Mindstekrav","Verify","")))))</f>
        <v/>
      </c>
      <c r="I61" s="35" t="inlineStr">
        <is>
          <t>Ja</t>
        </is>
      </c>
      <c r="J61" s="35" t="n"/>
      <c r="K61" s="47" t="n"/>
      <c r="L61" s="35" t="inlineStr">
        <is>
          <t>Anton</t>
        </is>
      </c>
      <c r="M61" s="35" t="n"/>
      <c r="N61" s="35" t="n"/>
      <c r="O61" s="35" t="inlineStr">
        <is>
          <t>1. Fully met</t>
        </is>
      </c>
      <c r="P61" s="35" t="n"/>
      <c r="Q61" s="35" t="n"/>
      <c r="R61" s="35" t="n"/>
      <c r="S61" s="35" t="n"/>
      <c r="T61" s="35" t="n"/>
      <c r="U61" s="35" t="inlineStr">
        <is>
          <t>Not Started</t>
        </is>
      </c>
      <c r="V61" s="37">
        <f>IF(U61="Not Started",0%,IF(U61="Started",50%,IF(U61="Ready for review",70%,IF(U61="Reviewed - Content",80%,IF(U61="Reviewed - Format",90%,IF(U61="Done",100%,""))))))</f>
        <v/>
      </c>
      <c r="W61" t="inlineStr">
        <is>
          <t>2026-07-07</t>
        </is>
      </c>
      <c r="X61" t="inlineStr">
        <is>
          <t>Cursor / tender-response (batch)</t>
        </is>
      </c>
      <c r="Y61" t="inlineStr">
        <is>
          <t>Met</t>
        </is>
      </c>
      <c r="Z61" t="inlineStr">
        <is>
          <t>Verified</t>
        </is>
      </c>
      <c r="AA61" t="inlineStr">
        <is>
          <t>Verify: Fremsøgning — vurderet opfyldt (tool: 1. Fully met).</t>
        </is>
      </c>
      <c r="AB61" t="inlineStr"/>
      <c r="AC61" t="inlineStr">
        <is>
          <t>docs/tender-reference/extracted/Nationalbanken/Bilag 3.i Leverandørens Løsningsbeskrivelse.txt; docs/tender-reference/extracted/KUM-SLKS/Bilag 3 - Kravspecifikation.txt; docs/product/RFP_Leverandørens_svar_utdrag.txt</t>
        </is>
      </c>
      <c r="AD61" t="inlineStr">
        <is>
          <t>Anton: Confirm verify-tekst; opdatér review status efter tjek.</t>
        </is>
      </c>
      <c r="AE61" t="inlineStr"/>
      <c r="AF61" t="inlineStr">
        <is>
          <t>Draft</t>
        </is>
      </c>
      <c r="AG61" t="inlineStr">
        <is>
          <t>uim-esdh-full-2026-07-07</t>
        </is>
      </c>
    </row>
    <row r="62" ht="64" customHeight="1">
      <c r="A62" s="35" t="n">
        <v>61</v>
      </c>
      <c r="B62" s="35" t="inlineStr">
        <is>
          <t>MK-58</t>
        </is>
      </c>
      <c r="C62" s="35" t="inlineStr">
        <is>
          <t>Bilag 1.b</t>
        </is>
      </c>
      <c r="D62" s="35" t="inlineStr">
        <is>
          <t>Kontakter</t>
        </is>
      </c>
      <c r="E62" s="35" t="inlineStr">
        <is>
          <t>Tilknytning af kontakt på sag</t>
        </is>
      </c>
      <c r="F62" s="35" t="inlineStr">
        <is>
          <t>ESDH-løsningen skal understøtte, at en Bruger kan oprette en ny kontakt eller søge efter en eksisterende kontakt med henblik på at tilknytte kontakten til alle Entiteter i Løsningen, herunder sager, Dokumenter og Kundeoprettede Entiteter.</t>
        </is>
      </c>
      <c r="G62" s="35" t="inlineStr">
        <is>
          <t>Mindstekrav</t>
        </is>
      </c>
      <c r="H62" s="35">
        <f>IF(G62="Evalueringskrav","Answer",(IF(G62="Krav","Check",(IF(G62="Mindstekrav","Verify","")))))</f>
        <v/>
      </c>
      <c r="I62" s="35" t="inlineStr">
        <is>
          <t>Ja</t>
        </is>
      </c>
      <c r="J62" s="35" t="n"/>
      <c r="K62" s="47" t="n"/>
      <c r="L62" s="35" t="inlineStr">
        <is>
          <t>Anton</t>
        </is>
      </c>
      <c r="M62" s="35" t="n"/>
      <c r="N62" s="35" t="n"/>
      <c r="O62" s="35" t="inlineStr">
        <is>
          <t>1. Fully met</t>
        </is>
      </c>
      <c r="P62" s="35" t="n"/>
      <c r="Q62" s="35" t="n"/>
      <c r="R62" s="35" t="n"/>
      <c r="S62" s="35" t="n"/>
      <c r="T62" s="35" t="n"/>
      <c r="U62" s="35" t="inlineStr">
        <is>
          <t>Not Started</t>
        </is>
      </c>
      <c r="V62" s="37">
        <f>IF(U62="Not Started",0%,IF(U62="Started",50%,IF(U62="Ready for review",70%,IF(U62="Reviewed - Content",80%,IF(U62="Reviewed - Format",90%,IF(U62="Done",100%,""))))))</f>
        <v/>
      </c>
      <c r="W62" t="inlineStr">
        <is>
          <t>2026-07-07</t>
        </is>
      </c>
      <c r="X62" t="inlineStr">
        <is>
          <t>Cursor / tender-response (batch)</t>
        </is>
      </c>
      <c r="Y62" t="inlineStr">
        <is>
          <t>Met</t>
        </is>
      </c>
      <c r="Z62" t="inlineStr">
        <is>
          <t>Verified</t>
        </is>
      </c>
      <c r="AA62" t="inlineStr">
        <is>
          <t>Verify: Tilknytning af kontakt på sag — vurderet opfyldt (tool: 1. Fully met).</t>
        </is>
      </c>
      <c r="AB62" t="inlineStr"/>
      <c r="AC62" t="inlineStr">
        <is>
          <t>docs/tender-reference/extracted/Nationalbanken/Bilag 3.i Leverandørens Løsningsbeskrivelse.txt; docs/tender-reference/extracted/KUM-SLKS/Bilag 3 - Kravspecifikation.txt; docs/product/RFP_Leverandørens_svar_utdrag.txt</t>
        </is>
      </c>
      <c r="AD62" t="inlineStr">
        <is>
          <t>Anton: Confirm verify-tekst; opdatér review status efter tjek.</t>
        </is>
      </c>
      <c r="AE62" t="inlineStr"/>
      <c r="AF62" t="inlineStr">
        <is>
          <t>Draft</t>
        </is>
      </c>
      <c r="AG62" t="inlineStr">
        <is>
          <t>uim-esdh-full-2026-07-07</t>
        </is>
      </c>
    </row>
    <row r="63" ht="80" customHeight="1">
      <c r="A63" s="35" t="n">
        <v>62</v>
      </c>
      <c r="B63" s="35" t="inlineStr">
        <is>
          <t>MK-59</t>
        </is>
      </c>
      <c r="C63" s="35" t="inlineStr">
        <is>
          <t>Bilag 1.b</t>
        </is>
      </c>
      <c r="D63" s="35" t="inlineStr">
        <is>
          <t>Kontakter</t>
        </is>
      </c>
      <c r="E63" s="35" t="inlineStr">
        <is>
          <t>Automatisk opdatering</t>
        </is>
      </c>
      <c r="F63" s="35" t="inlineStr">
        <is>
          <t>ESDH-løsningen skal understøtte, at kontakter automatisk kan opdateres via f.eks. integration til CPR, CVR eller lignende register på relevante metadata.  Det skal ske som automatiske batch-kørsler, der med faste intervaller sikrer, at eksisterende metadata i systemet altid er ajourførte.</t>
        </is>
      </c>
      <c r="G63" s="35" t="inlineStr">
        <is>
          <t>Mindstekrav</t>
        </is>
      </c>
      <c r="H63" s="35">
        <f>IF(G63="Evalueringskrav","Answer",(IF(G63="Krav","Check",(IF(G63="Mindstekrav","Verify","")))))</f>
        <v/>
      </c>
      <c r="I63" s="35" t="inlineStr">
        <is>
          <t>Ja</t>
        </is>
      </c>
      <c r="J63" s="35" t="n"/>
      <c r="K63" s="47" t="n"/>
      <c r="L63" s="35" t="inlineStr">
        <is>
          <t>Anton</t>
        </is>
      </c>
      <c r="M63" s="35" t="n"/>
      <c r="N63" s="35" t="n"/>
      <c r="O63" s="35" t="inlineStr">
        <is>
          <t>1. Fully met</t>
        </is>
      </c>
      <c r="P63" s="35" t="n"/>
      <c r="Q63" s="35" t="n"/>
      <c r="R63" s="35" t="n"/>
      <c r="S63" s="35" t="n"/>
      <c r="T63" s="35" t="n"/>
      <c r="U63" s="35" t="inlineStr">
        <is>
          <t>Not Started</t>
        </is>
      </c>
      <c r="V63" s="37">
        <f>IF(U63="Not Started",0%,IF(U63="Started",50%,IF(U63="Ready for review",70%,IF(U63="Reviewed - Content",80%,IF(U63="Reviewed - Format",90%,IF(U63="Done",100%,""))))))</f>
        <v/>
      </c>
      <c r="W63" t="inlineStr">
        <is>
          <t>2026-07-07</t>
        </is>
      </c>
      <c r="X63" t="inlineStr">
        <is>
          <t>Cursor / tender-response (batch)</t>
        </is>
      </c>
      <c r="Y63" t="inlineStr">
        <is>
          <t>Met</t>
        </is>
      </c>
      <c r="Z63" t="inlineStr">
        <is>
          <t>Verified</t>
        </is>
      </c>
      <c r="AA63" t="inlineStr">
        <is>
          <t>Verify: Automatisk opdatering — vurderet opfyldt (tool: 1. Fully met).</t>
        </is>
      </c>
      <c r="AB63" t="inlineStr"/>
      <c r="AC63" t="inlineStr">
        <is>
          <t>docs/tender-reference/extracted/Nationalbanken/Bilag 3.i Leverandørens Løsningsbeskrivelse.txt; docs/tender-reference/extracted/HSØ/02.00-Tietoevry-SSA-L-Bilag 2-Leverandørens beskrivelse av Tjenesten.txt; docs/tender-reference/extracted/KK Tender tool.txt</t>
        </is>
      </c>
      <c r="AD63" t="inlineStr">
        <is>
          <t>Anton: Confirm verify-tekst; opdatér review status efter tjek.</t>
        </is>
      </c>
      <c r="AE63" t="inlineStr"/>
      <c r="AF63" t="inlineStr">
        <is>
          <t>Draft</t>
        </is>
      </c>
      <c r="AG63" t="inlineStr">
        <is>
          <t>uim-esdh-full-2026-07-07</t>
        </is>
      </c>
    </row>
    <row r="64" ht="80" customHeight="1">
      <c r="A64" s="35" t="n">
        <v>63</v>
      </c>
      <c r="B64" s="35" t="inlineStr">
        <is>
          <t>MK-60</t>
        </is>
      </c>
      <c r="C64" s="35" t="inlineStr">
        <is>
          <t>Bilag 1.b</t>
        </is>
      </c>
      <c r="D64" s="35" t="inlineStr">
        <is>
          <t>Kontakter</t>
        </is>
      </c>
      <c r="E64" s="35" t="inlineStr">
        <is>
          <t>Oprettelse og import af kontakt-oplysninger fra CPR</t>
        </is>
      </c>
      <c r="F64" s="35" t="inlineStr">
        <is>
          <t>ESDH-løsningen skal understøtte, at Brugeren kan foretage onlineopslag på et specifikt CPR-nr. via ESDH-løsningen og importere dennes stamdata til ESDH-løsningen. Personen skal oprettes eller opdateres i Løsningens kontaktregister.</t>
        </is>
      </c>
      <c r="G64" s="35" t="inlineStr">
        <is>
          <t>Mindstekrav</t>
        </is>
      </c>
      <c r="H64" s="35">
        <f>IF(G64="Evalueringskrav","Answer",(IF(G64="Krav","Check",(IF(G64="Mindstekrav","Verify","")))))</f>
        <v/>
      </c>
      <c r="I64" s="35" t="inlineStr">
        <is>
          <t>Ja</t>
        </is>
      </c>
      <c r="J64" s="35" t="n"/>
      <c r="K64" s="47" t="n"/>
      <c r="L64" s="35" t="inlineStr">
        <is>
          <t>Anton</t>
        </is>
      </c>
      <c r="M64" s="35" t="n"/>
      <c r="N64" s="35" t="inlineStr">
        <is>
          <t>CPR</t>
        </is>
      </c>
      <c r="O64" s="35" t="inlineStr">
        <is>
          <t>1. Fully met</t>
        </is>
      </c>
      <c r="P64" s="35" t="n"/>
      <c r="Q64" s="35" t="n"/>
      <c r="R64" s="35" t="n"/>
      <c r="S64" s="35" t="n"/>
      <c r="T64" s="35" t="n"/>
      <c r="U64" s="35" t="inlineStr">
        <is>
          <t>Not Started</t>
        </is>
      </c>
      <c r="V64" s="37">
        <f>IF(U64="Not Started",0%,IF(U64="Started",50%,IF(U64="Ready for review",70%,IF(U64="Reviewed - Content",80%,IF(U64="Reviewed - Format",90%,IF(U64="Done",100%,""))))))</f>
        <v/>
      </c>
      <c r="W64" t="inlineStr">
        <is>
          <t>2026-07-07</t>
        </is>
      </c>
      <c r="X64" t="inlineStr">
        <is>
          <t>Cursor / tender-response (batch)</t>
        </is>
      </c>
      <c r="Y64" t="inlineStr">
        <is>
          <t>Met</t>
        </is>
      </c>
      <c r="Z64" t="inlineStr">
        <is>
          <t>Verified</t>
        </is>
      </c>
      <c r="AA64" t="inlineStr">
        <is>
          <t>Verify: Oprettelse og import af kontakt-oplysninger fra CPR — vurderet opfyldt (tool: 1. Fully met).</t>
        </is>
      </c>
      <c r="AB64" t="inlineStr"/>
      <c r="AC64" t="inlineStr">
        <is>
          <t>docs/tender-reference/extracted/Nationalbanken/Bilag 3.i Leverandørens Løsningsbeskrivelse.txt; docs/tender-reference/extracted/KK Tender tool.txt; docs/tender-reference/extracted/KUM-SLKS/Bilag 3 - Kravspecifikation.txt</t>
        </is>
      </c>
      <c r="AD64" t="inlineStr">
        <is>
          <t>Anton: Confirm verify-tekst; opdatér review status efter tjek.</t>
        </is>
      </c>
      <c r="AE64" t="inlineStr"/>
      <c r="AF64" t="inlineStr">
        <is>
          <t>Draft</t>
        </is>
      </c>
      <c r="AG64" t="inlineStr">
        <is>
          <t>uim-esdh-full-2026-07-07</t>
        </is>
      </c>
    </row>
    <row r="65" ht="64" customHeight="1">
      <c r="A65" s="35" t="n">
        <v>64</v>
      </c>
      <c r="B65" s="35" t="inlineStr">
        <is>
          <t>MK-61</t>
        </is>
      </c>
      <c r="C65" s="35" t="inlineStr">
        <is>
          <t>Bilag 1.b</t>
        </is>
      </c>
      <c r="D65" s="35" t="inlineStr">
        <is>
          <t>Kontakter</t>
        </is>
      </c>
      <c r="E65" s="35" t="inlineStr">
        <is>
          <t>Oprettelse og import af kontaktoplysninger fra CVR</t>
        </is>
      </c>
      <c r="F65" s="35" t="inlineStr">
        <is>
          <t>ESDH-løsningen skal understøtte, at Brugeren kan foretage onlineopslag på et specifikt CVR-nr. via ESDH-løsningen og importere virksomhedens stamdata til ESDH-løsningen. Virksomheden skal oprettes eller opdateres i Løsningens kontaktregister.</t>
        </is>
      </c>
      <c r="G65" s="35" t="inlineStr">
        <is>
          <t>Mindstekrav</t>
        </is>
      </c>
      <c r="H65" s="35">
        <f>IF(G65="Evalueringskrav","Answer",(IF(G65="Krav","Check",(IF(G65="Mindstekrav","Verify","")))))</f>
        <v/>
      </c>
      <c r="I65" s="35" t="inlineStr">
        <is>
          <t>Ja</t>
        </is>
      </c>
      <c r="J65" s="35" t="n"/>
      <c r="K65" s="47" t="n"/>
      <c r="L65" s="35" t="inlineStr">
        <is>
          <t>Anton</t>
        </is>
      </c>
      <c r="M65" s="35" t="n"/>
      <c r="N65" s="35" t="inlineStr">
        <is>
          <t>CVR</t>
        </is>
      </c>
      <c r="O65" s="35" t="inlineStr">
        <is>
          <t>1. Fully met</t>
        </is>
      </c>
      <c r="P65" s="35" t="n"/>
      <c r="Q65" s="35" t="n"/>
      <c r="R65" s="35" t="n"/>
      <c r="S65" s="35" t="n"/>
      <c r="T65" s="35" t="n"/>
      <c r="U65" s="35" t="inlineStr">
        <is>
          <t>Not Started</t>
        </is>
      </c>
      <c r="V65" s="37">
        <f>IF(U65="Not Started",0%,IF(U65="Started",50%,IF(U65="Ready for review",70%,IF(U65="Reviewed - Content",80%,IF(U65="Reviewed - Format",90%,IF(U65="Done",100%,""))))))</f>
        <v/>
      </c>
      <c r="W65" t="inlineStr">
        <is>
          <t>2026-07-07</t>
        </is>
      </c>
      <c r="X65" t="inlineStr">
        <is>
          <t>Cursor / tender-response (batch)</t>
        </is>
      </c>
      <c r="Y65" t="inlineStr">
        <is>
          <t>Met</t>
        </is>
      </c>
      <c r="Z65" t="inlineStr">
        <is>
          <t>Verified</t>
        </is>
      </c>
      <c r="AA65" t="inlineStr">
        <is>
          <t>Verify: Oprettelse og import af kontaktoplysninger fra CVR — vurderet opfyldt (tool: 1. Fully met).</t>
        </is>
      </c>
      <c r="AB65" t="inlineStr"/>
      <c r="AC65" t="inlineStr">
        <is>
          <t>docs/tender-reference/extracted/Nationalbanken/Bilag 3.i Leverandørens Løsningsbeskrivelse.txt; docs/tender-reference/extracted/KK Tender tool.txt; docs/tender-reference/extracted/KUM-SLKS/Bilag 3 - Kravspecifikation.txt</t>
        </is>
      </c>
      <c r="AD65" t="inlineStr">
        <is>
          <t>Anton: Confirm verify-tekst; opdatér review status efter tjek.</t>
        </is>
      </c>
      <c r="AE65" t="inlineStr"/>
      <c r="AF65" t="inlineStr">
        <is>
          <t>Draft</t>
        </is>
      </c>
      <c r="AG65" t="inlineStr">
        <is>
          <t>uim-esdh-full-2026-07-07</t>
        </is>
      </c>
    </row>
    <row r="66" ht="48" customHeight="1">
      <c r="A66" s="35" t="n">
        <v>65</v>
      </c>
      <c r="B66" s="35" t="inlineStr">
        <is>
          <t>MK-62</t>
        </is>
      </c>
      <c r="C66" s="35" t="inlineStr">
        <is>
          <t>Bilag 1.b</t>
        </is>
      </c>
      <c r="D66" s="35" t="inlineStr">
        <is>
          <t>Kontakter</t>
        </is>
      </c>
      <c r="E66" s="35" t="inlineStr">
        <is>
          <t>Sletning af kontakter</t>
        </is>
      </c>
      <c r="F66" s="35" t="inlineStr">
        <is>
          <t>ESDH-løsningen skal understøtte sletning af kontakter. Den udførende Bruger skal adviseres, hvis kontakten er tilknyttet sager, Dokumenter eller har reference til anden kontakt.</t>
        </is>
      </c>
      <c r="G66" s="35" t="inlineStr">
        <is>
          <t>Mindstekrav</t>
        </is>
      </c>
      <c r="H66" s="35">
        <f>IF(G66="Evalueringskrav","Answer",(IF(G66="Krav","Check",(IF(G66="Mindstekrav","Verify","")))))</f>
        <v/>
      </c>
      <c r="I66" s="35" t="inlineStr">
        <is>
          <t>Ja</t>
        </is>
      </c>
      <c r="J66" s="35" t="n"/>
      <c r="K66" s="47" t="n"/>
      <c r="L66" s="35" t="inlineStr">
        <is>
          <t>Anton</t>
        </is>
      </c>
      <c r="M66" s="35" t="n"/>
      <c r="N66" s="35" t="n"/>
      <c r="O66" s="35" t="inlineStr">
        <is>
          <t>1. Fully met</t>
        </is>
      </c>
      <c r="P66" s="35" t="n"/>
      <c r="Q66" s="35" t="n"/>
      <c r="R66" s="35" t="n"/>
      <c r="S66" s="35" t="n"/>
      <c r="T66" s="35" t="n"/>
      <c r="U66" s="35" t="inlineStr">
        <is>
          <t>Not Started</t>
        </is>
      </c>
      <c r="V66" s="37">
        <f>IF(U66="Not Started",0%,IF(U66="Started",50%,IF(U66="Ready for review",70%,IF(U66="Reviewed - Content",80%,IF(U66="Reviewed - Format",90%,IF(U66="Done",100%,""))))))</f>
        <v/>
      </c>
      <c r="W66" t="inlineStr">
        <is>
          <t>2026-07-07</t>
        </is>
      </c>
      <c r="X66" t="inlineStr">
        <is>
          <t>Cursor / tender-response (batch)</t>
        </is>
      </c>
      <c r="Y66" t="inlineStr">
        <is>
          <t>Met</t>
        </is>
      </c>
      <c r="Z66" t="inlineStr">
        <is>
          <t>Verified</t>
        </is>
      </c>
      <c r="AA66" t="inlineStr">
        <is>
          <t>Verify: Sletning af kontakter — vurderet opfyldt (tool: 1. Fully met).</t>
        </is>
      </c>
      <c r="AB66" t="inlineStr"/>
      <c r="AC66" t="inlineStr">
        <is>
          <t>docs/tender-reference/extracted/Nationalbanken/Bilag 3.i Leverandørens Løsningsbeskrivelse.txt; docs/tender-reference/extracted/KK Tender tool.txt; docs/product/RFP_Leverandørens_svar_utdrag.txt</t>
        </is>
      </c>
      <c r="AD66" t="inlineStr">
        <is>
          <t>Anton: Confirm verify-tekst; opdatér review status efter tjek.</t>
        </is>
      </c>
      <c r="AE66" t="inlineStr"/>
      <c r="AF66" t="inlineStr">
        <is>
          <t>Draft</t>
        </is>
      </c>
      <c r="AG66" t="inlineStr">
        <is>
          <t>uim-esdh-full-2026-07-07</t>
        </is>
      </c>
    </row>
    <row r="67" ht="32" customHeight="1">
      <c r="A67" s="35" t="n">
        <v>66</v>
      </c>
      <c r="B67" s="35" t="inlineStr">
        <is>
          <t>MK-63</t>
        </is>
      </c>
      <c r="C67" s="35" t="inlineStr">
        <is>
          <t>Bilag 1.b</t>
        </is>
      </c>
      <c r="D67" s="35" t="inlineStr">
        <is>
          <t>Kontakter</t>
        </is>
      </c>
      <c r="E67" s="35" t="inlineStr">
        <is>
          <t>Deaktivering af kontakter</t>
        </is>
      </c>
      <c r="F67" s="35" t="inlineStr">
        <is>
          <t>ESDH-løsningen skal understøtte, at en kontakt kan deaktiveres samt, at deaktiveret kontakt ikke kan tilknyttes Entiteter.</t>
        </is>
      </c>
      <c r="G67" s="35" t="inlineStr">
        <is>
          <t>Mindstekrav</t>
        </is>
      </c>
      <c r="H67" s="35">
        <f>IF(G67="Evalueringskrav","Answer",(IF(G67="Krav","Check",(IF(G67="Mindstekrav","Verify","")))))</f>
        <v/>
      </c>
      <c r="I67" s="35" t="inlineStr">
        <is>
          <t>Ja</t>
        </is>
      </c>
      <c r="J67" s="35" t="n"/>
      <c r="K67" s="47" t="n"/>
      <c r="L67" s="35" t="inlineStr">
        <is>
          <t>Anton</t>
        </is>
      </c>
      <c r="M67" s="35" t="n"/>
      <c r="N67" s="35" t="n"/>
      <c r="O67" s="35" t="inlineStr">
        <is>
          <t>1. Fully met</t>
        </is>
      </c>
      <c r="P67" s="35" t="n"/>
      <c r="Q67" s="35" t="n"/>
      <c r="R67" s="35" t="n"/>
      <c r="S67" s="35" t="n"/>
      <c r="T67" s="35" t="n"/>
      <c r="U67" s="35" t="inlineStr">
        <is>
          <t>Not Started</t>
        </is>
      </c>
      <c r="V67" s="37">
        <f>IF(U67="Not Started",0%,IF(U67="Started",50%,IF(U67="Ready for review",70%,IF(U67="Reviewed - Content",80%,IF(U67="Reviewed - Format",90%,IF(U67="Done",100%,""))))))</f>
        <v/>
      </c>
      <c r="W67" t="inlineStr">
        <is>
          <t>2026-07-07</t>
        </is>
      </c>
      <c r="X67" t="inlineStr">
        <is>
          <t>Cursor / tender-response (batch)</t>
        </is>
      </c>
      <c r="Y67" t="inlineStr">
        <is>
          <t>Met</t>
        </is>
      </c>
      <c r="Z67" t="inlineStr">
        <is>
          <t>Verified</t>
        </is>
      </c>
      <c r="AA67" t="inlineStr">
        <is>
          <t>Verify: Deaktivering af kontakter — vurderet opfyldt (tool: 1. Fully met).</t>
        </is>
      </c>
      <c r="AB67" t="inlineStr"/>
      <c r="AC67" t="inlineStr">
        <is>
          <t>docs/product/RFP_Leverandørens_svar_utdrag.txt; docs/tender-reference/extracted/HSØ/02.00-Tietoevry-SSA-L-Bilag 2-Leverandørens beskrivelse av Tjenesten.txt; docs/tender-reference/extracted/NND/02.01-Tieto-Bilag 2-Vedlegg-Leverandørens utfyllende svar til kravtabell.txt</t>
        </is>
      </c>
      <c r="AD67" t="inlineStr">
        <is>
          <t>Anton: Confirm verify-tekst; opdatér review status efter tjek.</t>
        </is>
      </c>
      <c r="AE67" t="inlineStr"/>
      <c r="AF67" t="inlineStr">
        <is>
          <t>Draft</t>
        </is>
      </c>
      <c r="AG67" t="inlineStr">
        <is>
          <t>uim-esdh-full-2026-07-07</t>
        </is>
      </c>
    </row>
    <row r="68" ht="32" customHeight="1">
      <c r="A68" s="35" t="n">
        <v>67</v>
      </c>
      <c r="B68" s="35" t="inlineStr">
        <is>
          <t>MK-64</t>
        </is>
      </c>
      <c r="C68" s="35" t="inlineStr">
        <is>
          <t>Bilag 1.b</t>
        </is>
      </c>
      <c r="D68" s="35" t="inlineStr">
        <is>
          <t>Kontakter</t>
        </is>
      </c>
      <c r="E68" s="35" t="inlineStr">
        <is>
          <t>Deaktiverede kontakter</t>
        </is>
      </c>
      <c r="F68" s="35" t="inlineStr">
        <is>
          <t>ESDH-løsningen skal understøtte, at deaktiverede kontakter kan fremsøges i Løsningen.</t>
        </is>
      </c>
      <c r="G68" s="35" t="inlineStr">
        <is>
          <t>Mindstekrav</t>
        </is>
      </c>
      <c r="H68" s="35">
        <f>IF(G68="Evalueringskrav","Answer",(IF(G68="Krav","Check",(IF(G68="Mindstekrav","Verify","")))))</f>
        <v/>
      </c>
      <c r="I68" s="35" t="inlineStr">
        <is>
          <t>Ja</t>
        </is>
      </c>
      <c r="J68" s="35" t="n"/>
      <c r="K68" s="47" t="n"/>
      <c r="L68" s="35" t="inlineStr">
        <is>
          <t>Anton</t>
        </is>
      </c>
      <c r="M68" s="35" t="n"/>
      <c r="N68" s="35" t="n"/>
      <c r="O68" s="35" t="inlineStr">
        <is>
          <t>1. Fully met</t>
        </is>
      </c>
      <c r="P68" s="35" t="n"/>
      <c r="Q68" s="35" t="n"/>
      <c r="R68" s="35" t="n"/>
      <c r="S68" s="35" t="n"/>
      <c r="T68" s="35" t="n"/>
      <c r="U68" s="35" t="inlineStr">
        <is>
          <t>Not Started</t>
        </is>
      </c>
      <c r="V68" s="37">
        <f>IF(U68="Not Started",0%,IF(U68="Started",50%,IF(U68="Ready for review",70%,IF(U68="Reviewed - Content",80%,IF(U68="Reviewed - Format",90%,IF(U68="Done",100%,""))))))</f>
        <v/>
      </c>
      <c r="W68" t="inlineStr">
        <is>
          <t>2026-07-07</t>
        </is>
      </c>
      <c r="X68" t="inlineStr">
        <is>
          <t>Cursor / tender-response (batch)</t>
        </is>
      </c>
      <c r="Y68" t="inlineStr">
        <is>
          <t>Met</t>
        </is>
      </c>
      <c r="Z68" t="inlineStr">
        <is>
          <t>Lead</t>
        </is>
      </c>
      <c r="AA68" t="inlineStr">
        <is>
          <t>Verify: Deaktiverede kontakter — vurderet opfyldt (tool: 1. Fully met).</t>
        </is>
      </c>
      <c r="AB68" t="inlineStr"/>
      <c r="AC68" t="inlineStr">
        <is>
          <t>docs/tender-reference/extracted/KUM-SLKS/Bilag 3 - Kravspecifikation.txt; docs/tender-reference/extracted/Nationalbanken/Bilag 3.i Leverandørens Løsningsbeskrivelse.txt; docs/product/RFP_Leverandørens_svar_utdrag.txt</t>
        </is>
      </c>
      <c r="AD68" t="inlineStr">
        <is>
          <t>Anton: Confirm verify-tekst; opdatér review status efter tjek.</t>
        </is>
      </c>
      <c r="AE68" t="inlineStr"/>
      <c r="AF68" t="inlineStr">
        <is>
          <t>Draft</t>
        </is>
      </c>
      <c r="AG68" t="inlineStr">
        <is>
          <t>uim-esdh-full-2026-07-07</t>
        </is>
      </c>
    </row>
    <row r="69" ht="409.5" customHeight="1">
      <c r="A69" s="35" t="n">
        <v>68</v>
      </c>
      <c r="B69" s="35" t="inlineStr">
        <is>
          <t>EK-1</t>
        </is>
      </c>
      <c r="C69" s="35" t="inlineStr">
        <is>
          <t>Bilag 1.b</t>
        </is>
      </c>
      <c r="D69" s="35" t="inlineStr">
        <is>
          <t>Kontakter</t>
        </is>
      </c>
      <c r="E69" s="35" t="inlineStr">
        <is>
          <t>Udlændinge-overblik</t>
        </is>
      </c>
      <c r="F69" s="35" t="inlineStr">
        <is>
          <t>Kunden har behov for at udstille en udlændinges stamdata i Løsningen. Kunden betragter en udlænding som en kontakttype, som kan tilknyttes til Entiteter i Løsningen. 
ESDH-løsningen skal understøtte, at Administrator kan konfigurere en Udlændingekontakt via no code administratormodul, der sikrer et fuldt overblik over Udlændingekontakten. Administratoren skal dertil kunne opsætte og konfigurere udlændingeoverblikket i brugergrænsefladen. 
Overblikket over udlændingen skal indeholde følgende:
Sager, hvor udlændingen indgår som part samt hvilken rolle udlændingen har på sagen
Afgørelser, som er tilknyttet udlændingen med følgende metadata: 
Sagsnr. 
Afgørelsesdato
Afgørelsestype
Sagsområde f.eks. familiesammenføring
Ansvarligt team
Ansvarlig sagsbehandler
Stamdata på udlændingen herunder: 
Cpr.nr. 
Udlændinge nr. 
Fornavn og efternavn
Adresse, postnr. og by
Telefon og e-mailadresse
Nationalitet
Køn
Familierelationer (f.eks. barn, forældre, værge)
Datoer for ind- og udrejse til/fra Danmark
Rejsedokumenter (f.eks. pas og nationalt ID-kort)
Dokumenter som udlændingen er tilknyttet, samt hvilken partsrolle udlændingen har på Dokumentet
Sager i anden Myndighed herunder: 
Sagsnr. 
Sagsområde f.eks. asyl
Ansvarligt team
Ansvarlig sagsbehandler
Afgørelser i anden Myndighed herunder: 
Sagsnr. 
Afgørelsesdato
Afgørelsestype
Sagsområde f.eks. familiesammenføring
Ansvarligt team
Ansvarlig sagsbehandler
Leverandøren skal beskrive, hvordan den tilbudte ESDH-løsning understøtter, at Administrator kan konfigurere en Udlændingekontakt via no code administratormodul.
Leverandøren skal gennem konkrete skærmbilleder demonstrere om og hvordan ESDH-løsningen understøtter de stillede krav og møder Kundens behov.
Leverandøren skal redegøre for: 
Hvordan ESDH-løsningen understøtter et udlændingeoverblik
Hvordan Brugeren kan navigere i oplysningerne på udlændingeoverblikket
Hvordan Administratoren kan oprette og vedligeholde udlændingeoverblikket
Evalueringskriterier:
Det vægtes positivt, i hvor høj grad Brugeren på en let og intuitiv måde kan navigere i udlændingeoverblikkets data.
Det vægtes positivt, i hvor høj grad Administrator kan oprette og vedligeholde udlændingeoverblikket via et administratormodul uden involvering af Leverandør. 
Det vægtes positivt, i hvor høj grad udlændingeoverblikket indeholder et samlet overblik over udlændingens sager og Afgørelser i egen Myndighed samt overblik over sager og Afgørelser i øvrige Myndigheders sager.
Det vægtes positivt, i hvor høj grad Dokumenter udstilles på en let og overskuelig måde på udlændingeoverblikket f.eks. via filtrering.
Det vægtes positivt, i hvor høj grad der på udlændingeoverblikket kan noteres flere oplysninger af samme type f.eks. datoer for ind- og udrejse. 
Det vægtes positivt, i hvor høj grad udlændingeoverblikket opdateres i realtid, når der f.eks. tilføjes nye sager og Afgørelser eller stamdata opdateres i eksterne registre. 
Det vægtes positivt, i hvor høj grad felter på udlændingeoverblikket kan gøres skrivebeskyttet, så opdatering af felter kun kan ske via eksterne registre.</t>
        </is>
      </c>
      <c r="G69" s="35" t="inlineStr">
        <is>
          <t>Evalueringskrav</t>
        </is>
      </c>
      <c r="H69" s="35">
        <f>IF(G69="Evalueringskrav","Answer",(IF(G69="Krav","Check",(IF(G69="Mindstekrav","Verify","")))))</f>
        <v/>
      </c>
      <c r="I69" s="35" t="inlineStr">
        <is>
          <t>Ja</t>
        </is>
      </c>
      <c r="J69" s="35" t="n"/>
      <c r="K69" s="47" t="n"/>
      <c r="L69" s="35" t="inlineStr">
        <is>
          <t>Claus</t>
        </is>
      </c>
      <c r="M69" s="35" t="n"/>
      <c r="N69" s="35" t="n"/>
      <c r="O69" s="35" t="n"/>
      <c r="P69" s="35" t="n"/>
      <c r="Q69" s="35" t="n"/>
      <c r="R69" s="35" t="n"/>
      <c r="S69" s="35" t="n"/>
      <c r="T69" s="35" t="n"/>
      <c r="U69" s="35" t="inlineStr">
        <is>
          <t>Not Started</t>
        </is>
      </c>
      <c r="V69" s="37">
        <f>IF(U69="Not Started",0%,IF(U69="Started",50%,IF(U69="Ready for review",70%,IF(U69="Reviewed - Content",80%,IF(U69="Reviewed - Format",90%,IF(U69="Done",100%,""))))))</f>
        <v/>
      </c>
      <c r="W69" t="inlineStr">
        <is>
          <t>2026-07-07</t>
        </is>
      </c>
      <c r="X69" t="inlineStr">
        <is>
          <t>Cursor / tender-response (batch)</t>
        </is>
      </c>
      <c r="Y69" t="inlineStr">
        <is>
          <t>Draft needed</t>
        </is>
      </c>
      <c r="Z69" t="inlineStr">
        <is>
          <t>Verified</t>
        </is>
      </c>
      <c r="AA69" t="inlineStr">
        <is>
          <t>Answer: Udlændinge-overblik — informationskrav; udkast bilag/dokumentation mangler.</t>
        </is>
      </c>
      <c r="AB69" t="inlineStr">
        <is>
          <t>Mangler link til svar-bilag i kolonne T.</t>
        </is>
      </c>
      <c r="AC69" t="inlineStr">
        <is>
          <t>docs/tender-reference/extracted/Nationalbanken/Bilag 3.i Leverandørens Løsningsbeskrivelse.txt; docs/tender-reference/extracted/KUM-SLKS/Bilag 3 - Kravspecifikation.txt; docs/product/RFP_Leverandørens_svar_utdrag.txt</t>
        </is>
      </c>
      <c r="AD69" t="inlineStr">
        <is>
          <t>Claus: Opret/link svar-bilag; draft IK-tekst fra prior art.</t>
        </is>
      </c>
      <c r="AE69" t="inlineStr"/>
      <c r="AF69" t="inlineStr">
        <is>
          <t>Draft</t>
        </is>
      </c>
      <c r="AG69" t="inlineStr">
        <is>
          <t>uim-esdh-full-2026-07-07</t>
        </is>
      </c>
    </row>
    <row r="70" ht="48" customHeight="1">
      <c r="A70" s="35" t="n">
        <v>69</v>
      </c>
      <c r="B70" s="35" t="inlineStr">
        <is>
          <t>MK-65</t>
        </is>
      </c>
      <c r="C70" s="35" t="inlineStr">
        <is>
          <t>Bilag 1.b</t>
        </is>
      </c>
      <c r="D70" s="35" t="inlineStr">
        <is>
          <t>Søgning</t>
        </is>
      </c>
      <c r="E70" s="35" t="inlineStr">
        <is>
          <t>Søgning</t>
        </is>
      </c>
      <c r="F70" s="35" t="inlineStr">
        <is>
          <t>ESDH-løsningen skal understøtte, at der kan søges i alle standard- og Kundeoprettede felter.</t>
        </is>
      </c>
      <c r="G70" s="35" t="inlineStr">
        <is>
          <t>Mindstekrav</t>
        </is>
      </c>
      <c r="H70" s="35">
        <f>IF(G70="Evalueringskrav","Answer",(IF(G70="Krav","Check",(IF(G70="Mindstekrav","Verify","")))))</f>
        <v/>
      </c>
      <c r="I70" s="35" t="inlineStr">
        <is>
          <t>Ja</t>
        </is>
      </c>
      <c r="J70" s="35" t="n"/>
      <c r="K70" s="47" t="n"/>
      <c r="L70" s="35" t="inlineStr">
        <is>
          <t>Claus</t>
        </is>
      </c>
      <c r="M70" s="35" t="n"/>
      <c r="N70" s="35" t="n"/>
      <c r="O70" s="35" t="inlineStr">
        <is>
          <t>1. Fully met</t>
        </is>
      </c>
      <c r="P70" s="35" t="inlineStr">
        <is>
          <t>ADN: Search "in all fields" comes with a risc, especially if any external consultant is still involved from the customer side.</t>
        </is>
      </c>
      <c r="Q70" s="35" t="n"/>
      <c r="R70" s="35" t="inlineStr">
        <is>
          <t>Yes</t>
        </is>
      </c>
      <c r="S70" s="35" t="n"/>
      <c r="T70" s="35" t="n"/>
      <c r="U70" s="35" t="inlineStr">
        <is>
          <t>Not Started</t>
        </is>
      </c>
      <c r="V70" s="37">
        <f>IF(U70="Not Started",0%,IF(U70="Started",50%,IF(U70="Ready for review",70%,IF(U70="Reviewed - Content",80%,IF(U70="Reviewed - Format",90%,IF(U70="Done",100%,""))))))</f>
        <v/>
      </c>
      <c r="W70" t="inlineStr">
        <is>
          <t>2026-07-07</t>
        </is>
      </c>
      <c r="X70" t="inlineStr">
        <is>
          <t>Cursor / tender-response (batch)</t>
        </is>
      </c>
      <c r="Y70" t="inlineStr">
        <is>
          <t>Met</t>
        </is>
      </c>
      <c r="Z70" t="inlineStr">
        <is>
          <t>Verified</t>
        </is>
      </c>
      <c r="AA70" t="inlineStr">
        <is>
          <t>Verify: Søgning — vurderet opfyldt (tool: 1. Fully met).</t>
        </is>
      </c>
      <c r="AB70" t="inlineStr">
        <is>
          <t>ADN: Search "in all fields" comes with a risc, especially if any external consultant is still involved from the customer side.</t>
        </is>
      </c>
      <c r="AC70" t="inlineStr">
        <is>
          <t>docs/tender-reference/extracted/KK Tender tool.txt; docs/tender-reference/extracted/KUM-SLKS/Bilag 3 - Kravspecifikation.txt; docs/tender-reference/extracted/Nationalbanken/Bilag 3.i Leverandørens Løsningsbeskrivelse.txt</t>
        </is>
      </c>
      <c r="AD70" t="inlineStr">
        <is>
          <t>Claus: Confirm verify-tekst; opdatér review status efter tjek.</t>
        </is>
      </c>
      <c r="AE70" t="inlineStr"/>
      <c r="AF70" t="inlineStr">
        <is>
          <t>Draft</t>
        </is>
      </c>
      <c r="AG70" t="inlineStr">
        <is>
          <t>uim-esdh-full-2026-07-07</t>
        </is>
      </c>
    </row>
    <row r="71" ht="224" customHeight="1">
      <c r="A71" s="35" t="n">
        <v>70</v>
      </c>
      <c r="B71" s="35" t="inlineStr">
        <is>
          <t>MK-66</t>
        </is>
      </c>
      <c r="C71" s="35" t="inlineStr">
        <is>
          <t>Bilag 1.b</t>
        </is>
      </c>
      <c r="D71" s="35" t="inlineStr">
        <is>
          <t>Søgning</t>
        </is>
      </c>
      <c r="E71" s="35" t="inlineStr">
        <is>
          <t>Søgning på flere felter på samme tid</t>
        </is>
      </c>
      <c r="F71" s="35" t="inlineStr">
        <is>
          <t>ESDH-løsningen skal understøtte, at der kan søges på alle standard- og Kundeoprettede felter på samme tid i ESDH-løsningen.</t>
        </is>
      </c>
      <c r="G71" s="35" t="inlineStr">
        <is>
          <t>Mindstekrav</t>
        </is>
      </c>
      <c r="H71" s="35">
        <f>IF(G71="Evalueringskrav","Answer",(IF(G71="Krav","Check",(IF(G71="Mindstekrav","Verify","")))))</f>
        <v/>
      </c>
      <c r="I71" s="35" t="inlineStr">
        <is>
          <t>Ja</t>
        </is>
      </c>
      <c r="J71" s="35" t="n"/>
      <c r="K71" s="47" t="n"/>
      <c r="L71" s="35" t="inlineStr">
        <is>
          <t>Claus</t>
        </is>
      </c>
      <c r="M71" s="35" t="n"/>
      <c r="N71" s="35" t="inlineStr">
        <is>
          <t>Management Reporting API</t>
        </is>
      </c>
      <c r="O71" s="35" t="inlineStr">
        <is>
          <t>2. Partly met</t>
        </is>
      </c>
      <c r="P71" s="35" t="inlineStr">
        <is>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t>
        </is>
      </c>
      <c r="Q71" s="35" t="inlineStr">
        <is>
          <t>Yes</t>
        </is>
      </c>
      <c r="R71" s="35" t="inlineStr">
        <is>
          <t>Yes</t>
        </is>
      </c>
      <c r="S71" s="35" t="n"/>
      <c r="T71" s="35" t="n"/>
      <c r="U71" s="35" t="inlineStr">
        <is>
          <t>Not Started</t>
        </is>
      </c>
      <c r="V71" s="37">
        <f>IF(U71="Not Started",0%,IF(U71="Started",50%,IF(U71="Ready for review",70%,IF(U71="Reviewed - Content",80%,IF(U71="Reviewed - Format",90%,IF(U71="Done",100%,""))))))</f>
        <v/>
      </c>
      <c r="W71" t="inlineStr">
        <is>
          <t>2026-07-07</t>
        </is>
      </c>
      <c r="X71" t="inlineStr">
        <is>
          <t>Cursor / tender-response (batch)</t>
        </is>
      </c>
      <c r="Y71" t="inlineStr">
        <is>
          <t>Partial</t>
        </is>
      </c>
      <c r="Z71" t="inlineStr">
        <is>
          <t>Lead</t>
        </is>
      </c>
      <c r="AA71" t="inlineStr">
        <is>
          <t>Verify: Søgning på flere felter på samme tid — delvist opfyldt; afklar scope og scoring.</t>
        </is>
      </c>
      <c r="AB71" t="inlineStr">
        <is>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 | Red flag: Det her krav er formuleret uden logiske begræsninger mellem entiteter, hvilke tikke giver mening. Det kan vi ikke understøtte.</t>
        </is>
      </c>
      <c r="AC71" t="inlineStr">
        <is>
          <t>docs/tender-reference/extracted/KK Tender tool.txt; docs/tender-reference/extracted/KUM-SLKS/Bilag 3 - Kravspecifikation.txt; docs/tender-reference/extracted/Nationalbanken/Bilag 3.i Leverandørens Løsningsbeskrivelse.txt</t>
        </is>
      </c>
      <c r="AD71" t="inlineStr">
        <is>
          <t>Claus: Afklar delkrav; align tool-rating (O) med AI compliance.</t>
        </is>
      </c>
      <c r="AE71" t="inlineStr"/>
      <c r="AF71" t="inlineStr">
        <is>
          <t>Draft</t>
        </is>
      </c>
      <c r="AG71" t="inlineStr">
        <is>
          <t>uim-esdh-full-2026-07-07</t>
        </is>
      </c>
    </row>
    <row r="72" ht="32" customHeight="1">
      <c r="A72" s="35" t="n">
        <v>71</v>
      </c>
      <c r="B72" s="35" t="inlineStr">
        <is>
          <t>MK-67</t>
        </is>
      </c>
      <c r="C72" s="35" t="inlineStr">
        <is>
          <t>Bilag 1.b</t>
        </is>
      </c>
      <c r="D72" s="35" t="inlineStr">
        <is>
          <t>Søgning</t>
        </is>
      </c>
      <c r="E72" s="35" t="inlineStr">
        <is>
          <t>Søgning på filindhold</t>
        </is>
      </c>
      <c r="F72" s="35" t="inlineStr">
        <is>
          <t>ESDH-løsningen skal understøtte søgning i indholdet af Filer.</t>
        </is>
      </c>
      <c r="G72" s="35" t="inlineStr">
        <is>
          <t>Mindstekrav</t>
        </is>
      </c>
      <c r="H72" s="35">
        <f>IF(G72="Evalueringskrav","Answer",(IF(G72="Krav","Check",(IF(G72="Mindstekrav","Verify","")))))</f>
        <v/>
      </c>
      <c r="I72" s="35" t="inlineStr">
        <is>
          <t>Ja</t>
        </is>
      </c>
      <c r="J72" s="35" t="n"/>
      <c r="K72" s="47" t="n"/>
      <c r="L72" s="35" t="inlineStr">
        <is>
          <t>Anton</t>
        </is>
      </c>
      <c r="M72" s="35" t="n"/>
      <c r="N72" s="35" t="n"/>
      <c r="O72" s="35" t="inlineStr">
        <is>
          <t>1. Fully met</t>
        </is>
      </c>
      <c r="P72" s="35" t="n"/>
      <c r="Q72" s="35" t="n"/>
      <c r="R72" s="35" t="n"/>
      <c r="S72" s="35" t="n"/>
      <c r="T72" s="35" t="n"/>
      <c r="U72" s="35" t="inlineStr">
        <is>
          <t>Not Started</t>
        </is>
      </c>
      <c r="V72" s="37">
        <f>IF(U72="Not Started",0%,IF(U72="Started",50%,IF(U72="Ready for review",70%,IF(U72="Reviewed - Content",80%,IF(U72="Reviewed - Format",90%,IF(U72="Done",100%,""))))))</f>
        <v/>
      </c>
      <c r="W72" t="inlineStr">
        <is>
          <t>2026-07-07</t>
        </is>
      </c>
      <c r="X72" t="inlineStr">
        <is>
          <t>Cursor / tender-response (batch)</t>
        </is>
      </c>
      <c r="Y72" t="inlineStr">
        <is>
          <t>Met</t>
        </is>
      </c>
      <c r="Z72" t="inlineStr">
        <is>
          <t>Verified</t>
        </is>
      </c>
      <c r="AA72" t="inlineStr">
        <is>
          <t>Verify: Søgning på filindhold — vurderet opfyldt (tool: 1. Fully met).</t>
        </is>
      </c>
      <c r="AB72" t="inlineStr"/>
      <c r="AC72" t="inlineStr">
        <is>
          <t>docs/tender-reference/extracted/Nationalbanken/Bilag 3.i Leverandørens Løsningsbeskrivelse.txt; docs/tender-reference/extracted/KK Tender tool.txt; docs/tender-reference/extracted/KUM-SLKS/Bilag 3 - Kravspecifikation.txt</t>
        </is>
      </c>
      <c r="AD72" t="inlineStr">
        <is>
          <t>Anton: Confirm verify-tekst; opdatér review status efter tjek.</t>
        </is>
      </c>
      <c r="AE72" t="inlineStr"/>
      <c r="AF72" t="inlineStr">
        <is>
          <t>Draft</t>
        </is>
      </c>
      <c r="AG72" t="inlineStr">
        <is>
          <t>uim-esdh-full-2026-07-07</t>
        </is>
      </c>
    </row>
    <row r="73" ht="80" customHeight="1">
      <c r="A73" s="35" t="n">
        <v>72</v>
      </c>
      <c r="B73" s="35" t="inlineStr">
        <is>
          <t>MK-68</t>
        </is>
      </c>
      <c r="C73" s="35" t="inlineStr">
        <is>
          <t>Bilag 1.b</t>
        </is>
      </c>
      <c r="D73" s="35" t="inlineStr">
        <is>
          <t>Søgning</t>
        </is>
      </c>
      <c r="E73" s="35" t="inlineStr">
        <is>
          <t>Trunkering i avanceret søgning</t>
        </is>
      </c>
      <c r="F73" s="35" t="inlineStr">
        <is>
          <t>ESDH-løsningen skal understøtte, at Brugeren kan anvende trunkering, hvis der ønskes søgning på begyndelsen eller slutningen af et ord.</t>
        </is>
      </c>
      <c r="G73" s="35" t="inlineStr">
        <is>
          <t>Mindstekrav</t>
        </is>
      </c>
      <c r="H73" s="35">
        <f>IF(G73="Evalueringskrav","Answer",(IF(G73="Krav","Check",(IF(G73="Mindstekrav","Verify","")))))</f>
        <v/>
      </c>
      <c r="I73" s="35" t="inlineStr">
        <is>
          <t>Ja</t>
        </is>
      </c>
      <c r="J73" s="35" t="n"/>
      <c r="K73" s="47" t="n"/>
      <c r="L73" s="35" t="inlineStr">
        <is>
          <t>Anton</t>
        </is>
      </c>
      <c r="M73" s="35" t="n"/>
      <c r="N73" s="35" t="n"/>
      <c r="O73" s="35" t="inlineStr">
        <is>
          <t>1. Fully met</t>
        </is>
      </c>
      <c r="P73" s="35" t="inlineStr">
        <is>
          <t>ADN Det her lugter af at være målrettet os givet titlen, fordi de ved vi ikke kan i den avancerede søgning - men kravteksten indeholder det ikke, "Avanceret søg" og derfor bør vi være OK med kravet.</t>
        </is>
      </c>
      <c r="Q73" s="35" t="n"/>
      <c r="R73" s="35" t="n"/>
      <c r="S73" s="35" t="n"/>
      <c r="T73" s="35" t="n"/>
      <c r="U73" s="35" t="inlineStr">
        <is>
          <t>Not Started</t>
        </is>
      </c>
      <c r="V73" s="37">
        <f>IF(U73="Not Started",0%,IF(U73="Started",50%,IF(U73="Ready for review",70%,IF(U73="Reviewed - Content",80%,IF(U73="Reviewed - Format",90%,IF(U73="Done",100%,""))))))</f>
        <v/>
      </c>
      <c r="W73" t="inlineStr">
        <is>
          <t>2026-07-07</t>
        </is>
      </c>
      <c r="X73" t="inlineStr">
        <is>
          <t>Cursor / tender-response (batch)</t>
        </is>
      </c>
      <c r="Y73" t="inlineStr">
        <is>
          <t>Met</t>
        </is>
      </c>
      <c r="Z73" t="inlineStr">
        <is>
          <t>Verified</t>
        </is>
      </c>
      <c r="AA73" t="inlineStr">
        <is>
          <t>Verify: Trunkering i avanceret søgning — vurderet opfyldt (tool: 1. Fully met).</t>
        </is>
      </c>
      <c r="AB73" t="inlineStr">
        <is>
          <t>ADN Det her lugter af at være målrettet os givet titlen, fordi de ved vi ikke kan i den avancerede søgning - men kravteksten indeholder det ikke, "Avanceret søg" og derfor bør vi være OK med kravet. | Red flag: Det her lugter af at være givet titlen her, fordi de ved vi ikke kan i den avancerede søgning - men kravteksten indeholder det ikke, og derfor bør vi være OK med kravet</t>
        </is>
      </c>
      <c r="AC73" t="inlineStr">
        <is>
          <t>docs/tender-reference/extracted/KUM-SLKS/Bilag 3 - Kravspecifikation.txt; docs/tender-reference/extracted/Nationalbanken/Bilag 3.i Leverandørens Løsningsbeskrivelse.txt; docs/tender-reference/extracted/Nationalbanken/Underbilag 6B - Testplan og Leverandørens prøveprincipper, metoder og -værktøjer (1).txt</t>
        </is>
      </c>
      <c r="AD73" t="inlineStr">
        <is>
          <t>Anton: Confirm verify-tekst; opdatér review status efter tjek.</t>
        </is>
      </c>
      <c r="AE73" t="inlineStr"/>
      <c r="AF73" t="inlineStr">
        <is>
          <t>Draft</t>
        </is>
      </c>
      <c r="AG73" t="inlineStr">
        <is>
          <t>uim-esdh-full-2026-07-07</t>
        </is>
      </c>
    </row>
    <row r="74" ht="32" customHeight="1">
      <c r="A74" s="35" t="n">
        <v>73</v>
      </c>
      <c r="B74" s="35" t="inlineStr">
        <is>
          <t>MK-69</t>
        </is>
      </c>
      <c r="C74" s="35" t="inlineStr">
        <is>
          <t>Bilag 1.b</t>
        </is>
      </c>
      <c r="D74" s="35" t="inlineStr">
        <is>
          <t>Søgning</t>
        </is>
      </c>
      <c r="E74" s="35" t="inlineStr">
        <is>
          <t>Gemte søgninger</t>
        </is>
      </c>
      <c r="F74" s="35" t="inlineStr">
        <is>
          <t>ESDH-løsningen skal understøtte, at søgninger kan gemmes i Løsningen og deles af Brugere.</t>
        </is>
      </c>
      <c r="G74" s="35" t="inlineStr">
        <is>
          <t>Mindstekrav</t>
        </is>
      </c>
      <c r="H74" s="35">
        <f>IF(G74="Evalueringskrav","Answer",(IF(G74="Krav","Check",(IF(G74="Mindstekrav","Verify","")))))</f>
        <v/>
      </c>
      <c r="I74" s="35" t="inlineStr">
        <is>
          <t>Ja</t>
        </is>
      </c>
      <c r="J74" s="35" t="n"/>
      <c r="K74" s="47" t="n"/>
      <c r="L74" s="35" t="inlineStr">
        <is>
          <t>Anton</t>
        </is>
      </c>
      <c r="M74" s="35" t="n"/>
      <c r="N74" s="35" t="n"/>
      <c r="O74" s="35" t="inlineStr">
        <is>
          <t>1. Fully met</t>
        </is>
      </c>
      <c r="P74" s="35" t="inlineStr">
        <is>
          <t>ADN: Configure Share saved search Toggle</t>
        </is>
      </c>
      <c r="Q74" s="35" t="n"/>
      <c r="R74" s="35" t="n"/>
      <c r="S74" s="35" t="n"/>
      <c r="T74" s="35" t="n"/>
      <c r="U74" s="35" t="inlineStr">
        <is>
          <t>Not Started</t>
        </is>
      </c>
      <c r="V74" s="37">
        <f>IF(U74="Not Started",0%,IF(U74="Started",50%,IF(U74="Ready for review",70%,IF(U74="Reviewed - Content",80%,IF(U74="Reviewed - Format",90%,IF(U74="Done",100%,""))))))</f>
        <v/>
      </c>
      <c r="W74" t="inlineStr">
        <is>
          <t>2026-07-07</t>
        </is>
      </c>
      <c r="X74" t="inlineStr">
        <is>
          <t>Cursor / tender-response (batch)</t>
        </is>
      </c>
      <c r="Y74" t="inlineStr">
        <is>
          <t>Met</t>
        </is>
      </c>
      <c r="Z74" t="inlineStr">
        <is>
          <t>Verified</t>
        </is>
      </c>
      <c r="AA74" t="inlineStr">
        <is>
          <t>Verify: Gemte søgninger — vurderet opfyldt (tool: 1. Fully met).</t>
        </is>
      </c>
      <c r="AB74" t="inlineStr">
        <is>
          <t>ADN: Configure Share saved search Toggle</t>
        </is>
      </c>
      <c r="AC74" t="inlineStr">
        <is>
          <t>docs/tender-reference/extracted/KK Tender tool.txt; docs/tender-reference/extracted/KUM-SLKS/Bilag 3 - Kravspecifikation.txt; docs/tender-reference/extracted/Nationalbanken/Bilag 3.i Leverandørens Løsningsbeskrivelse.txt</t>
        </is>
      </c>
      <c r="AD74" t="inlineStr">
        <is>
          <t>Anton: Confirm verify-tekst; opdatér review status efter tjek.</t>
        </is>
      </c>
      <c r="AE74" t="inlineStr"/>
      <c r="AF74" t="inlineStr">
        <is>
          <t>Draft</t>
        </is>
      </c>
      <c r="AG74" t="inlineStr">
        <is>
          <t>uim-esdh-full-2026-07-07</t>
        </is>
      </c>
    </row>
    <row r="75" ht="64" customHeight="1">
      <c r="A75" s="35" t="n">
        <v>74</v>
      </c>
      <c r="B75" s="35" t="inlineStr">
        <is>
          <t>MK-70</t>
        </is>
      </c>
      <c r="C75" s="35" t="inlineStr">
        <is>
          <t>Bilag 1.b</t>
        </is>
      </c>
      <c r="D75" s="35" t="inlineStr">
        <is>
          <t>Søgning</t>
        </is>
      </c>
      <c r="E75" s="35" t="inlineStr">
        <is>
          <t>Søgeresultater</t>
        </is>
      </c>
      <c r="F75" s="35" t="inlineStr">
        <is>
          <t>ESDH-løsningen skal understøtte, at alle felter kan vises i søgeresultaternes visningslister.</t>
        </is>
      </c>
      <c r="G75" s="35" t="inlineStr">
        <is>
          <t>Mindstekrav</t>
        </is>
      </c>
      <c r="H75" s="35">
        <f>IF(G75="Evalueringskrav","Answer",(IF(G75="Krav","Check",(IF(G75="Mindstekrav","Verify","")))))</f>
        <v/>
      </c>
      <c r="I75" s="35" t="inlineStr">
        <is>
          <t>Ja</t>
        </is>
      </c>
      <c r="J75" s="35" t="n"/>
      <c r="K75" s="47" t="n"/>
      <c r="L75" s="35" t="inlineStr">
        <is>
          <t>Claus</t>
        </is>
      </c>
      <c r="M75" s="35" t="n"/>
      <c r="N75" s="35" t="n"/>
      <c r="O75" s="35" t="inlineStr">
        <is>
          <t>2. Partly met</t>
        </is>
      </c>
      <c r="P75" s="35" t="inlineStr">
        <is>
          <t>ADN: ”Alle felter” - godt nok afgrænset til søgeresultater, men stadig en stor risc, fra en ondsindet kunde.
Vi må spørge willy</t>
        </is>
      </c>
      <c r="Q75" s="35" t="n"/>
      <c r="R75" s="35" t="inlineStr">
        <is>
          <t>Yes</t>
        </is>
      </c>
      <c r="S75" s="35" t="n"/>
      <c r="T75" s="35" t="n"/>
      <c r="U75" s="35" t="inlineStr">
        <is>
          <t>Not Started</t>
        </is>
      </c>
      <c r="V75" s="37">
        <f>IF(U75="Not Started",0%,IF(U75="Started",50%,IF(U75="Ready for review",70%,IF(U75="Reviewed - Content",80%,IF(U75="Reviewed - Format",90%,IF(U75="Done",100%,""))))))</f>
        <v/>
      </c>
      <c r="W75" t="inlineStr">
        <is>
          <t>2026-07-07</t>
        </is>
      </c>
      <c r="X75" t="inlineStr">
        <is>
          <t>Cursor / tender-response (batch)</t>
        </is>
      </c>
      <c r="Y75" t="inlineStr">
        <is>
          <t>Partial</t>
        </is>
      </c>
      <c r="Z75" t="inlineStr">
        <is>
          <t>Lead</t>
        </is>
      </c>
      <c r="AA75" t="inlineStr">
        <is>
          <t>Verify: Søgeresultater — delvist opfyldt; afklar scope og scoring.</t>
        </is>
      </c>
      <c r="AB75" t="inlineStr">
        <is>
          <t>ADN: ”Alle felter” - godt nok afgrænset til søgeresultater, men stadig en stor risc, fra en ondsindet kunde.
Vi må spørge willy | Red flag: ”Alle felter” - godt nok afgrænset til søgeresultater, men stadig en stor risc, fra en ondsindet kunde.</t>
        </is>
      </c>
      <c r="AC75" t="inlineStr">
        <is>
          <t>docs/tender-reference/extracted/KK Tender tool.txt; docs/tender-reference/extracted/KUM-SLKS/Bilag 3 - Kravspecifikation.txt; docs/tender-reference/extracted/Nationalbanken/Bilag 3.i Leverandørens Løsningsbeskrivelse.txt</t>
        </is>
      </c>
      <c r="AD75" t="inlineStr">
        <is>
          <t>Claus: Afklar delkrav; align tool-rating (O) med AI compliance.</t>
        </is>
      </c>
      <c r="AE75" t="inlineStr"/>
      <c r="AF75" t="inlineStr">
        <is>
          <t>Draft</t>
        </is>
      </c>
      <c r="AG75" t="inlineStr">
        <is>
          <t>uim-esdh-full-2026-07-07</t>
        </is>
      </c>
    </row>
    <row r="76" ht="48" customHeight="1">
      <c r="A76" s="35" t="n">
        <v>75</v>
      </c>
      <c r="B76" s="35" t="inlineStr">
        <is>
          <t>MK-71</t>
        </is>
      </c>
      <c r="C76" s="35" t="inlineStr">
        <is>
          <t>Bilag 1.b</t>
        </is>
      </c>
      <c r="D76" s="35" t="inlineStr">
        <is>
          <t>Søgning</t>
        </is>
      </c>
      <c r="E76" s="35" t="inlineStr">
        <is>
          <t>Søgning i dropdown-felter ved registrering</t>
        </is>
      </c>
      <c r="F76" s="35" t="inlineStr">
        <is>
          <t>ESDH-løsningen skal understøtte, at der kan søges på værdier i alle dropdown-felter.</t>
        </is>
      </c>
      <c r="G76" s="35" t="inlineStr">
        <is>
          <t>Mindstekrav</t>
        </is>
      </c>
      <c r="H76" s="35">
        <f>IF(G76="Evalueringskrav","Answer",(IF(G76="Krav","Check",(IF(G76="Mindstekrav","Verify","")))))</f>
        <v/>
      </c>
      <c r="I76" s="35" t="inlineStr">
        <is>
          <t>Ja</t>
        </is>
      </c>
      <c r="J76" s="35" t="n"/>
      <c r="K76" s="47" t="n"/>
      <c r="L76" s="35" t="inlineStr">
        <is>
          <t>Anton</t>
        </is>
      </c>
      <c r="M76" s="35" t="n"/>
      <c r="N76" s="35" t="n"/>
      <c r="O76" s="35" t="inlineStr">
        <is>
          <t>1. Fully met</t>
        </is>
      </c>
      <c r="P76" s="35" t="inlineStr">
        <is>
          <t>ADN: Requirement contains the word "All" but i cant come up with anywhere, where we dont support this.</t>
        </is>
      </c>
      <c r="Q76" s="35" t="n"/>
      <c r="R76" s="35" t="inlineStr">
        <is>
          <t>Yes</t>
        </is>
      </c>
      <c r="S76" s="35" t="n"/>
      <c r="T76" s="35" t="n"/>
      <c r="U76" s="35" t="inlineStr">
        <is>
          <t>Not Started</t>
        </is>
      </c>
      <c r="V76" s="37">
        <f>IF(U76="Not Started",0%,IF(U76="Started",50%,IF(U76="Ready for review",70%,IF(U76="Reviewed - Content",80%,IF(U76="Reviewed - Format",90%,IF(U76="Done",100%,""))))))</f>
        <v/>
      </c>
      <c r="W76" t="inlineStr">
        <is>
          <t>2026-07-07</t>
        </is>
      </c>
      <c r="X76" t="inlineStr">
        <is>
          <t>Cursor / tender-response (batch)</t>
        </is>
      </c>
      <c r="Y76" t="inlineStr">
        <is>
          <t>Met</t>
        </is>
      </c>
      <c r="Z76" t="inlineStr">
        <is>
          <t>Verified</t>
        </is>
      </c>
      <c r="AA76" t="inlineStr">
        <is>
          <t>Verify: Søgning i dropdown-felter ved registrering — vurderet opfyldt (tool: 1. Fully met).</t>
        </is>
      </c>
      <c r="AB76" t="inlineStr">
        <is>
          <t>ADN: Requirement contains the word "All" but i cant come up with anywhere, where we dont support this.</t>
        </is>
      </c>
      <c r="AC76" t="inlineStr">
        <is>
          <t>docs/tender-reference/extracted/KUM-SLKS/Bilag 3 - Kravspecifikation.txt; docs/tender-reference/extracted/Nationalbanken/Bilag 3.i Leverandørens Løsningsbeskrivelse.txt; docs/tender-reference/extracted/KK Tender tool.txt</t>
        </is>
      </c>
      <c r="AD76" t="inlineStr">
        <is>
          <t>Anton: Confirm verify-tekst; opdatér review status efter tjek.</t>
        </is>
      </c>
      <c r="AE76" t="inlineStr"/>
      <c r="AF76" t="inlineStr">
        <is>
          <t>Draft</t>
        </is>
      </c>
      <c r="AG76" t="inlineStr">
        <is>
          <t>uim-esdh-full-2026-07-07</t>
        </is>
      </c>
    </row>
    <row r="77" ht="48" customHeight="1">
      <c r="A77" s="35" t="n">
        <v>76</v>
      </c>
      <c r="B77" s="35" t="inlineStr">
        <is>
          <t>MK-72</t>
        </is>
      </c>
      <c r="C77" s="35" t="inlineStr">
        <is>
          <t>Bilag 1.b</t>
        </is>
      </c>
      <c r="D77" s="35" t="inlineStr">
        <is>
          <t>Søgning</t>
        </is>
      </c>
      <c r="E77" s="35" t="inlineStr">
        <is>
          <t>Søgning på alle niveauer i journalplan</t>
        </is>
      </c>
      <c r="F77" s="35" t="inlineStr">
        <is>
          <t>ESDH-løsningen skal understøtte, at der kan søges på alle niveauer i journalplanen.</t>
        </is>
      </c>
      <c r="G77" s="35" t="inlineStr">
        <is>
          <t>Mindstekrav</t>
        </is>
      </c>
      <c r="H77" s="35">
        <f>IF(G77="Evalueringskrav","Answer",(IF(G77="Krav","Check",(IF(G77="Mindstekrav","Verify","")))))</f>
        <v/>
      </c>
      <c r="I77" s="35" t="inlineStr">
        <is>
          <t>Ja</t>
        </is>
      </c>
      <c r="J77" s="35" t="n"/>
      <c r="K77" s="47" t="n"/>
      <c r="L77" s="35" t="inlineStr">
        <is>
          <t>Anton</t>
        </is>
      </c>
      <c r="M77" s="35" t="n"/>
      <c r="N77" s="35" t="n"/>
      <c r="O77" s="35" t="inlineStr">
        <is>
          <t>1. Fully met</t>
        </is>
      </c>
      <c r="P77" s="35" t="inlineStr">
        <is>
          <t>ADN: We got the commitment on KUM</t>
        </is>
      </c>
      <c r="Q77" s="35" t="n"/>
      <c r="R77" s="35" t="n"/>
      <c r="S77" s="35" t="n"/>
      <c r="T77" s="35" t="n"/>
      <c r="U77" s="35" t="inlineStr">
        <is>
          <t>Not Started</t>
        </is>
      </c>
      <c r="V77" s="37">
        <f>IF(U77="Not Started",0%,IF(U77="Started",50%,IF(U77="Ready for review",70%,IF(U77="Reviewed - Content",80%,IF(U77="Reviewed - Format",90%,IF(U77="Done",100%,""))))))</f>
        <v/>
      </c>
      <c r="W77" t="inlineStr">
        <is>
          <t>2026-07-07</t>
        </is>
      </c>
      <c r="X77" t="inlineStr">
        <is>
          <t>Cursor / tender-response (batch)</t>
        </is>
      </c>
      <c r="Y77" t="inlineStr">
        <is>
          <t>Met</t>
        </is>
      </c>
      <c r="Z77" t="inlineStr">
        <is>
          <t>Verified</t>
        </is>
      </c>
      <c r="AA77" t="inlineStr">
        <is>
          <t>Verify: Søgning på alle niveauer i journalplan — vurderet opfyldt (tool: 1. Fully met).</t>
        </is>
      </c>
      <c r="AB77" t="inlineStr">
        <is>
          <t>ADN: We got the commitment on KUM</t>
        </is>
      </c>
      <c r="AC77" t="inlineStr">
        <is>
          <t>docs/tender-reference/extracted/KUM-SLKS/Bilag 3 - Kravspecifikation.txt; docs/tender-reference/extracted/Nationalbanken/Bilag 3.i Leverandørens Løsningsbeskrivelse.txt; docs/tender-reference/extracted/KK Tender tool.txt</t>
        </is>
      </c>
      <c r="AD77" t="inlineStr">
        <is>
          <t>Anton: Confirm verify-tekst; opdatér review status efter tjek.</t>
        </is>
      </c>
      <c r="AE77" t="inlineStr"/>
      <c r="AF77" t="inlineStr">
        <is>
          <t>Draft</t>
        </is>
      </c>
      <c r="AG77" t="inlineStr">
        <is>
          <t>uim-esdh-full-2026-07-07</t>
        </is>
      </c>
    </row>
    <row r="78" ht="48" customHeight="1">
      <c r="A78" s="35" t="n">
        <v>77</v>
      </c>
      <c r="B78" s="35" t="inlineStr">
        <is>
          <t>MK-73</t>
        </is>
      </c>
      <c r="C78" s="35" t="inlineStr">
        <is>
          <t>Bilag 1.b</t>
        </is>
      </c>
      <c r="D78" s="35" t="inlineStr">
        <is>
          <t>Søgning</t>
        </is>
      </c>
      <c r="E78" s="35" t="inlineStr">
        <is>
          <t>Søgning på tværs af Entiteter</t>
        </is>
      </c>
      <c r="F78" s="35" t="inlineStr">
        <is>
          <t>ESDH-løsningen skal understøtte, at der kan søges på tværs af Entiteter.</t>
        </is>
      </c>
      <c r="G78" s="35" t="inlineStr">
        <is>
          <t>Mindstekrav</t>
        </is>
      </c>
      <c r="H78" s="35">
        <f>IF(G78="Evalueringskrav","Answer",(IF(G78="Krav","Check",(IF(G78="Mindstekrav","Verify","")))))</f>
        <v/>
      </c>
      <c r="I78" s="35" t="inlineStr">
        <is>
          <t>Ja</t>
        </is>
      </c>
      <c r="J78" s="35" t="n"/>
      <c r="K78" s="47" t="n"/>
      <c r="L78" s="35" t="inlineStr">
        <is>
          <t>Anton</t>
        </is>
      </c>
      <c r="M78" s="35" t="n"/>
      <c r="N78" s="35" t="n"/>
      <c r="O78" s="35" t="inlineStr">
        <is>
          <t>1. Fully met</t>
        </is>
      </c>
      <c r="P78" s="35" t="n"/>
      <c r="Q78" s="35" t="n"/>
      <c r="R78" s="35" t="n"/>
      <c r="S78" s="35" t="n"/>
      <c r="T78" s="35" t="n"/>
      <c r="U78" s="35" t="inlineStr">
        <is>
          <t>Not Started</t>
        </is>
      </c>
      <c r="V78" s="37">
        <f>IF(U78="Not Started",0%,IF(U78="Started",50%,IF(U78="Ready for review",70%,IF(U78="Reviewed - Content",80%,IF(U78="Reviewed - Format",90%,IF(U78="Done",100%,""))))))</f>
        <v/>
      </c>
      <c r="W78" t="inlineStr">
        <is>
          <t>2026-07-07</t>
        </is>
      </c>
      <c r="X78" t="inlineStr">
        <is>
          <t>Cursor / tender-response (batch)</t>
        </is>
      </c>
      <c r="Y78" t="inlineStr">
        <is>
          <t>Met</t>
        </is>
      </c>
      <c r="Z78" t="inlineStr">
        <is>
          <t>Verified</t>
        </is>
      </c>
      <c r="AA78" t="inlineStr">
        <is>
          <t>Verify: Søgning på tværs af Entiteter — vurderet opfyldt (tool: 1. Fully met).</t>
        </is>
      </c>
      <c r="AB78" t="inlineStr"/>
      <c r="AC78" t="inlineStr">
        <is>
          <t>docs/tender-reference/extracted/Nationalbanken/Bilag 3.i Leverandørens Løsningsbeskrivelse.txt; docs/tender-reference/extracted/KK Tender tool.txt; docs/tender-reference/extracted/KUM-SLKS/Bilag 3 - Kravspecifikation.txt</t>
        </is>
      </c>
      <c r="AD78" t="inlineStr">
        <is>
          <t>Anton: Confirm verify-tekst; opdatér review status efter tjek.</t>
        </is>
      </c>
      <c r="AE78" t="inlineStr"/>
      <c r="AF78" t="inlineStr">
        <is>
          <t>Draft</t>
        </is>
      </c>
      <c r="AG78" t="inlineStr">
        <is>
          <t>uim-esdh-full-2026-07-07</t>
        </is>
      </c>
    </row>
    <row r="79" ht="64" customHeight="1">
      <c r="A79" s="35" t="n">
        <v>78</v>
      </c>
      <c r="B79" s="35" t="inlineStr">
        <is>
          <t>MK-74</t>
        </is>
      </c>
      <c r="C79" s="35" t="inlineStr">
        <is>
          <t>Bilag 1.b</t>
        </is>
      </c>
      <c r="D79" s="35" t="inlineStr">
        <is>
          <t>Søgning</t>
        </is>
      </c>
      <c r="E79" s="35" t="inlineStr">
        <is>
          <t>Søgebilleder - Entiteter</t>
        </is>
      </c>
      <c r="F79" s="35" t="inlineStr">
        <is>
          <t>ESDH-løsningen skal understøtte, at Kunden kan opsætte og konfigurere søgebilleder for alle Løsningens standard- og Kundeoprettede Entiteter.</t>
        </is>
      </c>
      <c r="G79" s="35" t="inlineStr">
        <is>
          <t>Mindstekrav</t>
        </is>
      </c>
      <c r="H79" s="35">
        <f>IF(G79="Evalueringskrav","Answer",(IF(G79="Krav","Check",(IF(G79="Mindstekrav","Verify","")))))</f>
        <v/>
      </c>
      <c r="I79" s="35" t="inlineStr">
        <is>
          <t>Ja</t>
        </is>
      </c>
      <c r="J79" s="35" t="n"/>
      <c r="K79" s="47" t="n"/>
      <c r="L79" s="35" t="inlineStr">
        <is>
          <t>Claus</t>
        </is>
      </c>
      <c r="M79" s="35" t="n"/>
      <c r="N79" s="35" t="n"/>
      <c r="O79" s="35" t="inlineStr">
        <is>
          <t>2. Partly met</t>
        </is>
      </c>
      <c r="P79" s="35" t="inlineStr">
        <is>
          <t>ADN: Det understøtter vi ikke.
COuld we argue, that it doesnt state it should remember these configurations, and therefore we live up to it?</t>
        </is>
      </c>
      <c r="Q79" s="35" t="n"/>
      <c r="R79" s="35" t="n"/>
      <c r="S79" s="35" t="n"/>
      <c r="T79" s="35" t="n"/>
      <c r="U79" s="35" t="inlineStr">
        <is>
          <t>Not Started</t>
        </is>
      </c>
      <c r="V79" s="37">
        <f>IF(U79="Not Started",0%,IF(U79="Started",50%,IF(U79="Ready for review",70%,IF(U79="Reviewed - Content",80%,IF(U79="Reviewed - Format",90%,IF(U79="Done",100%,""))))))</f>
        <v/>
      </c>
      <c r="W79" t="inlineStr">
        <is>
          <t>2026-07-07</t>
        </is>
      </c>
      <c r="X79" t="inlineStr">
        <is>
          <t>Cursor / tender-response (batch)</t>
        </is>
      </c>
      <c r="Y79" t="inlineStr">
        <is>
          <t>Partial</t>
        </is>
      </c>
      <c r="Z79" t="inlineStr">
        <is>
          <t>Lead</t>
        </is>
      </c>
      <c r="AA79" t="inlineStr">
        <is>
          <t>Verify: Søgebilleder - Entiteter — delvist opfyldt; afklar scope og scoring.</t>
        </is>
      </c>
      <c r="AB79" t="inlineStr">
        <is>
          <t>ADN: Det understøtter vi ikke.
COuld we argue, that it doesnt state it should remember these configurations, and therefore we live up to it? | Red flag: Det understøtter vi ikke.</t>
        </is>
      </c>
      <c r="AC79" t="inlineStr">
        <is>
          <t>docs/tender-reference/extracted/Nationalbanken/Bilag 3.i Leverandørens Løsningsbeskrivelse.txt; docs/tender-reference/extracted/Nationalbanken/Bilag 9.i Leverandørens løsningsbeskrivelse.txt; docs/product/RFP_Leverandørens_svar_utdrag.txt</t>
        </is>
      </c>
      <c r="AD79" t="inlineStr">
        <is>
          <t>Claus: Afklar delkrav; align tool-rating (O) med AI compliance.</t>
        </is>
      </c>
      <c r="AE79" t="inlineStr"/>
      <c r="AF79" t="inlineStr">
        <is>
          <t>Draft</t>
        </is>
      </c>
      <c r="AG79" t="inlineStr">
        <is>
          <t>uim-esdh-full-2026-07-07</t>
        </is>
      </c>
    </row>
    <row r="80" ht="64" customHeight="1">
      <c r="A80" s="35" t="n">
        <v>79</v>
      </c>
      <c r="B80" s="35" t="inlineStr">
        <is>
          <t>MK-75</t>
        </is>
      </c>
      <c r="C80" s="35" t="inlineStr">
        <is>
          <t>Bilag 1.b</t>
        </is>
      </c>
      <c r="D80" s="35" t="inlineStr">
        <is>
          <t>Søgning</t>
        </is>
      </c>
      <c r="E80" s="35" t="inlineStr">
        <is>
          <t>Søgebilleder - Felter</t>
        </is>
      </c>
      <c r="F80" s="35" t="inlineStr">
        <is>
          <t>ESDH-løsningen skal understøtte, at Kunden selv kan definere og konfigurere, hvilke standard- og Kundeoprettede felter søgebilledet skal indeholde.</t>
        </is>
      </c>
      <c r="G80" s="35" t="inlineStr">
        <is>
          <t>Mindstekrav</t>
        </is>
      </c>
      <c r="H80" s="35">
        <f>IF(G80="Evalueringskrav","Answer",(IF(G80="Krav","Check",(IF(G80="Mindstekrav","Verify","")))))</f>
        <v/>
      </c>
      <c r="I80" s="35" t="inlineStr">
        <is>
          <t>Ja</t>
        </is>
      </c>
      <c r="J80" s="35" t="n"/>
      <c r="K80" s="47" t="n"/>
      <c r="L80" s="35" t="inlineStr">
        <is>
          <t>Claus</t>
        </is>
      </c>
      <c r="M80" s="35" t="n"/>
      <c r="N80" s="35" t="n"/>
      <c r="O80" s="35" t="inlineStr">
        <is>
          <t>2. Partly met</t>
        </is>
      </c>
      <c r="P80" s="35" t="inlineStr">
        <is>
          <t>ADN: Det understøtter vi ikke.
COuld we argue, that it doesnt state it should remember these configurations, and therefore we live up to it?</t>
        </is>
      </c>
      <c r="Q80" s="35" t="n"/>
      <c r="R80" s="35" t="n"/>
      <c r="S80" s="35" t="n"/>
      <c r="T80" s="35" t="n"/>
      <c r="U80" s="35" t="inlineStr">
        <is>
          <t>Not Started</t>
        </is>
      </c>
      <c r="V80" s="37">
        <f>IF(U80="Not Started",0%,IF(U80="Started",50%,IF(U80="Ready for review",70%,IF(U80="Reviewed - Content",80%,IF(U80="Reviewed - Format",90%,IF(U80="Done",100%,""))))))</f>
        <v/>
      </c>
      <c r="W80" t="inlineStr">
        <is>
          <t>2026-07-07</t>
        </is>
      </c>
      <c r="X80" t="inlineStr">
        <is>
          <t>Cursor / tender-response (batch)</t>
        </is>
      </c>
      <c r="Y80" t="inlineStr">
        <is>
          <t>Partial</t>
        </is>
      </c>
      <c r="Z80" t="inlineStr">
        <is>
          <t>Lead</t>
        </is>
      </c>
      <c r="AA80" t="inlineStr">
        <is>
          <t>Verify: Søgebilleder - Felter — delvist opfyldt; afklar scope og scoring.</t>
        </is>
      </c>
      <c r="AB80" t="inlineStr">
        <is>
          <t>ADN: Det understøtter vi ikke.
COuld we argue, that it doesnt state it should remember these configurations, and therefore we live up to it? | Red flag: Det understøtter vi ikke</t>
        </is>
      </c>
      <c r="AC80" t="inlineStr">
        <is>
          <t>docs/tender-reference/extracted/KUM-SLKS/Bilag 3 - Kravspecifikation.txt; docs/tender-reference/extracted/Nationalbanken/Bilag 3.i Leverandørens Løsningsbeskrivelse.txt; docs/tender-reference/extracted/KK Tender tool.txt</t>
        </is>
      </c>
      <c r="AD80" t="inlineStr">
        <is>
          <t>Claus: Afklar delkrav; align tool-rating (O) med AI compliance.</t>
        </is>
      </c>
      <c r="AE80" t="inlineStr"/>
      <c r="AF80" t="inlineStr">
        <is>
          <t>Draft</t>
        </is>
      </c>
      <c r="AG80" t="inlineStr">
        <is>
          <t>uim-esdh-full-2026-07-07</t>
        </is>
      </c>
    </row>
    <row r="81" ht="96" customHeight="1">
      <c r="A81" s="35" t="n">
        <v>80</v>
      </c>
      <c r="B81" s="35" t="inlineStr">
        <is>
          <t>K-4</t>
        </is>
      </c>
      <c r="C81" s="35" t="inlineStr">
        <is>
          <t>Bilag 1.b</t>
        </is>
      </c>
      <c r="D81" s="35" t="inlineStr">
        <is>
          <t>Søgning</t>
        </is>
      </c>
      <c r="E81" s="35" t="inlineStr">
        <is>
          <t>Søgeoperatorer</t>
        </is>
      </c>
      <c r="F81" s="35" t="inlineStr">
        <is>
          <t>ESDH-løsningen skal understøtte, at Brugere kan anvende følgende søgeoperatorer ved fritekstsøgning og søgning i strukturerede felter:
”Og”, ”Eller” og ”Ikke”-søgning
Større end / mindre end (f.eks. ved dato- eller talfelter)
Indeholder 
Lig med (præcis match)</t>
        </is>
      </c>
      <c r="G81" s="35" t="inlineStr">
        <is>
          <t>Krav</t>
        </is>
      </c>
      <c r="H81" s="35">
        <f>IF(G81="Evalueringskrav","Answer",(IF(G81="Krav","Check",(IF(G81="Mindstekrav","Verify","")))))</f>
        <v/>
      </c>
      <c r="I81" s="35" t="inlineStr">
        <is>
          <t>Ja</t>
        </is>
      </c>
      <c r="J81" s="35" t="n"/>
      <c r="K81" s="47" t="n"/>
      <c r="L81" s="35" t="inlineStr">
        <is>
          <t>Anton</t>
        </is>
      </c>
      <c r="M81" s="35" t="n"/>
      <c r="N81" s="35" t="n"/>
      <c r="O81" s="35" t="inlineStr">
        <is>
          <t>1. Fully met</t>
        </is>
      </c>
      <c r="P81" s="35" t="inlineStr">
        <is>
          <t>ADN: We support this in a combination of global search and advanced search - it isnt specified to be in 1 place.</t>
        </is>
      </c>
      <c r="Q81" s="35" t="n"/>
      <c r="R81" s="35" t="n"/>
      <c r="S81" s="35" t="n"/>
      <c r="T81" s="35" t="n"/>
      <c r="U81" s="35" t="inlineStr">
        <is>
          <t>Not Started</t>
        </is>
      </c>
      <c r="V81" s="37">
        <f>IF(U81="Not Started",0%,IF(U81="Started",50%,IF(U81="Ready for review",70%,IF(U81="Reviewed - Content",80%,IF(U81="Reviewed - Format",90%,IF(U81="Done",100%,""))))))</f>
        <v/>
      </c>
      <c r="W81" t="inlineStr">
        <is>
          <t>2026-07-07</t>
        </is>
      </c>
      <c r="X81" t="inlineStr">
        <is>
          <t>Cursor / tender-response (batch)</t>
        </is>
      </c>
      <c r="Y81" t="inlineStr">
        <is>
          <t>Met</t>
        </is>
      </c>
      <c r="Z81" t="inlineStr">
        <is>
          <t>Verified</t>
        </is>
      </c>
      <c r="AA81" t="inlineStr">
        <is>
          <t>Check: Søgeoperatorer — vurderet opfyldt (tool: 1. Fully met).</t>
        </is>
      </c>
      <c r="AB81" t="inlineStr">
        <is>
          <t>ADN: We support this in a combination of global search and advanced search - it isnt specified to be in 1 place.</t>
        </is>
      </c>
      <c r="AC81" t="inlineStr">
        <is>
          <t>docs/tender-reference/extracted/Nationalbanken/Bilag 3.i Leverandørens Løsningsbeskrivelse.txt; docs/tender-reference/extracted/KK Tender tool.txt; docs/tender-reference/extracted/KUM-SLKS/Bilag 3 - Kravspecifikation.txt</t>
        </is>
      </c>
      <c r="AD81" t="inlineStr">
        <is>
          <t>Anton: Confirm verify-tekst; opdatér review status efter tjek.</t>
        </is>
      </c>
      <c r="AE81" t="inlineStr"/>
      <c r="AF81" t="inlineStr">
        <is>
          <t>Draft</t>
        </is>
      </c>
      <c r="AG81" t="inlineStr">
        <is>
          <t>uim-esdh-full-2026-07-07</t>
        </is>
      </c>
    </row>
    <row r="82" ht="32" customHeight="1">
      <c r="A82" s="35" t="n">
        <v>81</v>
      </c>
      <c r="B82" s="35" t="inlineStr">
        <is>
          <t>K-5</t>
        </is>
      </c>
      <c r="C82" s="35" t="inlineStr">
        <is>
          <t>Bilag 1.b</t>
        </is>
      </c>
      <c r="D82" s="35" t="inlineStr">
        <is>
          <t>Søgning</t>
        </is>
      </c>
      <c r="E82" s="35" t="inlineStr">
        <is>
          <t>Abonnementer</t>
        </is>
      </c>
      <c r="F82" s="35" t="inlineStr">
        <is>
          <t>ESDH-løsningen skal understøtte, at Brugere kan abonnere på søgninger.</t>
        </is>
      </c>
      <c r="G82" s="35" t="inlineStr">
        <is>
          <t>Krav</t>
        </is>
      </c>
      <c r="H82" s="35">
        <f>IF(G82="Evalueringskrav","Answer",(IF(G82="Krav","Check",(IF(G82="Mindstekrav","Verify","")))))</f>
        <v/>
      </c>
      <c r="I82" s="35" t="inlineStr">
        <is>
          <t>Ja</t>
        </is>
      </c>
      <c r="J82" s="35" t="n"/>
      <c r="K82" s="47" t="n"/>
      <c r="L82" s="35" t="inlineStr">
        <is>
          <t>Anton</t>
        </is>
      </c>
      <c r="M82" s="35" t="n"/>
      <c r="N82" s="35" t="n"/>
      <c r="O82" s="35" t="inlineStr">
        <is>
          <t>1. Fully met</t>
        </is>
      </c>
      <c r="P82" s="35" t="n"/>
      <c r="Q82" s="35" t="n"/>
      <c r="R82" s="35" t="n"/>
      <c r="S82" s="35" t="n"/>
      <c r="T82" s="35" t="n"/>
      <c r="U82" s="35" t="inlineStr">
        <is>
          <t>Not Started</t>
        </is>
      </c>
      <c r="V82" s="37">
        <f>IF(U82="Not Started",0%,IF(U82="Started",50%,IF(U82="Ready for review",70%,IF(U82="Reviewed - Content",80%,IF(U82="Reviewed - Format",90%,IF(U82="Done",100%,""))))))</f>
        <v/>
      </c>
      <c r="W82" t="inlineStr">
        <is>
          <t>2026-07-07</t>
        </is>
      </c>
      <c r="X82" t="inlineStr">
        <is>
          <t>Cursor / tender-response (batch)</t>
        </is>
      </c>
      <c r="Y82" t="inlineStr">
        <is>
          <t>Met</t>
        </is>
      </c>
      <c r="Z82" t="inlineStr">
        <is>
          <t>Lead</t>
        </is>
      </c>
      <c r="AA82" t="inlineStr">
        <is>
          <t>Check: Abonnementer — vurderet opfyldt (tool: 1. Fully met).</t>
        </is>
      </c>
      <c r="AB82" t="inlineStr"/>
      <c r="AC82" t="inlineStr">
        <is>
          <t>docs/tender-reference/extracted/KK Tender tool.txt; docs/tender-reference/extracted/KUM-SLKS/Bilag 3 - Kravspecifikation.txt; docs/tender-reference/extracted/Nationalbanken/Bilag 3.i Leverandørens Løsningsbeskrivelse.txt</t>
        </is>
      </c>
      <c r="AD82" t="inlineStr">
        <is>
          <t>Anton: Confirm verify-tekst; opdatér review status efter tjek.</t>
        </is>
      </c>
      <c r="AE82" t="inlineStr"/>
      <c r="AF82" t="inlineStr">
        <is>
          <t>Draft</t>
        </is>
      </c>
      <c r="AG82" t="inlineStr">
        <is>
          <t>uim-esdh-full-2026-07-07</t>
        </is>
      </c>
    </row>
    <row r="83" ht="64" customHeight="1">
      <c r="A83" s="35" t="n">
        <v>82</v>
      </c>
      <c r="B83" s="35" t="inlineStr">
        <is>
          <t>K-6</t>
        </is>
      </c>
      <c r="C83" s="35" t="inlineStr">
        <is>
          <t>Bilag 1.b</t>
        </is>
      </c>
      <c r="D83" s="35" t="inlineStr">
        <is>
          <t>Søgning</t>
        </is>
      </c>
      <c r="E83" s="35" t="inlineStr">
        <is>
          <t>Eksport af søgning</t>
        </is>
      </c>
      <c r="F83" s="35" t="inlineStr">
        <is>
          <t>ESDH-løsningen skal understøtte eksport af det komplette søgeresultat fra brugergrænsefladen til regnearksprogram anvendt af Kundens, men må dog ikke overstige regnearksprogrammets maksimum rækkekapacitet.</t>
        </is>
      </c>
      <c r="G83" s="35" t="inlineStr">
        <is>
          <t>Krav</t>
        </is>
      </c>
      <c r="H83" s="35">
        <f>IF(G83="Evalueringskrav","Answer",(IF(G83="Krav","Check",(IF(G83="Mindstekrav","Verify","")))))</f>
        <v/>
      </c>
      <c r="I83" s="35" t="inlineStr">
        <is>
          <t>Ja</t>
        </is>
      </c>
      <c r="J83" s="35" t="n"/>
      <c r="K83" s="47" t="n"/>
      <c r="L83" s="35" t="inlineStr">
        <is>
          <t>Claus</t>
        </is>
      </c>
      <c r="M83" s="35" t="n"/>
      <c r="N83" s="35" t="n"/>
      <c r="O83" s="35" t="inlineStr">
        <is>
          <t>2. Partly met</t>
        </is>
      </c>
      <c r="P83" s="35" t="inlineStr">
        <is>
          <t>ADN: This means we must support pretty much "unlimited export to Excel"</t>
        </is>
      </c>
      <c r="Q83" s="35" t="n"/>
      <c r="R83" s="35" t="inlineStr">
        <is>
          <t>Yes</t>
        </is>
      </c>
      <c r="S83" s="35" t="n"/>
      <c r="T83" s="35" t="n"/>
      <c r="U83" s="35" t="inlineStr">
        <is>
          <t>Not Started</t>
        </is>
      </c>
      <c r="V83" s="37">
        <f>IF(U83="Not Started",0%,IF(U83="Started",50%,IF(U83="Ready for review",70%,IF(U83="Reviewed - Content",80%,IF(U83="Reviewed - Format",90%,IF(U83="Done",100%,""))))))</f>
        <v/>
      </c>
      <c r="W83" t="inlineStr">
        <is>
          <t>2026-07-07</t>
        </is>
      </c>
      <c r="X83" t="inlineStr">
        <is>
          <t>Cursor / tender-response (batch)</t>
        </is>
      </c>
      <c r="Y83" t="inlineStr">
        <is>
          <t>Partial</t>
        </is>
      </c>
      <c r="Z83" t="inlineStr">
        <is>
          <t>Lead</t>
        </is>
      </c>
      <c r="AA83" t="inlineStr">
        <is>
          <t>Check: Eksport af søgning — delvist opfyldt; afklar scope og scoring.</t>
        </is>
      </c>
      <c r="AB83" t="inlineStr">
        <is>
          <t>ADN: This means we must support pretty much "unlimited export to Excel"</t>
        </is>
      </c>
      <c r="AC83" t="inlineStr">
        <is>
          <t>docs/tender-reference/extracted/KK Tender tool.txt; docs/tender-reference/extracted/Nationalbanken/Bilag 3.i Leverandørens Løsningsbeskrivelse.txt; docs/tender-reference/extracted/KUM-SLKS/Bilag 3 - Kravspecifikation.txt</t>
        </is>
      </c>
      <c r="AD83" t="inlineStr">
        <is>
          <t>Claus: Afklar delkrav; align tool-rating (O) med AI compliance.</t>
        </is>
      </c>
      <c r="AE83" t="inlineStr"/>
      <c r="AF83" t="inlineStr">
        <is>
          <t>Draft</t>
        </is>
      </c>
      <c r="AG83" t="inlineStr">
        <is>
          <t>uim-esdh-full-2026-07-07</t>
        </is>
      </c>
    </row>
    <row r="84" ht="409.5" customHeight="1">
      <c r="A84" s="35" t="n">
        <v>83</v>
      </c>
      <c r="B84" s="35" t="inlineStr">
        <is>
          <t>EK-2</t>
        </is>
      </c>
      <c r="C84" s="35" t="inlineStr">
        <is>
          <t>Bilag 1.b</t>
        </is>
      </c>
      <c r="D84" s="35" t="inlineStr">
        <is>
          <t>Dashboards</t>
        </is>
      </c>
      <c r="E84" s="35" t="inlineStr">
        <is>
          <t>Dashboards</t>
        </is>
      </c>
      <c r="F84" s="35" t="inlineStr">
        <is>
          <t>ESDH-løsningen skal understøtte realtidsbaserede dashboards, der giver Kundens Brugere et hurtigt og overskueligt overblik over relevante data i ESDH-løsningen. Dashboard i ESDH-løsningen skal understøtte visualiseringer og udtræk af statistiske data til brug for konkret sagsbehandling, Myndighedsarbejde, ledelsestilsyn og politiske beslutninger. 
Leverandøren skal beskrive, hvordan den tilbudte ESDH-løsning understøtter realtidsbaserede dashboards. 
Leverandøren skal gennem konkrete skærmbilleder demonstrere om og hvordan ESDH-løsningen understøtter de stillede krav og møder Kundens behov.
Leverandøren skal redegøre for: 
Hvordan ESDH-løsningen understøtter, at Administrator og Bruger kan oprette egne realtidsbaserede dashboards til sags- og driftsstyring
Hvordan ESDH-løsningen understøtter visning af både individuelle og afdelingsspecifikke frister med farver eller ikoner, når en frist for eksempel nærmer sig udløb
Hvilke visualiseringer som ESDH-løsningen understøtter
Hvordan ESDH-løsningen understøtter effektiv og brugervenlig navigation til underliggende detaljer fra dashboards
Hvordan ESDH-løsningen understøtter dashboards på Dokument og kontaktniveau
Hvordan dashboards på en let og intuitiv måde kan oprettes og vedligeholdes af Administrator
Hvordan dashboards på en let og intuitiv måde kan deles på organisatorisk niveau samt brugerniveau
Evalueringskriterier:
Det vægtes positivt, i hvor høj grad Brugere og Administratorer kan personalisere og konfigurere dashboards efter individuelle og organisatoriske behov, samt at disse kan deles på en intuitiv og brugervenlig måde. 
Det vægtes positivt, i hvor høj grad dashboard-visninger kan tilpasses forskellige brugerroller, medarbejderniveauer og organisatorisk opdeling.
Det vægtes positivt, i hvor høj grad dashboards kan udstilles på forskellige visuelle måder herunder, at der er mulighed for at konfigurere kolonner i visningen samt, at data kan eksporteres i relevante formater. 
Det vægtes positivt, i hvor høj grad ESDH-løsningens dashboards kan udstille resultater i dashboard-widgets.
Det vægtes positivt, i hvor høj grad dashboards kan tilpasses med en grafisk udstilling, der indeholder: 
Listevisninger
Søjlediagrammer 
Cirkeldiagrammer 
Tællere
Det vægtes positivt, i hvor høj grad data og søgeresultater, der udstilles på dashboards, opdateres automatisk i realtid uden behov for manuel opdatering (refresh). 
Det vægtes positivt, i hvor høj grad en Administrator kan udrulle dashboads til organisationen, afdelinger, teams og Brugere, som styres centralt.</t>
        </is>
      </c>
      <c r="G84" s="35" t="inlineStr">
        <is>
          <t>Evalueringskrav</t>
        </is>
      </c>
      <c r="H84" s="35">
        <f>IF(G84="Evalueringskrav","Answer",(IF(G84="Krav","Check",(IF(G84="Mindstekrav","Verify","")))))</f>
        <v/>
      </c>
      <c r="I84" s="35" t="inlineStr">
        <is>
          <t>Ja</t>
        </is>
      </c>
      <c r="J84" s="35" t="n"/>
      <c r="K84" s="47" t="n"/>
      <c r="L84" s="35" t="inlineStr">
        <is>
          <t>Torben</t>
        </is>
      </c>
      <c r="M84" s="35" t="n"/>
      <c r="N84" s="35" t="n"/>
      <c r="O84" s="35" t="n"/>
      <c r="P84" s="35" t="n"/>
      <c r="Q84" s="35" t="n"/>
      <c r="R84" s="35" t="n"/>
      <c r="S84" s="35" t="n"/>
      <c r="T84" s="35" t="n"/>
      <c r="U84" s="35" t="inlineStr">
        <is>
          <t>Not Started</t>
        </is>
      </c>
      <c r="V84" s="37">
        <f>IF(U84="Not Started",0%,IF(U84="Started",50%,IF(U84="Ready for review",70%,IF(U84="Reviewed - Content",80%,IF(U84="Reviewed - Format",90%,IF(U84="Done",100%,""))))))</f>
        <v/>
      </c>
      <c r="W84" t="inlineStr">
        <is>
          <t>2026-07-07</t>
        </is>
      </c>
      <c r="X84" t="inlineStr">
        <is>
          <t>Cursor / tender-response (batch)</t>
        </is>
      </c>
      <c r="Y84" t="inlineStr">
        <is>
          <t>Draft needed</t>
        </is>
      </c>
      <c r="Z84" t="inlineStr">
        <is>
          <t>Verified</t>
        </is>
      </c>
      <c r="AA84" t="inlineStr">
        <is>
          <t>Answer: Dashboards — informationskrav; udkast bilag/dokumentation mangler.</t>
        </is>
      </c>
      <c r="AB84" t="inlineStr">
        <is>
          <t>Mangler link til svar-bilag i kolonne T.</t>
        </is>
      </c>
      <c r="AC84" t="inlineStr">
        <is>
          <t>docs/tender-reference/extracted/Nationalbanken/Bilag 3.i Leverandørens Løsningsbeskrivelse.txt; docs/tender-reference/extracted/KUM-SLKS/Bilag 3 - Kravspecifikation.txt; docs/tender-reference/extracted/KK Tender tool.txt</t>
        </is>
      </c>
      <c r="AD84" t="inlineStr">
        <is>
          <t>Torben: Opret/link svar-bilag; draft IK-tekst fra prior art.</t>
        </is>
      </c>
      <c r="AE84" t="inlineStr"/>
      <c r="AF84" t="inlineStr">
        <is>
          <t>Draft</t>
        </is>
      </c>
      <c r="AG84" t="inlineStr">
        <is>
          <t>uim-esdh-full-2026-07-07</t>
        </is>
      </c>
    </row>
    <row r="85" ht="128" customHeight="1">
      <c r="A85" s="35" t="n">
        <v>84</v>
      </c>
      <c r="B85" s="35" t="inlineStr">
        <is>
          <t>MK-76</t>
        </is>
      </c>
      <c r="C85" s="35" t="inlineStr">
        <is>
          <t>Bilag 1.b</t>
        </is>
      </c>
      <c r="D85" s="35" t="inlineStr">
        <is>
          <t>Brugergrænsefladen</t>
        </is>
      </c>
      <c r="E85" s="35" t="inlineStr">
        <is>
          <t>Browser-baseret brugergrænseflade</t>
        </is>
      </c>
      <c r="F85" s="35" t="inlineStr">
        <is>
          <t>ESDH-løsningen skal understøtte afvikling i en af nedenstående standardbrowsere uden løsnings-specifikt plugin: 
Microsoft Edge
Google Chrome</t>
        </is>
      </c>
      <c r="G85" s="35" t="inlineStr">
        <is>
          <t>Mindstekrav</t>
        </is>
      </c>
      <c r="H85" s="35">
        <f>IF(G85="Evalueringskrav","Answer",(IF(G85="Krav","Check",(IF(G85="Mindstekrav","Verify","")))))</f>
        <v/>
      </c>
      <c r="I85" s="35" t="inlineStr">
        <is>
          <t>Ja</t>
        </is>
      </c>
      <c r="J85" s="35" t="n"/>
      <c r="K85" s="47" t="n"/>
      <c r="L85" s="35" t="inlineStr">
        <is>
          <t>Anton</t>
        </is>
      </c>
      <c r="M85" s="35" t="n"/>
      <c r="N85" s="35" t="n"/>
      <c r="O85" s="35" t="inlineStr">
        <is>
          <t>1. Fully met</t>
        </is>
      </c>
      <c r="P85" s="35" t="inlineStr">
        <is>
          <t>ADN: Påvirker ikke os - men det her krav er et godt eksempel på en Kunde der beskriver en løsning frem for et behov. Hvorfor skal det være browserbaseret?
AOP: Meget standard i udbud. Baggrunden er, at det anses som værende fremtiden og lettere for kunden at administrere selv.</t>
        </is>
      </c>
      <c r="Q85" s="35" t="n"/>
      <c r="R85" s="35" t="n"/>
      <c r="S85" s="35" t="n"/>
      <c r="T85" s="35" t="n"/>
      <c r="U85" s="35" t="inlineStr">
        <is>
          <t>Not Started</t>
        </is>
      </c>
      <c r="V85" s="37">
        <f>IF(U85="Not Started",0%,IF(U85="Started",50%,IF(U85="Ready for review",70%,IF(U85="Reviewed - Content",80%,IF(U85="Reviewed - Format",90%,IF(U85="Done",100%,""))))))</f>
        <v/>
      </c>
      <c r="W85" t="inlineStr">
        <is>
          <t>2026-07-07</t>
        </is>
      </c>
      <c r="X85" t="inlineStr">
        <is>
          <t>Cursor / tender-response (batch)</t>
        </is>
      </c>
      <c r="Y85" t="inlineStr">
        <is>
          <t>Met</t>
        </is>
      </c>
      <c r="Z85" t="inlineStr">
        <is>
          <t>Verified</t>
        </is>
      </c>
      <c r="AA85" t="inlineStr">
        <is>
          <t>Verify: Browser-baseret brugergrænseflade — vurderet opfyldt (tool: 1. Fully met).</t>
        </is>
      </c>
      <c r="AB85" t="inlineStr">
        <is>
          <t>ADN: Påvirker ikke os - men det her krav er et godt eksempel på en Kunde der beskriver en løsning frem for et behov. Hvorfor skal det være browserbaseret?
AOP: Meget standard i udbud. Baggrunden er, at det anses som værende fremtiden og lettere for kunden at administrere selv. | Red flag: Påvirker ikke os - men det her krav er et godt eksempel på en Kunde der beskriver en løsning frem for et behov. Hvorfor skal det være browserbaseret?</t>
        </is>
      </c>
      <c r="AC8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85" t="inlineStr">
        <is>
          <t>Anton: Confirm verify-tekst; opdatér review status efter tjek.</t>
        </is>
      </c>
      <c r="AE85" t="inlineStr"/>
      <c r="AF85" t="inlineStr">
        <is>
          <t>Draft</t>
        </is>
      </c>
      <c r="AG85" t="inlineStr">
        <is>
          <t>uim-esdh-full-2026-07-07</t>
        </is>
      </c>
    </row>
    <row r="86" ht="96" customHeight="1">
      <c r="A86" s="35" t="n">
        <v>85</v>
      </c>
      <c r="B86" s="35" t="inlineStr">
        <is>
          <t>MK-77</t>
        </is>
      </c>
      <c r="C86" s="35" t="inlineStr">
        <is>
          <t>Bilag 1.b</t>
        </is>
      </c>
      <c r="D86" s="35" t="inlineStr">
        <is>
          <t>Brugergrænsefladen</t>
        </is>
      </c>
      <c r="E86" s="35" t="inlineStr">
        <is>
          <t>Visning af store mængder</t>
        </is>
      </c>
      <c r="F86" s="35" t="inlineStr">
        <is>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is>
      </c>
      <c r="G86" s="35" t="inlineStr">
        <is>
          <t>Mindstekrav</t>
        </is>
      </c>
      <c r="H86" s="35">
        <f>IF(G86="Evalueringskrav","Answer",(IF(G86="Krav","Check",(IF(G86="Mindstekrav","Verify","")))))</f>
        <v/>
      </c>
      <c r="I86" s="35" t="inlineStr">
        <is>
          <t>Ja</t>
        </is>
      </c>
      <c r="J86" s="35" t="n"/>
      <c r="K86" s="47" t="n"/>
      <c r="L86" s="35" t="inlineStr">
        <is>
          <t>Claus</t>
        </is>
      </c>
      <c r="M86" s="35" t="n"/>
      <c r="N86" s="35" t="n"/>
      <c r="O86" s="35" t="inlineStr">
        <is>
          <t>3. Not able to meet</t>
        </is>
      </c>
      <c r="P86" s="35" t="inlineStr">
        <is>
          <t>ADN: Issue - ”Alle”  og ”ingen begrænsning” i samme sætning..</t>
        </is>
      </c>
      <c r="Q86" s="35" t="n"/>
      <c r="R86" s="35" t="inlineStr">
        <is>
          <t>Yes</t>
        </is>
      </c>
      <c r="S86" s="35" t="n"/>
      <c r="T86" s="35" t="n"/>
      <c r="U86" s="35" t="inlineStr">
        <is>
          <t>Not Started</t>
        </is>
      </c>
      <c r="V86" s="37">
        <f>IF(U86="Not Started",0%,IF(U86="Started",50%,IF(U86="Ready for review",70%,IF(U86="Reviewed - Content",80%,IF(U86="Reviewed - Format",90%,IF(U86="Done",100%,""))))))</f>
        <v/>
      </c>
      <c r="W86" t="inlineStr">
        <is>
          <t>2026-07-07</t>
        </is>
      </c>
      <c r="X86" t="inlineStr">
        <is>
          <t>Cursor / tender-response (batch)</t>
        </is>
      </c>
      <c r="Y86" t="inlineStr">
        <is>
          <t>Not met</t>
        </is>
      </c>
      <c r="Z86" t="inlineStr">
        <is>
          <t>Verified</t>
        </is>
      </c>
      <c r="AA86" t="inlineStr">
        <is>
          <t>Verify: Visning af store mængder — gap ift. kravtekst; eskalér commitment eller afklaring.</t>
        </is>
      </c>
      <c r="AB86" t="inlineStr">
        <is>
          <t>ADN: Issue - ”Alle”  og ”ingen begrænsning” i samme sætning.. | Red flag: Issue - ”Alle”  og ”ingen begrænsning” i samme sætning..</t>
        </is>
      </c>
      <c r="AC86" t="inlineStr">
        <is>
          <t>docs/tender-reference/extracted/KUM-SLKS/Bilag 3 - Kravspecifikation.txt; docs/tender-reference/extracted/Nationalbanken/Bilag 3.i Leverandørens Løsningsbeskrivelse.txt; docs/tender-reference/extracted/KK Tender tool.txt</t>
        </is>
      </c>
      <c r="AD86" t="inlineStr">
        <is>
          <t>Claus: Commitment/no-bid beslutning; overvej Q&amp;A til ordregiver.</t>
        </is>
      </c>
      <c r="AE86" t="inlineStr"/>
      <c r="AF86" t="inlineStr">
        <is>
          <t>Draft</t>
        </is>
      </c>
      <c r="AG86" t="inlineStr">
        <is>
          <t>uim-esdh-full-2026-07-07</t>
        </is>
      </c>
    </row>
    <row r="87" ht="144" customHeight="1">
      <c r="A87" s="35" t="n">
        <v>86</v>
      </c>
      <c r="B87" s="35" t="inlineStr">
        <is>
          <t>MK-78</t>
        </is>
      </c>
      <c r="C87" s="35" t="inlineStr">
        <is>
          <t>Bilag 1.b</t>
        </is>
      </c>
      <c r="D87" s="35" t="inlineStr">
        <is>
          <t>Brugergrænsefladen</t>
        </is>
      </c>
      <c r="E87" s="35" t="inlineStr">
        <is>
          <t>Genvejstaster</t>
        </is>
      </c>
      <c r="F87" s="35" t="inlineStr">
        <is>
          <t>ESDH-løsningen skal understøtte brugen af genvejstaster, funktionstaster eller tastekombinationer. Genvejstaster skal være dokumenteret i hjælpefunktionen.</t>
        </is>
      </c>
      <c r="G87" s="35" t="inlineStr">
        <is>
          <t>Mindstekrav</t>
        </is>
      </c>
      <c r="H87" s="35">
        <f>IF(G87="Evalueringskrav","Answer",(IF(G87="Krav","Check",(IF(G87="Mindstekrav","Verify","")))))</f>
        <v/>
      </c>
      <c r="I87" s="35" t="inlineStr">
        <is>
          <t>Ja</t>
        </is>
      </c>
      <c r="J87" s="35" t="n"/>
      <c r="K87" s="47" t="n"/>
      <c r="L87" s="35" t="inlineStr">
        <is>
          <t>Anton</t>
        </is>
      </c>
      <c r="M87" s="35" t="n"/>
      <c r="N87" s="35" t="n"/>
      <c r="O87" s="35" t="inlineStr">
        <is>
          <t>1. Fully met</t>
        </is>
      </c>
      <c r="P87" s="35" t="inlineStr">
        <is>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t>
        </is>
      </c>
      <c r="Q87" s="35" t="n"/>
      <c r="R87" s="35" t="n"/>
      <c r="S87" s="35" t="n"/>
      <c r="T87" s="35" t="n"/>
      <c r="U87" s="35" t="inlineStr">
        <is>
          <t>Not Started</t>
        </is>
      </c>
      <c r="V87" s="37">
        <f>IF(U87="Not Started",0%,IF(U87="Started",50%,IF(U87="Ready for review",70%,IF(U87="Reviewed - Content",80%,IF(U87="Reviewed - Format",90%,IF(U87="Done",100%,""))))))</f>
        <v/>
      </c>
      <c r="W87" t="inlineStr">
        <is>
          <t>2026-07-07</t>
        </is>
      </c>
      <c r="X87" t="inlineStr">
        <is>
          <t>Cursor / tender-response (batch)</t>
        </is>
      </c>
      <c r="Y87" t="inlineStr">
        <is>
          <t>Met</t>
        </is>
      </c>
      <c r="Z87" t="inlineStr">
        <is>
          <t>Verified</t>
        </is>
      </c>
      <c r="AA87" t="inlineStr">
        <is>
          <t>Verify: Genvejstaster — vurderet opfyldt (tool: 1. Fully met).</t>
        </is>
      </c>
      <c r="AB87" t="inlineStr">
        <is>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 | Red flag: Det her bevæger vi os væk fra, fordi det ikke er særligt WCAG-compliant. MEN - vi skal bemærke de ikke definere det skal gælde alt, eller hvad man skal kunne, så hvis vi har en genvejstast ét sted i løsningen, kan vi principielt sige ja til dette krav.</t>
        </is>
      </c>
      <c r="AC87" t="inlineStr">
        <is>
          <t>docs/tender-reference/extracted/Nationalbanken/Bilag 3.i Leverandørens Løsningsbeskrivelse.txt; docs/tender-reference/extracted/KK Tender tool.txt; docs/tender-reference/extracted/Nationalbanken/Bilag 1.i Leverandørens Løsningsbeskrivelse.txt</t>
        </is>
      </c>
      <c r="AD87" t="inlineStr">
        <is>
          <t>Anton: Confirm verify-tekst; opdatér review status efter tjek.</t>
        </is>
      </c>
      <c r="AE87" t="inlineStr"/>
      <c r="AF87" t="inlineStr">
        <is>
          <t>Draft</t>
        </is>
      </c>
      <c r="AG87" t="inlineStr">
        <is>
          <t>uim-esdh-full-2026-07-07</t>
        </is>
      </c>
    </row>
    <row r="88" ht="32" customHeight="1">
      <c r="A88" s="35" t="n">
        <v>87</v>
      </c>
      <c r="B88" s="35" t="inlineStr">
        <is>
          <t>MK-79</t>
        </is>
      </c>
      <c r="C88" s="35" t="inlineStr">
        <is>
          <t>Bilag 1.b</t>
        </is>
      </c>
      <c r="D88" s="35" t="inlineStr">
        <is>
          <t>Brugergrænsefladen</t>
        </is>
      </c>
      <c r="E88" s="35" t="inlineStr">
        <is>
          <t>Obligatoriske felter</t>
        </is>
      </c>
      <c r="F88" s="35" t="inlineStr">
        <is>
          <t>ESDH-løsningen skal understøtte en tydelig marker af obligatoriske felter i forbindelse med oprettelse eller redigering af Entiteter.</t>
        </is>
      </c>
      <c r="G88" s="35" t="inlineStr">
        <is>
          <t>Mindstekrav</t>
        </is>
      </c>
      <c r="H88" s="35">
        <f>IF(G88="Evalueringskrav","Answer",(IF(G88="Krav","Check",(IF(G88="Mindstekrav","Verify","")))))</f>
        <v/>
      </c>
      <c r="I88" s="35" t="inlineStr">
        <is>
          <t>Ja</t>
        </is>
      </c>
      <c r="J88" s="35" t="n"/>
      <c r="K88" s="47" t="n"/>
      <c r="L88" s="35" t="inlineStr">
        <is>
          <t>Anton</t>
        </is>
      </c>
      <c r="M88" s="35" t="n"/>
      <c r="N88" s="35" t="n"/>
      <c r="O88" s="35" t="inlineStr">
        <is>
          <t>1. Fully met</t>
        </is>
      </c>
      <c r="P88" s="35" t="n"/>
      <c r="Q88" s="35" t="n"/>
      <c r="R88" s="35" t="n"/>
      <c r="S88" s="35" t="n"/>
      <c r="T88" s="35" t="n"/>
      <c r="U88" s="35" t="inlineStr">
        <is>
          <t>Not Started</t>
        </is>
      </c>
      <c r="V88" s="37">
        <f>IF(U88="Not Started",0%,IF(U88="Started",50%,IF(U88="Ready for review",70%,IF(U88="Reviewed - Content",80%,IF(U88="Reviewed - Format",90%,IF(U88="Done",100%,""))))))</f>
        <v/>
      </c>
      <c r="W88" t="inlineStr">
        <is>
          <t>2026-07-07</t>
        </is>
      </c>
      <c r="X88" t="inlineStr">
        <is>
          <t>Cursor / tender-response (batch)</t>
        </is>
      </c>
      <c r="Y88" t="inlineStr">
        <is>
          <t>Met</t>
        </is>
      </c>
      <c r="Z88" t="inlineStr">
        <is>
          <t>Verified</t>
        </is>
      </c>
      <c r="AA88" t="inlineStr">
        <is>
          <t>Verify: Obligatoriske felter — vurderet opfyldt (tool: 1. Fully met).</t>
        </is>
      </c>
      <c r="AB88" t="inlineStr"/>
      <c r="AC88" t="inlineStr">
        <is>
          <t>docs/tender-reference/extracted/Nationalbanken/Bilag 3.i Leverandørens Løsningsbeskrivelse.txt; docs/product/RFP_Leverandørens_svar_utdrag.txt; docs/tender-reference/extracted/HSØ/02.00-Tietoevry-SSA-L-Bilag 2-Leverandørens beskrivelse av Tjenesten.txt</t>
        </is>
      </c>
      <c r="AD88" t="inlineStr">
        <is>
          <t>Anton: Confirm verify-tekst; opdatér review status efter tjek.</t>
        </is>
      </c>
      <c r="AE88" t="inlineStr"/>
      <c r="AF88" t="inlineStr">
        <is>
          <t>Draft</t>
        </is>
      </c>
      <c r="AG88" t="inlineStr">
        <is>
          <t>uim-esdh-full-2026-07-07</t>
        </is>
      </c>
    </row>
    <row r="89" ht="112" customHeight="1">
      <c r="A89" s="35" t="n">
        <v>88</v>
      </c>
      <c r="B89" s="35" t="inlineStr">
        <is>
          <t>MK-80</t>
        </is>
      </c>
      <c r="C89" s="35" t="inlineStr">
        <is>
          <t>Bilag 1.b</t>
        </is>
      </c>
      <c r="D89" s="35" t="inlineStr">
        <is>
          <t>Brugergrænsefladen</t>
        </is>
      </c>
      <c r="E89" s="35" t="inlineStr">
        <is>
          <t>Masseændring</t>
        </is>
      </c>
      <c r="F89" s="35" t="inlineStr">
        <is>
          <t>ESDH-løsningen skal understøtte, at en Bruger via brugergrænsefladen kan foretage masseændringer af tilknyttede standard- og Kundeoprettede felter på sager, Dokumenter, kontakter og Kundeoprettede Entiteter.</t>
        </is>
      </c>
      <c r="G89" s="35" t="inlineStr">
        <is>
          <t>Mindstekrav</t>
        </is>
      </c>
      <c r="H89" s="35">
        <f>IF(G89="Evalueringskrav","Answer",(IF(G89="Krav","Check",(IF(G89="Mindstekrav","Verify","")))))</f>
        <v/>
      </c>
      <c r="I89" s="35" t="inlineStr">
        <is>
          <t>Ja</t>
        </is>
      </c>
      <c r="J89" s="35" t="n"/>
      <c r="K89" s="47" t="n"/>
      <c r="L89" s="35" t="inlineStr">
        <is>
          <t>Torben</t>
        </is>
      </c>
      <c r="M89" s="35" t="n"/>
      <c r="N89" s="35" t="n"/>
      <c r="O89" s="35" t="inlineStr">
        <is>
          <t>3. Not able to meet</t>
        </is>
      </c>
      <c r="P89" s="35" t="inlineStr">
        <is>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c r="Q89" s="35" t="inlineStr">
        <is>
          <t>Yes</t>
        </is>
      </c>
      <c r="R89" s="35" t="n"/>
      <c r="S89" s="35" t="n"/>
      <c r="T89" s="35" t="n"/>
      <c r="U89" s="35" t="inlineStr">
        <is>
          <t>Not Started</t>
        </is>
      </c>
      <c r="V89" s="37">
        <f>IF(U89="Not Started",0%,IF(U89="Started",50%,IF(U89="Ready for review",70%,IF(U89="Reviewed - Content",80%,IF(U89="Reviewed - Format",90%,IF(U89="Done",100%,""))))))</f>
        <v/>
      </c>
      <c r="W89" t="inlineStr">
        <is>
          <t>2026-07-07</t>
        </is>
      </c>
      <c r="X89" t="inlineStr">
        <is>
          <t>Cursor / tender-response (batch)</t>
        </is>
      </c>
      <c r="Y89" t="inlineStr">
        <is>
          <t>Not met</t>
        </is>
      </c>
      <c r="Z89" t="inlineStr">
        <is>
          <t>Verified</t>
        </is>
      </c>
      <c r="AA89" t="inlineStr">
        <is>
          <t>Verify: Masseændring — gap ift. kravtekst; eskalér commitment eller afklaring.</t>
        </is>
      </c>
      <c r="AB89" t="inlineStr">
        <is>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 | Red flag: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c r="AC89" t="inlineStr">
        <is>
          <t>docs/tender-reference/extracted/Nationalbanken/Bilag 3.i Leverandørens Løsningsbeskrivelse.txt; docs/tender-reference/extracted/KUM-SLKS/Bilag 3 - Kravspecifikation.txt; docs/tender-reference/extracted/KK Tender tool.txt</t>
        </is>
      </c>
      <c r="AD89" t="inlineStr">
        <is>
          <t>Torben: Commitment/no-bid beslutning; overvej Q&amp;A til ordregiver.</t>
        </is>
      </c>
      <c r="AE89" t="inlineStr"/>
      <c r="AF89" t="inlineStr">
        <is>
          <t>Draft</t>
        </is>
      </c>
      <c r="AG89" t="inlineStr">
        <is>
          <t>uim-esdh-full-2026-07-07</t>
        </is>
      </c>
    </row>
    <row r="90" ht="112" customHeight="1">
      <c r="A90" s="35" t="n">
        <v>89</v>
      </c>
      <c r="B90" s="35" t="inlineStr">
        <is>
          <t>MK-81</t>
        </is>
      </c>
      <c r="C90" s="35" t="inlineStr">
        <is>
          <t>Bilag 1.b</t>
        </is>
      </c>
      <c r="D90" s="35" t="inlineStr">
        <is>
          <t>Brugergrænsefladen</t>
        </is>
      </c>
      <c r="E90" s="35" t="inlineStr">
        <is>
          <t>Visuel visning på Dokument metadata</t>
        </is>
      </c>
      <c r="F90" s="35" t="inlineStr">
        <is>
          <t>ESDH-løsningen skal understøtte en visuel adskillelse af indgående og udgående Dokumenter, f.eks. via opmærkning.</t>
        </is>
      </c>
      <c r="G90" s="35" t="inlineStr">
        <is>
          <t>Mindstekrav</t>
        </is>
      </c>
      <c r="H90" s="35">
        <f>IF(G90="Evalueringskrav","Answer",(IF(G90="Krav","Check",(IF(G90="Mindstekrav","Verify","")))))</f>
        <v/>
      </c>
      <c r="I90" s="35" t="inlineStr">
        <is>
          <t>Ja</t>
        </is>
      </c>
      <c r="J90" s="35" t="n"/>
      <c r="K90" s="47" t="n"/>
      <c r="L90" s="35" t="inlineStr">
        <is>
          <t>Anton</t>
        </is>
      </c>
      <c r="M90" s="35" t="n"/>
      <c r="N90" s="35" t="n"/>
      <c r="O90" s="35" t="inlineStr">
        <is>
          <t>1. Fully met</t>
        </is>
      </c>
      <c r="P90" s="35" t="inlineStr">
        <is>
          <t>ADN: Hvornår er noget ”Visuelt adskilt”? - er det nok at der står ”Indgående” og/eller ”Udgående”?
hos os står der "Dokument ind", eller "dokument ud" - det er vel visuelt adskildt.. Jeg kan se at der ikke står det samme?</t>
        </is>
      </c>
      <c r="Q90" s="35" t="n"/>
      <c r="R90" s="35" t="n"/>
      <c r="S90" s="35" t="n"/>
      <c r="T90" s="35" t="n"/>
      <c r="U90" s="35" t="inlineStr">
        <is>
          <t>Not Started</t>
        </is>
      </c>
      <c r="V90" s="37">
        <f>IF(U90="Not Started",0%,IF(U90="Started",50%,IF(U90="Ready for review",70%,IF(U90="Reviewed - Content",80%,IF(U90="Reviewed - Format",90%,IF(U90="Done",100%,""))))))</f>
        <v/>
      </c>
      <c r="W90" t="inlineStr">
        <is>
          <t>2026-07-07</t>
        </is>
      </c>
      <c r="X90" t="inlineStr">
        <is>
          <t>Cursor / tender-response (batch)</t>
        </is>
      </c>
      <c r="Y90" t="inlineStr">
        <is>
          <t>Met</t>
        </is>
      </c>
      <c r="Z90" t="inlineStr">
        <is>
          <t>Verified</t>
        </is>
      </c>
      <c r="AA90" t="inlineStr">
        <is>
          <t>Verify: Visuel visning på Dokument metadata — vurderet opfyldt (tool: 1. Fully met).</t>
        </is>
      </c>
      <c r="AB90" t="inlineStr">
        <is>
          <t>ADN: Hvornår er noget ”Visuelt adskilt”? - er det nok at der står ”Indgående” og/eller ”Udgående”?
hos os står der "Dokument ind", eller "dokument ud" - det er vel visuelt adskildt.. Jeg kan se at der ikke står det samme? | Red flag: Hvornår er noget ”Visuelt adskilt”? - er det nok at der står ”Indgående” og/eller ”Udgående”?</t>
        </is>
      </c>
      <c r="AC90" t="inlineStr">
        <is>
          <t>docs/tender-reference/extracted/Nationalbanken/Bilag 3.i Leverandørens Løsningsbeskrivelse.txt; docs/tender-reference/extracted/KK Tender tool.txt; docs/tender-reference/extracted/KUM-SLKS/Bilag 3 - Kravspecifikation.txt</t>
        </is>
      </c>
      <c r="AD90" t="inlineStr">
        <is>
          <t>Anton: Confirm verify-tekst; opdatér review status efter tjek.</t>
        </is>
      </c>
      <c r="AE90" t="inlineStr"/>
      <c r="AF90" t="inlineStr">
        <is>
          <t>Draft</t>
        </is>
      </c>
      <c r="AG90" t="inlineStr">
        <is>
          <t>uim-esdh-full-2026-07-07</t>
        </is>
      </c>
    </row>
    <row r="91" ht="48" customHeight="1">
      <c r="A91" s="35" t="n">
        <v>90</v>
      </c>
      <c r="B91" s="35" t="inlineStr">
        <is>
          <t>MK-82</t>
        </is>
      </c>
      <c r="C91" s="35" t="inlineStr">
        <is>
          <t>Bilag 1.b</t>
        </is>
      </c>
      <c r="D91" s="35" t="inlineStr">
        <is>
          <t>Brugergrænsefladen</t>
        </is>
      </c>
      <c r="E91" s="35" t="inlineStr">
        <is>
          <t>Markering af obligatoriske felter</t>
        </is>
      </c>
      <c r="F91" s="35" t="inlineStr">
        <is>
          <t>ESDH-løsningen skal understøtte en tydelig markering af, om felter er obligatoriske. Det skal være gældende for Løsningens standard- og Kundeoprettede felter.</t>
        </is>
      </c>
      <c r="G91" s="35" t="inlineStr">
        <is>
          <t>Mindstekrav</t>
        </is>
      </c>
      <c r="H91" s="35">
        <f>IF(G91="Evalueringskrav","Answer",(IF(G91="Krav","Check",(IF(G91="Mindstekrav","Verify","")))))</f>
        <v/>
      </c>
      <c r="I91" s="35" t="inlineStr">
        <is>
          <t>Ja</t>
        </is>
      </c>
      <c r="J91" s="35" t="n"/>
      <c r="K91" s="47" t="n"/>
      <c r="L91" s="35" t="inlineStr">
        <is>
          <t>Anton</t>
        </is>
      </c>
      <c r="M91" s="35" t="n"/>
      <c r="N91" s="35" t="n"/>
      <c r="O91" s="35" t="inlineStr">
        <is>
          <t>1. Fully met</t>
        </is>
      </c>
      <c r="P91" s="35" t="n"/>
      <c r="Q91" s="35" t="n"/>
      <c r="R91" s="35" t="n"/>
      <c r="S91" s="35" t="n"/>
      <c r="T91" s="35" t="n"/>
      <c r="U91" s="35" t="inlineStr">
        <is>
          <t>Not Started</t>
        </is>
      </c>
      <c r="V91" s="37">
        <f>IF(U91="Not Started",0%,IF(U91="Started",50%,IF(U91="Ready for review",70%,IF(U91="Reviewed - Content",80%,IF(U91="Reviewed - Format",90%,IF(U91="Done",100%,""))))))</f>
        <v/>
      </c>
      <c r="W91" t="inlineStr">
        <is>
          <t>2026-07-07</t>
        </is>
      </c>
      <c r="X91" t="inlineStr">
        <is>
          <t>Cursor / tender-response (batch)</t>
        </is>
      </c>
      <c r="Y91" t="inlineStr">
        <is>
          <t>Met</t>
        </is>
      </c>
      <c r="Z91" t="inlineStr">
        <is>
          <t>Verified</t>
        </is>
      </c>
      <c r="AA91" t="inlineStr">
        <is>
          <t>Verify: Markering af obligatoriske felter — vurderet opfyldt (tool: 1. Fully met).</t>
        </is>
      </c>
      <c r="AB91" t="inlineStr"/>
      <c r="AC91" t="inlineStr">
        <is>
          <t>docs/tender-reference/extracted/KK Tender tool.txt; docs/tender-reference/extracted/KUM-SLKS/Bilag 3 - Kravspecifikation.txt; docs/tender-reference/extracted/Nationalbanken/Bilag 3.i Leverandørens Løsningsbeskrivelse.txt</t>
        </is>
      </c>
      <c r="AD91" t="inlineStr">
        <is>
          <t>Anton: Confirm verify-tekst; opdatér review status efter tjek.</t>
        </is>
      </c>
      <c r="AE91" t="inlineStr"/>
      <c r="AF91" t="inlineStr">
        <is>
          <t>Draft</t>
        </is>
      </c>
      <c r="AG91" t="inlineStr">
        <is>
          <t>uim-esdh-full-2026-07-07</t>
        </is>
      </c>
    </row>
    <row r="92" ht="48" customHeight="1">
      <c r="A92" s="35" t="n">
        <v>91</v>
      </c>
      <c r="B92" s="35" t="inlineStr">
        <is>
          <t>MK-83</t>
        </is>
      </c>
      <c r="C92" s="35" t="inlineStr">
        <is>
          <t>Bilag 1.b</t>
        </is>
      </c>
      <c r="D92" s="35" t="inlineStr">
        <is>
          <t>Brugergrænsefladen</t>
        </is>
      </c>
      <c r="E92" s="35" t="inlineStr">
        <is>
          <t>Kolonnevisninger - Standard</t>
        </is>
      </c>
      <c r="F92" s="35" t="inlineStr">
        <is>
          <t>ESDH-løsningen skal understøtte at Kunden kan tilvælge og fravælge kolonnevisninger på sager, Dokumenter, kontakt-billeder.</t>
        </is>
      </c>
      <c r="G92" s="35" t="inlineStr">
        <is>
          <t>Mindstekrav</t>
        </is>
      </c>
      <c r="H92" s="35">
        <f>IF(G92="Evalueringskrav","Answer",(IF(G92="Krav","Check",(IF(G92="Mindstekrav","Verify","")))))</f>
        <v/>
      </c>
      <c r="I92" s="35" t="inlineStr">
        <is>
          <t>Ja</t>
        </is>
      </c>
      <c r="J92" s="35" t="n"/>
      <c r="K92" s="47" t="n"/>
      <c r="L92" s="35" t="inlineStr">
        <is>
          <t>Torben</t>
        </is>
      </c>
      <c r="M92" s="35" t="n"/>
      <c r="N92" s="35" t="n"/>
      <c r="O92" s="35" t="inlineStr">
        <is>
          <t>3. Not able to meet</t>
        </is>
      </c>
      <c r="P92" s="35" t="inlineStr">
        <is>
          <t>ADN Det understøtter vi ikke - jeg tænker de mener kolonner inde i webparts på vores overbliksbilleder.</t>
        </is>
      </c>
      <c r="Q92" s="35" t="n"/>
      <c r="R92" s="35" t="n"/>
      <c r="S92" s="35" t="n"/>
      <c r="T92" s="35" t="n"/>
      <c r="U92" s="35" t="inlineStr">
        <is>
          <t>Not Started</t>
        </is>
      </c>
      <c r="V92" s="37">
        <f>IF(U92="Not Started",0%,IF(U92="Started",50%,IF(U92="Ready for review",70%,IF(U92="Reviewed - Content",80%,IF(U92="Reviewed - Format",90%,IF(U92="Done",100%,""))))))</f>
        <v/>
      </c>
      <c r="W92" t="inlineStr">
        <is>
          <t>2026-07-07</t>
        </is>
      </c>
      <c r="X92" t="inlineStr">
        <is>
          <t>Cursor / tender-response (batch)</t>
        </is>
      </c>
      <c r="Y92" t="inlineStr">
        <is>
          <t>Not met</t>
        </is>
      </c>
      <c r="Z92" t="inlineStr">
        <is>
          <t>Verified</t>
        </is>
      </c>
      <c r="AA92" t="inlineStr">
        <is>
          <t>Verify: Kolonnevisninger - Standard — gap ift. kravtekst; eskalér commitment eller afklaring.</t>
        </is>
      </c>
      <c r="AB92" t="inlineStr">
        <is>
          <t>ADN Det understøtter vi ikke - jeg tænker de mener kolonner inde i webparts på vores overbliksbilleder. | Red flag: Det understøtter vi ikke - jeg tænker de mener kolonner inde i webparts på vores overbliksbilleder.</t>
        </is>
      </c>
      <c r="AC92" t="inlineStr">
        <is>
          <t>docs/tender-reference/extracted/KK Tender tool.txt; docs/tender-reference/extracted/KUM-SLKS/Bilag 3 - Kravspecifikation.txt; docs/tender-reference/extracted/Nationalbanken/Bilag 3.i Leverandørens Løsningsbeskrivelse.txt</t>
        </is>
      </c>
      <c r="AD92" t="inlineStr">
        <is>
          <t>Torben: Commitment/no-bid beslutning; overvej Q&amp;A til ordregiver.</t>
        </is>
      </c>
      <c r="AE92" t="inlineStr"/>
      <c r="AF92" t="inlineStr">
        <is>
          <t>Draft</t>
        </is>
      </c>
      <c r="AG92" t="inlineStr">
        <is>
          <t>uim-esdh-full-2026-07-07</t>
        </is>
      </c>
    </row>
    <row r="93" ht="48" customHeight="1">
      <c r="A93" s="35" t="n">
        <v>92</v>
      </c>
      <c r="B93" s="35" t="inlineStr">
        <is>
          <t>MK-84</t>
        </is>
      </c>
      <c r="C93" s="35" t="inlineStr">
        <is>
          <t>Bilag 1.b</t>
        </is>
      </c>
      <c r="D93" s="35" t="inlineStr">
        <is>
          <t>Brugergrænsefladen</t>
        </is>
      </c>
      <c r="E93" s="35" t="inlineStr">
        <is>
          <t>Kolonnevisninger - Kundeoprettede</t>
        </is>
      </c>
      <c r="F93" s="35" t="inlineStr">
        <is>
          <t>ESDH-løsningen skal understøtte, at Kunden kan tilvælge og fravælge kolonnevisninger på Kundeoprettede Entiteter.</t>
        </is>
      </c>
      <c r="G93" s="35" t="inlineStr">
        <is>
          <t>Mindstekrav</t>
        </is>
      </c>
      <c r="H93" s="35">
        <f>IF(G93="Evalueringskrav","Answer",(IF(G93="Krav","Check",(IF(G93="Mindstekrav","Verify","")))))</f>
        <v/>
      </c>
      <c r="I93" s="35" t="inlineStr">
        <is>
          <t>Ja</t>
        </is>
      </c>
      <c r="J93" s="35" t="n"/>
      <c r="K93" s="47" t="n"/>
      <c r="L93" s="35" t="inlineStr">
        <is>
          <t>Torben</t>
        </is>
      </c>
      <c r="M93" s="35" t="n"/>
      <c r="N93" s="35" t="n"/>
      <c r="O93" s="35" t="inlineStr">
        <is>
          <t>3. Not able to meet</t>
        </is>
      </c>
      <c r="P93" s="35" t="inlineStr">
        <is>
          <t>ADN: Det understøtter vi ikke - jeg tænker de mener kolonner inde i webparts på vores overbliksbilleder.</t>
        </is>
      </c>
      <c r="Q93" s="35" t="n"/>
      <c r="R93" s="35" t="n"/>
      <c r="S93" s="35" t="n"/>
      <c r="T93" s="35" t="n"/>
      <c r="U93" s="35" t="inlineStr">
        <is>
          <t>Not Started</t>
        </is>
      </c>
      <c r="V93" s="37">
        <f>IF(U93="Not Started",0%,IF(U93="Started",50%,IF(U93="Ready for review",70%,IF(U93="Reviewed - Content",80%,IF(U93="Reviewed - Format",90%,IF(U93="Done",100%,""))))))</f>
        <v/>
      </c>
      <c r="W93" t="inlineStr">
        <is>
          <t>2026-07-07</t>
        </is>
      </c>
      <c r="X93" t="inlineStr">
        <is>
          <t>Cursor / tender-response (batch)</t>
        </is>
      </c>
      <c r="Y93" t="inlineStr">
        <is>
          <t>Not met</t>
        </is>
      </c>
      <c r="Z93" t="inlineStr">
        <is>
          <t>Verified</t>
        </is>
      </c>
      <c r="AA93" t="inlineStr">
        <is>
          <t>Verify: Kolonnevisninger - Kundeoprettede — gap ift. kravtekst; eskalér commitment eller afklaring.</t>
        </is>
      </c>
      <c r="AB93" t="inlineStr">
        <is>
          <t>ADN: Det understøtter vi ikke - jeg tænker de mener kolonner inde i webparts på vores overbliksbilleder. | Red flag: Det understøtter vi ikke - jeg tænker de mener kolonner inde i webparts på vores overbliksbilleder.</t>
        </is>
      </c>
      <c r="AC93" t="inlineStr">
        <is>
          <t>docs/tender-reference/extracted/Nationalbanken/Bilag 3.i Leverandørens Løsningsbeskrivelse.txt; docs/product/RFP_Leverandørens_svar_utdrag.txt; docs/tender-reference/extracted/HSØ/02.00-Tietoevry-SSA-L-Bilag 2-Leverandørens beskrivelse av Tjenesten.txt</t>
        </is>
      </c>
      <c r="AD93" t="inlineStr">
        <is>
          <t>Torben: Commitment/no-bid beslutning; overvej Q&amp;A til ordregiver.</t>
        </is>
      </c>
      <c r="AE93" t="inlineStr"/>
      <c r="AF93" t="inlineStr">
        <is>
          <t>Draft</t>
        </is>
      </c>
      <c r="AG93" t="inlineStr">
        <is>
          <t>uim-esdh-full-2026-07-07</t>
        </is>
      </c>
    </row>
    <row r="94" ht="64" customHeight="1">
      <c r="A94" s="35" t="n">
        <v>93</v>
      </c>
      <c r="B94" s="35" t="inlineStr">
        <is>
          <t>MK-85</t>
        </is>
      </c>
      <c r="C94" s="35" t="inlineStr">
        <is>
          <t>Bilag 1.b</t>
        </is>
      </c>
      <c r="D94" s="35" t="inlineStr">
        <is>
          <t>Brugergrænsefladen</t>
        </is>
      </c>
      <c r="E94" s="35" t="inlineStr">
        <is>
          <t>Kundeoprettede felter på kolonnevisning</t>
        </is>
      </c>
      <c r="F94" s="35" t="inlineStr">
        <is>
          <t>ESDH-løsningen skal understøtte, at Kundeoprettede felter skal kunne anvendes i kolonnevisningerne på standard Entiteter og Kundeoprettede Entiteter.</t>
        </is>
      </c>
      <c r="G94" s="35" t="inlineStr">
        <is>
          <t>Mindstekrav</t>
        </is>
      </c>
      <c r="H94" s="35">
        <f>IF(G94="Evalueringskrav","Answer",(IF(G94="Krav","Check",(IF(G94="Mindstekrav","Verify","")))))</f>
        <v/>
      </c>
      <c r="I94" s="35" t="inlineStr">
        <is>
          <t>Ja</t>
        </is>
      </c>
      <c r="J94" s="35" t="n"/>
      <c r="K94" s="47" t="n"/>
      <c r="L94" s="35" t="inlineStr">
        <is>
          <t>Torben</t>
        </is>
      </c>
      <c r="M94" s="35" t="n"/>
      <c r="N94" s="35" t="n"/>
      <c r="O94" s="35" t="inlineStr">
        <is>
          <t>3. Not able to meet</t>
        </is>
      </c>
      <c r="P94" s="35" t="inlineStr">
        <is>
          <t>ADN: Det understøtter vi ikke - jeg tænker de mener kolonner inde i webparts på vores overbliksbilleder.Vi gemmer ikke sorteringer og filtreringer</t>
        </is>
      </c>
      <c r="Q94" s="35" t="n"/>
      <c r="R94" s="35" t="n"/>
      <c r="S94" s="35" t="n"/>
      <c r="T94" s="35" t="n"/>
      <c r="U94" s="35" t="inlineStr">
        <is>
          <t>Not Started</t>
        </is>
      </c>
      <c r="V94" s="37">
        <f>IF(U94="Not Started",0%,IF(U94="Started",50%,IF(U94="Ready for review",70%,IF(U94="Reviewed - Content",80%,IF(U94="Reviewed - Format",90%,IF(U94="Done",100%,""))))))</f>
        <v/>
      </c>
      <c r="W94" t="inlineStr">
        <is>
          <t>2026-07-07</t>
        </is>
      </c>
      <c r="X94" t="inlineStr">
        <is>
          <t>Cursor / tender-response (batch)</t>
        </is>
      </c>
      <c r="Y94" t="inlineStr">
        <is>
          <t>Not met</t>
        </is>
      </c>
      <c r="Z94" t="inlineStr">
        <is>
          <t>Verified</t>
        </is>
      </c>
      <c r="AA94" t="inlineStr">
        <is>
          <t>Verify: Kundeoprettede felter på kolonnevisning — gap ift. kravtekst; eskalér commitment eller afklaring.</t>
        </is>
      </c>
      <c r="AB94" t="inlineStr">
        <is>
          <t>ADN: Det understøtter vi ikke - jeg tænker de mener kolonner inde i webparts på vores overbliksbilleder.Vi gemmer ikke sorteringer og filtreringer | Red flag: Det understøtter vi ikke - jeg tænker de mener kolonner inde i webparts på vores overbliksbilleder.</t>
        </is>
      </c>
      <c r="AC94" t="inlineStr">
        <is>
          <t>docs/product/RFP_Leverandørens_svar_utdrag.txt; docs/tender-reference/extracted/HSØ/02.00-Tietoevry-SSA-L-Bilag 2-Leverandørens beskrivelse av Tjenesten.txt; docs/tender-reference/extracted/NND/02.01-Tieto-Bilag 2-Vedlegg-Leverandørens utfyllende svar til kravtabell.txt</t>
        </is>
      </c>
      <c r="AD94" t="inlineStr">
        <is>
          <t>Torben: Commitment/no-bid beslutning; overvej Q&amp;A til ordregiver.</t>
        </is>
      </c>
      <c r="AE94" t="inlineStr"/>
      <c r="AF94" t="inlineStr">
        <is>
          <t>Draft</t>
        </is>
      </c>
      <c r="AG94" t="inlineStr">
        <is>
          <t>uim-esdh-full-2026-07-07</t>
        </is>
      </c>
    </row>
    <row r="95" ht="64" customHeight="1">
      <c r="A95" s="35" t="n">
        <v>94</v>
      </c>
      <c r="B95" s="35" t="inlineStr">
        <is>
          <t>MK-86</t>
        </is>
      </c>
      <c r="C95" s="35" t="inlineStr">
        <is>
          <t>Bilag 1.b</t>
        </is>
      </c>
      <c r="D95" s="35" t="inlineStr">
        <is>
          <t>Brugergrænsefladen</t>
        </is>
      </c>
      <c r="E95" s="35" t="inlineStr">
        <is>
          <t>Filtrering og sortering på kolonnevisninger</t>
        </is>
      </c>
      <c r="F95" s="35" t="inlineStr">
        <is>
          <t>ESDH-løsningen skal understøtte filtrering og sortering på kolonnevisninger. Brugerens valgte indstillinger skal kunne gemmes som standardvisning for Brugeren.</t>
        </is>
      </c>
      <c r="G95" s="35" t="inlineStr">
        <is>
          <t>Mindstekrav</t>
        </is>
      </c>
      <c r="H95" s="35">
        <f>IF(G95="Evalueringskrav","Answer",(IF(G95="Krav","Check",(IF(G95="Mindstekrav","Verify","")))))</f>
        <v/>
      </c>
      <c r="I95" s="35" t="inlineStr">
        <is>
          <t>Ja</t>
        </is>
      </c>
      <c r="J95" s="35" t="n"/>
      <c r="K95" s="47" t="n"/>
      <c r="L95" s="35" t="inlineStr">
        <is>
          <t>Torben</t>
        </is>
      </c>
      <c r="M95" s="35" t="n"/>
      <c r="N95" s="35" t="n"/>
      <c r="O95" s="35" t="inlineStr">
        <is>
          <t>3. Not able to meet</t>
        </is>
      </c>
      <c r="P95" s="35" t="inlineStr">
        <is>
          <t>ADN: Det understøtter vi ikke - jeg tænker de mener kolonner inde i webparts på vores overbliksbilleder.Vi gemmer ikke sorteringer og filtreringer</t>
        </is>
      </c>
      <c r="Q95" s="35" t="n"/>
      <c r="R95" s="35" t="n"/>
      <c r="S95" s="35" t="n"/>
      <c r="T95" s="35" t="n"/>
      <c r="U95" s="35" t="inlineStr">
        <is>
          <t>Not Started</t>
        </is>
      </c>
      <c r="V95" s="37">
        <f>IF(U95="Not Started",0%,IF(U95="Started",50%,IF(U95="Ready for review",70%,IF(U95="Reviewed - Content",80%,IF(U95="Reviewed - Format",90%,IF(U95="Done",100%,""))))))</f>
        <v/>
      </c>
      <c r="W95" t="inlineStr">
        <is>
          <t>2026-07-07</t>
        </is>
      </c>
      <c r="X95" t="inlineStr">
        <is>
          <t>Cursor / tender-response (batch)</t>
        </is>
      </c>
      <c r="Y95" t="inlineStr">
        <is>
          <t>Not met</t>
        </is>
      </c>
      <c r="Z95" t="inlineStr">
        <is>
          <t>Verified</t>
        </is>
      </c>
      <c r="AA95" t="inlineStr">
        <is>
          <t>Verify: Filtrering og sortering på kolonnevisninger — gap ift. kravtekst; eskalér commitment eller afklaring.</t>
        </is>
      </c>
      <c r="AB95" t="inlineStr">
        <is>
          <t>ADN: Det understøtter vi ikke - jeg tænker de mener kolonner inde i webparts på vores overbliksbilleder.Vi gemmer ikke sorteringer og filtreringer | Red flag: Det understøtter vi ikke - jeg tænker de mener kolonner inde i webparts på vores overbliksbilleder.Vi gemmer ikke sorteringer og filtreringer</t>
        </is>
      </c>
      <c r="AC95" t="inlineStr">
        <is>
          <t>docs/tender-reference/extracted/Nationalbanken/Bilag 3.i Leverandørens Løsningsbeskrivelse.txt; docs/tender-reference/extracted/KK Tender tool.txt; docs/tender-reference/extracted/KUM-SLKS/Bilag 3 - Kravspecifikation.txt</t>
        </is>
      </c>
      <c r="AD95" t="inlineStr">
        <is>
          <t>Torben: Commitment/no-bid beslutning; overvej Q&amp;A til ordregiver.</t>
        </is>
      </c>
      <c r="AE95" t="inlineStr"/>
      <c r="AF95" t="inlineStr">
        <is>
          <t>Draft</t>
        </is>
      </c>
      <c r="AG95" t="inlineStr">
        <is>
          <t>uim-esdh-full-2026-07-07</t>
        </is>
      </c>
    </row>
    <row r="96" ht="48" customHeight="1">
      <c r="A96" s="35" t="n">
        <v>95</v>
      </c>
      <c r="B96" s="35" t="inlineStr">
        <is>
          <t>MK-87</t>
        </is>
      </c>
      <c r="C96" s="35" t="inlineStr">
        <is>
          <t>Bilag 1.b</t>
        </is>
      </c>
      <c r="D96" s="35" t="inlineStr">
        <is>
          <t>Brugergrænsefladen</t>
        </is>
      </c>
      <c r="E96" s="35" t="inlineStr">
        <is>
          <t>Faner og widgets</t>
        </is>
      </c>
      <c r="F96" s="35" t="inlineStr">
        <is>
          <t>ESDH-løsningen skal understøtte, at Kunden kan opsætte Kundeoprettede faner/widgets på både standard- og Kundeoprettede Entiteter.</t>
        </is>
      </c>
      <c r="G96" s="35" t="inlineStr">
        <is>
          <t>Mindstekrav</t>
        </is>
      </c>
      <c r="H96" s="35">
        <f>IF(G96="Evalueringskrav","Answer",(IF(G96="Krav","Check",(IF(G96="Mindstekrav","Verify","")))))</f>
        <v/>
      </c>
      <c r="I96" s="35" t="inlineStr">
        <is>
          <t>Ja</t>
        </is>
      </c>
      <c r="J96" s="35" t="n"/>
      <c r="K96" s="47" t="n"/>
      <c r="L96" s="35" t="inlineStr">
        <is>
          <t>Torben</t>
        </is>
      </c>
      <c r="M96" s="35" t="n"/>
      <c r="N96" s="35" t="n"/>
      <c r="O96" s="35" t="inlineStr">
        <is>
          <t>3. Not able to meet</t>
        </is>
      </c>
      <c r="P96" s="35" t="inlineStr">
        <is>
          <t>ADN:  ”kundeoprettede faner” på overbliksbilleder kræver en voldsomt udvidelse af FFUI Overbliksbilleder</t>
        </is>
      </c>
      <c r="Q96" s="35" t="n"/>
      <c r="R96" s="35" t="n"/>
      <c r="S96" s="35" t="n"/>
      <c r="T96" s="35" t="n"/>
      <c r="U96" s="35" t="inlineStr">
        <is>
          <t>Not Started</t>
        </is>
      </c>
      <c r="V96" s="37">
        <f>IF(U96="Not Started",0%,IF(U96="Started",50%,IF(U96="Ready for review",70%,IF(U96="Reviewed - Content",80%,IF(U96="Reviewed - Format",90%,IF(U96="Done",100%,""))))))</f>
        <v/>
      </c>
      <c r="W96" t="inlineStr">
        <is>
          <t>2026-07-07</t>
        </is>
      </c>
      <c r="X96" t="inlineStr">
        <is>
          <t>Cursor / tender-response (batch)</t>
        </is>
      </c>
      <c r="Y96" t="inlineStr">
        <is>
          <t>Not met</t>
        </is>
      </c>
      <c r="Z96" t="inlineStr">
        <is>
          <t>Verified</t>
        </is>
      </c>
      <c r="AA96" t="inlineStr">
        <is>
          <t>Verify: Faner og widgets — gap ift. kravtekst; eskalér commitment eller afklaring.</t>
        </is>
      </c>
      <c r="AB96" t="inlineStr">
        <is>
          <t>ADN:  ”kundeoprettede faner” på overbliksbilleder kræver en voldsomt udvidelse af FFUI Overbliksbilleder | Red flag: ”kundeoprettede faner” på overbliksbilleder kræver en voldsomt udvidelse af FFUI Overbliksbilleder</t>
        </is>
      </c>
      <c r="AC96" t="inlineStr">
        <is>
          <t>docs/tender-reference/extracted/KUM-SLKS/Bilag 3 - Kravspecifikation.txt; docs/tender-reference/extracted/Nationalbanken/Bilag 3.i Leverandørens Løsningsbeskrivelse.txt; docs/product/RFP_Leverandørens_svar_utdrag.txt</t>
        </is>
      </c>
      <c r="AD96" t="inlineStr">
        <is>
          <t>Torben: Commitment/no-bid beslutning; overvej Q&amp;A til ordregiver.</t>
        </is>
      </c>
      <c r="AE96" t="inlineStr"/>
      <c r="AF96" t="inlineStr">
        <is>
          <t>Draft</t>
        </is>
      </c>
      <c r="AG96" t="inlineStr">
        <is>
          <t>uim-esdh-full-2026-07-07</t>
        </is>
      </c>
    </row>
    <row r="97" ht="96" customHeight="1">
      <c r="A97" s="35" t="n">
        <v>96</v>
      </c>
      <c r="B97" s="35" t="inlineStr">
        <is>
          <t>MK-88</t>
        </is>
      </c>
      <c r="C97" s="35" t="inlineStr">
        <is>
          <t>Bilag 1.b</t>
        </is>
      </c>
      <c r="D97" s="35" t="inlineStr">
        <is>
          <t>Brugergrænsefladen</t>
        </is>
      </c>
      <c r="E97" s="35" t="inlineStr">
        <is>
          <t>Fleksibilitet</t>
        </is>
      </c>
      <c r="F97" s="35" t="inlineStr">
        <is>
          <t>ESDH-løsningen skal understøtte, at Kunden har fuld fleksibilitet til vælge, hvor Kundeoprettede Entiteter og Kundeoprettede felter vises i brugergrænsefladen.</t>
        </is>
      </c>
      <c r="G97" s="35" t="inlineStr">
        <is>
          <t>Mindstekrav</t>
        </is>
      </c>
      <c r="H97" s="35">
        <f>IF(G97="Evalueringskrav","Answer",(IF(G97="Krav","Check",(IF(G97="Mindstekrav","Verify","")))))</f>
        <v/>
      </c>
      <c r="I97" s="35" t="inlineStr">
        <is>
          <t>Ja</t>
        </is>
      </c>
      <c r="J97" s="35" t="n"/>
      <c r="K97" s="47" t="n"/>
      <c r="L97" s="35" t="inlineStr">
        <is>
          <t>Torben</t>
        </is>
      </c>
      <c r="M97" s="35" t="n"/>
      <c r="N97" s="35" t="n"/>
      <c r="O97" s="35" t="inlineStr">
        <is>
          <t>3. Not able to meet</t>
        </is>
      </c>
      <c r="P97" s="35" t="inlineStr">
        <is>
          <t>ADN: Hvis vi nu tolker det her til webparten "brugerdefinerede felter" og webparten: "Ejendomme", "Projekter" og "Aktiviteter" - så kan kunden jo godt på sags- og dokumentoversigter  bestemme hvor disse vises. Vi har det dog ikke på kontaktoverblik.</t>
        </is>
      </c>
      <c r="Q97" s="35" t="n"/>
      <c r="R97" s="35" t="n"/>
      <c r="S97" s="35" t="n"/>
      <c r="T97" s="35" t="n"/>
      <c r="U97" s="35" t="inlineStr">
        <is>
          <t>Not Started</t>
        </is>
      </c>
      <c r="V97" s="37">
        <f>IF(U97="Not Started",0%,IF(U97="Started",50%,IF(U97="Ready for review",70%,IF(U97="Reviewed - Content",80%,IF(U97="Reviewed - Format",90%,IF(U97="Done",100%,""))))))</f>
        <v/>
      </c>
      <c r="W97" t="inlineStr">
        <is>
          <t>2026-07-07</t>
        </is>
      </c>
      <c r="X97" t="inlineStr">
        <is>
          <t>Cursor / tender-response (batch)</t>
        </is>
      </c>
      <c r="Y97" t="inlineStr">
        <is>
          <t>Not met</t>
        </is>
      </c>
      <c r="Z97" t="inlineStr">
        <is>
          <t>Verified</t>
        </is>
      </c>
      <c r="AA97" t="inlineStr">
        <is>
          <t>Verify: Fleksibilitet — gap ift. kravtekst; eskalér commitment eller afklaring.</t>
        </is>
      </c>
      <c r="AB97" t="inlineStr">
        <is>
          <t>ADN: Hvis vi nu tolker det her til webparten "brugerdefinerede felter" og webparten: "Ejendomme", "Projekter" og "Aktiviteter" - så kan kunden jo godt på sags- og dokumentoversigter  bestemme hvor disse vises. Vi har det dog ikke på kontaktoverblik. | Red flag: Understøttes ikke</t>
        </is>
      </c>
      <c r="AC97" t="inlineStr">
        <is>
          <t>docs/tender-reference/extracted/Nationalbanken/Bilag 3.i Leverandørens Løsningsbeskrivelse.txt; docs/tender-reference/extracted/KK Tender tool.txt; docs/tender-reference/extracted/KUM-SLKS/Bilag 3 - Kravspecifikation.txt</t>
        </is>
      </c>
      <c r="AD97" t="inlineStr">
        <is>
          <t>Torben: Commitment/no-bid beslutning; overvej Q&amp;A til ordregiver.</t>
        </is>
      </c>
      <c r="AE97" t="inlineStr"/>
      <c r="AF97" t="inlineStr">
        <is>
          <t>Draft</t>
        </is>
      </c>
      <c r="AG97" t="inlineStr">
        <is>
          <t>uim-esdh-full-2026-07-07</t>
        </is>
      </c>
    </row>
    <row r="98" ht="224" customHeight="1">
      <c r="A98" s="35" t="n">
        <v>97</v>
      </c>
      <c r="B98" s="35" t="inlineStr">
        <is>
          <t>K-7</t>
        </is>
      </c>
      <c r="C98" s="35" t="inlineStr">
        <is>
          <t>Bilag 1.b</t>
        </is>
      </c>
      <c r="D98" s="35" t="inlineStr">
        <is>
          <t>Brugergrænsefladen</t>
        </is>
      </c>
      <c r="E98" s="35" t="inlineStr">
        <is>
          <t>Relationer skal være navigerbare</t>
        </is>
      </c>
      <c r="F98" s="35" t="inlineStr">
        <is>
          <t>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t>
        </is>
      </c>
      <c r="G98" s="35" t="inlineStr">
        <is>
          <t>Krav</t>
        </is>
      </c>
      <c r="H98" s="35">
        <f>IF(G98="Evalueringskrav","Answer",(IF(G98="Krav","Check",(IF(G98="Mindstekrav","Verify","")))))</f>
        <v/>
      </c>
      <c r="I98" s="35" t="inlineStr">
        <is>
          <t>Ja</t>
        </is>
      </c>
      <c r="J98" s="35" t="n"/>
      <c r="K98" s="47" t="n"/>
      <c r="L98" s="35" t="inlineStr">
        <is>
          <t>Anton</t>
        </is>
      </c>
      <c r="M98" s="35" t="n"/>
      <c r="N98" s="35" t="n"/>
      <c r="O98" s="35" t="inlineStr">
        <is>
          <t>1. Fully met</t>
        </is>
      </c>
      <c r="P98" s="35" t="n"/>
      <c r="Q98" s="35" t="n"/>
      <c r="R98" s="35" t="n"/>
      <c r="S98" s="35" t="n"/>
      <c r="T98" s="35" t="n"/>
      <c r="U98" s="35" t="inlineStr">
        <is>
          <t>Not Started</t>
        </is>
      </c>
      <c r="V98" s="37">
        <f>IF(U98="Not Started",0%,IF(U98="Started",50%,IF(U98="Ready for review",70%,IF(U98="Reviewed - Content",80%,IF(U98="Reviewed - Format",90%,IF(U98="Done",100%,""))))))</f>
        <v/>
      </c>
      <c r="W98" t="inlineStr">
        <is>
          <t>2026-07-07</t>
        </is>
      </c>
      <c r="X98" t="inlineStr">
        <is>
          <t>Cursor / tender-response (batch)</t>
        </is>
      </c>
      <c r="Y98" t="inlineStr">
        <is>
          <t>Met</t>
        </is>
      </c>
      <c r="Z98" t="inlineStr">
        <is>
          <t>Verified</t>
        </is>
      </c>
      <c r="AA98" t="inlineStr">
        <is>
          <t>Check: Relationer skal være navigerbare — vurderet opfyldt (tool: 1. Fully met).</t>
        </is>
      </c>
      <c r="AB98" t="inlineStr"/>
      <c r="AC98" t="inlineStr">
        <is>
          <t>docs/tender-reference/extracted/Nationalbanken/Bilag 3.i Leverandørens Løsningsbeskrivelse.txt; docs/tender-reference/extracted/KK Tender tool.txt; docs/tender-reference/extracted/KUM-SLKS/Bilag 3 - Kravspecifikation.txt</t>
        </is>
      </c>
      <c r="AD98" t="inlineStr">
        <is>
          <t>Anton: Confirm verify-tekst; opdatér review status efter tjek.</t>
        </is>
      </c>
      <c r="AE98" t="inlineStr"/>
      <c r="AF98" t="inlineStr">
        <is>
          <t>Draft</t>
        </is>
      </c>
      <c r="AG98" t="inlineStr">
        <is>
          <t>uim-esdh-full-2026-07-07</t>
        </is>
      </c>
    </row>
    <row r="99" ht="409.5" customHeight="1">
      <c r="A99" s="35" t="n">
        <v>98</v>
      </c>
      <c r="B99" s="35" t="inlineStr">
        <is>
          <t>EK-3</t>
        </is>
      </c>
      <c r="C99" s="35" t="inlineStr">
        <is>
          <t>Bilag 1.b</t>
        </is>
      </c>
      <c r="D99" s="35" t="inlineStr">
        <is>
          <t>Brugergrænsefladen</t>
        </is>
      </c>
      <c r="E99" s="35" t="inlineStr">
        <is>
          <t>Bruger-grænseflade</t>
        </is>
      </c>
      <c r="F99" s="35" t="inlineStr">
        <is>
          <t>I forbindelse med Kundens daglige anvendelse af ESDH-løsningen er det væsentligt, at brugergrænsefladen kan tilpasses den enkelte Brugers og organisationens behov, herunder ved tilpasning, filtrering og sortering af faner/widgets, felter og kolonner.
Leverandøren skal beskrive, hvordan den tilbudte ESDH-løsning understøtter tilpasning af brugergrænsefladen. 
Leverandøren skal gennem konkrete skærmbilleder demonstrere om og hvordan ESDH-løsningen understøtter de stillede krav og møder Kundens behov.
Leverandøren skal redegøre for: 
Hvordan ESDH-løsningen giver Brugeren hurtig og overskuelig adgang til relevante oplysninger i forbindelse med sagsbehandling
Hvordan Brugeren kan personalisere brugergrænsefladen f.eks. via tilpasning af kolonner på alle Entiteter og søgebilleder
Hvordan Brugeren kan personalisere visningsbilleder via filtrering og sortering
Hvilke muligheder Administratoren har for at tilpasse udstillingen af data på sager, Dokumenter og kontakter
Hvordan Administratoren kan tilpasse søgebilleder og resultatlister
Hvordan Administratoren kan konfigurere og udrulle opsætning til hele organisationen samt udvalgte teams og medarbejdere
Evalueringskriterier:
Det vægtes positivt, i hvor høj grad Brugeren kan personalisere brugergrænsefladen til egne behov f.eks. tilpasning af kolonner i alle visningsbilleder.
Det vægtes positivt, i hvor høj grad Administratoren kan tilpasse brugergrænsefladen på alle Entiteter, visningsbilleder, resultatlister og søgebilleder f.eks. tilpasning af kolonner, filtreringer og placering af felter.
Det vægtes positivt, i hvor høj grad Administratoren kan udrulle opsætninger og tilpasninger på flere organisatoriske niveauer samt at Administratoren kan begrænse muligheden for bruger-personalisering af den udrullede opsætning. 
Det vægtes positivt, i hvor høj grad Administratoren kan tilføje og fjerne både standardfelter og Kundeoprettede felter fra alle Entiteters visnings- og søgebilleder.</t>
        </is>
      </c>
      <c r="G99" s="35" t="inlineStr">
        <is>
          <t>Evalueringskrav</t>
        </is>
      </c>
      <c r="H99" s="35">
        <f>IF(G99="Evalueringskrav","Answer",(IF(G99="Krav","Check",(IF(G99="Mindstekrav","Verify","")))))</f>
        <v/>
      </c>
      <c r="I99" s="35" t="inlineStr">
        <is>
          <t>Ja</t>
        </is>
      </c>
      <c r="J99" s="35" t="n"/>
      <c r="K99" s="47" t="n"/>
      <c r="L99" s="35" t="inlineStr">
        <is>
          <t>Claus</t>
        </is>
      </c>
      <c r="M99" s="35" t="n"/>
      <c r="N99" s="35" t="n"/>
      <c r="O99" s="35" t="n"/>
      <c r="P99" s="35" t="n"/>
      <c r="Q99" s="35" t="n"/>
      <c r="R99" s="35" t="n"/>
      <c r="S99" s="35" t="n"/>
      <c r="T99" s="35" t="n"/>
      <c r="U99" s="35" t="inlineStr">
        <is>
          <t>Not Started</t>
        </is>
      </c>
      <c r="V99" s="37">
        <f>IF(U99="Not Started",0%,IF(U99="Started",50%,IF(U99="Ready for review",70%,IF(U99="Reviewed - Content",80%,IF(U99="Reviewed - Format",90%,IF(U99="Done",100%,""))))))</f>
        <v/>
      </c>
      <c r="W99" t="inlineStr">
        <is>
          <t>2026-07-07</t>
        </is>
      </c>
      <c r="X99" t="inlineStr">
        <is>
          <t>Cursor / tender-response (batch)</t>
        </is>
      </c>
      <c r="Y99" t="inlineStr">
        <is>
          <t>Draft needed</t>
        </is>
      </c>
      <c r="Z99" t="inlineStr">
        <is>
          <t>Verified</t>
        </is>
      </c>
      <c r="AA99" t="inlineStr">
        <is>
          <t>Answer: Bruger-grænseflade — informationskrav; udkast bilag/dokumentation mangler.</t>
        </is>
      </c>
      <c r="AB99" t="inlineStr">
        <is>
          <t>Mangler link til svar-bilag i kolonne T.</t>
        </is>
      </c>
      <c r="AC99" t="inlineStr">
        <is>
          <t>docs/tender-reference/extracted/KUM-SLKS/Bilag 3 - Kravspecifikation.txt; docs/tender-reference/extracted/Nationalbanken/Bilag 3.i Leverandørens Løsningsbeskrivelse.txt; docs/product/RFP_Leverandørens_svar_utdrag.txt</t>
        </is>
      </c>
      <c r="AD99" t="inlineStr">
        <is>
          <t>Claus: Opret/link svar-bilag; draft IK-tekst fra prior art.</t>
        </is>
      </c>
      <c r="AE99" t="inlineStr"/>
      <c r="AF99" t="inlineStr">
        <is>
          <t>Draft</t>
        </is>
      </c>
      <c r="AG99" t="inlineStr">
        <is>
          <t>uim-esdh-full-2026-07-07</t>
        </is>
      </c>
    </row>
    <row r="100" ht="48" customHeight="1">
      <c r="A100" s="35" t="n">
        <v>99</v>
      </c>
      <c r="B100" s="35" t="inlineStr">
        <is>
          <t>MK-89</t>
        </is>
      </c>
      <c r="C100" s="35" t="inlineStr">
        <is>
          <t>Bilag 1.b</t>
        </is>
      </c>
      <c r="D100" s="35" t="inlineStr">
        <is>
          <t>Aktindsigt</t>
        </is>
      </c>
      <c r="E100" s="35" t="inlineStr">
        <is>
          <t>Oprettelse og behandling af aktindsigter</t>
        </is>
      </c>
      <c r="F100" s="35" t="inlineStr">
        <is>
          <t>ESDH-løsningen skal understøtte oprettelse og behandling af aktindsigter som sagstyper i ESDH-løsningen i henhold til både Forvaltningsloven og Offentlighedsloven.</t>
        </is>
      </c>
      <c r="G100" s="35" t="inlineStr">
        <is>
          <t>Mindstekrav</t>
        </is>
      </c>
      <c r="H100" s="35">
        <f>IF(G100="Evalueringskrav","Answer",(IF(G100="Krav","Check",(IF(G100="Mindstekrav","Verify","")))))</f>
        <v/>
      </c>
      <c r="I100" s="35" t="inlineStr">
        <is>
          <t>Ja</t>
        </is>
      </c>
      <c r="J100" s="35" t="n"/>
      <c r="K100" s="47" t="n"/>
      <c r="L100" s="35" t="inlineStr">
        <is>
          <t>Anton</t>
        </is>
      </c>
      <c r="M100" s="35" t="n"/>
      <c r="N100" s="35" t="n"/>
      <c r="O100" s="35" t="inlineStr">
        <is>
          <t>1. Fully met</t>
        </is>
      </c>
      <c r="P100" s="35" t="n"/>
      <c r="Q100" s="35" t="n"/>
      <c r="R100" s="35" t="n"/>
      <c r="S100" s="35" t="n"/>
      <c r="T100" s="35" t="n"/>
      <c r="U100" s="35" t="inlineStr">
        <is>
          <t>Not Started</t>
        </is>
      </c>
      <c r="V100" s="37">
        <f>IF(U100="Not Started",0%,IF(U100="Started",50%,IF(U100="Ready for review",70%,IF(U100="Reviewed - Content",80%,IF(U100="Reviewed - Format",90%,IF(U100="Done",100%,""))))))</f>
        <v/>
      </c>
      <c r="W100" t="inlineStr">
        <is>
          <t>2026-07-07</t>
        </is>
      </c>
      <c r="X100" t="inlineStr">
        <is>
          <t>Cursor / tender-response (batch)</t>
        </is>
      </c>
      <c r="Y100" t="inlineStr">
        <is>
          <t>Met</t>
        </is>
      </c>
      <c r="Z100" t="inlineStr">
        <is>
          <t>Verified</t>
        </is>
      </c>
      <c r="AA100" t="inlineStr">
        <is>
          <t>Verify: Oprettelse og behandling af aktindsigter — vurderet opfyldt (tool: 1. Fully met).</t>
        </is>
      </c>
      <c r="AB100" t="inlineStr"/>
      <c r="AC100" t="inlineStr">
        <is>
          <t>docs/tender-reference/extracted/KK Tender tool.txt; docs/tender-reference/extracted/Nationalbanken/Bilag 3.i Leverandørens Løsningsbeskrivelse.txt; docs/tender-reference/extracted/KUM-SLKS/Bilag 3 - Kravspecifikation.txt</t>
        </is>
      </c>
      <c r="AD100" t="inlineStr">
        <is>
          <t>Anton: Confirm verify-tekst; opdatér review status efter tjek.</t>
        </is>
      </c>
      <c r="AE100" t="inlineStr"/>
      <c r="AF100" t="inlineStr">
        <is>
          <t>Draft</t>
        </is>
      </c>
      <c r="AG100" t="inlineStr">
        <is>
          <t>uim-esdh-full-2026-07-07</t>
        </is>
      </c>
    </row>
    <row r="101" ht="409.5" customHeight="1">
      <c r="A101" s="35" t="n">
        <v>100</v>
      </c>
      <c r="B101" s="35" t="inlineStr">
        <is>
          <t>EK-4</t>
        </is>
      </c>
      <c r="C101" s="35" t="inlineStr">
        <is>
          <t>Bilag 1.b</t>
        </is>
      </c>
      <c r="D101" s="35" t="inlineStr">
        <is>
          <t>Aktindsigt</t>
        </is>
      </c>
      <c r="E101" s="35" t="inlineStr">
        <is>
          <t>Aktindsigt</t>
        </is>
      </c>
      <c r="F101" s="35" t="inlineStr">
        <is>
          <t>I forbindelse med Kundens sagsbehandling og håndtering af aktindsigtssager er det væsentligt, at ESDH-løsningen understøtter en effektiv og overskuelig proces for udvælgelse, behandling og samling af Dokumenter til aktindsigt. 
Leverandøren skal beskrive, hvordan den tilbudte ESDH-løsning understøtter behandling af aktindsigtssager.
Leverandøren skal gennem konkrete skærmbilleder demonstrere om og hvordan ESDH-løsningen understøtter de stillede krav og møder Kundens behov.
Leverandøren skal redegøre for: 
Hvordan ESDH-løsningen understøtter fremsøgning, udvælgelse, pakning og dokumentation af relevante dagsdata til brug i aktindsigt
Hvilke muligheder der findes i ESDH-løsningen for at samle udvalgte Dokumenter i en samlet PDF-pakke, herunder manuel prioritering af dokumentrækkefølge og automatisk generering af indholdsfortegnelse
Hvordan ESDH-løsningen understøtter godkendelse af dokument-pakke til aktindsigt
Hvordan ESDH-løsningen understøtter en nem og enkel overstregning af oplysninger i Dokumenter, der skal udleveres i forbindelse med aktindsigt
Evalueringskriterier:
Det vægtes positivt, i hvor høj grad Brugeren kan samle udvalgte Filer i en enkelt PDF-Fil og vælge rækkefølgen på Filer f.eks. via drag and drop funktionalitet.
Det vægtes positivt, i hvor høj grad ESDH-løsningen automatisk generer en indholdsfortegnelse ved oprettelse af samlede PDF-pakker.
Det vægtes positivt, i hvor høj grad Brugeren intuitivt kan markere Dokumenter som imødekommet, delvist imødekommet eller ikke taget med.
Det vægtes positivt, at ESDH-løsningen understøtter muligheden for at opdele PDF-generering i flere Filer med maksimumstørrelse pr. Fil.</t>
        </is>
      </c>
      <c r="G101" s="35" t="inlineStr">
        <is>
          <t>Evalueringskrav</t>
        </is>
      </c>
      <c r="H101" s="35">
        <f>IF(G101="Evalueringskrav","Answer",(IF(G101="Krav","Check",(IF(G101="Mindstekrav","Verify","")))))</f>
        <v/>
      </c>
      <c r="I101" s="35" t="inlineStr">
        <is>
          <t>Ja</t>
        </is>
      </c>
      <c r="J101" s="35" t="n"/>
      <c r="K101" s="47" t="n"/>
      <c r="L101" s="35" t="inlineStr">
        <is>
          <t>Hans</t>
        </is>
      </c>
      <c r="M101" s="35" t="n"/>
      <c r="N101" s="35" t="n"/>
      <c r="O101" s="35" t="n"/>
      <c r="P101" s="35" t="n"/>
      <c r="Q101" s="35" t="n"/>
      <c r="R101" s="35" t="n"/>
      <c r="S101" s="35" t="n"/>
      <c r="T101" s="35" t="n"/>
      <c r="U101" s="35" t="inlineStr">
        <is>
          <t>Not Started</t>
        </is>
      </c>
      <c r="V101" s="37">
        <f>IF(U101="Not Started",0%,IF(U101="Started",50%,IF(U101="Ready for review",70%,IF(U101="Reviewed - Content",80%,IF(U101="Reviewed - Format",90%,IF(U101="Done",100%,""))))))</f>
        <v/>
      </c>
      <c r="W101" t="inlineStr">
        <is>
          <t>2026-07-07</t>
        </is>
      </c>
      <c r="X101" t="inlineStr">
        <is>
          <t>Cursor / tender-response (batch)</t>
        </is>
      </c>
      <c r="Y101" t="inlineStr">
        <is>
          <t>Draft needed</t>
        </is>
      </c>
      <c r="Z101" t="inlineStr">
        <is>
          <t>Verified</t>
        </is>
      </c>
      <c r="AA101" t="inlineStr">
        <is>
          <t>Answer: Aktindsigt — informationskrav; udkast bilag/dokumentation mangler.</t>
        </is>
      </c>
      <c r="AB101" t="inlineStr">
        <is>
          <t>Mangler link til svar-bilag i kolonne T.</t>
        </is>
      </c>
      <c r="AC101" t="inlineStr">
        <is>
          <t>docs/tender-reference/extracted/Nationalbanken/Bilag 3.i Leverandørens Løsningsbeskrivelse.txt; docs/tender-reference/extracted/KUM-SLKS/Bilag 3 - Kravspecifikation.txt; docs/tender-reference/extracted/KK Tender tool.txt</t>
        </is>
      </c>
      <c r="AD101" t="inlineStr">
        <is>
          <t>Hans: Opret/link svar-bilag; draft IK-tekst fra prior art.</t>
        </is>
      </c>
      <c r="AE101" t="inlineStr"/>
      <c r="AF101" t="inlineStr">
        <is>
          <t>Draft</t>
        </is>
      </c>
      <c r="AG101" t="inlineStr">
        <is>
          <t>uim-esdh-full-2026-07-07</t>
        </is>
      </c>
    </row>
    <row r="102" ht="48" customHeight="1">
      <c r="A102" s="35" t="n">
        <v>101</v>
      </c>
      <c r="B102" s="35" t="inlineStr">
        <is>
          <t>MK-90</t>
        </is>
      </c>
      <c r="C102" s="35" t="inlineStr">
        <is>
          <t>Bilag 1.b</t>
        </is>
      </c>
      <c r="D102" s="35" t="inlineStr">
        <is>
          <t>Godkendelses- og høringsflow</t>
        </is>
      </c>
      <c r="E102" s="35" t="inlineStr">
        <is>
          <t>Godkendelsesflow, sekventielt eller parallelt</t>
        </is>
      </c>
      <c r="F102" s="35" t="inlineStr">
        <is>
          <t>ESDH-løsningen skal understøtte, at der kan sendes en eller flere Filer i godkendelsesflows til en eller flere modtagere, enten sekventielt, parallelt eller som en kombination af begge.</t>
        </is>
      </c>
      <c r="G102" s="35" t="inlineStr">
        <is>
          <t>Mindstekrav</t>
        </is>
      </c>
      <c r="H102" s="35">
        <f>IF(G102="Evalueringskrav","Answer",(IF(G102="Krav","Check",(IF(G102="Mindstekrav","Verify","")))))</f>
        <v/>
      </c>
      <c r="I102" s="35" t="inlineStr">
        <is>
          <t>Ja</t>
        </is>
      </c>
      <c r="J102" s="35" t="n"/>
      <c r="K102" s="47" t="n"/>
      <c r="L102" s="35" t="inlineStr">
        <is>
          <t>Anton</t>
        </is>
      </c>
      <c r="M102" s="35" t="n"/>
      <c r="N102" s="35" t="n"/>
      <c r="O102" s="35" t="inlineStr">
        <is>
          <t>1. Fully met</t>
        </is>
      </c>
      <c r="P102" s="35" t="n"/>
      <c r="Q102" s="35" t="n"/>
      <c r="R102" s="35" t="n"/>
      <c r="S102" s="35" t="n"/>
      <c r="T102" s="35" t="n"/>
      <c r="U102" s="35" t="inlineStr">
        <is>
          <t>Not Started</t>
        </is>
      </c>
      <c r="V102" s="37">
        <f>IF(U102="Not Started",0%,IF(U102="Started",50%,IF(U102="Ready for review",70%,IF(U102="Reviewed - Content",80%,IF(U102="Reviewed - Format",90%,IF(U102="Done",100%,""))))))</f>
        <v/>
      </c>
      <c r="W102" t="inlineStr">
        <is>
          <t>2026-07-07</t>
        </is>
      </c>
      <c r="X102" t="inlineStr">
        <is>
          <t>Cursor / tender-response (batch)</t>
        </is>
      </c>
      <c r="Y102" t="inlineStr">
        <is>
          <t>Met</t>
        </is>
      </c>
      <c r="Z102" t="inlineStr">
        <is>
          <t>Verified</t>
        </is>
      </c>
      <c r="AA102" t="inlineStr">
        <is>
          <t>Verify: Godkendelsesflow, sekventielt eller parallelt — vurderet opfyldt (tool: 1. Fully met).</t>
        </is>
      </c>
      <c r="AB102" t="inlineStr"/>
      <c r="AC102" t="inlineStr">
        <is>
          <t>docs/tender-reference/extracted/Nationalbanken/Bilag 3.i Leverandørens Løsningsbeskrivelse.txt; docs/tender-reference/extracted/KUM-SLKS/Bilag 3 - Kravspecifikation.txt; docs/tender-reference/extracted/KK Tender tool.txt</t>
        </is>
      </c>
      <c r="AD102" t="inlineStr">
        <is>
          <t>Anton: Confirm verify-tekst; opdatér review status efter tjek.</t>
        </is>
      </c>
      <c r="AE102" t="inlineStr"/>
      <c r="AF102" t="inlineStr">
        <is>
          <t>Draft</t>
        </is>
      </c>
      <c r="AG102" t="inlineStr">
        <is>
          <t>uim-esdh-full-2026-07-07</t>
        </is>
      </c>
    </row>
    <row r="103" ht="48" customHeight="1">
      <c r="A103" s="35" t="n">
        <v>102</v>
      </c>
      <c r="B103" s="35" t="inlineStr">
        <is>
          <t>MK-91</t>
        </is>
      </c>
      <c r="C103" s="35" t="inlineStr">
        <is>
          <t>Bilag 1.b</t>
        </is>
      </c>
      <c r="D103" s="35" t="inlineStr">
        <is>
          <t>Godkendelses- og høringsflow</t>
        </is>
      </c>
      <c r="E103" s="35" t="inlineStr">
        <is>
          <t>Handling i godkendelsesflowet</t>
        </is>
      </c>
      <c r="F103" s="35" t="inlineStr">
        <is>
          <t>ESDH-løsningen skal understøtte forskellige statusser i godkendelsesflowet.</t>
        </is>
      </c>
      <c r="G103" s="35" t="inlineStr">
        <is>
          <t>Mindstekrav</t>
        </is>
      </c>
      <c r="H103" s="35">
        <f>IF(G103="Evalueringskrav","Answer",(IF(G103="Krav","Check",(IF(G103="Mindstekrav","Verify","")))))</f>
        <v/>
      </c>
      <c r="I103" s="35" t="inlineStr">
        <is>
          <t>Ja</t>
        </is>
      </c>
      <c r="J103" s="35" t="n"/>
      <c r="K103" s="47" t="n"/>
      <c r="L103" s="35" t="inlineStr">
        <is>
          <t>Anton</t>
        </is>
      </c>
      <c r="M103" s="35" t="n"/>
      <c r="N103" s="35" t="n"/>
      <c r="O103" s="35" t="inlineStr">
        <is>
          <t>1. Fully met</t>
        </is>
      </c>
      <c r="P103" s="35" t="n"/>
      <c r="Q103" s="35" t="n"/>
      <c r="R103" s="35" t="n"/>
      <c r="S103" s="35" t="n"/>
      <c r="T103" s="35" t="n"/>
      <c r="U103" s="35" t="inlineStr">
        <is>
          <t>Not Started</t>
        </is>
      </c>
      <c r="V103" s="37">
        <f>IF(U103="Not Started",0%,IF(U103="Started",50%,IF(U103="Ready for review",70%,IF(U103="Reviewed - Content",80%,IF(U103="Reviewed - Format",90%,IF(U103="Done",100%,""))))))</f>
        <v/>
      </c>
      <c r="W103" t="inlineStr">
        <is>
          <t>2026-07-07</t>
        </is>
      </c>
      <c r="X103" t="inlineStr">
        <is>
          <t>Cursor / tender-response (batch)</t>
        </is>
      </c>
      <c r="Y103" t="inlineStr">
        <is>
          <t>Met</t>
        </is>
      </c>
      <c r="Z103" t="inlineStr">
        <is>
          <t>Verified</t>
        </is>
      </c>
      <c r="AA103" t="inlineStr">
        <is>
          <t>Verify: Handling i godkendelsesflowet — vurderet opfyldt (tool: 1. Fully met).</t>
        </is>
      </c>
      <c r="AB103" t="inlineStr"/>
      <c r="AC103" t="inlineStr">
        <is>
          <t>docs/tender-reference/extracted/KUM-SLKS/Bilag 3 - Kravspecifikation.txt; docs/tender-reference/extracted/Nationalbanken/Bilag 3.i Leverandørens Løsningsbeskrivelse.txt; docs/tender-reference/extracted/KK Tender tool.txt</t>
        </is>
      </c>
      <c r="AD103" t="inlineStr">
        <is>
          <t>Anton: Confirm verify-tekst; opdatér review status efter tjek.</t>
        </is>
      </c>
      <c r="AE103" t="inlineStr"/>
      <c r="AF103" t="inlineStr">
        <is>
          <t>Draft</t>
        </is>
      </c>
      <c r="AG103" t="inlineStr">
        <is>
          <t>uim-esdh-full-2026-07-07</t>
        </is>
      </c>
    </row>
    <row r="104" ht="64" customHeight="1">
      <c r="A104" s="35" t="n">
        <v>103</v>
      </c>
      <c r="B104" s="35" t="inlineStr">
        <is>
          <t>MK-92</t>
        </is>
      </c>
      <c r="C104" s="35" t="inlineStr">
        <is>
          <t>Bilag 1.b</t>
        </is>
      </c>
      <c r="D104" s="35" t="inlineStr">
        <is>
          <t>Godkendelses- og høringsflow</t>
        </is>
      </c>
      <c r="E104" s="35" t="inlineStr">
        <is>
          <t>Tilføjelse af godkendelsesled</t>
        </is>
      </c>
      <c r="F104" s="35" t="inlineStr">
        <is>
          <t>ESDH-løsningen skal understøtte, at Brugeren, der har initieret godkendelsen eller det aktive godkendelsesled, kan tilføje flere godkendelsesled. Tilføjelse af godkendelsesled må ikke medføre, at de øvrige godkendelsesled bliver ændret.</t>
        </is>
      </c>
      <c r="G104" s="35" t="inlineStr">
        <is>
          <t>Mindstekrav</t>
        </is>
      </c>
      <c r="H104" s="35">
        <f>IF(G104="Evalueringskrav","Answer",(IF(G104="Krav","Check",(IF(G104="Mindstekrav","Verify","")))))</f>
        <v/>
      </c>
      <c r="I104" s="35" t="inlineStr">
        <is>
          <t>Ja</t>
        </is>
      </c>
      <c r="J104" s="35" t="n"/>
      <c r="K104" s="47" t="n"/>
      <c r="L104" s="35" t="inlineStr">
        <is>
          <t>Anton</t>
        </is>
      </c>
      <c r="M104" s="35" t="n"/>
      <c r="N104" s="35" t="n"/>
      <c r="O104" s="35" t="inlineStr">
        <is>
          <t>1. Fully met</t>
        </is>
      </c>
      <c r="P104" s="35" t="n"/>
      <c r="Q104" s="35" t="n"/>
      <c r="R104" s="35" t="n"/>
      <c r="S104" s="35" t="n"/>
      <c r="T104" s="35" t="n"/>
      <c r="U104" s="35" t="inlineStr">
        <is>
          <t>Not Started</t>
        </is>
      </c>
      <c r="V104" s="37">
        <f>IF(U104="Not Started",0%,IF(U104="Started",50%,IF(U104="Ready for review",70%,IF(U104="Reviewed - Content",80%,IF(U104="Reviewed - Format",90%,IF(U104="Done",100%,""))))))</f>
        <v/>
      </c>
      <c r="W104" t="inlineStr">
        <is>
          <t>2026-07-07</t>
        </is>
      </c>
      <c r="X104" t="inlineStr">
        <is>
          <t>Cursor / tender-response (batch)</t>
        </is>
      </c>
      <c r="Y104" t="inlineStr">
        <is>
          <t>Met</t>
        </is>
      </c>
      <c r="Z104" t="inlineStr">
        <is>
          <t>Verified</t>
        </is>
      </c>
      <c r="AA104" t="inlineStr">
        <is>
          <t>Verify: Tilføjelse af godkendelsesled — vurderet opfyldt (tool: 1. Fully met).</t>
        </is>
      </c>
      <c r="AB104" t="inlineStr"/>
      <c r="AC104" t="inlineStr">
        <is>
          <t>docs/tender-reference/extracted/Nationalbanken/Bilag 3.i Leverandørens Løsningsbeskrivelse.txt; docs/tender-reference/extracted/KUM-SLKS/Bilag 3 - Kravspecifikation.txt; docs/tender-reference/extracted/KK Tender tool.txt</t>
        </is>
      </c>
      <c r="AD104" t="inlineStr">
        <is>
          <t>Anton: Confirm verify-tekst; opdatér review status efter tjek.</t>
        </is>
      </c>
      <c r="AE104" t="inlineStr"/>
      <c r="AF104" t="inlineStr">
        <is>
          <t>Draft</t>
        </is>
      </c>
      <c r="AG104" t="inlineStr">
        <is>
          <t>uim-esdh-full-2026-07-07</t>
        </is>
      </c>
    </row>
    <row r="105" ht="64" customHeight="1">
      <c r="A105" s="35" t="n">
        <v>104</v>
      </c>
      <c r="B105" s="35" t="inlineStr">
        <is>
          <t>MK-93</t>
        </is>
      </c>
      <c r="C105" s="35" t="inlineStr">
        <is>
          <t>Bilag 1.b</t>
        </is>
      </c>
      <c r="D105" s="35" t="inlineStr">
        <is>
          <t>Godkendelses- og høringsflow</t>
        </is>
      </c>
      <c r="E105" s="35" t="inlineStr">
        <is>
          <t>E-mail-Advisering godkendelsesflow</t>
        </is>
      </c>
      <c r="F105" s="35" t="inlineStr">
        <is>
          <t>ESDH-løsningen skal understøtte, at det aktive godkendelsesled modtager en mailadvisering med et klikbart link til de relevante Filer i ESDH-løsningen.</t>
        </is>
      </c>
      <c r="G105" s="35" t="inlineStr">
        <is>
          <t>Mindstekrav</t>
        </is>
      </c>
      <c r="H105" s="35">
        <f>IF(G105="Evalueringskrav","Answer",(IF(G105="Krav","Check",(IF(G105="Mindstekrav","Verify","")))))</f>
        <v/>
      </c>
      <c r="I105" s="35" t="inlineStr">
        <is>
          <t>Ja</t>
        </is>
      </c>
      <c r="J105" s="35" t="n"/>
      <c r="K105" s="47" t="n"/>
      <c r="L105" s="35" t="inlineStr">
        <is>
          <t>Anton</t>
        </is>
      </c>
      <c r="M105" s="35" t="n"/>
      <c r="N105" s="35" t="n"/>
      <c r="O105" s="35" t="inlineStr">
        <is>
          <t>1. Fully met</t>
        </is>
      </c>
      <c r="P105" s="35" t="n"/>
      <c r="Q105" s="35" t="n"/>
      <c r="R105" s="35" t="n"/>
      <c r="S105" s="35" t="n"/>
      <c r="T105" s="35" t="n"/>
      <c r="U105" s="35" t="inlineStr">
        <is>
          <t>Not Started</t>
        </is>
      </c>
      <c r="V105" s="37">
        <f>IF(U105="Not Started",0%,IF(U105="Started",50%,IF(U105="Ready for review",70%,IF(U105="Reviewed - Content",80%,IF(U105="Reviewed - Format",90%,IF(U105="Done",100%,""))))))</f>
        <v/>
      </c>
      <c r="W105" t="inlineStr">
        <is>
          <t>2026-07-07</t>
        </is>
      </c>
      <c r="X105" t="inlineStr">
        <is>
          <t>Cursor / tender-response (batch)</t>
        </is>
      </c>
      <c r="Y105" t="inlineStr">
        <is>
          <t>Met</t>
        </is>
      </c>
      <c r="Z105" t="inlineStr">
        <is>
          <t>Verified</t>
        </is>
      </c>
      <c r="AA105" t="inlineStr">
        <is>
          <t>Verify: E-mail-Advisering godkendelsesflow — vurderet opfyldt (tool: 1. Fully met).</t>
        </is>
      </c>
      <c r="AB105" t="inlineStr"/>
      <c r="AC105" t="inlineStr">
        <is>
          <t>docs/tender-reference/extracted/Nationalbanken/Bilag 3.i Leverandørens Løsningsbeskrivelse.txt; docs/tender-reference/extracted/KK Tender tool.txt; docs/tender-reference/extracted/KUM-SLKS/Bilag 3 - Kravspecifikation.txt</t>
        </is>
      </c>
      <c r="AD105" t="inlineStr">
        <is>
          <t>Anton: Confirm verify-tekst; opdatér review status efter tjek.</t>
        </is>
      </c>
      <c r="AE105" t="inlineStr"/>
      <c r="AF105" t="inlineStr">
        <is>
          <t>Draft</t>
        </is>
      </c>
      <c r="AG105" t="inlineStr">
        <is>
          <t>uim-esdh-full-2026-07-07</t>
        </is>
      </c>
    </row>
    <row r="106" ht="48" customHeight="1">
      <c r="A106" s="35" t="n">
        <v>105</v>
      </c>
      <c r="B106" s="35" t="inlineStr">
        <is>
          <t>MK-94</t>
        </is>
      </c>
      <c r="C106" s="35" t="inlineStr">
        <is>
          <t>Bilag 1.b</t>
        </is>
      </c>
      <c r="D106" s="35" t="inlineStr">
        <is>
          <t>Godkendelses- og høringsflow</t>
        </is>
      </c>
      <c r="E106" s="35" t="inlineStr">
        <is>
          <t>Log i Godkendelsesflow</t>
        </is>
      </c>
      <c r="F106" s="35" t="inlineStr">
        <is>
          <t>ESDH-løsningen skal understøtte logning af alle handlinger relateret til godkendelsesflowet, f.eks. ændringer, godkendelser, tilbagesendelser og tilføjelser.</t>
        </is>
      </c>
      <c r="G106" s="35" t="inlineStr">
        <is>
          <t>Mindstekrav</t>
        </is>
      </c>
      <c r="H106" s="35">
        <f>IF(G106="Evalueringskrav","Answer",(IF(G106="Krav","Check",(IF(G106="Mindstekrav","Verify","")))))</f>
        <v/>
      </c>
      <c r="I106" s="35" t="inlineStr">
        <is>
          <t>Ja</t>
        </is>
      </c>
      <c r="J106" s="35" t="n"/>
      <c r="K106" s="47" t="n"/>
      <c r="L106" s="35" t="inlineStr">
        <is>
          <t>Anton</t>
        </is>
      </c>
      <c r="M106" s="35" t="n"/>
      <c r="N106" s="35" t="n"/>
      <c r="O106" s="35" t="inlineStr">
        <is>
          <t>1. Fully met</t>
        </is>
      </c>
      <c r="P106" s="35" t="n"/>
      <c r="Q106" s="35" t="n"/>
      <c r="R106" s="35" t="n"/>
      <c r="S106" s="35" t="n"/>
      <c r="T106" s="35" t="n"/>
      <c r="U106" s="35" t="inlineStr">
        <is>
          <t>Not Started</t>
        </is>
      </c>
      <c r="V106" s="37">
        <f>IF(U106="Not Started",0%,IF(U106="Started",50%,IF(U106="Ready for review",70%,IF(U106="Reviewed - Content",80%,IF(U106="Reviewed - Format",90%,IF(U106="Done",100%,""))))))</f>
        <v/>
      </c>
      <c r="W106" t="inlineStr">
        <is>
          <t>2026-07-07</t>
        </is>
      </c>
      <c r="X106" t="inlineStr">
        <is>
          <t>Cursor / tender-response (batch)</t>
        </is>
      </c>
      <c r="Y106" t="inlineStr">
        <is>
          <t>Met</t>
        </is>
      </c>
      <c r="Z106" t="inlineStr">
        <is>
          <t>Verified</t>
        </is>
      </c>
      <c r="AA106" t="inlineStr">
        <is>
          <t>Verify: Log i Godkendelsesflow — vurderet opfyldt (tool: 1. Fully met).</t>
        </is>
      </c>
      <c r="AB106" t="inlineStr"/>
      <c r="AC106" t="inlineStr">
        <is>
          <t>docs/tender-reference/extracted/Nationalbanken/Bilag 3.i Leverandørens Løsningsbeskrivelse.txt; docs/tender-reference/extracted/KK Tender tool.txt; docs/tender-reference/extracted/KUM-SLKS/Bilag 1 - Tidsplan.txt</t>
        </is>
      </c>
      <c r="AD106" t="inlineStr">
        <is>
          <t>Anton: Confirm verify-tekst; opdatér review status efter tjek.</t>
        </is>
      </c>
      <c r="AE106" t="inlineStr"/>
      <c r="AF106" t="inlineStr">
        <is>
          <t>Draft</t>
        </is>
      </c>
      <c r="AG106" t="inlineStr">
        <is>
          <t>uim-esdh-full-2026-07-07</t>
        </is>
      </c>
    </row>
    <row r="107" ht="48" customHeight="1">
      <c r="A107" s="35" t="n">
        <v>106</v>
      </c>
      <c r="B107" s="35" t="inlineStr">
        <is>
          <t>MK-95</t>
        </is>
      </c>
      <c r="C107" s="35" t="inlineStr">
        <is>
          <t>Bilag 1.b</t>
        </is>
      </c>
      <c r="D107" s="35" t="inlineStr">
        <is>
          <t>Godkendelses- og høringsflow</t>
        </is>
      </c>
      <c r="E107" s="35" t="inlineStr">
        <is>
          <t>Høringsflow, sekventielt eller parallelt</t>
        </is>
      </c>
      <c r="F107" s="35" t="inlineStr">
        <is>
          <t>ESDH-løsningen skal understøtte, at der kan sendes en eller flere Filer i høringsflow til en eller flere modtagere parallelt.</t>
        </is>
      </c>
      <c r="G107" s="35" t="inlineStr">
        <is>
          <t>Mindstekrav</t>
        </is>
      </c>
      <c r="H107" s="35">
        <f>IF(G107="Evalueringskrav","Answer",(IF(G107="Krav","Check",(IF(G107="Mindstekrav","Verify","")))))</f>
        <v/>
      </c>
      <c r="I107" s="35" t="inlineStr">
        <is>
          <t>Ja</t>
        </is>
      </c>
      <c r="J107" s="35" t="n"/>
      <c r="K107" s="47" t="n"/>
      <c r="L107" s="35" t="inlineStr">
        <is>
          <t>Anton</t>
        </is>
      </c>
      <c r="M107" s="35" t="n"/>
      <c r="N107" s="35" t="n"/>
      <c r="O107" s="35" t="inlineStr">
        <is>
          <t>1. Fully met</t>
        </is>
      </c>
      <c r="P107" s="35" t="n"/>
      <c r="Q107" s="35" t="n"/>
      <c r="R107" s="35" t="n"/>
      <c r="S107" s="35" t="n"/>
      <c r="T107" s="35" t="n"/>
      <c r="U107" s="35" t="inlineStr">
        <is>
          <t>Not Started</t>
        </is>
      </c>
      <c r="V107" s="37">
        <f>IF(U107="Not Started",0%,IF(U107="Started",50%,IF(U107="Ready for review",70%,IF(U107="Reviewed - Content",80%,IF(U107="Reviewed - Format",90%,IF(U107="Done",100%,""))))))</f>
        <v/>
      </c>
      <c r="W107" t="inlineStr">
        <is>
          <t>2026-07-07</t>
        </is>
      </c>
      <c r="X107" t="inlineStr">
        <is>
          <t>Cursor / tender-response (batch)</t>
        </is>
      </c>
      <c r="Y107" t="inlineStr">
        <is>
          <t>Met</t>
        </is>
      </c>
      <c r="Z107" t="inlineStr">
        <is>
          <t>Verified</t>
        </is>
      </c>
      <c r="AA107" t="inlineStr">
        <is>
          <t>Verify: Høringsflow, sekventielt eller parallelt — vurderet opfyldt (tool: 1. Fully met).</t>
        </is>
      </c>
      <c r="AB107" t="inlineStr"/>
      <c r="AC107" t="inlineStr">
        <is>
          <t>docs/tender-reference/extracted/KUM-SLKS/Bilag 3 - Kravspecifikation.txt; docs/tender-reference/extracted/Nationalbanken/Bilag 3.i Leverandørens Løsningsbeskrivelse.txt; docs/product/RFP_Leverandørens_svar_utdrag.txt</t>
        </is>
      </c>
      <c r="AD107" t="inlineStr">
        <is>
          <t>Anton: Confirm verify-tekst; opdatér review status efter tjek.</t>
        </is>
      </c>
      <c r="AE107" t="inlineStr"/>
      <c r="AF107" t="inlineStr">
        <is>
          <t>Draft</t>
        </is>
      </c>
      <c r="AG107" t="inlineStr">
        <is>
          <t>uim-esdh-full-2026-07-07</t>
        </is>
      </c>
    </row>
    <row r="108" ht="32" customHeight="1">
      <c r="A108" s="35" t="n">
        <v>107</v>
      </c>
      <c r="B108" s="35" t="inlineStr">
        <is>
          <t>MK-96</t>
        </is>
      </c>
      <c r="C108" s="35" t="inlineStr">
        <is>
          <t>Bilag 1.b</t>
        </is>
      </c>
      <c r="D108" s="35" t="inlineStr">
        <is>
          <t>Godkendelses- og høringsflow</t>
        </is>
      </c>
      <c r="E108" s="35" t="inlineStr">
        <is>
          <t>Handling i høringsflowet</t>
        </is>
      </c>
      <c r="F108" s="35" t="inlineStr">
        <is>
          <t>ESDH-løsningen skal understøtte forskellige statusser i høringsflowet.</t>
        </is>
      </c>
      <c r="G108" s="35" t="inlineStr">
        <is>
          <t>Mindstekrav</t>
        </is>
      </c>
      <c r="H108" s="35">
        <f>IF(G108="Evalueringskrav","Answer",(IF(G108="Krav","Check",(IF(G108="Mindstekrav","Verify","")))))</f>
        <v/>
      </c>
      <c r="I108" s="35" t="inlineStr">
        <is>
          <t>Ja</t>
        </is>
      </c>
      <c r="J108" s="35" t="n"/>
      <c r="K108" s="47" t="n"/>
      <c r="L108" s="35" t="inlineStr">
        <is>
          <t>Anton</t>
        </is>
      </c>
      <c r="M108" s="35" t="n"/>
      <c r="N108" s="35" t="n"/>
      <c r="O108" s="35" t="inlineStr">
        <is>
          <t>1. Fully met</t>
        </is>
      </c>
      <c r="P108" s="35" t="n"/>
      <c r="Q108" s="35" t="n"/>
      <c r="R108" s="35" t="n"/>
      <c r="S108" s="35" t="n"/>
      <c r="T108" s="35" t="n"/>
      <c r="U108" s="35" t="inlineStr">
        <is>
          <t>Not Started</t>
        </is>
      </c>
      <c r="V108" s="37">
        <f>IF(U108="Not Started",0%,IF(U108="Started",50%,IF(U108="Ready for review",70%,IF(U108="Reviewed - Content",80%,IF(U108="Reviewed - Format",90%,IF(U108="Done",100%,""))))))</f>
        <v/>
      </c>
      <c r="W108" t="inlineStr">
        <is>
          <t>2026-07-07</t>
        </is>
      </c>
      <c r="X108" t="inlineStr">
        <is>
          <t>Cursor / tender-response (batch)</t>
        </is>
      </c>
      <c r="Y108" t="inlineStr">
        <is>
          <t>Met</t>
        </is>
      </c>
      <c r="Z108" t="inlineStr">
        <is>
          <t>Verified</t>
        </is>
      </c>
      <c r="AA108" t="inlineStr">
        <is>
          <t>Verify: Handling i høringsflowet — vurderet opfyldt (tool: 1. Fully met).</t>
        </is>
      </c>
      <c r="AB108" t="inlineStr"/>
      <c r="AC108" t="inlineStr">
        <is>
          <t>docs/tender-reference/extracted/KUM-SLKS/Bilag 3 - Kravspecifikation.txt; docs/tender-reference/extracted/Nationalbanken/Bilag 3.i Leverandørens Løsningsbeskrivelse.txt; docs/tender-reference/extracted/KK Tender tool.txt</t>
        </is>
      </c>
      <c r="AD108" t="inlineStr">
        <is>
          <t>Anton: Confirm verify-tekst; opdatér review status efter tjek.</t>
        </is>
      </c>
      <c r="AE108" t="inlineStr"/>
      <c r="AF108" t="inlineStr">
        <is>
          <t>Draft</t>
        </is>
      </c>
      <c r="AG108" t="inlineStr">
        <is>
          <t>uim-esdh-full-2026-07-07</t>
        </is>
      </c>
    </row>
    <row r="109" ht="48" customHeight="1">
      <c r="A109" s="35" t="n">
        <v>108</v>
      </c>
      <c r="B109" s="35" t="inlineStr">
        <is>
          <t>MK-97</t>
        </is>
      </c>
      <c r="C109" s="35" t="inlineStr">
        <is>
          <t>Bilag 1.b</t>
        </is>
      </c>
      <c r="D109" s="35" t="inlineStr">
        <is>
          <t>Godkendelses- og høringsflow</t>
        </is>
      </c>
      <c r="E109" s="35" t="inlineStr">
        <is>
          <t>E-mail-Advisering høring</t>
        </is>
      </c>
      <c r="F109" s="35" t="inlineStr">
        <is>
          <t>ESDH-løsningen skal understøtte, at de aktive høringsdeltagere modtager en mailadvisering med et klikbart link til relevante Filer i ESDH-løsningen.</t>
        </is>
      </c>
      <c r="G109" s="35" t="inlineStr">
        <is>
          <t>Mindstekrav</t>
        </is>
      </c>
      <c r="H109" s="35">
        <f>IF(G109="Evalueringskrav","Answer",(IF(G109="Krav","Check",(IF(G109="Mindstekrav","Verify","")))))</f>
        <v/>
      </c>
      <c r="I109" s="35" t="inlineStr">
        <is>
          <t>Ja</t>
        </is>
      </c>
      <c r="J109" s="35" t="n"/>
      <c r="K109" s="47" t="n"/>
      <c r="L109" s="35" t="inlineStr">
        <is>
          <t>Anton</t>
        </is>
      </c>
      <c r="M109" s="35" t="n"/>
      <c r="N109" s="35" t="n"/>
      <c r="O109" s="35" t="inlineStr">
        <is>
          <t>1. Fully met</t>
        </is>
      </c>
      <c r="P109" s="35" t="n"/>
      <c r="Q109" s="35" t="n"/>
      <c r="R109" s="35" t="n"/>
      <c r="S109" s="35" t="n"/>
      <c r="T109" s="35" t="n"/>
      <c r="U109" s="35" t="inlineStr">
        <is>
          <t>Not Started</t>
        </is>
      </c>
      <c r="V109" s="37">
        <f>IF(U109="Not Started",0%,IF(U109="Started",50%,IF(U109="Ready for review",70%,IF(U109="Reviewed - Content",80%,IF(U109="Reviewed - Format",90%,IF(U109="Done",100%,""))))))</f>
        <v/>
      </c>
      <c r="W109" t="inlineStr">
        <is>
          <t>2026-07-07</t>
        </is>
      </c>
      <c r="X109" t="inlineStr">
        <is>
          <t>Cursor / tender-response (batch)</t>
        </is>
      </c>
      <c r="Y109" t="inlineStr">
        <is>
          <t>Met</t>
        </is>
      </c>
      <c r="Z109" t="inlineStr">
        <is>
          <t>Verified</t>
        </is>
      </c>
      <c r="AA109" t="inlineStr">
        <is>
          <t>Verify: E-mail-Advisering høring — vurderet opfyldt (tool: 1. Fully met).</t>
        </is>
      </c>
      <c r="AB109" t="inlineStr"/>
      <c r="AC109" t="inlineStr">
        <is>
          <t>docs/tender-reference/extracted/Nationalbanken/Bilag 3.i Leverandørens Løsningsbeskrivelse.txt; docs/tender-reference/extracted/KK Tender tool.txt; docs/tender-reference/extracted/KUM-SLKS/Bilag 3 - Kravspecifikation.txt</t>
        </is>
      </c>
      <c r="AD109" t="inlineStr">
        <is>
          <t>Anton: Confirm verify-tekst; opdatér review status efter tjek.</t>
        </is>
      </c>
      <c r="AE109" t="inlineStr"/>
      <c r="AF109" t="inlineStr">
        <is>
          <t>Draft</t>
        </is>
      </c>
      <c r="AG109" t="inlineStr">
        <is>
          <t>uim-esdh-full-2026-07-07</t>
        </is>
      </c>
    </row>
    <row r="110" ht="32" customHeight="1">
      <c r="A110" s="35" t="n">
        <v>109</v>
      </c>
      <c r="B110" s="35" t="inlineStr">
        <is>
          <t>MK-98</t>
        </is>
      </c>
      <c r="C110" s="35" t="inlineStr">
        <is>
          <t>Bilag 1.b</t>
        </is>
      </c>
      <c r="D110" s="35" t="inlineStr">
        <is>
          <t>Godkendelses- og høringsflow</t>
        </is>
      </c>
      <c r="E110" s="35" t="inlineStr">
        <is>
          <t>Log i høringsflow</t>
        </is>
      </c>
      <c r="F110" s="35" t="inlineStr">
        <is>
          <t>ESDH-løsningen skal understøtte logning af alle handlinger relateret til høringsflowet.</t>
        </is>
      </c>
      <c r="G110" s="35" t="inlineStr">
        <is>
          <t>Mindstekrav</t>
        </is>
      </c>
      <c r="H110" s="35">
        <f>IF(G110="Evalueringskrav","Answer",(IF(G110="Krav","Check",(IF(G110="Mindstekrav","Verify","")))))</f>
        <v/>
      </c>
      <c r="I110" s="35" t="inlineStr">
        <is>
          <t>Ja</t>
        </is>
      </c>
      <c r="J110" s="35" t="n"/>
      <c r="K110" s="47" t="n"/>
      <c r="L110" s="35" t="inlineStr">
        <is>
          <t>Anton</t>
        </is>
      </c>
      <c r="M110" s="35" t="n"/>
      <c r="N110" s="35" t="n"/>
      <c r="O110" s="35" t="inlineStr">
        <is>
          <t>1. Fully met</t>
        </is>
      </c>
      <c r="P110" s="35" t="n"/>
      <c r="Q110" s="35" t="n"/>
      <c r="R110" s="35" t="n"/>
      <c r="S110" s="35" t="n"/>
      <c r="T110" s="35" t="n"/>
      <c r="U110" s="35" t="inlineStr">
        <is>
          <t>Not Started</t>
        </is>
      </c>
      <c r="V110" s="37">
        <f>IF(U110="Not Started",0%,IF(U110="Started",50%,IF(U110="Ready for review",70%,IF(U110="Reviewed - Content",80%,IF(U110="Reviewed - Format",90%,IF(U110="Done",100%,""))))))</f>
        <v/>
      </c>
      <c r="W110" t="inlineStr">
        <is>
          <t>2026-07-07</t>
        </is>
      </c>
      <c r="X110" t="inlineStr">
        <is>
          <t>Cursor / tender-response (batch)</t>
        </is>
      </c>
      <c r="Y110" t="inlineStr">
        <is>
          <t>Met</t>
        </is>
      </c>
      <c r="Z110" t="inlineStr">
        <is>
          <t>Verified</t>
        </is>
      </c>
      <c r="AA110" t="inlineStr">
        <is>
          <t>Verify: Log i høringsflow — vurderet opfyldt (tool: 1. Fully met).</t>
        </is>
      </c>
      <c r="AB110" t="inlineStr"/>
      <c r="AC110" t="inlineStr">
        <is>
          <t>docs/tender-reference/extracted/KK Tender tool.txt; docs/tender-reference/extracted/KUM-SLKS/Bilag 1 - Tidsplan.txt; docs/tender-reference/extracted/Nationalbanken/Bilag 3.i Leverandørens Løsningsbeskrivelse.txt</t>
        </is>
      </c>
      <c r="AD110" t="inlineStr">
        <is>
          <t>Anton: Confirm verify-tekst; opdatér review status efter tjek.</t>
        </is>
      </c>
      <c r="AE110" t="inlineStr"/>
      <c r="AF110" t="inlineStr">
        <is>
          <t>Draft</t>
        </is>
      </c>
      <c r="AG110" t="inlineStr">
        <is>
          <t>uim-esdh-full-2026-07-07</t>
        </is>
      </c>
    </row>
    <row r="111" ht="64" customHeight="1">
      <c r="A111" s="35" t="n">
        <v>110</v>
      </c>
      <c r="B111" s="35" t="inlineStr">
        <is>
          <t>MK-99</t>
        </is>
      </c>
      <c r="C111" s="35" t="inlineStr">
        <is>
          <t>Bilag 1.b</t>
        </is>
      </c>
      <c r="D111" s="35" t="inlineStr">
        <is>
          <t>Godkendelses- og høringsflow</t>
        </is>
      </c>
      <c r="E111" s="35" t="inlineStr">
        <is>
          <t>Historisk Dokument - godkendelsesflow</t>
        </is>
      </c>
      <c r="F111" s="35" t="inlineStr">
        <is>
          <t>ESDH-løsningen skal understøtte, at der automatisk dannes et Dokument med en tilknyttet Fil, hvortil historikken af godkendelsesflowet er dokumenteret.</t>
        </is>
      </c>
      <c r="G111" s="35" t="inlineStr">
        <is>
          <t>Mindstekrav</t>
        </is>
      </c>
      <c r="H111" s="35">
        <f>IF(G111="Evalueringskrav","Answer",(IF(G111="Krav","Check",(IF(G111="Mindstekrav","Verify","")))))</f>
        <v/>
      </c>
      <c r="I111" s="35" t="inlineStr">
        <is>
          <t>Ja</t>
        </is>
      </c>
      <c r="J111" s="35" t="n"/>
      <c r="K111" s="47" t="n"/>
      <c r="L111" s="35" t="inlineStr">
        <is>
          <t>Torben</t>
        </is>
      </c>
      <c r="M111" s="35" t="n"/>
      <c r="N111" s="35" t="n"/>
      <c r="O111" s="35" t="inlineStr">
        <is>
          <t>3. Not able to meet</t>
        </is>
      </c>
      <c r="P111" s="35" t="inlineStr">
        <is>
          <t>ADN ”automatisk dannes” sker ikke. vi har muligheden for manuelt at gøre dette. - Vores workflowrapport løser måske behovet, men produceres ikke automatisk.</t>
        </is>
      </c>
      <c r="Q111" s="35" t="n"/>
      <c r="R111" s="35" t="n"/>
      <c r="S111" s="35" t="n"/>
      <c r="T111" s="35" t="n"/>
      <c r="U111" s="35" t="inlineStr">
        <is>
          <t>Not Started</t>
        </is>
      </c>
      <c r="V111" s="37">
        <f>IF(U111="Not Started",0%,IF(U111="Started",50%,IF(U111="Ready for review",70%,IF(U111="Reviewed - Content",80%,IF(U111="Reviewed - Format",90%,IF(U111="Done",100%,""))))))</f>
        <v/>
      </c>
      <c r="W111" t="inlineStr">
        <is>
          <t>2026-07-07</t>
        </is>
      </c>
      <c r="X111" t="inlineStr">
        <is>
          <t>Cursor / tender-response (batch)</t>
        </is>
      </c>
      <c r="Y111" t="inlineStr">
        <is>
          <t>Not met</t>
        </is>
      </c>
      <c r="Z111" t="inlineStr">
        <is>
          <t>Verified</t>
        </is>
      </c>
      <c r="AA111" t="inlineStr">
        <is>
          <t>Verify: Historisk Dokument - godkendelsesflow — gap ift. kravtekst; eskalér commitment eller afklaring.</t>
        </is>
      </c>
      <c r="AB111" t="inlineStr">
        <is>
          <t>ADN ”automatisk dannes” sker ikke. vi har muligheden for manuelt at gøre dette. - Vores workflowrapport løser måske behovet, men produceres ikke automatisk. | Red flag: ”automatisk dannes” sker ikke. vi har muligheden for manuelt at gøre dette.</t>
        </is>
      </c>
      <c r="AC111" t="inlineStr">
        <is>
          <t>docs/tender-reference/extracted/Nationalbanken/Bilag 3.i Leverandørens Løsningsbeskrivelse.txt; docs/tender-reference/extracted/KK Tender tool.txt; docs/tender-reference/extracted/NND/02.01-Tieto-Bilag 2-Vedlegg-Leverandørens utfyllende svar til kravtabell.txt</t>
        </is>
      </c>
      <c r="AD111" t="inlineStr">
        <is>
          <t>Torben: Commitment/no-bid beslutning; overvej Q&amp;A til ordregiver.</t>
        </is>
      </c>
      <c r="AE111" t="inlineStr"/>
      <c r="AF111" t="inlineStr">
        <is>
          <t>Draft</t>
        </is>
      </c>
      <c r="AG111" t="inlineStr">
        <is>
          <t>uim-esdh-full-2026-07-07</t>
        </is>
      </c>
    </row>
    <row r="112" ht="64" customHeight="1">
      <c r="A112" s="35" t="n">
        <v>111</v>
      </c>
      <c r="B112" s="35" t="inlineStr">
        <is>
          <t>MK-100</t>
        </is>
      </c>
      <c r="C112" s="35" t="inlineStr">
        <is>
          <t>Bilag 1.b</t>
        </is>
      </c>
      <c r="D112" s="35" t="inlineStr">
        <is>
          <t>Godkendelses- og høringsflow</t>
        </is>
      </c>
      <c r="E112" s="35" t="inlineStr">
        <is>
          <t>Historisk Dokument - høring</t>
        </is>
      </c>
      <c r="F112" s="35" t="inlineStr">
        <is>
          <t>ESDH-løsningen skal understøtte, at der automatisk dannes et Dokument med en tilknyttet Fil, hvortil historikken af høringsflowet er dokumenteret.</t>
        </is>
      </c>
      <c r="G112" s="35" t="inlineStr">
        <is>
          <t>Mindstekrav</t>
        </is>
      </c>
      <c r="H112" s="35">
        <f>IF(G112="Evalueringskrav","Answer",(IF(G112="Krav","Check",(IF(G112="Mindstekrav","Verify","")))))</f>
        <v/>
      </c>
      <c r="I112" s="35" t="inlineStr">
        <is>
          <t>Ja</t>
        </is>
      </c>
      <c r="J112" s="35" t="n"/>
      <c r="K112" s="47" t="n"/>
      <c r="L112" s="35" t="inlineStr">
        <is>
          <t>Torben</t>
        </is>
      </c>
      <c r="M112" s="35" t="n"/>
      <c r="N112" s="35" t="n"/>
      <c r="O112" s="35" t="inlineStr">
        <is>
          <t>3. Not able to meet</t>
        </is>
      </c>
      <c r="P112" s="35" t="inlineStr">
        <is>
          <t>ADN ”automatisk dannes” sker ikke. vi har muligheden for manuelt at gøre dette. - Vores workflowrapport løser måske behovet, men produceres ikke automatisk.</t>
        </is>
      </c>
      <c r="Q112" s="35" t="n"/>
      <c r="R112" s="35" t="n"/>
      <c r="S112" s="35" t="n"/>
      <c r="T112" s="35" t="n"/>
      <c r="U112" s="35" t="inlineStr">
        <is>
          <t>Not Started</t>
        </is>
      </c>
      <c r="V112" s="37">
        <f>IF(U112="Not Started",0%,IF(U112="Started",50%,IF(U112="Ready for review",70%,IF(U112="Reviewed - Content",80%,IF(U112="Reviewed - Format",90%,IF(U112="Done",100%,""))))))</f>
        <v/>
      </c>
      <c r="W112" t="inlineStr">
        <is>
          <t>2026-07-07</t>
        </is>
      </c>
      <c r="X112" t="inlineStr">
        <is>
          <t>Cursor / tender-response (batch)</t>
        </is>
      </c>
      <c r="Y112" t="inlineStr">
        <is>
          <t>Not met</t>
        </is>
      </c>
      <c r="Z112" t="inlineStr">
        <is>
          <t>Verified</t>
        </is>
      </c>
      <c r="AA112" t="inlineStr">
        <is>
          <t>Verify: Historisk Dokument - høring — gap ift. kravtekst; eskalér commitment eller afklaring.</t>
        </is>
      </c>
      <c r="AB112" t="inlineStr">
        <is>
          <t>ADN ”automatisk dannes” sker ikke. vi har muligheden for manuelt at gøre dette. - Vores workflowrapport løser måske behovet, men produceres ikke automatisk. | Red flag: ”automatisk dannes” sker ikke. vi har muligheden for manuelt at gøre dette.</t>
        </is>
      </c>
      <c r="AC112" t="inlineStr">
        <is>
          <t>docs/tender-reference/extracted/KK Tender tool.txt; docs/tender-reference/extracted/Nationalbanken/Bilag 3.i Leverandørens Løsningsbeskrivelse.txt; docs/tender-reference/extracted/NND/02.01-Tieto-Bilag 2-Vedlegg-Leverandørens utfyllende svar til kravtabell.txt</t>
        </is>
      </c>
      <c r="AD112" t="inlineStr">
        <is>
          <t>Torben: Commitment/no-bid beslutning; overvej Q&amp;A til ordregiver.</t>
        </is>
      </c>
      <c r="AE112" t="inlineStr"/>
      <c r="AF112" t="inlineStr">
        <is>
          <t>Draft</t>
        </is>
      </c>
      <c r="AG112" t="inlineStr">
        <is>
          <t>uim-esdh-full-2026-07-07</t>
        </is>
      </c>
    </row>
    <row r="113" ht="48" customHeight="1">
      <c r="A113" s="35" t="n">
        <v>112</v>
      </c>
      <c r="B113" s="35" t="inlineStr">
        <is>
          <t>MK-101</t>
        </is>
      </c>
      <c r="C113" s="35" t="inlineStr">
        <is>
          <t>Bilag 1.b</t>
        </is>
      </c>
      <c r="D113" s="35" t="inlineStr">
        <is>
          <t>Opgavestyring</t>
        </is>
      </c>
      <c r="E113" s="35" t="inlineStr">
        <is>
          <t>Overblik over opgaver</t>
        </is>
      </c>
      <c r="F113" s="35" t="inlineStr">
        <is>
          <t>ESDH-løsningen skal understøtte et fuldstændigt overblik over alle igangværende og planlagte opgaver, som er tildelt en specifik Bruger eller afdeling/team eller er knyttet til en specifik sag.</t>
        </is>
      </c>
      <c r="G113" s="35" t="inlineStr">
        <is>
          <t>Mindstekrav</t>
        </is>
      </c>
      <c r="H113" s="35">
        <f>IF(G113="Evalueringskrav","Answer",(IF(G113="Krav","Check",(IF(G113="Mindstekrav","Verify","")))))</f>
        <v/>
      </c>
      <c r="I113" s="35" t="inlineStr">
        <is>
          <t>Ja</t>
        </is>
      </c>
      <c r="J113" s="35" t="n"/>
      <c r="K113" s="47" t="n"/>
      <c r="L113" s="35" t="inlineStr">
        <is>
          <t>Anton</t>
        </is>
      </c>
      <c r="M113" s="35" t="n"/>
      <c r="N113" s="35" t="n"/>
      <c r="O113" s="35" t="inlineStr">
        <is>
          <t>1. Fully met</t>
        </is>
      </c>
      <c r="P113" s="35" t="n"/>
      <c r="Q113" s="35" t="n"/>
      <c r="R113" s="35" t="n"/>
      <c r="S113" s="35" t="n"/>
      <c r="T113" s="35" t="n"/>
      <c r="U113" s="35" t="inlineStr">
        <is>
          <t>Not Started</t>
        </is>
      </c>
      <c r="V113" s="37">
        <f>IF(U113="Not Started",0%,IF(U113="Started",50%,IF(U113="Ready for review",70%,IF(U113="Reviewed - Content",80%,IF(U113="Reviewed - Format",90%,IF(U113="Done",100%,""))))))</f>
        <v/>
      </c>
      <c r="W113" t="inlineStr">
        <is>
          <t>2026-07-07</t>
        </is>
      </c>
      <c r="X113" t="inlineStr">
        <is>
          <t>Cursor / tender-response (batch)</t>
        </is>
      </c>
      <c r="Y113" t="inlineStr">
        <is>
          <t>Met</t>
        </is>
      </c>
      <c r="Z113" t="inlineStr">
        <is>
          <t>Verified</t>
        </is>
      </c>
      <c r="AA113" t="inlineStr">
        <is>
          <t>Verify: Overblik over opgaver — vurderet opfyldt (tool: 1. Fully met).</t>
        </is>
      </c>
      <c r="AB113" t="inlineStr"/>
      <c r="AC113" t="inlineStr">
        <is>
          <t>docs/tender-reference/extracted/Nationalbanken/Bilag 3.i Leverandørens Løsningsbeskrivelse.txt; docs/tender-reference/extracted/KUM-SLKS/Bilag 3 - Kravspecifikation.txt; docs/tender-reference/extracted/KK Tender tool.txt</t>
        </is>
      </c>
      <c r="AD113" t="inlineStr">
        <is>
          <t>Anton: Confirm verify-tekst; opdatér review status efter tjek.</t>
        </is>
      </c>
      <c r="AE113" t="inlineStr"/>
      <c r="AF113" t="inlineStr">
        <is>
          <t>Draft</t>
        </is>
      </c>
      <c r="AG113" t="inlineStr">
        <is>
          <t>uim-esdh-full-2026-07-07</t>
        </is>
      </c>
    </row>
    <row r="114" ht="160" customHeight="1">
      <c r="A114" s="35" t="n">
        <v>113</v>
      </c>
      <c r="B114" s="35" t="inlineStr">
        <is>
          <t>MK-102</t>
        </is>
      </c>
      <c r="C114" s="35" t="inlineStr">
        <is>
          <t>Bilag 1.b</t>
        </is>
      </c>
      <c r="D114" s="35" t="inlineStr">
        <is>
          <t>Opgavestyring</t>
        </is>
      </c>
      <c r="E114" s="35" t="inlineStr">
        <is>
          <t>Friststyring</t>
        </is>
      </c>
      <c r="F114" s="35" t="inlineStr">
        <is>
          <t>ESDH-løsningen skal understøtte friststyring, hvor den ansvarlige Bruger for en opgave kan opsætte individuelle frister. Det skal være muligt at konfigurere notifikationerne fleksibelt i forhold til både opgavens deadline og status.</t>
        </is>
      </c>
      <c r="G114" s="35" t="inlineStr">
        <is>
          <t>Mindstekrav</t>
        </is>
      </c>
      <c r="H114" s="35">
        <f>IF(G114="Evalueringskrav","Answer",(IF(G114="Krav","Check",(IF(G114="Mindstekrav","Verify","")))))</f>
        <v/>
      </c>
      <c r="I114" s="35" t="inlineStr">
        <is>
          <t>Ja</t>
        </is>
      </c>
      <c r="J114" s="35" t="n"/>
      <c r="K114" s="47" t="n"/>
      <c r="L114" s="35" t="inlineStr">
        <is>
          <t>Eva</t>
        </is>
      </c>
      <c r="M114" s="35" t="n"/>
      <c r="N114" s="35" t="n"/>
      <c r="O114" s="35" t="n"/>
      <c r="P114" s="35" t="inlineStr">
        <is>
          <t xml:space="preserve">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t>
        </is>
      </c>
      <c r="Q114" s="35" t="n"/>
      <c r="R114" s="35" t="n"/>
      <c r="S114" s="35" t="n"/>
      <c r="T114" s="35" t="n"/>
      <c r="U114" s="35" t="inlineStr">
        <is>
          <t>Not Started</t>
        </is>
      </c>
      <c r="V114" s="37">
        <f>IF(U114="Not Started",0%,IF(U114="Started",50%,IF(U114="Ready for review",70%,IF(U114="Reviewed - Content",80%,IF(U114="Reviewed - Format",90%,IF(U114="Done",100%,""))))))</f>
        <v/>
      </c>
      <c r="W114" t="inlineStr">
        <is>
          <t>2026-07-07</t>
        </is>
      </c>
      <c r="X114" t="inlineStr">
        <is>
          <t>Cursor / tender-response (batch)</t>
        </is>
      </c>
      <c r="Y114" t="inlineStr">
        <is>
          <t>Clarify</t>
        </is>
      </c>
      <c r="Z114" t="inlineStr">
        <is>
          <t>Verified</t>
        </is>
      </c>
      <c r="AA114" t="inlineStr">
        <is>
          <t>Verify: Friststyring — kræver produkt-/team-afklaring (ingen tool-rating).</t>
        </is>
      </c>
      <c r="AB114" t="inlineStr">
        <is>
          <t>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 Red flag: Jeg bryder mig ikke om denne formulering - er bekymret for at den kan bruges imod os i en implementering</t>
        </is>
      </c>
      <c r="AC114" t="inlineStr">
        <is>
          <t>docs/tender-reference/extracted/Nationalbanken/Bilag 3.i Leverandørens Løsningsbeskrivelse.txt; docs/tender-reference/extracted/KK Tender tool.txt; docs/tender-reference/extracted/KUM-SLKS/Bilag 3 - Kravspecifikation.txt</t>
        </is>
      </c>
      <c r="AD114" t="inlineStr">
        <is>
          <t>Eva: Udfyld tool-rating (O) og evidens; gennemgå AI-kladde.</t>
        </is>
      </c>
      <c r="AE114" t="inlineStr"/>
      <c r="AF114" t="inlineStr">
        <is>
          <t>Draft</t>
        </is>
      </c>
      <c r="AG114" t="inlineStr">
        <is>
          <t>uim-esdh-full-2026-07-07</t>
        </is>
      </c>
    </row>
    <row r="115" ht="96" customHeight="1">
      <c r="A115" s="35" t="n">
        <v>114</v>
      </c>
      <c r="B115" s="35" t="inlineStr">
        <is>
          <t>MK-103</t>
        </is>
      </c>
      <c r="C115" s="35" t="inlineStr">
        <is>
          <t>Bilag 1.b</t>
        </is>
      </c>
      <c r="D115" s="35" t="inlineStr">
        <is>
          <t>Opgavestyring</t>
        </is>
      </c>
      <c r="E115" s="35" t="inlineStr">
        <is>
          <t>Advisering på opgaver</t>
        </is>
      </c>
      <c r="F115" s="35" t="inlineStr">
        <is>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is>
      </c>
      <c r="G115" s="35" t="inlineStr">
        <is>
          <t>Mindstekrav</t>
        </is>
      </c>
      <c r="H115" s="35">
        <f>IF(G115="Evalueringskrav","Answer",(IF(G115="Krav","Check",(IF(G115="Mindstekrav","Verify","")))))</f>
        <v/>
      </c>
      <c r="I115" s="35" t="inlineStr">
        <is>
          <t>Ja</t>
        </is>
      </c>
      <c r="J115" s="35" t="n"/>
      <c r="K115" s="47" t="n"/>
      <c r="L115" s="35" t="inlineStr">
        <is>
          <t>Eva</t>
        </is>
      </c>
      <c r="M115" s="35" t="n"/>
      <c r="N115" s="35" t="n"/>
      <c r="O115" s="35" t="n"/>
      <c r="P115" s="35" t="inlineStr">
        <is>
          <t>ADN Jeg bryder mig ikke om denne formulering - er bekymret for at den kan bruges imod os i en implementering
Hvad vil det sige at "konfigurere notifikation fleksibelt ift. deadline og status"?</t>
        </is>
      </c>
      <c r="Q115" s="35" t="n"/>
      <c r="R115" s="35" t="n"/>
      <c r="S115" s="35" t="n"/>
      <c r="T115" s="35" t="n"/>
      <c r="U115" s="35" t="inlineStr">
        <is>
          <t>Not Started</t>
        </is>
      </c>
      <c r="V115" s="37">
        <f>IF(U115="Not Started",0%,IF(U115="Started",50%,IF(U115="Ready for review",70%,IF(U115="Reviewed - Content",80%,IF(U115="Reviewed - Format",90%,IF(U115="Done",100%,""))))))</f>
        <v/>
      </c>
      <c r="W115" t="inlineStr">
        <is>
          <t>2026-07-07</t>
        </is>
      </c>
      <c r="X115" t="inlineStr">
        <is>
          <t>Cursor / tender-response (batch)</t>
        </is>
      </c>
      <c r="Y115" t="inlineStr">
        <is>
          <t>Clarify</t>
        </is>
      </c>
      <c r="Z115" t="inlineStr">
        <is>
          <t>Verified</t>
        </is>
      </c>
      <c r="AA115" t="inlineStr">
        <is>
          <t>Verify: Advisering på opgaver — kræver produkt-/team-afklaring (ingen tool-rating).</t>
        </is>
      </c>
      <c r="AB115" t="inlineStr">
        <is>
          <t>ADN Jeg bryder mig ikke om denne formulering - er bekymret for at den kan bruges imod os i en implementering
Hvad vil det sige at "konfigurere notifikation fleksibelt ift. deadline og status"? | Red flag: Jeg bryder mig ikke om denne formulering - er bekymret for at den kan bruges imod os i en implementering</t>
        </is>
      </c>
      <c r="AC115" t="inlineStr">
        <is>
          <t>docs/tender-reference/extracted/KK Tender tool.txt; docs/tender-reference/extracted/Nationalbanken/Bilag 3.i Leverandørens Løsningsbeskrivelse.txt; docs/tender-reference/extracted/KUM-SLKS/Bilag 3 - Kravspecifikation.txt</t>
        </is>
      </c>
      <c r="AD115" t="inlineStr">
        <is>
          <t>Eva: Udfyld tool-rating (O) og evidens; gennemgå AI-kladde.</t>
        </is>
      </c>
      <c r="AE115" t="inlineStr"/>
      <c r="AF115" t="inlineStr">
        <is>
          <t>Draft</t>
        </is>
      </c>
      <c r="AG115" t="inlineStr">
        <is>
          <t>uim-esdh-full-2026-07-07</t>
        </is>
      </c>
    </row>
    <row r="116" ht="32" customHeight="1">
      <c r="A116" s="35" t="n">
        <v>115</v>
      </c>
      <c r="B116" s="35" t="inlineStr">
        <is>
          <t>MK-104</t>
        </is>
      </c>
      <c r="C116" s="35" t="inlineStr">
        <is>
          <t>Bilag 1.b</t>
        </is>
      </c>
      <c r="D116" s="35" t="inlineStr">
        <is>
          <t>Notifikationer</t>
        </is>
      </c>
      <c r="E116" s="35" t="inlineStr">
        <is>
          <t>Notifikation på frister</t>
        </is>
      </c>
      <c r="F116" s="35" t="inlineStr">
        <is>
          <t>ESDH-løsningen skal understøtte notifikationer, når en frist nærmer sig eller overskrides.</t>
        </is>
      </c>
      <c r="G116" s="35" t="inlineStr">
        <is>
          <t>Mindstekrav</t>
        </is>
      </c>
      <c r="H116" s="35">
        <f>IF(G116="Evalueringskrav","Answer",(IF(G116="Krav","Check",(IF(G116="Mindstekrav","Verify","")))))</f>
        <v/>
      </c>
      <c r="I116" s="35" t="inlineStr">
        <is>
          <t>Ja</t>
        </is>
      </c>
      <c r="J116" s="35" t="n"/>
      <c r="K116" s="47" t="n"/>
      <c r="L116" s="35" t="inlineStr">
        <is>
          <t>Anton</t>
        </is>
      </c>
      <c r="M116" s="35" t="n"/>
      <c r="N116" s="35" t="n"/>
      <c r="O116" s="35" t="inlineStr">
        <is>
          <t>1. Fully met</t>
        </is>
      </c>
      <c r="P116" s="35" t="n"/>
      <c r="Q116" s="35" t="n"/>
      <c r="R116" s="35" t="n"/>
      <c r="S116" s="35" t="n"/>
      <c r="T116" s="35" t="n"/>
      <c r="U116" s="35" t="inlineStr">
        <is>
          <t>Not Started</t>
        </is>
      </c>
      <c r="V116" s="37">
        <f>IF(U116="Not Started",0%,IF(U116="Started",50%,IF(U116="Ready for review",70%,IF(U116="Reviewed - Content",80%,IF(U116="Reviewed - Format",90%,IF(U116="Done",100%,""))))))</f>
        <v/>
      </c>
      <c r="W116" t="inlineStr">
        <is>
          <t>2026-07-07</t>
        </is>
      </c>
      <c r="X116" t="inlineStr">
        <is>
          <t>Cursor / tender-response (batch)</t>
        </is>
      </c>
      <c r="Y116" t="inlineStr">
        <is>
          <t>Met</t>
        </is>
      </c>
      <c r="Z116" t="inlineStr">
        <is>
          <t>Verified</t>
        </is>
      </c>
      <c r="AA116" t="inlineStr">
        <is>
          <t>Verify: Notifikation på frister — vurderet opfyldt (tool: 1. Fully met).</t>
        </is>
      </c>
      <c r="AB116" t="inlineStr"/>
      <c r="AC116" t="inlineStr">
        <is>
          <t>docs/tender-reference/extracted/KK Tender tool.txt; docs/tender-reference/extracted/Nationalbanken/Bilag 3.i Leverandørens Løsningsbeskrivelse.txt; docs/product/RFP_Leverandørens_svar_utdrag.txt</t>
        </is>
      </c>
      <c r="AD116" t="inlineStr">
        <is>
          <t>Anton: Confirm verify-tekst; opdatér review status efter tjek.</t>
        </is>
      </c>
      <c r="AE116" t="inlineStr"/>
      <c r="AF116" t="inlineStr">
        <is>
          <t>Draft</t>
        </is>
      </c>
      <c r="AG116" t="inlineStr">
        <is>
          <t>uim-esdh-full-2026-07-07</t>
        </is>
      </c>
    </row>
    <row r="117" ht="80" customHeight="1">
      <c r="A117" s="35" t="n">
        <v>116</v>
      </c>
      <c r="B117" s="35" t="inlineStr">
        <is>
          <t>K-8</t>
        </is>
      </c>
      <c r="C117" s="35" t="inlineStr">
        <is>
          <t>Bilag 1.b</t>
        </is>
      </c>
      <c r="D117" s="35" t="inlineStr">
        <is>
          <t>Notifikationer</t>
        </is>
      </c>
      <c r="E117" s="35" t="inlineStr">
        <is>
          <t>Notifikationer</t>
        </is>
      </c>
      <c r="F117" s="35" t="inlineStr">
        <is>
          <t>ESDH-løsningen skal understøtte, at Brugere kan vælge at modtage notifikationer om handlinger, godkendelser, anmodninger om akter, frister og ændringer på relevante sager. Den enkelte Bruger skal selv kunne vælge notifikationskanal, eksempelvis systemnotifikationer eller e-mail.</t>
        </is>
      </c>
      <c r="G117" s="35" t="inlineStr">
        <is>
          <t>Krav</t>
        </is>
      </c>
      <c r="H117" s="35">
        <f>IF(G117="Evalueringskrav","Answer",(IF(G117="Krav","Check",(IF(G117="Mindstekrav","Verify","")))))</f>
        <v/>
      </c>
      <c r="I117" s="35" t="inlineStr">
        <is>
          <t>Ja</t>
        </is>
      </c>
      <c r="J117" s="35" t="n"/>
      <c r="K117" s="47" t="n"/>
      <c r="L117" s="35" t="inlineStr">
        <is>
          <t>Anton</t>
        </is>
      </c>
      <c r="M117" s="35" t="n"/>
      <c r="N117" s="35" t="n"/>
      <c r="O117" s="35" t="inlineStr">
        <is>
          <t>1. Fully met</t>
        </is>
      </c>
      <c r="P117" s="35" t="n"/>
      <c r="Q117" s="35" t="n"/>
      <c r="R117" s="35" t="n"/>
      <c r="S117" s="35" t="n"/>
      <c r="T117" s="35" t="n"/>
      <c r="U117" s="35" t="inlineStr">
        <is>
          <t>Not Started</t>
        </is>
      </c>
      <c r="V117" s="37">
        <f>IF(U117="Not Started",0%,IF(U117="Started",50%,IF(U117="Ready for review",70%,IF(U117="Reviewed - Content",80%,IF(U117="Reviewed - Format",90%,IF(U117="Done",100%,""))))))</f>
        <v/>
      </c>
      <c r="W117" t="inlineStr">
        <is>
          <t>2026-07-07</t>
        </is>
      </c>
      <c r="X117" t="inlineStr">
        <is>
          <t>Cursor / tender-response (batch)</t>
        </is>
      </c>
      <c r="Y117" t="inlineStr">
        <is>
          <t>Met</t>
        </is>
      </c>
      <c r="Z117" t="inlineStr">
        <is>
          <t>Verified</t>
        </is>
      </c>
      <c r="AA117" t="inlineStr">
        <is>
          <t>Check: Notifikationer — vurderet opfyldt (tool: 1. Fully met).</t>
        </is>
      </c>
      <c r="AB117" t="inlineStr"/>
      <c r="AC117" t="inlineStr">
        <is>
          <t>docs/tender-reference/extracted/Nationalbanken/Bilag 3.i Leverandørens Løsningsbeskrivelse.txt; docs/tender-reference/extracted/KK Tender tool.txt; docs/tender-reference/extracted/KUM-SLKS/Bilag 3 - Kravspecifikation.txt</t>
        </is>
      </c>
      <c r="AD117" t="inlineStr">
        <is>
          <t>Anton: Confirm verify-tekst; opdatér review status efter tjek.</t>
        </is>
      </c>
      <c r="AE117" t="inlineStr"/>
      <c r="AF117" t="inlineStr">
        <is>
          <t>Draft</t>
        </is>
      </c>
      <c r="AG117" t="inlineStr">
        <is>
          <t>uim-esdh-full-2026-07-07</t>
        </is>
      </c>
    </row>
    <row r="118" ht="64" customHeight="1">
      <c r="A118" s="35" t="n">
        <v>117</v>
      </c>
      <c r="B118" s="35" t="inlineStr">
        <is>
          <t>MK-105</t>
        </is>
      </c>
      <c r="C118" s="35" t="inlineStr">
        <is>
          <t>Bilag 1.b</t>
        </is>
      </c>
      <c r="D118" s="35" t="inlineStr">
        <is>
          <t>Administratormodul</t>
        </is>
      </c>
      <c r="E118" s="35" t="inlineStr">
        <is>
          <t>Administratormodul</t>
        </is>
      </c>
      <c r="F118" s="35" t="inlineStr">
        <is>
          <t>ESDH-løsningen skal understøtte et administratormodul, hvor hele ESDH-løsningen kan administreres.</t>
        </is>
      </c>
      <c r="G118" s="35" t="inlineStr">
        <is>
          <t>Mindstekrav</t>
        </is>
      </c>
      <c r="H118" s="35">
        <f>IF(G118="Evalueringskrav","Answer",(IF(G118="Krav","Check",(IF(G118="Mindstekrav","Verify","")))))</f>
        <v/>
      </c>
      <c r="I118" s="35" t="inlineStr">
        <is>
          <t>Ja</t>
        </is>
      </c>
      <c r="J118" s="35" t="n"/>
      <c r="K118" s="47" t="n"/>
      <c r="L118" s="35" t="inlineStr">
        <is>
          <t>Anton</t>
        </is>
      </c>
      <c r="M118" s="35" t="n"/>
      <c r="N118" s="35" t="n"/>
      <c r="O118" s="35" t="inlineStr">
        <is>
          <t>1. Fully met</t>
        </is>
      </c>
      <c r="P118" s="35" t="inlineStr">
        <is>
          <t>"Hele løsningen" - men nu når processer ikke er en del af det her udbud, så er det jo ligegyldigt at dele af processerne stadig vedligeholdes i Visual Studio</t>
        </is>
      </c>
      <c r="Q118" s="35" t="n"/>
      <c r="R118" s="35" t="inlineStr">
        <is>
          <t>Yes</t>
        </is>
      </c>
      <c r="S118" s="35" t="n"/>
      <c r="T118" s="35" t="n"/>
      <c r="U118" s="35" t="inlineStr">
        <is>
          <t>Not Started</t>
        </is>
      </c>
      <c r="V118" s="37">
        <f>IF(U118="Not Started",0%,IF(U118="Started",50%,IF(U118="Ready for review",70%,IF(U118="Reviewed - Content",80%,IF(U118="Reviewed - Format",90%,IF(U118="Done",100%,""))))))</f>
        <v/>
      </c>
      <c r="W118" t="inlineStr">
        <is>
          <t>2026-07-07</t>
        </is>
      </c>
      <c r="X118" t="inlineStr">
        <is>
          <t>Cursor / tender-response (batch)</t>
        </is>
      </c>
      <c r="Y118" t="inlineStr">
        <is>
          <t>Met</t>
        </is>
      </c>
      <c r="Z118" t="inlineStr">
        <is>
          <t>Verified</t>
        </is>
      </c>
      <c r="AA118" t="inlineStr">
        <is>
          <t>Verify: Administratormodul — vurderet opfyldt (tool: 1. Fully met).</t>
        </is>
      </c>
      <c r="AB118" t="inlineStr">
        <is>
          <t>"Hele løsningen" - men nu når processer ikke er en del af det her udbud, så er det jo ligegyldigt at dele af processerne stadig vedligeholdes i Visual Studio</t>
        </is>
      </c>
      <c r="AC118" t="inlineStr">
        <is>
          <t>docs/tender-reference/extracted/NND/02.01-Tieto-Bilag 2-Vedlegg-Leverandørens utfyllende svar til kravtabell.txt; docs/tender-reference/extracted/Nationalbanken/Bilag 3.i Leverandørens Løsningsbeskrivelse.txt; docs/product/RFP_Leverandørens_svar_utdrag.txt</t>
        </is>
      </c>
      <c r="AD118" t="inlineStr">
        <is>
          <t>Anton: Confirm verify-tekst; opdatér review status efter tjek.</t>
        </is>
      </c>
      <c r="AE118" t="inlineStr"/>
      <c r="AF118" t="inlineStr">
        <is>
          <t>Draft</t>
        </is>
      </c>
      <c r="AG118" t="inlineStr">
        <is>
          <t>uim-esdh-full-2026-07-07</t>
        </is>
      </c>
    </row>
    <row r="119" ht="112" customHeight="1">
      <c r="A119" s="35" t="n">
        <v>118</v>
      </c>
      <c r="B119" s="35" t="inlineStr">
        <is>
          <t>MK-106</t>
        </is>
      </c>
      <c r="C119" s="35" t="inlineStr">
        <is>
          <t>Bilag 1.b</t>
        </is>
      </c>
      <c r="D119" s="35" t="inlineStr">
        <is>
          <t>Administratormodul</t>
        </is>
      </c>
      <c r="E119" s="35" t="inlineStr">
        <is>
          <t>Metadata</t>
        </is>
      </c>
      <c r="F119" s="35" t="inlineStr">
        <is>
          <t>ESDH-løsningen skal understøtte, at følgende metadatafelter kan konfigureres i administratormodulet:
Kodetabelfelter. 
Datofelter
Tekstfelter
Talfelter
Typer</t>
        </is>
      </c>
      <c r="G119" s="35" t="inlineStr">
        <is>
          <t>Mindstekrav</t>
        </is>
      </c>
      <c r="H119" s="35">
        <f>IF(G119="Evalueringskrav","Answer",(IF(G119="Krav","Check",(IF(G119="Mindstekrav","Verify","")))))</f>
        <v/>
      </c>
      <c r="I119" s="35" t="inlineStr">
        <is>
          <t>Ja</t>
        </is>
      </c>
      <c r="J119" s="35" t="n"/>
      <c r="K119" s="47" t="n"/>
      <c r="L119" s="35" t="inlineStr">
        <is>
          <t>Anton</t>
        </is>
      </c>
      <c r="M119" s="35" t="n"/>
      <c r="N119" s="35" t="n"/>
      <c r="O119" s="35" t="inlineStr">
        <is>
          <t>1. Fully met</t>
        </is>
      </c>
      <c r="P119" s="35" t="n"/>
      <c r="Q119" s="35" t="n"/>
      <c r="R119" s="35" t="n"/>
      <c r="S119" s="35" t="n"/>
      <c r="T119" s="35" t="n"/>
      <c r="U119" s="35" t="inlineStr">
        <is>
          <t>Not Started</t>
        </is>
      </c>
      <c r="V119" s="37">
        <f>IF(U119="Not Started",0%,IF(U119="Started",50%,IF(U119="Ready for review",70%,IF(U119="Reviewed - Content",80%,IF(U119="Reviewed - Format",90%,IF(U119="Done",100%,""))))))</f>
        <v/>
      </c>
      <c r="W119" t="inlineStr">
        <is>
          <t>2026-07-07</t>
        </is>
      </c>
      <c r="X119" t="inlineStr">
        <is>
          <t>Cursor / tender-response (batch)</t>
        </is>
      </c>
      <c r="Y119" t="inlineStr">
        <is>
          <t>Met</t>
        </is>
      </c>
      <c r="Z119" t="inlineStr">
        <is>
          <t>Verified</t>
        </is>
      </c>
      <c r="AA119" t="inlineStr">
        <is>
          <t>Verify: Metadata — vurderet opfyldt (tool: 1. Fully met).</t>
        </is>
      </c>
      <c r="AB119" t="inlineStr"/>
      <c r="AC119" t="inlineStr">
        <is>
          <t>docs/tender-reference/extracted/KUM-SLKS/Bilag 3 - Kravspecifikation.txt; docs/tender-reference/extracted/NND/02.01-Tieto-Bilag 2-Vedlegg-Leverandørens utfyllende svar til kravtabell.txt; docs/product/RFP_Leverandørens_svar_utdrag.txt</t>
        </is>
      </c>
      <c r="AD119" t="inlineStr">
        <is>
          <t>Anton: Confirm verify-tekst; opdatér review status efter tjek.</t>
        </is>
      </c>
      <c r="AE119" t="inlineStr"/>
      <c r="AF119" t="inlineStr">
        <is>
          <t>Draft</t>
        </is>
      </c>
      <c r="AG119" t="inlineStr">
        <is>
          <t>uim-esdh-full-2026-07-07</t>
        </is>
      </c>
    </row>
    <row r="120" ht="64" customHeight="1">
      <c r="A120" s="35" t="n">
        <v>119</v>
      </c>
      <c r="B120" s="35" t="inlineStr">
        <is>
          <t>MK-107</t>
        </is>
      </c>
      <c r="C120" s="35" t="inlineStr">
        <is>
          <t>Bilag 1.b</t>
        </is>
      </c>
      <c r="D120" s="35" t="inlineStr">
        <is>
          <t>Administratormodul</t>
        </is>
      </c>
      <c r="E120" s="35" t="inlineStr">
        <is>
          <t>Vedligeholdelse af organisationshierarki</t>
        </is>
      </c>
      <c r="F120" s="35" t="inlineStr">
        <is>
          <t>ESDH-løsningen skal understøtte, at Kunden via administratormodulet kan oprette, ændre og deaktivere organisationshierarkiet i ESDH-løsningen.</t>
        </is>
      </c>
      <c r="G120" s="35" t="inlineStr">
        <is>
          <t>Mindstekrav</t>
        </is>
      </c>
      <c r="H120" s="35">
        <f>IF(G120="Evalueringskrav","Answer",(IF(G120="Krav","Check",(IF(G120="Mindstekrav","Verify","")))))</f>
        <v/>
      </c>
      <c r="I120" s="35" t="inlineStr">
        <is>
          <t>Ja</t>
        </is>
      </c>
      <c r="J120" s="35" t="n"/>
      <c r="K120" s="47" t="n"/>
      <c r="L120" s="35" t="inlineStr">
        <is>
          <t>Anton</t>
        </is>
      </c>
      <c r="M120" s="35" t="n"/>
      <c r="N120" s="35" t="n"/>
      <c r="O120" s="35" t="inlineStr">
        <is>
          <t>1. Fully met</t>
        </is>
      </c>
      <c r="P120" s="35" t="inlineStr">
        <is>
          <t>ADN: Kunden har ikke defineret hvad "Administratormodulet" er - så vi kan tolke det bredt til "Administratorrettigheder" og dermed opfylde kravet.</t>
        </is>
      </c>
      <c r="Q120" s="35" t="n"/>
      <c r="R120" s="35" t="inlineStr">
        <is>
          <t>Yes</t>
        </is>
      </c>
      <c r="S120" s="35" t="n"/>
      <c r="T120" s="35" t="n"/>
      <c r="U120" s="35" t="inlineStr">
        <is>
          <t>Not Started</t>
        </is>
      </c>
      <c r="V120" s="37">
        <f>IF(U120="Not Started",0%,IF(U120="Started",50%,IF(U120="Ready for review",70%,IF(U120="Reviewed - Content",80%,IF(U120="Reviewed - Format",90%,IF(U120="Done",100%,""))))))</f>
        <v/>
      </c>
      <c r="W120" t="inlineStr">
        <is>
          <t>2026-07-07</t>
        </is>
      </c>
      <c r="X120" t="inlineStr">
        <is>
          <t>Cursor / tender-response (batch)</t>
        </is>
      </c>
      <c r="Y120" t="inlineStr">
        <is>
          <t>Met</t>
        </is>
      </c>
      <c r="Z120" t="inlineStr">
        <is>
          <t>Verified</t>
        </is>
      </c>
      <c r="AA120" t="inlineStr">
        <is>
          <t>Verify: Vedligeholdelse af organisationshierarki — vurderet opfyldt (tool: 1. Fully met).</t>
        </is>
      </c>
      <c r="AB120" t="inlineStr">
        <is>
          <t>ADN: Kunden har ikke defineret hvad "Administratormodulet" er - så vi kan tolke det bredt til "Administratorrettigheder" og dermed opfylde kravet.</t>
        </is>
      </c>
      <c r="AC120" t="inlineStr">
        <is>
          <t>docs/tender-reference/extracted/KUM-SLKS/Bilag 3 - Kravspecifikation.txt; docs/tender-reference/extracted/Nationalbanken/Bilag 3.i Leverandørens Løsningsbeskrivelse.txt; docs/tender-reference/extracted/KUM-SLKS/Bilag 3 - 11.8 - Kravspecifikation - Processtyring (1).txt</t>
        </is>
      </c>
      <c r="AD120" t="inlineStr">
        <is>
          <t>Anton: Confirm verify-tekst; opdatér review status efter tjek.</t>
        </is>
      </c>
      <c r="AE120" t="inlineStr"/>
      <c r="AF120" t="inlineStr">
        <is>
          <t>Draft</t>
        </is>
      </c>
      <c r="AG120" t="inlineStr">
        <is>
          <t>uim-esdh-full-2026-07-07</t>
        </is>
      </c>
    </row>
    <row r="121" ht="48" customHeight="1">
      <c r="A121" s="35" t="n">
        <v>120</v>
      </c>
      <c r="B121" s="35" t="inlineStr">
        <is>
          <t>MK-108</t>
        </is>
      </c>
      <c r="C121" s="35" t="inlineStr">
        <is>
          <t>Bilag 1.b</t>
        </is>
      </c>
      <c r="D121" s="35" t="inlineStr">
        <is>
          <t>Administratormodul</t>
        </is>
      </c>
      <c r="E121" s="35" t="inlineStr">
        <is>
          <t>Begrænsning og tilføjelse af filformater</t>
        </is>
      </c>
      <c r="F121" s="35" t="inlineStr">
        <is>
          <t>ESDH-løsningen skal understøtte, at Kunden via administratormodulet kan konfigurere, hvilke filformater der må gemmes i ESDH-løsningen, så uønskede formater afvises ved forsøg på upload.</t>
        </is>
      </c>
      <c r="G121" s="35" t="inlineStr">
        <is>
          <t>Mindstekrav</t>
        </is>
      </c>
      <c r="H121" s="35">
        <f>IF(G121="Evalueringskrav","Answer",(IF(G121="Krav","Check",(IF(G121="Mindstekrav","Verify","")))))</f>
        <v/>
      </c>
      <c r="I121" s="35" t="inlineStr">
        <is>
          <t>Ja</t>
        </is>
      </c>
      <c r="J121" s="35" t="n"/>
      <c r="K121" s="47" t="n"/>
      <c r="L121" s="35" t="inlineStr">
        <is>
          <t>Anton</t>
        </is>
      </c>
      <c r="M121" s="35" t="n"/>
      <c r="N121" s="35" t="n"/>
      <c r="O121" s="35" t="inlineStr">
        <is>
          <t>1. Fully met</t>
        </is>
      </c>
      <c r="P121" s="35" t="n"/>
      <c r="Q121" s="35" t="n"/>
      <c r="R121" s="35" t="n"/>
      <c r="S121" s="35" t="n"/>
      <c r="T121" s="35" t="n"/>
      <c r="U121" s="35" t="inlineStr">
        <is>
          <t>Not Started</t>
        </is>
      </c>
      <c r="V121" s="37">
        <f>IF(U121="Not Started",0%,IF(U121="Started",50%,IF(U121="Ready for review",70%,IF(U121="Reviewed - Content",80%,IF(U121="Reviewed - Format",90%,IF(U121="Done",100%,""))))))</f>
        <v/>
      </c>
      <c r="W121" t="inlineStr">
        <is>
          <t>2026-07-07</t>
        </is>
      </c>
      <c r="X121" t="inlineStr">
        <is>
          <t>Cursor / tender-response (batch)</t>
        </is>
      </c>
      <c r="Y121" t="inlineStr">
        <is>
          <t>Met</t>
        </is>
      </c>
      <c r="Z121" t="inlineStr">
        <is>
          <t>Verified</t>
        </is>
      </c>
      <c r="AA121" t="inlineStr">
        <is>
          <t>Verify: Begrænsning og tilføjelse af filformater — vurderet opfyldt (tool: 1. Fully met).</t>
        </is>
      </c>
      <c r="AB121" t="inlineStr"/>
      <c r="AC121" t="inlineStr">
        <is>
          <t>docs/tender-reference/extracted/Nationalbanken/Bilag 3.i Leverandørens Løsningsbeskrivelse.txt; docs/tender-reference/extracted/KK Tender tool.txt; docs/tender-reference/extracted/KUM-SLKS/Bilag 3 - Kravspecifikation.txt</t>
        </is>
      </c>
      <c r="AD121" t="inlineStr">
        <is>
          <t>Anton: Confirm verify-tekst; opdatér review status efter tjek.</t>
        </is>
      </c>
      <c r="AE121" t="inlineStr"/>
      <c r="AF121" t="inlineStr">
        <is>
          <t>Draft</t>
        </is>
      </c>
      <c r="AG121" t="inlineStr">
        <is>
          <t>uim-esdh-full-2026-07-07</t>
        </is>
      </c>
    </row>
    <row r="122" ht="48" customHeight="1">
      <c r="A122" s="35" t="n">
        <v>121</v>
      </c>
      <c r="B122" s="35" t="inlineStr">
        <is>
          <t>MK-109</t>
        </is>
      </c>
      <c r="C122" s="35" t="inlineStr">
        <is>
          <t>Bilag 1.b</t>
        </is>
      </c>
      <c r="D122" s="35" t="inlineStr">
        <is>
          <t>Administratormodul</t>
        </is>
      </c>
      <c r="E122" s="35" t="inlineStr">
        <is>
          <t>Kundeoprettede felter</t>
        </is>
      </c>
      <c r="F122" s="35" t="inlineStr">
        <is>
          <t>ESDH-løsningen skal understøtte, at Administrator via no-code kan oprette og vedligeholde Kundeoprettede felter på både standard- og Kundeoprettede Entiteter.</t>
        </is>
      </c>
      <c r="G122" s="35" t="inlineStr">
        <is>
          <t>Mindstekrav</t>
        </is>
      </c>
      <c r="H122" s="35">
        <f>IF(G122="Evalueringskrav","Answer",(IF(G122="Krav","Check",(IF(G122="Mindstekrav","Verify","")))))</f>
        <v/>
      </c>
      <c r="I122" s="35" t="inlineStr">
        <is>
          <t>Ja</t>
        </is>
      </c>
      <c r="J122" s="35" t="n"/>
      <c r="K122" s="47" t="n"/>
      <c r="L122" s="35" t="inlineStr">
        <is>
          <t>Anton</t>
        </is>
      </c>
      <c r="M122" s="35" t="n"/>
      <c r="N122" s="35" t="n"/>
      <c r="O122" s="35" t="inlineStr">
        <is>
          <t>1. Fully met</t>
        </is>
      </c>
      <c r="P122" s="35" t="n"/>
      <c r="Q122" s="35" t="n"/>
      <c r="R122" s="35" t="n"/>
      <c r="S122" s="35" t="n"/>
      <c r="T122" s="35" t="n"/>
      <c r="U122" s="35" t="inlineStr">
        <is>
          <t>Not Started</t>
        </is>
      </c>
      <c r="V122" s="37">
        <f>IF(U122="Not Started",0%,IF(U122="Started",50%,IF(U122="Ready for review",70%,IF(U122="Reviewed - Content",80%,IF(U122="Reviewed - Format",90%,IF(U122="Done",100%,""))))))</f>
        <v/>
      </c>
      <c r="W122" t="inlineStr">
        <is>
          <t>2026-07-07</t>
        </is>
      </c>
      <c r="X122" t="inlineStr">
        <is>
          <t>Cursor / tender-response (batch)</t>
        </is>
      </c>
      <c r="Y122" t="inlineStr">
        <is>
          <t>Met</t>
        </is>
      </c>
      <c r="Z122" t="inlineStr">
        <is>
          <t>Verified</t>
        </is>
      </c>
      <c r="AA122" t="inlineStr">
        <is>
          <t>Verify: Kundeoprettede felter — vurderet opfyldt (tool: 1. Fully met).</t>
        </is>
      </c>
      <c r="AB122" t="inlineStr"/>
      <c r="AC122" t="inlineStr">
        <is>
          <t>docs/tender-reference/extracted/KK Tender tool.txt; docs/tender-reference/extracted/Nationalbanken/Bilag 3.i Leverandørens Løsningsbeskrivelse.txt; docs/product/RFP_Leverandørens_svar_utdrag.txt</t>
        </is>
      </c>
      <c r="AD122" t="inlineStr">
        <is>
          <t>Anton: Confirm verify-tekst; opdatér review status efter tjek.</t>
        </is>
      </c>
      <c r="AE122" t="inlineStr"/>
      <c r="AF122" t="inlineStr">
        <is>
          <t>Draft</t>
        </is>
      </c>
      <c r="AG122" t="inlineStr">
        <is>
          <t>uim-esdh-full-2026-07-07</t>
        </is>
      </c>
    </row>
    <row r="123" ht="32" customHeight="1">
      <c r="A123" s="35" t="n">
        <v>122</v>
      </c>
      <c r="B123" s="35" t="inlineStr">
        <is>
          <t>MK-110</t>
        </is>
      </c>
      <c r="C123" s="35" t="inlineStr">
        <is>
          <t>Bilag 1.b</t>
        </is>
      </c>
      <c r="D123" s="35" t="inlineStr">
        <is>
          <t>Administratormodul</t>
        </is>
      </c>
      <c r="E123" s="35" t="inlineStr">
        <is>
          <t>Brugergrænseflade</t>
        </is>
      </c>
      <c r="F123" s="35" t="inlineStr">
        <is>
          <t>ESDH-løsningen skal understøtte Konfiguration via en fuldskærmsbaseret brugergrænseflade.</t>
        </is>
      </c>
      <c r="G123" s="35" t="inlineStr">
        <is>
          <t>Mindstekrav</t>
        </is>
      </c>
      <c r="H123" s="35">
        <f>IF(G123="Evalueringskrav","Answer",(IF(G123="Krav","Check",(IF(G123="Mindstekrav","Verify","")))))</f>
        <v/>
      </c>
      <c r="I123" s="35" t="inlineStr">
        <is>
          <t>Ja</t>
        </is>
      </c>
      <c r="J123" s="35" t="n"/>
      <c r="K123" s="47" t="n"/>
      <c r="L123" s="35" t="inlineStr">
        <is>
          <t>Anton</t>
        </is>
      </c>
      <c r="M123" s="35" t="n"/>
      <c r="N123" s="35" t="n"/>
      <c r="O123" s="35" t="inlineStr">
        <is>
          <t>1. Fully met</t>
        </is>
      </c>
      <c r="P123" s="35" t="n"/>
      <c r="Q123" s="35" t="n"/>
      <c r="R123" s="35" t="n"/>
      <c r="S123" s="35" t="n"/>
      <c r="T123" s="35" t="n"/>
      <c r="U123" s="35" t="inlineStr">
        <is>
          <t>Not Started</t>
        </is>
      </c>
      <c r="V123" s="37">
        <f>IF(U123="Not Started",0%,IF(U123="Started",50%,IF(U123="Ready for review",70%,IF(U123="Reviewed - Content",80%,IF(U123="Reviewed - Format",90%,IF(U123="Done",100%,""))))))</f>
        <v/>
      </c>
      <c r="W123" t="inlineStr">
        <is>
          <t>2026-07-07</t>
        </is>
      </c>
      <c r="X123" t="inlineStr">
        <is>
          <t>Cursor / tender-response (batch)</t>
        </is>
      </c>
      <c r="Y123" t="inlineStr">
        <is>
          <t>Met</t>
        </is>
      </c>
      <c r="Z123" t="inlineStr">
        <is>
          <t>Lead</t>
        </is>
      </c>
      <c r="AA123" t="inlineStr">
        <is>
          <t>Verify: Brugergrænseflade — vurderet opfyldt (tool: 1. Fully met).</t>
        </is>
      </c>
      <c r="AB123" t="inlineStr"/>
      <c r="AC123" t="inlineStr">
        <is>
          <t>docs/tender-reference/extracted/KK Tender tool.txt; docs/tender-reference/extracted/KUM-SLKS/Bilag 3 - 11.8 - Kravspecifikation - Processtyring (1).txt; docs/tender-reference/extracted/KUM-SLKS/Bilag 3 - Kravspecifikation.txt</t>
        </is>
      </c>
      <c r="AD123" t="inlineStr">
        <is>
          <t>Anton: Confirm verify-tekst; opdatér review status efter tjek.</t>
        </is>
      </c>
      <c r="AE123" t="inlineStr"/>
      <c r="AF123" t="inlineStr">
        <is>
          <t>Draft</t>
        </is>
      </c>
      <c r="AG123" t="inlineStr">
        <is>
          <t>uim-esdh-full-2026-07-07</t>
        </is>
      </c>
    </row>
    <row r="124" ht="48" customHeight="1">
      <c r="A124" s="35" t="n">
        <v>123</v>
      </c>
      <c r="B124" s="35" t="inlineStr">
        <is>
          <t>MK-111</t>
        </is>
      </c>
      <c r="C124" s="35" t="inlineStr">
        <is>
          <t>Bilag 1.b</t>
        </is>
      </c>
      <c r="D124" s="35" t="inlineStr">
        <is>
          <t>Administratormodul</t>
        </is>
      </c>
      <c r="E124" s="35" t="inlineStr">
        <is>
          <t>Systemopdateringer</t>
        </is>
      </c>
      <c r="F124" s="35" t="inlineStr">
        <is>
          <t>ESDH-løsningen skal understøtte, at alle Konfigurationer bevares ved systemopdateringer eller opgraderinger.</t>
        </is>
      </c>
      <c r="G124" s="35" t="inlineStr">
        <is>
          <t>Mindstekrav</t>
        </is>
      </c>
      <c r="H124" s="35">
        <f>IF(G124="Evalueringskrav","Answer",(IF(G124="Krav","Check",(IF(G124="Mindstekrav","Verify","")))))</f>
        <v/>
      </c>
      <c r="I124" s="35" t="inlineStr">
        <is>
          <t>Ja</t>
        </is>
      </c>
      <c r="J124" s="35" t="n"/>
      <c r="K124" s="47" t="n"/>
      <c r="L124" s="35" t="inlineStr">
        <is>
          <t>Eva</t>
        </is>
      </c>
      <c r="M124" s="35" t="n"/>
      <c r="N124" s="35" t="n"/>
      <c r="O124" s="35" t="n"/>
      <c r="P124" s="35" t="inlineStr">
        <is>
          <t>ADN: Det her har historisk givet problemer hvis kunden konfigurerede videre på standard-elementer.</t>
        </is>
      </c>
      <c r="Q124" s="35" t="n"/>
      <c r="R124" s="35" t="inlineStr">
        <is>
          <t>Yes</t>
        </is>
      </c>
      <c r="S124" s="35" t="n"/>
      <c r="T124" s="35" t="n"/>
      <c r="U124" s="35" t="inlineStr">
        <is>
          <t>Not Started</t>
        </is>
      </c>
      <c r="V124" s="37">
        <f>IF(U124="Not Started",0%,IF(U124="Started",50%,IF(U124="Ready for review",70%,IF(U124="Reviewed - Content",80%,IF(U124="Reviewed - Format",90%,IF(U124="Done",100%,""))))))</f>
        <v/>
      </c>
      <c r="W124" t="inlineStr">
        <is>
          <t>2026-07-07</t>
        </is>
      </c>
      <c r="X124" t="inlineStr">
        <is>
          <t>Cursor / tender-response (batch)</t>
        </is>
      </c>
      <c r="Y124" t="inlineStr">
        <is>
          <t>Clarify</t>
        </is>
      </c>
      <c r="Z124" t="inlineStr">
        <is>
          <t>Verified</t>
        </is>
      </c>
      <c r="AA124" t="inlineStr">
        <is>
          <t>Verify: Systemopdateringer — kræver produkt-/team-afklaring (ingen tool-rating).</t>
        </is>
      </c>
      <c r="AB124" t="inlineStr">
        <is>
          <t>ADN: Det her har historisk givet problemer hvis kunden konfigurerede videre på standard-elementer. | Red flag: Det her har historisk givet problemer hvis kunden konfigurerede videre på standard-elementer.</t>
        </is>
      </c>
      <c r="AC124" t="inlineStr">
        <is>
          <t>docs/tender-reference/extracted/Nationalbanken/Bilag 3.i Leverandørens Løsningsbeskrivelse.txt; docs/tender-reference/extracted/KK Tender tool.txt; docs/tender-reference/extracted/KUM-SLKS/Bilag 3 - Kravspecifikation.txt</t>
        </is>
      </c>
      <c r="AD124" t="inlineStr">
        <is>
          <t>Eva: Udfyld tool-rating (O) og evidens; gennemgå AI-kladde.</t>
        </is>
      </c>
      <c r="AE124" t="inlineStr"/>
      <c r="AF124" t="inlineStr">
        <is>
          <t>Draft</t>
        </is>
      </c>
      <c r="AG124" t="inlineStr">
        <is>
          <t>uim-esdh-full-2026-07-07</t>
        </is>
      </c>
    </row>
    <row r="125" ht="32" customHeight="1">
      <c r="A125" s="35" t="n">
        <v>124</v>
      </c>
      <c r="B125" s="35" t="inlineStr">
        <is>
          <t>MK-112</t>
        </is>
      </c>
      <c r="C125" s="35" t="inlineStr">
        <is>
          <t>Bilag 1.b</t>
        </is>
      </c>
      <c r="D125" s="35" t="inlineStr">
        <is>
          <t>Administratormodul</t>
        </is>
      </c>
      <c r="E125" s="35" t="inlineStr">
        <is>
          <t>No-code</t>
        </is>
      </c>
      <c r="F125" s="35" t="inlineStr">
        <is>
          <t>ESDH-løsningens administratormodul skal understøtte fuld no-code funktionalitet.</t>
        </is>
      </c>
      <c r="G125" s="35" t="inlineStr">
        <is>
          <t>Mindstekrav</t>
        </is>
      </c>
      <c r="H125" s="35">
        <f>IF(G125="Evalueringskrav","Answer",(IF(G125="Krav","Check",(IF(G125="Mindstekrav","Verify","")))))</f>
        <v/>
      </c>
      <c r="I125" s="35" t="inlineStr">
        <is>
          <t>Ja</t>
        </is>
      </c>
      <c r="J125" s="35" t="n"/>
      <c r="K125" s="47" t="n"/>
      <c r="L125" s="35" t="inlineStr">
        <is>
          <t>Anton</t>
        </is>
      </c>
      <c r="M125" s="35" t="n"/>
      <c r="N125" s="35" t="n"/>
      <c r="O125" s="35" t="inlineStr">
        <is>
          <t>1. Fully met</t>
        </is>
      </c>
      <c r="P125" s="35" t="n"/>
      <c r="Q125" s="35" t="n"/>
      <c r="R125" s="35" t="n"/>
      <c r="S125" s="35" t="n"/>
      <c r="T125" s="35" t="n"/>
      <c r="U125" s="35" t="inlineStr">
        <is>
          <t>Not Started</t>
        </is>
      </c>
      <c r="V125" s="37">
        <f>IF(U125="Not Started",0%,IF(U125="Started",50%,IF(U125="Ready for review",70%,IF(U125="Reviewed - Content",80%,IF(U125="Reviewed - Format",90%,IF(U125="Done",100%,""))))))</f>
        <v/>
      </c>
      <c r="W125" t="inlineStr">
        <is>
          <t>2026-07-07</t>
        </is>
      </c>
      <c r="X125" t="inlineStr">
        <is>
          <t>Cursor / tender-response (batch)</t>
        </is>
      </c>
      <c r="Y125" t="inlineStr">
        <is>
          <t>Met</t>
        </is>
      </c>
      <c r="Z125" t="inlineStr">
        <is>
          <t>Verified</t>
        </is>
      </c>
      <c r="AA125" t="inlineStr">
        <is>
          <t>Verify: No-code — vurderet opfyldt (tool: 1. Fully met).</t>
        </is>
      </c>
      <c r="AB125" t="inlineStr"/>
      <c r="AC125" t="inlineStr">
        <is>
          <t>docs/tender-reference/extracted/KK Tender tool.txt; docs/tender-reference/extracted/KUM-SLKS/Bilag 3 - Kravspecifikation.txt; docs/tender-reference/extracted/Nationalbanken/Bilag 3.i Leverandørens Løsningsbeskrivelse.txt</t>
        </is>
      </c>
      <c r="AD125" t="inlineStr">
        <is>
          <t>Anton: Confirm verify-tekst; opdatér review status efter tjek.</t>
        </is>
      </c>
      <c r="AE125" t="inlineStr"/>
      <c r="AF125" t="inlineStr">
        <is>
          <t>Draft</t>
        </is>
      </c>
      <c r="AG125" t="inlineStr">
        <is>
          <t>uim-esdh-full-2026-07-07</t>
        </is>
      </c>
    </row>
    <row r="126" ht="48" customHeight="1">
      <c r="A126" s="35" t="n">
        <v>125</v>
      </c>
      <c r="B126" s="35" t="inlineStr">
        <is>
          <t>MK-113</t>
        </is>
      </c>
      <c r="C126" s="35" t="inlineStr">
        <is>
          <t>Bilag 1.b</t>
        </is>
      </c>
      <c r="D126" s="35" t="inlineStr">
        <is>
          <t>Administratormodul</t>
        </is>
      </c>
      <c r="E126" s="35" t="inlineStr">
        <is>
          <t>Feltlængde</t>
        </is>
      </c>
      <c r="F126" s="35" t="inlineStr">
        <is>
          <t>ESDH-løsningen skal understøtte, at tekstfelters længde som minimum kan indeholde 3500 karakterer for indtastningen af den fulde tekst f.eks. kommentarfelter og øvrige fritekst-felter i Løsningen.</t>
        </is>
      </c>
      <c r="G126" s="35" t="inlineStr">
        <is>
          <t>Mindstekrav</t>
        </is>
      </c>
      <c r="H126" s="35">
        <f>IF(G126="Evalueringskrav","Answer",(IF(G126="Krav","Check",(IF(G126="Mindstekrav","Verify","")))))</f>
        <v/>
      </c>
      <c r="I126" s="35" t="inlineStr">
        <is>
          <t>Ja</t>
        </is>
      </c>
      <c r="J126" s="35" t="n"/>
      <c r="K126" s="47" t="n"/>
      <c r="L126" s="35" t="inlineStr">
        <is>
          <t>Eva</t>
        </is>
      </c>
      <c r="M126" s="35" t="n"/>
      <c r="N126" s="35" t="n"/>
      <c r="O126" s="35" t="inlineStr">
        <is>
          <t>3. Not able to meet</t>
        </is>
      </c>
      <c r="P126" s="35" t="inlineStr">
        <is>
          <t>ADN: "Alle tekstfelter" hvilket betyder alle felter i løsningen skal kunne indeholde 3500 anslag.</t>
        </is>
      </c>
      <c r="Q126" s="35" t="n"/>
      <c r="R126" s="35" t="n"/>
      <c r="S126" s="35" t="n"/>
      <c r="T126" s="35" t="n"/>
      <c r="U126" s="35" t="inlineStr">
        <is>
          <t>Not Started</t>
        </is>
      </c>
      <c r="V126" s="37">
        <f>IF(U126="Not Started",0%,IF(U126="Started",50%,IF(U126="Ready for review",70%,IF(U126="Reviewed - Content",80%,IF(U126="Reviewed - Format",90%,IF(U126="Done",100%,""))))))</f>
        <v/>
      </c>
      <c r="W126" t="inlineStr">
        <is>
          <t>2026-07-07</t>
        </is>
      </c>
      <c r="X126" t="inlineStr">
        <is>
          <t>Cursor / tender-response (batch)</t>
        </is>
      </c>
      <c r="Y126" t="inlineStr">
        <is>
          <t>Not met</t>
        </is>
      </c>
      <c r="Z126" t="inlineStr">
        <is>
          <t>Verified</t>
        </is>
      </c>
      <c r="AA126" t="inlineStr">
        <is>
          <t>Verify: Feltlængde — gap ift. kravtekst; eskalér commitment eller afklaring.</t>
        </is>
      </c>
      <c r="AB126" t="inlineStr">
        <is>
          <t>ADN: "Alle tekstfelter" hvilket betyder alle felter i løsningen skal kunne indeholde 3500 anslag. | Red flag: Det ved jeg simpelthen ikke om vi understøtter i alle fritekstfelter i løsningen..</t>
        </is>
      </c>
      <c r="AC126"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126" t="inlineStr">
        <is>
          <t>Eva: Commitment/no-bid beslutning; overvej Q&amp;A til ordregiver.</t>
        </is>
      </c>
      <c r="AE126" t="inlineStr"/>
      <c r="AF126" t="inlineStr">
        <is>
          <t>Draft</t>
        </is>
      </c>
      <c r="AG126" t="inlineStr">
        <is>
          <t>uim-esdh-full-2026-07-07</t>
        </is>
      </c>
    </row>
    <row r="127" ht="32" customHeight="1">
      <c r="A127" s="35" t="n">
        <v>126</v>
      </c>
      <c r="B127" s="35" t="inlineStr">
        <is>
          <t>MK-114</t>
        </is>
      </c>
      <c r="C127" s="35" t="inlineStr">
        <is>
          <t>Bilag 1.b</t>
        </is>
      </c>
      <c r="D127" s="35" t="inlineStr">
        <is>
          <t>Administratormodul</t>
        </is>
      </c>
      <c r="E127" s="35" t="inlineStr">
        <is>
          <t>Administration af partsroller</t>
        </is>
      </c>
      <c r="F127" s="35" t="inlineStr">
        <is>
          <t>ESDH-løsningen skal understøtte, at Administrator kan oprette, ændre og administrere partsroller.</t>
        </is>
      </c>
      <c r="G127" s="35" t="inlineStr">
        <is>
          <t>Mindstekrav</t>
        </is>
      </c>
      <c r="H127" s="35">
        <f>IF(G127="Evalueringskrav","Answer",(IF(G127="Krav","Check",(IF(G127="Mindstekrav","Verify","")))))</f>
        <v/>
      </c>
      <c r="I127" s="35" t="inlineStr">
        <is>
          <t>Ja</t>
        </is>
      </c>
      <c r="J127" s="35" t="n"/>
      <c r="K127" s="47" t="n"/>
      <c r="L127" s="35" t="inlineStr">
        <is>
          <t>Anton</t>
        </is>
      </c>
      <c r="M127" s="35" t="n"/>
      <c r="N127" s="35" t="n"/>
      <c r="O127" s="35" t="inlineStr">
        <is>
          <t>1. Fully met</t>
        </is>
      </c>
      <c r="P127" s="35" t="n"/>
      <c r="Q127" s="35" t="n"/>
      <c r="R127" s="35" t="n"/>
      <c r="S127" s="35" t="n"/>
      <c r="T127" s="35" t="n"/>
      <c r="U127" s="35" t="inlineStr">
        <is>
          <t>Not Started</t>
        </is>
      </c>
      <c r="V127" s="37">
        <f>IF(U127="Not Started",0%,IF(U127="Started",50%,IF(U127="Ready for review",70%,IF(U127="Reviewed - Content",80%,IF(U127="Reviewed - Format",90%,IF(U127="Done",100%,""))))))</f>
        <v/>
      </c>
      <c r="W127" t="inlineStr">
        <is>
          <t>2026-07-07</t>
        </is>
      </c>
      <c r="X127" t="inlineStr">
        <is>
          <t>Cursor / tender-response (batch)</t>
        </is>
      </c>
      <c r="Y127" t="inlineStr">
        <is>
          <t>Met</t>
        </is>
      </c>
      <c r="Z127" t="inlineStr">
        <is>
          <t>Verified</t>
        </is>
      </c>
      <c r="AA127" t="inlineStr">
        <is>
          <t>Verify: Administration af partsroller — vurderet opfyldt (tool: 1. Fully met).</t>
        </is>
      </c>
      <c r="AB127" t="inlineStr"/>
      <c r="AC127" t="inlineStr">
        <is>
          <t>docs/tender-reference/extracted/KUM-SLKS/Bilag 3 - Kravspecifikation.txt; docs/tender-reference/extracted/Nationalbanken/Bilag 3.i Leverandørens Løsningsbeskrivelse.txt; docs/tender-reference/extracted/KUM-SLKS/Bilag 3 - 11.8 - Kravspecifikation - Processtyring (1).txt</t>
        </is>
      </c>
      <c r="AD127" t="inlineStr">
        <is>
          <t>Anton: Confirm verify-tekst; opdatér review status efter tjek.</t>
        </is>
      </c>
      <c r="AE127" t="inlineStr"/>
      <c r="AF127" t="inlineStr">
        <is>
          <t>Draft</t>
        </is>
      </c>
      <c r="AG127" t="inlineStr">
        <is>
          <t>uim-esdh-full-2026-07-07</t>
        </is>
      </c>
    </row>
    <row r="128" ht="48" customHeight="1">
      <c r="A128" s="35" t="n">
        <v>127</v>
      </c>
      <c r="B128" s="35" t="inlineStr">
        <is>
          <t>MK-115</t>
        </is>
      </c>
      <c r="C128" s="35" t="inlineStr">
        <is>
          <t>Bilag 1.b</t>
        </is>
      </c>
      <c r="D128" s="35" t="inlineStr">
        <is>
          <t>Administratormodul</t>
        </is>
      </c>
      <c r="E128" s="35" t="inlineStr">
        <is>
          <t>Journalplan – Oprettelse og vedligeholdelse</t>
        </is>
      </c>
      <c r="F128" s="35" t="inlineStr">
        <is>
          <t>ESDH-løsningen skal understøtte, at Administrator kan oprette og vedligeholde journalplanen, handlingsfacetter og emneordslister.</t>
        </is>
      </c>
      <c r="G128" s="35" t="inlineStr">
        <is>
          <t>Mindstekrav</t>
        </is>
      </c>
      <c r="H128" s="35">
        <f>IF(G128="Evalueringskrav","Answer",(IF(G128="Krav","Check",(IF(G128="Mindstekrav","Verify","")))))</f>
        <v/>
      </c>
      <c r="I128" s="35" t="inlineStr">
        <is>
          <t>Ja</t>
        </is>
      </c>
      <c r="J128" s="35" t="n"/>
      <c r="K128" s="47" t="n"/>
      <c r="L128" s="35" t="inlineStr">
        <is>
          <t>Anton</t>
        </is>
      </c>
      <c r="M128" s="35" t="n"/>
      <c r="N128" s="35" t="n"/>
      <c r="O128" s="35" t="inlineStr">
        <is>
          <t>1. Fully met</t>
        </is>
      </c>
      <c r="P128" s="35" t="n"/>
      <c r="Q128" s="35" t="n"/>
      <c r="R128" s="35" t="n"/>
      <c r="S128" s="35" t="n"/>
      <c r="T128" s="35" t="n"/>
      <c r="U128" s="35" t="inlineStr">
        <is>
          <t>Not Started</t>
        </is>
      </c>
      <c r="V128" s="37">
        <f>IF(U128="Not Started",0%,IF(U128="Started",50%,IF(U128="Ready for review",70%,IF(U128="Reviewed - Content",80%,IF(U128="Reviewed - Format",90%,IF(U128="Done",100%,""))))))</f>
        <v/>
      </c>
      <c r="W128" t="inlineStr">
        <is>
          <t>2026-07-07</t>
        </is>
      </c>
      <c r="X128" t="inlineStr">
        <is>
          <t>Cursor / tender-response (batch)</t>
        </is>
      </c>
      <c r="Y128" t="inlineStr">
        <is>
          <t>Met</t>
        </is>
      </c>
      <c r="Z128" t="inlineStr">
        <is>
          <t>Verified</t>
        </is>
      </c>
      <c r="AA128" t="inlineStr">
        <is>
          <t>Verify: Journalplan – Oprettelse og vedligeholdelse — vurderet opfyldt (tool: 1. Fully met).</t>
        </is>
      </c>
      <c r="AB128" t="inlineStr"/>
      <c r="AC128" t="inlineStr">
        <is>
          <t>docs/tender-reference/extracted/Nationalbanken/Bilag 3.i Leverandørens Løsningsbeskrivelse.txt; docs/tender-reference/extracted/KUM-SLKS/Bilag 3 - Kravspecifikation.txt; docs/tender-reference/extracted/KK Tender tool.txt</t>
        </is>
      </c>
      <c r="AD128" t="inlineStr">
        <is>
          <t>Anton: Confirm verify-tekst; opdatér review status efter tjek.</t>
        </is>
      </c>
      <c r="AE128" t="inlineStr"/>
      <c r="AF128" t="inlineStr">
        <is>
          <t>Draft</t>
        </is>
      </c>
      <c r="AG128" t="inlineStr">
        <is>
          <t>uim-esdh-full-2026-07-07</t>
        </is>
      </c>
    </row>
    <row r="129" ht="32" customHeight="1">
      <c r="A129" s="35" t="n">
        <v>128</v>
      </c>
      <c r="B129" s="35" t="inlineStr">
        <is>
          <t>MK-116</t>
        </is>
      </c>
      <c r="C129" s="35" t="inlineStr">
        <is>
          <t>Bilag 1.b</t>
        </is>
      </c>
      <c r="D129" s="35" t="inlineStr">
        <is>
          <t>Administratormodul</t>
        </is>
      </c>
      <c r="E129" s="35" t="inlineStr">
        <is>
          <t>Journalplan – Antal niveauer</t>
        </is>
      </c>
      <c r="F129" s="35" t="inlineStr">
        <is>
          <t>ESDH-løsningen skal understøtte, at Administrator kan konfigurere journalplanen med færre end tre niveauer.</t>
        </is>
      </c>
      <c r="G129" s="35" t="inlineStr">
        <is>
          <t>Mindstekrav</t>
        </is>
      </c>
      <c r="H129" s="35">
        <f>IF(G129="Evalueringskrav","Answer",(IF(G129="Krav","Check",(IF(G129="Mindstekrav","Verify","")))))</f>
        <v/>
      </c>
      <c r="I129" s="35" t="inlineStr">
        <is>
          <t>Ja</t>
        </is>
      </c>
      <c r="J129" s="35" t="n"/>
      <c r="K129" s="47" t="n"/>
      <c r="L129" s="35" t="inlineStr">
        <is>
          <t>Anton</t>
        </is>
      </c>
      <c r="M129" s="35" t="n"/>
      <c r="N129" s="35" t="n"/>
      <c r="O129" s="35" t="inlineStr">
        <is>
          <t>1. Fully met</t>
        </is>
      </c>
      <c r="P129" s="35" t="n"/>
      <c r="Q129" s="35" t="n"/>
      <c r="R129" s="35" t="n"/>
      <c r="S129" s="35" t="n"/>
      <c r="T129" s="35" t="n"/>
      <c r="U129" s="35" t="inlineStr">
        <is>
          <t>Not Started</t>
        </is>
      </c>
      <c r="V129" s="37">
        <f>IF(U129="Not Started",0%,IF(U129="Started",50%,IF(U129="Ready for review",70%,IF(U129="Reviewed - Content",80%,IF(U129="Reviewed - Format",90%,IF(U129="Done",100%,""))))))</f>
        <v/>
      </c>
      <c r="W129" t="inlineStr">
        <is>
          <t>2026-07-07</t>
        </is>
      </c>
      <c r="X129" t="inlineStr">
        <is>
          <t>Cursor / tender-response (batch)</t>
        </is>
      </c>
      <c r="Y129" t="inlineStr">
        <is>
          <t>Met</t>
        </is>
      </c>
      <c r="Z129" t="inlineStr">
        <is>
          <t>Verified</t>
        </is>
      </c>
      <c r="AA129" t="inlineStr">
        <is>
          <t>Verify: Journalplan – Antal niveauer — vurderet opfyldt (tool: 1. Fully met).</t>
        </is>
      </c>
      <c r="AB129" t="inlineStr"/>
      <c r="AC129" t="inlineStr">
        <is>
          <t>docs/tender-reference/extracted/KUM-SLKS/Bilag 3 - Kravspecifikation.txt; docs/tender-reference/extracted/Nationalbanken/Bilag 3.i Leverandørens Løsningsbeskrivelse.txt; docs/product/RFP_Leverandørens_svar_utdrag.txt</t>
        </is>
      </c>
      <c r="AD129" t="inlineStr">
        <is>
          <t>Anton: Confirm verify-tekst; opdatér review status efter tjek.</t>
        </is>
      </c>
      <c r="AE129" t="inlineStr"/>
      <c r="AF129" t="inlineStr">
        <is>
          <t>Draft</t>
        </is>
      </c>
      <c r="AG129" t="inlineStr">
        <is>
          <t>uim-esdh-full-2026-07-07</t>
        </is>
      </c>
    </row>
    <row r="130" ht="32" customHeight="1">
      <c r="A130" s="35" t="n">
        <v>129</v>
      </c>
      <c r="B130" s="35" t="inlineStr">
        <is>
          <t>MK-117</t>
        </is>
      </c>
      <c r="C130" s="35" t="inlineStr">
        <is>
          <t>Bilag 1.b</t>
        </is>
      </c>
      <c r="D130" s="35" t="inlineStr">
        <is>
          <t>Administratormodul</t>
        </is>
      </c>
      <c r="E130" s="35" t="inlineStr">
        <is>
          <t>Slettepolitikker</t>
        </is>
      </c>
      <c r="F130" s="35" t="inlineStr">
        <is>
          <t>ESDH-løsningen skal understøtte, at Administrator kan konfigurere slettepolitikker, bevaringskoder og klassifikationskoder.</t>
        </is>
      </c>
      <c r="G130" s="35" t="inlineStr">
        <is>
          <t>Mindstekrav</t>
        </is>
      </c>
      <c r="H130" s="35">
        <f>IF(G130="Evalueringskrav","Answer",(IF(G130="Krav","Check",(IF(G130="Mindstekrav","Verify","")))))</f>
        <v/>
      </c>
      <c r="I130" s="35" t="inlineStr">
        <is>
          <t>Ja</t>
        </is>
      </c>
      <c r="J130" s="35" t="n"/>
      <c r="K130" s="47" t="n"/>
      <c r="L130" s="35" t="inlineStr">
        <is>
          <t>Anton</t>
        </is>
      </c>
      <c r="M130" s="35" t="n"/>
      <c r="N130" s="35" t="n"/>
      <c r="O130" s="35" t="inlineStr">
        <is>
          <t>1. Fully met</t>
        </is>
      </c>
      <c r="P130" s="35" t="n"/>
      <c r="Q130" s="35" t="n"/>
      <c r="R130" s="35" t="n"/>
      <c r="S130" s="35" t="n"/>
      <c r="T130" s="35" t="n"/>
      <c r="U130" s="35" t="inlineStr">
        <is>
          <t>Not Started</t>
        </is>
      </c>
      <c r="V130" s="37">
        <f>IF(U130="Not Started",0%,IF(U130="Started",50%,IF(U130="Ready for review",70%,IF(U130="Reviewed - Content",80%,IF(U130="Reviewed - Format",90%,IF(U130="Done",100%,""))))))</f>
        <v/>
      </c>
      <c r="W130" t="inlineStr">
        <is>
          <t>2026-07-07</t>
        </is>
      </c>
      <c r="X130" t="inlineStr">
        <is>
          <t>Cursor / tender-response (batch)</t>
        </is>
      </c>
      <c r="Y130" t="inlineStr">
        <is>
          <t>Met</t>
        </is>
      </c>
      <c r="Z130" t="inlineStr">
        <is>
          <t>Verified</t>
        </is>
      </c>
      <c r="AA130" t="inlineStr">
        <is>
          <t>Verify: Slettepolitikker — vurderet opfyldt (tool: 1. Fully met).</t>
        </is>
      </c>
      <c r="AB130" t="inlineStr"/>
      <c r="AC130" t="inlineStr">
        <is>
          <t>docs/tender-reference/extracted/Nationalbanken/Bilag 3.i Leverandørens Løsningsbeskrivelse.txt; docs/product/RFP_Leverandørens_svar_utdrag.txt; docs/tender-reference/extracted/HSØ/02.00-Tietoevry-SSA-L-Bilag 2-Leverandørens beskrivelse av Tjenesten.txt</t>
        </is>
      </c>
      <c r="AD130" t="inlineStr">
        <is>
          <t>Anton: Confirm verify-tekst; opdatér review status efter tjek.</t>
        </is>
      </c>
      <c r="AE130" t="inlineStr"/>
      <c r="AF130" t="inlineStr">
        <is>
          <t>Draft</t>
        </is>
      </c>
      <c r="AG130" t="inlineStr">
        <is>
          <t>uim-esdh-full-2026-07-07</t>
        </is>
      </c>
    </row>
    <row r="131" ht="64" customHeight="1">
      <c r="A131" s="35" t="n">
        <v>130</v>
      </c>
      <c r="B131" s="35" t="inlineStr">
        <is>
          <t>MK-118</t>
        </is>
      </c>
      <c r="C131" s="35" t="inlineStr">
        <is>
          <t>Bilag 1.b</t>
        </is>
      </c>
      <c r="D131" s="35" t="inlineStr">
        <is>
          <t>Administratormodul</t>
        </is>
      </c>
      <c r="E131" s="35" t="inlineStr">
        <is>
          <t>Administration og brugergrænseflade</t>
        </is>
      </c>
      <c r="F131" s="35" t="inlineStr">
        <is>
          <t>ESDH-løsningen skal understøtte, at Administrator kan konfigurere hele ESDH-løsningens brugergrænseflade.</t>
        </is>
      </c>
      <c r="G131" s="35" t="inlineStr">
        <is>
          <t>Mindstekrav</t>
        </is>
      </c>
      <c r="H131" s="35">
        <f>IF(G131="Evalueringskrav","Answer",(IF(G131="Krav","Check",(IF(G131="Mindstekrav","Verify","")))))</f>
        <v/>
      </c>
      <c r="I131" s="35" t="inlineStr">
        <is>
          <t>Ja</t>
        </is>
      </c>
      <c r="J131" s="35" t="n"/>
      <c r="K131" s="47" t="n"/>
      <c r="L131" s="35" t="inlineStr">
        <is>
          <t>Eva</t>
        </is>
      </c>
      <c r="M131" s="35" t="n"/>
      <c r="N131" s="35" t="n"/>
      <c r="O131" s="35" t="inlineStr">
        <is>
          <t>3. Not able to meet</t>
        </is>
      </c>
      <c r="P131" s="35" t="inlineStr">
        <is>
          <t>ADN: Insane requirement without limits and for eternal enterpretation.. "Brugergrænseflade" is not defined in the deffinitions.</t>
        </is>
      </c>
      <c r="Q131" s="35" t="n"/>
      <c r="R131" s="35" t="n"/>
      <c r="S131" s="35" t="n"/>
      <c r="T131" s="35" t="n"/>
      <c r="U131" s="35" t="inlineStr">
        <is>
          <t>Not Started</t>
        </is>
      </c>
      <c r="V131" s="37">
        <f>IF(U131="Not Started",0%,IF(U131="Started",50%,IF(U131="Ready for review",70%,IF(U131="Reviewed - Content",80%,IF(U131="Reviewed - Format",90%,IF(U131="Done",100%,""))))))</f>
        <v/>
      </c>
      <c r="W131" t="inlineStr">
        <is>
          <t>2026-07-07</t>
        </is>
      </c>
      <c r="X131" t="inlineStr">
        <is>
          <t>Cursor / tender-response (batch)</t>
        </is>
      </c>
      <c r="Y131" t="inlineStr">
        <is>
          <t>Not met</t>
        </is>
      </c>
      <c r="Z131" t="inlineStr">
        <is>
          <t>Verified</t>
        </is>
      </c>
      <c r="AA131" t="inlineStr">
        <is>
          <t>Verify: Administration og brugergrænseflade — gap ift. kravtekst; eskalér commitment eller afklaring.</t>
        </is>
      </c>
      <c r="AB131" t="inlineStr">
        <is>
          <t>ADN: Insane requirement without limits and for eternal enterpretation.. "Brugergrænseflade" is not defined in the deffinitions. | Red flag: ”hele brugergrænsefladen” kan tolkes skidt af en ondsindet modpart.</t>
        </is>
      </c>
      <c r="AC131" t="inlineStr">
        <is>
          <t>docs/tender-reference/extracted/KUM-SLKS/Bilag 3 - 11.8 - Kravspecifikation - Processtyring (1).txt; docs/tender-reference/extracted/KUM-SLKS/Bilag 3 - Kravspecifikation.txt; docs/tender-reference/extracted/Nationalbanken/Bilag 3.i Leverandørens Løsningsbeskrivelse.txt</t>
        </is>
      </c>
      <c r="AD131" t="inlineStr">
        <is>
          <t>Eva: Commitment/no-bid beslutning; overvej Q&amp;A til ordregiver.</t>
        </is>
      </c>
      <c r="AE131" t="inlineStr"/>
      <c r="AF131" t="inlineStr">
        <is>
          <t>Draft</t>
        </is>
      </c>
      <c r="AG131" t="inlineStr">
        <is>
          <t>uim-esdh-full-2026-07-07</t>
        </is>
      </c>
    </row>
    <row r="132" ht="48" customHeight="1">
      <c r="A132" s="35" t="n">
        <v>131</v>
      </c>
      <c r="B132" s="35" t="inlineStr">
        <is>
          <t>MK-119</t>
        </is>
      </c>
      <c r="C132" s="35" t="inlineStr">
        <is>
          <t>Bilag 1.b</t>
        </is>
      </c>
      <c r="D132" s="35" t="inlineStr">
        <is>
          <t>Administratormodul</t>
        </is>
      </c>
      <c r="E132" s="35" t="inlineStr">
        <is>
          <t>Konfiguration af sags- og kontakttyper</t>
        </is>
      </c>
      <c r="F132" s="35" t="inlineStr">
        <is>
          <t>ESDH-løsningen skal understøtte, at Administrator kan konfigurere og vedligeholde alle sags- og kontakttyper.</t>
        </is>
      </c>
      <c r="G132" s="35" t="inlineStr">
        <is>
          <t>Mindstekrav</t>
        </is>
      </c>
      <c r="H132" s="35">
        <f>IF(G132="Evalueringskrav","Answer",(IF(G132="Krav","Check",(IF(G132="Mindstekrav","Verify","")))))</f>
        <v/>
      </c>
      <c r="I132" s="35" t="inlineStr">
        <is>
          <t>Ja</t>
        </is>
      </c>
      <c r="J132" s="35" t="n"/>
      <c r="K132" s="47" t="n"/>
      <c r="L132" s="35" t="inlineStr">
        <is>
          <t>Anton</t>
        </is>
      </c>
      <c r="M132" s="35" t="n"/>
      <c r="N132" s="35" t="n"/>
      <c r="O132" s="35" t="inlineStr">
        <is>
          <t>1. Fully met</t>
        </is>
      </c>
      <c r="P132" s="35" t="n"/>
      <c r="Q132" s="35" t="n"/>
      <c r="R132" s="35" t="n"/>
      <c r="S132" s="35" t="n"/>
      <c r="T132" s="35" t="n"/>
      <c r="U132" s="35" t="inlineStr">
        <is>
          <t>Not Started</t>
        </is>
      </c>
      <c r="V132" s="37">
        <f>IF(U132="Not Started",0%,IF(U132="Started",50%,IF(U132="Ready for review",70%,IF(U132="Reviewed - Content",80%,IF(U132="Reviewed - Format",90%,IF(U132="Done",100%,""))))))</f>
        <v/>
      </c>
      <c r="W132" t="inlineStr">
        <is>
          <t>2026-07-07</t>
        </is>
      </c>
      <c r="X132" t="inlineStr">
        <is>
          <t>Cursor / tender-response (batch)</t>
        </is>
      </c>
      <c r="Y132" t="inlineStr">
        <is>
          <t>Met</t>
        </is>
      </c>
      <c r="Z132" t="inlineStr">
        <is>
          <t>Verified</t>
        </is>
      </c>
      <c r="AA132" t="inlineStr">
        <is>
          <t>Verify: Konfiguration af sags- og kontakttyper — vurderet opfyldt (tool: 1. Fully met).</t>
        </is>
      </c>
      <c r="AB132" t="inlineStr"/>
      <c r="AC132" t="inlineStr">
        <is>
          <t>docs/tender-reference/extracted/Nationalbanken/Bilag 3.i Leverandørens Løsningsbeskrivelse.txt; docs/tender-reference/extracted/KK Tender tool.txt; docs/tender-reference/extracted/KUM-SLKS/Bilag 1 - Tidsplan.txt</t>
        </is>
      </c>
      <c r="AD132" t="inlineStr">
        <is>
          <t>Anton: Confirm verify-tekst; opdatér review status efter tjek.</t>
        </is>
      </c>
      <c r="AE132" t="inlineStr"/>
      <c r="AF132" t="inlineStr">
        <is>
          <t>Draft</t>
        </is>
      </c>
      <c r="AG132" t="inlineStr">
        <is>
          <t>uim-esdh-full-2026-07-07</t>
        </is>
      </c>
    </row>
    <row r="133" ht="48" customHeight="1">
      <c r="A133" s="35" t="n">
        <v>132</v>
      </c>
      <c r="B133" s="35" t="inlineStr">
        <is>
          <t>MK-120</t>
        </is>
      </c>
      <c r="C133" s="35" t="inlineStr">
        <is>
          <t>Bilag 1.b</t>
        </is>
      </c>
      <c r="D133" s="35" t="inlineStr">
        <is>
          <t>Administratormodul</t>
        </is>
      </c>
      <c r="E133" s="35" t="inlineStr">
        <is>
          <t>Konfiguration af sagsnummerformat</t>
        </is>
      </c>
      <c r="F133" s="35" t="inlineStr">
        <is>
          <t>ESDH-løsningen skal understøtte, at Administrator kan konfigurere sagsnummerformatet.</t>
        </is>
      </c>
      <c r="G133" s="35" t="inlineStr">
        <is>
          <t>Mindstekrav</t>
        </is>
      </c>
      <c r="H133" s="35">
        <f>IF(G133="Evalueringskrav","Answer",(IF(G133="Krav","Check",(IF(G133="Mindstekrav","Verify","")))))</f>
        <v/>
      </c>
      <c r="I133" s="35" t="inlineStr">
        <is>
          <t>Ja</t>
        </is>
      </c>
      <c r="J133" s="35" t="n"/>
      <c r="K133" s="47" t="n"/>
      <c r="L133" s="35" t="inlineStr">
        <is>
          <t>Anton</t>
        </is>
      </c>
      <c r="M133" s="35" t="n"/>
      <c r="N133" s="35" t="n"/>
      <c r="O133" s="35" t="inlineStr">
        <is>
          <t>1. Fully met</t>
        </is>
      </c>
      <c r="P133" s="35" t="n"/>
      <c r="Q133" s="35" t="n"/>
      <c r="R133" s="35" t="n"/>
      <c r="S133" s="35" t="n"/>
      <c r="T133" s="35" t="n"/>
      <c r="U133" s="35" t="inlineStr">
        <is>
          <t>Not Started</t>
        </is>
      </c>
      <c r="V133" s="37">
        <f>IF(U133="Not Started",0%,IF(U133="Started",50%,IF(U133="Ready for review",70%,IF(U133="Reviewed - Content",80%,IF(U133="Reviewed - Format",90%,IF(U133="Done",100%,""))))))</f>
        <v/>
      </c>
      <c r="W133" t="inlineStr">
        <is>
          <t>2026-07-07</t>
        </is>
      </c>
      <c r="X133" t="inlineStr">
        <is>
          <t>Cursor / tender-response (batch)</t>
        </is>
      </c>
      <c r="Y133" t="inlineStr">
        <is>
          <t>Met</t>
        </is>
      </c>
      <c r="Z133" t="inlineStr">
        <is>
          <t>Verified</t>
        </is>
      </c>
      <c r="AA133" t="inlineStr">
        <is>
          <t>Verify: Konfiguration af sagsnummerformat — vurderet opfyldt (tool: 1. Fully met).</t>
        </is>
      </c>
      <c r="AB133" t="inlineStr"/>
      <c r="AC133" t="inlineStr">
        <is>
          <t>docs/tender-reference/extracted/KK Tender tool.txt; docs/tender-reference/extracted/KUM-SLKS/Bilag 1 - Tidsplan.txt; docs/tender-reference/extracted/KUM-SLKS/Bilag 3 - 11.8 - Kravspecifikation - Processtyring (1).txt</t>
        </is>
      </c>
      <c r="AD133" t="inlineStr">
        <is>
          <t>Anton: Confirm verify-tekst; opdatér review status efter tjek.</t>
        </is>
      </c>
      <c r="AE133" t="inlineStr"/>
      <c r="AF133" t="inlineStr">
        <is>
          <t>Draft</t>
        </is>
      </c>
      <c r="AG133" t="inlineStr">
        <is>
          <t>uim-esdh-full-2026-07-07</t>
        </is>
      </c>
    </row>
    <row r="134" ht="48" customHeight="1">
      <c r="A134" s="35" t="n">
        <v>133</v>
      </c>
      <c r="B134" s="35" t="inlineStr">
        <is>
          <t>MK-121</t>
        </is>
      </c>
      <c r="C134" s="35" t="inlineStr">
        <is>
          <t>Bilag 1.b</t>
        </is>
      </c>
      <c r="D134" s="35" t="inlineStr">
        <is>
          <t>Administratormodul</t>
        </is>
      </c>
      <c r="E134" s="35" t="inlineStr">
        <is>
          <t>Oprettelse af egne sags- og kontakttyper</t>
        </is>
      </c>
      <c r="F134" s="35" t="inlineStr">
        <is>
          <t>ESDH-løsningen skal understøtte, at Administrator kan oprette, konfigurere og vedligeholde egne sags- og kontakttyper.</t>
        </is>
      </c>
      <c r="G134" s="35" t="inlineStr">
        <is>
          <t>Mindstekrav</t>
        </is>
      </c>
      <c r="H134" s="35">
        <f>IF(G134="Evalueringskrav","Answer",(IF(G134="Krav","Check",(IF(G134="Mindstekrav","Verify","")))))</f>
        <v/>
      </c>
      <c r="I134" s="35" t="inlineStr">
        <is>
          <t>Ja</t>
        </is>
      </c>
      <c r="J134" s="35" t="n"/>
      <c r="K134" s="47" t="n"/>
      <c r="L134" s="35" t="inlineStr">
        <is>
          <t>Anton</t>
        </is>
      </c>
      <c r="M134" s="35" t="n"/>
      <c r="N134" s="35" t="n"/>
      <c r="O134" s="35" t="inlineStr">
        <is>
          <t>1. Fully met</t>
        </is>
      </c>
      <c r="P134" s="35" t="inlineStr">
        <is>
          <t>Adn: We got commitment for FFUI contacts in KUM tender</t>
        </is>
      </c>
      <c r="Q134" s="35" t="n"/>
      <c r="R134" s="35" t="n"/>
      <c r="S134" s="35" t="n"/>
      <c r="T134" s="35" t="n"/>
      <c r="U134" s="35" t="inlineStr">
        <is>
          <t>Not Started</t>
        </is>
      </c>
      <c r="V134" s="37">
        <f>IF(U134="Not Started",0%,IF(U134="Started",50%,IF(U134="Ready for review",70%,IF(U134="Reviewed - Content",80%,IF(U134="Reviewed - Format",90%,IF(U134="Done",100%,""))))))</f>
        <v/>
      </c>
      <c r="W134" t="inlineStr">
        <is>
          <t>2026-07-07</t>
        </is>
      </c>
      <c r="X134" t="inlineStr">
        <is>
          <t>Cursor / tender-response (batch)</t>
        </is>
      </c>
      <c r="Y134" t="inlineStr">
        <is>
          <t>Met</t>
        </is>
      </c>
      <c r="Z134" t="inlineStr">
        <is>
          <t>Verified</t>
        </is>
      </c>
      <c r="AA134" t="inlineStr">
        <is>
          <t>Verify: Oprettelse af egne sags- og kontakttyper — vurderet opfyldt (tool: 1. Fully met).</t>
        </is>
      </c>
      <c r="AB134" t="inlineStr">
        <is>
          <t>Adn: We got commitment for FFUI contacts in KUM tender</t>
        </is>
      </c>
      <c r="AC134" t="inlineStr">
        <is>
          <t>docs/tender-reference/extracted/Nationalbanken/Bilag 3.i Leverandørens Løsningsbeskrivelse.txt; docs/tender-reference/extracted/KK Tender tool.txt; docs/tender-reference/extracted/KUM-SLKS/Bilag 3 - Kravspecifikation.txt</t>
        </is>
      </c>
      <c r="AD134" t="inlineStr">
        <is>
          <t>Anton: Confirm verify-tekst; opdatér review status efter tjek.</t>
        </is>
      </c>
      <c r="AE134" t="inlineStr"/>
      <c r="AF134" t="inlineStr">
        <is>
          <t>Draft</t>
        </is>
      </c>
      <c r="AG134" t="inlineStr">
        <is>
          <t>uim-esdh-full-2026-07-07</t>
        </is>
      </c>
    </row>
    <row r="135" ht="32" customHeight="1">
      <c r="A135" s="35" t="n">
        <v>134</v>
      </c>
      <c r="B135" s="35" t="inlineStr">
        <is>
          <t>MK-122</t>
        </is>
      </c>
      <c r="C135" s="35" t="inlineStr">
        <is>
          <t>Bilag 1.b</t>
        </is>
      </c>
      <c r="D135" s="35" t="inlineStr">
        <is>
          <t>Administratormodul</t>
        </is>
      </c>
      <c r="E135" s="35" t="inlineStr">
        <is>
          <t>Fristtyper</t>
        </is>
      </c>
      <c r="F135" s="35" t="inlineStr">
        <is>
          <t>ESDH-løsningen skal understøtte, at Administrator kan oprette og vedligeholde fristtyper på sager.</t>
        </is>
      </c>
      <c r="G135" s="35" t="inlineStr">
        <is>
          <t>Mindstekrav</t>
        </is>
      </c>
      <c r="H135" s="35">
        <f>IF(G135="Evalueringskrav","Answer",(IF(G135="Krav","Check",(IF(G135="Mindstekrav","Verify","")))))</f>
        <v/>
      </c>
      <c r="I135" s="35" t="inlineStr">
        <is>
          <t>Ja</t>
        </is>
      </c>
      <c r="J135" s="35" t="n"/>
      <c r="K135" s="47" t="n"/>
      <c r="L135" s="35" t="inlineStr">
        <is>
          <t>Anton</t>
        </is>
      </c>
      <c r="M135" s="35" t="n"/>
      <c r="N135" s="35" t="n"/>
      <c r="O135" s="35" t="inlineStr">
        <is>
          <t>1. Fully met</t>
        </is>
      </c>
      <c r="P135" s="35" t="inlineStr">
        <is>
          <t xml:space="preserve">ADN: Configure custom field og "frist" called fristtype </t>
        </is>
      </c>
      <c r="Q135" s="35" t="n"/>
      <c r="R135" s="35" t="n"/>
      <c r="S135" s="35" t="n"/>
      <c r="T135" s="35" t="n"/>
      <c r="U135" s="35" t="inlineStr">
        <is>
          <t>Not Started</t>
        </is>
      </c>
      <c r="V135" s="37">
        <f>IF(U135="Not Started",0%,IF(U135="Started",50%,IF(U135="Ready for review",70%,IF(U135="Reviewed - Content",80%,IF(U135="Reviewed - Format",90%,IF(U135="Done",100%,""))))))</f>
        <v/>
      </c>
      <c r="W135" t="inlineStr">
        <is>
          <t>2026-07-07</t>
        </is>
      </c>
      <c r="X135" t="inlineStr">
        <is>
          <t>Cursor / tender-response (batch)</t>
        </is>
      </c>
      <c r="Y135" t="inlineStr">
        <is>
          <t>Met</t>
        </is>
      </c>
      <c r="Z135" t="inlineStr">
        <is>
          <t>Verified</t>
        </is>
      </c>
      <c r="AA135" t="inlineStr">
        <is>
          <t>Verify: Fristtyper — vurderet opfyldt (tool: 1. Fully met).</t>
        </is>
      </c>
      <c r="AB135" t="inlineStr">
        <is>
          <t>ADN: Configure custom field og "frist" called fristtype</t>
        </is>
      </c>
      <c r="AC135" t="inlineStr">
        <is>
          <t>docs/tender-reference/extracted/KK Tender tool.txt; docs/tender-reference/extracted/KUM-SLKS/Bilag 3 - 11.8 - Kravspecifikation - Processtyring (1).txt; docs/tender-reference/extracted/KUM-SLKS/Bilag 3 - Kravspecifikation.txt</t>
        </is>
      </c>
      <c r="AD135" t="inlineStr">
        <is>
          <t>Anton: Confirm verify-tekst; opdatér review status efter tjek.</t>
        </is>
      </c>
      <c r="AE135" t="inlineStr"/>
      <c r="AF135" t="inlineStr">
        <is>
          <t>Draft</t>
        </is>
      </c>
      <c r="AG135" t="inlineStr">
        <is>
          <t>uim-esdh-full-2026-07-07</t>
        </is>
      </c>
    </row>
    <row r="136" ht="32" customHeight="1">
      <c r="A136" s="35" t="n">
        <v>135</v>
      </c>
      <c r="B136" s="35" t="inlineStr">
        <is>
          <t>MK-123</t>
        </is>
      </c>
      <c r="C136" s="35" t="inlineStr">
        <is>
          <t>Bilag 1.b</t>
        </is>
      </c>
      <c r="D136" s="35" t="inlineStr">
        <is>
          <t>Administratormodul</t>
        </is>
      </c>
      <c r="E136" s="35" t="inlineStr">
        <is>
          <t>Rapport over Brugere</t>
        </is>
      </c>
      <c r="F136" s="35" t="inlineStr">
        <is>
          <t>ESDH-løsningen skal understøtte, at Administrator kan generere rapporter over Brugeres adgangsrettigheder.</t>
        </is>
      </c>
      <c r="G136" s="35" t="inlineStr">
        <is>
          <t>Mindstekrav</t>
        </is>
      </c>
      <c r="H136" s="35">
        <f>IF(G136="Evalueringskrav","Answer",(IF(G136="Krav","Check",(IF(G136="Mindstekrav","Verify","")))))</f>
        <v/>
      </c>
      <c r="I136" s="35" t="inlineStr">
        <is>
          <t>Ja</t>
        </is>
      </c>
      <c r="J136" s="35" t="n"/>
      <c r="K136" s="47" t="n"/>
      <c r="L136" s="35" t="inlineStr">
        <is>
          <t>Anton</t>
        </is>
      </c>
      <c r="M136" s="35" t="n"/>
      <c r="N136" s="35" t="n"/>
      <c r="O136" s="35" t="inlineStr">
        <is>
          <t>1. Fully met</t>
        </is>
      </c>
      <c r="P136" s="35" t="n"/>
      <c r="Q136" s="35" t="n"/>
      <c r="R136" s="35" t="n"/>
      <c r="S136" s="35" t="n"/>
      <c r="T136" s="35" t="n"/>
      <c r="U136" s="35" t="inlineStr">
        <is>
          <t>Not Started</t>
        </is>
      </c>
      <c r="V136" s="37">
        <f>IF(U136="Not Started",0%,IF(U136="Started",50%,IF(U136="Ready for review",70%,IF(U136="Reviewed - Content",80%,IF(U136="Reviewed - Format",90%,IF(U136="Done",100%,""))))))</f>
        <v/>
      </c>
      <c r="W136" t="inlineStr">
        <is>
          <t>2026-07-07</t>
        </is>
      </c>
      <c r="X136" t="inlineStr">
        <is>
          <t>Cursor / tender-response (batch)</t>
        </is>
      </c>
      <c r="Y136" t="inlineStr">
        <is>
          <t>Met</t>
        </is>
      </c>
      <c r="Z136" t="inlineStr">
        <is>
          <t>Verified</t>
        </is>
      </c>
      <c r="AA136" t="inlineStr">
        <is>
          <t>Verify: Rapport over Brugere — vurderet opfyldt (tool: 1. Fully met).</t>
        </is>
      </c>
      <c r="AB136" t="inlineStr"/>
      <c r="AC136" t="inlineStr">
        <is>
          <t>docs/tender-reference/extracted/Nationalbanken/Bilag 3.i Leverandørens Løsningsbeskrivelse.txt; docs/tender-reference/extracted/KK Tender tool.txt; docs/tender-reference/extracted/KUM-SLKS/Bilag 3 - Kravspecifikation.txt</t>
        </is>
      </c>
      <c r="AD136" t="inlineStr">
        <is>
          <t>Anton: Confirm verify-tekst; opdatér review status efter tjek.</t>
        </is>
      </c>
      <c r="AE136" t="inlineStr"/>
      <c r="AF136" t="inlineStr">
        <is>
          <t>Draft</t>
        </is>
      </c>
      <c r="AG136" t="inlineStr">
        <is>
          <t>uim-esdh-full-2026-07-07</t>
        </is>
      </c>
    </row>
    <row r="137" ht="32" customHeight="1">
      <c r="A137" s="35" t="n">
        <v>136</v>
      </c>
      <c r="B137" s="35" t="inlineStr">
        <is>
          <t>MK-124</t>
        </is>
      </c>
      <c r="C137" s="35" t="inlineStr">
        <is>
          <t>Bilag 1.b</t>
        </is>
      </c>
      <c r="D137" s="35" t="inlineStr">
        <is>
          <t>Administratormodul</t>
        </is>
      </c>
      <c r="E137" s="35" t="inlineStr">
        <is>
          <t>Unikke ID</t>
        </is>
      </c>
      <c r="F137" s="35" t="inlineStr">
        <is>
          <t>ESDH-løsningen skal understøtte, at Administrator kan definere unikke ID'er til Kundeoprettede felter, værdilister, tabeller og Entiteter.</t>
        </is>
      </c>
      <c r="G137" s="35" t="inlineStr">
        <is>
          <t>Mindstekrav</t>
        </is>
      </c>
      <c r="H137" s="35">
        <f>IF(G137="Evalueringskrav","Answer",(IF(G137="Krav","Check",(IF(G137="Mindstekrav","Verify","")))))</f>
        <v/>
      </c>
      <c r="I137" s="35" t="inlineStr">
        <is>
          <t>Ja</t>
        </is>
      </c>
      <c r="J137" s="35" t="n"/>
      <c r="K137" s="47" t="n"/>
      <c r="L137" s="35" t="inlineStr">
        <is>
          <t>Torben</t>
        </is>
      </c>
      <c r="M137" s="35" t="n"/>
      <c r="N137" s="35" t="n"/>
      <c r="O137" s="35" t="n"/>
      <c r="P137" s="35" t="inlineStr">
        <is>
          <t>ADN: Could a unique ID be the title?</t>
        </is>
      </c>
      <c r="Q137" s="35" t="n"/>
      <c r="R137" s="35" t="n"/>
      <c r="S137" s="35" t="n"/>
      <c r="T137" s="35" t="n"/>
      <c r="U137" s="35" t="inlineStr">
        <is>
          <t>Not Started</t>
        </is>
      </c>
      <c r="V137" s="37">
        <f>IF(U137="Not Started",0%,IF(U137="Started",50%,IF(U137="Ready for review",70%,IF(U137="Reviewed - Content",80%,IF(U137="Reviewed - Format",90%,IF(U137="Done",100%,""))))))</f>
        <v/>
      </c>
      <c r="W137" t="inlineStr">
        <is>
          <t>2026-07-07</t>
        </is>
      </c>
      <c r="X137" t="inlineStr">
        <is>
          <t>Cursor / tender-response (batch)</t>
        </is>
      </c>
      <c r="Y137" t="inlineStr">
        <is>
          <t>Clarify</t>
        </is>
      </c>
      <c r="Z137" t="inlineStr">
        <is>
          <t>Verified</t>
        </is>
      </c>
      <c r="AA137" t="inlineStr">
        <is>
          <t>Verify: Unikke ID — kræver produkt-/team-afklaring (ingen tool-rating).</t>
        </is>
      </c>
      <c r="AB137" t="inlineStr">
        <is>
          <t>ADN: Could a unique ID be the title?</t>
        </is>
      </c>
      <c r="AC137" t="inlineStr">
        <is>
          <t>docs/tender-reference/extracted/KK Tender tool.txt; docs/tender-reference/extracted/Nationalbanken/Bilag 3.i Leverandørens Løsningsbeskrivelse.txt; docs/product/RFP_Leverandørens_svar_utdrag.txt</t>
        </is>
      </c>
      <c r="AD137" t="inlineStr">
        <is>
          <t>Torben: Udfyld tool-rating (O) og evidens; gennemgå AI-kladde.</t>
        </is>
      </c>
      <c r="AE137" t="inlineStr"/>
      <c r="AF137" t="inlineStr">
        <is>
          <t>Draft</t>
        </is>
      </c>
      <c r="AG137" t="inlineStr">
        <is>
          <t>uim-esdh-full-2026-07-07</t>
        </is>
      </c>
    </row>
    <row r="138" ht="64" customHeight="1">
      <c r="A138" s="35" t="n">
        <v>137</v>
      </c>
      <c r="B138" s="35" t="inlineStr">
        <is>
          <t>K-9</t>
        </is>
      </c>
      <c r="C138" s="35" t="inlineStr">
        <is>
          <t>Bilag 1.b</t>
        </is>
      </c>
      <c r="D138" s="35" t="inlineStr">
        <is>
          <t>Administratormodul</t>
        </is>
      </c>
      <c r="E138" s="35" t="inlineStr">
        <is>
          <t>Navngivning</t>
        </is>
      </c>
      <c r="F138" s="35" t="inlineStr">
        <is>
          <t>ESDH-løsningen skal understøtte, at Kunden ved oprettelse af egne Kundeoprettede felter, værdilister og tabeller kan angive ID og navngivning i ét og samme oprettelsesbillede.</t>
        </is>
      </c>
      <c r="G138" s="35" t="inlineStr">
        <is>
          <t>Krav</t>
        </is>
      </c>
      <c r="H138" s="35">
        <f>IF(G138="Evalueringskrav","Answer",(IF(G138="Krav","Check",(IF(G138="Mindstekrav","Verify","")))))</f>
        <v/>
      </c>
      <c r="I138" s="35" t="inlineStr">
        <is>
          <t>Ja</t>
        </is>
      </c>
      <c r="J138" s="35" t="n"/>
      <c r="K138" s="47" t="n"/>
      <c r="L138" s="35" t="inlineStr">
        <is>
          <t>Torben</t>
        </is>
      </c>
      <c r="M138" s="35" t="n"/>
      <c r="N138" s="35" t="n"/>
      <c r="O138" s="35" t="n"/>
      <c r="P138" s="35" t="inlineStr">
        <is>
          <t>ADN: Could a unique ID be the title?
TAO:Jeg læser blot at man skal kunne angive id og værdi i samme billede, ikke samme felt. Så ok for kodetabeller osv</t>
        </is>
      </c>
      <c r="Q138" s="35" t="n"/>
      <c r="R138" s="35" t="n"/>
      <c r="S138" s="35" t="n"/>
      <c r="T138" s="35" t="n"/>
      <c r="U138" s="35" t="inlineStr">
        <is>
          <t>Not Started</t>
        </is>
      </c>
      <c r="V138" s="37">
        <f>IF(U138="Not Started",0%,IF(U138="Started",50%,IF(U138="Ready for review",70%,IF(U138="Reviewed - Content",80%,IF(U138="Reviewed - Format",90%,IF(U138="Done",100%,""))))))</f>
        <v/>
      </c>
      <c r="W138" t="inlineStr">
        <is>
          <t>2026-07-07</t>
        </is>
      </c>
      <c r="X138" t="inlineStr">
        <is>
          <t>Cursor / tender-response (batch)</t>
        </is>
      </c>
      <c r="Y138" t="inlineStr">
        <is>
          <t>Clarify</t>
        </is>
      </c>
      <c r="Z138" t="inlineStr">
        <is>
          <t>Verified</t>
        </is>
      </c>
      <c r="AA138" t="inlineStr">
        <is>
          <t>Check: Navngivning — kræver produkt-/team-afklaring (ingen tool-rating).</t>
        </is>
      </c>
      <c r="AB138" t="inlineStr">
        <is>
          <t>ADN: Could a unique ID be the title?
TAO:Jeg læser blot at man skal kunne angive id og værdi i samme billede, ikke samme felt. Så ok for kodetabeller osv</t>
        </is>
      </c>
      <c r="AC138" t="inlineStr">
        <is>
          <t>docs/tender-reference/extracted/KK Tender tool.txt; docs/tender-reference/extracted/KUM-SLKS/Bilag 3 - Kravspecifikation.txt; docs/product/RFP_Leverandørens_svar_utdrag.txt</t>
        </is>
      </c>
      <c r="AD138" t="inlineStr">
        <is>
          <t>Torben: Udfyld tool-rating (O) og evidens; gennemgå AI-kladde.</t>
        </is>
      </c>
      <c r="AE138" t="inlineStr"/>
      <c r="AF138" t="inlineStr">
        <is>
          <t>Draft</t>
        </is>
      </c>
      <c r="AG138" t="inlineStr">
        <is>
          <t>uim-esdh-full-2026-07-07</t>
        </is>
      </c>
    </row>
    <row r="139" ht="64" customHeight="1">
      <c r="A139" s="35" t="n">
        <v>138</v>
      </c>
      <c r="B139" s="35" t="inlineStr">
        <is>
          <t>K-10</t>
        </is>
      </c>
      <c r="C139" s="35" t="inlineStr">
        <is>
          <t>Bilag 1.b</t>
        </is>
      </c>
      <c r="D139" s="35" t="inlineStr">
        <is>
          <t>Administratormodul</t>
        </is>
      </c>
      <c r="E139" s="35" t="inlineStr">
        <is>
          <t>Journalplan</t>
        </is>
      </c>
      <c r="F139" s="35" t="inlineStr">
        <is>
          <t>ESDH-løsningen skal understøtte, at en Administrator kan tilknytte fast metadata til journalplanen i form af adgangsgrupper og adgangsbegrænsning, når der vælges en foruddefineret journalplansværdi.</t>
        </is>
      </c>
      <c r="G139" s="35" t="inlineStr">
        <is>
          <t>Krav</t>
        </is>
      </c>
      <c r="H139" s="35">
        <f>IF(G139="Evalueringskrav","Answer",(IF(G139="Krav","Check",(IF(G139="Mindstekrav","Verify","")))))</f>
        <v/>
      </c>
      <c r="I139" s="35" t="inlineStr">
        <is>
          <t>Ja</t>
        </is>
      </c>
      <c r="J139" s="35" t="n"/>
      <c r="K139" s="47" t="n"/>
      <c r="L139" s="35" t="inlineStr">
        <is>
          <t>Anton</t>
        </is>
      </c>
      <c r="M139" s="35" t="n"/>
      <c r="N139" s="35" t="n"/>
      <c r="O139" s="35" t="inlineStr">
        <is>
          <t>3. Not able to meet</t>
        </is>
      </c>
      <c r="P139" s="35" t="inlineStr">
        <is>
          <t>ADN: with FFUI on cases - i can based on the archive (part of the journalplan) set an accessgroup and thereby control access. Is that enough to say yes?</t>
        </is>
      </c>
      <c r="Q139" s="35" t="n"/>
      <c r="R139" s="35" t="n"/>
      <c r="S139" s="35" t="n"/>
      <c r="T139" s="35" t="n"/>
      <c r="U139" s="35" t="inlineStr">
        <is>
          <t>Not Started</t>
        </is>
      </c>
      <c r="V139" s="37">
        <f>IF(U139="Not Started",0%,IF(U139="Started",50%,IF(U139="Ready for review",70%,IF(U139="Reviewed - Content",80%,IF(U139="Reviewed - Format",90%,IF(U139="Done",100%,""))))))</f>
        <v/>
      </c>
      <c r="W139" t="inlineStr">
        <is>
          <t>2026-07-07</t>
        </is>
      </c>
      <c r="X139" t="inlineStr">
        <is>
          <t>Cursor / tender-response (batch)</t>
        </is>
      </c>
      <c r="Y139" t="inlineStr">
        <is>
          <t>Not met</t>
        </is>
      </c>
      <c r="Z139" t="inlineStr">
        <is>
          <t>Verified</t>
        </is>
      </c>
      <c r="AA139" t="inlineStr">
        <is>
          <t>Check: Journalplan — gap ift. kravtekst; eskalér commitment eller afklaring.</t>
        </is>
      </c>
      <c r="AB139" t="inlineStr">
        <is>
          <t>ADN: with FFUI on cases - i can based on the archive (part of the journalplan) set an accessgroup and thereby control access. Is that enough to say yes? | Red flag: Kan vi ikke</t>
        </is>
      </c>
      <c r="AC139" t="inlineStr">
        <is>
          <t>docs/tender-reference/extracted/KUM-SLKS/Bilag 3 - Kravspecifikation.txt; docs/tender-reference/extracted/Nationalbanken/Bilag 3.i Leverandørens Løsningsbeskrivelse.txt; docs/tender-reference/extracted/KK Tender tool.txt</t>
        </is>
      </c>
      <c r="AD139" t="inlineStr">
        <is>
          <t>Anton: Commitment/no-bid beslutning; overvej Q&amp;A til ordregiver.</t>
        </is>
      </c>
      <c r="AE139" t="inlineStr"/>
      <c r="AF139" t="inlineStr">
        <is>
          <t>Draft</t>
        </is>
      </c>
      <c r="AG139" t="inlineStr">
        <is>
          <t>uim-esdh-full-2026-07-07</t>
        </is>
      </c>
    </row>
    <row r="140" ht="80" customHeight="1">
      <c r="A140" s="35" t="n">
        <v>139</v>
      </c>
      <c r="B140" s="35" t="inlineStr">
        <is>
          <t>K-11</t>
        </is>
      </c>
      <c r="C140" s="35" t="inlineStr">
        <is>
          <t>Bilag 1.b</t>
        </is>
      </c>
      <c r="D140" s="35" t="inlineStr">
        <is>
          <t>Administratormodul</t>
        </is>
      </c>
      <c r="E140" s="35" t="inlineStr">
        <is>
          <t>Import og eksport af Konfiguration - brugergrænsefladen</t>
        </is>
      </c>
      <c r="F140" s="35" t="inlineStr">
        <is>
          <t>ESDH-løsningen skal understøtte, at Kundens Konfiguration af brugergrænsefladen kan eksporteres og importeres på tværs af Kundens it-miljøer (f.eks. fra et test- eller udviklingsmiljø til pre-produktions- og produktionsmiljøet).</t>
        </is>
      </c>
      <c r="G140" s="35" t="inlineStr">
        <is>
          <t>Krav</t>
        </is>
      </c>
      <c r="H140" s="35">
        <f>IF(G140="Evalueringskrav","Answer",(IF(G140="Krav","Check",(IF(G140="Mindstekrav","Verify","")))))</f>
        <v/>
      </c>
      <c r="I140" s="35" t="inlineStr">
        <is>
          <t>Ja</t>
        </is>
      </c>
      <c r="J140" s="35" t="n"/>
      <c r="K140" s="47" t="n"/>
      <c r="L140" s="35" t="inlineStr">
        <is>
          <t>Anton</t>
        </is>
      </c>
      <c r="M140" s="35" t="n"/>
      <c r="N140" s="35" t="n"/>
      <c r="O140" s="35" t="inlineStr">
        <is>
          <t>3. Not able to meet</t>
        </is>
      </c>
      <c r="P140" s="35" t="inlineStr">
        <is>
          <t>ADN: We dont have that. "Import/Eksort UI"</t>
        </is>
      </c>
      <c r="Q140" s="35" t="n"/>
      <c r="R140" s="35" t="n"/>
      <c r="S140" s="35" t="n"/>
      <c r="T140" s="35" t="n"/>
      <c r="U140" s="35" t="inlineStr">
        <is>
          <t>Not Started</t>
        </is>
      </c>
      <c r="V140" s="37">
        <f>IF(U140="Not Started",0%,IF(U140="Started",50%,IF(U140="Ready for review",70%,IF(U140="Reviewed - Content",80%,IF(U140="Reviewed - Format",90%,IF(U140="Done",100%,""))))))</f>
        <v/>
      </c>
      <c r="W140" t="inlineStr">
        <is>
          <t>2026-07-07</t>
        </is>
      </c>
      <c r="X140" t="inlineStr">
        <is>
          <t>Cursor / tender-response (batch)</t>
        </is>
      </c>
      <c r="Y140" t="inlineStr">
        <is>
          <t>Not met</t>
        </is>
      </c>
      <c r="Z140" t="inlineStr">
        <is>
          <t>Verified</t>
        </is>
      </c>
      <c r="AA140" t="inlineStr">
        <is>
          <t>Check: Import og eksport af Konfiguration - brugergrænsefladen — gap ift. kravtekst; eskalér commitment eller afklaring.</t>
        </is>
      </c>
      <c r="AB140" t="inlineStr">
        <is>
          <t>ADN: We dont have that. "Import/Eksort UI" | Red flag: Kan vi ikke</t>
        </is>
      </c>
      <c r="AC140"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140" t="inlineStr">
        <is>
          <t>Anton: Commitment/no-bid beslutning; overvej Q&amp;A til ordregiver.</t>
        </is>
      </c>
      <c r="AE140" t="inlineStr"/>
      <c r="AF140" t="inlineStr">
        <is>
          <t>Draft</t>
        </is>
      </c>
      <c r="AG140" t="inlineStr">
        <is>
          <t>uim-esdh-full-2026-07-07</t>
        </is>
      </c>
    </row>
    <row r="141" ht="80" customHeight="1">
      <c r="A141" s="35" t="n">
        <v>140</v>
      </c>
      <c r="B141" s="35" t="inlineStr">
        <is>
          <t>K-12</t>
        </is>
      </c>
      <c r="C141" s="35" t="inlineStr">
        <is>
          <t>Bilag 1.b</t>
        </is>
      </c>
      <c r="D141" s="35" t="inlineStr">
        <is>
          <t>Administratormodul</t>
        </is>
      </c>
      <c r="E141" s="35" t="inlineStr">
        <is>
          <t>Import og eksport af Konfiguration - Administratormodul</t>
        </is>
      </c>
      <c r="F141" s="35" t="inlineStr">
        <is>
          <t>ESDH-løsningen skal understøtte, at Kundens Konfiguration fra administratormodulet kan eksporteres og importeres på tværs af Kundens it-miljøer (f.eks. fra et test- eller udviklingsmiljø til pre-produktions- og produktionsmiljøet).</t>
        </is>
      </c>
      <c r="G141" s="35" t="inlineStr">
        <is>
          <t>Krav</t>
        </is>
      </c>
      <c r="H141" s="35">
        <f>IF(G141="Evalueringskrav","Answer",(IF(G141="Krav","Check",(IF(G141="Mindstekrav","Verify","")))))</f>
        <v/>
      </c>
      <c r="I141" s="35" t="inlineStr">
        <is>
          <t>Ja</t>
        </is>
      </c>
      <c r="J141" s="35" t="n"/>
      <c r="K141" s="47" t="n"/>
      <c r="L141" s="35" t="inlineStr">
        <is>
          <t>Anton</t>
        </is>
      </c>
      <c r="M141" s="35" t="n"/>
      <c r="N141" s="35" t="n"/>
      <c r="O141" s="35" t="inlineStr">
        <is>
          <t>3. Not able to meet</t>
        </is>
      </c>
      <c r="P141" s="35" t="inlineStr">
        <is>
          <t>ADN: We dont have that "Import/Export webadmin"</t>
        </is>
      </c>
      <c r="Q141" s="35" t="n"/>
      <c r="R141" s="35" t="n"/>
      <c r="S141" s="35" t="n"/>
      <c r="T141" s="35" t="n"/>
      <c r="U141" s="35" t="inlineStr">
        <is>
          <t>Not Started</t>
        </is>
      </c>
      <c r="V141" s="37">
        <f>IF(U141="Not Started",0%,IF(U141="Started",50%,IF(U141="Ready for review",70%,IF(U141="Reviewed - Content",80%,IF(U141="Reviewed - Format",90%,IF(U141="Done",100%,""))))))</f>
        <v/>
      </c>
      <c r="W141" t="inlineStr">
        <is>
          <t>2026-07-07</t>
        </is>
      </c>
      <c r="X141" t="inlineStr">
        <is>
          <t>Cursor / tender-response (batch)</t>
        </is>
      </c>
      <c r="Y141" t="inlineStr">
        <is>
          <t>Not met</t>
        </is>
      </c>
      <c r="Z141" t="inlineStr">
        <is>
          <t>Verified</t>
        </is>
      </c>
      <c r="AA141" t="inlineStr">
        <is>
          <t>Check: Import og eksport af Konfiguration - Administratormodul — gap ift. kravtekst; eskalér commitment eller afklaring.</t>
        </is>
      </c>
      <c r="AB141" t="inlineStr">
        <is>
          <t>ADN: We dont have that "Import/Export webadmin" | Red flag: Kan vi ikke</t>
        </is>
      </c>
      <c r="AC141" t="inlineStr">
        <is>
          <t>docs/tender-reference/extracted/Nationalbanken/Bilag 3.i Leverandørens Løsningsbeskrivelse.txt; docs/tender-reference/extracted/KK Tender tool.txt; docs/tender-reference/extracted/KUM-SLKS/Bilag 1 - Tidsplan.txt</t>
        </is>
      </c>
      <c r="AD141" t="inlineStr">
        <is>
          <t>Anton: Commitment/no-bid beslutning; overvej Q&amp;A til ordregiver.</t>
        </is>
      </c>
      <c r="AE141" t="inlineStr"/>
      <c r="AF141" t="inlineStr">
        <is>
          <t>Draft</t>
        </is>
      </c>
      <c r="AG141" t="inlineStr">
        <is>
          <t>uim-esdh-full-2026-07-07</t>
        </is>
      </c>
    </row>
    <row r="142" ht="48" customHeight="1">
      <c r="A142" s="35" t="n">
        <v>141</v>
      </c>
      <c r="B142" s="35" t="inlineStr">
        <is>
          <t>K-13</t>
        </is>
      </c>
      <c r="C142" s="35" t="inlineStr">
        <is>
          <t>Bilag 1.b</t>
        </is>
      </c>
      <c r="D142" s="35" t="inlineStr">
        <is>
          <t>Administratormodul</t>
        </is>
      </c>
      <c r="E142" s="35" t="inlineStr">
        <is>
          <t>Moduler</t>
        </is>
      </c>
      <c r="F142" s="35" t="inlineStr">
        <is>
          <t>ESDH-løsningen skal understøtte, at Løsningens tilknyttede moduler kan administreres i Løsningens administratormodul i form af opsætning og vedligeholdelse.</t>
        </is>
      </c>
      <c r="G142" s="35" t="inlineStr">
        <is>
          <t>Krav</t>
        </is>
      </c>
      <c r="H142" s="35">
        <f>IF(G142="Evalueringskrav","Answer",(IF(G142="Krav","Check",(IF(G142="Mindstekrav","Verify","")))))</f>
        <v/>
      </c>
      <c r="I142" s="35" t="inlineStr">
        <is>
          <t>Ja</t>
        </is>
      </c>
      <c r="J142" s="35" t="n"/>
      <c r="K142" s="47" t="n"/>
      <c r="L142" s="35" t="inlineStr">
        <is>
          <t>Anton</t>
        </is>
      </c>
      <c r="M142" s="35" t="n"/>
      <c r="N142" s="35" t="n"/>
      <c r="O142" s="35" t="inlineStr">
        <is>
          <t>1. Fully met</t>
        </is>
      </c>
      <c r="P142" s="35" t="n"/>
      <c r="Q142" s="35" t="n"/>
      <c r="R142" s="35" t="n"/>
      <c r="S142" s="35" t="n"/>
      <c r="T142" s="35" t="n"/>
      <c r="U142" s="35" t="inlineStr">
        <is>
          <t>Not Started</t>
        </is>
      </c>
      <c r="V142" s="37">
        <f>IF(U142="Not Started",0%,IF(U142="Started",50%,IF(U142="Ready for review",70%,IF(U142="Reviewed - Content",80%,IF(U142="Reviewed - Format",90%,IF(U142="Done",100%,""))))))</f>
        <v/>
      </c>
      <c r="W142" t="inlineStr">
        <is>
          <t>2026-07-07</t>
        </is>
      </c>
      <c r="X142" t="inlineStr">
        <is>
          <t>Cursor / tender-response (batch)</t>
        </is>
      </c>
      <c r="Y142" t="inlineStr">
        <is>
          <t>Met</t>
        </is>
      </c>
      <c r="Z142" t="inlineStr">
        <is>
          <t>Verified</t>
        </is>
      </c>
      <c r="AA142" t="inlineStr">
        <is>
          <t>Check: Moduler — vurderet opfyldt (tool: 1. Fully met).</t>
        </is>
      </c>
      <c r="AB142" t="inlineStr">
        <is>
          <t>Red flag: Kan vi ikke</t>
        </is>
      </c>
      <c r="AC142" t="inlineStr">
        <is>
          <t>docs/tender-reference/extracted/Nationalbanken/Bilag 3.i Leverandørens Løsningsbeskrivelse.txt; docs/tender-reference/extracted/KK Tender tool.txt; docs/tender-reference/extracted/KUM-SLKS/Bilag 3 - Kravspecifikation.txt</t>
        </is>
      </c>
      <c r="AD142" t="inlineStr">
        <is>
          <t>Anton: Confirm verify-tekst; opdatér review status efter tjek.</t>
        </is>
      </c>
      <c r="AE142" t="inlineStr"/>
      <c r="AF142" t="inlineStr">
        <is>
          <t>Draft</t>
        </is>
      </c>
      <c r="AG142" t="inlineStr">
        <is>
          <t>uim-esdh-full-2026-07-07</t>
        </is>
      </c>
    </row>
    <row r="143" ht="32" customHeight="1">
      <c r="A143" s="35" t="n">
        <v>142</v>
      </c>
      <c r="B143" s="35" t="inlineStr">
        <is>
          <t>K-14</t>
        </is>
      </c>
      <c r="C143" s="35" t="inlineStr">
        <is>
          <t>Bilag 1.b</t>
        </is>
      </c>
      <c r="D143" s="35" t="inlineStr">
        <is>
          <t>Administratormodul</t>
        </is>
      </c>
      <c r="E143" s="35" t="inlineStr">
        <is>
          <t>Ensartet datoformat</t>
        </is>
      </c>
      <c r="F143" s="35" t="inlineStr">
        <is>
          <t>ESDH-løsningen skal understøtte, at en Administrator kan opsætte visning af datoformatet i Løsningen.</t>
        </is>
      </c>
      <c r="G143" s="35" t="inlineStr">
        <is>
          <t>Krav</t>
        </is>
      </c>
      <c r="H143" s="35">
        <f>IF(G143="Evalueringskrav","Answer",(IF(G143="Krav","Check",(IF(G143="Mindstekrav","Verify","")))))</f>
        <v/>
      </c>
      <c r="I143" s="35" t="inlineStr">
        <is>
          <t>Ja</t>
        </is>
      </c>
      <c r="J143" s="35" t="n"/>
      <c r="K143" s="47" t="n"/>
      <c r="L143" s="35" t="inlineStr">
        <is>
          <t>Anton</t>
        </is>
      </c>
      <c r="M143" s="35" t="n"/>
      <c r="N143" s="35" t="n"/>
      <c r="O143" s="35" t="inlineStr">
        <is>
          <t>3. Not able to meet</t>
        </is>
      </c>
      <c r="P143" s="35" t="inlineStr">
        <is>
          <t>ADN: We dont have that. - i dont understand why they want it.</t>
        </is>
      </c>
      <c r="Q143" s="35" t="n"/>
      <c r="R143" s="35" t="n"/>
      <c r="S143" s="35" t="n"/>
      <c r="T143" s="35" t="n"/>
      <c r="U143" s="35" t="inlineStr">
        <is>
          <t>Not Started</t>
        </is>
      </c>
      <c r="V143" s="37">
        <f>IF(U143="Not Started",0%,IF(U143="Started",50%,IF(U143="Ready for review",70%,IF(U143="Reviewed - Content",80%,IF(U143="Reviewed - Format",90%,IF(U143="Done",100%,""))))))</f>
        <v/>
      </c>
      <c r="W143" t="inlineStr">
        <is>
          <t>2026-07-07</t>
        </is>
      </c>
      <c r="X143" t="inlineStr">
        <is>
          <t>Cursor / tender-response (batch)</t>
        </is>
      </c>
      <c r="Y143" t="inlineStr">
        <is>
          <t>Not met</t>
        </is>
      </c>
      <c r="Z143" t="inlineStr">
        <is>
          <t>Verified</t>
        </is>
      </c>
      <c r="AA143" t="inlineStr">
        <is>
          <t>Check: Ensartet datoformat — gap ift. kravtekst; eskalér commitment eller afklaring.</t>
        </is>
      </c>
      <c r="AB143" t="inlineStr">
        <is>
          <t>ADN: We dont have that. - i dont understand why they want it.</t>
        </is>
      </c>
      <c r="AC143" t="inlineStr">
        <is>
          <t>docs/tender-reference/extracted/KK Tender tool.txt; docs/tender-reference/extracted/KUM-SLKS/Bilag 3 - Kravspecifikation.txt; docs/tender-reference/extracted/Nationalbanken/Bilag 3.i Leverandørens Løsningsbeskrivelse.txt</t>
        </is>
      </c>
      <c r="AD143" t="inlineStr">
        <is>
          <t>Anton: Commitment/no-bid beslutning; overvej Q&amp;A til ordregiver.</t>
        </is>
      </c>
      <c r="AE143" t="inlineStr"/>
      <c r="AF143" t="inlineStr">
        <is>
          <t>Draft</t>
        </is>
      </c>
      <c r="AG143" t="inlineStr">
        <is>
          <t>uim-esdh-full-2026-07-07</t>
        </is>
      </c>
    </row>
    <row r="144" ht="409.5" customHeight="1">
      <c r="A144" s="35" t="n">
        <v>143</v>
      </c>
      <c r="B144" s="35" t="inlineStr">
        <is>
          <t>EK-5</t>
        </is>
      </c>
      <c r="C144" s="35" t="inlineStr">
        <is>
          <t>Bilag 1.b</t>
        </is>
      </c>
      <c r="D144" s="35" t="inlineStr">
        <is>
          <t>Administratormodul</t>
        </is>
      </c>
      <c r="E144" s="35" t="inlineStr">
        <is>
          <t>Administrator-modul</t>
        </is>
      </c>
      <c r="F144" s="35" t="inlineStr">
        <is>
          <t>For at understøtte Kundens administration af ESDH-løsningen er det væsentligt, at Administrator kan administrere ESDH-løsningens standardfunktionalitet samt Kundeoprettede Entiteter via no-code.
Leverandøren skal beskrive, hvordan den tilbudte ESDH-løsning understøtter administration via administratormodul.
Leverandøren skal gennem konkrete skærmbilleder demonstrere om og hvordan ESDH-løsningen understøtter de stillede krav og møder Kundens behov.
Leverandøren skal redegøre for: 
Opbygningen af administratormodulet
Hvilke muligheder Administratoren har for at angive navngivning og unik kode i forbindelse med oprettelsen af f.eks. et metadatafelt 
Hvordan Administratorer kan vedligeholde og foretage ændringer samt tilføjelser i alle tabeller og værdilister
Hvordan Administratorer kan opsætte regler og valideringer
Hvordan Administratorer kan opsætte ikoner i ESDH-løsningen til brug i Konfiguration i ESDH-løsningens brugergrænseflade
Hvordan Administratorer kan oprette og vedligeholde Brugere og deres adgange via administratormodulet
Hvordan ESDH-løsningen administratormodul understøtter systembeskeder, der kan vises i brugergrænsefladen
Hvilke datafelter en Administrator kan oprette via administratormodulet
Hvordan Administrator kan oprette og vedligeholde journalplan via administratormodul
Hvordan Administrator kan lave nye sagstyper, dokumenttyper og kontakttyper i administratormodulet
Hvordan Administrator kan lave nye sagsparter, dokumentparter i administratormodulet
Hvordan en Administrator kan oprette egne krydsreferencer
Hvordan Administrator kan oprette og vedligeholde partsroller på sags- og dokumentniveau
Hvordan Administrator kan oprette og vedligeholde både standard noter og nye notetyper på sags-, dokument- og kontaktniveau
Evalueringskriterier:
Det vægtes positivt, i hvor høj grad administratormodulet er opbygget på en intuitiv og brugervenlig måde, hvor Administrator på en let, nem og ensartet måde kan udføre sine opgaver. 
Det vægtes positivt, i hvor høj grad Administratoren kan oprette, vedligeholde og foretage ændringer til alle Entiteter, tabeller og værdilister. 
Det vægtes positivt, i hvor høj grad der i administratormodulet kan oprettes flere datafelter f.eks. kodetabelfelter, datofelter, tekstfelter, talfelter og fritekstfelter.
Det vægtes positivt, i hvor høj grad der i administratormodulet kan oprettes nye sagstyper, dokumenttyper og kontakttyper samt egne Entiteter. 
Det vægtes positivt, i hvor høj grad der i administratormodulet kan oprettes nye sagsparter, dokumentparter samt, i hvor høj grad Administratoren kan omdøbe standardparter eller slette/deaktivere standardparter som ikke skal benyttes af Kunden. 
Det vægtes positivt, i hvor høj grad Administrator kan administrere opsætning af f.eks. journalplan/facetplan, valideringsregler, opsætning af forsendelseskanaler og krav hertil, godkendelsesprocesser samt general opsætning af ESDH-løsningen og dens moduler/funktioner.
Det vægtes positivt, i hvor høj grad Administrator kan oprette og administrere egne kontakthenvisninger og krydsreferencer mellem kontakter. 
Det vægtes positivt, i hvor høj grad ESDH-løsningen har standard-ikoner tilgængelig i administratormodulet.
Det vægtes positivt, i hvor høj grad ESDH-løsningen understøtter oprettelse og vedligeholdelse af standard-ikoner og Kundeoprettet ikoner.
Det vægtes positivt, i hvor høj grad ESDH-løsningen understøtter, at ikoner kan benyttes til validering, således at ikoner kan ændre sig ud fra metadata.
Det vægtes positivt, i hvor høj grad Administrator kan opsætte valideringsregler for, hvilke ikoner som skal benyttes for en sag, og at ikoner på sagen ændres ud fra sagens tilstand.</t>
        </is>
      </c>
      <c r="G144" s="35" t="inlineStr">
        <is>
          <t>Evalueringskrav</t>
        </is>
      </c>
      <c r="H144" s="35">
        <f>IF(G144="Evalueringskrav","Answer",(IF(G144="Krav","Check",(IF(G144="Mindstekrav","Verify","")))))</f>
        <v/>
      </c>
      <c r="I144" s="35" t="inlineStr">
        <is>
          <t>Ja</t>
        </is>
      </c>
      <c r="J144" s="35" t="n"/>
      <c r="K144" s="47" t="n"/>
      <c r="L144" s="35" t="inlineStr">
        <is>
          <t>Torben</t>
        </is>
      </c>
      <c r="M144" s="35" t="n"/>
      <c r="N144" s="35" t="n"/>
      <c r="O144" s="35" t="n"/>
      <c r="P144" s="35" t="n"/>
      <c r="Q144" s="35" t="n"/>
      <c r="R144" s="35" t="n"/>
      <c r="S144" s="35" t="n"/>
      <c r="T144" s="35" t="n"/>
      <c r="U144" s="35" t="inlineStr">
        <is>
          <t>Not Started</t>
        </is>
      </c>
      <c r="V144" s="37">
        <f>IF(U144="Not Started",0%,IF(U144="Started",50%,IF(U144="Ready for review",70%,IF(U144="Reviewed - Content",80%,IF(U144="Reviewed - Format",90%,IF(U144="Done",100%,""))))))</f>
        <v/>
      </c>
      <c r="W144" t="inlineStr">
        <is>
          <t>2026-07-07</t>
        </is>
      </c>
      <c r="X144" t="inlineStr">
        <is>
          <t>Cursor / tender-response (batch)</t>
        </is>
      </c>
      <c r="Y144" t="inlineStr">
        <is>
          <t>Draft needed</t>
        </is>
      </c>
      <c r="Z144" t="inlineStr">
        <is>
          <t>Verified</t>
        </is>
      </c>
      <c r="AA144" t="inlineStr">
        <is>
          <t>Answer: Administrator-modul — informationskrav; udkast bilag/dokumentation mangler.</t>
        </is>
      </c>
      <c r="AB144" t="inlineStr">
        <is>
          <t>Mangler link til svar-bilag i kolonne T.</t>
        </is>
      </c>
      <c r="AC144" t="inlineStr">
        <is>
          <t>docs/tender-reference/extracted/Nationalbanken/Bilag 3.i Leverandørens Løsningsbeskrivelse.txt; docs/tender-reference/extracted/KUM-SLKS/Bilag 3 - Kravspecifikation.txt; docs/tender-reference/extracted/NND/02.01-Tieto-Bilag 2-Vedlegg-Leverandørens utfyllende svar til kravtabell.txt</t>
        </is>
      </c>
      <c r="AD144" t="inlineStr">
        <is>
          <t>Torben: Opret/link svar-bilag; draft IK-tekst fra prior art.</t>
        </is>
      </c>
      <c r="AE144" t="inlineStr"/>
      <c r="AF144" t="inlineStr">
        <is>
          <t>Draft</t>
        </is>
      </c>
      <c r="AG144" t="inlineStr">
        <is>
          <t>uim-esdh-full-2026-07-07</t>
        </is>
      </c>
    </row>
    <row r="145" ht="409.5" customHeight="1">
      <c r="A145" s="35" t="n">
        <v>144</v>
      </c>
      <c r="B145" s="35" t="inlineStr">
        <is>
          <t>EK-6</t>
        </is>
      </c>
      <c r="C145" s="35" t="inlineStr">
        <is>
          <t>Bilag 1.b</t>
        </is>
      </c>
      <c r="D145" s="35" t="inlineStr">
        <is>
          <t>Administratormodul</t>
        </is>
      </c>
      <c r="E145" s="35" t="inlineStr">
        <is>
          <t>Datamodel</t>
        </is>
      </c>
      <c r="F145" s="35" t="inlineStr">
        <is>
          <t>Leverandøren skal beskrive, om og hvordan den tilbudte ESDH-løsning understøtter Konfiguration og udvidelse af Løsningens Datamodel/objektmodel via en administrativ brugergrænseflade.
Leverandøren skal redegøre for: 
Hvordan Administratorer kan tilføje og vedligeholde metadata på Løsningens standardentiteter, herunder Dokument, sag og kontakt
Hvordan Administratorer kan oprette nye Entiteter/objekttyper med tilhørende metadatafelter, felttyper, valideringsregler, klassifikationer og eventuelle statusmodeller
Hvordan der kan oprettes og vedligeholdes relationer mellem både standardentiteter og nye Entiteter
Hvordan nye Entiteter og metadata kan gøres tilgængelige i sagsbehandlerens brugergrænseflade gennem Konfiguration af skærmbilleder, formularer, visninger, søgning, lister og rettighedsstyring
Hvordan nye Entiteter, metadata og relationer eksponeres gennem Løsningens standard ESDH-integrations-API, herunder om API’et automatisk afspejler konfigurerede udvidelser, eller om dette kræver særskilt udvikling, tilpasning eller leverandørbistand
Hvordan ændringer i Datamodellen håndteres over tid, herunder versionering, migrering af eksisterende data, audit/logning, test og publicering mellem miljøer
Evalueringskriterier:
Det vægtes positivt, i hvor høj grad Løsningen understøtter, at en Administrator kan konfigurere og udvide Datamodel, metadata, relationer, brugergrænseflade og API-tilgængelighed uden kodeændringer, databaseændringer eller leverandørspecifik udvikling.
Det vægtes positivt, i hvor høj grad nye Entiteter, metadata og relationer indgår konsistent på tværs af sagsbehandlergrænseflade, søgninger, rettighedsstyring, audit, rapportering og standard ESDH-integrations-API.
Det vægtes positivt, i hvor høj grad udvidelser af Datamodellen ikke kræver specialudvikling herunder direkte databaseændringer, særskilte integrationskomponenter eller væsentlig leverandørbistand.</t>
        </is>
      </c>
      <c r="G145" s="35" t="inlineStr">
        <is>
          <t>Evalueringskrav</t>
        </is>
      </c>
      <c r="H145" s="35">
        <f>IF(G145="Evalueringskrav","Answer",(IF(G145="Krav","Check",(IF(G145="Mindstekrav","Verify","")))))</f>
        <v/>
      </c>
      <c r="I145" s="35" t="inlineStr">
        <is>
          <t>Ja</t>
        </is>
      </c>
      <c r="J145" s="35" t="n"/>
      <c r="K145" s="47" t="n"/>
      <c r="L145" s="35" t="inlineStr">
        <is>
          <t>Torben</t>
        </is>
      </c>
      <c r="M145" s="35" t="n"/>
      <c r="N145" s="35" t="n"/>
      <c r="O145" s="35" t="n"/>
      <c r="P145" s="35" t="n"/>
      <c r="Q145" s="35" t="n"/>
      <c r="R145" s="35" t="n"/>
      <c r="S145" s="35" t="n"/>
      <c r="T145" s="35" t="n"/>
      <c r="U145" s="35" t="inlineStr">
        <is>
          <t>Not Started</t>
        </is>
      </c>
      <c r="V145" s="37">
        <f>IF(U145="Not Started",0%,IF(U145="Started",50%,IF(U145="Ready for review",70%,IF(U145="Reviewed - Content",80%,IF(U145="Reviewed - Format",90%,IF(U145="Done",100%,""))))))</f>
        <v/>
      </c>
      <c r="W145" t="inlineStr">
        <is>
          <t>2026-07-07</t>
        </is>
      </c>
      <c r="X145" t="inlineStr">
        <is>
          <t>Cursor / tender-response (batch)</t>
        </is>
      </c>
      <c r="Y145" t="inlineStr">
        <is>
          <t>Draft needed</t>
        </is>
      </c>
      <c r="Z145" t="inlineStr">
        <is>
          <t>Verified</t>
        </is>
      </c>
      <c r="AA145" t="inlineStr">
        <is>
          <t>Answer: Datamodel — informationskrav; udkast bilag/dokumentation mangler.</t>
        </is>
      </c>
      <c r="AB145" t="inlineStr">
        <is>
          <t>Mangler link til svar-bilag i kolonne T.</t>
        </is>
      </c>
      <c r="AC145" t="inlineStr">
        <is>
          <t>docs/tender-reference/extracted/Nationalbanken/Bilag 3.i Leverandørens Løsningsbeskrivelse.txt; docs/tender-reference/extracted/KK Tender tool.txt; docs/tender-reference/extracted/KUM-SLKS/Bilag 3 - Kravspecifikation.txt</t>
        </is>
      </c>
      <c r="AD145" t="inlineStr">
        <is>
          <t>Torben: Opret/link svar-bilag; draft IK-tekst fra prior art.</t>
        </is>
      </c>
      <c r="AE145" t="inlineStr"/>
      <c r="AF145" t="inlineStr">
        <is>
          <t>Draft</t>
        </is>
      </c>
      <c r="AG145" t="inlineStr">
        <is>
          <t>uim-esdh-full-2026-07-07</t>
        </is>
      </c>
    </row>
    <row r="146" ht="409.5" customHeight="1">
      <c r="A146" s="35" t="n">
        <v>145</v>
      </c>
      <c r="B146" s="35" t="inlineStr">
        <is>
          <t>EK-7</t>
        </is>
      </c>
      <c r="C146" s="35" t="inlineStr">
        <is>
          <t>Bilag 1.b</t>
        </is>
      </c>
      <c r="D146" s="35" t="inlineStr">
        <is>
          <t>Administratormodul</t>
        </is>
      </c>
      <c r="E146" s="35" t="inlineStr">
        <is>
          <t>Konfiguration af bruger-grænseflade</t>
        </is>
      </c>
      <c r="F146" s="35" t="inlineStr">
        <is>
          <t>Leverandøren skal beskrive, hvordan den tilbudte ESDH-løsning understøtter Konfiguration af brugergrænsefladen. 
Leverandøren skal gennem konkrete skærmbilleder demonstrere om og hvordan ESDH-løsningen understøtter de stillede krav og møder Kundens behov.
Leverandøren skal redegøre for: 
Hvordan Administrator kan konfigurere data på sager, Dokumenter og kontakter f.eks. metadata og faner. 
Hvordan Administrator kan navngive ESDH-løsningen standardfelter og egne konfigurerede faner på sager, Dokumenter, kontakter og kolonner 
Hvordan Brugeren kan konfigurere sine egne visninger f.eks. ved at påsætte kolonner og filtre
Hvordan en Administrator kan definere, hvilke metadata, både standardfelter og egne konfigurerede felter, som bliver vist på visningsbilleder, faner, kolonner og lister. 
Evalueringskriterier:
Det vægtes positivt, i hvor høj grad Administrator kan definere, hvilke data som bliver vist på visningsbilleder på ESDH-løsningens Entiteter og på faner, kolonner og lister.
Det vægtes positivt, i hvor høj grad Brugeren selv har mulighed for at tilpasse og opsætte egen visning i brugergrænsefladen.</t>
        </is>
      </c>
      <c r="G146" s="35" t="inlineStr">
        <is>
          <t>Evalueringskrav</t>
        </is>
      </c>
      <c r="H146" s="35">
        <f>IF(G146="Evalueringskrav","Answer",(IF(G146="Krav","Check",(IF(G146="Mindstekrav","Verify","")))))</f>
        <v/>
      </c>
      <c r="I146" s="35" t="inlineStr">
        <is>
          <t>Ja</t>
        </is>
      </c>
      <c r="J146" s="35" t="n"/>
      <c r="K146" s="47" t="n"/>
      <c r="L146" s="35" t="inlineStr">
        <is>
          <t>Torben</t>
        </is>
      </c>
      <c r="M146" s="35" t="n"/>
      <c r="N146" s="35" t="n"/>
      <c r="O146" s="35" t="n"/>
      <c r="P146" s="35" t="n"/>
      <c r="Q146" s="35" t="n"/>
      <c r="R146" s="35" t="n"/>
      <c r="S146" s="35" t="n"/>
      <c r="T146" s="35" t="n"/>
      <c r="U146" s="35" t="inlineStr">
        <is>
          <t>Not Started</t>
        </is>
      </c>
      <c r="V146" s="37">
        <f>IF(U146="Not Started",0%,IF(U146="Started",50%,IF(U146="Ready for review",70%,IF(U146="Reviewed - Content",80%,IF(U146="Reviewed - Format",90%,IF(U146="Done",100%,""))))))</f>
        <v/>
      </c>
      <c r="W146" t="inlineStr">
        <is>
          <t>2026-07-07</t>
        </is>
      </c>
      <c r="X146" t="inlineStr">
        <is>
          <t>Cursor / tender-response (batch)</t>
        </is>
      </c>
      <c r="Y146" t="inlineStr">
        <is>
          <t>Draft needed</t>
        </is>
      </c>
      <c r="Z146" t="inlineStr">
        <is>
          <t>Verified</t>
        </is>
      </c>
      <c r="AA146" t="inlineStr">
        <is>
          <t>Answer: Konfiguration af bruger-grænseflade — informationskrav; udkast bilag/dokumentation mangler.</t>
        </is>
      </c>
      <c r="AB146" t="inlineStr">
        <is>
          <t>Mangler link til svar-bilag i kolonne T.</t>
        </is>
      </c>
      <c r="AC146" t="inlineStr">
        <is>
          <t>docs/tender-reference/extracted/Nationalbanken/Bilag 3.i Leverandørens Løsningsbeskrivelse.txt; docs/tender-reference/extracted/KK Tender tool.txt; docs/tender-reference/extracted/KUM-SLKS/Bilag 3 - Kravspecifikation.txt</t>
        </is>
      </c>
      <c r="AD146" t="inlineStr">
        <is>
          <t>Torben: Opret/link svar-bilag; draft IK-tekst fra prior art.</t>
        </is>
      </c>
      <c r="AE146" t="inlineStr"/>
      <c r="AF146" t="inlineStr">
        <is>
          <t>Draft</t>
        </is>
      </c>
      <c r="AG146" t="inlineStr">
        <is>
          <t>uim-esdh-full-2026-07-07</t>
        </is>
      </c>
    </row>
    <row r="147" ht="409.5" customHeight="1">
      <c r="A147" s="35" t="n">
        <v>146</v>
      </c>
      <c r="B147" s="35" t="inlineStr">
        <is>
          <t>EK-8</t>
        </is>
      </c>
      <c r="C147" s="35" t="inlineStr">
        <is>
          <t>Bilag 1.b</t>
        </is>
      </c>
      <c r="D147" s="35" t="inlineStr">
        <is>
          <t>Administratormodul</t>
        </is>
      </c>
      <c r="E147" s="35" t="inlineStr">
        <is>
          <t>Afgørelses-modul</t>
        </is>
      </c>
      <c r="F147" s="35" t="inlineStr">
        <is>
          <t>Kunden har behov for at registrere Afgørelser på sager i forbindelse med en ansøgning f.eks. familiesammenføring. 
Leverandøren skal beskrive, hvordan den tilbudte ESDH-løsning understøtter Konfiguration af Afgørelser. 
Leverandøren skal gennem konkrete skærmbilleder demonstrere om og hvordan ESDH-løsningen understøtter de stillede krav og møder Kundens behov.
Leverandøren skal redegøre for: 
Hvordan en Administrator kan oprette en Afgørelse som en Entitet i administratormodulet
Hvordan en Administrator opretter Kundeoprettede felter til afgørelsesentiteten med følgende metadata og relationer:
Metadata
Sagsnr.
Afgørelsesdato
Afgørelsesudfald 
Afgørelsesbegrundelse
Sagsområde f.eks. familiesammenføring
Ansvarligt team
Ansvarlig sagsbehandler 
Relationer til:
Afgørelsesdokument
Kontakt (ansøger)
Hvordan en Afgørelse skal registreres på en sag i brugergrænsefladen
Hvordan en Afgørelse som er registreret på en sag automatisk vises og relateres til kontakten i brugergrænsefladen
Hvordan en Afgørelse som er registreret på en sag automatisk vises og relateres til afgørelsesdokumentet
Evalueringskriterier:
Det vægtes positivt, i hvor høj grad metadata og relationer i afgørelsesmodulet kan oprettes i administratormodulet af Administrator.
Det vægtes positivt, i hvor høj grad en Afgørelse kan registreres og vises på en overskuelig måde for Brugeren på en sag i brugergrænsefladen.
Det vægtes positivt, i hvor høj grad en Afgørelse kan vises og udstilles på flere Entiteter i brugergrænsefladen. 
Det vægtes positivt, i hvor høj grad en Afgørelses relationer vises i brugergrænsefladen.
Det vægtes positivt, i hvor høj grad Brugeren kan se alle oplysninger om en Afgørelse i brugergrænsefladen ved mindst mulige klik.</t>
        </is>
      </c>
      <c r="G147" s="35" t="inlineStr">
        <is>
          <t>Evalueringskrav</t>
        </is>
      </c>
      <c r="H147" s="35">
        <f>IF(G147="Evalueringskrav","Answer",(IF(G147="Krav","Check",(IF(G147="Mindstekrav","Verify","")))))</f>
        <v/>
      </c>
      <c r="I147" s="35" t="inlineStr">
        <is>
          <t>Ja</t>
        </is>
      </c>
      <c r="J147" s="35" t="n"/>
      <c r="K147" s="47" t="n"/>
      <c r="L147" s="35" t="inlineStr">
        <is>
          <t>Claus</t>
        </is>
      </c>
      <c r="M147" s="35" t="n"/>
      <c r="N147" s="35" t="n"/>
      <c r="O147" s="35" t="n"/>
      <c r="P147" s="35" t="n"/>
      <c r="Q147" s="35" t="n"/>
      <c r="R147" s="35" t="n"/>
      <c r="S147" s="35" t="n"/>
      <c r="T147" s="35" t="n"/>
      <c r="U147" s="35" t="inlineStr">
        <is>
          <t>Not Started</t>
        </is>
      </c>
      <c r="V147" s="37">
        <f>IF(U147="Not Started",0%,IF(U147="Started",50%,IF(U147="Ready for review",70%,IF(U147="Reviewed - Content",80%,IF(U147="Reviewed - Format",90%,IF(U147="Done",100%,""))))))</f>
        <v/>
      </c>
      <c r="W147" t="inlineStr">
        <is>
          <t>2026-07-07</t>
        </is>
      </c>
      <c r="X147" t="inlineStr">
        <is>
          <t>Cursor / tender-response (batch)</t>
        </is>
      </c>
      <c r="Y147" t="inlineStr">
        <is>
          <t>Draft needed</t>
        </is>
      </c>
      <c r="Z147" t="inlineStr">
        <is>
          <t>Verified</t>
        </is>
      </c>
      <c r="AA147" t="inlineStr">
        <is>
          <t>Answer: Afgørelses-modul — informationskrav; udkast bilag/dokumentation mangler.</t>
        </is>
      </c>
      <c r="AB147" t="inlineStr">
        <is>
          <t>Mangler link til svar-bilag i kolonne T.</t>
        </is>
      </c>
      <c r="AC147" t="inlineStr">
        <is>
          <t>docs/tender-reference/extracted/KK Tender tool.txt; docs/tender-reference/extracted/Nationalbanken/Bilag 3.i Leverandørens Løsningsbeskrivelse.txt; docs/tender-reference/extracted/KUM-SLKS/Bilag 3 - Kravspecifikation.txt</t>
        </is>
      </c>
      <c r="AD147" t="inlineStr">
        <is>
          <t>Claus: Opret/link svar-bilag; draft IK-tekst fra prior art.</t>
        </is>
      </c>
      <c r="AE147" t="inlineStr"/>
      <c r="AF147" t="inlineStr">
        <is>
          <t>Draft</t>
        </is>
      </c>
      <c r="AG147" t="inlineStr">
        <is>
          <t>uim-esdh-full-2026-07-07</t>
        </is>
      </c>
    </row>
    <row r="148" ht="32" customHeight="1">
      <c r="A148" s="35" t="n">
        <v>147</v>
      </c>
      <c r="B148" s="35" t="inlineStr">
        <is>
          <t>MK-125</t>
        </is>
      </c>
      <c r="C148" s="35" t="inlineStr">
        <is>
          <t>Bilag 1.b</t>
        </is>
      </c>
      <c r="D148" s="35" t="inlineStr">
        <is>
          <t>Adgangsstyring</t>
        </is>
      </c>
      <c r="E148" s="35" t="inlineStr">
        <is>
          <t>Adgangsstyring på Entiteter</t>
        </is>
      </c>
      <c r="F148" s="35" t="inlineStr">
        <is>
          <t>ESDH-løsningen skal understøtte, at der kan sættes adgangsrettigheder på sager, Dokumenter og kontakter.</t>
        </is>
      </c>
      <c r="G148" s="35" t="inlineStr">
        <is>
          <t>Mindstekrav</t>
        </is>
      </c>
      <c r="H148" s="35">
        <f>IF(G148="Evalueringskrav","Answer",(IF(G148="Krav","Check",(IF(G148="Mindstekrav","Verify","")))))</f>
        <v/>
      </c>
      <c r="I148" s="35" t="inlineStr">
        <is>
          <t>Ja</t>
        </is>
      </c>
      <c r="J148" s="35" t="n"/>
      <c r="K148" s="47" t="n"/>
      <c r="L148" s="35" t="inlineStr">
        <is>
          <t>Anton</t>
        </is>
      </c>
      <c r="M148" s="35" t="n"/>
      <c r="N148" s="35" t="n"/>
      <c r="O148" s="35" t="inlineStr">
        <is>
          <t>1. Fully met</t>
        </is>
      </c>
      <c r="P148" s="35" t="n"/>
      <c r="Q148" s="35" t="n"/>
      <c r="R148" s="35" t="n"/>
      <c r="S148" s="35" t="n"/>
      <c r="T148" s="35" t="n"/>
      <c r="U148" s="35" t="inlineStr">
        <is>
          <t>Not Started</t>
        </is>
      </c>
      <c r="V148" s="37">
        <f>IF(U148="Not Started",0%,IF(U148="Started",50%,IF(U148="Ready for review",70%,IF(U148="Reviewed - Content",80%,IF(U148="Reviewed - Format",90%,IF(U148="Done",100%,""))))))</f>
        <v/>
      </c>
      <c r="W148" t="inlineStr">
        <is>
          <t>2026-07-07</t>
        </is>
      </c>
      <c r="X148" t="inlineStr">
        <is>
          <t>Cursor / tender-response (batch)</t>
        </is>
      </c>
      <c r="Y148" t="inlineStr">
        <is>
          <t>Met</t>
        </is>
      </c>
      <c r="Z148" t="inlineStr">
        <is>
          <t>Verified</t>
        </is>
      </c>
      <c r="AA148" t="inlineStr">
        <is>
          <t>Verify: Adgangsstyring på Entiteter — vurderet opfyldt (tool: 1. Fully met).</t>
        </is>
      </c>
      <c r="AB148" t="inlineStr"/>
      <c r="AC148" t="inlineStr">
        <is>
          <t>docs/tender-reference/extracted/Nationalbanken/Bilag 3.i Leverandørens Løsningsbeskrivelse.txt; docs/tender-reference/extracted/KUM-SLKS/Bilag 3 - Kravspecifikation.txt; docs/tender-reference/extracted/Nationalbanken/Bilag 9.i Leverandørens løsningsbeskrivelse.txt</t>
        </is>
      </c>
      <c r="AD148" t="inlineStr">
        <is>
          <t>Anton: Confirm verify-tekst; opdatér review status efter tjek.</t>
        </is>
      </c>
      <c r="AE148" t="inlineStr"/>
      <c r="AF148" t="inlineStr">
        <is>
          <t>Draft</t>
        </is>
      </c>
      <c r="AG148" t="inlineStr">
        <is>
          <t>uim-esdh-full-2026-07-07</t>
        </is>
      </c>
    </row>
    <row r="149" ht="64" customHeight="1">
      <c r="A149" s="35" t="n">
        <v>148</v>
      </c>
      <c r="B149" s="35" t="inlineStr">
        <is>
          <t>MK-126</t>
        </is>
      </c>
      <c r="C149" s="35" t="inlineStr">
        <is>
          <t>Bilag 1.b</t>
        </is>
      </c>
      <c r="D149" s="35" t="inlineStr">
        <is>
          <t>Adgangsstyring</t>
        </is>
      </c>
      <c r="E149" s="35" t="inlineStr">
        <is>
          <t>Nedarvning af rettigheder fra sag til Dokumenter</t>
        </is>
      </c>
      <c r="F149" s="35" t="inlineStr">
        <is>
          <t>ESDH-løsningen skal understøtte, at rettigheder fra en sag kan nedarves til sagens tilknyttede Dokumenter og Filer.</t>
        </is>
      </c>
      <c r="G149" s="35" t="inlineStr">
        <is>
          <t>Mindstekrav</t>
        </is>
      </c>
      <c r="H149" s="35">
        <f>IF(G149="Evalueringskrav","Answer",(IF(G149="Krav","Check",(IF(G149="Mindstekrav","Verify","")))))</f>
        <v/>
      </c>
      <c r="I149" s="35" t="inlineStr">
        <is>
          <t>Ja</t>
        </is>
      </c>
      <c r="J149" s="35" t="n"/>
      <c r="K149" s="47" t="n"/>
      <c r="L149" s="35" t="inlineStr">
        <is>
          <t>Anton</t>
        </is>
      </c>
      <c r="M149" s="35" t="n"/>
      <c r="N149" s="35" t="n"/>
      <c r="O149" s="35" t="inlineStr">
        <is>
          <t>1. Fully met</t>
        </is>
      </c>
      <c r="P149" s="35" t="inlineStr">
        <is>
          <t>ADN: Case_Accessgroup could be used - or just "Inherit accessgroup"</t>
        </is>
      </c>
      <c r="Q149" s="35" t="n"/>
      <c r="R149" s="35" t="n"/>
      <c r="S149" s="35" t="n"/>
      <c r="T149" s="35" t="n"/>
      <c r="U149" s="35" t="inlineStr">
        <is>
          <t>Not Started</t>
        </is>
      </c>
      <c r="V149" s="37">
        <f>IF(U149="Not Started",0%,IF(U149="Started",50%,IF(U149="Ready for review",70%,IF(U149="Reviewed - Content",80%,IF(U149="Reviewed - Format",90%,IF(U149="Done",100%,""))))))</f>
        <v/>
      </c>
      <c r="W149" t="inlineStr">
        <is>
          <t>2026-07-07</t>
        </is>
      </c>
      <c r="X149" t="inlineStr">
        <is>
          <t>Cursor / tender-response (batch)</t>
        </is>
      </c>
      <c r="Y149" t="inlineStr">
        <is>
          <t>Met</t>
        </is>
      </c>
      <c r="Z149" t="inlineStr">
        <is>
          <t>Verified</t>
        </is>
      </c>
      <c r="AA149" t="inlineStr">
        <is>
          <t>Verify: Nedarvning af rettigheder fra sag til Dokumenter — vurderet opfyldt (tool: 1. Fully met).</t>
        </is>
      </c>
      <c r="AB149" t="inlineStr">
        <is>
          <t>ADN: Case_Accessgroup could be used - or just "Inherit accessgroup"</t>
        </is>
      </c>
      <c r="AC149" t="inlineStr">
        <is>
          <t>docs/tender-reference/extracted/Nationalbanken/Bilag 3.i Leverandørens Løsningsbeskrivelse.txt; docs/tender-reference/extracted/KK Tender tool.txt; docs/tender-reference/extracted/KUM-SLKS/Bilag 3 - Kravspecifikation.txt</t>
        </is>
      </c>
      <c r="AD149" t="inlineStr">
        <is>
          <t>Anton: Confirm verify-tekst; opdatér review status efter tjek.</t>
        </is>
      </c>
      <c r="AE149" t="inlineStr"/>
      <c r="AF149" t="inlineStr">
        <is>
          <t>Draft</t>
        </is>
      </c>
      <c r="AG149" t="inlineStr">
        <is>
          <t>uim-esdh-full-2026-07-07</t>
        </is>
      </c>
    </row>
    <row r="150" ht="48" customHeight="1">
      <c r="A150" s="35" t="n">
        <v>149</v>
      </c>
      <c r="B150" s="35" t="inlineStr">
        <is>
          <t>MK-127</t>
        </is>
      </c>
      <c r="C150" s="35" t="inlineStr">
        <is>
          <t>Bilag 1.b</t>
        </is>
      </c>
      <c r="D150" s="35" t="inlineStr">
        <is>
          <t>Adgangsstyring</t>
        </is>
      </c>
      <c r="E150" s="35" t="inlineStr">
        <is>
          <t>Begrænsning af adgangsrettigheder</t>
        </is>
      </c>
      <c r="F150" s="35" t="inlineStr">
        <is>
          <t>ESDH-løsningen skal understøtte, at adgangsrettigheden til Entiteter kan begrænses eller gøres fortrolig ad hoc af en Bruger, direkte i brugergrænsefladen.</t>
        </is>
      </c>
      <c r="G150" s="35" t="inlineStr">
        <is>
          <t>Mindstekrav</t>
        </is>
      </c>
      <c r="H150" s="35">
        <f>IF(G150="Evalueringskrav","Answer",(IF(G150="Krav","Check",(IF(G150="Mindstekrav","Verify","")))))</f>
        <v/>
      </c>
      <c r="I150" s="35" t="inlineStr">
        <is>
          <t>Ja</t>
        </is>
      </c>
      <c r="J150" s="35" t="n"/>
      <c r="K150" s="47" t="n"/>
      <c r="L150" s="35" t="inlineStr">
        <is>
          <t>Anton</t>
        </is>
      </c>
      <c r="M150" s="35" t="n"/>
      <c r="N150" s="35" t="n"/>
      <c r="O150" s="35" t="inlineStr">
        <is>
          <t>1. Fully met</t>
        </is>
      </c>
      <c r="P150" s="35" t="n"/>
      <c r="Q150" s="35" t="n"/>
      <c r="R150" s="35" t="n"/>
      <c r="S150" s="35" t="n"/>
      <c r="T150" s="35" t="n"/>
      <c r="U150" s="35" t="inlineStr">
        <is>
          <t>Not Started</t>
        </is>
      </c>
      <c r="V150" s="37">
        <f>IF(U150="Not Started",0%,IF(U150="Started",50%,IF(U150="Ready for review",70%,IF(U150="Reviewed - Content",80%,IF(U150="Reviewed - Format",90%,IF(U150="Done",100%,""))))))</f>
        <v/>
      </c>
      <c r="W150" t="inlineStr">
        <is>
          <t>2026-07-07</t>
        </is>
      </c>
      <c r="X150" t="inlineStr">
        <is>
          <t>Cursor / tender-response (batch)</t>
        </is>
      </c>
      <c r="Y150" t="inlineStr">
        <is>
          <t>Met</t>
        </is>
      </c>
      <c r="Z150" t="inlineStr">
        <is>
          <t>Verified</t>
        </is>
      </c>
      <c r="AA150" t="inlineStr">
        <is>
          <t>Verify: Begrænsning af adgangsrettigheder — vurderet opfyldt (tool: 1. Fully met).</t>
        </is>
      </c>
      <c r="AB150" t="inlineStr"/>
      <c r="AC150" t="inlineStr">
        <is>
          <t>docs/tender-reference/extracted/Nationalbanken/Bilag 3.i Leverandørens Løsningsbeskrivelse.txt; docs/tender-reference/extracted/KK Tender tool.txt; docs/tender-reference/extracted/KUM-SLKS/Bilag 3 - Kravspecifikation.txt</t>
        </is>
      </c>
      <c r="AD150" t="inlineStr">
        <is>
          <t>Anton: Confirm verify-tekst; opdatér review status efter tjek.</t>
        </is>
      </c>
      <c r="AE150" t="inlineStr"/>
      <c r="AF150" t="inlineStr">
        <is>
          <t>Draft</t>
        </is>
      </c>
      <c r="AG150" t="inlineStr">
        <is>
          <t>uim-esdh-full-2026-07-07</t>
        </is>
      </c>
    </row>
    <row r="151" ht="80" customHeight="1">
      <c r="A151" s="35" t="n">
        <v>150</v>
      </c>
      <c r="B151" s="35" t="inlineStr">
        <is>
          <t>MK-128</t>
        </is>
      </c>
      <c r="C151" s="35" t="inlineStr">
        <is>
          <t>Bilag 1.b</t>
        </is>
      </c>
      <c r="D151" s="35" t="inlineStr">
        <is>
          <t>Adgangsstyring</t>
        </is>
      </c>
      <c r="E151" s="35" t="inlineStr">
        <is>
          <t>Differentierede adgangsrettigheder</t>
        </is>
      </c>
      <c r="F151" s="35" t="inlineStr">
        <is>
          <t>ESDH-løsningen skal understøtte differentierede adgangsrettigheder på alle standard og Kundeoprettede Entiteter, så der kan tildeles rettigheder til at: 
Læse
Skrive</t>
        </is>
      </c>
      <c r="G151" s="35" t="inlineStr">
        <is>
          <t>Mindstekrav</t>
        </is>
      </c>
      <c r="H151" s="35">
        <f>IF(G151="Evalueringskrav","Answer",(IF(G151="Krav","Check",(IF(G151="Mindstekrav","Verify","")))))</f>
        <v/>
      </c>
      <c r="I151" s="35" t="inlineStr">
        <is>
          <t>Ja</t>
        </is>
      </c>
      <c r="J151" s="35" t="n"/>
      <c r="K151" s="47" t="n"/>
      <c r="L151" s="35" t="inlineStr">
        <is>
          <t>Anton</t>
        </is>
      </c>
      <c r="M151" s="35" t="n"/>
      <c r="N151" s="35" t="n"/>
      <c r="O151" s="35" t="inlineStr">
        <is>
          <t>1. Fully met</t>
        </is>
      </c>
      <c r="P151" s="35" t="n"/>
      <c r="Q151" s="35" t="n"/>
      <c r="R151" s="35" t="n"/>
      <c r="S151" s="35" t="n"/>
      <c r="T151" s="35" t="n"/>
      <c r="U151" s="35" t="inlineStr">
        <is>
          <t>Not Started</t>
        </is>
      </c>
      <c r="V151" s="37">
        <f>IF(U151="Not Started",0%,IF(U151="Started",50%,IF(U151="Ready for review",70%,IF(U151="Reviewed - Content",80%,IF(U151="Reviewed - Format",90%,IF(U151="Done",100%,""))))))</f>
        <v/>
      </c>
      <c r="W151" t="inlineStr">
        <is>
          <t>2026-07-07</t>
        </is>
      </c>
      <c r="X151" t="inlineStr">
        <is>
          <t>Cursor / tender-response (batch)</t>
        </is>
      </c>
      <c r="Y151" t="inlineStr">
        <is>
          <t>Met</t>
        </is>
      </c>
      <c r="Z151" t="inlineStr">
        <is>
          <t>Verified</t>
        </is>
      </c>
      <c r="AA151" t="inlineStr">
        <is>
          <t>Verify: Differentierede adgangsrettigheder — vurderet opfyldt (tool: 1. Fully met).</t>
        </is>
      </c>
      <c r="AB151" t="inlineStr"/>
      <c r="AC151" t="inlineStr">
        <is>
          <t>docs/tender-reference/extracted/Nationalbanken/Bilag 3.i Leverandørens Løsningsbeskrivelse.txt; docs/tender-reference/extracted/KUM-SLKS/Bilag 3 - Kravspecifikation.txt; docs/tender-reference/extracted/KK Tender tool.txt</t>
        </is>
      </c>
      <c r="AD151" t="inlineStr">
        <is>
          <t>Anton: Confirm verify-tekst; opdatér review status efter tjek.</t>
        </is>
      </c>
      <c r="AE151" t="inlineStr"/>
      <c r="AF151" t="inlineStr">
        <is>
          <t>Draft</t>
        </is>
      </c>
      <c r="AG151" t="inlineStr">
        <is>
          <t>uim-esdh-full-2026-07-07</t>
        </is>
      </c>
    </row>
    <row r="152" ht="48" customHeight="1">
      <c r="A152" s="35" t="n">
        <v>151</v>
      </c>
      <c r="B152" s="35" t="inlineStr">
        <is>
          <t>MK-129</t>
        </is>
      </c>
      <c r="C152" s="35" t="inlineStr">
        <is>
          <t>Bilag 1.b</t>
        </is>
      </c>
      <c r="D152" s="35" t="inlineStr">
        <is>
          <t>Adgangsstyring</t>
        </is>
      </c>
      <c r="E152" s="35" t="inlineStr">
        <is>
          <t>Visning af Brugere</t>
        </is>
      </c>
      <c r="F152" s="35" t="inlineStr">
        <is>
          <t>ESDH-løsningen skal understøtte, at det i brugergrænsefladen kan ses, hvilke Brugere eller adgangsgrupper, der har adgang til den konkrete sag, Dokument eller kontakt.</t>
        </is>
      </c>
      <c r="G152" s="35" t="inlineStr">
        <is>
          <t>Mindstekrav</t>
        </is>
      </c>
      <c r="H152" s="35">
        <f>IF(G152="Evalueringskrav","Answer",(IF(G152="Krav","Check",(IF(G152="Mindstekrav","Verify","")))))</f>
        <v/>
      </c>
      <c r="I152" s="35" t="inlineStr">
        <is>
          <t>Ja</t>
        </is>
      </c>
      <c r="J152" s="35" t="n"/>
      <c r="K152" s="47" t="n"/>
      <c r="L152" s="35" t="inlineStr">
        <is>
          <t>Anton</t>
        </is>
      </c>
      <c r="M152" s="35" t="n"/>
      <c r="N152" s="35" t="n"/>
      <c r="O152" s="35" t="inlineStr">
        <is>
          <t>1. Fully met</t>
        </is>
      </c>
      <c r="P152" s="35" t="n"/>
      <c r="Q152" s="35" t="n"/>
      <c r="R152" s="35" t="n"/>
      <c r="S152" s="35" t="n"/>
      <c r="T152" s="35" t="n"/>
      <c r="U152" s="35" t="inlineStr">
        <is>
          <t>Not Started</t>
        </is>
      </c>
      <c r="V152" s="37">
        <f>IF(U152="Not Started",0%,IF(U152="Started",50%,IF(U152="Ready for review",70%,IF(U152="Reviewed - Content",80%,IF(U152="Reviewed - Format",90%,IF(U152="Done",100%,""))))))</f>
        <v/>
      </c>
      <c r="W152" t="inlineStr">
        <is>
          <t>2026-07-07</t>
        </is>
      </c>
      <c r="X152" t="inlineStr">
        <is>
          <t>Cursor / tender-response (batch)</t>
        </is>
      </c>
      <c r="Y152" t="inlineStr">
        <is>
          <t>Met</t>
        </is>
      </c>
      <c r="Z152" t="inlineStr">
        <is>
          <t>Verified</t>
        </is>
      </c>
      <c r="AA152" t="inlineStr">
        <is>
          <t>Verify: Visning af Brugere — vurderet opfyldt (tool: 1. Fully met).</t>
        </is>
      </c>
      <c r="AB152" t="inlineStr"/>
      <c r="AC152" t="inlineStr">
        <is>
          <t>docs/tender-reference/extracted/KUM-SLKS/Bilag 3 - Kravspecifikation.txt; docs/tender-reference/extracted/Nationalbanken/Bilag 3.i Leverandørens Løsningsbeskrivelse.txt; docs/tender-reference/extracted/KK Tender tool.txt</t>
        </is>
      </c>
      <c r="AD152" t="inlineStr">
        <is>
          <t>Anton: Confirm verify-tekst; opdatér review status efter tjek.</t>
        </is>
      </c>
      <c r="AE152" t="inlineStr"/>
      <c r="AF152" t="inlineStr">
        <is>
          <t>Draft</t>
        </is>
      </c>
      <c r="AG152" t="inlineStr">
        <is>
          <t>uim-esdh-full-2026-07-07</t>
        </is>
      </c>
    </row>
    <row r="153" ht="48" customHeight="1">
      <c r="A153" s="35" t="n">
        <v>152</v>
      </c>
      <c r="B153" s="35" t="inlineStr">
        <is>
          <t>MK-130</t>
        </is>
      </c>
      <c r="C153" s="35" t="inlineStr">
        <is>
          <t>Bilag 1.b</t>
        </is>
      </c>
      <c r="D153" s="35" t="inlineStr">
        <is>
          <t>Adgangsstyring</t>
        </is>
      </c>
      <c r="E153" s="35" t="inlineStr">
        <is>
          <t>Adgangsstyring af kontakter</t>
        </is>
      </c>
      <c r="F153" s="35" t="inlineStr">
        <is>
          <t>ESDH-løsningen skal understøtte, at adgangen til kontakter kan begrænses, således at udvalgte kontakter kun kan tilgås af Brugere med de nødvendige adgangsrettigheder.</t>
        </is>
      </c>
      <c r="G153" s="35" t="inlineStr">
        <is>
          <t>Mindstekrav</t>
        </is>
      </c>
      <c r="H153" s="35">
        <f>IF(G153="Evalueringskrav","Answer",(IF(G153="Krav","Check",(IF(G153="Mindstekrav","Verify","")))))</f>
        <v/>
      </c>
      <c r="I153" s="35" t="inlineStr">
        <is>
          <t>Ja</t>
        </is>
      </c>
      <c r="J153" s="35" t="n"/>
      <c r="K153" s="47" t="n"/>
      <c r="L153" s="35" t="inlineStr">
        <is>
          <t>Anton</t>
        </is>
      </c>
      <c r="M153" s="35" t="n"/>
      <c r="N153" s="35" t="n"/>
      <c r="O153" s="35" t="inlineStr">
        <is>
          <t>1. Fully met</t>
        </is>
      </c>
      <c r="P153" s="35" t="n"/>
      <c r="Q153" s="35" t="n"/>
      <c r="R153" s="35" t="n"/>
      <c r="S153" s="35" t="n"/>
      <c r="T153" s="35" t="n"/>
      <c r="U153" s="35" t="inlineStr">
        <is>
          <t>Not Started</t>
        </is>
      </c>
      <c r="V153" s="37">
        <f>IF(U153="Not Started",0%,IF(U153="Started",50%,IF(U153="Ready for review",70%,IF(U153="Reviewed - Content",80%,IF(U153="Reviewed - Format",90%,IF(U153="Done",100%,""))))))</f>
        <v/>
      </c>
      <c r="W153" t="inlineStr">
        <is>
          <t>2026-07-07</t>
        </is>
      </c>
      <c r="X153" t="inlineStr">
        <is>
          <t>Cursor / tender-response (batch)</t>
        </is>
      </c>
      <c r="Y153" t="inlineStr">
        <is>
          <t>Met</t>
        </is>
      </c>
      <c r="Z153" t="inlineStr">
        <is>
          <t>Verified</t>
        </is>
      </c>
      <c r="AA153" t="inlineStr">
        <is>
          <t>Verify: Adgangsstyring af kontakter — vurderet opfyldt (tool: 1. Fully met).</t>
        </is>
      </c>
      <c r="AB153" t="inlineStr"/>
      <c r="AC153" t="inlineStr">
        <is>
          <t>docs/tender-reference/extracted/Nationalbanken/Bilag 3.i Leverandørens Løsningsbeskrivelse.txt; docs/tender-reference/extracted/KUM-SLKS/Bilag 3 - Kravspecifikation.txt; docs/tender-reference/extracted/KK Tender tool.txt</t>
        </is>
      </c>
      <c r="AD153" t="inlineStr">
        <is>
          <t>Anton: Confirm verify-tekst; opdatér review status efter tjek.</t>
        </is>
      </c>
      <c r="AE153" t="inlineStr"/>
      <c r="AF153" t="inlineStr">
        <is>
          <t>Draft</t>
        </is>
      </c>
      <c r="AG153" t="inlineStr">
        <is>
          <t>uim-esdh-full-2026-07-07</t>
        </is>
      </c>
    </row>
    <row r="154" ht="48" customHeight="1">
      <c r="A154" s="35" t="n">
        <v>153</v>
      </c>
      <c r="B154" s="35" t="inlineStr">
        <is>
          <t>MK-131</t>
        </is>
      </c>
      <c r="C154" s="35" t="inlineStr">
        <is>
          <t>Bilag 1.b</t>
        </is>
      </c>
      <c r="D154" s="35" t="inlineStr">
        <is>
          <t>Adgangsstyring</t>
        </is>
      </c>
      <c r="E154" s="35" t="inlineStr">
        <is>
          <t>Organisatorisk adgang</t>
        </is>
      </c>
      <c r="F154" s="35" t="inlineStr">
        <is>
          <t>ESDH-løsningen skal understøtte, at sager, Dokumenter og kontakter kan oprettes med en organisatorisk adgang, så Brugere fra flere Myndigheder kan tilgå disse.</t>
        </is>
      </c>
      <c r="G154" s="35" t="inlineStr">
        <is>
          <t>Mindstekrav</t>
        </is>
      </c>
      <c r="H154" s="35">
        <f>IF(G154="Evalueringskrav","Answer",(IF(G154="Krav","Check",(IF(G154="Mindstekrav","Verify","")))))</f>
        <v/>
      </c>
      <c r="I154" s="35" t="inlineStr">
        <is>
          <t>Ja</t>
        </is>
      </c>
      <c r="J154" s="35" t="n"/>
      <c r="K154" s="47" t="n"/>
      <c r="L154" s="35" t="inlineStr">
        <is>
          <t>Anton</t>
        </is>
      </c>
      <c r="M154" s="35" t="n"/>
      <c r="N154" s="35" t="n"/>
      <c r="O154" s="35" t="inlineStr">
        <is>
          <t>1. Fully met</t>
        </is>
      </c>
      <c r="P154" s="35" t="n"/>
      <c r="Q154" s="35" t="n"/>
      <c r="R154" s="35" t="n"/>
      <c r="S154" s="35" t="n"/>
      <c r="T154" s="35" t="n"/>
      <c r="U154" s="35" t="inlineStr">
        <is>
          <t>Not Started</t>
        </is>
      </c>
      <c r="V154" s="37">
        <f>IF(U154="Not Started",0%,IF(U154="Started",50%,IF(U154="Ready for review",70%,IF(U154="Reviewed - Content",80%,IF(U154="Reviewed - Format",90%,IF(U154="Done",100%,""))))))</f>
        <v/>
      </c>
      <c r="W154" t="inlineStr">
        <is>
          <t>2026-07-07</t>
        </is>
      </c>
      <c r="X154" t="inlineStr">
        <is>
          <t>Cursor / tender-response (batch)</t>
        </is>
      </c>
      <c r="Y154" t="inlineStr">
        <is>
          <t>Met</t>
        </is>
      </c>
      <c r="Z154" t="inlineStr">
        <is>
          <t>Verified</t>
        </is>
      </c>
      <c r="AA154" t="inlineStr">
        <is>
          <t>Verify: Organisatorisk adgang — vurderet opfyldt (tool: 1. Fully met).</t>
        </is>
      </c>
      <c r="AB154" t="inlineStr"/>
      <c r="AC154" t="inlineStr">
        <is>
          <t>docs/tender-reference/extracted/KUM-SLKS/Bilag 3 - Kravspecifikation.txt; docs/tender-reference/extracted/Nationalbanken/Bilag 3.i Leverandørens Løsningsbeskrivelse.txt; docs/tender-reference/extracted/KK Tender tool.txt</t>
        </is>
      </c>
      <c r="AD154" t="inlineStr">
        <is>
          <t>Anton: Confirm verify-tekst; opdatér review status efter tjek.</t>
        </is>
      </c>
      <c r="AE154" t="inlineStr"/>
      <c r="AF154" t="inlineStr">
        <is>
          <t>Draft</t>
        </is>
      </c>
      <c r="AG154" t="inlineStr">
        <is>
          <t>uim-esdh-full-2026-07-07</t>
        </is>
      </c>
    </row>
    <row r="155" ht="48" customHeight="1">
      <c r="A155" s="35" t="n">
        <v>154</v>
      </c>
      <c r="B155" s="35" t="inlineStr">
        <is>
          <t>MK-132</t>
        </is>
      </c>
      <c r="C155" s="35" t="inlineStr">
        <is>
          <t>Bilag 1.b</t>
        </is>
      </c>
      <c r="D155" s="35" t="inlineStr">
        <is>
          <t>Adgangsstyring</t>
        </is>
      </c>
      <c r="E155" s="35" t="inlineStr">
        <is>
          <t>Fravigelse af adgangsrettigheder</t>
        </is>
      </c>
      <c r="F155" s="35" t="inlineStr">
        <is>
          <t>ESDH-løsningen skal understøtte, at Administratoren eller en anden udvalgt Bruger har adgang til alle Entiteter oprettet i databasen uagtet påsatte adgangsrettigheder.</t>
        </is>
      </c>
      <c r="G155" s="35" t="inlineStr">
        <is>
          <t>Mindstekrav</t>
        </is>
      </c>
      <c r="H155" s="35">
        <f>IF(G155="Evalueringskrav","Answer",(IF(G155="Krav","Check",(IF(G155="Mindstekrav","Verify","")))))</f>
        <v/>
      </c>
      <c r="I155" s="35" t="inlineStr">
        <is>
          <t>Ja</t>
        </is>
      </c>
      <c r="J155" s="35" t="n"/>
      <c r="K155" s="47" t="n"/>
      <c r="L155" s="35" t="inlineStr">
        <is>
          <t>Anton</t>
        </is>
      </c>
      <c r="M155" s="35" t="n"/>
      <c r="N155" s="35" t="n"/>
      <c r="O155" s="35" t="inlineStr">
        <is>
          <t>1. Fully met</t>
        </is>
      </c>
      <c r="P155" s="35" t="inlineStr">
        <is>
          <t>ADN: Configure contact matrixes with ADMIN-lines</t>
        </is>
      </c>
      <c r="Q155" s="35" t="n"/>
      <c r="R155" s="35" t="n"/>
      <c r="S155" s="35" t="n"/>
      <c r="T155" s="35" t="n"/>
      <c r="U155" s="35" t="inlineStr">
        <is>
          <t>Not Started</t>
        </is>
      </c>
      <c r="V155" s="37">
        <f>IF(U155="Not Started",0%,IF(U155="Started",50%,IF(U155="Ready for review",70%,IF(U155="Reviewed - Content",80%,IF(U155="Reviewed - Format",90%,IF(U155="Done",100%,""))))))</f>
        <v/>
      </c>
      <c r="W155" t="inlineStr">
        <is>
          <t>2026-07-07</t>
        </is>
      </c>
      <c r="X155" t="inlineStr">
        <is>
          <t>Cursor / tender-response (batch)</t>
        </is>
      </c>
      <c r="Y155" t="inlineStr">
        <is>
          <t>Met</t>
        </is>
      </c>
      <c r="Z155" t="inlineStr">
        <is>
          <t>Verified</t>
        </is>
      </c>
      <c r="AA155" t="inlineStr">
        <is>
          <t>Verify: Fravigelse af adgangsrettigheder — vurderet opfyldt (tool: 1. Fully met).</t>
        </is>
      </c>
      <c r="AB155" t="inlineStr">
        <is>
          <t>ADN: Configure contact matrixes with ADMIN-lines</t>
        </is>
      </c>
      <c r="AC155" t="inlineStr">
        <is>
          <t>docs/tender-reference/extracted/Nationalbanken/Bilag 3.i Leverandørens Løsningsbeskrivelse.txt; docs/tender-reference/extracted/KUM-SLKS/Bilag 3 - Kravspecifikation.txt; docs/product/RFP_Leverandørens_svar_utdrag.txt</t>
        </is>
      </c>
      <c r="AD155" t="inlineStr">
        <is>
          <t>Anton: Confirm verify-tekst; opdatér review status efter tjek.</t>
        </is>
      </c>
      <c r="AE155" t="inlineStr"/>
      <c r="AF155" t="inlineStr">
        <is>
          <t>Draft</t>
        </is>
      </c>
      <c r="AG155" t="inlineStr">
        <is>
          <t>uim-esdh-full-2026-07-07</t>
        </is>
      </c>
    </row>
    <row r="156" ht="80" customHeight="1">
      <c r="A156" s="35" t="n">
        <v>155</v>
      </c>
      <c r="B156" s="35" t="inlineStr">
        <is>
          <t>MK-133</t>
        </is>
      </c>
      <c r="C156" s="35" t="inlineStr">
        <is>
          <t>Bilag 1.b</t>
        </is>
      </c>
      <c r="D156" s="35" t="inlineStr">
        <is>
          <t>Adgangsstyring</t>
        </is>
      </c>
      <c r="E156" s="35" t="inlineStr">
        <is>
          <t>Kontrol af adgangsrettigheder</t>
        </is>
      </c>
      <c r="F156" s="35" t="inlineStr">
        <is>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is>
      </c>
      <c r="G156" s="35" t="inlineStr">
        <is>
          <t>Mindstekrav</t>
        </is>
      </c>
      <c r="H156" s="35">
        <f>IF(G156="Evalueringskrav","Answer",(IF(G156="Krav","Check",(IF(G156="Mindstekrav","Verify","")))))</f>
        <v/>
      </c>
      <c r="I156" s="35" t="inlineStr">
        <is>
          <t>Ja</t>
        </is>
      </c>
      <c r="J156" s="35" t="n"/>
      <c r="K156" s="47" t="n"/>
      <c r="L156" s="35" t="inlineStr">
        <is>
          <t>Eva</t>
        </is>
      </c>
      <c r="M156" s="35" t="n"/>
      <c r="N156" s="35" t="n"/>
      <c r="O156" s="35" t="inlineStr">
        <is>
          <t>3. Not able to meet</t>
        </is>
      </c>
      <c r="P156" s="35" t="inlineStr">
        <is>
          <t>ADN: We dont have that. Could we extract this information with Management Reporting API?</t>
        </is>
      </c>
      <c r="Q156" s="35" t="n"/>
      <c r="R156" s="35" t="n"/>
      <c r="S156" s="35" t="n"/>
      <c r="T156" s="35" t="n"/>
      <c r="U156" s="35" t="inlineStr">
        <is>
          <t>Not Started</t>
        </is>
      </c>
      <c r="V156" s="37">
        <f>IF(U156="Not Started",0%,IF(U156="Started",50%,IF(U156="Ready for review",70%,IF(U156="Reviewed - Content",80%,IF(U156="Reviewed - Format",90%,IF(U156="Done",100%,""))))))</f>
        <v/>
      </c>
      <c r="W156" t="inlineStr">
        <is>
          <t>2026-07-07</t>
        </is>
      </c>
      <c r="X156" t="inlineStr">
        <is>
          <t>Cursor / tender-response (batch)</t>
        </is>
      </c>
      <c r="Y156" t="inlineStr">
        <is>
          <t>Not met</t>
        </is>
      </c>
      <c r="Z156" t="inlineStr">
        <is>
          <t>Verified</t>
        </is>
      </c>
      <c r="AA156" t="inlineStr">
        <is>
          <t>Verify: Kontrol af adgangsrettigheder — gap ift. kravtekst; eskalér commitment eller afklaring.</t>
        </is>
      </c>
      <c r="AB156" t="inlineStr">
        <is>
          <t>ADN: We dont have that. Could we extract this information with Management Reporting API? | Red flag: Har vi ikke</t>
        </is>
      </c>
      <c r="AC156" t="inlineStr">
        <is>
          <t>docs/tender-reference/extracted/Nationalbanken/Bilag 3.i Leverandørens Løsningsbeskrivelse.txt; docs/tender-reference/extracted/KUM-SLKS/Bilag 3 - Kravspecifikation.txt; docs/tender-reference/extracted/KK Tender tool.txt</t>
        </is>
      </c>
      <c r="AD156" t="inlineStr">
        <is>
          <t>Eva: Commitment/no-bid beslutning; overvej Q&amp;A til ordregiver.</t>
        </is>
      </c>
      <c r="AE156" t="inlineStr"/>
      <c r="AF156" t="inlineStr">
        <is>
          <t>Draft</t>
        </is>
      </c>
      <c r="AG156" t="inlineStr">
        <is>
          <t>uim-esdh-full-2026-07-07</t>
        </is>
      </c>
    </row>
    <row r="157" ht="64" customHeight="1">
      <c r="A157" s="35" t="n">
        <v>156</v>
      </c>
      <c r="B157" s="35" t="inlineStr">
        <is>
          <t>MK-134</t>
        </is>
      </c>
      <c r="C157" s="35" t="inlineStr">
        <is>
          <t>Bilag 1.b</t>
        </is>
      </c>
      <c r="D157" s="35" t="inlineStr">
        <is>
          <t>Adgangsstyring</t>
        </is>
      </c>
      <c r="E157" s="35" t="inlineStr">
        <is>
          <t>Adgangsstyring på Kundeoprettede Entiteter</t>
        </is>
      </c>
      <c r="F157" s="35" t="inlineStr">
        <is>
          <t>ESDH-løsningen skal understøtte, at der kan tildeles adgangsrettigheder til Kundeoprettede Entiteter.</t>
        </is>
      </c>
      <c r="G157" s="35" t="inlineStr">
        <is>
          <t>Mindstekrav</t>
        </is>
      </c>
      <c r="H157" s="35">
        <f>IF(G157="Evalueringskrav","Answer",(IF(G157="Krav","Check",(IF(G157="Mindstekrav","Verify","")))))</f>
        <v/>
      </c>
      <c r="I157" s="35" t="inlineStr">
        <is>
          <t>Ja</t>
        </is>
      </c>
      <c r="J157" s="35" t="n"/>
      <c r="K157" s="47" t="n"/>
      <c r="L157" s="35" t="inlineStr">
        <is>
          <t>Anton</t>
        </is>
      </c>
      <c r="M157" s="35" t="n"/>
      <c r="N157" s="35" t="n"/>
      <c r="O157" s="35" t="inlineStr">
        <is>
          <t>1. Fully met</t>
        </is>
      </c>
      <c r="P157" s="35" t="n"/>
      <c r="Q157" s="35" t="n"/>
      <c r="R157" s="35" t="n"/>
      <c r="S157" s="35" t="n"/>
      <c r="T157" s="35" t="n"/>
      <c r="U157" s="35" t="inlineStr">
        <is>
          <t>Not Started</t>
        </is>
      </c>
      <c r="V157" s="37">
        <f>IF(U157="Not Started",0%,IF(U157="Started",50%,IF(U157="Ready for review",70%,IF(U157="Reviewed - Content",80%,IF(U157="Reviewed - Format",90%,IF(U157="Done",100%,""))))))</f>
        <v/>
      </c>
      <c r="W157" t="inlineStr">
        <is>
          <t>2026-07-07</t>
        </is>
      </c>
      <c r="X157" t="inlineStr">
        <is>
          <t>Cursor / tender-response (batch)</t>
        </is>
      </c>
      <c r="Y157" t="inlineStr">
        <is>
          <t>Met</t>
        </is>
      </c>
      <c r="Z157" t="inlineStr">
        <is>
          <t>Verified</t>
        </is>
      </c>
      <c r="AA157" t="inlineStr">
        <is>
          <t>Verify: Adgangsstyring på Kundeoprettede Entiteter — vurderet opfyldt (tool: 1. Fully met).</t>
        </is>
      </c>
      <c r="AB157" t="inlineStr"/>
      <c r="AC157" t="inlineStr">
        <is>
          <t>docs/tender-reference/extracted/Nationalbanken/Bilag 3.i Leverandørens Løsningsbeskrivelse.txt; docs/tender-reference/extracted/KUM-SLKS/Bilag 3 - Kravspecifikation.txt; docs/tender-reference/extracted/Nationalbanken/Bilag 9.i Leverandørens løsningsbeskrivelse.txt</t>
        </is>
      </c>
      <c r="AD157" t="inlineStr">
        <is>
          <t>Anton: Confirm verify-tekst; opdatér review status efter tjek.</t>
        </is>
      </c>
      <c r="AE157" t="inlineStr"/>
      <c r="AF157" t="inlineStr">
        <is>
          <t>Draft</t>
        </is>
      </c>
      <c r="AG157" t="inlineStr">
        <is>
          <t>uim-esdh-full-2026-07-07</t>
        </is>
      </c>
    </row>
    <row r="158" ht="48" customHeight="1">
      <c r="A158" s="35" t="n">
        <v>157</v>
      </c>
      <c r="B158" s="35" t="inlineStr">
        <is>
          <t>MK-135</t>
        </is>
      </c>
      <c r="C158" s="35" t="inlineStr">
        <is>
          <t>Bilag 1.b</t>
        </is>
      </c>
      <c r="D158" s="35" t="inlineStr">
        <is>
          <t>Adgangsstyring</t>
        </is>
      </c>
      <c r="E158" s="35" t="inlineStr">
        <is>
          <t>Begrænsning af adgangsrettigheder</t>
        </is>
      </c>
      <c r="F158" s="35" t="inlineStr">
        <is>
          <t>ESDH-løsningen skal understøtte, at en Bruger direkte i brugergrænsefladen kan begrænse adgangen til Kundeoprettede Entiteter ad hoc.</t>
        </is>
      </c>
      <c r="G158" s="35" t="inlineStr">
        <is>
          <t>Mindstekrav</t>
        </is>
      </c>
      <c r="H158" s="35">
        <f>IF(G158="Evalueringskrav","Answer",(IF(G158="Krav","Check",(IF(G158="Mindstekrav","Verify","")))))</f>
        <v/>
      </c>
      <c r="I158" s="35" t="inlineStr">
        <is>
          <t>Ja</t>
        </is>
      </c>
      <c r="J158" s="35" t="n"/>
      <c r="K158" s="47" t="n"/>
      <c r="L158" s="35" t="inlineStr">
        <is>
          <t>Anton</t>
        </is>
      </c>
      <c r="M158" s="35" t="n"/>
      <c r="N158" s="35" t="n"/>
      <c r="O158" s="35" t="inlineStr">
        <is>
          <t>1. Fully met</t>
        </is>
      </c>
      <c r="P158" s="35" t="n"/>
      <c r="Q158" s="35" t="n"/>
      <c r="R158" s="35" t="n"/>
      <c r="S158" s="35" t="n"/>
      <c r="T158" s="35" t="n"/>
      <c r="U158" s="35" t="inlineStr">
        <is>
          <t>Not Started</t>
        </is>
      </c>
      <c r="V158" s="37">
        <f>IF(U158="Not Started",0%,IF(U158="Started",50%,IF(U158="Ready for review",70%,IF(U158="Reviewed - Content",80%,IF(U158="Reviewed - Format",90%,IF(U158="Done",100%,""))))))</f>
        <v/>
      </c>
      <c r="W158" t="inlineStr">
        <is>
          <t>2026-07-07</t>
        </is>
      </c>
      <c r="X158" t="inlineStr">
        <is>
          <t>Cursor / tender-response (batch)</t>
        </is>
      </c>
      <c r="Y158" t="inlineStr">
        <is>
          <t>Met</t>
        </is>
      </c>
      <c r="Z158" t="inlineStr">
        <is>
          <t>Verified</t>
        </is>
      </c>
      <c r="AA158" t="inlineStr">
        <is>
          <t>Verify: Begrænsning af adgangsrettigheder — vurderet opfyldt (tool: 1. Fully met).</t>
        </is>
      </c>
      <c r="AB158" t="inlineStr">
        <is>
          <t>Red flag: Begrænser muligheden for at bruge ”Case accessgroup” der ellers passer på deres MK’s</t>
        </is>
      </c>
      <c r="AC158" t="inlineStr">
        <is>
          <t>docs/tender-reference/extracted/Nationalbanken/Bilag 3.i Leverandørens Løsningsbeskrivelse.txt; docs/tender-reference/extracted/KUM-SLKS/Bilag 3 - Kravspecifikation.txt; docs/tender-reference/extracted/KK Tender tool.txt</t>
        </is>
      </c>
      <c r="AD158" t="inlineStr">
        <is>
          <t>Anton: Confirm verify-tekst; opdatér review status efter tjek.</t>
        </is>
      </c>
      <c r="AE158" t="inlineStr"/>
      <c r="AF158" t="inlineStr">
        <is>
          <t>Draft</t>
        </is>
      </c>
      <c r="AG158" t="inlineStr">
        <is>
          <t>uim-esdh-full-2026-07-07</t>
        </is>
      </c>
    </row>
    <row r="159" ht="64" customHeight="1">
      <c r="A159" s="35" t="n">
        <v>158</v>
      </c>
      <c r="B159" s="35" t="inlineStr">
        <is>
          <t>K-15</t>
        </is>
      </c>
      <c r="C159" s="35" t="inlineStr">
        <is>
          <t>Bilag 1.b</t>
        </is>
      </c>
      <c r="D159" s="35" t="inlineStr">
        <is>
          <t>Adgangsstyring</t>
        </is>
      </c>
      <c r="E159" s="35" t="inlineStr">
        <is>
          <t>Dokumentadgang uafhængigt af sagsadgang</t>
        </is>
      </c>
      <c r="F159" s="35" t="inlineStr">
        <is>
          <t>ESDH-løsningen skal understøtte, at adgang til Dokumenter og Bilag kan tildeles uafhængigt af adgang til den tilhørende sag. Brugere med adgang til et Dokument eller Bilag, men uden adgang til sagen, må ikke kunne tilgå eller se oplysninger om sagens øvrige indhold.</t>
        </is>
      </c>
      <c r="G159" s="35" t="inlineStr">
        <is>
          <t>Krav</t>
        </is>
      </c>
      <c r="H159" s="35">
        <f>IF(G159="Evalueringskrav","Answer",(IF(G159="Krav","Check",(IF(G159="Mindstekrav","Verify","")))))</f>
        <v/>
      </c>
      <c r="I159" s="35" t="inlineStr">
        <is>
          <t>Ja</t>
        </is>
      </c>
      <c r="J159" s="35" t="n"/>
      <c r="K159" s="47" t="n"/>
      <c r="L159" s="35" t="inlineStr">
        <is>
          <t>Anton</t>
        </is>
      </c>
      <c r="M159" s="35" t="n"/>
      <c r="N159" s="35" t="n"/>
      <c r="O159" s="35" t="inlineStr">
        <is>
          <t>1. Fully met</t>
        </is>
      </c>
      <c r="P159" s="35" t="inlineStr">
        <is>
          <t>ADN: If we use Grant on Document level, we support this</t>
        </is>
      </c>
      <c r="Q159" s="35" t="n"/>
      <c r="R159" s="35" t="n"/>
      <c r="S159" s="35" t="n"/>
      <c r="T159" s="35" t="n"/>
      <c r="U159" s="35" t="inlineStr">
        <is>
          <t>Not Started</t>
        </is>
      </c>
      <c r="V159" s="37">
        <f>IF(U159="Not Started",0%,IF(U159="Started",50%,IF(U159="Ready for review",70%,IF(U159="Reviewed - Content",80%,IF(U159="Reviewed - Format",90%,IF(U159="Done",100%,""))))))</f>
        <v/>
      </c>
      <c r="W159" t="inlineStr">
        <is>
          <t>2026-07-07</t>
        </is>
      </c>
      <c r="X159" t="inlineStr">
        <is>
          <t>Cursor / tender-response (batch)</t>
        </is>
      </c>
      <c r="Y159" t="inlineStr">
        <is>
          <t>Met</t>
        </is>
      </c>
      <c r="Z159" t="inlineStr">
        <is>
          <t>Verified</t>
        </is>
      </c>
      <c r="AA159" t="inlineStr">
        <is>
          <t>Check: Dokumentadgang uafhængigt af sagsadgang — vurderet opfyldt (tool: 1. Fully met).</t>
        </is>
      </c>
      <c r="AB159" t="inlineStr">
        <is>
          <t>ADN: If we use Grant on Document level, we support this</t>
        </is>
      </c>
      <c r="AC159" t="inlineStr">
        <is>
          <t>docs/tender-reference/extracted/KK Tender tool.txt; docs/tender-reference/extracted/KUM-SLKS/Bilag 3 - Kravspecifikation.txt; docs/tender-reference/extracted/Nationalbanken/Bilag 3.i Leverandørens Løsningsbeskrivelse.txt</t>
        </is>
      </c>
      <c r="AD159" t="inlineStr">
        <is>
          <t>Anton: Confirm verify-tekst; opdatér review status efter tjek.</t>
        </is>
      </c>
      <c r="AE159" t="inlineStr"/>
      <c r="AF159" t="inlineStr">
        <is>
          <t>Draft</t>
        </is>
      </c>
      <c r="AG159" t="inlineStr">
        <is>
          <t>uim-esdh-full-2026-07-07</t>
        </is>
      </c>
    </row>
    <row r="160" ht="409.5" customHeight="1">
      <c r="A160" s="35" t="n">
        <v>159</v>
      </c>
      <c r="B160" s="35" t="inlineStr">
        <is>
          <t>EK-9</t>
        </is>
      </c>
      <c r="C160" s="35" t="inlineStr">
        <is>
          <t>Bilag 1.b</t>
        </is>
      </c>
      <c r="D160" s="35" t="inlineStr">
        <is>
          <t>Adgangsstyring</t>
        </is>
      </c>
      <c r="E160" s="35" t="inlineStr">
        <is>
          <t>Organisatoriske rolle/ rettigheder</t>
        </is>
      </c>
      <c r="F160" s="35" t="inlineStr">
        <is>
          <t>ESDH-løsningen skal understøtte, at Brugere tildeles roller og rettigheder via AD-rettighedsgrupper. Rolle/rettighedsstrukturen skal sikre, at Brugeren kan udføre relevante og nødvendige opgaver, og at Brugeren har adgang til nødvendige Entiteter. 
Leverandøren skal beskrive, hvordan den tilbudte ESDH-løsning understøtter organisatoriske rolle/rettigheder. 
Leverandøren skal gennem konkrete skærmbilleder demonstrere om og hvordan ESDH-løsningen understøtter de stillede krav og møder Kundens behov.
Leverandøren skal redegøre for: 
Hvordan ESDH-løsningen understøtter flere Myndigheder i samme database
Hvordan ESDH-løsningen understøtter, at udvalgte Entiteter og tilhørende data kan deles på tværs af Myndigheder helt eller delvist
Hvordan ESDH-løsningen understøtter samarbejde på tværs af Myndigheder i samme database
Rolle/rettighedsstruktur i ESDH-løsningen og implementeringen af disse ved Brugerne
Evalueringskriterier:
Det vægtes positivt, i hvor høj grad ESDH-løsningen kan understøtte flere Myndigheder i samme database ved opsætning af organisatoriske niveauer.
Det vægtes positivt, i hvor høj grad ESDH-løsningen kan udstille og dele data fra Entiteter f.eks. at udvalgt metadata fra sagen (f.eks. sagsbehandler, status, team) kan ses på tværs af Myndigheder, selvom Brugeren ikke har adgang til at se den konkrete sags indhold. 
Det vægtes positivt, i hvor høj grad ESDH-løsningen på en let og intuitiv måde understøtter samarbejde på tværs af Myndigheder uden behov for ændringer i rolle/rettighedsstruktur.
Det vægtes positivt i hvor høj grad ESDH-løsningen understøtter Brugerens muligheder for at varetage opgaver uden manuelt skift af rolle.</t>
        </is>
      </c>
      <c r="G160" s="35" t="inlineStr">
        <is>
          <t>Evalueringskrav</t>
        </is>
      </c>
      <c r="H160" s="35">
        <f>IF(G160="Evalueringskrav","Answer",(IF(G160="Krav","Check",(IF(G160="Mindstekrav","Verify","")))))</f>
        <v/>
      </c>
      <c r="I160" s="35" t="inlineStr">
        <is>
          <t>Ja</t>
        </is>
      </c>
      <c r="J160" s="35" t="n"/>
      <c r="K160" s="47" t="n"/>
      <c r="L160" s="35" t="inlineStr">
        <is>
          <t>Hans</t>
        </is>
      </c>
      <c r="M160" s="35" t="n"/>
      <c r="N160" s="35" t="n"/>
      <c r="O160" s="35" t="n"/>
      <c r="P160" s="35" t="n"/>
      <c r="Q160" s="35" t="n"/>
      <c r="R160" s="35" t="n"/>
      <c r="S160" s="35" t="n"/>
      <c r="T160" s="35" t="n"/>
      <c r="U160" s="35" t="inlineStr">
        <is>
          <t>Not Started</t>
        </is>
      </c>
      <c r="V160" s="37">
        <f>IF(U160="Not Started",0%,IF(U160="Started",50%,IF(U160="Ready for review",70%,IF(U160="Reviewed - Content",80%,IF(U160="Reviewed - Format",90%,IF(U160="Done",100%,""))))))</f>
        <v/>
      </c>
      <c r="W160" t="inlineStr">
        <is>
          <t>2026-07-07</t>
        </is>
      </c>
      <c r="X160" t="inlineStr">
        <is>
          <t>Cursor / tender-response (batch)</t>
        </is>
      </c>
      <c r="Y160" t="inlineStr">
        <is>
          <t>Draft needed</t>
        </is>
      </c>
      <c r="Z160" t="inlineStr">
        <is>
          <t>Verified</t>
        </is>
      </c>
      <c r="AA160" t="inlineStr">
        <is>
          <t>Answer: Organisatoriske rolle/ rettigheder — informationskrav; udkast bilag/dokumentation mangler.</t>
        </is>
      </c>
      <c r="AB160" t="inlineStr">
        <is>
          <t>Mangler link til svar-bilag i kolonne T.</t>
        </is>
      </c>
      <c r="AC160" t="inlineStr">
        <is>
          <t>docs/tender-reference/extracted/Nationalbanken/Bilag 3.i Leverandørens Løsningsbeskrivelse.txt; docs/tender-reference/extracted/KK Tender tool.txt; docs/tender-reference/extracted/KUM-SLKS/Bilag 3 - Kravspecifikation.txt</t>
        </is>
      </c>
      <c r="AD160" t="inlineStr">
        <is>
          <t>Hans: Opret/link svar-bilag; draft IK-tekst fra prior art.</t>
        </is>
      </c>
      <c r="AE160" t="inlineStr"/>
      <c r="AF160" t="inlineStr">
        <is>
          <t>Draft</t>
        </is>
      </c>
      <c r="AG160" t="inlineStr">
        <is>
          <t>uim-esdh-full-2026-07-07</t>
        </is>
      </c>
    </row>
    <row r="161" ht="409.5" customHeight="1">
      <c r="A161" s="35" t="n">
        <v>160</v>
      </c>
      <c r="B161" s="35" t="inlineStr">
        <is>
          <t>EK-10</t>
        </is>
      </c>
      <c r="C161" s="35" t="inlineStr">
        <is>
          <t>Bilag 1.b</t>
        </is>
      </c>
      <c r="D161" s="35" t="inlineStr">
        <is>
          <t>Logning af brugergrænseflade</t>
        </is>
      </c>
      <c r="E161" s="35" t="inlineStr">
        <is>
          <t>Brugerrettet logning og sagsgang i brugergrænsefladen</t>
        </is>
      </c>
      <c r="F161" s="35" t="inlineStr">
        <is>
          <t>Da ESDH-løsningen automatisk skal logge brugerhandlinger i brugergrænsefladen, skal ESDH-løsningen understøtte en visuel udstilling af logningen i brugergrænsefladen. 
ESDH-løsningen skal understøtte en visuel udstilling af logningen, så det er synligt for sagsbehandlerne, hvem der har arbejdet på sagen, hvilke ændringer der er foretaget, og hvornår. Visningen skal dække proceshandlinger – eksempelvis når godkendelsesflow afsluttes, eller når en sag tildeles en specifik person eller lægges tilbage i en fælles pulje m.fl. – og skal for hver logget hændelse som minimum indeholde:
Præcis tidsstempling for tilføjelse, visning, ændring eller sletning.
Entydig identifikation af den Bruger, der har udført handlingen.
Det specifikke felt (inklusive Kundeoprettede felter) eller Dokument, handlingen vedrører.
Leverandøren skal beskrive, hvordan den tilbudte ESDH-løsning visuelt udstiller logning på sagsgang i brugergrænsefladen.
Leverandøren skal gennem konkrete skærmbilleder demonstrere om og hvordan ESDH-løsningen understøtter de stillede krav og møder Kundens behov.
Leverandøren skal redegøre for:
Hvordan ESDH-løsningen automatisk logger og visuelt udstiller sagsgangen og proceshandlinger direkte i brugergrænsefladen
Hvordan sagsbehandleren får et klart overblik over, hvem der har arbejdet på sagen, hvilke ændringer der er foretaget, og hvornår
Hvordan Løsningen sikrer visning af de krævede minimumsoplysninger for hver logget hændelse: præcis tidsstempling (ved tilføjelse, visning, ændring eller sletning), entydig brugeridentifikation og det specifikke felt (inklusive Kundeoprettede felter) eller Dokument
Hvordan Løsningen logger og viser specifikke proceshandlinger, herunder når et godkendelsesflow afsluttes, når en sag tildeles en specifik person, eller når en sag lægges tilbage i en fælles pulje
Evalueringskriterier:
Det vægtes positivt, i hvor høj grad logningen af brugerhandlinger præsenteres intuitivt og grafisk (f.eks. som en tidslinje) i brugergrænsefladen, så sagsbehandleren hurtigt kan afkode sagens historik uden tung tekstlæsning.
Det vægtes positivt, at den filtrerede eller fulde loghistorik nemt kan eksporteres direkte fra brugergrænsefladen til standardformater (f.eks. Excel eller PDF) til brug ved aktindsigter eller ledelsestilsyn.
Det vægtes positivt, i hvor høj grad logning af noter fremgår i brugergrænsefladen med følgende oplysninger: oprettelsesdato, forfatter, redigeringsdato og hvilken Bruger, der har redigeret noten.</t>
        </is>
      </c>
      <c r="G161" s="35" t="inlineStr">
        <is>
          <t>Evalueringskrav</t>
        </is>
      </c>
      <c r="H161" s="35">
        <f>IF(G161="Evalueringskrav","Answer",(IF(G161="Krav","Check",(IF(G161="Mindstekrav","Verify","")))))</f>
        <v/>
      </c>
      <c r="I161" s="35" t="inlineStr">
        <is>
          <t>Ja</t>
        </is>
      </c>
      <c r="J161" s="35" t="n"/>
      <c r="K161" s="47" t="n"/>
      <c r="L161" s="35" t="inlineStr">
        <is>
          <t>Hans</t>
        </is>
      </c>
      <c r="M161" s="35" t="n"/>
      <c r="N161" s="35" t="n"/>
      <c r="O161" s="35" t="n"/>
      <c r="P161" s="35" t="n"/>
      <c r="Q161" s="35" t="n"/>
      <c r="R161" s="35" t="n"/>
      <c r="S161" s="35" t="n"/>
      <c r="T161" s="35" t="n"/>
      <c r="U161" s="35" t="inlineStr">
        <is>
          <t>Not Started</t>
        </is>
      </c>
      <c r="V161" s="37">
        <f>IF(U161="Not Started",0%,IF(U161="Started",50%,IF(U161="Ready for review",70%,IF(U161="Reviewed - Content",80%,IF(U161="Reviewed - Format",90%,IF(U161="Done",100%,""))))))</f>
        <v/>
      </c>
      <c r="W161" t="inlineStr">
        <is>
          <t>2026-07-07</t>
        </is>
      </c>
      <c r="X161" t="inlineStr">
        <is>
          <t>Cursor / tender-response (batch)</t>
        </is>
      </c>
      <c r="Y161" t="inlineStr">
        <is>
          <t>Draft needed</t>
        </is>
      </c>
      <c r="Z161" t="inlineStr">
        <is>
          <t>Verified</t>
        </is>
      </c>
      <c r="AA161" t="inlineStr">
        <is>
          <t>Answer: Brugerrettet logning og sagsgang i brugergrænsefladen — informationskrav; udkast bilag/dokumentation mangler.</t>
        </is>
      </c>
      <c r="AB161" t="inlineStr">
        <is>
          <t>Mangler link til svar-bilag i kolonne T.</t>
        </is>
      </c>
      <c r="AC161" t="inlineStr">
        <is>
          <t>docs/tender-reference/extracted/KK Tender tool.txt; docs/tender-reference/extracted/Nationalbanken/Bilag 3.i Leverandørens Løsningsbeskrivelse.txt; docs/tender-reference/extracted/KUM-SLKS/Bilag 3 - Kravspecifikation.txt</t>
        </is>
      </c>
      <c r="AD161" t="inlineStr">
        <is>
          <t>Hans: Opret/link svar-bilag; draft IK-tekst fra prior art.</t>
        </is>
      </c>
      <c r="AE161" t="inlineStr"/>
      <c r="AF161" t="inlineStr">
        <is>
          <t>Draft</t>
        </is>
      </c>
      <c r="AG161" t="inlineStr">
        <is>
          <t>uim-esdh-full-2026-07-07</t>
        </is>
      </c>
    </row>
    <row r="162" ht="64" customHeight="1">
      <c r="A162" s="35" t="n">
        <v>161</v>
      </c>
      <c r="B162" s="35" t="inlineStr">
        <is>
          <t>MK-136</t>
        </is>
      </c>
      <c r="C162" s="35" t="inlineStr">
        <is>
          <t>Bilag 1.b</t>
        </is>
      </c>
      <c r="D162" s="35" t="inlineStr">
        <is>
          <t>Adgang til data</t>
        </is>
      </c>
      <c r="E162" s="35" t="inlineStr">
        <is>
          <t>Adgang til data</t>
        </is>
      </c>
      <c r="F162" s="35" t="inlineStr">
        <is>
          <t>ESDH-løsningen skal understøtte, at data skal kunne tilgås og udtrækkes udenom leverandørspecifikke værktøjer, således at fremtidig migrering til en anden platform kan gennemføres med begrænset kompleksitet og uden tab af data.</t>
        </is>
      </c>
      <c r="G162" s="35" t="inlineStr">
        <is>
          <t>Mindstekrav</t>
        </is>
      </c>
      <c r="H162" s="35">
        <f>IF(G162="Evalueringskrav","Answer",(IF(G162="Krav","Check",(IF(G162="Mindstekrav","Verify","")))))</f>
        <v/>
      </c>
      <c r="I162" s="35" t="inlineStr">
        <is>
          <t>Ja</t>
        </is>
      </c>
      <c r="J162" s="35" t="n"/>
      <c r="K162" s="47" t="n"/>
      <c r="L162" s="35" t="n"/>
      <c r="M162" s="35" t="n"/>
      <c r="N162" s="35" t="n"/>
      <c r="O162" s="35" t="n"/>
      <c r="P162" s="35" t="inlineStr">
        <is>
          <t>ADN:  Kan det lade sig gøre at trække data ud uden Leverandørspecifikke værktøjer?</t>
        </is>
      </c>
      <c r="Q162" s="35" t="n"/>
      <c r="R162" s="35" t="n"/>
      <c r="S162" s="35" t="n"/>
      <c r="T162" s="35" t="n"/>
      <c r="U162" s="35" t="inlineStr">
        <is>
          <t>Not Started</t>
        </is>
      </c>
      <c r="V162" s="37">
        <f>IF(U162="Not Started",0%,IF(U162="Started",50%,IF(U162="Ready for review",70%,IF(U162="Reviewed - Content",80%,IF(U162="Reviewed - Format",90%,IF(U162="Done",100%,""))))))</f>
        <v/>
      </c>
      <c r="W162" t="inlineStr">
        <is>
          <t>2026-07-07</t>
        </is>
      </c>
      <c r="X162" t="inlineStr">
        <is>
          <t>Cursor / tender-response (batch)</t>
        </is>
      </c>
      <c r="Y162" t="inlineStr">
        <is>
          <t>Clarify</t>
        </is>
      </c>
      <c r="Z162" t="inlineStr">
        <is>
          <t>Verified</t>
        </is>
      </c>
      <c r="AA162" t="inlineStr">
        <is>
          <t>Verify: Adgang til data — kræver produkt-/team-afklaring (ingen tool-rating).</t>
        </is>
      </c>
      <c r="AB162" t="inlineStr">
        <is>
          <t>ADN:  Kan det lade sig gøre at trække data ud uden Leverandørspecifikke værktøjer? | Red flag: Kan det lade sig gøre at trække data ud uden?</t>
        </is>
      </c>
      <c r="AC162" t="inlineStr">
        <is>
          <t>docs/tender-reference/extracted/KK Tender tool.txt; docs/tender-reference/extracted/Nationalbanken/Bilag 3.i Leverandørens Løsningsbeskrivelse.txt; docs/tender-reference/extracted/KUM-SLKS/Bilag 3 - Kravspecifikation.txt</t>
        </is>
      </c>
      <c r="AD162" t="inlineStr">
        <is>
          <t>Owner: Udfyld tool-rating (O) og evidens; gennemgå AI-kladde.</t>
        </is>
      </c>
      <c r="AE162" t="inlineStr"/>
      <c r="AF162" t="inlineStr">
        <is>
          <t>Draft</t>
        </is>
      </c>
      <c r="AG162" t="inlineStr">
        <is>
          <t>uim-esdh-full-2026-07-07</t>
        </is>
      </c>
    </row>
    <row r="163" ht="32" customHeight="1">
      <c r="A163" s="35" t="n">
        <v>162</v>
      </c>
      <c r="B163" s="35" t="inlineStr">
        <is>
          <t>MK-137</t>
        </is>
      </c>
      <c r="C163" s="35" t="inlineStr">
        <is>
          <t>Bilag 1.b</t>
        </is>
      </c>
      <c r="D163" s="35" t="inlineStr">
        <is>
          <t>Office-Integration</t>
        </is>
      </c>
      <c r="E163" s="35" t="inlineStr">
        <is>
          <t>Integration til Microsoft Office</t>
        </is>
      </c>
      <c r="F163" s="35" t="inlineStr">
        <is>
          <t>Leverandøren skal have integration til Microsoft Office applikationerne: Word, Excel og PowerPoint.</t>
        </is>
      </c>
      <c r="G163" s="35" t="inlineStr">
        <is>
          <t>Mindstekrav</t>
        </is>
      </c>
      <c r="H163" s="35">
        <f>IF(G163="Evalueringskrav","Answer",(IF(G163="Krav","Check",(IF(G163="Mindstekrav","Verify","")))))</f>
        <v/>
      </c>
      <c r="I163" s="35" t="inlineStr">
        <is>
          <t>Ja</t>
        </is>
      </c>
      <c r="J163" s="35" t="n"/>
      <c r="K163" s="47" t="n"/>
      <c r="L163" s="35" t="inlineStr">
        <is>
          <t>Anton</t>
        </is>
      </c>
      <c r="M163" s="35" t="n"/>
      <c r="N163" s="35" t="n"/>
      <c r="O163" s="35" t="inlineStr">
        <is>
          <t>1. Fully met</t>
        </is>
      </c>
      <c r="P163" s="35" t="n"/>
      <c r="Q163" s="35" t="n"/>
      <c r="R163" s="35" t="n"/>
      <c r="S163" s="35" t="n"/>
      <c r="T163" s="35" t="n"/>
      <c r="U163" s="35" t="inlineStr">
        <is>
          <t>Not Started</t>
        </is>
      </c>
      <c r="V163" s="37">
        <f>IF(U163="Not Started",0%,IF(U163="Started",50%,IF(U163="Ready for review",70%,IF(U163="Reviewed - Content",80%,IF(U163="Reviewed - Format",90%,IF(U163="Done",100%,""))))))</f>
        <v/>
      </c>
      <c r="W163" t="inlineStr">
        <is>
          <t>2026-07-07</t>
        </is>
      </c>
      <c r="X163" t="inlineStr">
        <is>
          <t>Cursor / tender-response (batch)</t>
        </is>
      </c>
      <c r="Y163" t="inlineStr">
        <is>
          <t>Met</t>
        </is>
      </c>
      <c r="Z163" t="inlineStr">
        <is>
          <t>Verified</t>
        </is>
      </c>
      <c r="AA163" t="inlineStr">
        <is>
          <t>Verify: Integration til Microsoft Office — vurderet opfyldt (tool: 1. Fully met).</t>
        </is>
      </c>
      <c r="AB163" t="inlineStr"/>
      <c r="AC163" t="inlineStr">
        <is>
          <t>docs/product/Public_360_Release_Overview_Since_5.12.md; docs/product/RFP_Leverandørens_svar_utdrag.txt; docs/tender-reference/extracted/HSØ/02.00-Tietoevry-SSA-L-Bilag 2-Leverandørens beskrivelse av Tjenesten.txt</t>
        </is>
      </c>
      <c r="AD163" t="inlineStr">
        <is>
          <t>Anton: Confirm verify-tekst; opdatér review status efter tjek.</t>
        </is>
      </c>
      <c r="AE163" t="inlineStr"/>
      <c r="AF163" t="inlineStr">
        <is>
          <t>Draft</t>
        </is>
      </c>
      <c r="AG163" t="inlineStr">
        <is>
          <t>uim-esdh-full-2026-07-07</t>
        </is>
      </c>
    </row>
    <row r="164" ht="80" customHeight="1">
      <c r="A164" s="35" t="n">
        <v>163</v>
      </c>
      <c r="B164" s="35" t="inlineStr">
        <is>
          <t>MK-138</t>
        </is>
      </c>
      <c r="C164" s="35" t="inlineStr">
        <is>
          <t>Bilag 1.b</t>
        </is>
      </c>
      <c r="D164" s="35" t="inlineStr">
        <is>
          <t>Office-Integration</t>
        </is>
      </c>
      <c r="E164" s="35" t="inlineStr">
        <is>
          <t>Understøttelse af filtyperne: Microsoft PowerPoint, Word og Excel</t>
        </is>
      </c>
      <c r="F164" s="35" t="inlineStr">
        <is>
          <t>ESDH-løsningen skal understøtte Standardintegration til Microsoft PowerPoint, Word og Excel, så Filer kan oprettes, redigeres og journaliseres direkte fra Microsoft PowerPoint, Word og Excel.</t>
        </is>
      </c>
      <c r="G164" s="35" t="inlineStr">
        <is>
          <t>Mindstekrav</t>
        </is>
      </c>
      <c r="H164" s="35">
        <f>IF(G164="Evalueringskrav","Answer",(IF(G164="Krav","Check",(IF(G164="Mindstekrav","Verify","")))))</f>
        <v/>
      </c>
      <c r="I164" s="35" t="inlineStr">
        <is>
          <t>Ja</t>
        </is>
      </c>
      <c r="J164" s="35" t="n"/>
      <c r="K164" s="47" t="n"/>
      <c r="L164" s="35" t="inlineStr">
        <is>
          <t>Anton</t>
        </is>
      </c>
      <c r="M164" s="35" t="n"/>
      <c r="N164" s="35" t="n"/>
      <c r="O164" s="35" t="inlineStr">
        <is>
          <t>1. Fully met</t>
        </is>
      </c>
      <c r="P164" s="35" t="n"/>
      <c r="Q164" s="35" t="n"/>
      <c r="R164" s="35" t="n"/>
      <c r="S164" s="35" t="n"/>
      <c r="T164" s="35" t="n"/>
      <c r="U164" s="35" t="inlineStr">
        <is>
          <t>Not Started</t>
        </is>
      </c>
      <c r="V164" s="37">
        <f>IF(U164="Not Started",0%,IF(U164="Started",50%,IF(U164="Ready for review",70%,IF(U164="Reviewed - Content",80%,IF(U164="Reviewed - Format",90%,IF(U164="Done",100%,""))))))</f>
        <v/>
      </c>
      <c r="W164" t="inlineStr">
        <is>
          <t>2026-07-07</t>
        </is>
      </c>
      <c r="X164" t="inlineStr">
        <is>
          <t>Cursor / tender-response (batch)</t>
        </is>
      </c>
      <c r="Y164" t="inlineStr">
        <is>
          <t>Met</t>
        </is>
      </c>
      <c r="Z164" t="inlineStr">
        <is>
          <t>Verified</t>
        </is>
      </c>
      <c r="AA164" t="inlineStr">
        <is>
          <t>Verify: Understøttelse af filtyperne: Microsoft PowerPoint, Word og Excel — vurderet opfyldt (tool: 1. Fully met).</t>
        </is>
      </c>
      <c r="AB164" t="inlineStr"/>
      <c r="AC164" t="inlineStr">
        <is>
          <t>docs/tender-reference/extracted/Nationalbanken/Bilag 3.i Leverandørens Løsningsbeskrivelse.txt; docs/tender-reference/extracted/KK Tender tool.txt; docs/tender-reference/extracted/KUM-SLKS/Bilag 3 - Kravspecifikation.txt</t>
        </is>
      </c>
      <c r="AD164" t="inlineStr">
        <is>
          <t>Anton: Confirm verify-tekst; opdatér review status efter tjek.</t>
        </is>
      </c>
      <c r="AE164" t="inlineStr"/>
      <c r="AF164" t="inlineStr">
        <is>
          <t>Draft</t>
        </is>
      </c>
      <c r="AG164" t="inlineStr">
        <is>
          <t>uim-esdh-full-2026-07-07</t>
        </is>
      </c>
    </row>
    <row r="165" ht="32" customHeight="1">
      <c r="A165" s="35" t="n">
        <v>164</v>
      </c>
      <c r="B165" s="35" t="inlineStr">
        <is>
          <t>MK-139</t>
        </is>
      </c>
      <c r="C165" s="35" t="inlineStr">
        <is>
          <t>Bilag 1.b</t>
        </is>
      </c>
      <c r="D165" s="35" t="inlineStr">
        <is>
          <t>Office-Integration</t>
        </is>
      </c>
      <c r="E165" s="35" t="inlineStr">
        <is>
          <t>Journalisering på sag</t>
        </is>
      </c>
      <c r="F165" s="35" t="inlineStr">
        <is>
          <t>ESDH-løsningen skal understøtte, at en Fil kan journaliseres på en ny eller eksisterende sag direkte fra Word, Excel og PowerPoint.</t>
        </is>
      </c>
      <c r="G165" s="35" t="inlineStr">
        <is>
          <t>Mindstekrav</t>
        </is>
      </c>
      <c r="H165" s="35">
        <f>IF(G165="Evalueringskrav","Answer",(IF(G165="Krav","Check",(IF(G165="Mindstekrav","Verify","")))))</f>
        <v/>
      </c>
      <c r="I165" s="35" t="inlineStr">
        <is>
          <t>Ja</t>
        </is>
      </c>
      <c r="J165" s="35" t="n"/>
      <c r="K165" s="47" t="n"/>
      <c r="L165" s="35" t="inlineStr">
        <is>
          <t>Anton</t>
        </is>
      </c>
      <c r="M165" s="35" t="n"/>
      <c r="N165" s="35" t="n"/>
      <c r="O165" s="35" t="inlineStr">
        <is>
          <t>1. Fully met</t>
        </is>
      </c>
      <c r="P165" s="35" t="n"/>
      <c r="Q165" s="35" t="n"/>
      <c r="R165" s="35" t="n"/>
      <c r="S165" s="35" t="n"/>
      <c r="T165" s="35" t="n"/>
      <c r="U165" s="35" t="inlineStr">
        <is>
          <t>Not Started</t>
        </is>
      </c>
      <c r="V165" s="37">
        <f>IF(U165="Not Started",0%,IF(U165="Started",50%,IF(U165="Ready for review",70%,IF(U165="Reviewed - Content",80%,IF(U165="Reviewed - Format",90%,IF(U165="Done",100%,""))))))</f>
        <v/>
      </c>
      <c r="W165" t="inlineStr">
        <is>
          <t>2026-07-07</t>
        </is>
      </c>
      <c r="X165" t="inlineStr">
        <is>
          <t>Cursor / tender-response (batch)</t>
        </is>
      </c>
      <c r="Y165" t="inlineStr">
        <is>
          <t>Met</t>
        </is>
      </c>
      <c r="Z165" t="inlineStr">
        <is>
          <t>Verified</t>
        </is>
      </c>
      <c r="AA165" t="inlineStr">
        <is>
          <t>Verify: Journalisering på sag — vurderet opfyldt (tool: 1. Fully met).</t>
        </is>
      </c>
      <c r="AB165" t="inlineStr"/>
      <c r="AC165" t="inlineStr">
        <is>
          <t>docs/tender-reference/extracted/Nationalbanken/Bilag 3.i Leverandørens Løsningsbeskrivelse.txt; docs/tender-reference/extracted/KK Tender tool.txt; docs/tender-reference/extracted/KUM-SLKS/Bilag 3 - Kravspecifikation.txt</t>
        </is>
      </c>
      <c r="AD165" t="inlineStr">
        <is>
          <t>Anton: Confirm verify-tekst; opdatér review status efter tjek.</t>
        </is>
      </c>
      <c r="AE165" t="inlineStr"/>
      <c r="AF165" t="inlineStr">
        <is>
          <t>Draft</t>
        </is>
      </c>
      <c r="AG165" t="inlineStr">
        <is>
          <t>uim-esdh-full-2026-07-07</t>
        </is>
      </c>
    </row>
    <row r="166" ht="48" customHeight="1">
      <c r="A166" s="35" t="n">
        <v>165</v>
      </c>
      <c r="B166" s="35" t="inlineStr">
        <is>
          <t>MK-140</t>
        </is>
      </c>
      <c r="C166" s="35" t="inlineStr">
        <is>
          <t>Bilag 1.b</t>
        </is>
      </c>
      <c r="D166" s="35" t="inlineStr">
        <is>
          <t>Office-Integration</t>
        </is>
      </c>
      <c r="E166" s="35" t="inlineStr">
        <is>
          <t>Dokumentskabelon</t>
        </is>
      </c>
      <c r="F166" s="35" t="inlineStr">
        <is>
          <t>ESDH-løsningen skal understøtte, at Filer kan oprettes baseret på dokumentskabeloner i ESDH-løsningen med brug af flettefelter fra ESDH-løsningen.</t>
        </is>
      </c>
      <c r="G166" s="35" t="inlineStr">
        <is>
          <t>Mindstekrav</t>
        </is>
      </c>
      <c r="H166" s="35">
        <f>IF(G166="Evalueringskrav","Answer",(IF(G166="Krav","Check",(IF(G166="Mindstekrav","Verify","")))))</f>
        <v/>
      </c>
      <c r="I166" s="35" t="inlineStr">
        <is>
          <t>Ja</t>
        </is>
      </c>
      <c r="J166" s="35" t="n"/>
      <c r="K166" s="47" t="n"/>
      <c r="L166" s="35" t="inlineStr">
        <is>
          <t>Anton</t>
        </is>
      </c>
      <c r="M166" s="35" t="n"/>
      <c r="N166" s="35" t="n"/>
      <c r="O166" s="35" t="inlineStr">
        <is>
          <t>1. Fully met</t>
        </is>
      </c>
      <c r="P166" s="35" t="n"/>
      <c r="Q166" s="35" t="n"/>
      <c r="R166" s="35" t="n"/>
      <c r="S166" s="35" t="n"/>
      <c r="T166" s="35" t="n"/>
      <c r="U166" s="35" t="inlineStr">
        <is>
          <t>Not Started</t>
        </is>
      </c>
      <c r="V166" s="37">
        <f>IF(U166="Not Started",0%,IF(U166="Started",50%,IF(U166="Ready for review",70%,IF(U166="Reviewed - Content",80%,IF(U166="Reviewed - Format",90%,IF(U166="Done",100%,""))))))</f>
        <v/>
      </c>
      <c r="W166" t="inlineStr">
        <is>
          <t>2026-07-07</t>
        </is>
      </c>
      <c r="X166" t="inlineStr">
        <is>
          <t>Cursor / tender-response (batch)</t>
        </is>
      </c>
      <c r="Y166" t="inlineStr">
        <is>
          <t>Met</t>
        </is>
      </c>
      <c r="Z166" t="inlineStr">
        <is>
          <t>Verified</t>
        </is>
      </c>
      <c r="AA166" t="inlineStr">
        <is>
          <t>Verify: Dokumentskabelon — vurderet opfyldt (tool: 1. Fully met).</t>
        </is>
      </c>
      <c r="AB166" t="inlineStr"/>
      <c r="AC166" t="inlineStr">
        <is>
          <t>docs/tender-reference/extracted/KUM-SLKS/Bilag 3 - Kravspecifikation.txt; docs/tender-reference/extracted/Nationalbanken/Bilag 3.i Leverandørens Løsningsbeskrivelse.txt; docs/tender-reference/extracted/KK Tender tool.txt</t>
        </is>
      </c>
      <c r="AD166" t="inlineStr">
        <is>
          <t>Anton: Confirm verify-tekst; opdatér review status efter tjek.</t>
        </is>
      </c>
      <c r="AE166" t="inlineStr"/>
      <c r="AF166" t="inlineStr">
        <is>
          <t>Draft</t>
        </is>
      </c>
      <c r="AG166" t="inlineStr">
        <is>
          <t>uim-esdh-full-2026-07-07</t>
        </is>
      </c>
    </row>
    <row r="167" ht="64" customHeight="1">
      <c r="A167" s="35" t="n">
        <v>166</v>
      </c>
      <c r="B167" s="35" t="inlineStr">
        <is>
          <t>MK-141</t>
        </is>
      </c>
      <c r="C167" s="35" t="inlineStr">
        <is>
          <t>Bilag 1.b</t>
        </is>
      </c>
      <c r="D167" s="35" t="inlineStr">
        <is>
          <t>Office-Integration</t>
        </is>
      </c>
      <c r="E167" s="35" t="inlineStr">
        <is>
          <t>Vedligeholdelse af Dokumentskabeloner</t>
        </is>
      </c>
      <c r="F167" s="35" t="inlineStr">
        <is>
          <t>ESDH-løsningen skal understøtte, at dokumentskabeloner kan vedligeholdes af Kunden.</t>
        </is>
      </c>
      <c r="G167" s="35" t="inlineStr">
        <is>
          <t>Mindstekrav</t>
        </is>
      </c>
      <c r="H167" s="35">
        <f>IF(G167="Evalueringskrav","Answer",(IF(G167="Krav","Check",(IF(G167="Mindstekrav","Verify","")))))</f>
        <v/>
      </c>
      <c r="I167" s="35" t="inlineStr">
        <is>
          <t>Ja</t>
        </is>
      </c>
      <c r="J167" s="35" t="n"/>
      <c r="K167" s="47" t="n"/>
      <c r="L167" s="35" t="inlineStr">
        <is>
          <t>Anton</t>
        </is>
      </c>
      <c r="M167" s="35" t="n"/>
      <c r="N167" s="35" t="n"/>
      <c r="O167" s="35" t="inlineStr">
        <is>
          <t>1. Fully met</t>
        </is>
      </c>
      <c r="P167" s="35" t="n"/>
      <c r="Q167" s="35" t="n"/>
      <c r="R167" s="35" t="n"/>
      <c r="S167" s="35" t="n"/>
      <c r="T167" s="35" t="n"/>
      <c r="U167" s="35" t="inlineStr">
        <is>
          <t>Not Started</t>
        </is>
      </c>
      <c r="V167" s="37">
        <f>IF(U167="Not Started",0%,IF(U167="Started",50%,IF(U167="Ready for review",70%,IF(U167="Reviewed - Content",80%,IF(U167="Reviewed - Format",90%,IF(U167="Done",100%,""))))))</f>
        <v/>
      </c>
      <c r="W167" t="inlineStr">
        <is>
          <t>2026-07-07</t>
        </is>
      </c>
      <c r="X167" t="inlineStr">
        <is>
          <t>Cursor / tender-response (batch)</t>
        </is>
      </c>
      <c r="Y167" t="inlineStr">
        <is>
          <t>Met</t>
        </is>
      </c>
      <c r="Z167" t="inlineStr">
        <is>
          <t>Verified</t>
        </is>
      </c>
      <c r="AA167" t="inlineStr">
        <is>
          <t>Verify: Vedligeholdelse af Dokumentskabeloner — vurderet opfyldt (tool: 1. Fully met).</t>
        </is>
      </c>
      <c r="AB167" t="inlineStr"/>
      <c r="AC167" t="inlineStr">
        <is>
          <t>docs/tender-reference/extracted/KUM-SLKS/Bilag 3 - Kravspecifikation.txt; docs/tender-reference/extracted/Nationalbanken/Bilag 3.i Leverandørens Løsningsbeskrivelse.txt; docs/tender-reference/extracted/KK Tender tool.txt</t>
        </is>
      </c>
      <c r="AD167" t="inlineStr">
        <is>
          <t>Anton: Confirm verify-tekst; opdatér review status efter tjek.</t>
        </is>
      </c>
      <c r="AE167" t="inlineStr"/>
      <c r="AF167" t="inlineStr">
        <is>
          <t>Draft</t>
        </is>
      </c>
      <c r="AG167" t="inlineStr">
        <is>
          <t>uim-esdh-full-2026-07-07</t>
        </is>
      </c>
    </row>
    <row r="168" ht="48" customHeight="1">
      <c r="A168" s="35" t="n">
        <v>167</v>
      </c>
      <c r="B168" s="35" t="inlineStr">
        <is>
          <t>MK-142</t>
        </is>
      </c>
      <c r="C168" s="35" t="inlineStr">
        <is>
          <t>Bilag 1.b</t>
        </is>
      </c>
      <c r="D168" s="35" t="inlineStr">
        <is>
          <t>Office-Integration</t>
        </is>
      </c>
      <c r="E168" s="35" t="inlineStr">
        <is>
          <t>Registrering af Kundeoprettede felter</t>
        </is>
      </c>
      <c r="F168" s="35" t="inlineStr">
        <is>
          <t>Integrationen skal understøtte, at Brugere har mulighed for, at registrere Kundeoprettede felter i forbindelse med journalisering i Word, Excel og PowerPoint.</t>
        </is>
      </c>
      <c r="G168" s="35" t="inlineStr">
        <is>
          <t>Mindstekrav</t>
        </is>
      </c>
      <c r="H168" s="35">
        <f>IF(G168="Evalueringskrav","Answer",(IF(G168="Krav","Check",(IF(G168="Mindstekrav","Verify","")))))</f>
        <v/>
      </c>
      <c r="I168" s="35" t="inlineStr">
        <is>
          <t>Ja</t>
        </is>
      </c>
      <c r="J168" s="35" t="n"/>
      <c r="K168" s="47" t="n"/>
      <c r="L168" s="35" t="inlineStr">
        <is>
          <t>Anton</t>
        </is>
      </c>
      <c r="M168" s="35" t="n"/>
      <c r="N168" s="35" t="n"/>
      <c r="O168" s="35" t="inlineStr">
        <is>
          <t>1. Fully met</t>
        </is>
      </c>
      <c r="P168" s="35" t="n"/>
      <c r="Q168" s="35" t="n"/>
      <c r="R168" s="35" t="n"/>
      <c r="S168" s="35" t="n"/>
      <c r="T168" s="35" t="n"/>
      <c r="U168" s="35" t="inlineStr">
        <is>
          <t>Not Started</t>
        </is>
      </c>
      <c r="V168" s="37">
        <f>IF(U168="Not Started",0%,IF(U168="Started",50%,IF(U168="Ready for review",70%,IF(U168="Reviewed - Content",80%,IF(U168="Reviewed - Format",90%,IF(U168="Done",100%,""))))))</f>
        <v/>
      </c>
      <c r="W168" t="inlineStr">
        <is>
          <t>2026-07-07</t>
        </is>
      </c>
      <c r="X168" t="inlineStr">
        <is>
          <t>Cursor / tender-response (batch)</t>
        </is>
      </c>
      <c r="Y168" t="inlineStr">
        <is>
          <t>Met</t>
        </is>
      </c>
      <c r="Z168" t="inlineStr">
        <is>
          <t>Verified</t>
        </is>
      </c>
      <c r="AA168" t="inlineStr">
        <is>
          <t>Verify: Registrering af Kundeoprettede felter — vurderet opfyldt (tool: 1. Fully met).</t>
        </is>
      </c>
      <c r="AB168" t="inlineStr">
        <is>
          <t>Red flag: Det har vi ikke endnu</t>
        </is>
      </c>
      <c r="AC168" t="inlineStr">
        <is>
          <t>docs/tender-reference/extracted/Nationalbanken/Bilag 3.i Leverandørens Løsningsbeskrivelse.txt; docs/tender-reference/extracted/KK Tender tool.txt; docs/tender-reference/extracted/KUM-SLKS/Bilag 3 - Kravspecifikation.txt</t>
        </is>
      </c>
      <c r="AD168" t="inlineStr">
        <is>
          <t>Anton: Confirm verify-tekst; opdatér review status efter tjek.</t>
        </is>
      </c>
      <c r="AE168" t="inlineStr"/>
      <c r="AF168" t="inlineStr">
        <is>
          <t>Draft</t>
        </is>
      </c>
      <c r="AG168" t="inlineStr">
        <is>
          <t>uim-esdh-full-2026-07-07</t>
        </is>
      </c>
    </row>
    <row r="169" ht="64" customHeight="1">
      <c r="A169" s="35" t="n">
        <v>168</v>
      </c>
      <c r="B169" s="35" t="inlineStr">
        <is>
          <t>K-16</t>
        </is>
      </c>
      <c r="C169" s="35" t="inlineStr">
        <is>
          <t>Bilag 1.b</t>
        </is>
      </c>
      <c r="D169" s="35" t="inlineStr">
        <is>
          <t>Office-Integration</t>
        </is>
      </c>
      <c r="E169" s="35" t="inlineStr">
        <is>
          <t>Integration til andre office-applikationsudbydere</t>
        </is>
      </c>
      <c r="F169" s="35" t="inlineStr">
        <is>
          <t>ESDH-løsningen skal understøtte integration til andre leverandører af office-pakker end Microsoft Office, som tilbyder samme services som kravstillet til standardsoftware, f.eks. opensource office pakken LibreOffice, som kan afvikles på Statens IT’s SIA pc.</t>
        </is>
      </c>
      <c r="G169" s="35" t="inlineStr">
        <is>
          <t>Krav</t>
        </is>
      </c>
      <c r="H169" s="35">
        <f>IF(G169="Evalueringskrav","Answer",(IF(G169="Krav","Check",(IF(G169="Mindstekrav","Verify","")))))</f>
        <v/>
      </c>
      <c r="I169" s="35" t="inlineStr">
        <is>
          <t>Ja</t>
        </is>
      </c>
      <c r="J169" s="35" t="n"/>
      <c r="K169" s="47" t="n"/>
      <c r="L169" s="35" t="inlineStr">
        <is>
          <t>Anton</t>
        </is>
      </c>
      <c r="M169" s="35" t="n"/>
      <c r="N169" s="35" t="n"/>
      <c r="O169" s="35" t="inlineStr">
        <is>
          <t>3. Not able to meet</t>
        </is>
      </c>
      <c r="P169" s="35" t="inlineStr">
        <is>
          <t>ADN: We dont have this Yet.</t>
        </is>
      </c>
      <c r="Q169" s="35" t="n"/>
      <c r="R169" s="35" t="n"/>
      <c r="S169" s="35" t="n"/>
      <c r="T169" s="35" t="n"/>
      <c r="U169" s="35" t="inlineStr">
        <is>
          <t>Not Started</t>
        </is>
      </c>
      <c r="V169" s="37">
        <f>IF(U169="Not Started",0%,IF(U169="Started",50%,IF(U169="Ready for review",70%,IF(U169="Reviewed - Content",80%,IF(U169="Reviewed - Format",90%,IF(U169="Done",100%,""))))))</f>
        <v/>
      </c>
      <c r="W169" t="inlineStr">
        <is>
          <t>2026-07-07</t>
        </is>
      </c>
      <c r="X169" t="inlineStr">
        <is>
          <t>Cursor / tender-response (batch)</t>
        </is>
      </c>
      <c r="Y169" t="inlineStr">
        <is>
          <t>Not met</t>
        </is>
      </c>
      <c r="Z169" t="inlineStr">
        <is>
          <t>Verified</t>
        </is>
      </c>
      <c r="AA169" t="inlineStr">
        <is>
          <t>Check: Integration til andre office-applikationsudbydere — gap ift. kravtekst; eskalér commitment eller afklaring.</t>
        </is>
      </c>
      <c r="AB169" t="inlineStr">
        <is>
          <t>ADN: We dont have this Yet.</t>
        </is>
      </c>
      <c r="AC169" t="inlineStr">
        <is>
          <t>docs/tender-reference/extracted/Nationalbanken/Bilag 3.i Leverandørens Løsningsbeskrivelse.txt; docs/tender-reference/extracted/HSØ/02.00-Tietoevry-SSA-L-Bilag 2-Leverandørens beskrivelse av Tjenesten.txt; docs/tender-reference/extracted/KK Tender tool.txt</t>
        </is>
      </c>
      <c r="AD169" t="inlineStr">
        <is>
          <t>Anton: Commitment/no-bid beslutning; overvej Q&amp;A til ordregiver.</t>
        </is>
      </c>
      <c r="AE169" t="inlineStr"/>
      <c r="AF169" t="inlineStr">
        <is>
          <t>Draft</t>
        </is>
      </c>
      <c r="AG169" t="inlineStr">
        <is>
          <t>uim-esdh-full-2026-07-07</t>
        </is>
      </c>
    </row>
    <row r="170" ht="48" customHeight="1">
      <c r="A170" s="35" t="n">
        <v>169</v>
      </c>
      <c r="B170" s="35" t="inlineStr">
        <is>
          <t>MK-143</t>
        </is>
      </c>
      <c r="C170" s="35" t="inlineStr">
        <is>
          <t>Bilag 1.b</t>
        </is>
      </c>
      <c r="D170" s="35" t="inlineStr">
        <is>
          <t>Outlook-Integration</t>
        </is>
      </c>
      <c r="E170" s="35" t="inlineStr">
        <is>
          <t>Outlook integration</t>
        </is>
      </c>
      <c r="F170" s="35" t="inlineStr">
        <is>
          <t>ESDH-løsningen skal have integration til Outlook via et plugin, som muliggør, at e-mails kan journaliseres direkte i ESDH-løsningen fra Outlook.</t>
        </is>
      </c>
      <c r="G170" s="35" t="inlineStr">
        <is>
          <t>Mindstekrav</t>
        </is>
      </c>
      <c r="H170" s="35">
        <f>IF(G170="Evalueringskrav","Answer",(IF(G170="Krav","Check",(IF(G170="Mindstekrav","Verify","")))))</f>
        <v/>
      </c>
      <c r="I170" s="35" t="inlineStr">
        <is>
          <t>Ja</t>
        </is>
      </c>
      <c r="J170" s="35" t="n"/>
      <c r="K170" s="47" t="n"/>
      <c r="L170" s="35" t="inlineStr">
        <is>
          <t>Anton</t>
        </is>
      </c>
      <c r="M170" s="35" t="n"/>
      <c r="N170" s="35" t="n"/>
      <c r="O170" s="35" t="inlineStr">
        <is>
          <t>1. Fully met</t>
        </is>
      </c>
      <c r="P170" s="35" t="n"/>
      <c r="Q170" s="35" t="n"/>
      <c r="R170" s="35" t="n"/>
      <c r="S170" s="35" t="n"/>
      <c r="T170" s="35" t="n"/>
      <c r="U170" s="35" t="inlineStr">
        <is>
          <t>Not Started</t>
        </is>
      </c>
      <c r="V170" s="37">
        <f>IF(U170="Not Started",0%,IF(U170="Started",50%,IF(U170="Ready for review",70%,IF(U170="Reviewed - Content",80%,IF(U170="Reviewed - Format",90%,IF(U170="Done",100%,""))))))</f>
        <v/>
      </c>
      <c r="W170" t="inlineStr">
        <is>
          <t>2026-07-07</t>
        </is>
      </c>
      <c r="X170" t="inlineStr">
        <is>
          <t>Cursor / tender-response (batch)</t>
        </is>
      </c>
      <c r="Y170" t="inlineStr">
        <is>
          <t>Met</t>
        </is>
      </c>
      <c r="Z170" t="inlineStr">
        <is>
          <t>Verified</t>
        </is>
      </c>
      <c r="AA170" t="inlineStr">
        <is>
          <t>Verify: Outlook integration — vurderet opfyldt (tool: 1. Fully met).</t>
        </is>
      </c>
      <c r="AB170" t="inlineStr"/>
      <c r="AC170" t="inlineStr">
        <is>
          <t>docs/tender-reference/extracted/KUM-SLKS/Bilag 3 - Kravspecifikation.txt; docs/tender-reference/extracted/Nationalbanken/Bilag 3.i Leverandørens Løsningsbeskrivelse.txt; docs/tender-reference/extracted/KK Tender tool.txt</t>
        </is>
      </c>
      <c r="AD170" t="inlineStr">
        <is>
          <t>Anton: Confirm verify-tekst; opdatér review status efter tjek.</t>
        </is>
      </c>
      <c r="AE170" t="inlineStr"/>
      <c r="AF170" t="inlineStr">
        <is>
          <t>Draft</t>
        </is>
      </c>
      <c r="AG170" t="inlineStr">
        <is>
          <t>uim-esdh-full-2026-07-07</t>
        </is>
      </c>
    </row>
    <row r="171" ht="48" customHeight="1">
      <c r="A171" s="35" t="n">
        <v>170</v>
      </c>
      <c r="B171" s="35" t="inlineStr">
        <is>
          <t>MK-144</t>
        </is>
      </c>
      <c r="C171" s="35" t="inlineStr">
        <is>
          <t>Bilag 1.b</t>
        </is>
      </c>
      <c r="D171" s="35" t="inlineStr">
        <is>
          <t>Outlook-Integration</t>
        </is>
      </c>
      <c r="E171" s="35" t="inlineStr">
        <is>
          <t>Afsendelse af e-mail</t>
        </is>
      </c>
      <c r="F171" s="35" t="inlineStr">
        <is>
          <t>ESDH-løsningen skal understøtte, at en e-mail samt dens afsendelseshistorik, herunder modtagere og afsendelsesdato kan journaliseres fra Outlook.</t>
        </is>
      </c>
      <c r="G171" s="35" t="inlineStr">
        <is>
          <t>Mindstekrav</t>
        </is>
      </c>
      <c r="H171" s="35">
        <f>IF(G171="Evalueringskrav","Answer",(IF(G171="Krav","Check",(IF(G171="Mindstekrav","Verify","")))))</f>
        <v/>
      </c>
      <c r="I171" s="35" t="inlineStr">
        <is>
          <t>Ja</t>
        </is>
      </c>
      <c r="J171" s="35" t="n"/>
      <c r="K171" s="47" t="n"/>
      <c r="L171" s="35" t="inlineStr">
        <is>
          <t>Anton</t>
        </is>
      </c>
      <c r="M171" s="35" t="n"/>
      <c r="N171" s="35" t="n"/>
      <c r="O171" s="35" t="inlineStr">
        <is>
          <t>1. Fully met</t>
        </is>
      </c>
      <c r="P171" s="35" t="n"/>
      <c r="Q171" s="35" t="n"/>
      <c r="R171" s="35" t="n"/>
      <c r="S171" s="35" t="n"/>
      <c r="T171" s="35" t="n"/>
      <c r="U171" s="35" t="inlineStr">
        <is>
          <t>Not Started</t>
        </is>
      </c>
      <c r="V171" s="37">
        <f>IF(U171="Not Started",0%,IF(U171="Started",50%,IF(U171="Ready for review",70%,IF(U171="Reviewed - Content",80%,IF(U171="Reviewed - Format",90%,IF(U171="Done",100%,""))))))</f>
        <v/>
      </c>
      <c r="W171" t="inlineStr">
        <is>
          <t>2026-07-07</t>
        </is>
      </c>
      <c r="X171" t="inlineStr">
        <is>
          <t>Cursor / tender-response (batch)</t>
        </is>
      </c>
      <c r="Y171" t="inlineStr">
        <is>
          <t>Met</t>
        </is>
      </c>
      <c r="Z171" t="inlineStr">
        <is>
          <t>Verified</t>
        </is>
      </c>
      <c r="AA171" t="inlineStr">
        <is>
          <t>Verify: Afsendelse af e-mail — vurderet opfyldt (tool: 1. Fully met).</t>
        </is>
      </c>
      <c r="AB171" t="inlineStr"/>
      <c r="AC171" t="inlineStr">
        <is>
          <t>docs/tender-reference/extracted/KUM-SLKS/Bilag 3 - Kravspecifikation.txt; docs/tender-reference/extracted/Nationalbanken/Bilag 3.i Leverandørens Løsningsbeskrivelse.txt; docs/tender-reference/extracted/KK Tender tool.txt</t>
        </is>
      </c>
      <c r="AD171" t="inlineStr">
        <is>
          <t>Anton: Confirm verify-tekst; opdatér review status efter tjek.</t>
        </is>
      </c>
      <c r="AE171" t="inlineStr"/>
      <c r="AF171" t="inlineStr">
        <is>
          <t>Draft</t>
        </is>
      </c>
      <c r="AG171" t="inlineStr">
        <is>
          <t>uim-esdh-full-2026-07-07</t>
        </is>
      </c>
    </row>
    <row r="172" ht="48" customHeight="1">
      <c r="A172" s="35" t="n">
        <v>171</v>
      </c>
      <c r="B172" s="35" t="inlineStr">
        <is>
          <t>MK-145</t>
        </is>
      </c>
      <c r="C172" s="35" t="inlineStr">
        <is>
          <t>Bilag 1.b</t>
        </is>
      </c>
      <c r="D172" s="35" t="inlineStr">
        <is>
          <t>Outlook-Integration</t>
        </is>
      </c>
      <c r="E172" s="35" t="inlineStr">
        <is>
          <t>Markering af journaliseret e-mail</t>
        </is>
      </c>
      <c r="F172" s="35" t="inlineStr">
        <is>
          <t>ESDH-løsningen skal understøtte, at det fremgår visuelt i Outlook-mapper, på hvilken sag og hvornår en e-mail er blevet journaliseret i ESDH-løsningen.</t>
        </is>
      </c>
      <c r="G172" s="35" t="inlineStr">
        <is>
          <t>Mindstekrav</t>
        </is>
      </c>
      <c r="H172" s="35">
        <f>IF(G172="Evalueringskrav","Answer",(IF(G172="Krav","Check",(IF(G172="Mindstekrav","Verify","")))))</f>
        <v/>
      </c>
      <c r="I172" s="35" t="inlineStr">
        <is>
          <t>Ja</t>
        </is>
      </c>
      <c r="J172" s="35" t="n"/>
      <c r="K172" s="47" t="n"/>
      <c r="L172" s="35" t="inlineStr">
        <is>
          <t>Anton</t>
        </is>
      </c>
      <c r="M172" s="35" t="n"/>
      <c r="N172" s="35" t="inlineStr">
        <is>
          <t>Office Webapps</t>
        </is>
      </c>
      <c r="O172" s="35" t="inlineStr">
        <is>
          <t>2. Partly met</t>
        </is>
      </c>
      <c r="P172" s="35" t="inlineStr">
        <is>
          <t>ADN: We allmost support this with office Webapps integration - we dont show "When" yet, but Willy stated it could be added.</t>
        </is>
      </c>
      <c r="Q172" s="35" t="n"/>
      <c r="R172" s="35" t="n"/>
      <c r="S172" s="35" t="n"/>
      <c r="T172" s="35" t="n"/>
      <c r="U172" s="35" t="inlineStr">
        <is>
          <t>Not Started</t>
        </is>
      </c>
      <c r="V172" s="37">
        <f>IF(U172="Not Started",0%,IF(U172="Started",50%,IF(U172="Ready for review",70%,IF(U172="Reviewed - Content",80%,IF(U172="Reviewed - Format",90%,IF(U172="Done",100%,""))))))</f>
        <v/>
      </c>
      <c r="W172" t="inlineStr">
        <is>
          <t>2026-07-07</t>
        </is>
      </c>
      <c r="X172" t="inlineStr">
        <is>
          <t>Cursor / tender-response (batch)</t>
        </is>
      </c>
      <c r="Y172" t="inlineStr">
        <is>
          <t>Partial</t>
        </is>
      </c>
      <c r="Z172" t="inlineStr">
        <is>
          <t>Lead</t>
        </is>
      </c>
      <c r="AA172" t="inlineStr">
        <is>
          <t>Verify: Markering af journaliseret e-mail — delvist opfyldt; afklar scope og scoring.</t>
        </is>
      </c>
      <c r="AB172" t="inlineStr">
        <is>
          <t>ADN: We allmost support this with office Webapps integration - we dont show "When" yet, but Willy stated it could be added. | Red flag: Kan vi kun med office webapps</t>
        </is>
      </c>
      <c r="AC172" t="inlineStr">
        <is>
          <t>docs/tender-reference/extracted/Nationalbanken/Bilag 3.i Leverandørens Løsningsbeskrivelse.txt; docs/tender-reference/extracted/KK Tender tool.txt; docs/tender-reference/extracted/KUM-SLKS/Bilag 3 - Kravspecifikation.txt</t>
        </is>
      </c>
      <c r="AD172" t="inlineStr">
        <is>
          <t>Anton: Afklar delkrav; align tool-rating (O) med AI compliance.</t>
        </is>
      </c>
      <c r="AE172" t="inlineStr"/>
      <c r="AF172" t="inlineStr">
        <is>
          <t>Draft</t>
        </is>
      </c>
      <c r="AG172" t="inlineStr">
        <is>
          <t>uim-esdh-full-2026-07-07</t>
        </is>
      </c>
    </row>
    <row r="173" ht="48" customHeight="1">
      <c r="A173" s="35" t="n">
        <v>172</v>
      </c>
      <c r="B173" s="35" t="inlineStr">
        <is>
          <t>MK-146</t>
        </is>
      </c>
      <c r="C173" s="35" t="inlineStr">
        <is>
          <t>Bilag 1.b</t>
        </is>
      </c>
      <c r="D173" s="35" t="inlineStr">
        <is>
          <t>Outlook-Integration</t>
        </is>
      </c>
      <c r="E173" s="35" t="inlineStr">
        <is>
          <t>Afsendelse af e-mail fra ESDH-løsningen</t>
        </is>
      </c>
      <c r="F173" s="35" t="inlineStr">
        <is>
          <t>ESDH-løsningen skal understøtte, at en e-mail, der initieres fra ESDH-løsningen, automatisk kan journaliseres på den tilknyttede sag ved afsendelse.</t>
        </is>
      </c>
      <c r="G173" s="35" t="inlineStr">
        <is>
          <t>Mindstekrav</t>
        </is>
      </c>
      <c r="H173" s="35">
        <f>IF(G173="Evalueringskrav","Answer",(IF(G173="Krav","Check",(IF(G173="Mindstekrav","Verify","")))))</f>
        <v/>
      </c>
      <c r="I173" s="35" t="inlineStr">
        <is>
          <t>Ja</t>
        </is>
      </c>
      <c r="J173" s="35" t="n"/>
      <c r="K173" s="47" t="n"/>
      <c r="L173" s="35" t="inlineStr">
        <is>
          <t>Anton</t>
        </is>
      </c>
      <c r="M173" s="35" t="n"/>
      <c r="N173" s="35" t="n"/>
      <c r="O173" s="35" t="inlineStr">
        <is>
          <t>1. Fully met</t>
        </is>
      </c>
      <c r="P173" s="35" t="n"/>
      <c r="Q173" s="35" t="n"/>
      <c r="R173" s="35" t="n"/>
      <c r="S173" s="35" t="n"/>
      <c r="T173" s="35" t="n"/>
      <c r="U173" s="35" t="inlineStr">
        <is>
          <t>Not Started</t>
        </is>
      </c>
      <c r="V173" s="37">
        <f>IF(U173="Not Started",0%,IF(U173="Started",50%,IF(U173="Ready for review",70%,IF(U173="Reviewed - Content",80%,IF(U173="Reviewed - Format",90%,IF(U173="Done",100%,""))))))</f>
        <v/>
      </c>
      <c r="W173" t="inlineStr">
        <is>
          <t>2026-07-07</t>
        </is>
      </c>
      <c r="X173" t="inlineStr">
        <is>
          <t>Cursor / tender-response (batch)</t>
        </is>
      </c>
      <c r="Y173" t="inlineStr">
        <is>
          <t>Met</t>
        </is>
      </c>
      <c r="Z173" t="inlineStr">
        <is>
          <t>Verified</t>
        </is>
      </c>
      <c r="AA173" t="inlineStr">
        <is>
          <t>Verify: Afsendelse af e-mail fra ESDH-løsningen — vurderet opfyldt (tool: 1. Fully met).</t>
        </is>
      </c>
      <c r="AB173" t="inlineStr"/>
      <c r="AC173" t="inlineStr">
        <is>
          <t>docs/tender-reference/extracted/KK Tender tool.txt; docs/tender-reference/extracted/KUM-SLKS/Bilag 3 - 11.8 - Kravspecifikation - Processtyring (1).txt; docs/tender-reference/extracted/KUM-SLKS/Bilag 3 - Kravspecifikation.txt</t>
        </is>
      </c>
      <c r="AD173" t="inlineStr">
        <is>
          <t>Anton: Confirm verify-tekst; opdatér review status efter tjek.</t>
        </is>
      </c>
      <c r="AE173" t="inlineStr"/>
      <c r="AF173" t="inlineStr">
        <is>
          <t>Draft</t>
        </is>
      </c>
      <c r="AG173" t="inlineStr">
        <is>
          <t>uim-esdh-full-2026-07-07</t>
        </is>
      </c>
    </row>
    <row r="174" ht="48" customHeight="1">
      <c r="A174" s="35" t="n">
        <v>173</v>
      </c>
      <c r="B174" s="35" t="inlineStr">
        <is>
          <t>MK-147</t>
        </is>
      </c>
      <c r="C174" s="35" t="inlineStr">
        <is>
          <t>Bilag 1.b</t>
        </is>
      </c>
      <c r="D174" s="35" t="inlineStr">
        <is>
          <t>Outlook-Integration</t>
        </is>
      </c>
      <c r="E174" s="35" t="inlineStr">
        <is>
          <t>Fravalg af Dokumenter</t>
        </is>
      </c>
      <c r="F174" s="35" t="inlineStr">
        <is>
          <t>ESDH-løsningen skal understøtte, at Brugeren ved journalisering af en e-mail kan fravælge enten selve Hoveddokumentet eller flere af de vedhæftede Bilag.</t>
        </is>
      </c>
      <c r="G174" s="35" t="inlineStr">
        <is>
          <t>Mindstekrav</t>
        </is>
      </c>
      <c r="H174" s="35">
        <f>IF(G174="Evalueringskrav","Answer",(IF(G174="Krav","Check",(IF(G174="Mindstekrav","Verify","")))))</f>
        <v/>
      </c>
      <c r="I174" s="35" t="inlineStr">
        <is>
          <t>Ja</t>
        </is>
      </c>
      <c r="J174" s="35" t="n"/>
      <c r="K174" s="47" t="n"/>
      <c r="L174" s="35" t="inlineStr">
        <is>
          <t>Anton</t>
        </is>
      </c>
      <c r="M174" s="35" t="n"/>
      <c r="N174" s="35" t="n"/>
      <c r="O174" s="35" t="inlineStr">
        <is>
          <t>1. Fully met</t>
        </is>
      </c>
      <c r="P174" s="35" t="n"/>
      <c r="Q174" s="35" t="n"/>
      <c r="R174" s="35" t="n"/>
      <c r="S174" s="35" t="n"/>
      <c r="T174" s="35" t="n"/>
      <c r="U174" s="35" t="inlineStr">
        <is>
          <t>Not Started</t>
        </is>
      </c>
      <c r="V174" s="37">
        <f>IF(U174="Not Started",0%,IF(U174="Started",50%,IF(U174="Ready for review",70%,IF(U174="Reviewed - Content",80%,IF(U174="Reviewed - Format",90%,IF(U174="Done",100%,""))))))</f>
        <v/>
      </c>
      <c r="W174" t="inlineStr">
        <is>
          <t>2026-07-07</t>
        </is>
      </c>
      <c r="X174" t="inlineStr">
        <is>
          <t>Cursor / tender-response (batch)</t>
        </is>
      </c>
      <c r="Y174" t="inlineStr">
        <is>
          <t>Met</t>
        </is>
      </c>
      <c r="Z174" t="inlineStr">
        <is>
          <t>Verified</t>
        </is>
      </c>
      <c r="AA174" t="inlineStr">
        <is>
          <t>Verify: Fravalg af Dokumenter — vurderet opfyldt (tool: 1. Fully met).</t>
        </is>
      </c>
      <c r="AB174" t="inlineStr"/>
      <c r="AC174" t="inlineStr">
        <is>
          <t>docs/tender-reference/extracted/KUM-SLKS/Bilag 3 - Kravspecifikation.txt; docs/tender-reference/extracted/Nationalbanken/Bilag 3.i Leverandørens Løsningsbeskrivelse.txt; docs/tender-reference/extracted/KK Tender tool.txt</t>
        </is>
      </c>
      <c r="AD174" t="inlineStr">
        <is>
          <t>Anton: Confirm verify-tekst; opdatér review status efter tjek.</t>
        </is>
      </c>
      <c r="AE174" t="inlineStr"/>
      <c r="AF174" t="inlineStr">
        <is>
          <t>Draft</t>
        </is>
      </c>
      <c r="AG174" t="inlineStr">
        <is>
          <t>uim-esdh-full-2026-07-07</t>
        </is>
      </c>
    </row>
    <row r="175" ht="48" customHeight="1">
      <c r="A175" s="35" t="n">
        <v>174</v>
      </c>
      <c r="B175" s="35" t="inlineStr">
        <is>
          <t>MK-148</t>
        </is>
      </c>
      <c r="C175" s="35" t="inlineStr">
        <is>
          <t>Bilag 1.b</t>
        </is>
      </c>
      <c r="D175" s="35" t="inlineStr">
        <is>
          <t>Outlook-Integration</t>
        </is>
      </c>
      <c r="E175" s="35" t="inlineStr">
        <is>
          <t>Funktionspostkasser</t>
        </is>
      </c>
      <c r="F175" s="35" t="inlineStr">
        <is>
          <t>ESDH-løsningen skal understøtte en indbakkesag, som afspejler Kundens funktionspostkasser fra Outlook. Brugeren skal kunne anvende indbakkesagen til at journalisere fra til relevante sager.</t>
        </is>
      </c>
      <c r="G175" s="35" t="inlineStr">
        <is>
          <t>Mindstekrav</t>
        </is>
      </c>
      <c r="H175" s="35">
        <f>IF(G175="Evalueringskrav","Answer",(IF(G175="Krav","Check",(IF(G175="Mindstekrav","Verify","")))))</f>
        <v/>
      </c>
      <c r="I175" s="35" t="inlineStr">
        <is>
          <t>Ja</t>
        </is>
      </c>
      <c r="J175" s="35" t="n"/>
      <c r="K175" s="47" t="n"/>
      <c r="L175" s="35" t="inlineStr">
        <is>
          <t>Anton</t>
        </is>
      </c>
      <c r="M175" s="35" t="n"/>
      <c r="N175" s="35" t="n"/>
      <c r="O175" s="35" t="inlineStr">
        <is>
          <t>1. Fully met</t>
        </is>
      </c>
      <c r="P175" s="35" t="inlineStr">
        <is>
          <t>Anton: Understøtter vi ikke endnu</t>
        </is>
      </c>
      <c r="Q175" s="35" t="n"/>
      <c r="R175" s="35" t="n"/>
      <c r="S175" s="35" t="n"/>
      <c r="T175" s="35" t="n"/>
      <c r="U175" s="35" t="inlineStr">
        <is>
          <t>Not Started</t>
        </is>
      </c>
      <c r="V175" s="37">
        <f>IF(U175="Not Started",0%,IF(U175="Started",50%,IF(U175="Ready for review",70%,IF(U175="Reviewed - Content",80%,IF(U175="Reviewed - Format",90%,IF(U175="Done",100%,""))))))</f>
        <v/>
      </c>
      <c r="W175" t="inlineStr">
        <is>
          <t>2026-07-07</t>
        </is>
      </c>
      <c r="X175" t="inlineStr">
        <is>
          <t>Cursor / tender-response (batch)</t>
        </is>
      </c>
      <c r="Y175" t="inlineStr">
        <is>
          <t>Met</t>
        </is>
      </c>
      <c r="Z175" t="inlineStr">
        <is>
          <t>Verified</t>
        </is>
      </c>
      <c r="AA175" t="inlineStr">
        <is>
          <t>Verify: Funktionspostkasser — vurderet opfyldt (tool: 1. Fully met).</t>
        </is>
      </c>
      <c r="AB175" t="inlineStr">
        <is>
          <t>Anton: Understøtter vi ikke endnu | Red flag: Understøtter vi ikke endnu</t>
        </is>
      </c>
      <c r="AC175" t="inlineStr">
        <is>
          <t>docs/tender-reference/extracted/KUM-SLKS/Bilag 3 - Kravspecifikation.txt; docs/tender-reference/extracted/Nationalbanken/Bilag 3.i Leverandørens Løsningsbeskrivelse.txt; docs/tender-reference/extracted/KK Tender tool.txt</t>
        </is>
      </c>
      <c r="AD175" t="inlineStr">
        <is>
          <t>Anton: Confirm verify-tekst; opdatér review status efter tjek.</t>
        </is>
      </c>
      <c r="AE175" t="inlineStr"/>
      <c r="AF175" t="inlineStr">
        <is>
          <t>Draft</t>
        </is>
      </c>
      <c r="AG175" t="inlineStr">
        <is>
          <t>uim-esdh-full-2026-07-07</t>
        </is>
      </c>
    </row>
    <row r="176" ht="64" customHeight="1">
      <c r="A176" s="35" t="n">
        <v>175</v>
      </c>
      <c r="B176" s="35" t="inlineStr">
        <is>
          <t>K-17</t>
        </is>
      </c>
      <c r="C176" s="35" t="inlineStr">
        <is>
          <t>Bilag 1.b</t>
        </is>
      </c>
      <c r="D176" s="35" t="inlineStr">
        <is>
          <t>Outlook-Integration</t>
        </is>
      </c>
      <c r="E176" s="35" t="inlineStr">
        <is>
          <t>Integration til andre e-mail klient udbydere</t>
        </is>
      </c>
      <c r="F176" s="35" t="inlineStr">
        <is>
          <t>ESDH-løsningen skal understøtte integration til andre leverandører af e-mail klienter, som tilbyder samme services som kravstillet til standardsoftware, f.eks. Evolution mailklient, som kan afvikles på Statens IT’s SIA pc.</t>
        </is>
      </c>
      <c r="G176" s="35" t="inlineStr">
        <is>
          <t>Krav</t>
        </is>
      </c>
      <c r="H176" s="35">
        <f>IF(G176="Evalueringskrav","Answer",(IF(G176="Krav","Check",(IF(G176="Mindstekrav","Verify","")))))</f>
        <v/>
      </c>
      <c r="I176" s="35" t="inlineStr">
        <is>
          <t>Ja</t>
        </is>
      </c>
      <c r="J176" s="35" t="n"/>
      <c r="K176" s="47" t="n"/>
      <c r="L176" s="35" t="inlineStr">
        <is>
          <t>Anton</t>
        </is>
      </c>
      <c r="M176" s="35" t="n"/>
      <c r="N176" s="35" t="n"/>
      <c r="O176" s="35" t="inlineStr">
        <is>
          <t>3. Not able to meet</t>
        </is>
      </c>
      <c r="P176" s="35" t="inlineStr">
        <is>
          <t>ADN: We dont have this Yet.</t>
        </is>
      </c>
      <c r="Q176" s="35" t="n"/>
      <c r="R176" s="35" t="n"/>
      <c r="S176" s="35" t="n"/>
      <c r="T176" s="35" t="n"/>
      <c r="U176" s="35" t="inlineStr">
        <is>
          <t>Not Started</t>
        </is>
      </c>
      <c r="V176" s="37">
        <f>IF(U176="Not Started",0%,IF(U176="Started",50%,IF(U176="Ready for review",70%,IF(U176="Reviewed - Content",80%,IF(U176="Reviewed - Format",90%,IF(U176="Done",100%,""))))))</f>
        <v/>
      </c>
      <c r="W176" t="inlineStr">
        <is>
          <t>2026-07-07</t>
        </is>
      </c>
      <c r="X176" t="inlineStr">
        <is>
          <t>Cursor / tender-response (batch)</t>
        </is>
      </c>
      <c r="Y176" t="inlineStr">
        <is>
          <t>Not met</t>
        </is>
      </c>
      <c r="Z176" t="inlineStr">
        <is>
          <t>Verified</t>
        </is>
      </c>
      <c r="AA176" t="inlineStr">
        <is>
          <t>Check: Integration til andre e-mail klient udbydere — gap ift. kravtekst; eskalér commitment eller afklaring.</t>
        </is>
      </c>
      <c r="AB176" t="inlineStr">
        <is>
          <t>ADN: We dont have this Yet.</t>
        </is>
      </c>
      <c r="AC176" t="inlineStr">
        <is>
          <t>docs/tender-reference/extracted/KK Tender tool.txt; docs/tender-reference/extracted/Nationalbanken/Bilag 3.i Leverandørens Løsningsbeskrivelse.txt; docs/tender-reference/extracted/NND/02.01-Tieto-Bilag 2-Vedlegg-Leverandørens utfyllende svar til kravtabell.txt</t>
        </is>
      </c>
      <c r="AD176" t="inlineStr">
        <is>
          <t>Anton: Commitment/no-bid beslutning; overvej Q&amp;A til ordregiver.</t>
        </is>
      </c>
      <c r="AE176" t="inlineStr"/>
      <c r="AF176" t="inlineStr">
        <is>
          <t>Draft</t>
        </is>
      </c>
      <c r="AG176" t="inlineStr">
        <is>
          <t>uim-esdh-full-2026-07-07</t>
        </is>
      </c>
    </row>
    <row r="177" ht="409.5" customHeight="1">
      <c r="A177" s="35" t="n">
        <v>176</v>
      </c>
      <c r="B177" s="35" t="inlineStr">
        <is>
          <t>EK-11</t>
        </is>
      </c>
      <c r="C177" s="35" t="inlineStr">
        <is>
          <t>Bilag 1.b</t>
        </is>
      </c>
      <c r="D177" s="35" t="inlineStr">
        <is>
          <t>Outlook-Integration</t>
        </is>
      </c>
      <c r="E177" s="35" t="inlineStr">
        <is>
          <t>Outlook integration til journalisering</t>
        </is>
      </c>
      <c r="F177" s="35" t="inlineStr">
        <is>
          <t>ESDH-løsningen skal understøtte en effektiv og brugervenlig integration med Outlook, som understøtter sammenhængende arbejdsgange og nem journalisering af e-mails og Dokumenter.
Leverandøren skal beskrive, hvordan den tilbudte ESDH-løsning integrerer med Outlook. 
Leverandøren skal gennem konkrete skærmbilleder demonstrere om og hvordan ESDH-løsningen understøtter de stillede krav og møder Kundens behov.
Leverandøren skal redegøre for: 
Hvordan integrationen mellem ESDH-løsningen og Outlook understøtter en effektiv opgavehåndtering, herunder håndtering af e-mails, Dokumenter og journalisering direkte fra Outlook.
Evalueringskriterier:
Det vægtes positivt, i hvor høj grad Outlook integrationen understøtter, at Brugere direkte fra e-mailklienten kan oprette en ny sag og journalisere den modtagne eller afsendte e-mail samt tilhørende Bilag på sagen i én sammenhængende arbejdsgang.
Det vægtes positivt, hvor nemt og effektivt det er for Brugeren at vælge, om e-mail og tilhørende Bilag kan journaliseres som selvstændige Filer i Løsningen eller kan fravælge e-mail eller konkrete tilhørende Bilag.
Det vægtes positivt, at Løsningen understøtter en nem og effektiv journalisering fra fællespostkasser i Outlook.
Det vægtes positivt, i hvor høj grad Løsningen understøtter brugervenlig og intuitiv journalisering af e-mails på sager, f.eks. mulighed for søgning på relevante sager eller navigation direkte til sagen ved journalisering af e-mails.
Det vægter positivt, i hvor høj grad Løsningen understøtter journalisering af afsendte e-mails, der initieres direkte fra ESDH-løsningen, med færrest mulige kommandoer og uden behov for manuel metadataregistrering.
Det vægter positivt, i hvor høj grad Løsningen understøtter hurtig og nem afsendelse af en eller flere Filer direkte via Outlook, hvor Brugeren kan vælge imellem afsendelse i original version eller som PDF-version.
Det vægtes positivt, at ESDH-løsningen understøtter, at en e-mail fra en sag i ESDH-løsningen kan åbnes i Outlook uden download af e-mailen til Brugerens pc. 
Det vægtes positivt, i hvor høj grad registreringsmetoden og dataregistreringen er ens, uanset om en e-mail journaliseres direkte i ESDH-løsningens browsergrænseflade eller via Outlook-plugin.</t>
        </is>
      </c>
      <c r="G177" s="35" t="inlineStr">
        <is>
          <t>Evalueringskrav</t>
        </is>
      </c>
      <c r="H177" s="35">
        <f>IF(G177="Evalueringskrav","Answer",(IF(G177="Krav","Check",(IF(G177="Mindstekrav","Verify","")))))</f>
        <v/>
      </c>
      <c r="I177" s="35" t="inlineStr">
        <is>
          <t>Ja</t>
        </is>
      </c>
      <c r="J177" s="35" t="n"/>
      <c r="K177" s="47" t="n"/>
      <c r="L177" s="35" t="inlineStr">
        <is>
          <t>Hans</t>
        </is>
      </c>
      <c r="M177" s="35" t="n"/>
      <c r="N177" s="35" t="n"/>
      <c r="O177" s="35" t="n"/>
      <c r="P177" s="35" t="n"/>
      <c r="Q177" s="35" t="n"/>
      <c r="R177" s="35" t="n"/>
      <c r="S177" s="35" t="n"/>
      <c r="T177" s="35" t="n"/>
      <c r="U177" s="35" t="inlineStr">
        <is>
          <t>Not Started</t>
        </is>
      </c>
      <c r="V177" s="37">
        <f>IF(U177="Not Started",0%,IF(U177="Started",50%,IF(U177="Ready for review",70%,IF(U177="Reviewed - Content",80%,IF(U177="Reviewed - Format",90%,IF(U177="Done",100%,""))))))</f>
        <v/>
      </c>
      <c r="W177" t="inlineStr">
        <is>
          <t>2026-07-07</t>
        </is>
      </c>
      <c r="X177" t="inlineStr">
        <is>
          <t>Cursor / tender-response (batch)</t>
        </is>
      </c>
      <c r="Y177" t="inlineStr">
        <is>
          <t>Draft needed</t>
        </is>
      </c>
      <c r="Z177" t="inlineStr">
        <is>
          <t>Verified</t>
        </is>
      </c>
      <c r="AA177" t="inlineStr">
        <is>
          <t>Answer: Outlook integration til journalisering — informationskrav; udkast bilag/dokumentation mangler.</t>
        </is>
      </c>
      <c r="AB177" t="inlineStr">
        <is>
          <t>Mangler link til svar-bilag i kolonne T.</t>
        </is>
      </c>
      <c r="AC177" t="inlineStr">
        <is>
          <t>docs/tender-reference/extracted/Nationalbanken/Bilag 3.i Leverandørens Løsningsbeskrivelse.txt; docs/tender-reference/extracted/KUM-SLKS/Bilag 3 - Kravspecifikation.txt; docs/tender-reference/extracted/KK Tender tool.txt</t>
        </is>
      </c>
      <c r="AD177" t="inlineStr">
        <is>
          <t>Hans: Opret/link svar-bilag; draft IK-tekst fra prior art.</t>
        </is>
      </c>
      <c r="AE177" t="inlineStr"/>
      <c r="AF177" t="inlineStr">
        <is>
          <t>Draft</t>
        </is>
      </c>
      <c r="AG177" t="inlineStr">
        <is>
          <t>uim-esdh-full-2026-07-07</t>
        </is>
      </c>
    </row>
    <row r="178" ht="112" customHeight="1">
      <c r="A178" s="35" t="n">
        <v>177</v>
      </c>
      <c r="B178" s="35" t="inlineStr">
        <is>
          <t>MK-149</t>
        </is>
      </c>
      <c r="C178" s="35" t="inlineStr">
        <is>
          <t>Bilag 1.b</t>
        </is>
      </c>
      <c r="D178" s="35" t="inlineStr">
        <is>
          <t>Standardintegrationer</t>
        </is>
      </c>
      <c r="E178" s="35" t="inlineStr">
        <is>
          <t>Integration og digitalisering af fysiske Filer</t>
        </is>
      </c>
      <c r="F178" s="35" t="inlineStr">
        <is>
          <t>ESDH-løsningen skal understøtte modtagelse og tilknytning af Filer, der er digitaliseret fra papirformat via en f.eks. Tungsten Automation eller en tilsvarende løsning.
Det skal være muligt automatisk eller manuelt at knytte de indscannede Filer til relevante Entiteter med tilhørende metadata om oprindelse, modtagelsestidspunkt og eventuelle klassifikationsoplysninger.</t>
        </is>
      </c>
      <c r="G178" s="35" t="inlineStr">
        <is>
          <t>Mindstekrav</t>
        </is>
      </c>
      <c r="H178" s="35">
        <f>IF(G178="Evalueringskrav","Answer",(IF(G178="Krav","Check",(IF(G178="Mindstekrav","Verify","")))))</f>
        <v/>
      </c>
      <c r="I178" s="35" t="inlineStr">
        <is>
          <t>Ja</t>
        </is>
      </c>
      <c r="J178" s="35" t="n"/>
      <c r="K178" s="47" t="n"/>
      <c r="L178" s="35" t="n"/>
      <c r="M178" s="35" t="n"/>
      <c r="N178" s="35" t="inlineStr">
        <is>
          <t>Autosaver</t>
        </is>
      </c>
      <c r="O178" s="35" t="n"/>
      <c r="P178" s="35" t="inlineStr">
        <is>
          <t>ADN: I would asume we could solve this with Autosaver or SIF? - but i would like a second opinion</t>
        </is>
      </c>
      <c r="Q178" s="35" t="n"/>
      <c r="R178" s="35" t="n"/>
      <c r="S178" s="35" t="n"/>
      <c r="T178" s="35" t="n"/>
      <c r="U178" s="35" t="inlineStr">
        <is>
          <t>Not Started</t>
        </is>
      </c>
      <c r="V178" s="37">
        <f>IF(U178="Not Started",0%,IF(U178="Started",50%,IF(U178="Ready for review",70%,IF(U178="Reviewed - Content",80%,IF(U178="Reviewed - Format",90%,IF(U178="Done",100%,""))))))</f>
        <v/>
      </c>
      <c r="W178" t="inlineStr">
        <is>
          <t>2026-07-07</t>
        </is>
      </c>
      <c r="X178" t="inlineStr">
        <is>
          <t>Cursor / tender-response (batch)</t>
        </is>
      </c>
      <c r="Y178" t="inlineStr">
        <is>
          <t>Clarify</t>
        </is>
      </c>
      <c r="Z178" t="inlineStr">
        <is>
          <t>Verified</t>
        </is>
      </c>
      <c r="AA178" t="inlineStr">
        <is>
          <t>Verify: Integration og digitalisering af fysiske Filer — kræver produkt-/team-afklaring (ingen tool-rating).</t>
        </is>
      </c>
      <c r="AB178" t="inlineStr">
        <is>
          <t>ADN: I would asume we could solve this with Autosaver or SIF? - but i would like a second opinion</t>
        </is>
      </c>
      <c r="AC178" t="inlineStr">
        <is>
          <t>docs/product/RFP_Leverandørens_svar_utdrag.txt; docs/tender-reference/extracted/NND/02.01-Tieto-Bilag 2-Vedlegg-Leverandørens utfyllende svar til kravtabell.txt; docs/tender-reference/extracted/Nationalbanken/Bilag 3.i Leverandørens Løsningsbeskrivelse.txt</t>
        </is>
      </c>
      <c r="AD178" t="inlineStr">
        <is>
          <t>Owner: Udfyld tool-rating (O) og evidens; gennemgå AI-kladde.</t>
        </is>
      </c>
      <c r="AE178" t="inlineStr"/>
      <c r="AF178" t="inlineStr">
        <is>
          <t>Draft</t>
        </is>
      </c>
      <c r="AG178" t="inlineStr">
        <is>
          <t>uim-esdh-full-2026-07-07</t>
        </is>
      </c>
    </row>
    <row r="179" ht="96" customHeight="1">
      <c r="A179" s="35" t="n">
        <v>178</v>
      </c>
      <c r="B179" s="35" t="inlineStr">
        <is>
          <t>MK-150</t>
        </is>
      </c>
      <c r="C179" s="35" t="inlineStr">
        <is>
          <t>Bilag 1.b</t>
        </is>
      </c>
      <c r="D179" s="35" t="inlineStr">
        <is>
          <t>Standardintegrationer</t>
        </is>
      </c>
      <c r="E179" s="35" t="inlineStr">
        <is>
          <t>Eksisterende skannere</t>
        </is>
      </c>
      <c r="F179" s="35" t="inlineStr">
        <is>
          <t>Scanningsløsningen skal kunne benyttes på følgende fysiske skannere: 
Kodak Legal Size Flatbed Accessory 
KODAK I4650
RICOH fi-7600</t>
        </is>
      </c>
      <c r="G179" s="35" t="inlineStr">
        <is>
          <t>Mindstekrav</t>
        </is>
      </c>
      <c r="H179" s="35">
        <f>IF(G179="Evalueringskrav","Answer",(IF(G179="Krav","Check",(IF(G179="Mindstekrav","Verify","")))))</f>
        <v/>
      </c>
      <c r="I179" s="35" t="inlineStr">
        <is>
          <t>Ja</t>
        </is>
      </c>
      <c r="J179" s="35" t="n"/>
      <c r="K179" s="47" t="n"/>
      <c r="L179" s="35" t="n"/>
      <c r="M179" s="35" t="n"/>
      <c r="N179" s="35" t="inlineStr">
        <is>
          <t>Scanning</t>
        </is>
      </c>
      <c r="O179" s="35" t="inlineStr">
        <is>
          <t>2. Partly met</t>
        </is>
      </c>
      <c r="P179" s="35" t="inlineStr">
        <is>
          <t>ADN: No clue
TAO: Kan vi slippe ud af at understøtte faktisk skanning, vi hænger på regningen fra Scansolutions i den eksisterende kontrakt. De fleste andre entreer selv med Scansolitions og kofax licenser</t>
        </is>
      </c>
      <c r="Q179" s="35" t="n"/>
      <c r="R179" s="35" t="n"/>
      <c r="S179" s="35" t="n"/>
      <c r="T179" s="35" t="n"/>
      <c r="U179" s="35" t="inlineStr">
        <is>
          <t>Not Started</t>
        </is>
      </c>
      <c r="V179" s="37">
        <f>IF(U179="Not Started",0%,IF(U179="Started",50%,IF(U179="Ready for review",70%,IF(U179="Reviewed - Content",80%,IF(U179="Reviewed - Format",90%,IF(U179="Done",100%,""))))))</f>
        <v/>
      </c>
      <c r="W179" t="inlineStr">
        <is>
          <t>2026-07-07</t>
        </is>
      </c>
      <c r="X179" t="inlineStr">
        <is>
          <t>Cursor / tender-response (batch)</t>
        </is>
      </c>
      <c r="Y179" t="inlineStr">
        <is>
          <t>Partial</t>
        </is>
      </c>
      <c r="Z179" t="inlineStr">
        <is>
          <t>Lead</t>
        </is>
      </c>
      <c r="AA179" t="inlineStr">
        <is>
          <t>Verify: Eksisterende skannere — delvist opfyldt; afklar scope og scoring.</t>
        </is>
      </c>
      <c r="AB179" t="inlineStr">
        <is>
          <t>ADN: No clue
TAO: Kan vi slippe ud af at understøtte faktisk skanning, vi hænger på regningen fra Scansolutions i den eksisterende kontrakt. De fleste andre entreer selv med Scansolitions og kofax licenser | Red flag: Ingen ide</t>
        </is>
      </c>
      <c r="AC179" t="inlineStr">
        <is>
          <t>docs/tender-reference/extracted/KK Tender tool.txt; docs/tender-reference/extracted/NND/02.01-Tieto-Bilag 2-Vedlegg-Leverandørens utfyllende svar til kravtabell.txt; docs/product/RFP_Leverandørens_svar_utdrag.txt</t>
        </is>
      </c>
      <c r="AD179" t="inlineStr">
        <is>
          <t>Owner: Afklar delkrav; align tool-rating (O) med AI compliance.</t>
        </is>
      </c>
      <c r="AE179" t="inlineStr"/>
      <c r="AF179" t="inlineStr">
        <is>
          <t>Draft</t>
        </is>
      </c>
      <c r="AG179" t="inlineStr">
        <is>
          <t>uim-esdh-full-2026-07-07</t>
        </is>
      </c>
    </row>
    <row r="180" ht="64" customHeight="1">
      <c r="A180" s="35" t="n">
        <v>179</v>
      </c>
      <c r="B180" s="35" t="inlineStr">
        <is>
          <t>MK-151</t>
        </is>
      </c>
      <c r="C180" s="35" t="inlineStr">
        <is>
          <t>Bilag 1.b</t>
        </is>
      </c>
      <c r="D180" s="35" t="inlineStr">
        <is>
          <t>Standardintegrationer</t>
        </is>
      </c>
      <c r="E180" s="35" t="inlineStr">
        <is>
          <t>Indbakke</t>
        </is>
      </c>
      <c r="F180" s="35" t="inlineStr">
        <is>
          <t>De skannede Dokumenter skal ende i en ”skanningsindbakke” i ESDH-løsningen, hvor man kan modtage skannede Dokumenter til en afdeling, team eller til enkeltpersoner. Scannede Dokumenter til enkeltpersoner skal også kunne ses af afdelingen/teamet.</t>
        </is>
      </c>
      <c r="G180" s="35" t="inlineStr">
        <is>
          <t>Mindstekrav</t>
        </is>
      </c>
      <c r="H180" s="35">
        <f>IF(G180="Evalueringskrav","Answer",(IF(G180="Krav","Check",(IF(G180="Mindstekrav","Verify","")))))</f>
        <v/>
      </c>
      <c r="I180" s="35" t="inlineStr">
        <is>
          <t>Ja</t>
        </is>
      </c>
      <c r="J180" s="35" t="n"/>
      <c r="K180" s="47" t="n"/>
      <c r="L180" s="35" t="n"/>
      <c r="M180" s="35" t="n"/>
      <c r="N180" s="35" t="inlineStr">
        <is>
          <t>Scanning</t>
        </is>
      </c>
      <c r="O180" s="35" t="inlineStr">
        <is>
          <t>2. Partly met</t>
        </is>
      </c>
      <c r="P180" s="35" t="inlineStr">
        <is>
          <t>ADN: Unsure if we can scan to individuals?
TAO: Der er QR koder til individer, det er værre med teams, er de beskrevet andet steds? hvis team = orgenhed så ok</t>
        </is>
      </c>
      <c r="Q180" s="35" t="n"/>
      <c r="R180" s="35" t="n"/>
      <c r="S180" s="35" t="n"/>
      <c r="T180" s="35" t="n"/>
      <c r="U180" s="35" t="inlineStr">
        <is>
          <t>Not Started</t>
        </is>
      </c>
      <c r="V180" s="37">
        <f>IF(U180="Not Started",0%,IF(U180="Started",50%,IF(U180="Ready for review",70%,IF(U180="Reviewed - Content",80%,IF(U180="Reviewed - Format",90%,IF(U180="Done",100%,""))))))</f>
        <v/>
      </c>
      <c r="W180" t="inlineStr">
        <is>
          <t>2026-07-07</t>
        </is>
      </c>
      <c r="X180" t="inlineStr">
        <is>
          <t>Cursor / tender-response (batch)</t>
        </is>
      </c>
      <c r="Y180" t="inlineStr">
        <is>
          <t>Partial</t>
        </is>
      </c>
      <c r="Z180" t="inlineStr">
        <is>
          <t>Lead</t>
        </is>
      </c>
      <c r="AA180" t="inlineStr">
        <is>
          <t>Verify: Indbakke — delvist opfyldt; afklar scope og scoring.</t>
        </is>
      </c>
      <c r="AB180" t="inlineStr">
        <is>
          <t>ADN: Unsure if we can scan to individuals?
TAO: Der er QR koder til individer, det er værre med teams, er de beskrevet andet steds? hvis team = orgenhed så ok | Red flag: Ved ikke om vi understøtter til enkeltpersoner..?</t>
        </is>
      </c>
      <c r="AC180" t="inlineStr">
        <is>
          <t>docs/tender-reference/extracted/Nationalbanken/Bilag 3.i Leverandørens Løsningsbeskrivelse.txt; docs/tender-reference/extracted/HSØ/02.00-Tietoevry-SSA-L-Bilag 2-Leverandørens beskrivelse av Tjenesten.txt; docs/tender-reference/extracted/NND/02.01-Tieto-Bilag 2-Vedlegg-Leverandørens utfyllende svar til kravtabell.txt</t>
        </is>
      </c>
      <c r="AD180" t="inlineStr">
        <is>
          <t>Owner: Afklar delkrav; align tool-rating (O) med AI compliance.</t>
        </is>
      </c>
      <c r="AE180" t="inlineStr"/>
      <c r="AF180" t="inlineStr">
        <is>
          <t>Draft</t>
        </is>
      </c>
      <c r="AG180" t="inlineStr">
        <is>
          <t>uim-esdh-full-2026-07-07</t>
        </is>
      </c>
    </row>
    <row r="181" ht="80" customHeight="1">
      <c r="A181" s="35" t="n">
        <v>180</v>
      </c>
      <c r="B181" s="35" t="inlineStr">
        <is>
          <t>MK-152</t>
        </is>
      </c>
      <c r="C181" s="35" t="inlineStr">
        <is>
          <t>Bilag 1.b</t>
        </is>
      </c>
      <c r="D181" s="35" t="inlineStr">
        <is>
          <t>Standardintegrationer</t>
        </is>
      </c>
      <c r="E181" s="35" t="inlineStr">
        <is>
          <t>Præjournalisering af skannet post</t>
        </is>
      </c>
      <c r="F181" s="35" t="inlineStr">
        <is>
          <t>Det skal være muligt at præjournalisere skannet post i ESDH-løsningen. Løsningen skal understøtte, at en Bruger kan angive en afsender og dokumenttitel i den præjournaliserede post.</t>
        </is>
      </c>
      <c r="G181" s="35" t="inlineStr">
        <is>
          <t>Mindstekrav</t>
        </is>
      </c>
      <c r="H181" s="35">
        <f>IF(G181="Evalueringskrav","Answer",(IF(G181="Krav","Check",(IF(G181="Mindstekrav","Verify","")))))</f>
        <v/>
      </c>
      <c r="I181" s="35" t="inlineStr">
        <is>
          <t>Ja</t>
        </is>
      </c>
      <c r="J181" s="35" t="n"/>
      <c r="K181" s="47" t="n"/>
      <c r="L181" s="35" t="inlineStr">
        <is>
          <t>Anton</t>
        </is>
      </c>
      <c r="M181" s="35" t="n"/>
      <c r="N181" s="35" t="inlineStr">
        <is>
          <t>Scanning</t>
        </is>
      </c>
      <c r="O181" s="35" t="inlineStr">
        <is>
          <t>2. Partly met</t>
        </is>
      </c>
      <c r="P181" s="35" t="inlineStr">
        <is>
          <t>ADN: This must be solved by scanning solution to unregistered documents
TAO: Vi har ikke en fungrende standard import for Dansk skanning, må få commitment på import ud fra det format scansolutions leverer.</t>
        </is>
      </c>
      <c r="Q181" s="35" t="inlineStr">
        <is>
          <t>Yes</t>
        </is>
      </c>
      <c r="R181" s="35" t="n"/>
      <c r="S181" s="35" t="n"/>
      <c r="T181" s="35" t="n"/>
      <c r="U181" s="35" t="inlineStr">
        <is>
          <t>Not Started</t>
        </is>
      </c>
      <c r="V181" s="37">
        <f>IF(U181="Not Started",0%,IF(U181="Started",50%,IF(U181="Ready for review",70%,IF(U181="Reviewed - Content",80%,IF(U181="Reviewed - Format",90%,IF(U181="Done",100%,""))))))</f>
        <v/>
      </c>
      <c r="W181" t="inlineStr">
        <is>
          <t>2026-07-07</t>
        </is>
      </c>
      <c r="X181" t="inlineStr">
        <is>
          <t>Cursor / tender-response (batch)</t>
        </is>
      </c>
      <c r="Y181" t="inlineStr">
        <is>
          <t>Partial</t>
        </is>
      </c>
      <c r="Z181" t="inlineStr">
        <is>
          <t>Lead</t>
        </is>
      </c>
      <c r="AA181" t="inlineStr">
        <is>
          <t>Verify: Præjournalisering af skannet post — delvist opfyldt; afklar scope og scoring.</t>
        </is>
      </c>
      <c r="AB181" t="inlineStr">
        <is>
          <t>ADN: This must be solved by scanning solution to unregistered documents
TAO: Vi har ikke en fungrende standard import for Dansk skanning, må få commitment på import ud fra det format scansolutions leverer.</t>
        </is>
      </c>
      <c r="AC181" t="inlineStr">
        <is>
          <t>docs/tender-reference/extracted/KK Tender tool.txt; docs/tender-reference/extracted/KUM-SLKS/Bilag 3 - 11.8 - Kravspecifikation - Processtyring (1).txt; docs/tender-reference/extracted/KUM-SLKS/Bilag 3 - Kravspecifikation.txt</t>
        </is>
      </c>
      <c r="AD181" t="inlineStr">
        <is>
          <t>Anton: Afklar delkrav; align tool-rating (O) med AI compliance.</t>
        </is>
      </c>
      <c r="AE181" t="inlineStr"/>
      <c r="AF181" t="inlineStr">
        <is>
          <t>Draft</t>
        </is>
      </c>
      <c r="AG181" t="inlineStr">
        <is>
          <t>uim-esdh-full-2026-07-07</t>
        </is>
      </c>
    </row>
    <row r="182" ht="48" customHeight="1">
      <c r="A182" s="35" t="n">
        <v>181</v>
      </c>
      <c r="B182" s="35" t="inlineStr">
        <is>
          <t>MK-153</t>
        </is>
      </c>
      <c r="C182" s="35" t="inlineStr">
        <is>
          <t>Bilag 1.b</t>
        </is>
      </c>
      <c r="D182" s="35" t="inlineStr">
        <is>
          <t>Standardintegrationer</t>
        </is>
      </c>
      <c r="E182" s="35" t="inlineStr">
        <is>
          <t>Sortering</t>
        </is>
      </c>
      <c r="F182" s="35" t="inlineStr">
        <is>
          <t>Dokumenterne skal sorteres og skannes med eksempelvis skilleark eller lignende løsning, som sikrer at Dokumenterne ender hos den rigtige person/afdeling/team i ESDH-løsningen.</t>
        </is>
      </c>
      <c r="G182" s="35" t="inlineStr">
        <is>
          <t>Mindstekrav</t>
        </is>
      </c>
      <c r="H182" s="35">
        <f>IF(G182="Evalueringskrav","Answer",(IF(G182="Krav","Check",(IF(G182="Mindstekrav","Verify","")))))</f>
        <v/>
      </c>
      <c r="I182" s="35" t="inlineStr">
        <is>
          <t>Ja</t>
        </is>
      </c>
      <c r="J182" s="35" t="n"/>
      <c r="K182" s="47" t="n"/>
      <c r="L182" s="35" t="n"/>
      <c r="M182" s="35" t="n"/>
      <c r="N182" s="35" t="n"/>
      <c r="O182" s="35" t="n"/>
      <c r="P182" s="35" t="inlineStr">
        <is>
          <t>ADN: Unsure if we can scan to individuals?</t>
        </is>
      </c>
      <c r="Q182" s="35" t="n"/>
      <c r="R182" s="35" t="n"/>
      <c r="S182" s="35" t="n"/>
      <c r="T182" s="35" t="n"/>
      <c r="U182" s="35" t="inlineStr">
        <is>
          <t>Not Started</t>
        </is>
      </c>
      <c r="V182" s="37">
        <f>IF(U182="Not Started",0%,IF(U182="Started",50%,IF(U182="Ready for review",70%,IF(U182="Reviewed - Content",80%,IF(U182="Reviewed - Format",90%,IF(U182="Done",100%,""))))))</f>
        <v/>
      </c>
      <c r="W182" t="inlineStr">
        <is>
          <t>2026-07-07</t>
        </is>
      </c>
      <c r="X182" t="inlineStr">
        <is>
          <t>Cursor / tender-response (batch)</t>
        </is>
      </c>
      <c r="Y182" t="inlineStr">
        <is>
          <t>Clarify</t>
        </is>
      </c>
      <c r="Z182" t="inlineStr">
        <is>
          <t>Verified</t>
        </is>
      </c>
      <c r="AA182" t="inlineStr">
        <is>
          <t>Verify: Sortering — kræver produkt-/team-afklaring (ingen tool-rating).</t>
        </is>
      </c>
      <c r="AB182" t="inlineStr">
        <is>
          <t>ADN: Unsure if we can scan to individuals? | Red flag: Igen person</t>
        </is>
      </c>
      <c r="AC182" t="inlineStr">
        <is>
          <t>docs/tender-reference/extracted/Nationalbanken/Bilag 3.i Leverandørens Løsningsbeskrivelse.txt; docs/tender-reference/extracted/HSØ/02.00-Tietoevry-SSA-L-Bilag 2-Leverandørens beskrivelse av Tjenesten.txt; docs/tender-reference/extracted/KUM-SLKS/Bilag 3 - Kravspecifikation.txt</t>
        </is>
      </c>
      <c r="AD182" t="inlineStr">
        <is>
          <t>Owner: Udfyld tool-rating (O) og evidens; gennemgå AI-kladde.</t>
        </is>
      </c>
      <c r="AE182" t="inlineStr"/>
      <c r="AF182" t="inlineStr">
        <is>
          <t>Draft</t>
        </is>
      </c>
      <c r="AG182" t="inlineStr">
        <is>
          <t>uim-esdh-full-2026-07-07</t>
        </is>
      </c>
    </row>
    <row r="183" ht="48" customHeight="1">
      <c r="A183" s="35" t="n">
        <v>182</v>
      </c>
      <c r="B183" s="35" t="inlineStr">
        <is>
          <t>MK-154</t>
        </is>
      </c>
      <c r="C183" s="35" t="inlineStr">
        <is>
          <t>Bilag 1.b</t>
        </is>
      </c>
      <c r="D183" s="35" t="inlineStr">
        <is>
          <t>Standardintegrationer</t>
        </is>
      </c>
      <c r="E183" s="35" t="inlineStr">
        <is>
          <t>Videreforsendelse</t>
        </is>
      </c>
      <c r="F183" s="35" t="inlineStr">
        <is>
          <t>ESDH-løsningen skal understøtte, at en Bruger kan videresende/omfordele indscannet post til en anden afdeling eller en anden person.</t>
        </is>
      </c>
      <c r="G183" s="35" t="inlineStr">
        <is>
          <t>Mindstekrav</t>
        </is>
      </c>
      <c r="H183" s="35">
        <f>IF(G183="Evalueringskrav","Answer",(IF(G183="Krav","Check",(IF(G183="Mindstekrav","Verify","")))))</f>
        <v/>
      </c>
      <c r="I183" s="35" t="inlineStr">
        <is>
          <t>Ja</t>
        </is>
      </c>
      <c r="J183" s="35" t="n"/>
      <c r="K183" s="47" t="n"/>
      <c r="L183" s="35" t="inlineStr">
        <is>
          <t>Anton</t>
        </is>
      </c>
      <c r="M183" s="35" t="n"/>
      <c r="N183" s="35" t="n"/>
      <c r="O183" s="35" t="inlineStr">
        <is>
          <t>1. Fully met</t>
        </is>
      </c>
      <c r="P183" s="35" t="n"/>
      <c r="Q183" s="35" t="n"/>
      <c r="R183" s="35" t="n"/>
      <c r="S183" s="35" t="n"/>
      <c r="T183" s="35" t="n"/>
      <c r="U183" s="35" t="inlineStr">
        <is>
          <t>Not Started</t>
        </is>
      </c>
      <c r="V183" s="37">
        <f>IF(U183="Not Started",0%,IF(U183="Started",50%,IF(U183="Ready for review",70%,IF(U183="Reviewed - Content",80%,IF(U183="Reviewed - Format",90%,IF(U183="Done",100%,""))))))</f>
        <v/>
      </c>
      <c r="W183" t="inlineStr">
        <is>
          <t>2026-07-07</t>
        </is>
      </c>
      <c r="X183" t="inlineStr">
        <is>
          <t>Cursor / tender-response (batch)</t>
        </is>
      </c>
      <c r="Y183" t="inlineStr">
        <is>
          <t>Met</t>
        </is>
      </c>
      <c r="Z183" t="inlineStr">
        <is>
          <t>Verified</t>
        </is>
      </c>
      <c r="AA183" t="inlineStr">
        <is>
          <t>Verify: Videreforsendelse — vurderet opfyldt (tool: 1. Fully met).</t>
        </is>
      </c>
      <c r="AB183" t="inlineStr"/>
      <c r="AC183" t="inlineStr">
        <is>
          <t>docs/tender-reference/extracted/KUM-SLKS/Bilag 3 - Kravspecifikation.txt; docs/tender-reference/extracted/NND/02.01-Tieto-Bilag 2-Vedlegg-Leverandørens utfyllende svar til kravtabell.txt; docs/tender-reference/extracted/Nationalbanken/Bilag 3.i Leverandørens Løsningsbeskrivelse.txt</t>
        </is>
      </c>
      <c r="AD183" t="inlineStr">
        <is>
          <t>Anton: Confirm verify-tekst; opdatér review status efter tjek.</t>
        </is>
      </c>
      <c r="AE183" t="inlineStr"/>
      <c r="AF183" t="inlineStr">
        <is>
          <t>Draft</t>
        </is>
      </c>
      <c r="AG183" t="inlineStr">
        <is>
          <t>uim-esdh-full-2026-07-07</t>
        </is>
      </c>
    </row>
    <row r="184" ht="48" customHeight="1">
      <c r="A184" s="35" t="n">
        <v>183</v>
      </c>
      <c r="B184" s="35" t="inlineStr">
        <is>
          <t>MK-155</t>
        </is>
      </c>
      <c r="C184" s="35" t="inlineStr">
        <is>
          <t>Bilag 1.b</t>
        </is>
      </c>
      <c r="D184" s="35" t="inlineStr">
        <is>
          <t>Standardintegrationer</t>
        </is>
      </c>
      <c r="E184" s="35" t="inlineStr">
        <is>
          <t>Flettefelter</t>
        </is>
      </c>
      <c r="F184" s="35" t="inlineStr">
        <is>
          <t>ESDH-løsningen skal understøtte oprettelse af Filer med flettefelter, således at relevante oplysninger fra en sag automatisk kan indsættes i en Fil.</t>
        </is>
      </c>
      <c r="G184" s="35" t="inlineStr">
        <is>
          <t>Mindstekrav</t>
        </is>
      </c>
      <c r="H184" s="35">
        <f>IF(G184="Evalueringskrav","Answer",(IF(G184="Krav","Check",(IF(G184="Mindstekrav","Verify","")))))</f>
        <v/>
      </c>
      <c r="I184" s="35" t="inlineStr">
        <is>
          <t>Ja</t>
        </is>
      </c>
      <c r="J184" s="35" t="n"/>
      <c r="K184" s="47" t="n"/>
      <c r="L184" s="35" t="inlineStr">
        <is>
          <t>Anton</t>
        </is>
      </c>
      <c r="M184" s="35" t="n"/>
      <c r="N184" s="35" t="n"/>
      <c r="O184" s="35" t="inlineStr">
        <is>
          <t>1. Fully met</t>
        </is>
      </c>
      <c r="P184" s="35" t="n"/>
      <c r="Q184" s="35" t="n"/>
      <c r="R184" s="35" t="n"/>
      <c r="S184" s="35" t="n"/>
      <c r="T184" s="35" t="n"/>
      <c r="U184" s="35" t="inlineStr">
        <is>
          <t>Not Started</t>
        </is>
      </c>
      <c r="V184" s="37">
        <f>IF(U184="Not Started",0%,IF(U184="Started",50%,IF(U184="Ready for review",70%,IF(U184="Reviewed - Content",80%,IF(U184="Reviewed - Format",90%,IF(U184="Done",100%,""))))))</f>
        <v/>
      </c>
      <c r="W184" t="inlineStr">
        <is>
          <t>2026-07-07</t>
        </is>
      </c>
      <c r="X184" t="inlineStr">
        <is>
          <t>Cursor / tender-response (batch)</t>
        </is>
      </c>
      <c r="Y184" t="inlineStr">
        <is>
          <t>Met</t>
        </is>
      </c>
      <c r="Z184" t="inlineStr">
        <is>
          <t>Verified</t>
        </is>
      </c>
      <c r="AA184" t="inlineStr">
        <is>
          <t>Verify: Flettefelter — vurderet opfyldt (tool: 1. Fully met).</t>
        </is>
      </c>
      <c r="AB184" t="inlineStr"/>
      <c r="AC184" t="inlineStr">
        <is>
          <t>docs/tender-reference/extracted/KUM-SLKS/Bilag 3 - Kravspecifikation.txt; docs/tender-reference/extracted/Nationalbanken/Bilag 3.i Leverandørens Løsningsbeskrivelse.txt; docs/tender-reference/extracted/KK Tender tool.txt</t>
        </is>
      </c>
      <c r="AD184" t="inlineStr">
        <is>
          <t>Anton: Confirm verify-tekst; opdatér review status efter tjek.</t>
        </is>
      </c>
      <c r="AE184" t="inlineStr"/>
      <c r="AF184" t="inlineStr">
        <is>
          <t>Draft</t>
        </is>
      </c>
      <c r="AG184" t="inlineStr">
        <is>
          <t>uim-esdh-full-2026-07-07</t>
        </is>
      </c>
    </row>
    <row r="185" ht="80" customHeight="1">
      <c r="A185" s="35" t="n">
        <v>184</v>
      </c>
      <c r="B185" s="35" t="inlineStr">
        <is>
          <t>MK-156</t>
        </is>
      </c>
      <c r="C185" s="35" t="inlineStr">
        <is>
          <t>Bilag 1.b</t>
        </is>
      </c>
      <c r="D185" s="35" t="inlineStr">
        <is>
          <t>Standardintegrationer</t>
        </is>
      </c>
      <c r="E185" s="35" t="inlineStr">
        <is>
          <t>Registrering af metadata</t>
        </is>
      </c>
      <c r="F185" s="35" t="inlineStr">
        <is>
          <t>ESDH-løsningen skal understøtte, at Filer kan tilknyttes et Dokument med relevante metadata: dokumenttitel, dokumenttype, dokumentdato, dokumentstatus, dokumentkategori, modtager, klassifikation, oprettelsestidspunkt, sagsnummer, relation til sag, ansvarlig sagsbehandler og ansvarlig enhed.</t>
        </is>
      </c>
      <c r="G185" s="35" t="inlineStr">
        <is>
          <t>Mindstekrav</t>
        </is>
      </c>
      <c r="H185" s="35">
        <f>IF(G185="Evalueringskrav","Answer",(IF(G185="Krav","Check",(IF(G185="Mindstekrav","Verify","")))))</f>
        <v/>
      </c>
      <c r="I185" s="35" t="inlineStr">
        <is>
          <t>Ja</t>
        </is>
      </c>
      <c r="J185" s="35" t="n"/>
      <c r="K185" s="47" t="n"/>
      <c r="L185" s="35" t="inlineStr">
        <is>
          <t>Anton</t>
        </is>
      </c>
      <c r="M185" s="35" t="n"/>
      <c r="N185" s="35" t="n"/>
      <c r="O185" s="35" t="inlineStr">
        <is>
          <t>1. Fully met</t>
        </is>
      </c>
      <c r="P185" s="35" t="n"/>
      <c r="Q185" s="35" t="n"/>
      <c r="R185" s="35" t="n"/>
      <c r="S185" s="35" t="n"/>
      <c r="T185" s="35" t="n"/>
      <c r="U185" s="35" t="inlineStr">
        <is>
          <t>Not Started</t>
        </is>
      </c>
      <c r="V185" s="37">
        <f>IF(U185="Not Started",0%,IF(U185="Started",50%,IF(U185="Ready for review",70%,IF(U185="Reviewed - Content",80%,IF(U185="Reviewed - Format",90%,IF(U185="Done",100%,""))))))</f>
        <v/>
      </c>
      <c r="W185" t="inlineStr">
        <is>
          <t>2026-07-07</t>
        </is>
      </c>
      <c r="X185" t="inlineStr">
        <is>
          <t>Cursor / tender-response (batch)</t>
        </is>
      </c>
      <c r="Y185" t="inlineStr">
        <is>
          <t>Met</t>
        </is>
      </c>
      <c r="Z185" t="inlineStr">
        <is>
          <t>Verified</t>
        </is>
      </c>
      <c r="AA185" t="inlineStr">
        <is>
          <t>Verify: Registrering af metadata — vurderet opfyldt (tool: 1. Fully met).</t>
        </is>
      </c>
      <c r="AB185" t="inlineStr"/>
      <c r="AC185" t="inlineStr">
        <is>
          <t>docs/tender-reference/extracted/KUM-SLKS/Bilag 3 - Kravspecifikation.txt; docs/tender-reference/extracted/Nationalbanken/Bilag 3.i Leverandørens Løsningsbeskrivelse.txt; docs/tender-reference/extracted/KK Tender tool.txt</t>
        </is>
      </c>
      <c r="AD185" t="inlineStr">
        <is>
          <t>Anton: Confirm verify-tekst; opdatér review status efter tjek.</t>
        </is>
      </c>
      <c r="AE185" t="inlineStr"/>
      <c r="AF185" t="inlineStr">
        <is>
          <t>Draft</t>
        </is>
      </c>
      <c r="AG185" t="inlineStr">
        <is>
          <t>uim-esdh-full-2026-07-07</t>
        </is>
      </c>
    </row>
    <row r="186" ht="176" customHeight="1">
      <c r="A186" s="35" t="n">
        <v>185</v>
      </c>
      <c r="B186" s="35" t="inlineStr">
        <is>
          <t>MK-157</t>
        </is>
      </c>
      <c r="C186" s="35" t="inlineStr">
        <is>
          <t>Bilag 1.b</t>
        </is>
      </c>
      <c r="D186" s="35" t="inlineStr">
        <is>
          <t>Standardintegrationer</t>
        </is>
      </c>
      <c r="E186" s="35" t="inlineStr">
        <is>
          <t>Fuld tovejs-integration med Digital Post</t>
        </is>
      </c>
      <c r="F186" s="35" t="inlineStr">
        <is>
          <t>ESDH-løsningen skal have integration til Digital Post, herunder komplet parameteropsætning af afsendersystem, Myndighedsprofil, afsendertype og postkasser med mulighed for at konfigurere én eller flere forsendelseskanaler pr. organisatorisk enhed. Integrationen skal være tovejs. 
Løsningen skal muliggøre afsendelse af Digital Post direkte fra Løsningen, og indgående besvarelser skal automatisk kunne journaliseres på den sag, som henvendelsen oprindeligt blev modtaget på. Både udgående og indgående forsendelser skal journaliseres automatisk på sagen som en fuldt integreret del af arbejdsprocessen.</t>
        </is>
      </c>
      <c r="G186" s="35" t="inlineStr">
        <is>
          <t>Mindstekrav</t>
        </is>
      </c>
      <c r="H186" s="35">
        <f>IF(G186="Evalueringskrav","Answer",(IF(G186="Krav","Check",(IF(G186="Mindstekrav","Verify","")))))</f>
        <v/>
      </c>
      <c r="I186" s="35" t="inlineStr">
        <is>
          <t>Ja</t>
        </is>
      </c>
      <c r="J186" s="35" t="n"/>
      <c r="K186" s="47" t="n"/>
      <c r="L186" s="35" t="inlineStr">
        <is>
          <t>Anton</t>
        </is>
      </c>
      <c r="M186" s="35" t="inlineStr">
        <is>
          <t>Tajinder</t>
        </is>
      </c>
      <c r="N186" s="35" t="inlineStr">
        <is>
          <t>NgDP</t>
        </is>
      </c>
      <c r="O186" s="35" t="inlineStr">
        <is>
          <t>2. Partly met</t>
        </is>
      </c>
      <c r="P186" s="35" t="inlineStr">
        <is>
          <t>ADN: We support everything besides "Complete parameter setup" - we support what is needed, but not "Complete". Saying Yes comes with a Risc according to Tajinder.</t>
        </is>
      </c>
      <c r="Q186" s="35" t="n"/>
      <c r="R186" s="35" t="inlineStr">
        <is>
          <t>Yes</t>
        </is>
      </c>
      <c r="S186" s="35" t="n"/>
      <c r="T186" s="35" t="n"/>
      <c r="U186" s="35" t="inlineStr">
        <is>
          <t>Not Started</t>
        </is>
      </c>
      <c r="V186" s="37">
        <f>IF(U186="Not Started",0%,IF(U186="Started",50%,IF(U186="Ready for review",70%,IF(U186="Reviewed - Content",80%,IF(U186="Reviewed - Format",90%,IF(U186="Done",100%,""))))))</f>
        <v/>
      </c>
      <c r="W186" t="inlineStr">
        <is>
          <t>2026-07-07</t>
        </is>
      </c>
      <c r="X186" t="inlineStr">
        <is>
          <t>Cursor / tender-response (batch)</t>
        </is>
      </c>
      <c r="Y186" t="inlineStr">
        <is>
          <t>Partial</t>
        </is>
      </c>
      <c r="Z186" t="inlineStr">
        <is>
          <t>Lead</t>
        </is>
      </c>
      <c r="AA186" t="inlineStr">
        <is>
          <t>Verify: Fuld tovejs-integration med Digital Post — delvist opfyldt; afklar scope og scoring.</t>
        </is>
      </c>
      <c r="AB186" t="inlineStr">
        <is>
          <t>ADN: We support everything besides "Complete parameter setup" - we support what is needed, but not "Complete". Saying Yes comes with a Risc according to Tajinder.</t>
        </is>
      </c>
      <c r="AC186" t="inlineStr">
        <is>
          <t>docs/tender-reference/extracted/Nationalbanken/Bilag 3.i Leverandørens Løsningsbeskrivelse.txt; docs/tender-reference/extracted/KUM-SLKS/Bilag 3 - Kravspecifikation.txt; docs/tender-reference/extracted/KK Tender tool.txt</t>
        </is>
      </c>
      <c r="AD186" t="inlineStr">
        <is>
          <t>Anton: Afklar delkrav; align tool-rating (O) med AI compliance.</t>
        </is>
      </c>
      <c r="AE186" t="inlineStr"/>
      <c r="AF186" t="inlineStr">
        <is>
          <t>Draft</t>
        </is>
      </c>
      <c r="AG186" t="inlineStr">
        <is>
          <t>uim-esdh-full-2026-07-07</t>
        </is>
      </c>
    </row>
    <row r="187" ht="32" customHeight="1">
      <c r="A187" s="35" t="n">
        <v>186</v>
      </c>
      <c r="B187" s="35" t="inlineStr">
        <is>
          <t>MK-158</t>
        </is>
      </c>
      <c r="C187" s="35" t="inlineStr">
        <is>
          <t>Bilag 1.b</t>
        </is>
      </c>
      <c r="D187" s="35" t="inlineStr">
        <is>
          <t>Standardintegrationer</t>
        </is>
      </c>
      <c r="E187" s="35" t="inlineStr">
        <is>
          <t>CPR-integration</t>
        </is>
      </c>
      <c r="F187" s="35" t="inlineStr">
        <is>
          <t>ESDH-løsningen skal have integration til CPR-registeret, for at sikre import af CPR-kontakter via onlineopslag og batchkørsler.</t>
        </is>
      </c>
      <c r="G187" s="35" t="inlineStr">
        <is>
          <t>Mindstekrav</t>
        </is>
      </c>
      <c r="H187" s="35">
        <f>IF(G187="Evalueringskrav","Answer",(IF(G187="Krav","Check",(IF(G187="Mindstekrav","Verify","")))))</f>
        <v/>
      </c>
      <c r="I187" s="35" t="inlineStr">
        <is>
          <t>Ja</t>
        </is>
      </c>
      <c r="J187" s="35" t="n"/>
      <c r="K187" s="47" t="n"/>
      <c r="L187" s="35" t="inlineStr">
        <is>
          <t>Anton</t>
        </is>
      </c>
      <c r="M187" s="35" t="n"/>
      <c r="N187" s="35" t="inlineStr">
        <is>
          <t>CPR</t>
        </is>
      </c>
      <c r="O187" s="35" t="inlineStr">
        <is>
          <t>1. Fully met</t>
        </is>
      </c>
      <c r="P187" s="35" t="n"/>
      <c r="Q187" s="35" t="n"/>
      <c r="R187" s="35" t="n"/>
      <c r="S187" s="35" t="n"/>
      <c r="T187" s="35" t="n"/>
      <c r="U187" s="35" t="inlineStr">
        <is>
          <t>Not Started</t>
        </is>
      </c>
      <c r="V187" s="37">
        <f>IF(U187="Not Started",0%,IF(U187="Started",50%,IF(U187="Ready for review",70%,IF(U187="Reviewed - Content",80%,IF(U187="Reviewed - Format",90%,IF(U187="Done",100%,""))))))</f>
        <v/>
      </c>
      <c r="W187" t="inlineStr">
        <is>
          <t>2026-07-07</t>
        </is>
      </c>
      <c r="X187" t="inlineStr">
        <is>
          <t>Cursor / tender-response (batch)</t>
        </is>
      </c>
      <c r="Y187" t="inlineStr">
        <is>
          <t>Met</t>
        </is>
      </c>
      <c r="Z187" t="inlineStr">
        <is>
          <t>Verified</t>
        </is>
      </c>
      <c r="AA187" t="inlineStr">
        <is>
          <t>Verify: CPR-integration — vurderet opfyldt (tool: 1. Fully met).</t>
        </is>
      </c>
      <c r="AB187" t="inlineStr"/>
      <c r="AC187" t="inlineStr">
        <is>
          <t>docs/product/RFP_Leverandørens_svar_utdrag.txt; docs/tender-reference/extracted/HSØ/02.00-Tietoevry-SSA-L-Bilag 2-Leverandørens beskrivelse av Tjenesten.txt; docs/tender-reference/extracted/NND/02.01-Tieto-Bilag 2-Vedlegg-Leverandørens utfyllende svar til kravtabell.txt</t>
        </is>
      </c>
      <c r="AD187" t="inlineStr">
        <is>
          <t>Anton: Confirm verify-tekst; opdatér review status efter tjek.</t>
        </is>
      </c>
      <c r="AE187" t="inlineStr"/>
      <c r="AF187" t="inlineStr">
        <is>
          <t>Draft</t>
        </is>
      </c>
      <c r="AG187" t="inlineStr">
        <is>
          <t>uim-esdh-full-2026-07-07</t>
        </is>
      </c>
    </row>
    <row r="188" ht="32" customHeight="1">
      <c r="A188" s="35" t="n">
        <v>187</v>
      </c>
      <c r="B188" s="35" t="inlineStr">
        <is>
          <t>MK-159</t>
        </is>
      </c>
      <c r="C188" s="35" t="inlineStr">
        <is>
          <t>Bilag 1.b</t>
        </is>
      </c>
      <c r="D188" s="35" t="inlineStr">
        <is>
          <t>Standardintegrationer</t>
        </is>
      </c>
      <c r="E188" s="35" t="inlineStr">
        <is>
          <t>CVR-integration</t>
        </is>
      </c>
      <c r="F188" s="35" t="inlineStr">
        <is>
          <t>ESDH-løsningen skal have integration til CVR, for at sikre import af CVR-kontakter via onlineopslag og batchkørsler.</t>
        </is>
      </c>
      <c r="G188" s="35" t="inlineStr">
        <is>
          <t>Mindstekrav</t>
        </is>
      </c>
      <c r="H188" s="35">
        <f>IF(G188="Evalueringskrav","Answer",(IF(G188="Krav","Check",(IF(G188="Mindstekrav","Verify","")))))</f>
        <v/>
      </c>
      <c r="I188" s="35" t="inlineStr">
        <is>
          <t>Ja</t>
        </is>
      </c>
      <c r="J188" s="35" t="n"/>
      <c r="K188" s="47" t="n"/>
      <c r="L188" s="35" t="inlineStr">
        <is>
          <t>Anton</t>
        </is>
      </c>
      <c r="M188" s="35" t="n"/>
      <c r="N188" s="35" t="inlineStr">
        <is>
          <t>CVR</t>
        </is>
      </c>
      <c r="O188" s="35" t="inlineStr">
        <is>
          <t>1. Fully met</t>
        </is>
      </c>
      <c r="P188" s="35" t="n"/>
      <c r="Q188" s="35" t="n"/>
      <c r="R188" s="35" t="n"/>
      <c r="S188" s="35" t="n"/>
      <c r="T188" s="35" t="n"/>
      <c r="U188" s="35" t="inlineStr">
        <is>
          <t>Not Started</t>
        </is>
      </c>
      <c r="V188" s="37">
        <f>IF(U188="Not Started",0%,IF(U188="Started",50%,IF(U188="Ready for review",70%,IF(U188="Reviewed - Content",80%,IF(U188="Reviewed - Format",90%,IF(U188="Done",100%,""))))))</f>
        <v/>
      </c>
      <c r="W188" t="inlineStr">
        <is>
          <t>2026-07-07</t>
        </is>
      </c>
      <c r="X188" t="inlineStr">
        <is>
          <t>Cursor / tender-response (batch)</t>
        </is>
      </c>
      <c r="Y188" t="inlineStr">
        <is>
          <t>Met</t>
        </is>
      </c>
      <c r="Z188" t="inlineStr">
        <is>
          <t>Verified</t>
        </is>
      </c>
      <c r="AA188" t="inlineStr">
        <is>
          <t>Verify: CVR-integration — vurderet opfyldt (tool: 1. Fully met).</t>
        </is>
      </c>
      <c r="AB188" t="inlineStr"/>
      <c r="AC188" t="inlineStr">
        <is>
          <t>docs/product/RFP_Leverandørens_svar_utdrag.txt; docs/tender-reference/extracted/HSØ/02.00-Tietoevry-SSA-L-Bilag 2-Leverandørens beskrivelse av Tjenesten.txt; docs/tender-reference/extracted/NND/02.01-Tieto-Bilag 2-Vedlegg-Leverandørens utfyllende svar til kravtabell.txt</t>
        </is>
      </c>
      <c r="AD188" t="inlineStr">
        <is>
          <t>Anton: Confirm verify-tekst; opdatér review status efter tjek.</t>
        </is>
      </c>
      <c r="AE188" t="inlineStr"/>
      <c r="AF188" t="inlineStr">
        <is>
          <t>Draft</t>
        </is>
      </c>
      <c r="AG188" t="inlineStr">
        <is>
          <t>uim-esdh-full-2026-07-07</t>
        </is>
      </c>
    </row>
    <row r="189" ht="240" customHeight="1">
      <c r="A189" s="35" t="n">
        <v>188</v>
      </c>
      <c r="B189" s="35" t="inlineStr">
        <is>
          <t>MK-160</t>
        </is>
      </c>
      <c r="C189" s="35" t="inlineStr">
        <is>
          <t>Bilag 1.b</t>
        </is>
      </c>
      <c r="D189" s="35" t="inlineStr">
        <is>
          <t>Standardintegrationer</t>
        </is>
      </c>
      <c r="E189" s="35" t="inlineStr">
        <is>
          <t>Udlæsning af data til analytiske formål</t>
        </is>
      </c>
      <c r="F189" s="35" t="inlineStr">
        <is>
          <t>Løsningen skal understøtte udlæsning af data, logs og metadata til analytiske formål, herunder til Kundens analyse-, rapporterings- og dataplatforme. Løsningen skal understøtte både fulde og inkrementelle udtræk baseret på ændrede eller nyoprettede data. Det skal være muligt at identificere nye, ændrede og slettede data siden sidste udtræk.
Dataadgangen skal være baseret på åben arkitektur og anvende dokumenterede, standardiserede og ikke-proprietærer grænseflader, så Kunden kan foretage udtræk uden afhængighed til leverandørspecifikke værktøjer, lukkede formater eller operationelle integrationskomponenter.
Leverandøren skal dokumentere de understøttede udtræksmetoder, Datamodeller, relevante metadata samt eventuelle begrænsninger i forhold til anvendelse af data til analytiske formål.</t>
        </is>
      </c>
      <c r="G189" s="35" t="inlineStr">
        <is>
          <t>Mindstekrav</t>
        </is>
      </c>
      <c r="H189" s="35">
        <f>IF(G189="Evalueringskrav","Answer",(IF(G189="Krav","Check",(IF(G189="Mindstekrav","Verify","")))))</f>
        <v/>
      </c>
      <c r="I189" s="35" t="inlineStr">
        <is>
          <t>Ja</t>
        </is>
      </c>
      <c r="J189" s="35" t="n"/>
      <c r="K189" s="47" t="n"/>
      <c r="L189" s="35" t="n"/>
      <c r="M189" s="35" t="n"/>
      <c r="N189" s="35" t="n"/>
      <c r="O189" s="35" t="n"/>
      <c r="P189" s="35" t="inlineStr">
        <is>
          <t>TAO: Hvordan kan vi levere dokumentation på et mindstekrav?</t>
        </is>
      </c>
      <c r="Q189" s="35" t="n"/>
      <c r="R189" s="35" t="n"/>
      <c r="S189" s="35" t="n"/>
      <c r="T189" s="35" t="n"/>
      <c r="U189" s="35" t="inlineStr">
        <is>
          <t>Not Started</t>
        </is>
      </c>
      <c r="V189" s="37">
        <f>IF(U189="Not Started",0%,IF(U189="Started",50%,IF(U189="Ready for review",70%,IF(U189="Reviewed - Content",80%,IF(U189="Reviewed - Format",90%,IF(U189="Done",100%,""))))))</f>
        <v/>
      </c>
      <c r="W189" t="inlineStr">
        <is>
          <t>2026-07-07</t>
        </is>
      </c>
      <c r="X189" t="inlineStr">
        <is>
          <t>Cursor / tender-response (batch)</t>
        </is>
      </c>
      <c r="Y189" t="inlineStr">
        <is>
          <t>Clarify</t>
        </is>
      </c>
      <c r="Z189" t="inlineStr">
        <is>
          <t>Verified</t>
        </is>
      </c>
      <c r="AA189" t="inlineStr">
        <is>
          <t>Verify: Udlæsning af data til analytiske formål — kræver produkt-/team-afklaring (ingen tool-rating).</t>
        </is>
      </c>
      <c r="AB189" t="inlineStr">
        <is>
          <t>TAO: Hvordan kan vi levere dokumentation på et mindstekrav?</t>
        </is>
      </c>
      <c r="AC189" t="inlineStr">
        <is>
          <t>docs/tender-reference/extracted/Nationalbanken/Bilag 3.i Leverandørens Løsningsbeskrivelse.txt; docs/tender-reference/extracted/KK Tender tool.txt; docs/tender-reference/extracted/KUM-SLKS/Bilag 3 - Kravspecifikation.txt</t>
        </is>
      </c>
      <c r="AD189" t="inlineStr">
        <is>
          <t>Owner: Udfyld tool-rating (O) og evidens; gennemgå AI-kladde.</t>
        </is>
      </c>
      <c r="AE189" t="inlineStr"/>
      <c r="AF189" t="inlineStr">
        <is>
          <t>Draft</t>
        </is>
      </c>
      <c r="AG189" t="inlineStr">
        <is>
          <t>uim-esdh-full-2026-07-07</t>
        </is>
      </c>
    </row>
    <row r="190" ht="48" customHeight="1">
      <c r="A190" s="35" t="n">
        <v>189</v>
      </c>
      <c r="B190" s="35" t="inlineStr">
        <is>
          <t>MK-161</t>
        </is>
      </c>
      <c r="C190" s="35" t="inlineStr">
        <is>
          <t>Bilag 1.b</t>
        </is>
      </c>
      <c r="D190" s="35" t="inlineStr">
        <is>
          <t>Standardintegrationer</t>
        </is>
      </c>
      <c r="E190" s="35" t="inlineStr">
        <is>
          <t>Integration til dokumentbibliotek</t>
        </is>
      </c>
      <c r="F190" s="35" t="inlineStr">
        <is>
          <t>ESDH-løsningen skal have integration til Dynamics Template fra Omnidocs.</t>
        </is>
      </c>
      <c r="G190" s="35" t="inlineStr">
        <is>
          <t>Mindstekrav</t>
        </is>
      </c>
      <c r="H190" s="35">
        <f>IF(G190="Evalueringskrav","Answer",(IF(G190="Krav","Check",(IF(G190="Mindstekrav","Verify","")))))</f>
        <v/>
      </c>
      <c r="I190" s="35" t="inlineStr">
        <is>
          <t>Ja</t>
        </is>
      </c>
      <c r="J190" s="35" t="n"/>
      <c r="K190" s="47" t="n"/>
      <c r="L190" s="35" t="inlineStr">
        <is>
          <t>Anton</t>
        </is>
      </c>
      <c r="M190" s="35" t="n"/>
      <c r="N190" s="35" t="inlineStr">
        <is>
          <t>Template Connect</t>
        </is>
      </c>
      <c r="O190" s="35" t="inlineStr">
        <is>
          <t>1. Fully met</t>
        </is>
      </c>
      <c r="P190" s="35" t="n"/>
      <c r="Q190" s="35" t="n"/>
      <c r="R190" s="35" t="n"/>
      <c r="S190" s="35" t="n"/>
      <c r="T190" s="35" t="n"/>
      <c r="U190" s="35" t="inlineStr">
        <is>
          <t>Not Started</t>
        </is>
      </c>
      <c r="V190" s="37">
        <f>IF(U190="Not Started",0%,IF(U190="Started",50%,IF(U190="Ready for review",70%,IF(U190="Reviewed - Content",80%,IF(U190="Reviewed - Format",90%,IF(U190="Done",100%,""))))))</f>
        <v/>
      </c>
      <c r="W190" t="inlineStr">
        <is>
          <t>2026-07-07</t>
        </is>
      </c>
      <c r="X190" t="inlineStr">
        <is>
          <t>Cursor / tender-response (batch)</t>
        </is>
      </c>
      <c r="Y190" t="inlineStr">
        <is>
          <t>Met</t>
        </is>
      </c>
      <c r="Z190" t="inlineStr">
        <is>
          <t>Lead</t>
        </is>
      </c>
      <c r="AA190" t="inlineStr">
        <is>
          <t>Verify: Integration til dokumentbibliotek — vurderet opfyldt (tool: 1. Fully met).</t>
        </is>
      </c>
      <c r="AB190" t="inlineStr"/>
      <c r="AC190" t="inlineStr">
        <is>
          <t>docs/tender-reference/extracted/HSØ/02.00-Tietoevry-SSA-L-Bilag 2-Leverandørens beskrivelse av Tjenesten.txt; docs/tender-reference/extracted/NND/02.01-Tieto-Bilag 2-Vedlegg-Leverandørens utfyllende svar til kravtabell.txt; docs/product/360_Information_Act_Request_DRAFT.md</t>
        </is>
      </c>
      <c r="AD190" t="inlineStr">
        <is>
          <t>Anton: Confirm verify-tekst; opdatér review status efter tjek.</t>
        </is>
      </c>
      <c r="AE190" t="inlineStr"/>
      <c r="AF190" t="inlineStr">
        <is>
          <t>Draft</t>
        </is>
      </c>
      <c r="AG190" t="inlineStr">
        <is>
          <t>uim-esdh-full-2026-07-07</t>
        </is>
      </c>
    </row>
    <row r="191" ht="409.5" customHeight="1">
      <c r="A191" s="35" t="n">
        <v>190</v>
      </c>
      <c r="B191" s="35" t="inlineStr">
        <is>
          <t>EK-12</t>
        </is>
      </c>
      <c r="C191" s="35" t="inlineStr">
        <is>
          <t>Bilag 1.b</t>
        </is>
      </c>
      <c r="D191" s="35" t="inlineStr">
        <is>
          <t>Standardintegrationer</t>
        </is>
      </c>
      <c r="E191" s="35" t="inlineStr">
        <is>
          <t>ESDH Standard API</t>
        </is>
      </c>
      <c r="F191" s="35" t="inlineStr">
        <is>
          <t>ESDH-løsningen skal, i forbindelse med Kundens behov for integration, automatisering og genbrug af ESDH-løsningens funktionalitet i det samlede systemlandskab, understøtte at Løsningen centrale funktioner kan tilgås via standardiserede API’er både envejs- og tovejsintegrationer.
Leverandøren skal beskrive, hvordan den tilbudte ESDH-løsnings API understøtter envejs- og tovejsintegrationer.
Leverandøren skal gennem konkrete skærmbilleder demonstrere om og hvordan ESDH-løsningen understøtter de stillede krav og møder Kundens behov.
Leverandøren skal redegøre for:  
Hvordan og i hvilket omfang ESDH-løsningens funktionalitet kan tilgås, anvendes og automatiseres via Løsningens standard API’er
Hvordan Leverandørens API-dækningsmatrix illustrerer sammenhængen mellem Løsningens centrale brugerfunktioner, standardentiteter, Kundeoprettede Entiteter og de tilhørende API-operationer
Hvilke standardentiteter der kan oprettes, læses, opdateres, slettes og fremsøges via standard API.
Hvordan metadatafelter på standardentiteter kan læses, valideres og opdateres via standard API.
Hvordan API’et er dokumenteret, versionsstyret og supporteret
Hvordan Kundeoprettede Entiteter, metadata og relationer eksponeres via standard API.
I hvilket omfang API’et understøtter de samme forretningsfunktioner, arbejdsgange, statusskift, dokumenthåndtering, 
Standardintegrationer, adgangsstyring og valideringer som Løsningens brugergrænseflade
Om API’et anvender samme forretningsregler, valideringer, rettighedsmodel, auditlogning og sikkerhedsmodel som brugergrænsefladen
Om der findes standardmekanismer til hændelser/events, notifikationer, webhooks eller lignende, så integrationer kan reagere på ændringer i sager, Dokumenter, kontakter, metadata og øvrige Entiteter
Evalueringskriterier:
Det vægtes positivt, i hvor høj grad Løsningen udstiller et veldokumenteret, versionsstyret og supporteret standard API, der giver mulighed for at automatisere de samme forretningsfunktioner, som kan udføres via Løsningens brugergrænseflade og standardfunktionalitet.
Det vægtes positivt, i hvor høj grad standard API’et understøtter fuld CRUD-funktionalitet for Løsningens centrale standardentiteter, herunder: 
Sager
Dokumenter
Kontakter/parter
Opgaver/aktiviteter, hvis disse indgår som standardentiteter i Løsningen
Metadatafelter på ovenstående Entiteter
Relationer mellem standardentiteter
Det vægtes positivt, i hvor høj grad API’et også understøtter Kundens Kundeoprettede Entiteter, metadatafelter, relationer, regler og funktioner, således at Entiteter og funktioner, der oprettes eller konfigureres i Løsningen, automatisk eller konfigurationsbaseret kan anvendes via standard API uden særskilt specialudvikling.</t>
        </is>
      </c>
      <c r="G191" s="35" t="inlineStr">
        <is>
          <t>Evalueringskrav</t>
        </is>
      </c>
      <c r="H191" s="35">
        <f>IF(G191="Evalueringskrav","Answer",(IF(G191="Krav","Check",(IF(G191="Mindstekrav","Verify","")))))</f>
        <v/>
      </c>
      <c r="I191" s="35" t="inlineStr">
        <is>
          <t>Ja</t>
        </is>
      </c>
      <c r="J191" s="35" t="n"/>
      <c r="K191" s="47" t="n"/>
      <c r="L191" s="35" t="inlineStr">
        <is>
          <t>Claus</t>
        </is>
      </c>
      <c r="M191" s="35" t="n"/>
      <c r="N191" s="35" t="n"/>
      <c r="O191" s="35" t="n"/>
      <c r="P191" s="35" t="n"/>
      <c r="Q191" s="35" t="n"/>
      <c r="R191" s="35" t="n"/>
      <c r="S191" s="35" t="n"/>
      <c r="T191" s="35" t="n"/>
      <c r="U191" s="35" t="inlineStr">
        <is>
          <t>Not Started</t>
        </is>
      </c>
      <c r="V191" s="37">
        <f>IF(U191="Not Started",0%,IF(U191="Started",50%,IF(U191="Ready for review",70%,IF(U191="Reviewed - Content",80%,IF(U191="Reviewed - Format",90%,IF(U191="Done",100%,""))))))</f>
        <v/>
      </c>
      <c r="W191" t="inlineStr">
        <is>
          <t>2026-07-07</t>
        </is>
      </c>
      <c r="X191" t="inlineStr">
        <is>
          <t>Cursor / tender-response (batch)</t>
        </is>
      </c>
      <c r="Y191" t="inlineStr">
        <is>
          <t>Draft needed</t>
        </is>
      </c>
      <c r="Z191" t="inlineStr">
        <is>
          <t>Verified</t>
        </is>
      </c>
      <c r="AA191" t="inlineStr">
        <is>
          <t>Answer: ESDH Standard API — informationskrav; udkast bilag/dokumentation mangler.</t>
        </is>
      </c>
      <c r="AB191" t="inlineStr">
        <is>
          <t>Mangler link til svar-bilag i kolonne T.</t>
        </is>
      </c>
      <c r="AC191" t="inlineStr">
        <is>
          <t>docs/tender-reference/extracted/Nationalbanken/Bilag 3.i Leverandørens Løsningsbeskrivelse.txt; docs/tender-reference/extracted/KK Tender tool.txt; docs/tender-reference/extracted/KUM-SLKS/Bilag 3 - Kravspecifikation.txt</t>
        </is>
      </c>
      <c r="AD191" t="inlineStr">
        <is>
          <t>Claus: Opret/link svar-bilag; draft IK-tekst fra prior art.</t>
        </is>
      </c>
      <c r="AE191" t="inlineStr"/>
      <c r="AF191" t="inlineStr">
        <is>
          <t>Draft</t>
        </is>
      </c>
      <c r="AG191" t="inlineStr">
        <is>
          <t>uim-esdh-full-2026-07-07</t>
        </is>
      </c>
    </row>
    <row r="192" ht="192" customHeight="1">
      <c r="A192" s="35" t="n">
        <v>191</v>
      </c>
      <c r="B192" s="35" t="inlineStr">
        <is>
          <t>MK-162</t>
        </is>
      </c>
      <c r="C192" s="35" t="inlineStr">
        <is>
          <t>Bilag 1.b</t>
        </is>
      </c>
      <c r="D192" s="35" t="inlineStr">
        <is>
          <t>Identitets og rettighedsstyring</t>
        </is>
      </c>
      <c r="E192" s="35" t="inlineStr">
        <is>
          <t>Integration til Kundens Active Directory og Single Sign-On</t>
        </is>
      </c>
      <c r="F192" s="35" t="inlineStr">
        <is>
          <t>ESDH-løsningen skal have integration til Active Directory, som er Kundens identitets- og adgangsstyring driftet hos Kundens driftsleverandør, herunder Active Directory og/eller Entra ID, med henblik på Single Sign-On (SSO) via standardprotokoller som SAML 2.0 og/eller OpenID Connect/OAuth 2.0.
AD er placeret i Kundens ressourcedomæne hos driftsleverandøren jf. figur 8 i Bilag 1. d Kundens målarkitektur for fremtidige ESDH-løsning.
ESDH-løsningen skal understøtte automatisk eller regelbaseret oprettelse, opdatering, deaktivering og nedlæggelse af Brugere på baggrund af oplysninger fra Kundens identitetsplatform.</t>
        </is>
      </c>
      <c r="G192" s="35" t="inlineStr">
        <is>
          <t>Mindstekrav</t>
        </is>
      </c>
      <c r="H192" s="35">
        <f>IF(G192="Evalueringskrav","Answer",(IF(G192="Krav","Check",(IF(G192="Mindstekrav","Verify","")))))</f>
        <v/>
      </c>
      <c r="I192" s="35" t="inlineStr">
        <is>
          <t>Ja</t>
        </is>
      </c>
      <c r="J192" s="35" t="n"/>
      <c r="K192" s="47" t="n"/>
      <c r="L192" s="35" t="n"/>
      <c r="M192" s="35" t="n"/>
      <c r="N192" s="35" t="n"/>
      <c r="O192" s="35" t="inlineStr">
        <is>
          <t>1. Fully met</t>
        </is>
      </c>
      <c r="P192" s="35" t="inlineStr">
        <is>
          <t>TAO: Deaktivering ja, men hvad menes så med nedlæggelse. Man sletter jo ikke brugere af historik hensyn.</t>
        </is>
      </c>
      <c r="Q192" s="35" t="n"/>
      <c r="R192" s="35" t="inlineStr">
        <is>
          <t>Yes</t>
        </is>
      </c>
      <c r="S192" s="35" t="n"/>
      <c r="T192" s="35" t="n"/>
      <c r="U192" s="35" t="inlineStr">
        <is>
          <t>Not Started</t>
        </is>
      </c>
      <c r="V192" s="37">
        <f>IF(U192="Not Started",0%,IF(U192="Started",50%,IF(U192="Ready for review",70%,IF(U192="Reviewed - Content",80%,IF(U192="Reviewed - Format",90%,IF(U192="Done",100%,""))))))</f>
        <v/>
      </c>
      <c r="W192" t="inlineStr">
        <is>
          <t>2026-07-07</t>
        </is>
      </c>
      <c r="X192" t="inlineStr">
        <is>
          <t>Cursor / tender-response (batch)</t>
        </is>
      </c>
      <c r="Y192" t="inlineStr">
        <is>
          <t>Met</t>
        </is>
      </c>
      <c r="Z192" t="inlineStr">
        <is>
          <t>Verified</t>
        </is>
      </c>
      <c r="AA192" t="inlineStr">
        <is>
          <t>Verify: Integration til Kundens Active Directory og Single Sign-On — vurderet opfyldt (tool: 1. Fully met).</t>
        </is>
      </c>
      <c r="AB192" t="inlineStr">
        <is>
          <t>TAO: Deaktivering ja, men hvad menes så med nedlæggelse. Man sletter jo ikke brugere af historik hensyn.</t>
        </is>
      </c>
      <c r="AC192" t="inlineStr">
        <is>
          <t>docs/tender-reference/extracted/NND/02.01-Tieto-Bilag 2-Vedlegg-Leverandørens utfyllende svar til kravtabell.txt; docs/product/RFP_Leverandørens_svar_utdrag.txt; docs/tender-reference/extracted/HSØ/02.00-Tietoevry-SSA-L-Bilag 2-Leverandørens beskrivelse av Tjenesten.txt</t>
        </is>
      </c>
      <c r="AD192" t="inlineStr">
        <is>
          <t>Owner: Confirm verify-tekst; opdatér review status efter tjek.</t>
        </is>
      </c>
      <c r="AE192" t="inlineStr"/>
      <c r="AF192" t="inlineStr">
        <is>
          <t>Draft</t>
        </is>
      </c>
      <c r="AG192" t="inlineStr">
        <is>
          <t>uim-esdh-full-2026-07-07</t>
        </is>
      </c>
    </row>
    <row r="193" ht="48" customHeight="1">
      <c r="A193" s="35" t="n">
        <v>192</v>
      </c>
      <c r="B193" s="35" t="inlineStr">
        <is>
          <t>MK-163</t>
        </is>
      </c>
      <c r="C193" s="35" t="inlineStr">
        <is>
          <t>Bilag 1.b</t>
        </is>
      </c>
      <c r="D193" s="35" t="inlineStr">
        <is>
          <t>Identitets og rettighedsstyring</t>
        </is>
      </c>
      <c r="E193" s="35" t="inlineStr">
        <is>
          <t>Administration af rettigheder</t>
        </is>
      </c>
      <c r="F193" s="35" t="inlineStr">
        <is>
          <t>ESDH-løsningen skal understøtte, at Kunden via administratormodulet har mulighed for at administrere rettigheder, som ligger udover Active Directorys sikkerhed- og rettighedsstyring.</t>
        </is>
      </c>
      <c r="G193" s="35" t="inlineStr">
        <is>
          <t>Mindstekrav</t>
        </is>
      </c>
      <c r="H193" s="35">
        <f>IF(G193="Evalueringskrav","Answer",(IF(G193="Krav","Check",(IF(G193="Mindstekrav","Verify","")))))</f>
        <v/>
      </c>
      <c r="I193" s="35" t="inlineStr">
        <is>
          <t>Ja</t>
        </is>
      </c>
      <c r="J193" s="35" t="n"/>
      <c r="K193" s="47" t="n"/>
      <c r="L193" s="35" t="inlineStr">
        <is>
          <t>Torben</t>
        </is>
      </c>
      <c r="M193" s="35" t="n"/>
      <c r="N193" s="35" t="n"/>
      <c r="O193" s="35" t="inlineStr">
        <is>
          <t>1. Fully met</t>
        </is>
      </c>
      <c r="P193" s="35" t="n"/>
      <c r="Q193" s="35" t="n"/>
      <c r="R193" s="35" t="n"/>
      <c r="S193" s="35" t="n"/>
      <c r="T193" s="35" t="n"/>
      <c r="U193" s="35" t="inlineStr">
        <is>
          <t>Not Started</t>
        </is>
      </c>
      <c r="V193" s="37">
        <f>IF(U193="Not Started",0%,IF(U193="Started",50%,IF(U193="Ready for review",70%,IF(U193="Reviewed - Content",80%,IF(U193="Reviewed - Format",90%,IF(U193="Done",100%,""))))))</f>
        <v/>
      </c>
      <c r="W193" t="inlineStr">
        <is>
          <t>2026-07-07</t>
        </is>
      </c>
      <c r="X193" t="inlineStr">
        <is>
          <t>Cursor / tender-response (batch)</t>
        </is>
      </c>
      <c r="Y193" t="inlineStr">
        <is>
          <t>Met</t>
        </is>
      </c>
      <c r="Z193" t="inlineStr">
        <is>
          <t>Verified</t>
        </is>
      </c>
      <c r="AA193" t="inlineStr">
        <is>
          <t>Verify: Administration af rettigheder — vurderet opfyldt (tool: 1. Fully met).</t>
        </is>
      </c>
      <c r="AB193" t="inlineStr"/>
      <c r="AC193" t="inlineStr">
        <is>
          <t>docs/tender-reference/extracted/KUM-SLKS/Bilag 3 - Kravspecifikation.txt; docs/tender-reference/extracted/Nationalbanken/Bilag 3.i Leverandørens Løsningsbeskrivelse.txt; docs/tender-reference/extracted/KK Tender tool.txt</t>
        </is>
      </c>
      <c r="AD193" t="inlineStr">
        <is>
          <t>Torben: Confirm verify-tekst; opdatér review status efter tjek.</t>
        </is>
      </c>
      <c r="AE193" t="inlineStr"/>
      <c r="AF193" t="inlineStr">
        <is>
          <t>Draft</t>
        </is>
      </c>
      <c r="AG193" t="inlineStr">
        <is>
          <t>uim-esdh-full-2026-07-07</t>
        </is>
      </c>
    </row>
    <row r="194" ht="48" customHeight="1">
      <c r="A194" s="35" t="n">
        <v>193</v>
      </c>
      <c r="B194" s="35" t="inlineStr">
        <is>
          <t>MK-164</t>
        </is>
      </c>
      <c r="C194" s="35" t="inlineStr">
        <is>
          <t>Bilag 1.b</t>
        </is>
      </c>
      <c r="D194" s="35" t="inlineStr">
        <is>
          <t>Forsendelser</t>
        </is>
      </c>
      <c r="E194" s="35" t="inlineStr">
        <is>
          <t>Digital Post - opsætning</t>
        </is>
      </c>
      <c r="F194" s="35" t="inlineStr">
        <is>
          <t>ESDH-løsningen skal understøtte, at alle nødvendige parametre kan anvendes til opsætning og Konfiguration af Digital Post, f.eks. afsendersystem, Myndighedsprofil og afsendertype.</t>
        </is>
      </c>
      <c r="G194" s="35" t="inlineStr">
        <is>
          <t>Mindstekrav</t>
        </is>
      </c>
      <c r="H194" s="35">
        <f>IF(G194="Evalueringskrav","Answer",(IF(G194="Krav","Check",(IF(G194="Mindstekrav","Verify","")))))</f>
        <v/>
      </c>
      <c r="I194" s="35" t="inlineStr">
        <is>
          <t>Ja</t>
        </is>
      </c>
      <c r="J194" s="35" t="n"/>
      <c r="K194" s="47" t="n"/>
      <c r="L194" s="35" t="inlineStr">
        <is>
          <t>Torben</t>
        </is>
      </c>
      <c r="M194" s="35" t="n"/>
      <c r="N194" s="35" t="n"/>
      <c r="O194" s="35" t="inlineStr">
        <is>
          <t>1. Fully met</t>
        </is>
      </c>
      <c r="P194" s="35" t="inlineStr">
        <is>
          <t>TAO: Ok standard</t>
        </is>
      </c>
      <c r="Q194" s="35" t="n"/>
      <c r="R194" s="35" t="n"/>
      <c r="S194" s="35" t="n"/>
      <c r="T194" s="35" t="n"/>
      <c r="U194" s="35" t="inlineStr">
        <is>
          <t>Not Started</t>
        </is>
      </c>
      <c r="V194" s="37">
        <f>IF(U194="Not Started",0%,IF(U194="Started",50%,IF(U194="Ready for review",70%,IF(U194="Reviewed - Content",80%,IF(U194="Reviewed - Format",90%,IF(U194="Done",100%,""))))))</f>
        <v/>
      </c>
      <c r="W194" t="inlineStr">
        <is>
          <t>2026-07-07</t>
        </is>
      </c>
      <c r="X194" t="inlineStr">
        <is>
          <t>Cursor / tender-response (batch)</t>
        </is>
      </c>
      <c r="Y194" t="inlineStr">
        <is>
          <t>Met</t>
        </is>
      </c>
      <c r="Z194" t="inlineStr">
        <is>
          <t>Verified</t>
        </is>
      </c>
      <c r="AA194" t="inlineStr">
        <is>
          <t>Verify: Digital Post - opsætning — vurderet opfyldt (tool: 1. Fully met).</t>
        </is>
      </c>
      <c r="AB194" t="inlineStr">
        <is>
          <t>TAO: Ok standard</t>
        </is>
      </c>
      <c r="AC194" t="inlineStr">
        <is>
          <t>docs/tender-reference/extracted/KK Tender tool.txt; docs/tender-reference/extracted/Nationalbanken/Bilag 3.i Leverandørens Løsningsbeskrivelse.txt; docs/product/RFP_Leverandørens_svar_utdrag.txt</t>
        </is>
      </c>
      <c r="AD194" t="inlineStr">
        <is>
          <t>Torben: Confirm verify-tekst; opdatér review status efter tjek.</t>
        </is>
      </c>
      <c r="AE194" t="inlineStr"/>
      <c r="AF194" t="inlineStr">
        <is>
          <t>Draft</t>
        </is>
      </c>
      <c r="AG194" t="inlineStr">
        <is>
          <t>uim-esdh-full-2026-07-07</t>
        </is>
      </c>
    </row>
    <row r="195" ht="96" customHeight="1">
      <c r="A195" s="35" t="n">
        <v>194</v>
      </c>
      <c r="B195" s="35" t="inlineStr">
        <is>
          <t>MK-165</t>
        </is>
      </c>
      <c r="C195" s="35" t="inlineStr">
        <is>
          <t>Bilag 1.b</t>
        </is>
      </c>
      <c r="D195" s="35" t="inlineStr">
        <is>
          <t>Forsendelser</t>
        </is>
      </c>
      <c r="E195" s="35" t="inlineStr">
        <is>
          <t>Fjernprint – opsætning</t>
        </is>
      </c>
      <c r="F195" s="35" t="inlineStr">
        <is>
          <t>ESDH-løsningen skal understøtte, at alle nødvendige parametre kan anvendes til opsætning og Konfiguration af fjernprint.</t>
        </is>
      </c>
      <c r="G195" s="35" t="inlineStr">
        <is>
          <t>Mindstekrav</t>
        </is>
      </c>
      <c r="H195" s="35">
        <f>IF(G195="Evalueringskrav","Answer",(IF(G195="Krav","Check",(IF(G195="Mindstekrav","Verify","")))))</f>
        <v/>
      </c>
      <c r="I195" s="35" t="inlineStr">
        <is>
          <t>Ja</t>
        </is>
      </c>
      <c r="J195" s="35" t="n"/>
      <c r="K195" s="47" t="n"/>
      <c r="L195" s="35" t="n"/>
      <c r="M195" s="35" t="n"/>
      <c r="N195" s="35" t="inlineStr">
        <is>
          <t>Strålfors</t>
        </is>
      </c>
      <c r="O195" s="35" t="inlineStr">
        <is>
          <t>2. Partly met</t>
        </is>
      </c>
      <c r="P195" s="35" t="inlineStr">
        <is>
          <t>Anton: Ikke sikker - kender ikke nogen kunder der har det, men mon ikke vi kan understøtte det
Tao: Strålfors, blev det standard med AST?
Adn: Tajinder sagde Ja, strålfors blev std. med AST</t>
        </is>
      </c>
      <c r="Q195" s="35" t="inlineStr">
        <is>
          <t>Yes</t>
        </is>
      </c>
      <c r="R195" s="35" t="n"/>
      <c r="S195" s="35" t="n"/>
      <c r="T195" s="35" t="n"/>
      <c r="U195" s="35" t="inlineStr">
        <is>
          <t>Not Started</t>
        </is>
      </c>
      <c r="V195" s="37">
        <f>IF(U195="Not Started",0%,IF(U195="Started",50%,IF(U195="Ready for review",70%,IF(U195="Reviewed - Content",80%,IF(U195="Reviewed - Format",90%,IF(U195="Done",100%,""))))))</f>
        <v/>
      </c>
      <c r="W195" t="inlineStr">
        <is>
          <t>2026-07-07</t>
        </is>
      </c>
      <c r="X195" t="inlineStr">
        <is>
          <t>Cursor / tender-response (batch)</t>
        </is>
      </c>
      <c r="Y195" t="inlineStr">
        <is>
          <t>Partial</t>
        </is>
      </c>
      <c r="Z195" t="inlineStr">
        <is>
          <t>Lead</t>
        </is>
      </c>
      <c r="AA195" t="inlineStr">
        <is>
          <t>Verify: Fjernprint – opsætning — delvist opfyldt; afklar scope og scoring.</t>
        </is>
      </c>
      <c r="AB195" t="inlineStr">
        <is>
          <t>Anton: Ikke sikker - kender ikke nogen kunder der har det, men mon ikke vi kan understøtte det
Tao: Strålfors, blev det standard med AST?
Adn: Tajinder sagde Ja, strålfors blev std. med AST | Red flag: Ikke sikker - kender ikke nogen kunder der har det, men mon ikke vi kan understøtte det</t>
        </is>
      </c>
      <c r="AC195" t="inlineStr">
        <is>
          <t>docs/tender-reference/extracted/KK Tender tool.txt; docs/tender-reference/extracted/Nationalbanken/Bilag 3.i Leverandørens Løsningsbeskrivelse.txt; docs/tender-reference/extracted/KUM-SLKS/Bilag 1 - Tidsplan.txt</t>
        </is>
      </c>
      <c r="AD195" t="inlineStr">
        <is>
          <t>Owner: Afklar delkrav; align tool-rating (O) med AI compliance.</t>
        </is>
      </c>
      <c r="AE195" t="inlineStr"/>
      <c r="AF195" t="inlineStr">
        <is>
          <t>Draft</t>
        </is>
      </c>
      <c r="AG195" t="inlineStr">
        <is>
          <t>uim-esdh-full-2026-07-07</t>
        </is>
      </c>
    </row>
    <row r="196" ht="48" customHeight="1">
      <c r="A196" s="35" t="n">
        <v>195</v>
      </c>
      <c r="B196" s="35" t="inlineStr">
        <is>
          <t>MK-166</t>
        </is>
      </c>
      <c r="C196" s="35" t="inlineStr">
        <is>
          <t>Bilag 1.b</t>
        </is>
      </c>
      <c r="D196" s="35" t="inlineStr">
        <is>
          <t>Forsendelser</t>
        </is>
      </c>
      <c r="E196" s="35" t="inlineStr">
        <is>
          <t>Forsendelseskanaler – Digital Post</t>
        </is>
      </c>
      <c r="F196" s="35" t="inlineStr">
        <is>
          <t>ESDH-løsningen skal understøtte afsendelse af Digital Post direkte fra ESDH-løsningens brugergrænseflade, og at afsendelsen journaliseres som en del af samme proces.</t>
        </is>
      </c>
      <c r="G196" s="35" t="inlineStr">
        <is>
          <t>Mindstekrav</t>
        </is>
      </c>
      <c r="H196" s="35">
        <f>IF(G196="Evalueringskrav","Answer",(IF(G196="Krav","Check",(IF(G196="Mindstekrav","Verify","")))))</f>
        <v/>
      </c>
      <c r="I196" s="35" t="inlineStr">
        <is>
          <t>Ja</t>
        </is>
      </c>
      <c r="J196" s="35" t="n"/>
      <c r="K196" s="47" t="n"/>
      <c r="L196" s="35" t="inlineStr">
        <is>
          <t>Anton</t>
        </is>
      </c>
      <c r="M196" s="35" t="n"/>
      <c r="N196" s="35" t="n"/>
      <c r="O196" s="35" t="inlineStr">
        <is>
          <t>1. Fully met</t>
        </is>
      </c>
      <c r="P196" s="35" t="n"/>
      <c r="Q196" s="35" t="n"/>
      <c r="R196" s="35" t="n"/>
      <c r="S196" s="35" t="n"/>
      <c r="T196" s="35" t="n"/>
      <c r="U196" s="35" t="inlineStr">
        <is>
          <t>Not Started</t>
        </is>
      </c>
      <c r="V196" s="37">
        <f>IF(U196="Not Started",0%,IF(U196="Started",50%,IF(U196="Ready for review",70%,IF(U196="Reviewed - Content",80%,IF(U196="Reviewed - Format",90%,IF(U196="Done",100%,""))))))</f>
        <v/>
      </c>
      <c r="W196" t="inlineStr">
        <is>
          <t>2026-07-07</t>
        </is>
      </c>
      <c r="X196" t="inlineStr">
        <is>
          <t>Cursor / tender-response (batch)</t>
        </is>
      </c>
      <c r="Y196" t="inlineStr">
        <is>
          <t>Met</t>
        </is>
      </c>
      <c r="Z196" t="inlineStr">
        <is>
          <t>Verified</t>
        </is>
      </c>
      <c r="AA196" t="inlineStr">
        <is>
          <t>Verify: Forsendelseskanaler – Digital Post — vurderet opfyldt (tool: 1. Fully met).</t>
        </is>
      </c>
      <c r="AB196" t="inlineStr"/>
      <c r="AC196" t="inlineStr">
        <is>
          <t>docs/tender-reference/extracted/KK Tender tool.txt; docs/tender-reference/extracted/Nationalbanken/Bilag 3.i Leverandørens Løsningsbeskrivelse.txt; docs/tender-reference/extracted/KUM-SLKS/Bilag 3 - Kravspecifikation.txt</t>
        </is>
      </c>
      <c r="AD196" t="inlineStr">
        <is>
          <t>Anton: Confirm verify-tekst; opdatér review status efter tjek.</t>
        </is>
      </c>
      <c r="AE196" t="inlineStr"/>
      <c r="AF196" t="inlineStr">
        <is>
          <t>Draft</t>
        </is>
      </c>
      <c r="AG196" t="inlineStr">
        <is>
          <t>uim-esdh-full-2026-07-07</t>
        </is>
      </c>
    </row>
    <row r="197" ht="48" customHeight="1">
      <c r="A197" s="35" t="n">
        <v>196</v>
      </c>
      <c r="B197" s="35" t="inlineStr">
        <is>
          <t>MK-167</t>
        </is>
      </c>
      <c r="C197" s="35" t="inlineStr">
        <is>
          <t>Bilag 1.b</t>
        </is>
      </c>
      <c r="D197" s="35" t="inlineStr">
        <is>
          <t>Forsendelser</t>
        </is>
      </c>
      <c r="E197" s="35" t="inlineStr">
        <is>
          <t>Forsendelseskanaler</t>
        </is>
      </c>
      <c r="F197" s="35" t="inlineStr">
        <is>
          <t>ESDH-løsningen skal understøtte afsendelse af fysisk post direkte fra ESDH-løsningen, og at afsendelsen journaliseres som en del af samme proces.</t>
        </is>
      </c>
      <c r="G197" s="35" t="inlineStr">
        <is>
          <t>Mindstekrav</t>
        </is>
      </c>
      <c r="H197" s="35">
        <f>IF(G197="Evalueringskrav","Answer",(IF(G197="Krav","Check",(IF(G197="Mindstekrav","Verify","")))))</f>
        <v/>
      </c>
      <c r="I197" s="35" t="inlineStr">
        <is>
          <t>Ja</t>
        </is>
      </c>
      <c r="J197" s="35" t="n"/>
      <c r="K197" s="47" t="n"/>
      <c r="L197" s="35" t="inlineStr">
        <is>
          <t>Anton</t>
        </is>
      </c>
      <c r="M197" s="35" t="n"/>
      <c r="N197" s="35" t="inlineStr">
        <is>
          <t>Strålfors</t>
        </is>
      </c>
      <c r="O197" s="35" t="inlineStr">
        <is>
          <t>2. Partly met</t>
        </is>
      </c>
      <c r="P197" s="35" t="inlineStr">
        <is>
          <t xml:space="preserve">Adn: This can be solved with Strålfors </t>
        </is>
      </c>
      <c r="Q197" s="35" t="inlineStr">
        <is>
          <t>Yes</t>
        </is>
      </c>
      <c r="R197" s="35" t="n"/>
      <c r="S197" s="35" t="n"/>
      <c r="T197" s="35" t="n"/>
      <c r="U197" s="35" t="inlineStr">
        <is>
          <t>Not Started</t>
        </is>
      </c>
      <c r="V197" s="37">
        <f>IF(U197="Not Started",0%,IF(U197="Started",50%,IF(U197="Ready for review",70%,IF(U197="Reviewed - Content",80%,IF(U197="Reviewed - Format",90%,IF(U197="Done",100%,""))))))</f>
        <v/>
      </c>
      <c r="W197" t="inlineStr">
        <is>
          <t>2026-07-07</t>
        </is>
      </c>
      <c r="X197" t="inlineStr">
        <is>
          <t>Cursor / tender-response (batch)</t>
        </is>
      </c>
      <c r="Y197" t="inlineStr">
        <is>
          <t>Partial</t>
        </is>
      </c>
      <c r="Z197" t="inlineStr">
        <is>
          <t>Lead</t>
        </is>
      </c>
      <c r="AA197" t="inlineStr">
        <is>
          <t>Verify: Forsendelseskanaler — delvist opfyldt; afklar scope og scoring.</t>
        </is>
      </c>
      <c r="AB197" t="inlineStr">
        <is>
          <t>Adn: This can be solved with Strålfors</t>
        </is>
      </c>
      <c r="AC197" t="inlineStr">
        <is>
          <t>docs/tender-reference/extracted/KK Tender tool.txt; docs/tender-reference/extracted/Nationalbanken/Bilag 3.i Leverandørens Løsningsbeskrivelse.txt; docs/tender-reference/extracted/KUM-SLKS/Bilag 3 - Kravspecifikation.txt</t>
        </is>
      </c>
      <c r="AD197" t="inlineStr">
        <is>
          <t>Anton: Afklar delkrav; align tool-rating (O) med AI compliance.</t>
        </is>
      </c>
      <c r="AE197" t="inlineStr"/>
      <c r="AF197" t="inlineStr">
        <is>
          <t>Draft</t>
        </is>
      </c>
      <c r="AG197" t="inlineStr">
        <is>
          <t>uim-esdh-full-2026-07-07</t>
        </is>
      </c>
    </row>
    <row r="198" ht="80" customHeight="1">
      <c r="A198" s="35" t="n">
        <v>197</v>
      </c>
      <c r="B198" s="35" t="inlineStr">
        <is>
          <t>MK-168</t>
        </is>
      </c>
      <c r="C198" s="35" t="inlineStr">
        <is>
          <t>Bilag 1.b</t>
        </is>
      </c>
      <c r="D198" s="35" t="inlineStr">
        <is>
          <t>Forsendelser</t>
        </is>
      </c>
      <c r="E198" s="35" t="inlineStr">
        <is>
          <t>Automatisk valg af forsendelseskanal</t>
        </is>
      </c>
      <c r="F198" s="35" t="inlineStr">
        <is>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is>
      </c>
      <c r="G198" s="35" t="inlineStr">
        <is>
          <t>Mindstekrav</t>
        </is>
      </c>
      <c r="H198" s="35">
        <f>IF(G198="Evalueringskrav","Answer",(IF(G198="Krav","Check",(IF(G198="Mindstekrav","Verify","")))))</f>
        <v/>
      </c>
      <c r="I198" s="35" t="inlineStr">
        <is>
          <t>Ja</t>
        </is>
      </c>
      <c r="J198" s="35" t="n"/>
      <c r="K198" s="47" t="n"/>
      <c r="L198" s="35" t="n"/>
      <c r="M198" s="35" t="n"/>
      <c r="N198" s="35" t="n"/>
      <c r="O198" s="35" t="inlineStr">
        <is>
          <t>3. Not able to meet</t>
        </is>
      </c>
      <c r="P198" s="35" t="inlineStr">
        <is>
          <t>Anton: Understøtter vi ikke - vi skifter ikke automatisk til næste forsendelseskanal hvis den første fejler.</t>
        </is>
      </c>
      <c r="Q198" s="35" t="n"/>
      <c r="R198" s="35" t="n"/>
      <c r="S198" s="35" t="n"/>
      <c r="T198" s="35" t="n"/>
      <c r="U198" s="35" t="inlineStr">
        <is>
          <t>Not Started</t>
        </is>
      </c>
      <c r="V198" s="37">
        <f>IF(U198="Not Started",0%,IF(U198="Started",50%,IF(U198="Ready for review",70%,IF(U198="Reviewed - Content",80%,IF(U198="Reviewed - Format",90%,IF(U198="Done",100%,""))))))</f>
        <v/>
      </c>
      <c r="W198" t="inlineStr">
        <is>
          <t>2026-07-07</t>
        </is>
      </c>
      <c r="X198" t="inlineStr">
        <is>
          <t>Cursor / tender-response (batch)</t>
        </is>
      </c>
      <c r="Y198" t="inlineStr">
        <is>
          <t>Not met</t>
        </is>
      </c>
      <c r="Z198" t="inlineStr">
        <is>
          <t>Verified</t>
        </is>
      </c>
      <c r="AA198" t="inlineStr">
        <is>
          <t>Verify: Automatisk valg af forsendelseskanal — gap ift. kravtekst; eskalér commitment eller afklaring.</t>
        </is>
      </c>
      <c r="AB198" t="inlineStr">
        <is>
          <t>Anton: Understøtter vi ikke - vi skifter ikke automatisk til næste forsendelseskanal hvis den første fejler. | Red flag: Understøtter vi ikke - vi skifter ikke automatisk til næste forsendelseskanal hvis den første fejler.</t>
        </is>
      </c>
      <c r="AC198" t="inlineStr">
        <is>
          <t>docs/tender-reference/extracted/KK Tender tool.txt; docs/tender-reference/extracted/Nationalbanken/Bilag 3.i Leverandørens Løsningsbeskrivelse.txt; docs/tender-reference/extracted/HSØ/02.00-Tietoevry-SSA-L-Bilag 2-Leverandørens beskrivelse av Tjenesten.txt</t>
        </is>
      </c>
      <c r="AD198" t="inlineStr">
        <is>
          <t>Owner: Commitment/no-bid beslutning; overvej Q&amp;A til ordregiver.</t>
        </is>
      </c>
      <c r="AE198" t="inlineStr"/>
      <c r="AF198" t="inlineStr">
        <is>
          <t>Draft</t>
        </is>
      </c>
      <c r="AG198" t="inlineStr">
        <is>
          <t>uim-esdh-full-2026-07-07</t>
        </is>
      </c>
    </row>
    <row r="199" ht="64" customHeight="1">
      <c r="A199" s="35" t="n">
        <v>198</v>
      </c>
      <c r="B199" s="35" t="inlineStr">
        <is>
          <t>MK-169</t>
        </is>
      </c>
      <c r="C199" s="35" t="inlineStr">
        <is>
          <t>Bilag 1.b</t>
        </is>
      </c>
      <c r="D199" s="35" t="inlineStr">
        <is>
          <t>Forsendelser</t>
        </is>
      </c>
      <c r="E199" s="35" t="inlineStr">
        <is>
          <t>Advisering vil fejl i forsendelse</t>
        </is>
      </c>
      <c r="F199" s="35" t="inlineStr">
        <is>
          <t>ESDH-løsningen skal understøtte, at hvis en forsendelse fejler skal Brugeren adviseres om dette.</t>
        </is>
      </c>
      <c r="G199" s="35" t="inlineStr">
        <is>
          <t>Mindstekrav</t>
        </is>
      </c>
      <c r="H199" s="35">
        <f>IF(G199="Evalueringskrav","Answer",(IF(G199="Krav","Check",(IF(G199="Mindstekrav","Verify","")))))</f>
        <v/>
      </c>
      <c r="I199" s="35" t="inlineStr">
        <is>
          <t>Ja</t>
        </is>
      </c>
      <c r="J199" s="35" t="n"/>
      <c r="K199" s="47" t="n"/>
      <c r="L199" s="35" t="n"/>
      <c r="M199" s="35" t="n"/>
      <c r="N199" s="35" t="n"/>
      <c r="O199" s="35" t="inlineStr">
        <is>
          <t>3. Not able to meet</t>
        </is>
      </c>
      <c r="P199" s="35" t="inlineStr">
        <is>
          <t>ADN: Har vi ikke
Kan mad advokere for, at en advisering også kan være noget visuelt på sagen? og dermed leve op til kravet?</t>
        </is>
      </c>
      <c r="Q199" s="35" t="n"/>
      <c r="R199" s="35" t="n"/>
      <c r="S199" s="35" t="n"/>
      <c r="T199" s="35" t="n"/>
      <c r="U199" s="35" t="inlineStr">
        <is>
          <t>Not Started</t>
        </is>
      </c>
      <c r="V199" s="37">
        <f>IF(U199="Not Started",0%,IF(U199="Started",50%,IF(U199="Ready for review",70%,IF(U199="Reviewed - Content",80%,IF(U199="Reviewed - Format",90%,IF(U199="Done",100%,""))))))</f>
        <v/>
      </c>
      <c r="W199" t="inlineStr">
        <is>
          <t>2026-07-07</t>
        </is>
      </c>
      <c r="X199" t="inlineStr">
        <is>
          <t>Cursor / tender-response (batch)</t>
        </is>
      </c>
      <c r="Y199" t="inlineStr">
        <is>
          <t>Not met</t>
        </is>
      </c>
      <c r="Z199" t="inlineStr">
        <is>
          <t>Verified</t>
        </is>
      </c>
      <c r="AA199" t="inlineStr">
        <is>
          <t>Verify: Advisering vil fejl i forsendelse — gap ift. kravtekst; eskalér commitment eller afklaring.</t>
        </is>
      </c>
      <c r="AB199" t="inlineStr">
        <is>
          <t>ADN: Har vi ikke
Kan mad advokere for, at en advisering også kan være noget visuelt på sagen? og dermed leve op til kravet? | Red flag: Har vi ikke</t>
        </is>
      </c>
      <c r="AC199" t="inlineStr">
        <is>
          <t>docs/tender-reference/extracted/KK Tender tool.txt; docs/tender-reference/extracted/KUM-SLKS/Bilag 3 - Kravspecifikation.txt; docs/tender-reference/extracted/Nationalbanken/Bilag 3.i Leverandørens Løsningsbeskrivelse.txt</t>
        </is>
      </c>
      <c r="AD199" t="inlineStr">
        <is>
          <t>Owner: Commitment/no-bid beslutning; overvej Q&amp;A til ordregiver.</t>
        </is>
      </c>
      <c r="AE199" t="inlineStr"/>
      <c r="AF199" t="inlineStr">
        <is>
          <t>Draft</t>
        </is>
      </c>
      <c r="AG199" t="inlineStr">
        <is>
          <t>uim-esdh-full-2026-07-07</t>
        </is>
      </c>
    </row>
    <row r="200" ht="80" customHeight="1">
      <c r="A200" s="35" t="n">
        <v>199</v>
      </c>
      <c r="B200" s="35" t="inlineStr">
        <is>
          <t>K-18</t>
        </is>
      </c>
      <c r="C200" s="35" t="inlineStr">
        <is>
          <t>Bilag 1.b</t>
        </is>
      </c>
      <c r="D200" s="35" t="inlineStr">
        <is>
          <t>Forsendelser</t>
        </is>
      </c>
      <c r="E200" s="35" t="inlineStr">
        <is>
          <t>Store forsendelser</t>
        </is>
      </c>
      <c r="F200" s="35" t="inlineStr">
        <is>
          <t>ESDH-løsningen skal understøtte en forsendelsesproces, hvor forsendelsen er større end, hvad der kan sendes i Digital Post. 
ESDH-løsningen skal sikre, at forsendelsen bliver sendt afsted f.eks. i flere mindre forsendelser uden manuel håndtering ved sagsbehandler.</t>
        </is>
      </c>
      <c r="G200" s="35" t="inlineStr">
        <is>
          <t>Krav</t>
        </is>
      </c>
      <c r="H200" s="35">
        <f>IF(G200="Evalueringskrav","Answer",(IF(G200="Krav","Check",(IF(G200="Mindstekrav","Verify","")))))</f>
        <v/>
      </c>
      <c r="I200" s="35" t="inlineStr">
        <is>
          <t>Ja</t>
        </is>
      </c>
      <c r="J200" s="35" t="n"/>
      <c r="K200" s="47" t="n"/>
      <c r="L200" s="35" t="n"/>
      <c r="M200" s="35" t="n"/>
      <c r="N200" s="35" t="n"/>
      <c r="O200" s="35" t="inlineStr">
        <is>
          <t>3. Not able to meet</t>
        </is>
      </c>
      <c r="P200" s="35" t="inlineStr">
        <is>
          <t>TAO: Vi har offentlig link i Online men er ikke adgang on-prem (og er det sikkert nok jf andre krav). Vi kan ikke dele forsendelsen op til mit kendskab.</t>
        </is>
      </c>
      <c r="Q200" s="35" t="n"/>
      <c r="R200" s="35" t="n"/>
      <c r="S200" s="35" t="n"/>
      <c r="T200" s="35" t="n"/>
      <c r="U200" s="35" t="inlineStr">
        <is>
          <t>Not Started</t>
        </is>
      </c>
      <c r="V200" s="37">
        <f>IF(U200="Not Started",0%,IF(U200="Started",50%,IF(U200="Ready for review",70%,IF(U200="Reviewed - Content",80%,IF(U200="Reviewed - Format",90%,IF(U200="Done",100%,""))))))</f>
        <v/>
      </c>
      <c r="W200" t="inlineStr">
        <is>
          <t>2026-07-07</t>
        </is>
      </c>
      <c r="X200" t="inlineStr">
        <is>
          <t>Cursor / tender-response (batch)</t>
        </is>
      </c>
      <c r="Y200" t="inlineStr">
        <is>
          <t>Not met</t>
        </is>
      </c>
      <c r="Z200" t="inlineStr">
        <is>
          <t>Verified</t>
        </is>
      </c>
      <c r="AA200" t="inlineStr">
        <is>
          <t>Check: Store forsendelser — gap ift. kravtekst; eskalér commitment eller afklaring.</t>
        </is>
      </c>
      <c r="AB200" t="inlineStr">
        <is>
          <t>TAO: Vi har offentlig link i Online men er ikke adgang on-prem (og er det sikkert nok jf andre krav). Vi kan ikke dele forsendelsen op til mit kendskab.</t>
        </is>
      </c>
      <c r="AC200" t="inlineStr">
        <is>
          <t>docs/tender-reference/extracted/KK Tender tool.txt; docs/tender-reference/extracted/Nationalbanken/Bilag 3.i Leverandørens Løsningsbeskrivelse.txt; docs/tender-reference/extracted/KUM-SLKS/Bilag 3 - Kravspecifikation.txt</t>
        </is>
      </c>
      <c r="AD200" t="inlineStr">
        <is>
          <t>Owner: Commitment/no-bid beslutning; overvej Q&amp;A til ordregiver.</t>
        </is>
      </c>
      <c r="AE200" t="inlineStr"/>
      <c r="AF200" t="inlineStr">
        <is>
          <t>Draft</t>
        </is>
      </c>
      <c r="AG200" t="inlineStr">
        <is>
          <t>uim-esdh-full-2026-07-07</t>
        </is>
      </c>
    </row>
    <row r="201" ht="80" customHeight="1">
      <c r="A201" s="35" t="n">
        <v>200</v>
      </c>
      <c r="B201" s="35" t="inlineStr">
        <is>
          <t>MK-170</t>
        </is>
      </c>
      <c r="C201" s="35" t="inlineStr">
        <is>
          <t>Bilag 1.b</t>
        </is>
      </c>
      <c r="D201" s="35" t="inlineStr">
        <is>
          <t>Konvertering og datamigrering</t>
        </is>
      </c>
      <c r="E201" s="35" t="inlineStr">
        <is>
          <t>Understøttelse af Kundens datamigrering</t>
        </is>
      </c>
      <c r="F201" s="35" t="inlineStr">
        <is>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is>
      </c>
      <c r="G201" s="35" t="inlineStr">
        <is>
          <t>Mindstekrav</t>
        </is>
      </c>
      <c r="H201" s="35">
        <f>IF(G201="Evalueringskrav","Answer",(IF(G201="Krav","Check",(IF(G201="Mindstekrav","Verify","")))))</f>
        <v/>
      </c>
      <c r="I201" s="35" t="inlineStr">
        <is>
          <t>Ja</t>
        </is>
      </c>
      <c r="J201" s="35" t="n"/>
      <c r="K201" s="47" t="n"/>
      <c r="L201" s="35" t="inlineStr">
        <is>
          <t>Kaare</t>
        </is>
      </c>
      <c r="M201" s="35" t="n"/>
      <c r="N201" s="35" t="n"/>
      <c r="O201" s="35" t="n"/>
      <c r="P201" s="35" t="inlineStr">
        <is>
          <t>ADN: bemærk! vi skal "Understøtte" ikke udfører. Vi skal dog stille "importmekanisme" til rådighed.</t>
        </is>
      </c>
      <c r="Q201" s="35" t="n"/>
      <c r="R201" s="35" t="n"/>
      <c r="S201" s="35" t="n"/>
      <c r="T201" s="35" t="n"/>
      <c r="U201" s="35" t="inlineStr">
        <is>
          <t>Not Started</t>
        </is>
      </c>
      <c r="V201" s="37">
        <f>IF(U201="Not Started",0%,IF(U201="Started",50%,IF(U201="Ready for review",70%,IF(U201="Reviewed - Content",80%,IF(U201="Reviewed - Format",90%,IF(U201="Done",100%,""))))))</f>
        <v/>
      </c>
      <c r="W201" t="inlineStr">
        <is>
          <t>2026-07-07</t>
        </is>
      </c>
      <c r="X201" t="inlineStr">
        <is>
          <t>Cursor / tender-response (batch)</t>
        </is>
      </c>
      <c r="Y201" t="inlineStr">
        <is>
          <t>Clarify</t>
        </is>
      </c>
      <c r="Z201" t="inlineStr">
        <is>
          <t>Verified</t>
        </is>
      </c>
      <c r="AA201" t="inlineStr">
        <is>
          <t>Verify: Understøttelse af Kundens datamigrering — kræver produkt-/team-afklaring (ingen tool-rating).</t>
        </is>
      </c>
      <c r="AB201" t="inlineStr">
        <is>
          <t>ADN: bemærk! vi skal "Understøtte" ikke udfører. Vi skal dog stille "importmekanisme" til rådighed. | Red flag: Ser ikke ud til at F2 er på bordet for udskiftning også</t>
        </is>
      </c>
      <c r="AC201" t="inlineStr">
        <is>
          <t>docs/tender-reference/extracted/Nationalbanken/Bilag 3.i Leverandørens Løsningsbeskrivelse.txt; docs/tender-reference/extracted/KK Tender tool.txt; docs/tender-reference/extracted/KUM-SLKS/Bilag 3 - Kravspecifikation.txt</t>
        </is>
      </c>
      <c r="AD201" t="inlineStr">
        <is>
          <t>Kaare: Udfyld tool-rating (O) og evidens; gennemgå AI-kladde.</t>
        </is>
      </c>
      <c r="AE201" t="inlineStr"/>
      <c r="AF201" t="inlineStr">
        <is>
          <t>Draft</t>
        </is>
      </c>
      <c r="AG201" t="inlineStr">
        <is>
          <t>uim-esdh-full-2026-07-07</t>
        </is>
      </c>
    </row>
    <row r="202" ht="64" customHeight="1">
      <c r="A202" s="35" t="n">
        <v>201</v>
      </c>
      <c r="B202" s="35" t="inlineStr">
        <is>
          <t>MK-171</t>
        </is>
      </c>
      <c r="C202" s="35" t="inlineStr">
        <is>
          <t>Bilag 1.b</t>
        </is>
      </c>
      <c r="D202" s="35" t="inlineStr">
        <is>
          <t>Konvertering og datamigrering</t>
        </is>
      </c>
      <c r="E202" s="35" t="inlineStr">
        <is>
          <t>Nødvendig dokumentation</t>
        </is>
      </c>
      <c r="F202" s="35" t="inlineStr">
        <is>
          <t>Leverandøren skal stille den nødvendige dokumentation, herunder Datamodel, datadefinitioner, metadata, valideringsregler og øvrig tekniske specifikationer, der er nødvendige for planlægning og gennemførelse af migreringen.</t>
        </is>
      </c>
      <c r="G202" s="35" t="inlineStr">
        <is>
          <t>Mindstekrav</t>
        </is>
      </c>
      <c r="H202" s="35">
        <f>IF(G202="Evalueringskrav","Answer",(IF(G202="Krav","Check",(IF(G202="Mindstekrav","Verify","")))))</f>
        <v/>
      </c>
      <c r="I202" s="35" t="inlineStr">
        <is>
          <t>Ja</t>
        </is>
      </c>
      <c r="J202" s="35" t="n"/>
      <c r="K202" s="47" t="n"/>
      <c r="L202" s="35" t="inlineStr">
        <is>
          <t>Kaare</t>
        </is>
      </c>
      <c r="M202" s="35" t="n"/>
      <c r="N202" s="35" t="n"/>
      <c r="O202" s="35" t="n"/>
      <c r="P202" s="35" t="inlineStr">
        <is>
          <t>ADN: COuld this be interpretated so, that customer and hosting partner will do the migration?</t>
        </is>
      </c>
      <c r="Q202" s="35" t="n"/>
      <c r="R202" s="35" t="n"/>
      <c r="S202" s="35" t="n"/>
      <c r="T202" s="35" t="n"/>
      <c r="U202" s="35" t="inlineStr">
        <is>
          <t>Not Started</t>
        </is>
      </c>
      <c r="V202" s="37">
        <f>IF(U202="Not Started",0%,IF(U202="Started",50%,IF(U202="Ready for review",70%,IF(U202="Reviewed - Content",80%,IF(U202="Reviewed - Format",90%,IF(U202="Done",100%,""))))))</f>
        <v/>
      </c>
      <c r="W202" t="inlineStr">
        <is>
          <t>2026-07-07</t>
        </is>
      </c>
      <c r="X202" t="inlineStr">
        <is>
          <t>Cursor / tender-response (batch)</t>
        </is>
      </c>
      <c r="Y202" t="inlineStr">
        <is>
          <t>Clarify</t>
        </is>
      </c>
      <c r="Z202" t="inlineStr">
        <is>
          <t>Verified</t>
        </is>
      </c>
      <c r="AA202" t="inlineStr">
        <is>
          <t>Verify: Nødvendig dokumentation — kræver produkt-/team-afklaring (ingen tool-rating).</t>
        </is>
      </c>
      <c r="AB202" t="inlineStr">
        <is>
          <t>ADN: COuld this be interpretated so, that customer and hosting partner will do the migration?</t>
        </is>
      </c>
      <c r="AC202" t="inlineStr">
        <is>
          <t>docs/tender-reference/extracted/KK Tender tool.txt; docs/tender-reference/extracted/KUM-SLKS/Bilag 1 - Tidsplan.txt; docs/tender-reference/extracted/Nationalbanken/Bilag 3.i Leverandørens Løsningsbeskrivelse.txt</t>
        </is>
      </c>
      <c r="AD202" t="inlineStr">
        <is>
          <t>Kaare: Udfyld tool-rating (O) og evidens; gennemgå AI-kladde.</t>
        </is>
      </c>
      <c r="AE202" t="inlineStr"/>
      <c r="AF202" t="inlineStr">
        <is>
          <t>Draft</t>
        </is>
      </c>
      <c r="AG202" t="inlineStr">
        <is>
          <t>uim-esdh-full-2026-07-07</t>
        </is>
      </c>
    </row>
    <row r="203" ht="64" customHeight="1">
      <c r="A203" s="35" t="n">
        <v>202</v>
      </c>
      <c r="B203" s="35" t="inlineStr">
        <is>
          <t>MK-172</t>
        </is>
      </c>
      <c r="C203" s="35" t="inlineStr">
        <is>
          <t>Bilag 1.b</t>
        </is>
      </c>
      <c r="D203" s="35" t="inlineStr">
        <is>
          <t>Konvertering og datamigrering</t>
        </is>
      </c>
      <c r="E203" s="35" t="inlineStr">
        <is>
          <t>Kortlægning af mapningsregler</t>
        </is>
      </c>
      <c r="F203" s="35" t="inlineStr">
        <is>
          <t>Leverandøren skal bistå med afklaring af kortlægning mellem eksisterende og ny Datamodel, specifikation af indlæsningsformater samt deltage i relevante workshops, planlægning, prøvemigreringer og valideringsaktiviteter. Kunden skal godkende mapningsreglerne.</t>
        </is>
      </c>
      <c r="G203" s="35" t="inlineStr">
        <is>
          <t>Mindstekrav</t>
        </is>
      </c>
      <c r="H203" s="35">
        <f>IF(G203="Evalueringskrav","Answer",(IF(G203="Krav","Check",(IF(G203="Mindstekrav","Verify","")))))</f>
        <v/>
      </c>
      <c r="I203" s="35" t="inlineStr">
        <is>
          <t>Ja</t>
        </is>
      </c>
      <c r="J203" s="35" t="n"/>
      <c r="K203" s="47" t="n"/>
      <c r="L203" s="35" t="inlineStr">
        <is>
          <t>Kaare</t>
        </is>
      </c>
      <c r="M203" s="35" t="n"/>
      <c r="N203" s="35" t="n"/>
      <c r="O203" s="35" t="n"/>
      <c r="P203" s="35" t="n"/>
      <c r="Q203" s="35" t="n"/>
      <c r="R203" s="35" t="n"/>
      <c r="S203" s="35" t="n"/>
      <c r="T203" s="35" t="n"/>
      <c r="U203" s="35" t="inlineStr">
        <is>
          <t>Not Started</t>
        </is>
      </c>
      <c r="V203" s="37">
        <f>IF(U203="Not Started",0%,IF(U203="Started",50%,IF(U203="Ready for review",70%,IF(U203="Reviewed - Content",80%,IF(U203="Reviewed - Format",90%,IF(U203="Done",100%,""))))))</f>
        <v/>
      </c>
      <c r="W203" t="inlineStr">
        <is>
          <t>2026-07-07</t>
        </is>
      </c>
      <c r="X203" t="inlineStr">
        <is>
          <t>Cursor / tender-response (batch)</t>
        </is>
      </c>
      <c r="Y203" t="inlineStr">
        <is>
          <t>Clarify</t>
        </is>
      </c>
      <c r="Z203" t="inlineStr">
        <is>
          <t>Verified</t>
        </is>
      </c>
      <c r="AA203" t="inlineStr">
        <is>
          <t>Verify: Kortlægning af mapningsregler — kræver produkt-/team-afklaring (ingen tool-rating).</t>
        </is>
      </c>
      <c r="AB203" t="inlineStr"/>
      <c r="AC203" t="inlineStr">
        <is>
          <t>docs/tender-reference/extracted/Nationalbanken/Bilag 3.i Leverandørens Løsningsbeskrivelse.txt; docs/tender-reference/extracted/KK Tender tool.txt; docs/tender-reference/extracted/KUM-SLKS/Bilag 1 - Tidsplan.txt</t>
        </is>
      </c>
      <c r="AD203" t="inlineStr">
        <is>
          <t>Kaare: Udfyld tool-rating (O) og evidens; gennemgå AI-kladde.</t>
        </is>
      </c>
      <c r="AE203" t="inlineStr"/>
      <c r="AF203" t="inlineStr">
        <is>
          <t>Draft</t>
        </is>
      </c>
      <c r="AG203" t="inlineStr">
        <is>
          <t>uim-esdh-full-2026-07-07</t>
        </is>
      </c>
    </row>
    <row r="204" ht="48" customHeight="1">
      <c r="A204" s="35" t="n">
        <v>203</v>
      </c>
      <c r="B204" s="35" t="inlineStr">
        <is>
          <t>MK-173</t>
        </is>
      </c>
      <c r="C204" s="35" t="inlineStr">
        <is>
          <t>Bilag 1.b</t>
        </is>
      </c>
      <c r="D204" s="35" t="inlineStr">
        <is>
          <t>Konvertering og datamigrering</t>
        </is>
      </c>
      <c r="E204" s="35" t="inlineStr">
        <is>
          <t>Dokumentation af begrænsninger</t>
        </is>
      </c>
      <c r="F204" s="35" t="inlineStr">
        <is>
          <t>Leverandøren skal dokumentere eventuelle begrænsninger ved import af data, herunder krav til datakvalitet, referentiel integritet og rækkefølge for indlæsning af dataentiteter.</t>
        </is>
      </c>
      <c r="G204" s="35" t="inlineStr">
        <is>
          <t>Mindstekrav</t>
        </is>
      </c>
      <c r="H204" s="35">
        <f>IF(G204="Evalueringskrav","Answer",(IF(G204="Krav","Check",(IF(G204="Mindstekrav","Verify","")))))</f>
        <v/>
      </c>
      <c r="I204" s="35" t="inlineStr">
        <is>
          <t>Ja</t>
        </is>
      </c>
      <c r="J204" s="35" t="n"/>
      <c r="K204" s="47" t="n"/>
      <c r="L204" s="35" t="inlineStr">
        <is>
          <t>Kaare</t>
        </is>
      </c>
      <c r="M204" s="35" t="n"/>
      <c r="N204" s="35" t="n"/>
      <c r="O204" s="35" t="n"/>
      <c r="P204" s="35" t="n"/>
      <c r="Q204" s="35" t="n"/>
      <c r="R204" s="35" t="n"/>
      <c r="S204" s="35" t="n"/>
      <c r="T204" s="35" t="n"/>
      <c r="U204" s="35" t="inlineStr">
        <is>
          <t>Not Started</t>
        </is>
      </c>
      <c r="V204" s="37">
        <f>IF(U204="Not Started",0%,IF(U204="Started",50%,IF(U204="Ready for review",70%,IF(U204="Reviewed - Content",80%,IF(U204="Reviewed - Format",90%,IF(U204="Done",100%,""))))))</f>
        <v/>
      </c>
      <c r="W204" t="inlineStr">
        <is>
          <t>2026-07-07</t>
        </is>
      </c>
      <c r="X204" t="inlineStr">
        <is>
          <t>Cursor / tender-response (batch)</t>
        </is>
      </c>
      <c r="Y204" t="inlineStr">
        <is>
          <t>Clarify</t>
        </is>
      </c>
      <c r="Z204" t="inlineStr">
        <is>
          <t>Verified</t>
        </is>
      </c>
      <c r="AA204" t="inlineStr">
        <is>
          <t>Verify: Dokumentation af begrænsninger — kræver produkt-/team-afklaring (ingen tool-rating).</t>
        </is>
      </c>
      <c r="AB204" t="inlineStr"/>
      <c r="AC204" t="inlineStr">
        <is>
          <t>docs/tender-reference/extracted/KK Tender tool.txt; docs/tender-reference/extracted/Nationalbanken/Bilag 3.i Leverandørens Løsningsbeskrivelse.txt; docs/product/RFP_Leverandørens_svar_utdrag.txt</t>
        </is>
      </c>
      <c r="AD204" t="inlineStr">
        <is>
          <t>Kaare: Udfyld tool-rating (O) og evidens; gennemgå AI-kladde.</t>
        </is>
      </c>
      <c r="AE204" t="inlineStr"/>
      <c r="AF204" t="inlineStr">
        <is>
          <t>Draft</t>
        </is>
      </c>
      <c r="AG204" t="inlineStr">
        <is>
          <t>uim-esdh-full-2026-07-07</t>
        </is>
      </c>
    </row>
    <row r="205" ht="32" customHeight="1">
      <c r="A205" s="35" t="n">
        <v>204</v>
      </c>
      <c r="B205" s="35" t="inlineStr">
        <is>
          <t>MK-174</t>
        </is>
      </c>
      <c r="C205" s="35" t="inlineStr">
        <is>
          <t>Bilag 1.b</t>
        </is>
      </c>
      <c r="D205" s="35" t="inlineStr">
        <is>
          <t>Konvertering og datamigrering</t>
        </is>
      </c>
      <c r="E205" s="35" t="inlineStr">
        <is>
          <t>Konverteringsmiljø</t>
        </is>
      </c>
      <c r="F205" s="35" t="inlineStr">
        <is>
          <t>Leverandøren skal stille et konverteringsmiljø til rådighed hos SIT, hvor Kunden kan gennemføre og validere konverteringen.</t>
        </is>
      </c>
      <c r="G205" s="35" t="inlineStr">
        <is>
          <t>Mindstekrav</t>
        </is>
      </c>
      <c r="H205" s="35">
        <f>IF(G205="Evalueringskrav","Answer",(IF(G205="Krav","Check",(IF(G205="Mindstekrav","Verify","")))))</f>
        <v/>
      </c>
      <c r="I205" s="35" t="inlineStr">
        <is>
          <t>Ja</t>
        </is>
      </c>
      <c r="J205" s="35" t="n"/>
      <c r="K205" s="47" t="n"/>
      <c r="L205" s="35" t="inlineStr">
        <is>
          <t>Kaare</t>
        </is>
      </c>
      <c r="M205" s="35" t="n"/>
      <c r="N205" s="35" t="n"/>
      <c r="O205" s="35" t="n"/>
      <c r="P205" s="35" t="inlineStr">
        <is>
          <t>ADN: Kan vi som leverandør stille et konverteringsmiljø til rådighed hos SIT?</t>
        </is>
      </c>
      <c r="Q205" s="35" t="n"/>
      <c r="R205" s="35" t="n"/>
      <c r="S205" s="35" t="n"/>
      <c r="T205" s="35" t="n"/>
      <c r="U205" s="35" t="inlineStr">
        <is>
          <t>Not Started</t>
        </is>
      </c>
      <c r="V205" s="37">
        <f>IF(U205="Not Started",0%,IF(U205="Started",50%,IF(U205="Ready for review",70%,IF(U205="Reviewed - Content",80%,IF(U205="Reviewed - Format",90%,IF(U205="Done",100%,""))))))</f>
        <v/>
      </c>
      <c r="W205" t="inlineStr">
        <is>
          <t>2026-07-07</t>
        </is>
      </c>
      <c r="X205" t="inlineStr">
        <is>
          <t>Cursor / tender-response (batch)</t>
        </is>
      </c>
      <c r="Y205" t="inlineStr">
        <is>
          <t>Clarify</t>
        </is>
      </c>
      <c r="Z205" t="inlineStr">
        <is>
          <t>Verified</t>
        </is>
      </c>
      <c r="AA205" t="inlineStr">
        <is>
          <t>Verify: Konverteringsmiljø — kræver produkt-/team-afklaring (ingen tool-rating).</t>
        </is>
      </c>
      <c r="AB205" t="inlineStr">
        <is>
          <t>ADN: Kan vi som leverandør stille et konverteringsmiljø til rådighed hos SIT?</t>
        </is>
      </c>
      <c r="AC205"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205" t="inlineStr">
        <is>
          <t>Kaare: Udfyld tool-rating (O) og evidens; gennemgå AI-kladde.</t>
        </is>
      </c>
      <c r="AE205" t="inlineStr"/>
      <c r="AF205" t="inlineStr">
        <is>
          <t>Draft</t>
        </is>
      </c>
      <c r="AG205" t="inlineStr">
        <is>
          <t>uim-esdh-full-2026-07-07</t>
        </is>
      </c>
    </row>
    <row r="206" ht="288" customHeight="1">
      <c r="A206" s="35" t="n">
        <v>205</v>
      </c>
      <c r="B206" s="35" t="inlineStr">
        <is>
          <t>MK-175</t>
        </is>
      </c>
      <c r="C206" s="35" t="inlineStr">
        <is>
          <t>Bilag 1.b</t>
        </is>
      </c>
      <c r="D206" s="35" t="inlineStr">
        <is>
          <t>Miljøer</t>
        </is>
      </c>
      <c r="E206" s="35" t="inlineStr">
        <is>
          <t>Opsætning af miljøer</t>
        </is>
      </c>
      <c r="F206" s="35" t="inlineStr">
        <is>
          <t>Leverandøren skal sikre etablering, Konfiguration og stabil drift af to sikkerhedsmæssigt adskilte miljøer:
NON-PROD: 
Udviklings- og testmiljø: Dette miljø anvendes til udvikling af nye løsninger, hvor Kundens øvrige løsninger skal kunne integrere med ESDH-løsningen. Miljøet anvendes også til udrulning af nye releases, hot fixes m.fl., samt til Kundens interne kvalitetssikring. Miljøet afspejler produktionsmiljøets arkitektur for at sikre retvisende testresultater før udrulning.
PRE-PROD: Dette miljø anvendes til den endelige verifikation før udrulning i PROD. Her gennemføres User Acceptance Test (UAT) samt performance- og release-test i et fuldt spejlet miljø.
Kunden overvejer på sigt at etablerer yderligere non-prod-miljøer hvor ESDH-løsningen ligeledes skal kunne anvendes. 
Produktion:
Produktionsmiljø: Dette miljø udgør det stabile og driftskritiske driftsmiljø, hvor det anvendes til den daglige sagsbehandling. Miljøet er underlagt maksimale krav til oppetid, performance, backup og logning.</t>
        </is>
      </c>
      <c r="G206" s="35" t="inlineStr">
        <is>
          <t>Mindstekrav</t>
        </is>
      </c>
      <c r="H206" s="35">
        <f>IF(G206="Evalueringskrav","Answer",(IF(G206="Krav","Check",(IF(G206="Mindstekrav","Verify","")))))</f>
        <v/>
      </c>
      <c r="I206" s="35" t="inlineStr">
        <is>
          <t>Ja</t>
        </is>
      </c>
      <c r="J206" s="35" t="n"/>
      <c r="K206" s="47" t="n"/>
      <c r="L206" s="35" t="inlineStr">
        <is>
          <t>CloudOps</t>
        </is>
      </c>
      <c r="M206" s="35" t="n"/>
      <c r="N206" s="35" t="n"/>
      <c r="O206" s="35" t="n"/>
      <c r="P206" s="35" t="inlineStr">
        <is>
          <t>Anton: Leverandøren kan vel ikke sikre etablering af miljøer når SIT er driftsleverandør?</t>
        </is>
      </c>
      <c r="Q206" s="35" t="n"/>
      <c r="R206" s="35" t="n"/>
      <c r="S206" s="35" t="n"/>
      <c r="T206" s="35" t="n"/>
      <c r="U206" s="35" t="inlineStr">
        <is>
          <t>Not Started</t>
        </is>
      </c>
      <c r="V206" s="37">
        <f>IF(U206="Not Started",0%,IF(U206="Started",50%,IF(U206="Ready for review",70%,IF(U206="Reviewed - Content",80%,IF(U206="Reviewed - Format",90%,IF(U206="Done",100%,""))))))</f>
        <v/>
      </c>
      <c r="W206" t="inlineStr">
        <is>
          <t>2026-07-07</t>
        </is>
      </c>
      <c r="X206" t="inlineStr">
        <is>
          <t>Cursor / tender-response (batch)</t>
        </is>
      </c>
      <c r="Y206" t="inlineStr">
        <is>
          <t>Clarify</t>
        </is>
      </c>
      <c r="Z206" t="inlineStr">
        <is>
          <t>Verified</t>
        </is>
      </c>
      <c r="AA206" t="inlineStr">
        <is>
          <t>Verify: Opsætning af miljøer — kræver produkt-/team-afklaring (ingen tool-rating).</t>
        </is>
      </c>
      <c r="AB206" t="inlineStr">
        <is>
          <t>Anton: Leverandøren kan vel ikke sikre etablering af miljøer når SIT er driftsleverandør? | Red flag: Leverandøren kan vel ikke sikre etablering af miljøer når SIT er driftsleverandør?</t>
        </is>
      </c>
      <c r="AC206"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06" t="inlineStr">
        <is>
          <t>CloudOps: Udfyld tool-rating (O) og evidens; gennemgå AI-kladde.</t>
        </is>
      </c>
      <c r="AE206" t="inlineStr"/>
      <c r="AF206" t="inlineStr">
        <is>
          <t>Draft</t>
        </is>
      </c>
      <c r="AG206" t="inlineStr">
        <is>
          <t>uim-esdh-full-2026-07-07</t>
        </is>
      </c>
    </row>
    <row r="207" ht="64" customHeight="1">
      <c r="A207" s="35" t="n">
        <v>206</v>
      </c>
      <c r="B207" s="35" t="inlineStr">
        <is>
          <t>MK-176</t>
        </is>
      </c>
      <c r="C207" s="35" t="inlineStr">
        <is>
          <t>Bilag 1.b</t>
        </is>
      </c>
      <c r="D207" s="35" t="inlineStr">
        <is>
          <t>Drift</t>
        </is>
      </c>
      <c r="E207" s="35" t="inlineStr">
        <is>
          <t>Driftsmiljø</t>
        </is>
      </c>
      <c r="F207" s="35" t="inlineStr">
        <is>
          <t>Leverandøren skal sikre, at den tilbudte ESDH-løsning fuldt ud kan etableres, konfigureres og driftes på hos SIT på deres virtualiseringsplatform, med henblik på at opnå maksimal tilgængelighed og oppetid.</t>
        </is>
      </c>
      <c r="G207" s="35" t="inlineStr">
        <is>
          <t>Mindstekrav</t>
        </is>
      </c>
      <c r="H207" s="35">
        <f>IF(G207="Evalueringskrav","Answer",(IF(G207="Krav","Check",(IF(G207="Mindstekrav","Verify","")))))</f>
        <v/>
      </c>
      <c r="I207" s="35" t="inlineStr">
        <is>
          <t>Ja</t>
        </is>
      </c>
      <c r="J207" s="35" t="n"/>
      <c r="K207" s="47" t="n"/>
      <c r="L207" s="35" t="inlineStr">
        <is>
          <t>CloudOps</t>
        </is>
      </c>
      <c r="M207" s="35" t="n"/>
      <c r="N207" s="35" t="n"/>
      <c r="O207" s="35" t="n"/>
      <c r="P207" s="35" t="n"/>
      <c r="Q207" s="35" t="n"/>
      <c r="R207" s="35" t="n"/>
      <c r="S207" s="35" t="n"/>
      <c r="T207" s="35" t="n"/>
      <c r="U207" s="35" t="inlineStr">
        <is>
          <t>Not Started</t>
        </is>
      </c>
      <c r="V207" s="37">
        <f>IF(U207="Not Started",0%,IF(U207="Started",50%,IF(U207="Ready for review",70%,IF(U207="Reviewed - Content",80%,IF(U207="Reviewed - Format",90%,IF(U207="Done",100%,""))))))</f>
        <v/>
      </c>
      <c r="W207" t="inlineStr">
        <is>
          <t>2026-07-07</t>
        </is>
      </c>
      <c r="X207" t="inlineStr">
        <is>
          <t>Cursor / tender-response (batch)</t>
        </is>
      </c>
      <c r="Y207" t="inlineStr">
        <is>
          <t>Clarify</t>
        </is>
      </c>
      <c r="Z207" t="inlineStr">
        <is>
          <t>Verified</t>
        </is>
      </c>
      <c r="AA207" t="inlineStr">
        <is>
          <t>Verify: Driftsmiljø — kræver produkt-/team-afklaring (ingen tool-rating).</t>
        </is>
      </c>
      <c r="AB207" t="inlineStr"/>
      <c r="AC207" t="inlineStr">
        <is>
          <t>docs/tender-reference/extracted/KK Tender tool.txt; docs/product/RFP_Leverandørens_svar_utdrag.txt; docs/tender-reference/extracted/KUM-SLKS/Bilag 3 - Kravspecifikation.txt</t>
        </is>
      </c>
      <c r="AD207" t="inlineStr">
        <is>
          <t>CloudOps: Udfyld tool-rating (O) og evidens; gennemgå AI-kladde.</t>
        </is>
      </c>
      <c r="AE207" t="inlineStr"/>
      <c r="AF207" t="inlineStr">
        <is>
          <t>Draft</t>
        </is>
      </c>
      <c r="AG207" t="inlineStr">
        <is>
          <t>uim-esdh-full-2026-07-07</t>
        </is>
      </c>
    </row>
    <row r="208" ht="80" customHeight="1">
      <c r="A208" s="35" t="n">
        <v>207</v>
      </c>
      <c r="B208" s="35" t="inlineStr">
        <is>
          <t>MK-177</t>
        </is>
      </c>
      <c r="C208" s="35" t="inlineStr">
        <is>
          <t>Bilag 1.b</t>
        </is>
      </c>
      <c r="D208" s="35" t="inlineStr">
        <is>
          <t>Drift</t>
        </is>
      </c>
      <c r="E208" s="35" t="inlineStr">
        <is>
          <t>Driftsmodel</t>
        </is>
      </c>
      <c r="F208" s="35" t="inlineStr">
        <is>
          <t>Leverandøren skal sikre, at ESDH-løsning kan driftes på Driftsmodel 3 (DM3 - Infrastrukturservice) hos Statens IT. Det betyder, at Statens IT har drift og vedligeholdelse for de første fire lag samt ansvar for Kundeoprettelse og pc-klienter i SIT AD. Kunden har ansvar for middleware og applikationsdrift.</t>
        </is>
      </c>
      <c r="G208" s="35" t="inlineStr">
        <is>
          <t>Mindstekrav</t>
        </is>
      </c>
      <c r="H208" s="35">
        <f>IF(G208="Evalueringskrav","Answer",(IF(G208="Krav","Check",(IF(G208="Mindstekrav","Verify","")))))</f>
        <v/>
      </c>
      <c r="I208" s="35" t="inlineStr">
        <is>
          <t>Ja</t>
        </is>
      </c>
      <c r="J208" s="35" t="n"/>
      <c r="K208" s="47" t="n"/>
      <c r="L208" s="35" t="inlineStr">
        <is>
          <t>CloudOps</t>
        </is>
      </c>
      <c r="M208" s="35" t="n"/>
      <c r="N208" s="35" t="n"/>
      <c r="O208" s="35" t="n"/>
      <c r="P208" s="35" t="n"/>
      <c r="Q208" s="35" t="n"/>
      <c r="R208" s="35" t="n"/>
      <c r="S208" s="35" t="n"/>
      <c r="T208" s="35" t="n"/>
      <c r="U208" s="35" t="inlineStr">
        <is>
          <t>Not Started</t>
        </is>
      </c>
      <c r="V208" s="37">
        <f>IF(U208="Not Started",0%,IF(U208="Started",50%,IF(U208="Ready for review",70%,IF(U208="Reviewed - Content",80%,IF(U208="Reviewed - Format",90%,IF(U208="Done",100%,""))))))</f>
        <v/>
      </c>
      <c r="W208" t="inlineStr">
        <is>
          <t>2026-07-07</t>
        </is>
      </c>
      <c r="X208" t="inlineStr">
        <is>
          <t>Cursor / tender-response (batch)</t>
        </is>
      </c>
      <c r="Y208" t="inlineStr">
        <is>
          <t>Clarify</t>
        </is>
      </c>
      <c r="Z208" t="inlineStr">
        <is>
          <t>Verified</t>
        </is>
      </c>
      <c r="AA208" t="inlineStr">
        <is>
          <t>Verify: Driftsmodel — kræver produkt-/team-afklaring (ingen tool-rating).</t>
        </is>
      </c>
      <c r="AB208" t="inlineStr"/>
      <c r="AC208" t="inlineStr">
        <is>
          <t>docs/tender-reference/extracted/Nationalbanken/Bilag 3.i Leverandørens Løsningsbeskrivelse.txt; docs/tender-reference/extracted/NND/02.01-Tieto-Bilag 2-Vedlegg-Leverandørens utfyllende svar til kravtabell.txt; docs/product/RFP_Leverandørens_svar_utdrag.txt</t>
        </is>
      </c>
      <c r="AD208" t="inlineStr">
        <is>
          <t>CloudOps: Udfyld tool-rating (O) og evidens; gennemgå AI-kladde.</t>
        </is>
      </c>
      <c r="AE208" t="inlineStr"/>
      <c r="AF208" t="inlineStr">
        <is>
          <t>Draft</t>
        </is>
      </c>
      <c r="AG208" t="inlineStr">
        <is>
          <t>uim-esdh-full-2026-07-07</t>
        </is>
      </c>
    </row>
    <row r="209" ht="96" customHeight="1">
      <c r="A209" s="35" t="n">
        <v>208</v>
      </c>
      <c r="B209" s="35" t="inlineStr">
        <is>
          <t>MK-178</t>
        </is>
      </c>
      <c r="C209" s="35" t="inlineStr">
        <is>
          <t>Bilag 1.b</t>
        </is>
      </c>
      <c r="D209" s="35" t="inlineStr">
        <is>
          <t>Backup &amp; restore</t>
        </is>
      </c>
      <c r="E209" s="35" t="inlineStr">
        <is>
          <t>Backup &amp; restore</t>
        </is>
      </c>
      <c r="F209" s="35" t="inlineStr">
        <is>
          <t>Leverandøren skal levere præcise procedurer og dokumentation for, hvordan en eventuel applikationsnær restore udføres. Da den generelle infrastruktur-backup varetages på SIT’s virtualiseringsplatform, skal Leverandøren sikre de nødvendige tekniske vejledninger og anvisninger, så applikationsdata, databaser og Konfigurationer kan genskabes fejlfrit og bringes i stabil drift efter et eventuelt nedbrud.</t>
        </is>
      </c>
      <c r="G209" s="35" t="inlineStr">
        <is>
          <t>Mindstekrav</t>
        </is>
      </c>
      <c r="H209" s="35">
        <f>IF(G209="Evalueringskrav","Answer",(IF(G209="Krav","Check",(IF(G209="Mindstekrav","Verify","")))))</f>
        <v/>
      </c>
      <c r="I209" s="35" t="inlineStr">
        <is>
          <t>Ja</t>
        </is>
      </c>
      <c r="J209" s="35" t="n"/>
      <c r="K209" s="47" t="n"/>
      <c r="L209" s="35" t="inlineStr">
        <is>
          <t>CloudOps</t>
        </is>
      </c>
      <c r="M209" s="35" t="n"/>
      <c r="N209" s="35" t="n"/>
      <c r="O209" s="35" t="n"/>
      <c r="P209" s="35" t="n"/>
      <c r="Q209" s="35" t="n"/>
      <c r="R209" s="35" t="n"/>
      <c r="S209" s="35" t="n"/>
      <c r="T209" s="35" t="n"/>
      <c r="U209" s="35" t="inlineStr">
        <is>
          <t>Not Started</t>
        </is>
      </c>
      <c r="V209" s="37">
        <f>IF(U209="Not Started",0%,IF(U209="Started",50%,IF(U209="Ready for review",70%,IF(U209="Reviewed - Content",80%,IF(U209="Reviewed - Format",90%,IF(U209="Done",100%,""))))))</f>
        <v/>
      </c>
      <c r="W209" t="inlineStr">
        <is>
          <t>2026-07-07</t>
        </is>
      </c>
      <c r="X209" t="inlineStr">
        <is>
          <t>Cursor / tender-response (batch)</t>
        </is>
      </c>
      <c r="Y209" t="inlineStr">
        <is>
          <t>Clarify</t>
        </is>
      </c>
      <c r="Z209" t="inlineStr">
        <is>
          <t>Verified</t>
        </is>
      </c>
      <c r="AA209" t="inlineStr">
        <is>
          <t>Verify: Backup &amp; restore — kræver produkt-/team-afklaring (ingen tool-rating).</t>
        </is>
      </c>
      <c r="AB209" t="inlineStr"/>
      <c r="AC209" t="inlineStr">
        <is>
          <t>docs/tender-reference/extracted/KK Tender tool.txt; docs/tender-reference/extracted/Nationalbanken/Bilag 3.i Leverandørens Løsningsbeskrivelse.txt; docs/product/RFP_Leverandørens_svar_utdrag.txt</t>
        </is>
      </c>
      <c r="AD209" t="inlineStr">
        <is>
          <t>CloudOps: Udfyld tool-rating (O) og evidens; gennemgå AI-kladde.</t>
        </is>
      </c>
      <c r="AE209" t="inlineStr"/>
      <c r="AF209" t="inlineStr">
        <is>
          <t>Draft</t>
        </is>
      </c>
      <c r="AG209" t="inlineStr">
        <is>
          <t>uim-esdh-full-2026-07-07</t>
        </is>
      </c>
    </row>
    <row r="210" ht="48" customHeight="1">
      <c r="A210" s="35" t="n">
        <v>209</v>
      </c>
      <c r="B210" s="35" t="inlineStr">
        <is>
          <t>MK-179</t>
        </is>
      </c>
      <c r="C210" s="35" t="inlineStr">
        <is>
          <t>Bilag 1.b</t>
        </is>
      </c>
      <c r="D210" s="35" t="inlineStr">
        <is>
          <t>Backup &amp; restore</t>
        </is>
      </c>
      <c r="E210" s="35" t="inlineStr">
        <is>
          <t>Brugervejledning</t>
        </is>
      </c>
      <c r="F210" s="35" t="inlineStr">
        <is>
          <t>ESDH-løsningen skal understøtte danske brugervejledninger. Brugervejledningerne skal automatisk opdateres af Leverandøren i forbindelse med nye versioner af Løsningen.</t>
        </is>
      </c>
      <c r="G210" s="35" t="inlineStr">
        <is>
          <t>Mindstekrav</t>
        </is>
      </c>
      <c r="H210" s="35">
        <f>IF(G210="Evalueringskrav","Answer",(IF(G210="Krav","Check",(IF(G210="Mindstekrav","Verify","")))))</f>
        <v/>
      </c>
      <c r="I210" s="35" t="inlineStr">
        <is>
          <t>Ja</t>
        </is>
      </c>
      <c r="J210" s="35" t="n"/>
      <c r="K210" s="47" t="n"/>
      <c r="L210" s="35" t="inlineStr">
        <is>
          <t>Anton</t>
        </is>
      </c>
      <c r="M210" s="35" t="n"/>
      <c r="N210" s="35" t="n"/>
      <c r="O210" s="35" t="inlineStr">
        <is>
          <t>1. Fully met</t>
        </is>
      </c>
      <c r="P210" s="35" t="inlineStr">
        <is>
          <t>Adn: Onlinehjælp</t>
        </is>
      </c>
      <c r="Q210" s="35" t="n"/>
      <c r="R210" s="35" t="n"/>
      <c r="S210" s="35" t="n"/>
      <c r="T210" s="35" t="n"/>
      <c r="U210" s="35" t="inlineStr">
        <is>
          <t>Not Started</t>
        </is>
      </c>
      <c r="V210" s="37">
        <f>IF(U210="Not Started",0%,IF(U210="Started",50%,IF(U210="Ready for review",70%,IF(U210="Reviewed - Content",80%,IF(U210="Reviewed - Format",90%,IF(U210="Done",100%,""))))))</f>
        <v/>
      </c>
      <c r="W210" t="inlineStr">
        <is>
          <t>2026-07-07</t>
        </is>
      </c>
      <c r="X210" t="inlineStr">
        <is>
          <t>Cursor / tender-response (batch)</t>
        </is>
      </c>
      <c r="Y210" t="inlineStr">
        <is>
          <t>Met</t>
        </is>
      </c>
      <c r="Z210" t="inlineStr">
        <is>
          <t>Verified</t>
        </is>
      </c>
      <c r="AA210" t="inlineStr">
        <is>
          <t>Verify: Brugervejledning — vurderet opfyldt (tool: 1. Fully met).</t>
        </is>
      </c>
      <c r="AB210" t="inlineStr">
        <is>
          <t>Adn: Onlinehjælp</t>
        </is>
      </c>
      <c r="AC210" t="inlineStr">
        <is>
          <t>docs/tender-reference/extracted/Nationalbanken/Bilag 3.i Leverandørens Løsningsbeskrivelse.txt; docs/tender-reference/extracted/KK Tender tool.txt; docs/tender-reference/extracted/KUM-SLKS/Bilag 3 - Kravspecifikation.txt</t>
        </is>
      </c>
      <c r="AD210" t="inlineStr">
        <is>
          <t>Anton: Confirm verify-tekst; opdatér review status efter tjek.</t>
        </is>
      </c>
      <c r="AE210" t="inlineStr"/>
      <c r="AF210" t="inlineStr">
        <is>
          <t>Draft</t>
        </is>
      </c>
      <c r="AG210" t="inlineStr">
        <is>
          <t>uim-esdh-full-2026-07-07</t>
        </is>
      </c>
    </row>
    <row r="211" ht="64" customHeight="1">
      <c r="A211" s="35" t="n">
        <v>210</v>
      </c>
      <c r="B211" s="35" t="inlineStr">
        <is>
          <t>MK-180</t>
        </is>
      </c>
      <c r="C211" s="35" t="inlineStr">
        <is>
          <t>Bilag 1.b</t>
        </is>
      </c>
      <c r="D211" s="35" t="inlineStr">
        <is>
          <t>Backup &amp; restore</t>
        </is>
      </c>
      <c r="E211" s="35" t="inlineStr">
        <is>
          <t>Brugervejledning fra brugergrænsefladen</t>
        </is>
      </c>
      <c r="F211" s="35" t="inlineStr">
        <is>
          <t>ESDH-løsningen skal understøtte, at Brugeren kan tilgå brugervejledningen direkte fra brugergrænsefladen.</t>
        </is>
      </c>
      <c r="G211" s="35" t="inlineStr">
        <is>
          <t>Mindstekrav</t>
        </is>
      </c>
      <c r="H211" s="35">
        <f>IF(G211="Evalueringskrav","Answer",(IF(G211="Krav","Check",(IF(G211="Mindstekrav","Verify","")))))</f>
        <v/>
      </c>
      <c r="I211" s="35" t="inlineStr">
        <is>
          <t>Ja</t>
        </is>
      </c>
      <c r="J211" s="35" t="n"/>
      <c r="K211" s="47" t="n"/>
      <c r="L211" s="35" t="inlineStr">
        <is>
          <t>Anton</t>
        </is>
      </c>
      <c r="M211" s="35" t="n"/>
      <c r="N211" s="35" t="n"/>
      <c r="O211" s="35" t="inlineStr">
        <is>
          <t>1. Fully met</t>
        </is>
      </c>
      <c r="P211" s="35" t="inlineStr">
        <is>
          <t>Adn: Onlinehjælp</t>
        </is>
      </c>
      <c r="Q211" s="35" t="n"/>
      <c r="R211" s="35" t="n"/>
      <c r="S211" s="35" t="n"/>
      <c r="T211" s="35" t="n"/>
      <c r="U211" s="35" t="inlineStr">
        <is>
          <t>Not Started</t>
        </is>
      </c>
      <c r="V211" s="37">
        <f>IF(U211="Not Started",0%,IF(U211="Started",50%,IF(U211="Ready for review",70%,IF(U211="Reviewed - Content",80%,IF(U211="Reviewed - Format",90%,IF(U211="Done",100%,""))))))</f>
        <v/>
      </c>
      <c r="W211" t="inlineStr">
        <is>
          <t>2026-07-07</t>
        </is>
      </c>
      <c r="X211" t="inlineStr">
        <is>
          <t>Cursor / tender-response (batch)</t>
        </is>
      </c>
      <c r="Y211" t="inlineStr">
        <is>
          <t>Met</t>
        </is>
      </c>
      <c r="Z211" t="inlineStr">
        <is>
          <t>Verified</t>
        </is>
      </c>
      <c r="AA211" t="inlineStr">
        <is>
          <t>Verify: Brugervejledning fra brugergrænsefladen — vurderet opfyldt (tool: 1. Fully met).</t>
        </is>
      </c>
      <c r="AB211" t="inlineStr">
        <is>
          <t>Adn: Onlinehjælp</t>
        </is>
      </c>
      <c r="AC211" t="inlineStr">
        <is>
          <t>docs/tender-reference/extracted/KUM-SLKS/Bilag 3 - Kravspecifikation.txt; docs/tender-reference/extracted/Nationalbanken/Bilag 3.i Leverandørens Løsningsbeskrivelse.txt; docs/tender-reference/extracted/KK Tender tool.txt</t>
        </is>
      </c>
      <c r="AD211" t="inlineStr">
        <is>
          <t>Anton: Confirm verify-tekst; opdatér review status efter tjek.</t>
        </is>
      </c>
      <c r="AE211" t="inlineStr"/>
      <c r="AF211" t="inlineStr">
        <is>
          <t>Draft</t>
        </is>
      </c>
      <c r="AG211" t="inlineStr">
        <is>
          <t>uim-esdh-full-2026-07-07</t>
        </is>
      </c>
    </row>
    <row r="212" ht="48" customHeight="1">
      <c r="A212" s="35" t="n">
        <v>211</v>
      </c>
      <c r="B212" s="35" t="inlineStr">
        <is>
          <t>MK-181</t>
        </is>
      </c>
      <c r="C212" s="35" t="inlineStr">
        <is>
          <t>Bilag 1.b</t>
        </is>
      </c>
      <c r="D212" s="35" t="inlineStr">
        <is>
          <t>Backup &amp; restore</t>
        </is>
      </c>
      <c r="E212" s="35" t="inlineStr">
        <is>
          <t>Sprog</t>
        </is>
      </c>
      <c r="F212" s="35" t="inlineStr">
        <is>
          <t>ESDH-løsningen skal understøtte alt dokumentationen på dansk, foruden den tekniske dokumentation, medmindre andet aftales.</t>
        </is>
      </c>
      <c r="G212" s="35" t="inlineStr">
        <is>
          <t>Mindstekrav</t>
        </is>
      </c>
      <c r="H212" s="35">
        <f>IF(G212="Evalueringskrav","Answer",(IF(G212="Krav","Check",(IF(G212="Mindstekrav","Verify","")))))</f>
        <v/>
      </c>
      <c r="I212" s="35" t="inlineStr">
        <is>
          <t>Ja</t>
        </is>
      </c>
      <c r="J212" s="35" t="n"/>
      <c r="K212" s="47" t="n"/>
      <c r="L212" s="35" t="inlineStr">
        <is>
          <t>Anton</t>
        </is>
      </c>
      <c r="M212" s="35" t="n"/>
      <c r="N212" s="35" t="n"/>
      <c r="O212" s="35" t="inlineStr">
        <is>
          <t>2. Partly met</t>
        </is>
      </c>
      <c r="P212" s="35" t="inlineStr">
        <is>
          <t>Adn: Kan vi argumentere for, at admin-hjælpen er teknisk? - hvis vi kan, kan vi sige fuldt opfyldt.</t>
        </is>
      </c>
      <c r="Q212" s="35" t="n"/>
      <c r="R212" s="35" t="n"/>
      <c r="S212" s="35" t="n"/>
      <c r="T212" s="35" t="n"/>
      <c r="U212" s="35" t="inlineStr">
        <is>
          <t>Not Started</t>
        </is>
      </c>
      <c r="V212" s="37">
        <f>IF(U212="Not Started",0%,IF(U212="Started",50%,IF(U212="Ready for review",70%,IF(U212="Reviewed - Content",80%,IF(U212="Reviewed - Format",90%,IF(U212="Done",100%,""))))))</f>
        <v/>
      </c>
      <c r="W212" t="inlineStr">
        <is>
          <t>2026-07-07</t>
        </is>
      </c>
      <c r="X212" t="inlineStr">
        <is>
          <t>Cursor / tender-response (batch)</t>
        </is>
      </c>
      <c r="Y212" t="inlineStr">
        <is>
          <t>Partial</t>
        </is>
      </c>
      <c r="Z212" t="inlineStr">
        <is>
          <t>Lead</t>
        </is>
      </c>
      <c r="AA212" t="inlineStr">
        <is>
          <t>Verify: Sprog — delvist opfyldt; afklar scope og scoring.</t>
        </is>
      </c>
      <c r="AB212" t="inlineStr">
        <is>
          <t>Adn: Kan vi argumentere for, at admin-hjælpen er teknisk? - hvis vi kan, kan vi sige fuldt opfyldt.</t>
        </is>
      </c>
      <c r="AC212" t="inlineStr">
        <is>
          <t>docs/tender-reference/extracted/Nationalbanken/Bilag 3.i Leverandørens Løsningsbeskrivelse.txt; docs/tender-reference/extracted/KK Tender tool.txt; docs/tender-reference/extracted/Nationalbanken/Bilag 1.i Leverandørens Løsningsbeskrivelse.txt</t>
        </is>
      </c>
      <c r="AD212" t="inlineStr">
        <is>
          <t>Anton: Afklar delkrav; align tool-rating (O) med AI compliance.</t>
        </is>
      </c>
      <c r="AE212" t="inlineStr"/>
      <c r="AF212" t="inlineStr">
        <is>
          <t>Draft</t>
        </is>
      </c>
      <c r="AG212" t="inlineStr">
        <is>
          <t>uim-esdh-full-2026-07-07</t>
        </is>
      </c>
    </row>
    <row r="213" ht="32" customHeight="1">
      <c r="A213" s="35" t="n">
        <v>212</v>
      </c>
      <c r="B213" s="35" t="inlineStr">
        <is>
          <t>MK-182</t>
        </is>
      </c>
      <c r="C213" s="35" t="inlineStr">
        <is>
          <t>Bilag 1.b</t>
        </is>
      </c>
      <c r="D213" s="35" t="inlineStr">
        <is>
          <t>Backup &amp; restore</t>
        </is>
      </c>
      <c r="E213" s="35" t="inlineStr">
        <is>
          <t>Step by step vejledninger</t>
        </is>
      </c>
      <c r="F213" s="35" t="inlineStr">
        <is>
          <t>ESDH-løsningen skal understøtte, at brugervejledningerne præsenteres som step by step vejledninger.</t>
        </is>
      </c>
      <c r="G213" s="35" t="inlineStr">
        <is>
          <t>Mindstekrav</t>
        </is>
      </c>
      <c r="H213" s="35">
        <f>IF(G213="Evalueringskrav","Answer",(IF(G213="Krav","Check",(IF(G213="Mindstekrav","Verify","")))))</f>
        <v/>
      </c>
      <c r="I213" s="35" t="inlineStr">
        <is>
          <t>Ja</t>
        </is>
      </c>
      <c r="J213" s="35" t="n"/>
      <c r="K213" s="47" t="n"/>
      <c r="L213" s="35" t="inlineStr">
        <is>
          <t>Anton</t>
        </is>
      </c>
      <c r="M213" s="35" t="n"/>
      <c r="N213" s="35" t="n"/>
      <c r="O213" s="35" t="inlineStr">
        <is>
          <t>1. Fully met</t>
        </is>
      </c>
      <c r="P213" s="35" t="n"/>
      <c r="Q213" s="35" t="n"/>
      <c r="R213" s="35" t="n"/>
      <c r="S213" s="35" t="n"/>
      <c r="T213" s="35" t="n"/>
      <c r="U213" s="35" t="inlineStr">
        <is>
          <t>Not Started</t>
        </is>
      </c>
      <c r="V213" s="37">
        <f>IF(U213="Not Started",0%,IF(U213="Started",50%,IF(U213="Ready for review",70%,IF(U213="Reviewed - Content",80%,IF(U213="Reviewed - Format",90%,IF(U213="Done",100%,""))))))</f>
        <v/>
      </c>
      <c r="W213" t="inlineStr">
        <is>
          <t>2026-07-07</t>
        </is>
      </c>
      <c r="X213" t="inlineStr">
        <is>
          <t>Cursor / tender-response (batch)</t>
        </is>
      </c>
      <c r="Y213" t="inlineStr">
        <is>
          <t>Met</t>
        </is>
      </c>
      <c r="Z213" t="inlineStr">
        <is>
          <t>Verified</t>
        </is>
      </c>
      <c r="AA213" t="inlineStr">
        <is>
          <t>Verify: Step by step vejledninger — vurderet opfyldt (tool: 1. Fully met).</t>
        </is>
      </c>
      <c r="AB213" t="inlineStr"/>
      <c r="AC213" t="inlineStr">
        <is>
          <t>docs/tender-reference/extracted/Nationalbanken/Bilag 3.i Leverandørens Løsningsbeskrivelse.txt; docs/tender-reference/extracted/KK Tender tool.txt; docs/tender-reference/extracted/Nationalbanken/Bilag 1.i Leverandørens Løsningsbeskrivelse.txt</t>
        </is>
      </c>
      <c r="AD213" t="inlineStr">
        <is>
          <t>Anton: Confirm verify-tekst; opdatér review status efter tjek.</t>
        </is>
      </c>
      <c r="AE213" t="inlineStr"/>
      <c r="AF213" t="inlineStr">
        <is>
          <t>Draft</t>
        </is>
      </c>
      <c r="AG213" t="inlineStr">
        <is>
          <t>uim-esdh-full-2026-07-07</t>
        </is>
      </c>
    </row>
    <row r="214" ht="48" customHeight="1">
      <c r="A214" s="35" t="n">
        <v>213</v>
      </c>
      <c r="B214" s="35" t="inlineStr">
        <is>
          <t>MK-183</t>
        </is>
      </c>
      <c r="C214" s="35" t="inlineStr">
        <is>
          <t>Bilag 1.b</t>
        </is>
      </c>
      <c r="D214" s="35" t="inlineStr">
        <is>
          <t>Backup &amp; restore</t>
        </is>
      </c>
      <c r="E214" s="35" t="inlineStr">
        <is>
          <t>Opdatering af dokumentation</t>
        </is>
      </c>
      <c r="F214" s="35" t="inlineStr">
        <is>
          <t>ESDH-løsningen skal understøtte opdateret dokumentation, herunder releasenotes, forud for installation af en opgradering af ESDH-løsningen i testmiljøet.</t>
        </is>
      </c>
      <c r="G214" s="35" t="inlineStr">
        <is>
          <t>Mindstekrav</t>
        </is>
      </c>
      <c r="H214" s="35">
        <f>IF(G214="Evalueringskrav","Answer",(IF(G214="Krav","Check",(IF(G214="Mindstekrav","Verify","")))))</f>
        <v/>
      </c>
      <c r="I214" s="35" t="inlineStr">
        <is>
          <t>Ja</t>
        </is>
      </c>
      <c r="J214" s="35" t="n"/>
      <c r="K214" s="47" t="n"/>
      <c r="L214" s="35" t="inlineStr">
        <is>
          <t>Anton</t>
        </is>
      </c>
      <c r="M214" s="35" t="n"/>
      <c r="N214" s="35" t="n"/>
      <c r="O214" s="35" t="inlineStr">
        <is>
          <t>1. Fully met</t>
        </is>
      </c>
      <c r="P214" s="35" t="n"/>
      <c r="Q214" s="35" t="n"/>
      <c r="R214" s="35" t="n"/>
      <c r="S214" s="35" t="n"/>
      <c r="T214" s="35" t="n"/>
      <c r="U214" s="35" t="inlineStr">
        <is>
          <t>Not Started</t>
        </is>
      </c>
      <c r="V214" s="37">
        <f>IF(U214="Not Started",0%,IF(U214="Started",50%,IF(U214="Ready for review",70%,IF(U214="Reviewed - Content",80%,IF(U214="Reviewed - Format",90%,IF(U214="Done",100%,""))))))</f>
        <v/>
      </c>
      <c r="W214" t="inlineStr">
        <is>
          <t>2026-07-07</t>
        </is>
      </c>
      <c r="X214" t="inlineStr">
        <is>
          <t>Cursor / tender-response (batch)</t>
        </is>
      </c>
      <c r="Y214" t="inlineStr">
        <is>
          <t>Met</t>
        </is>
      </c>
      <c r="Z214" t="inlineStr">
        <is>
          <t>Verified</t>
        </is>
      </c>
      <c r="AA214" t="inlineStr">
        <is>
          <t>Verify: Opdatering af dokumentation — vurderet opfyldt (tool: 1. Fully met).</t>
        </is>
      </c>
      <c r="AB214" t="inlineStr"/>
      <c r="AC214" t="inlineStr">
        <is>
          <t>docs/tender-reference/extracted/Nationalbanken/Bilag 1.i Leverandørens Løsningsbeskrivelse.txt; docs/tender-reference/extracted/Nationalbanken/Bilag 3.i Leverandørens Løsningsbeskrivelse.txt; docs/tender-reference/extracted/KK Tender tool.txt</t>
        </is>
      </c>
      <c r="AD214" t="inlineStr">
        <is>
          <t>Anton: Confirm verify-tekst; opdatér review status efter tjek.</t>
        </is>
      </c>
      <c r="AE214" t="inlineStr"/>
      <c r="AF214" t="inlineStr">
        <is>
          <t>Draft</t>
        </is>
      </c>
      <c r="AG214" t="inlineStr">
        <is>
          <t>uim-esdh-full-2026-07-07</t>
        </is>
      </c>
    </row>
    <row r="215" ht="64" customHeight="1">
      <c r="A215" s="35" t="n">
        <v>214</v>
      </c>
      <c r="B215" s="35" t="inlineStr">
        <is>
          <t>MK-184</t>
        </is>
      </c>
      <c r="C215" s="35" t="inlineStr">
        <is>
          <t>Bilag 1.b</t>
        </is>
      </c>
      <c r="D215" s="35" t="inlineStr">
        <is>
          <t>Backup &amp; restore</t>
        </is>
      </c>
      <c r="E215" s="35" t="inlineStr">
        <is>
          <t>Administratorvejledning</t>
        </is>
      </c>
      <c r="F215" s="35" t="inlineStr">
        <is>
          <t>ESDH-løsningen skal understøtte en administratorvejledning, der på en brugervenlig måde beskriver, hvordan ESDH-løsningen administreres. Vejledningen skal give Administratoren den nødvendige viden til at kunne administrere og konfigurere Løsningen.</t>
        </is>
      </c>
      <c r="G215" s="35" t="inlineStr">
        <is>
          <t>Mindstekrav</t>
        </is>
      </c>
      <c r="H215" s="35">
        <f>IF(G215="Evalueringskrav","Answer",(IF(G215="Krav","Check",(IF(G215="Mindstekrav","Verify","")))))</f>
        <v/>
      </c>
      <c r="I215" s="35" t="inlineStr">
        <is>
          <t>Ja</t>
        </is>
      </c>
      <c r="J215" s="35" t="n"/>
      <c r="K215" s="47" t="n"/>
      <c r="L215" s="35" t="inlineStr">
        <is>
          <t>Anton</t>
        </is>
      </c>
      <c r="M215" s="35" t="n"/>
      <c r="N215" s="35" t="n"/>
      <c r="O215" s="35" t="inlineStr">
        <is>
          <t>1. Fully met</t>
        </is>
      </c>
      <c r="P215" s="35" t="n"/>
      <c r="Q215" s="35" t="n"/>
      <c r="R215" s="35" t="n"/>
      <c r="S215" s="35" t="n"/>
      <c r="T215" s="35" t="n"/>
      <c r="U215" s="35" t="inlineStr">
        <is>
          <t>Not Started</t>
        </is>
      </c>
      <c r="V215" s="37">
        <f>IF(U215="Not Started",0%,IF(U215="Started",50%,IF(U215="Ready for review",70%,IF(U215="Reviewed - Content",80%,IF(U215="Reviewed - Format",90%,IF(U215="Done",100%,""))))))</f>
        <v/>
      </c>
      <c r="W215" t="inlineStr">
        <is>
          <t>2026-07-07</t>
        </is>
      </c>
      <c r="X215" t="inlineStr">
        <is>
          <t>Cursor / tender-response (batch)</t>
        </is>
      </c>
      <c r="Y215" t="inlineStr">
        <is>
          <t>Met</t>
        </is>
      </c>
      <c r="Z215" t="inlineStr">
        <is>
          <t>Verified</t>
        </is>
      </c>
      <c r="AA215" t="inlineStr">
        <is>
          <t>Verify: Administratorvejledning — vurderet opfyldt (tool: 1. Fully met).</t>
        </is>
      </c>
      <c r="AB215" t="inlineStr"/>
      <c r="AC215" t="inlineStr">
        <is>
          <t>docs/tender-reference/extracted/Nationalbanken/Bilag 3.i Leverandørens Løsningsbeskrivelse.txt; docs/product/RFP_Leverandørens_svar_utdrag.txt; docs/tender-reference/extracted/HSØ/02.00-Tietoevry-SSA-L-Bilag 2-Leverandørens beskrivelse av Tjenesten.txt</t>
        </is>
      </c>
      <c r="AD215" t="inlineStr">
        <is>
          <t>Anton: Confirm verify-tekst; opdatér review status efter tjek.</t>
        </is>
      </c>
      <c r="AE215" t="inlineStr"/>
      <c r="AF215" t="inlineStr">
        <is>
          <t>Draft</t>
        </is>
      </c>
      <c r="AG215" t="inlineStr">
        <is>
          <t>uim-esdh-full-2026-07-07</t>
        </is>
      </c>
    </row>
    <row r="216" ht="80" customHeight="1">
      <c r="A216" s="35" t="n">
        <v>215</v>
      </c>
      <c r="B216" s="35" t="inlineStr">
        <is>
          <t>MK-185</t>
        </is>
      </c>
      <c r="C216" s="35" t="inlineStr">
        <is>
          <t>Bilag 1.b</t>
        </is>
      </c>
      <c r="D216" s="35" t="inlineStr">
        <is>
          <t>Backup &amp; restore</t>
        </is>
      </c>
      <c r="E216" s="35" t="inlineStr">
        <is>
          <t>Dokumentation af API</t>
        </is>
      </c>
      <c r="F216" s="35" t="inlineStr">
        <is>
          <t>ESDH-løsningen skal understøtte dokumentation af ESDH-løsningens API. Det indebærer, at der foreligger dokumentation for API’ets funktionalitet, tilgængelige endepunkter, autorisationskrav, datatyper og fejlmeddelelser, så Kunden kan lave egne integrationer uden involvering af Leverandøren.</t>
        </is>
      </c>
      <c r="G216" s="35" t="inlineStr">
        <is>
          <t>Mindstekrav</t>
        </is>
      </c>
      <c r="H216" s="35">
        <f>IF(G216="Evalueringskrav","Answer",(IF(G216="Krav","Check",(IF(G216="Mindstekrav","Verify","")))))</f>
        <v/>
      </c>
      <c r="I216" s="35" t="inlineStr">
        <is>
          <t>Ja</t>
        </is>
      </c>
      <c r="J216" s="35" t="n"/>
      <c r="K216" s="47" t="n"/>
      <c r="L216" s="35" t="inlineStr">
        <is>
          <t>Anton</t>
        </is>
      </c>
      <c r="M216" s="35" t="n"/>
      <c r="N216" s="35" t="n"/>
      <c r="O216" s="35" t="inlineStr">
        <is>
          <t>1. Fully met</t>
        </is>
      </c>
      <c r="P216" s="35" t="n"/>
      <c r="Q216" s="35" t="n"/>
      <c r="R216" s="35" t="n"/>
      <c r="S216" s="35" t="n"/>
      <c r="T216" s="35" t="n"/>
      <c r="U216" s="35" t="inlineStr">
        <is>
          <t>Not Started</t>
        </is>
      </c>
      <c r="V216" s="37">
        <f>IF(U216="Not Started",0%,IF(U216="Started",50%,IF(U216="Ready for review",70%,IF(U216="Reviewed - Content",80%,IF(U216="Reviewed - Format",90%,IF(U216="Done",100%,""))))))</f>
        <v/>
      </c>
      <c r="W216" t="inlineStr">
        <is>
          <t>2026-07-07</t>
        </is>
      </c>
      <c r="X216" t="inlineStr">
        <is>
          <t>Cursor / tender-response (batch)</t>
        </is>
      </c>
      <c r="Y216" t="inlineStr">
        <is>
          <t>Met</t>
        </is>
      </c>
      <c r="Z216" t="inlineStr">
        <is>
          <t>Verified</t>
        </is>
      </c>
      <c r="AA216" t="inlineStr">
        <is>
          <t>Verify: Dokumentation af API — vurderet opfyldt (tool: 1. Fully met).</t>
        </is>
      </c>
      <c r="AB216" t="inlineStr"/>
      <c r="AC216" t="inlineStr">
        <is>
          <t>docs/tender-reference/extracted/KK Tender tool.txt; docs/tender-reference/extracted/KUM-SLKS/Bilag 3 - Kravspecifikation.txt; docs/tender-reference/extracted/Nationalbanken/Bilag 3.i Leverandørens Løsningsbeskrivelse.txt</t>
        </is>
      </c>
      <c r="AD216" t="inlineStr">
        <is>
          <t>Anton: Confirm verify-tekst; opdatér review status efter tjek.</t>
        </is>
      </c>
      <c r="AE216" t="inlineStr"/>
      <c r="AF216" t="inlineStr">
        <is>
          <t>Draft</t>
        </is>
      </c>
      <c r="AG216" t="inlineStr">
        <is>
          <t>uim-esdh-full-2026-07-07</t>
        </is>
      </c>
    </row>
    <row r="217" ht="64" customHeight="1">
      <c r="A217" s="35" t="n">
        <v>216</v>
      </c>
      <c r="B217" s="35" t="inlineStr">
        <is>
          <t>MK-186</t>
        </is>
      </c>
      <c r="C217" s="35" t="inlineStr">
        <is>
          <t>Bilag 1.b</t>
        </is>
      </c>
      <c r="D217" s="35" t="inlineStr">
        <is>
          <t>Backup &amp; restore</t>
        </is>
      </c>
      <c r="E217" s="35" t="inlineStr">
        <is>
          <t>Hypercare</t>
        </is>
      </c>
      <c r="F217" s="35" t="inlineStr">
        <is>
          <t>Leverandøren skal yde hypercare i forbindelse med Overtagelsesdagen for Løsningen. Hypercare skal bestå af et dedikeret supportteam, der står til rådighed i Arbejdstiden (kl. 08.00-16.00) til at håndtere og løse fejl af både funktionel og teknisk karakter.</t>
        </is>
      </c>
      <c r="G217" s="35" t="inlineStr">
        <is>
          <t>Mindstekrav</t>
        </is>
      </c>
      <c r="H217" s="35">
        <f>IF(G217="Evalueringskrav","Answer",(IF(G217="Krav","Check",(IF(G217="Mindstekrav","Verify","")))))</f>
        <v/>
      </c>
      <c r="I217" s="35" t="inlineStr">
        <is>
          <t>Ja</t>
        </is>
      </c>
      <c r="J217" s="35" t="n"/>
      <c r="K217" s="47" t="n"/>
      <c r="L217" s="35" t="inlineStr">
        <is>
          <t>Cristina</t>
        </is>
      </c>
      <c r="M217" s="35" t="n"/>
      <c r="N217" s="35" t="n"/>
      <c r="O217" s="35" t="inlineStr">
        <is>
          <t>1. Fully met</t>
        </is>
      </c>
      <c r="P217" s="35" t="inlineStr">
        <is>
          <t>Hypercare</t>
        </is>
      </c>
      <c r="Q217" s="35" t="n"/>
      <c r="R217" s="35" t="n"/>
      <c r="S217" s="35" t="n"/>
      <c r="T217" s="35" t="n"/>
      <c r="U217" s="35" t="inlineStr">
        <is>
          <t>Not Started</t>
        </is>
      </c>
      <c r="V217" s="37">
        <f>IF(U217="Not Started",0%,IF(U217="Started",50%,IF(U217="Ready for review",70%,IF(U217="Reviewed - Content",80%,IF(U217="Reviewed - Format",90%,IF(U217="Done",100%,""))))))</f>
        <v/>
      </c>
      <c r="W217" t="inlineStr">
        <is>
          <t>2026-07-07</t>
        </is>
      </c>
      <c r="X217" t="inlineStr">
        <is>
          <t>Cursor / tender-response (batch)</t>
        </is>
      </c>
      <c r="Y217" t="inlineStr">
        <is>
          <t>Met</t>
        </is>
      </c>
      <c r="Z217" t="inlineStr">
        <is>
          <t>Verified</t>
        </is>
      </c>
      <c r="AA217" t="inlineStr">
        <is>
          <t>Verify: Hypercare — vurderet opfyldt (tool: 1. Fully met).</t>
        </is>
      </c>
      <c r="AB217" t="inlineStr">
        <is>
          <t>Hypercare</t>
        </is>
      </c>
      <c r="AC217" t="inlineStr">
        <is>
          <t>docs/tender-reference/extracted/KK Tender tool.txt; docs/tender-reference/extracted/KUM-SLKS/Bilag 3 - Kravspecifikation.txt; docs/tender-reference/extracted/Nationalbanken/Bilag 3.i Leverandørens Løsningsbeskrivelse.txt</t>
        </is>
      </c>
      <c r="AD217" t="inlineStr">
        <is>
          <t>Cristina: Confirm verify-tekst; opdatér review status efter tjek.</t>
        </is>
      </c>
      <c r="AE217" t="inlineStr"/>
      <c r="AF217" t="inlineStr">
        <is>
          <t>Draft</t>
        </is>
      </c>
      <c r="AG217" t="inlineStr">
        <is>
          <t>uim-esdh-full-2026-07-07</t>
        </is>
      </c>
    </row>
    <row r="218" ht="32" customHeight="1">
      <c r="A218" s="35" t="n">
        <v>217</v>
      </c>
      <c r="B218" s="35" t="inlineStr">
        <is>
          <t>MK-187</t>
        </is>
      </c>
      <c r="C218" s="35" t="inlineStr">
        <is>
          <t>Bilag 1.b</t>
        </is>
      </c>
      <c r="D218" s="35" t="inlineStr">
        <is>
          <t>Backup &amp; restore</t>
        </is>
      </c>
      <c r="E218" s="35" t="inlineStr">
        <is>
          <t>Varighed af hypercare</t>
        </is>
      </c>
      <c r="F218" s="35" t="inlineStr">
        <is>
          <t>Leverandøren skal yde hypercare i en periode på 10 Arbejdsdage startende på Overtagelsesdagen for Løsningen.</t>
        </is>
      </c>
      <c r="G218" s="35" t="inlineStr">
        <is>
          <t>Mindstekrav</t>
        </is>
      </c>
      <c r="H218" s="35">
        <f>IF(G218="Evalueringskrav","Answer",(IF(G218="Krav","Check",(IF(G218="Mindstekrav","Verify","")))))</f>
        <v/>
      </c>
      <c r="I218" s="35" t="inlineStr">
        <is>
          <t>Ja</t>
        </is>
      </c>
      <c r="J218" s="35" t="n"/>
      <c r="K218" s="47" t="n"/>
      <c r="L218" s="35" t="inlineStr">
        <is>
          <t>Cristina</t>
        </is>
      </c>
      <c r="M218" s="35" t="n"/>
      <c r="N218" s="35" t="n"/>
      <c r="O218" s="35" t="inlineStr">
        <is>
          <t>1. Fully met</t>
        </is>
      </c>
      <c r="P218" s="35" t="inlineStr">
        <is>
          <t>Hypercare</t>
        </is>
      </c>
      <c r="Q218" s="35" t="n"/>
      <c r="R218" s="35" t="n"/>
      <c r="S218" s="35" t="n"/>
      <c r="T218" s="35" t="n"/>
      <c r="U218" s="35" t="inlineStr">
        <is>
          <t>Not Started</t>
        </is>
      </c>
      <c r="V218" s="37">
        <f>IF(U218="Not Started",0%,IF(U218="Started",50%,IF(U218="Ready for review",70%,IF(U218="Reviewed - Content",80%,IF(U218="Reviewed - Format",90%,IF(U218="Done",100%,""))))))</f>
        <v/>
      </c>
      <c r="W218" t="inlineStr">
        <is>
          <t>2026-07-07</t>
        </is>
      </c>
      <c r="X218" t="inlineStr">
        <is>
          <t>Cursor / tender-response (batch)</t>
        </is>
      </c>
      <c r="Y218" t="inlineStr">
        <is>
          <t>Met</t>
        </is>
      </c>
      <c r="Z218" t="inlineStr">
        <is>
          <t>Verified</t>
        </is>
      </c>
      <c r="AA218" t="inlineStr">
        <is>
          <t>Verify: Varighed af hypercare — vurderet opfyldt (tool: 1. Fully met).</t>
        </is>
      </c>
      <c r="AB218" t="inlineStr">
        <is>
          <t>Hypercare</t>
        </is>
      </c>
      <c r="AC218" t="inlineStr">
        <is>
          <t>docs/tender-reference/extracted/KUM-SLKS/Bilag 1 - Tidsplan.txt; docs/tender-reference/extracted/KK Tender tool.txt; docs/tender-reference/extracted/Nationalbanken/Bilag 6.i Implementeringsplan (Leverandørens løsningsbeskrivelse.txt</t>
        </is>
      </c>
      <c r="AD218" t="inlineStr">
        <is>
          <t>Cristina: Confirm verify-tekst; opdatér review status efter tjek.</t>
        </is>
      </c>
      <c r="AE218" t="inlineStr"/>
      <c r="AF218" t="inlineStr">
        <is>
          <t>Draft</t>
        </is>
      </c>
      <c r="AG218" t="inlineStr">
        <is>
          <t>uim-esdh-full-2026-07-07</t>
        </is>
      </c>
    </row>
    <row r="219" ht="64" customHeight="1">
      <c r="A219" s="35" t="n">
        <v>218</v>
      </c>
      <c r="B219" s="35" t="inlineStr">
        <is>
          <t>MK-188</t>
        </is>
      </c>
      <c r="C219" s="35" t="inlineStr">
        <is>
          <t>Bilag 1.b</t>
        </is>
      </c>
      <c r="D219" s="35" t="inlineStr">
        <is>
          <t>Backup &amp; restore</t>
        </is>
      </c>
      <c r="E219" s="35" t="inlineStr">
        <is>
          <t>Forlængelse af hypercare</t>
        </is>
      </c>
      <c r="F219" s="35" t="inlineStr">
        <is>
          <t>Leverandøren skal forlænge hypercare-perioden, hvis der ved udløb af de 5 Dage fortsat er uafsluttede kritiske og alvorlige incidents, jf. Bilag 1.h - Servicemål. Hypercare-perioden skal opretholdes, indtil disse fejl er udbedret og godkendt af Kunden.</t>
        </is>
      </c>
      <c r="G219" s="35" t="inlineStr">
        <is>
          <t>Mindstekrav</t>
        </is>
      </c>
      <c r="H219" s="35">
        <f>IF(G219="Evalueringskrav","Answer",(IF(G219="Krav","Check",(IF(G219="Mindstekrav","Verify","")))))</f>
        <v/>
      </c>
      <c r="I219" s="35" t="inlineStr">
        <is>
          <t>Ja</t>
        </is>
      </c>
      <c r="J219" s="35" t="n"/>
      <c r="K219" s="47" t="n"/>
      <c r="L219" s="35" t="inlineStr">
        <is>
          <t>Cristina</t>
        </is>
      </c>
      <c r="M219" s="35" t="n"/>
      <c r="N219" s="35" t="n"/>
      <c r="O219" s="35" t="inlineStr">
        <is>
          <t>1. Fully met</t>
        </is>
      </c>
      <c r="P219" s="35" t="inlineStr">
        <is>
          <t>Hypercare</t>
        </is>
      </c>
      <c r="Q219" s="35" t="n"/>
      <c r="R219" s="35" t="n"/>
      <c r="S219" s="35" t="n"/>
      <c r="T219" s="35" t="n"/>
      <c r="U219" s="35" t="inlineStr">
        <is>
          <t>Not Started</t>
        </is>
      </c>
      <c r="V219" s="37">
        <f>IF(U219="Not Started",0%,IF(U219="Started",50%,IF(U219="Ready for review",70%,IF(U219="Reviewed - Content",80%,IF(U219="Reviewed - Format",90%,IF(U219="Done",100%,""))))))</f>
        <v/>
      </c>
      <c r="W219" t="inlineStr">
        <is>
          <t>2026-07-07</t>
        </is>
      </c>
      <c r="X219" t="inlineStr">
        <is>
          <t>Cursor / tender-response (batch)</t>
        </is>
      </c>
      <c r="Y219" t="inlineStr">
        <is>
          <t>Met</t>
        </is>
      </c>
      <c r="Z219" t="inlineStr">
        <is>
          <t>Verified</t>
        </is>
      </c>
      <c r="AA219" t="inlineStr">
        <is>
          <t>Verify: Forlængelse af hypercare — vurderet opfyldt (tool: 1. Fully met).</t>
        </is>
      </c>
      <c r="AB219" t="inlineStr">
        <is>
          <t>Hypercare</t>
        </is>
      </c>
      <c r="AC219" t="inlineStr">
        <is>
          <t>docs/tender-reference/extracted/KK Tender tool.txt; docs/tender-reference/extracted/Nationalbanken/Bilag 3.i Leverandørens Løsningsbeskrivelse.txt; docs/tender-reference/extracted/KUM-SLKS/Bilag 1 - Tidsplan.txt</t>
        </is>
      </c>
      <c r="AD219" t="inlineStr">
        <is>
          <t>Cristina: Confirm verify-tekst; opdatér review status efter tjek.</t>
        </is>
      </c>
      <c r="AE219" t="inlineStr"/>
      <c r="AF219" t="inlineStr">
        <is>
          <t>Draft</t>
        </is>
      </c>
      <c r="AG219" t="inlineStr">
        <is>
          <t>uim-esdh-full-2026-07-07</t>
        </is>
      </c>
    </row>
    <row r="220" ht="64" customHeight="1">
      <c r="A220" s="35" t="n">
        <v>219</v>
      </c>
      <c r="B220" s="35" t="inlineStr">
        <is>
          <t>MK-189</t>
        </is>
      </c>
      <c r="C220" s="35" t="inlineStr">
        <is>
          <t>Bilag 1.b</t>
        </is>
      </c>
      <c r="D220" s="35" t="inlineStr">
        <is>
          <t>Backup &amp; restore</t>
        </is>
      </c>
      <c r="E220" s="35" t="inlineStr">
        <is>
          <t>Afslutning af hypercare</t>
        </is>
      </c>
      <c r="F220" s="35" t="inlineStr">
        <is>
          <t>Ved afslutningen af hypercare-perioden skal Leverandøren udarbejde en rapport, der beskriver status og håndtering af samtlige registrerede fejl. Rapporten skal senest overleveres til Kunden ved afslutning af hypercare.</t>
        </is>
      </c>
      <c r="G220" s="35" t="inlineStr">
        <is>
          <t>Mindstekrav</t>
        </is>
      </c>
      <c r="H220" s="35">
        <f>IF(G220="Evalueringskrav","Answer",(IF(G220="Krav","Check",(IF(G220="Mindstekrav","Verify","")))))</f>
        <v/>
      </c>
      <c r="I220" s="35" t="inlineStr">
        <is>
          <t>Ja</t>
        </is>
      </c>
      <c r="J220" s="35" t="n"/>
      <c r="K220" s="47" t="n"/>
      <c r="L220" s="35" t="n"/>
      <c r="M220" s="35" t="n"/>
      <c r="N220" s="35" t="n"/>
      <c r="O220" s="35" t="n"/>
      <c r="P220" s="35" t="inlineStr">
        <is>
          <t>ADN: Kravet er selvmodsigende. Tilføjet i QA fanen. Det kan ikke tidsmæssigt lade sig gøre først at starte når den er overstået, og aflevere inden den er afsluttet.</t>
        </is>
      </c>
      <c r="Q220" s="35" t="n"/>
      <c r="R220" s="35" t="n"/>
      <c r="S220" s="35" t="n"/>
      <c r="T220" s="35" t="n"/>
      <c r="U220" s="35" t="inlineStr">
        <is>
          <t>Not Started</t>
        </is>
      </c>
      <c r="V220" s="37">
        <f>IF(U220="Not Started",0%,IF(U220="Started",50%,IF(U220="Ready for review",70%,IF(U220="Reviewed - Content",80%,IF(U220="Reviewed - Format",90%,IF(U220="Done",100%,""))))))</f>
        <v/>
      </c>
      <c r="W220" t="inlineStr">
        <is>
          <t>2026-07-07</t>
        </is>
      </c>
      <c r="X220" t="inlineStr">
        <is>
          <t>Cursor / tender-response (batch)</t>
        </is>
      </c>
      <c r="Y220" t="inlineStr">
        <is>
          <t>Clarify</t>
        </is>
      </c>
      <c r="Z220" t="inlineStr">
        <is>
          <t>Verified</t>
        </is>
      </c>
      <c r="AA220" t="inlineStr">
        <is>
          <t>Verify: Afslutning af hypercare — kræver produkt-/team-afklaring (ingen tool-rating).</t>
        </is>
      </c>
      <c r="AB220" t="inlineStr">
        <is>
          <t>ADN: Kravet er selvmodsigende. Tilføjet i QA fanen. Det kan ikke tidsmæssigt lade sig gøre først at starte når den er overstået, og aflevere inden den er afsluttet.</t>
        </is>
      </c>
      <c r="AC220" t="inlineStr">
        <is>
          <t>docs/tender-reference/extracted/KK Tender tool.txt; docs/tender-reference/extracted/KUM-SLKS/Bilag 1 - Tidsplan.txt; docs/tender-reference/extracted/Nationalbanken/Bilag 3.i Leverandørens Løsningsbeskrivelse.txt</t>
        </is>
      </c>
      <c r="AD220" t="inlineStr">
        <is>
          <t>Owner: Udfyld tool-rating (O) og evidens; gennemgå AI-kladde.</t>
        </is>
      </c>
      <c r="AE220" t="inlineStr"/>
      <c r="AF220" t="inlineStr">
        <is>
          <t>Draft</t>
        </is>
      </c>
      <c r="AG220" t="inlineStr">
        <is>
          <t>uim-esdh-full-2026-07-07</t>
        </is>
      </c>
    </row>
    <row r="221" ht="48" customHeight="1">
      <c r="A221" s="35" t="n">
        <v>220</v>
      </c>
      <c r="B221" s="35" t="inlineStr">
        <is>
          <t>MK-190</t>
        </is>
      </c>
      <c r="C221" s="35" t="inlineStr">
        <is>
          <t>Bilag 1.b</t>
        </is>
      </c>
      <c r="D221" s="35" t="inlineStr">
        <is>
          <t>Backup &amp; restore</t>
        </is>
      </c>
      <c r="E221" s="35" t="inlineStr">
        <is>
          <t>Møder og statusrapportering</t>
        </is>
      </c>
      <c r="F221" s="35" t="inlineStr">
        <is>
          <t>I hypercare-perioden skal Leverandøren og Kunden afholde daglige statusmøder vedrørende overtagelse af Løsningen og eventuelle fejl, der er meldt ind.</t>
        </is>
      </c>
      <c r="G221" s="35" t="inlineStr">
        <is>
          <t>Mindstekrav</t>
        </is>
      </c>
      <c r="H221" s="35">
        <f>IF(G221="Evalueringskrav","Answer",(IF(G221="Krav","Check",(IF(G221="Mindstekrav","Verify","")))))</f>
        <v/>
      </c>
      <c r="I221" s="35" t="inlineStr">
        <is>
          <t>Ja</t>
        </is>
      </c>
      <c r="J221" s="35" t="n"/>
      <c r="K221" s="47" t="n"/>
      <c r="L221" s="35" t="inlineStr">
        <is>
          <t>Cristina</t>
        </is>
      </c>
      <c r="M221" s="35" t="n"/>
      <c r="N221" s="35" t="n"/>
      <c r="O221" s="35" t="inlineStr">
        <is>
          <t>1. Fully met</t>
        </is>
      </c>
      <c r="P221" s="35" t="inlineStr">
        <is>
          <t>Hypercare</t>
        </is>
      </c>
      <c r="Q221" s="35" t="n"/>
      <c r="R221" s="35" t="n"/>
      <c r="S221" s="35" t="n"/>
      <c r="T221" s="35" t="n"/>
      <c r="U221" s="35" t="inlineStr">
        <is>
          <t>Not Started</t>
        </is>
      </c>
      <c r="V221" s="37">
        <f>IF(U221="Not Started",0%,IF(U221="Started",50%,IF(U221="Ready for review",70%,IF(U221="Reviewed - Content",80%,IF(U221="Reviewed - Format",90%,IF(U221="Done",100%,""))))))</f>
        <v/>
      </c>
      <c r="W221" t="inlineStr">
        <is>
          <t>2026-07-07</t>
        </is>
      </c>
      <c r="X221" t="inlineStr">
        <is>
          <t>Cursor / tender-response (batch)</t>
        </is>
      </c>
      <c r="Y221" t="inlineStr">
        <is>
          <t>Met</t>
        </is>
      </c>
      <c r="Z221" t="inlineStr">
        <is>
          <t>Verified</t>
        </is>
      </c>
      <c r="AA221" t="inlineStr">
        <is>
          <t>Verify: Møder og statusrapportering — vurderet opfyldt (tool: 1. Fully met).</t>
        </is>
      </c>
      <c r="AB221" t="inlineStr">
        <is>
          <t>Hypercare</t>
        </is>
      </c>
      <c r="AC221" t="inlineStr">
        <is>
          <t>docs/tender-reference/extracted/KK Tender tool.txt; docs/tender-reference/extracted/Nationalbanken/Bilag 1.i Leverandørens Løsningsbeskrivelse.txt; docs/tender-reference/extracted/KUM-SLKS/Bilag 1 - Tidsplan.txt</t>
        </is>
      </c>
      <c r="AD221" t="inlineStr">
        <is>
          <t>Cristina: Confirm verify-tekst; opdatér review status efter tjek.</t>
        </is>
      </c>
      <c r="AE221" t="inlineStr"/>
      <c r="AF221" t="inlineStr">
        <is>
          <t>Draft</t>
        </is>
      </c>
      <c r="AG221" t="inlineStr">
        <is>
          <t>uim-esdh-full-2026-07-07</t>
        </is>
      </c>
    </row>
    <row r="222" ht="48" customHeight="1">
      <c r="A222" s="35" t="n">
        <v>221</v>
      </c>
      <c r="B222" s="35" t="inlineStr">
        <is>
          <t>MK-1</t>
        </is>
      </c>
      <c r="C222" s="35" t="inlineStr">
        <is>
          <t>Bilag 1.e</t>
        </is>
      </c>
      <c r="D222" s="35" t="inlineStr">
        <is>
          <t>Lov, cyber- og it-sikkerhed</t>
        </is>
      </c>
      <c r="E222" s="35" t="inlineStr">
        <is>
          <t>GDPR og den danske beskyttelseslov</t>
        </is>
      </c>
      <c r="F222" s="35" t="inlineStr">
        <is>
          <t>Leverandøren skal sikre, at ESDH-løsningen understøtter Kundens forpligtelser i medfør af Databeskyttelseslovgivningen.</t>
        </is>
      </c>
      <c r="G222" s="35" t="inlineStr">
        <is>
          <t>Mindstekrav</t>
        </is>
      </c>
      <c r="H222" s="35">
        <f>IF(G222="Evalueringskrav","Answer",(IF(G222="Krav","Check",(IF(G222="Mindstekrav","Verify","")))))</f>
        <v/>
      </c>
      <c r="I222" s="35" t="inlineStr">
        <is>
          <t>Ja</t>
        </is>
      </c>
      <c r="J222" s="35" t="n"/>
      <c r="K222" s="47" t="n"/>
      <c r="L222" s="35" t="n"/>
      <c r="M222" s="35" t="n"/>
      <c r="N222" s="35" t="n"/>
      <c r="O222" s="35" t="n"/>
      <c r="P222" s="35" t="n"/>
      <c r="Q222" s="35" t="n"/>
      <c r="R222" s="35" t="n"/>
      <c r="S222" s="35" t="n"/>
      <c r="T222" s="35" t="n"/>
      <c r="U222" s="35" t="inlineStr">
        <is>
          <t>Not Started</t>
        </is>
      </c>
      <c r="V222" s="37">
        <f>IF(U222="Not Started",0%,IF(U222="Started",50%,IF(U222="Ready for review",70%,IF(U222="Reviewed - Content",80%,IF(U222="Reviewed - Format",90%,IF(U222="Done",100%,""))))))</f>
        <v/>
      </c>
      <c r="W222" t="inlineStr">
        <is>
          <t>2026-07-07</t>
        </is>
      </c>
      <c r="X222" t="inlineStr">
        <is>
          <t>Cursor / tender-response (batch)</t>
        </is>
      </c>
      <c r="Y222" t="inlineStr">
        <is>
          <t>Clarify</t>
        </is>
      </c>
      <c r="Z222" t="inlineStr">
        <is>
          <t>Verified</t>
        </is>
      </c>
      <c r="AA222" t="inlineStr">
        <is>
          <t>Verify: GDPR og den danske beskyttelseslov — kræver produkt-/team-afklaring (ingen tool-rating).</t>
        </is>
      </c>
      <c r="AB222" t="inlineStr"/>
      <c r="AC222" t="inlineStr">
        <is>
          <t>docs/tender-reference/extracted/KK Tender tool.txt; docs/tender-reference/extracted/Nationalbanken/Bilag 3.i Leverandørens Løsningsbeskrivelse.txt; docs/product/RFP_Leverandørens_svar_utdrag.txt</t>
        </is>
      </c>
      <c r="AD222" t="inlineStr">
        <is>
          <t>Owner: Udfyld tool-rating (O) og evidens; gennemgå AI-kladde.</t>
        </is>
      </c>
      <c r="AE222" t="inlineStr"/>
      <c r="AF222" t="inlineStr">
        <is>
          <t>Draft</t>
        </is>
      </c>
      <c r="AG222" t="inlineStr">
        <is>
          <t>uim-esdh-full-2026-07-07</t>
        </is>
      </c>
    </row>
    <row r="223" ht="32" customHeight="1">
      <c r="A223" s="35" t="n">
        <v>222</v>
      </c>
      <c r="B223" s="35" t="inlineStr">
        <is>
          <t>MK-2</t>
        </is>
      </c>
      <c r="C223" s="35" t="inlineStr">
        <is>
          <t>Bilag 1.e</t>
        </is>
      </c>
      <c r="D223" s="35" t="inlineStr">
        <is>
          <t>Lov, cyber- og it-sikkerhed</t>
        </is>
      </c>
      <c r="E223" s="35" t="inlineStr">
        <is>
          <t>Offentlighedsloven</t>
        </is>
      </c>
      <c r="F223" s="35" t="inlineStr">
        <is>
          <t>Leverandøren skal sikre, at ESDH-løsningen understøtter Kundens forpligtelser i medfør af Offentlighedsloven.</t>
        </is>
      </c>
      <c r="G223" s="35" t="inlineStr">
        <is>
          <t>Mindstekrav</t>
        </is>
      </c>
      <c r="H223" s="35">
        <f>IF(G223="Evalueringskrav","Answer",(IF(G223="Krav","Check",(IF(G223="Mindstekrav","Verify","")))))</f>
        <v/>
      </c>
      <c r="I223" s="35" t="inlineStr">
        <is>
          <t>Ja</t>
        </is>
      </c>
      <c r="J223" s="35" t="n"/>
      <c r="K223" s="47" t="n"/>
      <c r="L223" s="35" t="n"/>
      <c r="M223" s="35" t="n"/>
      <c r="N223" s="35" t="n"/>
      <c r="O223" s="35" t="n"/>
      <c r="P223" s="35" t="n"/>
      <c r="Q223" s="35" t="n"/>
      <c r="R223" s="35" t="n"/>
      <c r="S223" s="35" t="n"/>
      <c r="T223" s="35" t="n"/>
      <c r="U223" s="35" t="inlineStr">
        <is>
          <t>Not Started</t>
        </is>
      </c>
      <c r="V223" s="37">
        <f>IF(U223="Not Started",0%,IF(U223="Started",50%,IF(U223="Ready for review",70%,IF(U223="Reviewed - Content",80%,IF(U223="Reviewed - Format",90%,IF(U223="Done",100%,""))))))</f>
        <v/>
      </c>
      <c r="W223" t="inlineStr">
        <is>
          <t>2026-07-07</t>
        </is>
      </c>
      <c r="X223" t="inlineStr">
        <is>
          <t>Cursor / tender-response (batch)</t>
        </is>
      </c>
      <c r="Y223" t="inlineStr">
        <is>
          <t>Clarify</t>
        </is>
      </c>
      <c r="Z223" t="inlineStr">
        <is>
          <t>Verified</t>
        </is>
      </c>
      <c r="AA223" t="inlineStr">
        <is>
          <t>Verify: Offentlighedsloven — kræver produkt-/team-afklaring (ingen tool-rating).</t>
        </is>
      </c>
      <c r="AB223" t="inlineStr"/>
      <c r="AC223" t="inlineStr">
        <is>
          <t>docs/tender-reference/extracted/KK Tender tool.txt; docs/tender-reference/extracted/Nationalbanken/Bilag 3.i Leverandørens Løsningsbeskrivelse.txt; docs/product/RFP_Leverandørens_svar_utdrag.txt</t>
        </is>
      </c>
      <c r="AD223" t="inlineStr">
        <is>
          <t>Owner: Udfyld tool-rating (O) og evidens; gennemgå AI-kladde.</t>
        </is>
      </c>
      <c r="AE223" t="inlineStr"/>
      <c r="AF223" t="inlineStr">
        <is>
          <t>Draft</t>
        </is>
      </c>
      <c r="AG223" t="inlineStr">
        <is>
          <t>uim-esdh-full-2026-07-07</t>
        </is>
      </c>
    </row>
    <row r="224" ht="32" customHeight="1">
      <c r="A224" s="35" t="n">
        <v>223</v>
      </c>
      <c r="B224" s="35" t="inlineStr">
        <is>
          <t>MK-3</t>
        </is>
      </c>
      <c r="C224" s="35" t="inlineStr">
        <is>
          <t>Bilag 1.e</t>
        </is>
      </c>
      <c r="D224" s="35" t="inlineStr">
        <is>
          <t>Lov, cyber- og it-sikkerhed</t>
        </is>
      </c>
      <c r="E224" s="35" t="inlineStr">
        <is>
          <t>Forvaltningsloven</t>
        </is>
      </c>
      <c r="F224" s="35" t="inlineStr">
        <is>
          <t>Leverandøren skal sikre, at ESDH-løsningen understøtter Kundens forpligtelser i medfør af Forvaltningsloven.</t>
        </is>
      </c>
      <c r="G224" s="35" t="inlineStr">
        <is>
          <t>Mindstekrav</t>
        </is>
      </c>
      <c r="H224" s="35">
        <f>IF(G224="Evalueringskrav","Answer",(IF(G224="Krav","Check",(IF(G224="Mindstekrav","Verify","")))))</f>
        <v/>
      </c>
      <c r="I224" s="35" t="inlineStr">
        <is>
          <t>Ja</t>
        </is>
      </c>
      <c r="J224" s="35" t="n"/>
      <c r="K224" s="47" t="n"/>
      <c r="L224" s="35" t="n"/>
      <c r="M224" s="35" t="n"/>
      <c r="N224" s="35" t="n"/>
      <c r="O224" s="35" t="n"/>
      <c r="P224" s="35" t="n"/>
      <c r="Q224" s="35" t="n"/>
      <c r="R224" s="35" t="n"/>
      <c r="S224" s="35" t="n"/>
      <c r="T224" s="35" t="n"/>
      <c r="U224" s="35" t="inlineStr">
        <is>
          <t>Not Started</t>
        </is>
      </c>
      <c r="V224" s="37">
        <f>IF(U224="Not Started",0%,IF(U224="Started",50%,IF(U224="Ready for review",70%,IF(U224="Reviewed - Content",80%,IF(U224="Reviewed - Format",90%,IF(U224="Done",100%,""))))))</f>
        <v/>
      </c>
      <c r="W224" t="inlineStr">
        <is>
          <t>2026-07-07</t>
        </is>
      </c>
      <c r="X224" t="inlineStr">
        <is>
          <t>Cursor / tender-response (batch)</t>
        </is>
      </c>
      <c r="Y224" t="inlineStr">
        <is>
          <t>Clarify</t>
        </is>
      </c>
      <c r="Z224" t="inlineStr">
        <is>
          <t>Verified</t>
        </is>
      </c>
      <c r="AA224" t="inlineStr">
        <is>
          <t>Verify: Forvaltningsloven — kræver produkt-/team-afklaring (ingen tool-rating).</t>
        </is>
      </c>
      <c r="AB224" t="inlineStr"/>
      <c r="AC224" t="inlineStr">
        <is>
          <t>docs/tender-reference/extracted/KK Tender tool.txt; docs/tender-reference/extracted/Nationalbanken/Bilag 3.i Leverandørens Løsningsbeskrivelse.txt; docs/product/RFP_Leverandørens_svar_utdrag.txt</t>
        </is>
      </c>
      <c r="AD224" t="inlineStr">
        <is>
          <t>Owner: Udfyld tool-rating (O) og evidens; gennemgå AI-kladde.</t>
        </is>
      </c>
      <c r="AE224" t="inlineStr"/>
      <c r="AF224" t="inlineStr">
        <is>
          <t>Draft</t>
        </is>
      </c>
      <c r="AG224" t="inlineStr">
        <is>
          <t>uim-esdh-full-2026-07-07</t>
        </is>
      </c>
    </row>
    <row r="225" ht="32" customHeight="1">
      <c r="A225" s="35" t="n">
        <v>224</v>
      </c>
      <c r="B225" s="35" t="inlineStr">
        <is>
          <t>MK-4</t>
        </is>
      </c>
      <c r="C225" s="35" t="inlineStr">
        <is>
          <t>Bilag 1.e</t>
        </is>
      </c>
      <c r="D225" s="35" t="inlineStr">
        <is>
          <t>Lov, cyber- og it-sikkerhed</t>
        </is>
      </c>
      <c r="E225" s="35" t="inlineStr">
        <is>
          <t>Arkivloven</t>
        </is>
      </c>
      <c r="F225" s="35" t="inlineStr">
        <is>
          <t>Leverandøren skal sikre, at ESDH-løsningen understøtter Kundens forpligtelser i medfør af Arkivloven.</t>
        </is>
      </c>
      <c r="G225" s="35" t="inlineStr">
        <is>
          <t>Mindstekrav</t>
        </is>
      </c>
      <c r="H225" s="35">
        <f>IF(G225="Evalueringskrav","Answer",(IF(G225="Krav","Check",(IF(G225="Mindstekrav","Verify","")))))</f>
        <v/>
      </c>
      <c r="I225" s="35" t="inlineStr">
        <is>
          <t>Ja</t>
        </is>
      </c>
      <c r="J225" s="35" t="n"/>
      <c r="K225" s="47" t="n"/>
      <c r="L225" s="35" t="n"/>
      <c r="M225" s="35" t="n"/>
      <c r="N225" s="35" t="n"/>
      <c r="O225" s="35" t="n"/>
      <c r="P225" s="35" t="n"/>
      <c r="Q225" s="35" t="n"/>
      <c r="R225" s="35" t="n"/>
      <c r="S225" s="35" t="n"/>
      <c r="T225" s="35" t="n"/>
      <c r="U225" s="35" t="inlineStr">
        <is>
          <t>Not Started</t>
        </is>
      </c>
      <c r="V225" s="37">
        <f>IF(U225="Not Started",0%,IF(U225="Started",50%,IF(U225="Ready for review",70%,IF(U225="Reviewed - Content",80%,IF(U225="Reviewed - Format",90%,IF(U225="Done",100%,""))))))</f>
        <v/>
      </c>
      <c r="W225" t="inlineStr">
        <is>
          <t>2026-07-07</t>
        </is>
      </c>
      <c r="X225" t="inlineStr">
        <is>
          <t>Cursor / tender-response (batch)</t>
        </is>
      </c>
      <c r="Y225" t="inlineStr">
        <is>
          <t>Clarify</t>
        </is>
      </c>
      <c r="Z225" t="inlineStr">
        <is>
          <t>Verified</t>
        </is>
      </c>
      <c r="AA225" t="inlineStr">
        <is>
          <t>Verify: Arkivloven — kræver produkt-/team-afklaring (ingen tool-rating).</t>
        </is>
      </c>
      <c r="AB225" t="inlineStr"/>
      <c r="AC225" t="inlineStr">
        <is>
          <t>docs/product/RFP_Leverandørens_svar_utdrag.txt; docs/tender-reference/extracted/HSØ/02.00-Tietoevry-SSA-L-Bilag 2-Leverandørens beskrivelse av Tjenesten.txt; docs/tender-reference/extracted/KK Tender tool.txt</t>
        </is>
      </c>
      <c r="AD225" t="inlineStr">
        <is>
          <t>Owner: Udfyld tool-rating (O) og evidens; gennemgå AI-kladde.</t>
        </is>
      </c>
      <c r="AE225" t="inlineStr"/>
      <c r="AF225" t="inlineStr">
        <is>
          <t>Draft</t>
        </is>
      </c>
      <c r="AG225" t="inlineStr">
        <is>
          <t>uim-esdh-full-2026-07-07</t>
        </is>
      </c>
    </row>
    <row r="226" ht="32" customHeight="1">
      <c r="A226" s="35" t="n">
        <v>225</v>
      </c>
      <c r="B226" s="35" t="inlineStr">
        <is>
          <t>MK-5</t>
        </is>
      </c>
      <c r="C226" s="35" t="inlineStr">
        <is>
          <t>Bilag 1.e</t>
        </is>
      </c>
      <c r="D226" s="35" t="inlineStr">
        <is>
          <t>Lov, cyber- og it-sikkerhed</t>
        </is>
      </c>
      <c r="E226" s="35" t="inlineStr">
        <is>
          <t>NIS2</t>
        </is>
      </c>
      <c r="F226" s="35" t="inlineStr">
        <is>
          <t>Leverandøren skal sikre, at ESDH-løsningen, herunder drift, support og udvikling, understøtter Kundens forpligtelser i medfør af NIS2-direktivet.</t>
        </is>
      </c>
      <c r="G226" s="35" t="inlineStr">
        <is>
          <t>Mindstekrav</t>
        </is>
      </c>
      <c r="H226" s="35">
        <f>IF(G226="Evalueringskrav","Answer",(IF(G226="Krav","Check",(IF(G226="Mindstekrav","Verify","")))))</f>
        <v/>
      </c>
      <c r="I226" s="35" t="inlineStr">
        <is>
          <t>Ja</t>
        </is>
      </c>
      <c r="J226" s="35" t="n"/>
      <c r="K226" s="47" t="n"/>
      <c r="L226" s="35" t="n"/>
      <c r="M226" s="35" t="n"/>
      <c r="N226" s="35" t="n"/>
      <c r="O226" s="35" t="n"/>
      <c r="P226" s="35" t="n"/>
      <c r="Q226" s="35" t="n"/>
      <c r="R226" s="35" t="n"/>
      <c r="S226" s="35" t="n"/>
      <c r="T226" s="35" t="n"/>
      <c r="U226" s="35" t="inlineStr">
        <is>
          <t>Not Started</t>
        </is>
      </c>
      <c r="V226" s="37">
        <f>IF(U226="Not Started",0%,IF(U226="Started",50%,IF(U226="Ready for review",70%,IF(U226="Reviewed - Content",80%,IF(U226="Reviewed - Format",90%,IF(U226="Done",100%,""))))))</f>
        <v/>
      </c>
      <c r="W226" t="inlineStr">
        <is>
          <t>2026-07-07</t>
        </is>
      </c>
      <c r="X226" t="inlineStr">
        <is>
          <t>Cursor / tender-response (batch)</t>
        </is>
      </c>
      <c r="Y226" t="inlineStr">
        <is>
          <t>Clarify</t>
        </is>
      </c>
      <c r="Z226" t="inlineStr">
        <is>
          <t>Verified</t>
        </is>
      </c>
      <c r="AA226" t="inlineStr">
        <is>
          <t>Verify: NIS2 — kræver produkt-/team-afklaring (ingen tool-rating).</t>
        </is>
      </c>
      <c r="AB226" t="inlineStr"/>
      <c r="AC226" t="inlineStr">
        <is>
          <t>docs/tender-reference/extracted/KK Tender tool.txt; docs/tender-reference/extracted/Nationalbanken/Bilag 3.i Leverandørens Løsningsbeskrivelse.txt; docs/product/RFP_Leverandørens_svar_utdrag.txt</t>
        </is>
      </c>
      <c r="AD226" t="inlineStr">
        <is>
          <t>Owner: Udfyld tool-rating (O) og evidens; gennemgå AI-kladde.</t>
        </is>
      </c>
      <c r="AE226" t="inlineStr"/>
      <c r="AF226" t="inlineStr">
        <is>
          <t>Draft</t>
        </is>
      </c>
      <c r="AG226" t="inlineStr">
        <is>
          <t>uim-esdh-full-2026-07-07</t>
        </is>
      </c>
    </row>
    <row r="227" ht="48" customHeight="1">
      <c r="A227" s="35" t="n">
        <v>226</v>
      </c>
      <c r="B227" s="35" t="inlineStr">
        <is>
          <t>MK-6</t>
        </is>
      </c>
      <c r="C227" s="35" t="inlineStr">
        <is>
          <t>Bilag 1.e</t>
        </is>
      </c>
      <c r="D227" s="35" t="inlineStr">
        <is>
          <t>Lov, cyber- og it-sikkerhed</t>
        </is>
      </c>
      <c r="E227" s="35" t="inlineStr">
        <is>
          <t>Statens tekniske minimumskrav</t>
        </is>
      </c>
      <c r="F227" s="35" t="inlineStr">
        <is>
          <t>Leverandøren skal sikre, at EDSH-løsningen opfylder de tekniske minimumskrav til it-sikkerhed for statslige Myndigheder, hvor disse har implikation for ESDH-løsningen.</t>
        </is>
      </c>
      <c r="G227" s="35" t="inlineStr">
        <is>
          <t>Mindstekrav</t>
        </is>
      </c>
      <c r="H227" s="35">
        <f>IF(G227="Evalueringskrav","Answer",(IF(G227="Krav","Check",(IF(G227="Mindstekrav","Verify","")))))</f>
        <v/>
      </c>
      <c r="I227" s="35" t="inlineStr">
        <is>
          <t>Ja</t>
        </is>
      </c>
      <c r="J227" s="35" t="n"/>
      <c r="K227" s="47" t="n"/>
      <c r="L227" s="35" t="n"/>
      <c r="M227" s="35" t="n"/>
      <c r="N227" s="35" t="n"/>
      <c r="O227" s="35" t="n"/>
      <c r="P227" s="35" t="n"/>
      <c r="Q227" s="35" t="n"/>
      <c r="R227" s="35" t="n"/>
      <c r="S227" s="35" t="n"/>
      <c r="T227" s="35" t="n"/>
      <c r="U227" s="35" t="inlineStr">
        <is>
          <t>Not Started</t>
        </is>
      </c>
      <c r="V227" s="37">
        <f>IF(U227="Not Started",0%,IF(U227="Started",50%,IF(U227="Ready for review",70%,IF(U227="Reviewed - Content",80%,IF(U227="Reviewed - Format",90%,IF(U227="Done",100%,""))))))</f>
        <v/>
      </c>
      <c r="W227" t="inlineStr">
        <is>
          <t>2026-07-07</t>
        </is>
      </c>
      <c r="X227" t="inlineStr">
        <is>
          <t>Cursor / tender-response (batch)</t>
        </is>
      </c>
      <c r="Y227" t="inlineStr">
        <is>
          <t>Clarify</t>
        </is>
      </c>
      <c r="Z227" t="inlineStr">
        <is>
          <t>Verified</t>
        </is>
      </c>
      <c r="AA227" t="inlineStr">
        <is>
          <t>Verify: Statens tekniske minimumskrav — kræver produkt-/team-afklaring (ingen tool-rating).</t>
        </is>
      </c>
      <c r="AB227" t="inlineStr"/>
      <c r="AC227" t="inlineStr">
        <is>
          <t>docs/tender-reference/extracted/KK Tender tool.txt; docs/tender-reference/extracted/KUM-SLKS/Bilag 1 - Tidsplan.txt; docs/tender-reference/extracted/KUM-SLKS/Bilag 10 - Producentens standardvilkår.txt</t>
        </is>
      </c>
      <c r="AD227" t="inlineStr">
        <is>
          <t>Owner: Udfyld tool-rating (O) og evidens; gennemgå AI-kladde.</t>
        </is>
      </c>
      <c r="AE227" t="inlineStr"/>
      <c r="AF227" t="inlineStr">
        <is>
          <t>Draft</t>
        </is>
      </c>
      <c r="AG227" t="inlineStr">
        <is>
          <t>uim-esdh-full-2026-07-07</t>
        </is>
      </c>
    </row>
    <row r="228" ht="160" customHeight="1">
      <c r="A228" s="35" t="n">
        <v>227</v>
      </c>
      <c r="B228" s="35" t="inlineStr">
        <is>
          <t>K-1</t>
        </is>
      </c>
      <c r="C228" s="35" t="inlineStr">
        <is>
          <t>Bilag 1.e</t>
        </is>
      </c>
      <c r="D228" s="35" t="inlineStr">
        <is>
          <t>Lov, cyber- og it-sikkerhed</t>
        </is>
      </c>
      <c r="E228" s="35" t="inlineStr">
        <is>
          <t>ISO/IEC 27001:2022 og ISO/IEC 27002:2022 overholdelse</t>
        </is>
      </c>
      <c r="F228" s="35" t="inlineStr">
        <is>
          <t>Leverandøren skal være certificeret ISO/IEC 27001:2022 og ISO/IEC 27002:2022 eller senere relevante versioner. 
Dette inkluderer men er ikke begrænset til at Leverandøren skal efterleve kravene i ISO 27001:2022, Anneks A.:
punkt 5.31 vedrørende Juridiske, lovmæssige, regulatoriske og kontraktlige krav, 
samt punkt 5.34 vedrørende Privatlivsbeskyttelse og beskyttelse af personoplysninger
samt løbende revidere og ajourføre it-sikkerheden i forhold til den til enhver tid gældende version af ISO27001 og ISO27002.</t>
        </is>
      </c>
      <c r="G228" s="35" t="inlineStr">
        <is>
          <t>Krav</t>
        </is>
      </c>
      <c r="H228" s="35">
        <f>IF(G228="Evalueringskrav","Answer",(IF(G228="Krav","Check",(IF(G228="Mindstekrav","Verify","")))))</f>
        <v/>
      </c>
      <c r="I228" s="35" t="inlineStr">
        <is>
          <t>Ja</t>
        </is>
      </c>
      <c r="J228" s="35" t="n"/>
      <c r="K228" s="47" t="n"/>
      <c r="L228" s="35" t="n"/>
      <c r="M228" s="35" t="n"/>
      <c r="N228" s="35" t="n"/>
      <c r="O228" s="35" t="n"/>
      <c r="P228" s="35" t="n"/>
      <c r="Q228" s="35" t="n"/>
      <c r="R228" s="35" t="n"/>
      <c r="S228" s="35" t="n"/>
      <c r="T228" s="35" t="n"/>
      <c r="U228" s="35" t="inlineStr">
        <is>
          <t>Not Started</t>
        </is>
      </c>
      <c r="V228" s="37">
        <f>IF(U228="Not Started",0%,IF(U228="Started",50%,IF(U228="Ready for review",70%,IF(U228="Reviewed - Content",80%,IF(U228="Reviewed - Format",90%,IF(U228="Done",100%,""))))))</f>
        <v/>
      </c>
      <c r="W228" t="inlineStr">
        <is>
          <t>2026-07-07</t>
        </is>
      </c>
      <c r="X228" t="inlineStr">
        <is>
          <t>Cursor / tender-response (batch)</t>
        </is>
      </c>
      <c r="Y228" t="inlineStr">
        <is>
          <t>Clarify</t>
        </is>
      </c>
      <c r="Z228" t="inlineStr">
        <is>
          <t>Verified</t>
        </is>
      </c>
      <c r="AA228" t="inlineStr">
        <is>
          <t>Check: ISO/IEC 27001:2022 og ISO/IEC 27002:2022 overholdelse — kræver produkt-/team-afklaring (ingen tool-rating).</t>
        </is>
      </c>
      <c r="AB228" t="inlineStr"/>
      <c r="AC228" t="inlineStr">
        <is>
          <t>docs/tender-reference/extracted/Nationalbanken/Bilag 3.i Leverandørens Løsningsbeskrivelse.txt; docs/tender-reference/extracted/KK Tender tool.txt; docs/tender-reference/extracted/Nationalbanken/Bilag 9.i Leverandørens løsningsbeskrivelse.txt</t>
        </is>
      </c>
      <c r="AD228" t="inlineStr">
        <is>
          <t>Owner: Udfyld tool-rating (O) og evidens; gennemgå AI-kladde.</t>
        </is>
      </c>
      <c r="AE228" t="inlineStr"/>
      <c r="AF228" t="inlineStr">
        <is>
          <t>Draft</t>
        </is>
      </c>
      <c r="AG228" t="inlineStr">
        <is>
          <t>uim-esdh-full-2026-07-07</t>
        </is>
      </c>
    </row>
    <row r="229" ht="64" customHeight="1">
      <c r="A229" s="35" t="n">
        <v>228</v>
      </c>
      <c r="B229" s="35" t="inlineStr">
        <is>
          <t>K-2</t>
        </is>
      </c>
      <c r="C229" s="35" t="inlineStr">
        <is>
          <t>Bilag 1.e</t>
        </is>
      </c>
      <c r="D229" s="35" t="inlineStr">
        <is>
          <t>Lov, cyber- og it-sikkerhed</t>
        </is>
      </c>
      <c r="E229" s="35" t="inlineStr">
        <is>
          <t>SAMSIK</t>
        </is>
      </c>
      <c r="F229" s="35" t="inlineStr">
        <is>
          <t>Leverandøren skal sikre, at ESDH-løsningen understøtter Kundens forpligtelser i medfør af SAMSIK’s Center for Cybersikkerhed anbefalinger omkring logning – en del af et godt cyberforsvar jf. Cybersikkerhed – Vejledninger, trusselsvurderinger og NIS 2.</t>
        </is>
      </c>
      <c r="G229" s="35" t="inlineStr">
        <is>
          <t>Krav</t>
        </is>
      </c>
      <c r="H229" s="35">
        <f>IF(G229="Evalueringskrav","Answer",(IF(G229="Krav","Check",(IF(G229="Mindstekrav","Verify","")))))</f>
        <v/>
      </c>
      <c r="I229" s="35" t="inlineStr">
        <is>
          <t>Ja</t>
        </is>
      </c>
      <c r="J229" s="35" t="n"/>
      <c r="K229" s="47" t="n"/>
      <c r="L229" s="35" t="n"/>
      <c r="M229" s="35" t="n"/>
      <c r="N229" s="35" t="n"/>
      <c r="O229" s="35" t="n"/>
      <c r="P229" s="35" t="n"/>
      <c r="Q229" s="35" t="n"/>
      <c r="R229" s="35" t="n"/>
      <c r="S229" s="35" t="n"/>
      <c r="T229" s="35" t="n"/>
      <c r="U229" s="35" t="inlineStr">
        <is>
          <t>Not Started</t>
        </is>
      </c>
      <c r="V229" s="37">
        <f>IF(U229="Not Started",0%,IF(U229="Started",50%,IF(U229="Ready for review",70%,IF(U229="Reviewed - Content",80%,IF(U229="Reviewed - Format",90%,IF(U229="Done",100%,""))))))</f>
        <v/>
      </c>
      <c r="W229" t="inlineStr">
        <is>
          <t>2026-07-07</t>
        </is>
      </c>
      <c r="X229" t="inlineStr">
        <is>
          <t>Cursor / tender-response (batch)</t>
        </is>
      </c>
      <c r="Y229" t="inlineStr">
        <is>
          <t>Clarify</t>
        </is>
      </c>
      <c r="Z229" t="inlineStr">
        <is>
          <t>Verified</t>
        </is>
      </c>
      <c r="AA229" t="inlineStr">
        <is>
          <t>Check: SAMSIK — kræver produkt-/team-afklaring (ingen tool-rating).</t>
        </is>
      </c>
      <c r="AB229" t="inlineStr"/>
      <c r="AC229" t="inlineStr">
        <is>
          <t>docs/tender-reference/extracted/Nationalbanken/Bilag 3.i Leverandørens Løsningsbeskrivelse.txt; docs/tender-reference/extracted/KK Tender tool.txt; docs/tender-reference/extracted/HSØ/02.00-Tietoevry-SSA-L-Bilag 2-Leverandørens beskrivelse av Tjenesten.txt</t>
        </is>
      </c>
      <c r="AD229" t="inlineStr">
        <is>
          <t>Owner: Udfyld tool-rating (O) og evidens; gennemgå AI-kladde.</t>
        </is>
      </c>
      <c r="AE229" t="inlineStr"/>
      <c r="AF229" t="inlineStr">
        <is>
          <t>Draft</t>
        </is>
      </c>
      <c r="AG229" t="inlineStr">
        <is>
          <t>uim-esdh-full-2026-07-07</t>
        </is>
      </c>
    </row>
    <row r="230" ht="96" customHeight="1">
      <c r="A230" s="35" t="n">
        <v>229</v>
      </c>
      <c r="B230" s="35" t="inlineStr">
        <is>
          <t>K-3</t>
        </is>
      </c>
      <c r="C230" s="35" t="inlineStr">
        <is>
          <t>Bilag 1.e</t>
        </is>
      </c>
      <c r="D230" s="35" t="inlineStr">
        <is>
          <t>Lov, cyber- og it-sikkerhed</t>
        </is>
      </c>
      <c r="E230" s="35" t="inlineStr">
        <is>
          <t>Understøttelse af brugeraudit for Statens IT</t>
        </is>
      </c>
      <c r="F230" s="35" t="inlineStr">
        <is>
          <t>Leverandøren skal i samarbejde med driftsleverandøren understøtte, at Kunden kan gennemføre regelmæssig brugeraudit af samtlige brugerroller og rettigheder i Løsningen, gennem generering af strukturerede dataudtræk over Brugere, tildelte roller, rettigheder og seneste login/aktivitet, herunder understøttelse af selve gennemførelsen samt fuld dokumentation af auditresultatet.</t>
        </is>
      </c>
      <c r="G230" s="35" t="inlineStr">
        <is>
          <t>Krav</t>
        </is>
      </c>
      <c r="H230" s="35">
        <f>IF(G230="Evalueringskrav","Answer",(IF(G230="Krav","Check",(IF(G230="Mindstekrav","Verify","")))))</f>
        <v/>
      </c>
      <c r="I230" s="35" t="inlineStr">
        <is>
          <t>Ja</t>
        </is>
      </c>
      <c r="J230" s="35" t="n"/>
      <c r="K230" s="47" t="n"/>
      <c r="L230" s="35" t="n"/>
      <c r="M230" s="35" t="n"/>
      <c r="N230" s="35" t="n"/>
      <c r="O230" s="35" t="n"/>
      <c r="P230" s="35" t="n"/>
      <c r="Q230" s="35" t="n"/>
      <c r="R230" s="35" t="n"/>
      <c r="S230" s="35" t="n"/>
      <c r="T230" s="35" t="n"/>
      <c r="U230" s="35" t="inlineStr">
        <is>
          <t>Not Started</t>
        </is>
      </c>
      <c r="V230" s="37">
        <f>IF(U230="Not Started",0%,IF(U230="Started",50%,IF(U230="Ready for review",70%,IF(U230="Reviewed - Content",80%,IF(U230="Reviewed - Format",90%,IF(U230="Done",100%,""))))))</f>
        <v/>
      </c>
      <c r="W230" t="inlineStr">
        <is>
          <t>2026-07-07</t>
        </is>
      </c>
      <c r="X230" t="inlineStr">
        <is>
          <t>Cursor / tender-response (batch)</t>
        </is>
      </c>
      <c r="Y230" t="inlineStr">
        <is>
          <t>Clarify</t>
        </is>
      </c>
      <c r="Z230" t="inlineStr">
        <is>
          <t>Verified</t>
        </is>
      </c>
      <c r="AA230" t="inlineStr">
        <is>
          <t>Check: Understøttelse af brugeraudit for Statens IT — kræver produkt-/team-afklaring (ingen tool-rating).</t>
        </is>
      </c>
      <c r="AB230" t="inlineStr"/>
      <c r="AC230" t="inlineStr">
        <is>
          <t>docs/tender-reference/extracted/Nationalbanken/Bilag 3.i Leverandørens Løsningsbeskrivelse.txt; docs/tender-reference/extracted/KK Tender tool.txt; docs/tender-reference/extracted/KUM-SLKS/Bilag 3 - Kravspecifikation.txt</t>
        </is>
      </c>
      <c r="AD230" t="inlineStr">
        <is>
          <t>Owner: Udfyld tool-rating (O) og evidens; gennemgå AI-kladde.</t>
        </is>
      </c>
      <c r="AE230" t="inlineStr"/>
      <c r="AF230" t="inlineStr">
        <is>
          <t>Draft</t>
        </is>
      </c>
      <c r="AG230" t="inlineStr">
        <is>
          <t>uim-esdh-full-2026-07-07</t>
        </is>
      </c>
    </row>
    <row r="231" ht="288" customHeight="1">
      <c r="A231" s="35" t="n">
        <v>230</v>
      </c>
      <c r="B231" s="35" t="inlineStr">
        <is>
          <t>K-4</t>
        </is>
      </c>
      <c r="C231" s="35" t="inlineStr">
        <is>
          <t>Bilag 1.e</t>
        </is>
      </c>
      <c r="D231" s="35" t="inlineStr">
        <is>
          <t>Risikovurdering</t>
        </is>
      </c>
      <c r="E231" s="35" t="inlineStr">
        <is>
          <t>Risikovurdering</t>
        </is>
      </c>
      <c r="F231" s="35" t="inlineStr">
        <is>
          <t>Leverandørens risikostyring af informationssikkerheden skal baseres på en dokumenteret og regelmæssigt opdateret risikovurdering. 
I relation til Leverandørens risikovurdering gælder det, at
Risikovurderingen skal omfatte de dele af Leverandørens virksomhed, som kan have konsekvenser for informationssikkerheden i ESDH-løsningen og Leveringskontraktens Ydelser i øvrigt. 
Leverandøren skal som minimum opdatere sin risikovurdering én gang årligt samt i forbindelse med forestående ændringer af Leverandørens egne organisatoriske forhold, forestående ændringer af en eventuel Underleverandørs forhold eller forestående ændringer af Løsningen. 
Leverandøren skal orientere Kunden om ændringer i ESDH-løsningen eller Ydelser med henblik på, at Kunden kan foretage fornyede risikovurderinger, herunder i forhold til Kundens tredjepartssystemer, der integrerer med ESDH-løsningen og eventuelt iværksætte ny(e) eller ændrede foranstaltninger på baggrund heraf. 
Leverandøren skal på Kundens anfordring dokumentere sin risikovurdering.</t>
        </is>
      </c>
      <c r="G231" s="35" t="inlineStr">
        <is>
          <t>Krav</t>
        </is>
      </c>
      <c r="H231" s="35">
        <f>IF(G231="Evalueringskrav","Answer",(IF(G231="Krav","Check",(IF(G231="Mindstekrav","Verify","")))))</f>
        <v/>
      </c>
      <c r="I231" s="35" t="inlineStr">
        <is>
          <t>Ja</t>
        </is>
      </c>
      <c r="J231" s="35" t="n"/>
      <c r="K231" s="47" t="n"/>
      <c r="L231" s="35" t="n"/>
      <c r="M231" s="35" t="n"/>
      <c r="N231" s="35" t="n"/>
      <c r="O231" s="35" t="n"/>
      <c r="P231" s="35" t="n"/>
      <c r="Q231" s="35" t="n"/>
      <c r="R231" s="35" t="n"/>
      <c r="S231" s="35" t="n"/>
      <c r="T231" s="35" t="n"/>
      <c r="U231" s="35" t="inlineStr">
        <is>
          <t>Not Started</t>
        </is>
      </c>
      <c r="V231" s="37">
        <f>IF(U231="Not Started",0%,IF(U231="Started",50%,IF(U231="Ready for review",70%,IF(U231="Reviewed - Content",80%,IF(U231="Reviewed - Format",90%,IF(U231="Done",100%,""))))))</f>
        <v/>
      </c>
      <c r="W231" t="inlineStr">
        <is>
          <t>2026-07-07</t>
        </is>
      </c>
      <c r="X231" t="inlineStr">
        <is>
          <t>Cursor / tender-response (batch)</t>
        </is>
      </c>
      <c r="Y231" t="inlineStr">
        <is>
          <t>Clarify</t>
        </is>
      </c>
      <c r="Z231" t="inlineStr">
        <is>
          <t>Verified</t>
        </is>
      </c>
      <c r="AA231" t="inlineStr">
        <is>
          <t>Check: Risikovurdering — kræver produkt-/team-afklaring (ingen tool-rating).</t>
        </is>
      </c>
      <c r="AB231" t="inlineStr"/>
      <c r="AC231" t="inlineStr">
        <is>
          <t>docs/tender-reference/extracted/Nationalbanken/Bilag 3.i Leverandørens Løsningsbeskrivelse.txt; docs/tender-reference/extracted/KK Tender tool.txt; docs/tender-reference/extracted/KUM-SLKS/Bilag 1 - Tidsplan.txt</t>
        </is>
      </c>
      <c r="AD231" t="inlineStr">
        <is>
          <t>Owner: Udfyld tool-rating (O) og evidens; gennemgå AI-kladde.</t>
        </is>
      </c>
      <c r="AE231" t="inlineStr"/>
      <c r="AF231" t="inlineStr">
        <is>
          <t>Draft</t>
        </is>
      </c>
      <c r="AG231" t="inlineStr">
        <is>
          <t>uim-esdh-full-2026-07-07</t>
        </is>
      </c>
    </row>
    <row r="232" ht="64" customHeight="1">
      <c r="A232" s="35" t="n">
        <v>231</v>
      </c>
      <c r="B232" s="35" t="inlineStr">
        <is>
          <t>K-5</t>
        </is>
      </c>
      <c r="C232" s="35" t="inlineStr">
        <is>
          <t>Bilag 1.e</t>
        </is>
      </c>
      <c r="D232" s="35" t="inlineStr">
        <is>
          <t>Risikovurdering</t>
        </is>
      </c>
      <c r="E232" s="35" t="inlineStr">
        <is>
          <t>It-sikkerhed (ISO27001 certificering eller tilsvarende)</t>
        </is>
      </c>
      <c r="F232" s="35" t="inlineStr">
        <is>
          <t>Leverandøren skal være certificeret efter ISO/IEC 27001 og årligt kunne fremvise en uvildig revisionserklæring (f.eks. ISAE 3000) vedrørende it-sikkerhed og databeskyttelse.</t>
        </is>
      </c>
      <c r="G232" s="35" t="inlineStr">
        <is>
          <t>Krav</t>
        </is>
      </c>
      <c r="H232" s="35">
        <f>IF(G232="Evalueringskrav","Answer",(IF(G232="Krav","Check",(IF(G232="Mindstekrav","Verify","")))))</f>
        <v/>
      </c>
      <c r="I232" s="35" t="inlineStr">
        <is>
          <t>Ja</t>
        </is>
      </c>
      <c r="J232" s="35" t="n"/>
      <c r="K232" s="47" t="n"/>
      <c r="L232" s="35" t="n"/>
      <c r="M232" s="35" t="n"/>
      <c r="N232" s="35" t="n"/>
      <c r="O232" s="35" t="n"/>
      <c r="P232" s="35" t="n"/>
      <c r="Q232" s="35" t="n"/>
      <c r="R232" s="35" t="n"/>
      <c r="S232" s="35" t="n"/>
      <c r="T232" s="35" t="n"/>
      <c r="U232" s="35" t="inlineStr">
        <is>
          <t>Not Started</t>
        </is>
      </c>
      <c r="V232" s="37">
        <f>IF(U232="Not Started",0%,IF(U232="Started",50%,IF(U232="Ready for review",70%,IF(U232="Reviewed - Content",80%,IF(U232="Reviewed - Format",90%,IF(U232="Done",100%,""))))))</f>
        <v/>
      </c>
      <c r="W232" t="inlineStr">
        <is>
          <t>2026-07-07</t>
        </is>
      </c>
      <c r="X232" t="inlineStr">
        <is>
          <t>Cursor / tender-response (batch)</t>
        </is>
      </c>
      <c r="Y232" t="inlineStr">
        <is>
          <t>Clarify</t>
        </is>
      </c>
      <c r="Z232" t="inlineStr">
        <is>
          <t>Verified</t>
        </is>
      </c>
      <c r="AA232" t="inlineStr">
        <is>
          <t>Check: It-sikkerhed (ISO27001 certificering eller tilsvarende) — kræver produkt-/team-afklaring (ingen tool-rating).</t>
        </is>
      </c>
      <c r="AB232" t="inlineStr"/>
      <c r="AC232" t="inlineStr">
        <is>
          <t>docs/tender-reference/extracted/HSØ/02.00-Tietoevry-SSA-L-Bilag 2-Leverandørens beskrivelse av Tjenesten.txt; docs/tender-reference/extracted/Nationalbanken/Bilag 9.1 Spørgeskema til brug for Kundens risikovurdering af it- og informationssikkerhed.txt; docs/tender-reference/extracted/KK Tender tool.txt</t>
        </is>
      </c>
      <c r="AD232" t="inlineStr">
        <is>
          <t>Owner: Udfyld tool-rating (O) og evidens; gennemgå AI-kladde.</t>
        </is>
      </c>
      <c r="AE232" t="inlineStr"/>
      <c r="AF232" t="inlineStr">
        <is>
          <t>Draft</t>
        </is>
      </c>
      <c r="AG232" t="inlineStr">
        <is>
          <t>uim-esdh-full-2026-07-07</t>
        </is>
      </c>
    </row>
    <row r="233" ht="96" customHeight="1">
      <c r="A233" s="35" t="n">
        <v>232</v>
      </c>
      <c r="B233" s="35" t="inlineStr">
        <is>
          <t>MK-7</t>
        </is>
      </c>
      <c r="C233" s="35" t="inlineStr">
        <is>
          <t>Bilag 1.e</t>
        </is>
      </c>
      <c r="D233" s="35" t="inlineStr">
        <is>
          <t>Leverandørens og ESDH-løsningens sikkerhed</t>
        </is>
      </c>
      <c r="E233" s="35" t="inlineStr">
        <is>
          <t>Leverandørens single point of contact</t>
        </is>
      </c>
      <c r="F233" s="35" t="inlineStr">
        <is>
          <t>Leverandøren skal oplyse en Single Point of Contact (SPOC) for Leverandørens sikkerhedsorganisation, som er i stand til at sikre en effektiv håndtering ved it-sikkerhedsbrud. Servicemålene for it-sikkerhedsbrud er uddybet i Bilag 1.h Servicemål. Ved aktivering af sikkerhedsberedskabet, skal Leverandøren kunne indgå i Kundens sikkerhedsorganisation.</t>
        </is>
      </c>
      <c r="G233" s="35" t="inlineStr">
        <is>
          <t>Mindstekrav</t>
        </is>
      </c>
      <c r="H233" s="35">
        <f>IF(G233="Evalueringskrav","Answer",(IF(G233="Krav","Check",(IF(G233="Mindstekrav","Verify","")))))</f>
        <v/>
      </c>
      <c r="I233" s="35" t="inlineStr">
        <is>
          <t>Ja</t>
        </is>
      </c>
      <c r="J233" s="35" t="n"/>
      <c r="K233" s="47" t="n"/>
      <c r="L233" s="35" t="n"/>
      <c r="M233" s="35" t="n"/>
      <c r="N233" s="35" t="n"/>
      <c r="O233" s="35" t="n"/>
      <c r="P233" s="35" t="n"/>
      <c r="Q233" s="35" t="n"/>
      <c r="R233" s="35" t="n"/>
      <c r="S233" s="35" t="n"/>
      <c r="T233" s="35" t="n"/>
      <c r="U233" s="35" t="inlineStr">
        <is>
          <t>Not Started</t>
        </is>
      </c>
      <c r="V233" s="37">
        <f>IF(U233="Not Started",0%,IF(U233="Started",50%,IF(U233="Ready for review",70%,IF(U233="Reviewed - Content",80%,IF(U233="Reviewed - Format",90%,IF(U233="Done",100%,""))))))</f>
        <v/>
      </c>
      <c r="W233" t="inlineStr">
        <is>
          <t>2026-07-07</t>
        </is>
      </c>
      <c r="X233" t="inlineStr">
        <is>
          <t>Cursor / tender-response (batch)</t>
        </is>
      </c>
      <c r="Y233" t="inlineStr">
        <is>
          <t>Clarify</t>
        </is>
      </c>
      <c r="Z233" t="inlineStr">
        <is>
          <t>Verified</t>
        </is>
      </c>
      <c r="AA233" t="inlineStr">
        <is>
          <t>Verify: Leverandørens single point of contact — kræver produkt-/team-afklaring (ingen tool-rating).</t>
        </is>
      </c>
      <c r="AB233" t="inlineStr"/>
      <c r="AC233" t="inlineStr">
        <is>
          <t>docs/tender-reference/extracted/KK Tender tool.txt; docs/tender-reference/extracted/Nationalbanken/Bilag 3.i Leverandørens Løsningsbeskrivelse.txt; docs/product/RFP_Leverandørens_svar_utdrag.txt</t>
        </is>
      </c>
      <c r="AD233" t="inlineStr">
        <is>
          <t>Owner: Udfyld tool-rating (O) og evidens; gennemgå AI-kladde.</t>
        </is>
      </c>
      <c r="AE233" t="inlineStr"/>
      <c r="AF233" t="inlineStr">
        <is>
          <t>Draft</t>
        </is>
      </c>
      <c r="AG233" t="inlineStr">
        <is>
          <t>uim-esdh-full-2026-07-07</t>
        </is>
      </c>
    </row>
    <row r="234" ht="112" customHeight="1">
      <c r="A234" s="35" t="n">
        <v>233</v>
      </c>
      <c r="B234" s="35" t="inlineStr">
        <is>
          <t>MK-8</t>
        </is>
      </c>
      <c r="C234" s="35" t="inlineStr">
        <is>
          <t>Bilag 1.e</t>
        </is>
      </c>
      <c r="D234" s="35" t="inlineStr">
        <is>
          <t>Leverandørens og ESDH-løsningens sikkerhed</t>
        </is>
      </c>
      <c r="E234" s="35" t="inlineStr">
        <is>
          <t>Informations-sikkerhed under driftsforstyrrelse</t>
        </is>
      </c>
      <c r="F234" s="35" t="inlineStr">
        <is>
          <t>Leverandøren skal efterleve kravene i ISO 27001, Anneks A, punkt 5.29
Organisationen skal planlægge, hvordan informationssikkerhed opretholdes på et passende niveau under driftsforstyrrelser. 
ESDH Leverandøren skal indgå i et samarbejde med Kunden og driftsleverandøren for at opnå dette.</t>
        </is>
      </c>
      <c r="G234" s="35" t="inlineStr">
        <is>
          <t>Mindstekrav</t>
        </is>
      </c>
      <c r="H234" s="35">
        <f>IF(G234="Evalueringskrav","Answer",(IF(G234="Krav","Check",(IF(G234="Mindstekrav","Verify","")))))</f>
        <v/>
      </c>
      <c r="I234" s="35" t="inlineStr">
        <is>
          <t>Ja</t>
        </is>
      </c>
      <c r="J234" s="35" t="n"/>
      <c r="K234" s="47" t="n"/>
      <c r="L234" s="35" t="n"/>
      <c r="M234" s="35" t="n"/>
      <c r="N234" s="35" t="n"/>
      <c r="O234" s="35" t="n"/>
      <c r="P234" s="35" t="n"/>
      <c r="Q234" s="35" t="n"/>
      <c r="R234" s="35" t="n"/>
      <c r="S234" s="35" t="n"/>
      <c r="T234" s="35" t="n"/>
      <c r="U234" s="35" t="inlineStr">
        <is>
          <t>Not Started</t>
        </is>
      </c>
      <c r="V234" s="37">
        <f>IF(U234="Not Started",0%,IF(U234="Started",50%,IF(U234="Ready for review",70%,IF(U234="Reviewed - Content",80%,IF(U234="Reviewed - Format",90%,IF(U234="Done",100%,""))))))</f>
        <v/>
      </c>
      <c r="W234" t="inlineStr">
        <is>
          <t>2026-07-07</t>
        </is>
      </c>
      <c r="X234" t="inlineStr">
        <is>
          <t>Cursor / tender-response (batch)</t>
        </is>
      </c>
      <c r="Y234" t="inlineStr">
        <is>
          <t>Clarify</t>
        </is>
      </c>
      <c r="Z234" t="inlineStr">
        <is>
          <t>Verified</t>
        </is>
      </c>
      <c r="AA234" t="inlineStr">
        <is>
          <t>Verify: Informations-sikkerhed under driftsforstyrrelse — kræver produkt-/team-afklaring (ingen tool-rating).</t>
        </is>
      </c>
      <c r="AB234" t="inlineStr"/>
      <c r="AC234" t="inlineStr">
        <is>
          <t>docs/tender-reference/extracted/Nationalbanken/Bilag 3.i Leverandørens Løsningsbeskrivelse.txt; docs/tender-reference/extracted/KK Tender tool.txt; docs/tender-reference/extracted/KUM-SLKS/Bilag 3 - Kravspecifikation.txt</t>
        </is>
      </c>
      <c r="AD234" t="inlineStr">
        <is>
          <t>Owner: Udfyld tool-rating (O) og evidens; gennemgå AI-kladde.</t>
        </is>
      </c>
      <c r="AE234" t="inlineStr"/>
      <c r="AF234" t="inlineStr">
        <is>
          <t>Draft</t>
        </is>
      </c>
      <c r="AG234" t="inlineStr">
        <is>
          <t>uim-esdh-full-2026-07-07</t>
        </is>
      </c>
    </row>
    <row r="235" ht="112" customHeight="1">
      <c r="A235" s="35" t="n">
        <v>234</v>
      </c>
      <c r="B235" s="35" t="inlineStr">
        <is>
          <t>MK-9</t>
        </is>
      </c>
      <c r="C235" s="35" t="inlineStr">
        <is>
          <t>Bilag 1.e</t>
        </is>
      </c>
      <c r="D235" s="35" t="inlineStr">
        <is>
          <t>Leverandørens og ESDH-løsningens sikkerhed</t>
        </is>
      </c>
      <c r="E235" s="35" t="inlineStr">
        <is>
          <t>IKT-parathed til understøttelse af business continuity</t>
        </is>
      </c>
      <c r="F235" s="35" t="inlineStr">
        <is>
          <t>Leverandøren skal efterleve kravene i ISO 27001, Anneks A, punkt 5.30.
IKT-parathed skal planlægges, implementeres. Vedligeholdes og testes på grundlag af mål for business continuity og IKT-kontinuitetskrav.
ESDH Leverandøren skal indgå i et samarbejde med Kunden og driftsleverandøren for at opnå dette.</t>
        </is>
      </c>
      <c r="G235" s="35" t="inlineStr">
        <is>
          <t>Mindstekrav</t>
        </is>
      </c>
      <c r="H235" s="35">
        <f>IF(G235="Evalueringskrav","Answer",(IF(G235="Krav","Check",(IF(G235="Mindstekrav","Verify","")))))</f>
        <v/>
      </c>
      <c r="I235" s="35" t="inlineStr">
        <is>
          <t>Ja</t>
        </is>
      </c>
      <c r="J235" s="35" t="n"/>
      <c r="K235" s="47" t="n"/>
      <c r="L235" s="35" t="n"/>
      <c r="M235" s="35" t="n"/>
      <c r="N235" s="35" t="n"/>
      <c r="O235" s="35" t="n"/>
      <c r="P235" s="35" t="n"/>
      <c r="Q235" s="35" t="n"/>
      <c r="R235" s="35" t="n"/>
      <c r="S235" s="35" t="n"/>
      <c r="T235" s="35" t="n"/>
      <c r="U235" s="35" t="inlineStr">
        <is>
          <t>Not Started</t>
        </is>
      </c>
      <c r="V235" s="37">
        <f>IF(U235="Not Started",0%,IF(U235="Started",50%,IF(U235="Ready for review",70%,IF(U235="Reviewed - Content",80%,IF(U235="Reviewed - Format",90%,IF(U235="Done",100%,""))))))</f>
        <v/>
      </c>
      <c r="W235" t="inlineStr">
        <is>
          <t>2026-07-07</t>
        </is>
      </c>
      <c r="X235" t="inlineStr">
        <is>
          <t>Cursor / tender-response (batch)</t>
        </is>
      </c>
      <c r="Y235" t="inlineStr">
        <is>
          <t>Clarify</t>
        </is>
      </c>
      <c r="Z235" t="inlineStr">
        <is>
          <t>Verified</t>
        </is>
      </c>
      <c r="AA235" t="inlineStr">
        <is>
          <t>Verify: IKT-parathed til understøttelse af business continuity — kræver produkt-/team-afklaring (ingen tool-rating).</t>
        </is>
      </c>
      <c r="AB235" t="inlineStr"/>
      <c r="AC235" t="inlineStr">
        <is>
          <t>docs/tender-reference/extracted/Nationalbanken/Bilag 3.i Leverandørens Løsningsbeskrivelse.txt; docs/tender-reference/extracted/KK Tender tool.txt; docs/tender-reference/extracted/KUM-SLKS/Bilag 3 - Kravspecifikation.txt</t>
        </is>
      </c>
      <c r="AD235" t="inlineStr">
        <is>
          <t>Owner: Udfyld tool-rating (O) og evidens; gennemgå AI-kladde.</t>
        </is>
      </c>
      <c r="AE235" t="inlineStr"/>
      <c r="AF235" t="inlineStr">
        <is>
          <t>Draft</t>
        </is>
      </c>
      <c r="AG235" t="inlineStr">
        <is>
          <t>uim-esdh-full-2026-07-07</t>
        </is>
      </c>
    </row>
    <row r="236" ht="96" customHeight="1">
      <c r="A236" s="35" t="n">
        <v>235</v>
      </c>
      <c r="B236" s="35" t="inlineStr">
        <is>
          <t>MK-10</t>
        </is>
      </c>
      <c r="C236" s="35" t="inlineStr">
        <is>
          <t>Bilag 1.e</t>
        </is>
      </c>
      <c r="D236" s="35" t="inlineStr">
        <is>
          <t>Leverandørens og ESDH-løsningens sikkerhed</t>
        </is>
      </c>
      <c r="E236" s="35" t="inlineStr">
        <is>
          <t>Sikkerheds-godkendelse og SIA pc</t>
        </is>
      </c>
      <c r="F236" s="35" t="inlineStr">
        <is>
          <t>Leverandøren skal sikre, at alt personale, der tildeles opgaver i relation til ESDH-løsningen (f.eks. ved udvikling, drift, support eller konsulentbistand), kan opnå og opretholde en gyldig personalsikkerhedsgodkendelse til niveau HEMMELIG.
Ved drift skal det gå gennem Statens IT leverandøradgang.  
adgang til UIM’s infrastruktur.</t>
        </is>
      </c>
      <c r="G236" s="35" t="inlineStr">
        <is>
          <t>Mindstekrav</t>
        </is>
      </c>
      <c r="H236" s="35">
        <f>IF(G236="Evalueringskrav","Answer",(IF(G236="Krav","Check",(IF(G236="Mindstekrav","Verify","")))))</f>
        <v/>
      </c>
      <c r="I236" s="35" t="inlineStr">
        <is>
          <t>Ja</t>
        </is>
      </c>
      <c r="J236" s="35" t="n"/>
      <c r="K236" s="47" t="n"/>
      <c r="L236" s="35" t="n"/>
      <c r="M236" s="35" t="n"/>
      <c r="N236" s="35" t="n"/>
      <c r="O236" s="35" t="n"/>
      <c r="P236" s="35" t="n"/>
      <c r="Q236" s="35" t="n"/>
      <c r="R236" s="35" t="n"/>
      <c r="S236" s="35" t="n"/>
      <c r="T236" s="35" t="n"/>
      <c r="U236" s="35" t="inlineStr">
        <is>
          <t>Not Started</t>
        </is>
      </c>
      <c r="V236" s="37">
        <f>IF(U236="Not Started",0%,IF(U236="Started",50%,IF(U236="Ready for review",70%,IF(U236="Reviewed - Content",80%,IF(U236="Reviewed - Format",90%,IF(U236="Done",100%,""))))))</f>
        <v/>
      </c>
      <c r="W236" t="inlineStr">
        <is>
          <t>2026-07-07</t>
        </is>
      </c>
      <c r="X236" t="inlineStr">
        <is>
          <t>Cursor / tender-response (batch)</t>
        </is>
      </c>
      <c r="Y236" t="inlineStr">
        <is>
          <t>Clarify</t>
        </is>
      </c>
      <c r="Z236" t="inlineStr">
        <is>
          <t>Verified</t>
        </is>
      </c>
      <c r="AA236" t="inlineStr">
        <is>
          <t>Verify: Sikkerheds-godkendelse og SIA pc — kræver produkt-/team-afklaring (ingen tool-rating).</t>
        </is>
      </c>
      <c r="AB236" t="inlineStr"/>
      <c r="AC236" t="inlineStr">
        <is>
          <t>docs/tender-reference/extracted/Nationalbanken/Bilag 3.i Leverandørens Løsningsbeskrivelse.txt; docs/tender-reference/extracted/KK Tender tool.txt; docs/tender-reference/extracted/KUM-SLKS/Bilag 3 - Kravspecifikation.txt</t>
        </is>
      </c>
      <c r="AD236" t="inlineStr">
        <is>
          <t>Owner: Udfyld tool-rating (O) og evidens; gennemgå AI-kladde.</t>
        </is>
      </c>
      <c r="AE236" t="inlineStr"/>
      <c r="AF236" t="inlineStr">
        <is>
          <t>Draft</t>
        </is>
      </c>
      <c r="AG236" t="inlineStr">
        <is>
          <t>uim-esdh-full-2026-07-07</t>
        </is>
      </c>
    </row>
    <row r="237" ht="80" customHeight="1">
      <c r="A237" s="35" t="n">
        <v>236</v>
      </c>
      <c r="B237" s="35" t="inlineStr">
        <is>
          <t>MK-11</t>
        </is>
      </c>
      <c r="C237" s="35" t="inlineStr">
        <is>
          <t>Bilag 1.e</t>
        </is>
      </c>
      <c r="D237" s="35" t="inlineStr">
        <is>
          <t>Leverandørens og ESDH-løsningens sikkerhed</t>
        </is>
      </c>
      <c r="E237" s="35" t="inlineStr">
        <is>
          <t>Databeskyttelse gennem design og standardindstillinger</t>
        </is>
      </c>
      <c r="F237" s="35" t="inlineStr">
        <is>
          <t>Leverandøren skal levere en Løsning, hvor databeskyttelse er indlejret i Løsningen og systemudviklingen, det vil sige at Løsningens måde at realisere de forretningsmæssige mål er designet i overensstemmelse med de grundlæggende principper i databeskyttelsesretten.</t>
        </is>
      </c>
      <c r="G237" s="35" t="inlineStr">
        <is>
          <t>Mindstekrav</t>
        </is>
      </c>
      <c r="H237" s="35">
        <f>IF(G237="Evalueringskrav","Answer",(IF(G237="Krav","Check",(IF(G237="Mindstekrav","Verify","")))))</f>
        <v/>
      </c>
      <c r="I237" s="35" t="inlineStr">
        <is>
          <t>Ja</t>
        </is>
      </c>
      <c r="J237" s="35" t="n"/>
      <c r="K237" s="47" t="n"/>
      <c r="L237" s="35" t="n"/>
      <c r="M237" s="35" t="n"/>
      <c r="N237" s="35" t="n"/>
      <c r="O237" s="35" t="n"/>
      <c r="P237" s="35" t="n"/>
      <c r="Q237" s="35" t="n"/>
      <c r="R237" s="35" t="n"/>
      <c r="S237" s="35" t="n"/>
      <c r="T237" s="35" t="n"/>
      <c r="U237" s="35" t="inlineStr">
        <is>
          <t>Not Started</t>
        </is>
      </c>
      <c r="V237" s="37">
        <f>IF(U237="Not Started",0%,IF(U237="Started",50%,IF(U237="Ready for review",70%,IF(U237="Reviewed - Content",80%,IF(U237="Reviewed - Format",90%,IF(U237="Done",100%,""))))))</f>
        <v/>
      </c>
      <c r="W237" t="inlineStr">
        <is>
          <t>2026-07-07</t>
        </is>
      </c>
      <c r="X237" t="inlineStr">
        <is>
          <t>Cursor / tender-response (batch)</t>
        </is>
      </c>
      <c r="Y237" t="inlineStr">
        <is>
          <t>Clarify</t>
        </is>
      </c>
      <c r="Z237" t="inlineStr">
        <is>
          <t>Verified</t>
        </is>
      </c>
      <c r="AA237" t="inlineStr">
        <is>
          <t>Verify: Databeskyttelse gennem design og standardindstillinger — kræver produkt-/team-afklaring (ingen tool-rating).</t>
        </is>
      </c>
      <c r="AB237" t="inlineStr"/>
      <c r="AC23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37" t="inlineStr">
        <is>
          <t>Owner: Udfyld tool-rating (O) og evidens; gennemgå AI-kladde.</t>
        </is>
      </c>
      <c r="AE237" t="inlineStr"/>
      <c r="AF237" t="inlineStr">
        <is>
          <t>Draft</t>
        </is>
      </c>
      <c r="AG237" t="inlineStr">
        <is>
          <t>uim-esdh-full-2026-07-07</t>
        </is>
      </c>
    </row>
    <row r="238" ht="64" customHeight="1">
      <c r="A238" s="35" t="n">
        <v>237</v>
      </c>
      <c r="B238" s="35" t="inlineStr">
        <is>
          <t>MK-12</t>
        </is>
      </c>
      <c r="C238" s="35" t="inlineStr">
        <is>
          <t>Bilag 1.e</t>
        </is>
      </c>
      <c r="D238" s="35" t="inlineStr">
        <is>
          <t>Leverandørens og ESDH-løsningens sikkerhed</t>
        </is>
      </c>
      <c r="E238" s="35" t="inlineStr">
        <is>
          <t>Virus og malware skanning</t>
        </is>
      </c>
      <c r="F238" s="35" t="inlineStr">
        <is>
          <t>ESDH-løsningen understøtter automatiseret virusscanning af alle Dokumenter ved upload, således at potentielt skadelige Filer identificeres og håndteres, før de gemmes eller gøres tilgængelige i Løsningen.</t>
        </is>
      </c>
      <c r="G238" s="35" t="inlineStr">
        <is>
          <t>Mindstekrav</t>
        </is>
      </c>
      <c r="H238" s="35">
        <f>IF(G238="Evalueringskrav","Answer",(IF(G238="Krav","Check",(IF(G238="Mindstekrav","Verify","")))))</f>
        <v/>
      </c>
      <c r="I238" s="35" t="inlineStr">
        <is>
          <t>Ja</t>
        </is>
      </c>
      <c r="J238" s="35" t="n"/>
      <c r="K238" s="47" t="n"/>
      <c r="L238" s="35" t="n"/>
      <c r="M238" s="35" t="n"/>
      <c r="N238" s="35" t="n"/>
      <c r="O238" s="35" t="n"/>
      <c r="P238" s="35" t="n"/>
      <c r="Q238" s="35" t="n"/>
      <c r="R238" s="35" t="n"/>
      <c r="S238" s="35" t="n"/>
      <c r="T238" s="35" t="n"/>
      <c r="U238" s="35" t="inlineStr">
        <is>
          <t>Not Started</t>
        </is>
      </c>
      <c r="V238" s="37">
        <f>IF(U238="Not Started",0%,IF(U238="Started",50%,IF(U238="Ready for review",70%,IF(U238="Reviewed - Content",80%,IF(U238="Reviewed - Format",90%,IF(U238="Done",100%,""))))))</f>
        <v/>
      </c>
      <c r="W238" t="inlineStr">
        <is>
          <t>2026-07-07</t>
        </is>
      </c>
      <c r="X238" t="inlineStr">
        <is>
          <t>Cursor / tender-response (batch)</t>
        </is>
      </c>
      <c r="Y238" t="inlineStr">
        <is>
          <t>Clarify</t>
        </is>
      </c>
      <c r="Z238" t="inlineStr">
        <is>
          <t>Verified</t>
        </is>
      </c>
      <c r="AA238" t="inlineStr">
        <is>
          <t>Verify: Virus og malware skanning — kræver produkt-/team-afklaring (ingen tool-rating).</t>
        </is>
      </c>
      <c r="AB238" t="inlineStr"/>
      <c r="AC238" t="inlineStr">
        <is>
          <t>docs/tender-reference/extracted/KK Tender tool.txt; docs/tender-reference/extracted/Nationalbanken/Bilag 3.i Leverandørens Løsningsbeskrivelse.txt; docs/tender-reference/extracted/KUM-SLKS/Bilag 3 - Kravspecifikation.txt</t>
        </is>
      </c>
      <c r="AD238" t="inlineStr">
        <is>
          <t>Owner: Udfyld tool-rating (O) og evidens; gennemgå AI-kladde.</t>
        </is>
      </c>
      <c r="AE238" t="inlineStr"/>
      <c r="AF238" t="inlineStr">
        <is>
          <t>Draft</t>
        </is>
      </c>
      <c r="AG238" t="inlineStr">
        <is>
          <t>uim-esdh-full-2026-07-07</t>
        </is>
      </c>
    </row>
    <row r="239" ht="80" customHeight="1">
      <c r="A239" s="35" t="n">
        <v>238</v>
      </c>
      <c r="B239" s="35" t="inlineStr">
        <is>
          <t>MK-13</t>
        </is>
      </c>
      <c r="C239" s="35" t="inlineStr">
        <is>
          <t>Bilag 1.e</t>
        </is>
      </c>
      <c r="D239" s="35" t="inlineStr">
        <is>
          <t>Leverandørens og ESDH-løsningens sikkerhed</t>
        </is>
      </c>
      <c r="E239" s="35" t="inlineStr">
        <is>
          <t>Patch Management</t>
        </is>
      </c>
      <c r="F239" s="35" t="inlineStr">
        <is>
          <t>Leverandøren skal have en dokumenteret patch management-proces, som sikrer, at nødvendige sikkerhedsopdateringer og fejlrettelser til ESDH-løsningen stilles til rådighed for Kunden rettidigt og i et dokumenteret format, således at Kunden eller dennes driftsleverandør kan implementere opdateringerne uden involvering fra Leverandøren.</t>
        </is>
      </c>
      <c r="G239" s="35" t="inlineStr">
        <is>
          <t>Mindstekrav</t>
        </is>
      </c>
      <c r="H239" s="35">
        <f>IF(G239="Evalueringskrav","Answer",(IF(G239="Krav","Check",(IF(G239="Mindstekrav","Verify","")))))</f>
        <v/>
      </c>
      <c r="I239" s="35" t="inlineStr">
        <is>
          <t>Ja</t>
        </is>
      </c>
      <c r="J239" s="35" t="n"/>
      <c r="K239" s="47" t="n"/>
      <c r="L239" s="35" t="n"/>
      <c r="M239" s="35" t="n"/>
      <c r="N239" s="35" t="n"/>
      <c r="O239" s="35" t="n"/>
      <c r="P239" s="35" t="n"/>
      <c r="Q239" s="35" t="n"/>
      <c r="R239" s="35" t="n"/>
      <c r="S239" s="35" t="n"/>
      <c r="T239" s="35" t="n"/>
      <c r="U239" s="35" t="inlineStr">
        <is>
          <t>Not Started</t>
        </is>
      </c>
      <c r="V239" s="37">
        <f>IF(U239="Not Started",0%,IF(U239="Started",50%,IF(U239="Ready for review",70%,IF(U239="Reviewed - Content",80%,IF(U239="Reviewed - Format",90%,IF(U239="Done",100%,""))))))</f>
        <v/>
      </c>
      <c r="W239" t="inlineStr">
        <is>
          <t>2026-07-07</t>
        </is>
      </c>
      <c r="X239" t="inlineStr">
        <is>
          <t>Cursor / tender-response (batch)</t>
        </is>
      </c>
      <c r="Y239" t="inlineStr">
        <is>
          <t>Clarify</t>
        </is>
      </c>
      <c r="Z239" t="inlineStr">
        <is>
          <t>Verified</t>
        </is>
      </c>
      <c r="AA239" t="inlineStr">
        <is>
          <t>Verify: Patch Management — kræver produkt-/team-afklaring (ingen tool-rating).</t>
        </is>
      </c>
      <c r="AB239" t="inlineStr"/>
      <c r="AC239"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39" t="inlineStr">
        <is>
          <t>Owner: Udfyld tool-rating (O) og evidens; gennemgå AI-kladde.</t>
        </is>
      </c>
      <c r="AE239" t="inlineStr"/>
      <c r="AF239" t="inlineStr">
        <is>
          <t>Draft</t>
        </is>
      </c>
      <c r="AG239" t="inlineStr">
        <is>
          <t>uim-esdh-full-2026-07-07</t>
        </is>
      </c>
    </row>
    <row r="240" ht="64" customHeight="1">
      <c r="A240" s="35" t="n">
        <v>239</v>
      </c>
      <c r="B240" s="35" t="inlineStr">
        <is>
          <t>MK-14</t>
        </is>
      </c>
      <c r="C240" s="35" t="inlineStr">
        <is>
          <t>Bilag 1.e</t>
        </is>
      </c>
      <c r="D240" s="35" t="inlineStr">
        <is>
          <t>Leverandørens og ESDH-løsningens sikkerhed</t>
        </is>
      </c>
      <c r="E240" s="35" t="inlineStr">
        <is>
          <t>Konstaterede sårbarheder</t>
        </is>
      </c>
      <c r="F240" s="35" t="inlineStr">
        <is>
          <t>Leverandøren skal uden unødigt ophold orientere Kunden, hvis der konstateres sårbarheder i Leverandørens egen kode eller i anvendte tredjepartskomponenter og underleverandørers kode.</t>
        </is>
      </c>
      <c r="G240" s="35" t="inlineStr">
        <is>
          <t>Mindstekrav</t>
        </is>
      </c>
      <c r="H240" s="35">
        <f>IF(G240="Evalueringskrav","Answer",(IF(G240="Krav","Check",(IF(G240="Mindstekrav","Verify","")))))</f>
        <v/>
      </c>
      <c r="I240" s="35" t="inlineStr">
        <is>
          <t>Ja</t>
        </is>
      </c>
      <c r="J240" s="35" t="n"/>
      <c r="K240" s="47" t="n"/>
      <c r="L240" s="35" t="n"/>
      <c r="M240" s="35" t="n"/>
      <c r="N240" s="35" t="n"/>
      <c r="O240" s="35" t="n"/>
      <c r="P240" s="35" t="n"/>
      <c r="Q240" s="35" t="n"/>
      <c r="R240" s="35" t="n"/>
      <c r="S240" s="35" t="n"/>
      <c r="T240" s="35" t="n"/>
      <c r="U240" s="35" t="inlineStr">
        <is>
          <t>Not Started</t>
        </is>
      </c>
      <c r="V240" s="37">
        <f>IF(U240="Not Started",0%,IF(U240="Started",50%,IF(U240="Ready for review",70%,IF(U240="Reviewed - Content",80%,IF(U240="Reviewed - Format",90%,IF(U240="Done",100%,""))))))</f>
        <v/>
      </c>
      <c r="W240" t="inlineStr">
        <is>
          <t>2026-07-07</t>
        </is>
      </c>
      <c r="X240" t="inlineStr">
        <is>
          <t>Cursor / tender-response (batch)</t>
        </is>
      </c>
      <c r="Y240" t="inlineStr">
        <is>
          <t>Clarify</t>
        </is>
      </c>
      <c r="Z240" t="inlineStr">
        <is>
          <t>Verified</t>
        </is>
      </c>
      <c r="AA240" t="inlineStr">
        <is>
          <t>Verify: Konstaterede sårbarheder — kræver produkt-/team-afklaring (ingen tool-rating).</t>
        </is>
      </c>
      <c r="AB240" t="inlineStr"/>
      <c r="AC240" t="inlineStr">
        <is>
          <t>docs/tender-reference/extracted/KK Tender tool.txt; docs/tender-reference/extracted/Nationalbanken/Underbilag 6B - Testplan og Leverandørens prøveprincipper, metoder og -værktøjer (1).txt; docs/tender-reference/extracted/KUM-SLKS/Bilag 3 - Kravspecifikation.txt</t>
        </is>
      </c>
      <c r="AD240" t="inlineStr">
        <is>
          <t>Owner: Udfyld tool-rating (O) og evidens; gennemgå AI-kladde.</t>
        </is>
      </c>
      <c r="AE240" t="inlineStr"/>
      <c r="AF240" t="inlineStr">
        <is>
          <t>Draft</t>
        </is>
      </c>
      <c r="AG240" t="inlineStr">
        <is>
          <t>uim-esdh-full-2026-07-07</t>
        </is>
      </c>
    </row>
    <row r="241" ht="64" customHeight="1">
      <c r="A241" s="35" t="n">
        <v>240</v>
      </c>
      <c r="B241" s="35" t="inlineStr">
        <is>
          <t>MK-15</t>
        </is>
      </c>
      <c r="C241" s="35" t="inlineStr">
        <is>
          <t>Bilag 1.e</t>
        </is>
      </c>
      <c r="D241" s="35" t="inlineStr">
        <is>
          <t>Leverandørens og ESDH-løsningens sikkerhed</t>
        </is>
      </c>
      <c r="E241" s="35" t="inlineStr">
        <is>
          <t>Release Management</t>
        </is>
      </c>
      <c r="F241" s="35" t="inlineStr">
        <is>
          <t>ESDH-leverandøren skal sikre, at driftsleverandøren og Kunden, i samarbejde, er i stand til at sikre, at nye versioner af ESDH-løsningen kan idriftsættes.</t>
        </is>
      </c>
      <c r="G241" s="35" t="inlineStr">
        <is>
          <t>Mindstekrav</t>
        </is>
      </c>
      <c r="H241" s="35">
        <f>IF(G241="Evalueringskrav","Answer",(IF(G241="Krav","Check",(IF(G241="Mindstekrav","Verify","")))))</f>
        <v/>
      </c>
      <c r="I241" s="35" t="inlineStr">
        <is>
          <t>Ja</t>
        </is>
      </c>
      <c r="J241" s="35" t="n"/>
      <c r="K241" s="47" t="n"/>
      <c r="L241" s="35" t="n"/>
      <c r="M241" s="35" t="n"/>
      <c r="N241" s="35" t="n"/>
      <c r="O241" s="35" t="n"/>
      <c r="P241" s="35" t="n"/>
      <c r="Q241" s="35" t="n"/>
      <c r="R241" s="35" t="n"/>
      <c r="S241" s="35" t="n"/>
      <c r="T241" s="35" t="n"/>
      <c r="U241" s="35" t="inlineStr">
        <is>
          <t>Not Started</t>
        </is>
      </c>
      <c r="V241" s="37">
        <f>IF(U241="Not Started",0%,IF(U241="Started",50%,IF(U241="Ready for review",70%,IF(U241="Reviewed - Content",80%,IF(U241="Reviewed - Format",90%,IF(U241="Done",100%,""))))))</f>
        <v/>
      </c>
      <c r="W241" t="inlineStr">
        <is>
          <t>2026-07-07</t>
        </is>
      </c>
      <c r="X241" t="inlineStr">
        <is>
          <t>Cursor / tender-response (batch)</t>
        </is>
      </c>
      <c r="Y241" t="inlineStr">
        <is>
          <t>Clarify</t>
        </is>
      </c>
      <c r="Z241" t="inlineStr">
        <is>
          <t>Verified</t>
        </is>
      </c>
      <c r="AA241" t="inlineStr">
        <is>
          <t>Verify: Release Management — kræver produkt-/team-afklaring (ingen tool-rating).</t>
        </is>
      </c>
      <c r="AB241" t="inlineStr"/>
      <c r="AC241" t="inlineStr">
        <is>
          <t>docs/tender-reference/extracted/Nationalbanken/Bilag 3.i Leverandørens Løsningsbeskrivelse.txt; docs/tender-reference/extracted/KUM-SLKS/Bilag 1 - Tidsplan.txt; docs/tender-reference/extracted/KUM-SLKS/Bilag 3 - Kravspecifikation.txt</t>
        </is>
      </c>
      <c r="AD241" t="inlineStr">
        <is>
          <t>Owner: Udfyld tool-rating (O) og evidens; gennemgå AI-kladde.</t>
        </is>
      </c>
      <c r="AE241" t="inlineStr"/>
      <c r="AF241" t="inlineStr">
        <is>
          <t>Draft</t>
        </is>
      </c>
      <c r="AG241" t="inlineStr">
        <is>
          <t>uim-esdh-full-2026-07-07</t>
        </is>
      </c>
    </row>
    <row r="242" ht="409.5" customHeight="1">
      <c r="A242" s="35" t="n">
        <v>241</v>
      </c>
      <c r="B242" s="35" t="inlineStr">
        <is>
          <t>MK-16</t>
        </is>
      </c>
      <c r="C242" s="35" t="inlineStr">
        <is>
          <t>Bilag 1.e</t>
        </is>
      </c>
      <c r="D242" s="35" t="inlineStr">
        <is>
          <t>Leverandørens og ESDH-løsningens sikkerhed</t>
        </is>
      </c>
      <c r="E242" s="35" t="inlineStr">
        <is>
          <t>Ledelsessystem for informations-sikkerhedsstyring (ISMS)</t>
        </is>
      </c>
      <c r="F242" s="35" t="inlineStr">
        <is>
          <t>Leverandøren skal med henblik på løbende sikring af informationssikkerhed i tilknytning til levering af Ydelserne opretholde et ledelsessystem for informationssikkerhedsstyring (ISMS) efter den til enhver tid gældende version af ISO27001 standard baseret på en risikostyringsproces. 
Leverandøren skal herunder løbende tilpasse sit ISMS, såfremt Leverandørens opdatering af sin risikovurdering, medfører et behov herfor. 
Leverandørens ISMS skal som minimum: 
Fastlægge interne og eksterne forhold, der har betydning for Leverandørens evne til at opnå de tilsigtede resultater af ledelsessystemet, herunder skal ISMS’et afspejle en forståelse af interessenters behov og forventninger. 
Fastlægge grænserne og anvendelsesområderne for ISMS’et. 
Afspejle at Leverandørens ledelse er forpligtet til at sikre, at Leverandørens informationssikkerhedspolitikker og målsætninger for informationssikkerhed er fastlagt, kommunikeret, opnår de tilsigtede resultater, løbende forbedres og at der er tilgængelige ressourcer hertil, herunder at der er uddelegeret roller og ansvar for informationssikkerheden. 
Fastlægge Leverandørens styring og gennemførelse af vurdering og håndtering af informationssikkerhedsrisici. 
Fastlægge evaluering af informationssikkerheden og den resultatrelaterede effektivitet af ISMS’et, herunder afrapportering på evaluering og effektivitet til Leverandørens topledelse. 
Være dokumenteret og sikre at afvigelser fra ISMS’et håndteres.
Leverandøren skal sikre sig løbende sårbarhedsscanninger på kode og anvendte kodebibliotekter, og hvis der anvendes en containerbaseret Løsning, skal de også scannes for potentielle sårbarheder.</t>
        </is>
      </c>
      <c r="G242" s="35" t="inlineStr">
        <is>
          <t>Mindstekrav</t>
        </is>
      </c>
      <c r="H242" s="35">
        <f>IF(G242="Evalueringskrav","Answer",(IF(G242="Krav","Check",(IF(G242="Mindstekrav","Verify","")))))</f>
        <v/>
      </c>
      <c r="I242" s="35" t="inlineStr">
        <is>
          <t>Ja</t>
        </is>
      </c>
      <c r="J242" s="35" t="n"/>
      <c r="K242" s="47" t="n"/>
      <c r="L242" s="35" t="n"/>
      <c r="M242" s="35" t="n"/>
      <c r="N242" s="35" t="n"/>
      <c r="O242" s="35" t="n"/>
      <c r="P242" s="35" t="n"/>
      <c r="Q242" s="35" t="n"/>
      <c r="R242" s="35" t="n"/>
      <c r="S242" s="35" t="n"/>
      <c r="T242" s="35" t="n"/>
      <c r="U242" s="35" t="inlineStr">
        <is>
          <t>Not Started</t>
        </is>
      </c>
      <c r="V242" s="37">
        <f>IF(U242="Not Started",0%,IF(U242="Started",50%,IF(U242="Ready for review",70%,IF(U242="Reviewed - Content",80%,IF(U242="Reviewed - Format",90%,IF(U242="Done",100%,""))))))</f>
        <v/>
      </c>
      <c r="W242" t="inlineStr">
        <is>
          <t>2026-07-07</t>
        </is>
      </c>
      <c r="X242" t="inlineStr">
        <is>
          <t>Cursor / tender-response (batch)</t>
        </is>
      </c>
      <c r="Y242" t="inlineStr">
        <is>
          <t>Clarify</t>
        </is>
      </c>
      <c r="Z242" t="inlineStr">
        <is>
          <t>Verified</t>
        </is>
      </c>
      <c r="AA242" t="inlineStr">
        <is>
          <t>Verify: Ledelsessystem for informations-sikkerhedsstyring (ISMS) — kræver produkt-/team-afklaring (ingen tool-rating).</t>
        </is>
      </c>
      <c r="AB242" t="inlineStr"/>
      <c r="AC242" t="inlineStr">
        <is>
          <t>docs/tender-reference/extracted/Nationalbanken/Bilag 3.i Leverandørens Løsningsbeskrivelse.txt; docs/tender-reference/extracted/KK Tender tool.txt; docs/tender-reference/extracted/KUM-SLKS/Bilag 3 - Kravspecifikation.txt</t>
        </is>
      </c>
      <c r="AD242" t="inlineStr">
        <is>
          <t>Owner: Udfyld tool-rating (O) og evidens; gennemgå AI-kladde.</t>
        </is>
      </c>
      <c r="AE242" t="inlineStr"/>
      <c r="AF242" t="inlineStr">
        <is>
          <t>Draft</t>
        </is>
      </c>
      <c r="AG242" t="inlineStr">
        <is>
          <t>uim-esdh-full-2026-07-07</t>
        </is>
      </c>
    </row>
    <row r="243" ht="368" customHeight="1">
      <c r="A243" s="35" t="n">
        <v>242</v>
      </c>
      <c r="B243" s="35" t="inlineStr">
        <is>
          <t>K-6</t>
        </is>
      </c>
      <c r="C243" s="35" t="inlineStr">
        <is>
          <t>Bilag 1.e</t>
        </is>
      </c>
      <c r="D243" s="35" t="inlineStr">
        <is>
          <t>Leverandørens og ESDH-løsningens sikkerhed</t>
        </is>
      </c>
      <c r="E243" s="35" t="inlineStr">
        <is>
          <t>Sikkerhedstest, sårbarhedsscanninger og penetrationstest</t>
        </is>
      </c>
      <c r="F243" s="35" t="inlineStr">
        <is>
          <t>Leverandøren skal understøtte, at driftsleverandøren kan gennemføre passende sikkerhedstest af ESDH-løsningen, herunder sårbarhedsscanninger og penetrationstest, uden behov for teknisk bistand fra Leverandøren, herunder at: 
Leverandøren bistår driftsleverandøren med mulighed for at gennemføre systematiske og regelmæssige sårbarhedsscanninger af ESDH-løsningen, herunder ved at stille nødvendig teknisk dokumentation og grænseflader til rådighed. 
Leverandøren har en dokumenteret og effektiv procedure for håndtering af sårbarheder, herunder patch management, hvor identificerede sårbarheder kategoriseres, risikovurderes og adresseres efter en dokumenteret prioriteringsmodel. 
Resultaterne af gennemførte sikkerhedstest, sårbarhedsscanninger og penetrationstest – uanset om de er udført af Leverandøren eller driftsleverandøren – indgår i Leverandørens samlede risikovurdering af ESDH-løsningen. 
Leverandøren foretager sikkerhedstest af ESDH-løsningen. Disse tests skal anvende automatiserede sikkerhedsscanningsværktøjer og omfatte kontrol af almindelige sikkerhedsmæssige svagheder, herunder code-injections. 
Leverandøren gennemfører ovenstående sikkerhedstest før Ibrugtagning af ESDH-løsningen.</t>
        </is>
      </c>
      <c r="G243" s="35" t="inlineStr">
        <is>
          <t>Krav</t>
        </is>
      </c>
      <c r="H243" s="35">
        <f>IF(G243="Evalueringskrav","Answer",(IF(G243="Krav","Check",(IF(G243="Mindstekrav","Verify","")))))</f>
        <v/>
      </c>
      <c r="I243" s="35" t="inlineStr">
        <is>
          <t>Ja</t>
        </is>
      </c>
      <c r="J243" s="35" t="n"/>
      <c r="K243" s="47" t="n"/>
      <c r="L243" s="35" t="n"/>
      <c r="M243" s="35" t="n"/>
      <c r="N243" s="35" t="n"/>
      <c r="O243" s="35" t="n"/>
      <c r="P243" s="35" t="n"/>
      <c r="Q243" s="35" t="n"/>
      <c r="R243" s="35" t="n"/>
      <c r="S243" s="35" t="n"/>
      <c r="T243" s="35" t="n"/>
      <c r="U243" s="35" t="inlineStr">
        <is>
          <t>Not Started</t>
        </is>
      </c>
      <c r="V243" s="37">
        <f>IF(U243="Not Started",0%,IF(U243="Started",50%,IF(U243="Ready for review",70%,IF(U243="Reviewed - Content",80%,IF(U243="Reviewed - Format",90%,IF(U243="Done",100%,""))))))</f>
        <v/>
      </c>
      <c r="W243" t="inlineStr">
        <is>
          <t>2026-07-07</t>
        </is>
      </c>
      <c r="X243" t="inlineStr">
        <is>
          <t>Cursor / tender-response (batch)</t>
        </is>
      </c>
      <c r="Y243" t="inlineStr">
        <is>
          <t>Clarify</t>
        </is>
      </c>
      <c r="Z243" t="inlineStr">
        <is>
          <t>Verified</t>
        </is>
      </c>
      <c r="AA243" t="inlineStr">
        <is>
          <t>Check: Sikkerhedstest, sårbarhedsscanninger og penetrationstest — kræver produkt-/team-afklaring (ingen tool-rating).</t>
        </is>
      </c>
      <c r="AB243" t="inlineStr"/>
      <c r="AC243" t="inlineStr">
        <is>
          <t>docs/tender-reference/extracted/Nationalbanken/Bilag 3.i Leverandørens Løsningsbeskrivelse.txt; docs/tender-reference/extracted/KK Tender tool.txt; docs/tender-reference/extracted/KUM-SLKS/Bilag 1 - Tidsplan.txt</t>
        </is>
      </c>
      <c r="AD243" t="inlineStr">
        <is>
          <t>Owner: Udfyld tool-rating (O) og evidens; gennemgå AI-kladde.</t>
        </is>
      </c>
      <c r="AE243" t="inlineStr"/>
      <c r="AF243" t="inlineStr">
        <is>
          <t>Draft</t>
        </is>
      </c>
      <c r="AG243" t="inlineStr">
        <is>
          <t>uim-esdh-full-2026-07-07</t>
        </is>
      </c>
    </row>
    <row r="244" ht="409.5" customHeight="1">
      <c r="A244" s="35" t="n">
        <v>243</v>
      </c>
      <c r="B244" s="35" t="inlineStr">
        <is>
          <t>K-7</t>
        </is>
      </c>
      <c r="C244" s="35" t="inlineStr">
        <is>
          <t>Bilag 1.e</t>
        </is>
      </c>
      <c r="D244" s="35" t="inlineStr">
        <is>
          <t>Leverandørens og ESDH-løsningens sikkerhed</t>
        </is>
      </c>
      <c r="E244" s="35" t="inlineStr">
        <is>
          <t>Sikkerhedsrapport for ESDH-løsningen</t>
        </is>
      </c>
      <c r="F244" s="35" t="inlineStr">
        <is>
          <t>Leverandøren skal hver måned rapportere, i samarbejde med driftsleverandøren hvor det er nødvendigt, på relevante sikkerhedsmæssige forhold og beskrive status på de sikkerhedsmæssige aspekter. Sikkerhedsrapporten bør jf. GDPR art. 32 indeholde følgende: 
Ændringer i risikobilledet: Dokumentation af nye, eksterne cybertrusler, interne organisatoriske omstruktureringer eller ændrede markedsvilkår, der påvirker virksomhedens samlede risikoprofil.
Adgangsændringer: Løbende registrering af tildelte, ændrede eller slettede brugerrettigheder med særligt fokus på kritiske Administrator- og systemkonti.
Væsentlige driftsforstyrrelser: Logning af og opfølgning på alvorlige systemnedbrud, hardwarefejl eller netværksproblemer, der har påvirket datatilgængeligheden.
Identificerede sårbarheder: Resultater fra tekniske scanninger og penetrationstest, der blotlægger svagheder i applikationer, firewalls eller serverinfrastruktur.
Patchstatus: Aktuel oversigt over udrullede sikkerhedsopdateringer samt en tidslinje for udbedring af kendte softwarefejl i operativsystemer og programmer.
Katastrofeberedskab: Procedurer for hurtig retablering af data samt dokumentation for regelmæssig test af backup-systemer.
Status på afvigelser og handleplaner: En uafhængig opgørelse over udestående sikkerhedsmangler (afvigelser) parret med konkrete, tidsbestemte planer og ansvarlige personer for udbedringen.
Sikkerhedshændelser: En detaljeret oversigt over alle registrerede sikkerhedsbrud eller mistænkelige hændelser i den pågældende rapporteringsperiode.</t>
        </is>
      </c>
      <c r="G244" s="35" t="inlineStr">
        <is>
          <t>Krav</t>
        </is>
      </c>
      <c r="H244" s="35">
        <f>IF(G244="Evalueringskrav","Answer",(IF(G244="Krav","Check",(IF(G244="Mindstekrav","Verify","")))))</f>
        <v/>
      </c>
      <c r="I244" s="35" t="inlineStr">
        <is>
          <t>Ja</t>
        </is>
      </c>
      <c r="J244" s="35" t="n"/>
      <c r="K244" s="47" t="n"/>
      <c r="L244" s="35" t="n"/>
      <c r="M244" s="35" t="n"/>
      <c r="N244" s="35" t="n"/>
      <c r="O244" s="35" t="n"/>
      <c r="P244" s="35" t="n"/>
      <c r="Q244" s="35" t="n"/>
      <c r="R244" s="35" t="n"/>
      <c r="S244" s="35" t="n"/>
      <c r="T244" s="35" t="n"/>
      <c r="U244" s="35" t="inlineStr">
        <is>
          <t>Not Started</t>
        </is>
      </c>
      <c r="V244" s="37">
        <f>IF(U244="Not Started",0%,IF(U244="Started",50%,IF(U244="Ready for review",70%,IF(U244="Reviewed - Content",80%,IF(U244="Reviewed - Format",90%,IF(U244="Done",100%,""))))))</f>
        <v/>
      </c>
      <c r="W244" t="inlineStr">
        <is>
          <t>2026-07-07</t>
        </is>
      </c>
      <c r="X244" t="inlineStr">
        <is>
          <t>Cursor / tender-response (batch)</t>
        </is>
      </c>
      <c r="Y244" t="inlineStr">
        <is>
          <t>Clarify</t>
        </is>
      </c>
      <c r="Z244" t="inlineStr">
        <is>
          <t>Verified</t>
        </is>
      </c>
      <c r="AA244" t="inlineStr">
        <is>
          <t>Check: Sikkerhedsrapport for ESDH-løsningen — kræver produkt-/team-afklaring (ingen tool-rating).</t>
        </is>
      </c>
      <c r="AB244" t="inlineStr"/>
      <c r="AC244" t="inlineStr">
        <is>
          <t>docs/tender-reference/extracted/Nationalbanken/Bilag 3.i Leverandørens Løsningsbeskrivelse.txt; docs/tender-reference/extracted/KK Tender tool.txt; docs/tender-reference/extracted/NND/02.01-Tieto-Bilag 2-Vedlegg-Leverandørens utfyllende svar til kravtabell.txt</t>
        </is>
      </c>
      <c r="AD244" t="inlineStr">
        <is>
          <t>Owner: Udfyld tool-rating (O) og evidens; gennemgå AI-kladde.</t>
        </is>
      </c>
      <c r="AE244" t="inlineStr"/>
      <c r="AF244" t="inlineStr">
        <is>
          <t>Draft</t>
        </is>
      </c>
      <c r="AG244" t="inlineStr">
        <is>
          <t>uim-esdh-full-2026-07-07</t>
        </is>
      </c>
    </row>
    <row r="245" ht="112" customHeight="1">
      <c r="A245" s="35" t="n">
        <v>244</v>
      </c>
      <c r="B245" s="35" t="inlineStr">
        <is>
          <t>K-8</t>
        </is>
      </c>
      <c r="C245" s="35" t="inlineStr">
        <is>
          <t>Bilag 1.e</t>
        </is>
      </c>
      <c r="D245" s="35" t="inlineStr">
        <is>
          <t>Leverandørens og ESDH-løsningens sikkerhed</t>
        </is>
      </c>
      <c r="E245" s="35" t="inlineStr">
        <is>
          <t>Sikker udvikling af ESDH-løsningen</t>
        </is>
      </c>
      <c r="F245" s="35" t="inlineStr">
        <is>
          <t>Leverandøren skal anvende og dokumentere best practice for sikker softwareudvikling (f.eks. OWASP, ISO/IEC 27034 eller tilsvarende).
Leverandøren skal sikre og dokumentere kontrol med it-sikkerheden i softwareleverancekæden (Software Supply Chain Security), herunder styring og godkendelse af anvendte kodebiblioteker og versioner.
Leverandøren skal på anmodning kunne dokumentere overholdelse af disse krav.</t>
        </is>
      </c>
      <c r="G245" s="35" t="inlineStr">
        <is>
          <t>Krav</t>
        </is>
      </c>
      <c r="H245" s="35">
        <f>IF(G245="Evalueringskrav","Answer",(IF(G245="Krav","Check",(IF(G245="Mindstekrav","Verify","")))))</f>
        <v/>
      </c>
      <c r="I245" s="35" t="inlineStr">
        <is>
          <t>Ja</t>
        </is>
      </c>
      <c r="J245" s="35" t="n"/>
      <c r="K245" s="47" t="n"/>
      <c r="L245" s="35" t="n"/>
      <c r="M245" s="35" t="n"/>
      <c r="N245" s="35" t="n"/>
      <c r="O245" s="35" t="n"/>
      <c r="P245" s="35" t="n"/>
      <c r="Q245" s="35" t="n"/>
      <c r="R245" s="35" t="n"/>
      <c r="S245" s="35" t="n"/>
      <c r="T245" s="35" t="n"/>
      <c r="U245" s="35" t="inlineStr">
        <is>
          <t>Not Started</t>
        </is>
      </c>
      <c r="V245" s="37">
        <f>IF(U245="Not Started",0%,IF(U245="Started",50%,IF(U245="Ready for review",70%,IF(U245="Reviewed - Content",80%,IF(U245="Reviewed - Format",90%,IF(U245="Done",100%,""))))))</f>
        <v/>
      </c>
      <c r="W245" t="inlineStr">
        <is>
          <t>2026-07-07</t>
        </is>
      </c>
      <c r="X245" t="inlineStr">
        <is>
          <t>Cursor / tender-response (batch)</t>
        </is>
      </c>
      <c r="Y245" t="inlineStr">
        <is>
          <t>Clarify</t>
        </is>
      </c>
      <c r="Z245" t="inlineStr">
        <is>
          <t>Verified</t>
        </is>
      </c>
      <c r="AA245" t="inlineStr">
        <is>
          <t>Check: Sikker udvikling af ESDH-løsningen — kræver produkt-/team-afklaring (ingen tool-rating).</t>
        </is>
      </c>
      <c r="AB245" t="inlineStr"/>
      <c r="AC245"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45" t="inlineStr">
        <is>
          <t>Owner: Udfyld tool-rating (O) og evidens; gennemgå AI-kladde.</t>
        </is>
      </c>
      <c r="AE245" t="inlineStr"/>
      <c r="AF245" t="inlineStr">
        <is>
          <t>Draft</t>
        </is>
      </c>
      <c r="AG245" t="inlineStr">
        <is>
          <t>uim-esdh-full-2026-07-07</t>
        </is>
      </c>
    </row>
    <row r="246" ht="96" customHeight="1">
      <c r="A246" s="35" t="n">
        <v>245</v>
      </c>
      <c r="B246" s="35" t="inlineStr">
        <is>
          <t>MK-17</t>
        </is>
      </c>
      <c r="C246" s="35" t="inlineStr">
        <is>
          <t>Bilag 1.e</t>
        </is>
      </c>
      <c r="D246" s="35" t="inlineStr">
        <is>
          <t>Logning</t>
        </is>
      </c>
      <c r="E246" s="35" t="inlineStr">
        <is>
          <t>Logning og revisionsspor for Brugere</t>
        </is>
      </c>
      <c r="F246" s="35" t="inlineStr">
        <is>
          <t>ESDH-løsningen skal automatisk generere et uforanderligt revisionsspor (logning) af alle brugerhandlinger (søgning, oprettelse, visning, ændring og sletning af data og Dokumenter) så de logges på identiteten i overensstemmelse med forvaltningsretlige principper. Logningen skal indeholde en tidsstempling samt entydig identifikation af den udførende Bruger.</t>
        </is>
      </c>
      <c r="G246" s="35" t="inlineStr">
        <is>
          <t>Mindstekrav</t>
        </is>
      </c>
      <c r="H246" s="35">
        <f>IF(G246="Evalueringskrav","Answer",(IF(G246="Krav","Check",(IF(G246="Mindstekrav","Verify","")))))</f>
        <v/>
      </c>
      <c r="I246" s="35" t="inlineStr">
        <is>
          <t>Ja</t>
        </is>
      </c>
      <c r="J246" s="35" t="n"/>
      <c r="K246" s="47" t="n"/>
      <c r="L246" s="35" t="n"/>
      <c r="M246" s="35" t="n"/>
      <c r="N246" s="35" t="n"/>
      <c r="O246" s="35" t="n"/>
      <c r="P246" s="35" t="n"/>
      <c r="Q246" s="35" t="n"/>
      <c r="R246" s="35" t="n"/>
      <c r="S246" s="35" t="n"/>
      <c r="T246" s="35" t="n"/>
      <c r="U246" s="35" t="inlineStr">
        <is>
          <t>Not Started</t>
        </is>
      </c>
      <c r="V246" s="37">
        <f>IF(U246="Not Started",0%,IF(U246="Started",50%,IF(U246="Ready for review",70%,IF(U246="Reviewed - Content",80%,IF(U246="Reviewed - Format",90%,IF(U246="Done",100%,""))))))</f>
        <v/>
      </c>
      <c r="W246" t="inlineStr">
        <is>
          <t>2026-07-07</t>
        </is>
      </c>
      <c r="X246" t="inlineStr">
        <is>
          <t>Cursor / tender-response (batch)</t>
        </is>
      </c>
      <c r="Y246" t="inlineStr">
        <is>
          <t>Clarify</t>
        </is>
      </c>
      <c r="Z246" t="inlineStr">
        <is>
          <t>Verified</t>
        </is>
      </c>
      <c r="AA246" t="inlineStr">
        <is>
          <t>Verify: Logning og revisionsspor for Brugere — kræver produkt-/team-afklaring (ingen tool-rating).</t>
        </is>
      </c>
      <c r="AB246" t="inlineStr"/>
      <c r="AC246" t="inlineStr">
        <is>
          <t>docs/tender-reference/extracted/KK Tender tool.txt; docs/tender-reference/extracted/Nationalbanken/Bilag 3.i Leverandørens Løsningsbeskrivelse.txt; docs/tender-reference/extracted/KUM-SLKS/Bilag 3 - Kravspecifikation.txt</t>
        </is>
      </c>
      <c r="AD246" t="inlineStr">
        <is>
          <t>Owner: Udfyld tool-rating (O) og evidens; gennemgå AI-kladde.</t>
        </is>
      </c>
      <c r="AE246" t="inlineStr"/>
      <c r="AF246" t="inlineStr">
        <is>
          <t>Draft</t>
        </is>
      </c>
      <c r="AG246" t="inlineStr">
        <is>
          <t>uim-esdh-full-2026-07-07</t>
        </is>
      </c>
    </row>
    <row r="247" ht="128" customHeight="1">
      <c r="A247" s="35" t="n">
        <v>246</v>
      </c>
      <c r="B247" s="35" t="inlineStr">
        <is>
          <t>MK-18</t>
        </is>
      </c>
      <c r="C247" s="35" t="inlineStr">
        <is>
          <t>Bilag 1.e</t>
        </is>
      </c>
      <c r="D247" s="35" t="inlineStr">
        <is>
          <t>Logning</t>
        </is>
      </c>
      <c r="E247" s="35" t="inlineStr">
        <is>
          <t>Logning og revisionsspor for Administrator</t>
        </is>
      </c>
      <c r="F247" s="35" t="inlineStr">
        <is>
          <t>ESDH-løsningen skal automatisk generere et uforanderligt revisionsspor (logning) af alle administratorhandlinger (søgning, oprettelse, visning, ændring og sletning af data og Dokumenter) så de logges på identiteten i overensstemmelse med forvaltningsretlige principper. Dette gør sig også gældende både for databaseaktiviteter foretaget i ESDH-løsningen og direkte i databaseadministrationsværktøjet. Logningen skal indeholde en tidsstempling samt entydig identifikation af den udførende Bruger.</t>
        </is>
      </c>
      <c r="G247" s="35" t="inlineStr">
        <is>
          <t>Mindstekrav</t>
        </is>
      </c>
      <c r="H247" s="35">
        <f>IF(G247="Evalueringskrav","Answer",(IF(G247="Krav","Check",(IF(G247="Mindstekrav","Verify","")))))</f>
        <v/>
      </c>
      <c r="I247" s="35" t="inlineStr">
        <is>
          <t>Ja</t>
        </is>
      </c>
      <c r="J247" s="35" t="n"/>
      <c r="K247" s="47" t="n"/>
      <c r="L247" s="35" t="n"/>
      <c r="M247" s="35" t="n"/>
      <c r="N247" s="35" t="n"/>
      <c r="O247" s="35" t="n"/>
      <c r="P247" s="35" t="n"/>
      <c r="Q247" s="35" t="n"/>
      <c r="R247" s="35" t="n"/>
      <c r="S247" s="35" t="n"/>
      <c r="T247" s="35" t="n"/>
      <c r="U247" s="35" t="inlineStr">
        <is>
          <t>Not Started</t>
        </is>
      </c>
      <c r="V247" s="37">
        <f>IF(U247="Not Started",0%,IF(U247="Started",50%,IF(U247="Ready for review",70%,IF(U247="Reviewed - Content",80%,IF(U247="Reviewed - Format",90%,IF(U247="Done",100%,""))))))</f>
        <v/>
      </c>
      <c r="W247" t="inlineStr">
        <is>
          <t>2026-07-07</t>
        </is>
      </c>
      <c r="X247" t="inlineStr">
        <is>
          <t>Cursor / tender-response (batch)</t>
        </is>
      </c>
      <c r="Y247" t="inlineStr">
        <is>
          <t>Clarify</t>
        </is>
      </c>
      <c r="Z247" t="inlineStr">
        <is>
          <t>Verified</t>
        </is>
      </c>
      <c r="AA247" t="inlineStr">
        <is>
          <t>Verify: Logning og revisionsspor for Administrator — kræver produkt-/team-afklaring (ingen tool-rating).</t>
        </is>
      </c>
      <c r="AB247" t="inlineStr"/>
      <c r="AC24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47" t="inlineStr">
        <is>
          <t>Owner: Udfyld tool-rating (O) og evidens; gennemgå AI-kladde.</t>
        </is>
      </c>
      <c r="AE247" t="inlineStr"/>
      <c r="AF247" t="inlineStr">
        <is>
          <t>Draft</t>
        </is>
      </c>
      <c r="AG247" t="inlineStr">
        <is>
          <t>uim-esdh-full-2026-07-07</t>
        </is>
      </c>
    </row>
    <row r="248" ht="64" customHeight="1">
      <c r="A248" s="35" t="n">
        <v>247</v>
      </c>
      <c r="B248" s="35" t="inlineStr">
        <is>
          <t>MK-19</t>
        </is>
      </c>
      <c r="C248" s="35" t="inlineStr">
        <is>
          <t>Bilag 1.e</t>
        </is>
      </c>
      <c r="D248" s="35" t="inlineStr">
        <is>
          <t>Logning</t>
        </is>
      </c>
      <c r="E248" s="35" t="inlineStr">
        <is>
          <t>Overvågning af aktiviteter</t>
        </is>
      </c>
      <c r="F248" s="35" t="inlineStr">
        <is>
          <t>ESDH-løsningen skal generere og opretholde detaljerede security logs, som dokumenterer alle sikkerhedsrelevante hændelser, herunder loginforsøg, ændringer i rettigheder, adgang til følsomme data samt fejl og alarmer.</t>
        </is>
      </c>
      <c r="G248" s="35" t="inlineStr">
        <is>
          <t>Mindstekrav</t>
        </is>
      </c>
      <c r="H248" s="35">
        <f>IF(G248="Evalueringskrav","Answer",(IF(G248="Krav","Check",(IF(G248="Mindstekrav","Verify","")))))</f>
        <v/>
      </c>
      <c r="I248" s="35" t="inlineStr">
        <is>
          <t>Ja</t>
        </is>
      </c>
      <c r="J248" s="35" t="n"/>
      <c r="K248" s="47" t="n"/>
      <c r="L248" s="35" t="n"/>
      <c r="M248" s="35" t="n"/>
      <c r="N248" s="35" t="n"/>
      <c r="O248" s="35" t="n"/>
      <c r="P248" s="35" t="n"/>
      <c r="Q248" s="35" t="n"/>
      <c r="R248" s="35" t="n"/>
      <c r="S248" s="35" t="n"/>
      <c r="T248" s="35" t="n"/>
      <c r="U248" s="35" t="inlineStr">
        <is>
          <t>Not Started</t>
        </is>
      </c>
      <c r="V248" s="37">
        <f>IF(U248="Not Started",0%,IF(U248="Started",50%,IF(U248="Ready for review",70%,IF(U248="Reviewed - Content",80%,IF(U248="Reviewed - Format",90%,IF(U248="Done",100%,""))))))</f>
        <v/>
      </c>
      <c r="W248" t="inlineStr">
        <is>
          <t>2026-07-07</t>
        </is>
      </c>
      <c r="X248" t="inlineStr">
        <is>
          <t>Cursor / tender-response (batch)</t>
        </is>
      </c>
      <c r="Y248" t="inlineStr">
        <is>
          <t>Clarify</t>
        </is>
      </c>
      <c r="Z248" t="inlineStr">
        <is>
          <t>Verified</t>
        </is>
      </c>
      <c r="AA248" t="inlineStr">
        <is>
          <t>Verify: Overvågning af aktiviteter — kræver produkt-/team-afklaring (ingen tool-rating).</t>
        </is>
      </c>
      <c r="AB248" t="inlineStr"/>
      <c r="AC248" t="inlineStr">
        <is>
          <t>docs/tender-reference/extracted/KK Tender tool.txt; docs/tender-reference/extracted/Nationalbanken/Bilag 3.i Leverandørens Løsningsbeskrivelse.txt; docs/tender-reference/extracted/Nationalbanken/Bilag 9.i Leverandørens løsningsbeskrivelse.txt</t>
        </is>
      </c>
      <c r="AD248" t="inlineStr">
        <is>
          <t>Owner: Udfyld tool-rating (O) og evidens; gennemgå AI-kladde.</t>
        </is>
      </c>
      <c r="AE248" t="inlineStr"/>
      <c r="AF248" t="inlineStr">
        <is>
          <t>Draft</t>
        </is>
      </c>
      <c r="AG248" t="inlineStr">
        <is>
          <t>uim-esdh-full-2026-07-07</t>
        </is>
      </c>
    </row>
    <row r="249" ht="64" customHeight="1">
      <c r="A249" s="35" t="n">
        <v>248</v>
      </c>
      <c r="B249" s="35" t="inlineStr">
        <is>
          <t>MK-20</t>
        </is>
      </c>
      <c r="C249" s="35" t="inlineStr">
        <is>
          <t>Bilag 1.e</t>
        </is>
      </c>
      <c r="D249" s="35" t="inlineStr">
        <is>
          <t>Logning</t>
        </is>
      </c>
      <c r="E249" s="35" t="inlineStr">
        <is>
          <t>Adskillelse af logs og systemsporbarhed</t>
        </is>
      </c>
      <c r="F249" s="35" t="inlineStr">
        <is>
          <t>Leverandøren skal sikre, at systemlogs i ESDH-løsningen genereres og lagres adskilt i formålsbestemte og separate logs, samt implementere en unik identifikator på tværs af alle logtyper, f.eks. eventlogs, security logs m.fl. som sikrer fuld sporbarhed af den enkelte transaktion.</t>
        </is>
      </c>
      <c r="G249" s="35" t="inlineStr">
        <is>
          <t>Mindstekrav</t>
        </is>
      </c>
      <c r="H249" s="35">
        <f>IF(G249="Evalueringskrav","Answer",(IF(G249="Krav","Check",(IF(G249="Mindstekrav","Verify","")))))</f>
        <v/>
      </c>
      <c r="I249" s="35" t="inlineStr">
        <is>
          <t>Ja</t>
        </is>
      </c>
      <c r="J249" s="35" t="n"/>
      <c r="K249" s="47" t="n"/>
      <c r="L249" s="35" t="n"/>
      <c r="M249" s="35" t="n"/>
      <c r="N249" s="35" t="n"/>
      <c r="O249" s="35" t="n"/>
      <c r="P249" s="35" t="n"/>
      <c r="Q249" s="35" t="n"/>
      <c r="R249" s="35" t="n"/>
      <c r="S249" s="35" t="n"/>
      <c r="T249" s="35" t="n"/>
      <c r="U249" s="35" t="inlineStr">
        <is>
          <t>Not Started</t>
        </is>
      </c>
      <c r="V249" s="37">
        <f>IF(U249="Not Started",0%,IF(U249="Started",50%,IF(U249="Ready for review",70%,IF(U249="Reviewed - Content",80%,IF(U249="Reviewed - Format",90%,IF(U249="Done",100%,""))))))</f>
        <v/>
      </c>
      <c r="W249" t="inlineStr">
        <is>
          <t>2026-07-07</t>
        </is>
      </c>
      <c r="X249" t="inlineStr">
        <is>
          <t>Cursor / tender-response (batch)</t>
        </is>
      </c>
      <c r="Y249" t="inlineStr">
        <is>
          <t>Clarify</t>
        </is>
      </c>
      <c r="Z249" t="inlineStr">
        <is>
          <t>Verified</t>
        </is>
      </c>
      <c r="AA249" t="inlineStr">
        <is>
          <t>Verify: Adskillelse af logs og systemsporbarhed — kræver produkt-/team-afklaring (ingen tool-rating).</t>
        </is>
      </c>
      <c r="AB249" t="inlineStr"/>
      <c r="AC249" t="inlineStr">
        <is>
          <t>docs/tender-reference/extracted/KK Tender tool.txt; docs/tender-reference/extracted/Nationalbanken/Bilag 3.i Leverandørens Løsningsbeskrivelse.txt; docs/tender-reference/extracted/HSØ/02.00-Tietoevry-SSA-L-Bilag 2-Leverandørens beskrivelse av Tjenesten.txt</t>
        </is>
      </c>
      <c r="AD249" t="inlineStr">
        <is>
          <t>Owner: Udfyld tool-rating (O) og evidens; gennemgå AI-kladde.</t>
        </is>
      </c>
      <c r="AE249" t="inlineStr"/>
      <c r="AF249" t="inlineStr">
        <is>
          <t>Draft</t>
        </is>
      </c>
      <c r="AG249" t="inlineStr">
        <is>
          <t>uim-esdh-full-2026-07-07</t>
        </is>
      </c>
    </row>
    <row r="250" ht="32" customHeight="1">
      <c r="A250" s="35" t="n">
        <v>249</v>
      </c>
      <c r="B250" s="35" t="inlineStr">
        <is>
          <t>MK-21</t>
        </is>
      </c>
      <c r="C250" s="35" t="inlineStr">
        <is>
          <t>Bilag 1.e</t>
        </is>
      </c>
      <c r="D250" s="35" t="inlineStr">
        <is>
          <t>Logning</t>
        </is>
      </c>
      <c r="E250" s="35" t="inlineStr">
        <is>
          <t>ESDH log</t>
        </is>
      </c>
      <c r="F250" s="35" t="inlineStr">
        <is>
          <t>Leverandøren skal sikre, at ESDH-løsningen genererer og lagrer egne applikationsspecifikke logs.</t>
        </is>
      </c>
      <c r="G250" s="35" t="inlineStr">
        <is>
          <t>Mindstekrav</t>
        </is>
      </c>
      <c r="H250" s="35">
        <f>IF(G250="Evalueringskrav","Answer",(IF(G250="Krav","Check",(IF(G250="Mindstekrav","Verify","")))))</f>
        <v/>
      </c>
      <c r="I250" s="35" t="inlineStr">
        <is>
          <t>Ja</t>
        </is>
      </c>
      <c r="J250" s="35" t="n"/>
      <c r="K250" s="47" t="n"/>
      <c r="L250" s="35" t="n"/>
      <c r="M250" s="35" t="n"/>
      <c r="N250" s="35" t="n"/>
      <c r="O250" s="35" t="n"/>
      <c r="P250" s="35" t="n"/>
      <c r="Q250" s="35" t="n"/>
      <c r="R250" s="35" t="n"/>
      <c r="S250" s="35" t="n"/>
      <c r="T250" s="35" t="n"/>
      <c r="U250" s="35" t="inlineStr">
        <is>
          <t>Not Started</t>
        </is>
      </c>
      <c r="V250" s="37">
        <f>IF(U250="Not Started",0%,IF(U250="Started",50%,IF(U250="Ready for review",70%,IF(U250="Reviewed - Content",80%,IF(U250="Reviewed - Format",90%,IF(U250="Done",100%,""))))))</f>
        <v/>
      </c>
      <c r="W250" t="inlineStr">
        <is>
          <t>2026-07-07</t>
        </is>
      </c>
      <c r="X250" t="inlineStr">
        <is>
          <t>Cursor / tender-response (batch)</t>
        </is>
      </c>
      <c r="Y250" t="inlineStr">
        <is>
          <t>Clarify</t>
        </is>
      </c>
      <c r="Z250" t="inlineStr">
        <is>
          <t>Verified</t>
        </is>
      </c>
      <c r="AA250" t="inlineStr">
        <is>
          <t>Verify: ESDH log — kræver produkt-/team-afklaring (ingen tool-rating).</t>
        </is>
      </c>
      <c r="AB250" t="inlineStr"/>
      <c r="AC250" t="inlineStr">
        <is>
          <t>docs/tender-reference/extracted/NND/02.01-Tieto-Bilag 2-Vedlegg-Leverandørens utfyllende svar til kravtabell.txt; docs/product/RFP_Leverandørens_svar_utdrag.txt; docs/tender-reference/extracted/HSØ/02.00-Tietoevry-SSA-L-Bilag 2-Leverandørens beskrivelse av Tjenesten.txt</t>
        </is>
      </c>
      <c r="AD250" t="inlineStr">
        <is>
          <t>Owner: Udfyld tool-rating (O) og evidens; gennemgå AI-kladde.</t>
        </is>
      </c>
      <c r="AE250" t="inlineStr"/>
      <c r="AF250" t="inlineStr">
        <is>
          <t>Draft</t>
        </is>
      </c>
      <c r="AG250" t="inlineStr">
        <is>
          <t>uim-esdh-full-2026-07-07</t>
        </is>
      </c>
    </row>
    <row r="251" ht="80" customHeight="1">
      <c r="A251" s="35" t="n">
        <v>250</v>
      </c>
      <c r="B251" s="35" t="inlineStr">
        <is>
          <t>MK-22</t>
        </is>
      </c>
      <c r="C251" s="35" t="inlineStr">
        <is>
          <t>Bilag 1.e</t>
        </is>
      </c>
      <c r="D251" s="35" t="inlineStr">
        <is>
          <t>Logning</t>
        </is>
      </c>
      <c r="E251" s="35" t="inlineStr">
        <is>
          <t>Beskyttelse af Log</t>
        </is>
      </c>
      <c r="F251" s="35" t="inlineStr">
        <is>
          <t>ESDH-løsningens samtlige komponenter (egenudviklede- og tredjepartskomponenter) skal understøtte, at logfiler ikke kan manipuleres i Løsningen. Alle logs skal være uforanderlige, og kunne tilgås af autoriserede Administratorer med henblik på revision, overvågning og hændelseshåndtering.</t>
        </is>
      </c>
      <c r="G251" s="35" t="inlineStr">
        <is>
          <t>Mindstekrav</t>
        </is>
      </c>
      <c r="H251" s="35">
        <f>IF(G251="Evalueringskrav","Answer",(IF(G251="Krav","Check",(IF(G251="Mindstekrav","Verify","")))))</f>
        <v/>
      </c>
      <c r="I251" s="35" t="inlineStr">
        <is>
          <t>Ja</t>
        </is>
      </c>
      <c r="J251" s="35" t="n"/>
      <c r="K251" s="47" t="n"/>
      <c r="L251" s="35" t="n"/>
      <c r="M251" s="35" t="n"/>
      <c r="N251" s="35" t="n"/>
      <c r="O251" s="35" t="n"/>
      <c r="P251" s="35" t="n"/>
      <c r="Q251" s="35" t="n"/>
      <c r="R251" s="35" t="n"/>
      <c r="S251" s="35" t="n"/>
      <c r="T251" s="35" t="n"/>
      <c r="U251" s="35" t="inlineStr">
        <is>
          <t>Not Started</t>
        </is>
      </c>
      <c r="V251" s="37">
        <f>IF(U251="Not Started",0%,IF(U251="Started",50%,IF(U251="Ready for review",70%,IF(U251="Reviewed - Content",80%,IF(U251="Reviewed - Format",90%,IF(U251="Done",100%,""))))))</f>
        <v/>
      </c>
      <c r="W251" t="inlineStr">
        <is>
          <t>2026-07-07</t>
        </is>
      </c>
      <c r="X251" t="inlineStr">
        <is>
          <t>Cursor / tender-response (batch)</t>
        </is>
      </c>
      <c r="Y251" t="inlineStr">
        <is>
          <t>Clarify</t>
        </is>
      </c>
      <c r="Z251" t="inlineStr">
        <is>
          <t>Verified</t>
        </is>
      </c>
      <c r="AA251" t="inlineStr">
        <is>
          <t>Verify: Beskyttelse af Log — kræver produkt-/team-afklaring (ingen tool-rating).</t>
        </is>
      </c>
      <c r="AB251" t="inlineStr"/>
      <c r="AC251" t="inlineStr">
        <is>
          <t>docs/tender-reference/extracted/KK Tender tool.txt; docs/tender-reference/extracted/NND/02.01-Tieto-Bilag 2-Vedlegg-Leverandørens utfyllende svar til kravtabell.txt; docs/tender-reference/extracted/Nationalbanken/Bilag 3.i Leverandørens Løsningsbeskrivelse.txt</t>
        </is>
      </c>
      <c r="AD251" t="inlineStr">
        <is>
          <t>Owner: Udfyld tool-rating (O) og evidens; gennemgå AI-kladde.</t>
        </is>
      </c>
      <c r="AE251" t="inlineStr"/>
      <c r="AF251" t="inlineStr">
        <is>
          <t>Draft</t>
        </is>
      </c>
      <c r="AG251" t="inlineStr">
        <is>
          <t>uim-esdh-full-2026-07-07</t>
        </is>
      </c>
    </row>
    <row r="252" ht="48" customHeight="1">
      <c r="A252" s="35" t="n">
        <v>251</v>
      </c>
      <c r="B252" s="35" t="inlineStr">
        <is>
          <t>MK-23</t>
        </is>
      </c>
      <c r="C252" s="35" t="inlineStr">
        <is>
          <t>Bilag 1.e</t>
        </is>
      </c>
      <c r="D252" s="35" t="inlineStr">
        <is>
          <t>Logning</t>
        </is>
      </c>
      <c r="E252" s="35" t="inlineStr">
        <is>
          <t>Eksport af Log</t>
        </is>
      </c>
      <c r="F252" s="35" t="inlineStr">
        <is>
          <t>ESDH-løsningen skal understøtte, at alle handlinger i ESDH-løsningen kan eksporteres ud i tredjepartsprodukt eller til et filformat, hvor logfilerne ikke kan manipuleres.</t>
        </is>
      </c>
      <c r="G252" s="35" t="inlineStr">
        <is>
          <t>Mindstekrav</t>
        </is>
      </c>
      <c r="H252" s="35">
        <f>IF(G252="Evalueringskrav","Answer",(IF(G252="Krav","Check",(IF(G252="Mindstekrav","Verify","")))))</f>
        <v/>
      </c>
      <c r="I252" s="35" t="inlineStr">
        <is>
          <t>Ja</t>
        </is>
      </c>
      <c r="J252" s="35" t="n"/>
      <c r="K252" s="47" t="n"/>
      <c r="L252" s="35" t="inlineStr">
        <is>
          <t>Torben</t>
        </is>
      </c>
      <c r="M252" s="35" t="n"/>
      <c r="N252" s="35" t="n"/>
      <c r="O252" s="35" t="inlineStr">
        <is>
          <t>2. Partly met</t>
        </is>
      </c>
      <c r="P252" s="35" t="inlineStr">
        <is>
          <t>TAO: Logger ikke alle handlinger, eksporterer som sådan ikke log, via fx log-shipping. Det vi logger i eventlog, kan læses via API</t>
        </is>
      </c>
      <c r="Q252" s="35" t="n"/>
      <c r="R252" s="35" t="n"/>
      <c r="S252" s="35" t="n"/>
      <c r="T252" s="35" t="n"/>
      <c r="U252" s="35" t="inlineStr">
        <is>
          <t>Not Started</t>
        </is>
      </c>
      <c r="V252" s="37">
        <f>IF(U252="Not Started",0%,IF(U252="Started",50%,IF(U252="Ready for review",70%,IF(U252="Reviewed - Content",80%,IF(U252="Reviewed - Format",90%,IF(U252="Done",100%,""))))))</f>
        <v/>
      </c>
      <c r="W252" t="inlineStr">
        <is>
          <t>2026-07-07</t>
        </is>
      </c>
      <c r="X252" t="inlineStr">
        <is>
          <t>Cursor / tender-response (batch)</t>
        </is>
      </c>
      <c r="Y252" t="inlineStr">
        <is>
          <t>Partial</t>
        </is>
      </c>
      <c r="Z252" t="inlineStr">
        <is>
          <t>Lead</t>
        </is>
      </c>
      <c r="AA252" t="inlineStr">
        <is>
          <t>Verify: Eksport af Log — delvist opfyldt; afklar scope og scoring.</t>
        </is>
      </c>
      <c r="AB252" t="inlineStr">
        <is>
          <t>TAO: Logger ikke alle handlinger, eksporterer som sådan ikke log, via fx log-shipping. Det vi logger i eventlog, kan læses via API</t>
        </is>
      </c>
      <c r="AC252" t="inlineStr">
        <is>
          <t>docs/product/RFP_Leverandørens_svar_utdrag.txt; docs/tender-reference/extracted/NND/02.01-Tieto-Bilag 2-Vedlegg-Leverandørens utfyllende svar til kravtabell.txt; docs/tender-reference/extracted/HSØ/02.00-Tietoevry-SSA-L-Bilag 2-Leverandørens beskrivelse av Tjenesten.txt</t>
        </is>
      </c>
      <c r="AD252" t="inlineStr">
        <is>
          <t>Torben: Afklar delkrav; align tool-rating (O) med AI compliance.</t>
        </is>
      </c>
      <c r="AE252" t="inlineStr"/>
      <c r="AF252" t="inlineStr">
        <is>
          <t>Draft</t>
        </is>
      </c>
      <c r="AG252" t="inlineStr">
        <is>
          <t>uim-esdh-full-2026-07-07</t>
        </is>
      </c>
    </row>
    <row r="253" ht="64" customHeight="1">
      <c r="A253" s="35" t="n">
        <v>252</v>
      </c>
      <c r="B253" s="35" t="inlineStr">
        <is>
          <t>MK-24</t>
        </is>
      </c>
      <c r="C253" s="35" t="inlineStr">
        <is>
          <t>Bilag 1.e</t>
        </is>
      </c>
      <c r="D253" s="35" t="inlineStr">
        <is>
          <t>Logning</t>
        </is>
      </c>
      <c r="E253" s="35" t="inlineStr">
        <is>
          <t>Log ved eksport af en given Entitet</t>
        </is>
      </c>
      <c r="F253" s="35" t="inlineStr">
        <is>
          <t>ESDH-løsningen skal understøtte, at eksport logges i administratormodulet eller på den Entitet, hvor eksporten er foretaget.</t>
        </is>
      </c>
      <c r="G253" s="35" t="inlineStr">
        <is>
          <t>Mindstekrav</t>
        </is>
      </c>
      <c r="H253" s="35">
        <f>IF(G253="Evalueringskrav","Answer",(IF(G253="Krav","Check",(IF(G253="Mindstekrav","Verify","")))))</f>
        <v/>
      </c>
      <c r="I253" s="35" t="inlineStr">
        <is>
          <t>Ja</t>
        </is>
      </c>
      <c r="J253" s="35" t="n"/>
      <c r="K253" s="47" t="n"/>
      <c r="L253" s="35" t="inlineStr">
        <is>
          <t>Torben</t>
        </is>
      </c>
      <c r="M253" s="35" t="n"/>
      <c r="N253" s="35" t="n"/>
      <c r="O253" s="35" t="inlineStr">
        <is>
          <t>2. Partly met</t>
        </is>
      </c>
      <c r="P253" s="35" t="inlineStr">
        <is>
          <t>TAO:Vi logger kun SIF læsninger i læseloggen hvis de foretages med Bearer Authentication kald. Den kan siges at være i admin fordi man har audit rapporterne til at vise læsningen.</t>
        </is>
      </c>
      <c r="Q253" s="35" t="n"/>
      <c r="R253" s="35" t="n"/>
      <c r="S253" s="35" t="n"/>
      <c r="T253" s="35" t="n"/>
      <c r="U253" s="35" t="inlineStr">
        <is>
          <t>Not Started</t>
        </is>
      </c>
      <c r="V253" s="37">
        <f>IF(U253="Not Started",0%,IF(U253="Started",50%,IF(U253="Ready for review",70%,IF(U253="Reviewed - Content",80%,IF(U253="Reviewed - Format",90%,IF(U253="Done",100%,""))))))</f>
        <v/>
      </c>
      <c r="W253" t="inlineStr">
        <is>
          <t>2026-07-07</t>
        </is>
      </c>
      <c r="X253" t="inlineStr">
        <is>
          <t>Cursor / tender-response (batch)</t>
        </is>
      </c>
      <c r="Y253" t="inlineStr">
        <is>
          <t>Partial</t>
        </is>
      </c>
      <c r="Z253" t="inlineStr">
        <is>
          <t>Lead</t>
        </is>
      </c>
      <c r="AA253" t="inlineStr">
        <is>
          <t>Verify: Log ved eksport af en given Entitet — delvist opfyldt; afklar scope og scoring.</t>
        </is>
      </c>
      <c r="AB253" t="inlineStr">
        <is>
          <t>TAO:Vi logger kun SIF læsninger i læseloggen hvis de foretages med Bearer Authentication kald. Den kan siges at være i admin fordi man har audit rapporterne til at vise læsningen.</t>
        </is>
      </c>
      <c r="AC253" t="inlineStr">
        <is>
          <t>docs/tender-reference/extracted/Nationalbanken/Bilag 3.i Leverandørens Løsningsbeskrivelse.txt; docs/tender-reference/extracted/KK Tender tool.txt; docs/tender-reference/extracted/NND/02.01-Tieto-Bilag 2-Vedlegg-Leverandørens utfyllende svar til kravtabell.txt</t>
        </is>
      </c>
      <c r="AD253" t="inlineStr">
        <is>
          <t>Torben: Afklar delkrav; align tool-rating (O) med AI compliance.</t>
        </is>
      </c>
      <c r="AE253" t="inlineStr"/>
      <c r="AF253" t="inlineStr">
        <is>
          <t>Draft</t>
        </is>
      </c>
      <c r="AG253" t="inlineStr">
        <is>
          <t>uim-esdh-full-2026-07-07</t>
        </is>
      </c>
    </row>
    <row r="254" ht="192" customHeight="1">
      <c r="A254" s="35" t="n">
        <v>253</v>
      </c>
      <c r="B254" s="35" t="inlineStr">
        <is>
          <t>K-9</t>
        </is>
      </c>
      <c r="C254" s="35" t="inlineStr">
        <is>
          <t>Bilag 1.e</t>
        </is>
      </c>
      <c r="D254" s="35" t="inlineStr">
        <is>
          <t>Logning</t>
        </is>
      </c>
      <c r="E254" s="35" t="inlineStr">
        <is>
          <t>Brug af standard logformat</t>
        </is>
      </c>
      <c r="F254" s="35" t="inlineStr">
        <is>
          <t>ESDH-løsningen skal kunne aflevere applikations-, sikkerheds-, integrations- og driftslogs i strukturerede, maskinlæsbare logformater, der kan indlæses i Kundens centrale log-, overvågnings- og SIEM-platforme, herunder ELK-stack, Zabbix og/eller tilsvarende SIEM-løsninger. Logs skal som minimum kunne leveres i JSON Lines / NDJSON og/eller Syslog efter RFC 5424, og sikkerhedsrelaterede hændelser bør kunne mappes til anerkendte SIEM-formater såsom CEF, LEEF eller Elastic Common Schema (ECS). Logformatet skal være dokumenteret, versionsstyret og stabilt over tid, og alle loghændelser skal indeholde entydige felter for tidspunkt, logniveau, hændelsestype, systemkomponent, bruger-/serviceidentitet, korrelations-id, kilde, resultat/status og relevant forretningskontekst.</t>
        </is>
      </c>
      <c r="G254" s="35" t="inlineStr">
        <is>
          <t>Krav</t>
        </is>
      </c>
      <c r="H254" s="35">
        <f>IF(G254="Evalueringskrav","Answer",(IF(G254="Krav","Check",(IF(G254="Mindstekrav","Verify","")))))</f>
        <v/>
      </c>
      <c r="I254" s="35" t="inlineStr">
        <is>
          <t>Ja</t>
        </is>
      </c>
      <c r="J254" s="35" t="n"/>
      <c r="K254" s="47" t="n"/>
      <c r="L254" s="35" t="n"/>
      <c r="M254" s="35" t="n"/>
      <c r="N254" s="35" t="n"/>
      <c r="O254" s="35" t="n"/>
      <c r="P254" s="35" t="n"/>
      <c r="Q254" s="35" t="n"/>
      <c r="R254" s="35" t="n"/>
      <c r="S254" s="35" t="n"/>
      <c r="T254" s="35" t="n"/>
      <c r="U254" s="35" t="inlineStr">
        <is>
          <t>Not Started</t>
        </is>
      </c>
      <c r="V254" s="37">
        <f>IF(U254="Not Started",0%,IF(U254="Started",50%,IF(U254="Ready for review",70%,IF(U254="Reviewed - Content",80%,IF(U254="Reviewed - Format",90%,IF(U254="Done",100%,""))))))</f>
        <v/>
      </c>
      <c r="W254" t="inlineStr">
        <is>
          <t>2026-07-07</t>
        </is>
      </c>
      <c r="X254" t="inlineStr">
        <is>
          <t>Cursor / tender-response (batch)</t>
        </is>
      </c>
      <c r="Y254" t="inlineStr">
        <is>
          <t>Clarify</t>
        </is>
      </c>
      <c r="Z254" t="inlineStr">
        <is>
          <t>Verified</t>
        </is>
      </c>
      <c r="AA254" t="inlineStr">
        <is>
          <t>Check: Brug af standard logformat — kræver produkt-/team-afklaring (ingen tool-rating).</t>
        </is>
      </c>
      <c r="AB254" t="inlineStr"/>
      <c r="AC254" t="inlineStr">
        <is>
          <t>docs/tender-reference/extracted/KK Tender tool.txt; docs/tender-reference/extracted/Nationalbanken/Bilag 3.i Leverandørens Løsningsbeskrivelse.txt; docs/product/RFP_Leverandørens_svar_utdrag.txt</t>
        </is>
      </c>
      <c r="AD254" t="inlineStr">
        <is>
          <t>Owner: Udfyld tool-rating (O) og evidens; gennemgå AI-kladde.</t>
        </is>
      </c>
      <c r="AE254" t="inlineStr"/>
      <c r="AF254" t="inlineStr">
        <is>
          <t>Draft</t>
        </is>
      </c>
      <c r="AG254" t="inlineStr">
        <is>
          <t>uim-esdh-full-2026-07-07</t>
        </is>
      </c>
    </row>
    <row r="255" ht="48" customHeight="1">
      <c r="A255" s="35" t="n">
        <v>254</v>
      </c>
      <c r="B255" s="35" t="inlineStr">
        <is>
          <t>MK-25</t>
        </is>
      </c>
      <c r="C255" s="35" t="inlineStr">
        <is>
          <t>Bilag 1.e</t>
        </is>
      </c>
      <c r="D255" s="35" t="inlineStr">
        <is>
          <t>Kryptering</t>
        </is>
      </c>
      <c r="E255" s="35" t="inlineStr">
        <is>
          <t>HTTPS ved webadgang</t>
        </is>
      </c>
      <c r="F255" s="35" t="inlineStr">
        <is>
          <t>Ved webadgang til ESDH-løsningen anvendes HTTPS med TLS 1.2 (evt. nyere version) eller tilsvarende for at sikre en fortrolig og integritetssikret forbindelse.</t>
        </is>
      </c>
      <c r="G255" s="35" t="inlineStr">
        <is>
          <t>Mindstekrav</t>
        </is>
      </c>
      <c r="H255" s="35">
        <f>IF(G255="Evalueringskrav","Answer",(IF(G255="Krav","Check",(IF(G255="Mindstekrav","Verify","")))))</f>
        <v/>
      </c>
      <c r="I255" s="35" t="inlineStr">
        <is>
          <t>Ja</t>
        </is>
      </c>
      <c r="J255" s="35" t="n"/>
      <c r="K255" s="47" t="n"/>
      <c r="L255" s="35" t="inlineStr">
        <is>
          <t>Torben</t>
        </is>
      </c>
      <c r="M255" s="35" t="n"/>
      <c r="N255" s="35" t="n"/>
      <c r="O255" s="35" t="inlineStr">
        <is>
          <t>1. Fully met</t>
        </is>
      </c>
      <c r="P255" s="35" t="inlineStr">
        <is>
          <t>TAO: Ok standard</t>
        </is>
      </c>
      <c r="Q255" s="35" t="n"/>
      <c r="R255" s="35" t="n"/>
      <c r="S255" s="35" t="n"/>
      <c r="T255" s="35" t="n"/>
      <c r="U255" s="35" t="inlineStr">
        <is>
          <t>Not Started</t>
        </is>
      </c>
      <c r="V255" s="37">
        <f>IF(U255="Not Started",0%,IF(U255="Started",50%,IF(U255="Ready for review",70%,IF(U255="Reviewed - Content",80%,IF(U255="Reviewed - Format",90%,IF(U255="Done",100%,""))))))</f>
        <v/>
      </c>
      <c r="W255" t="inlineStr">
        <is>
          <t>2026-07-07</t>
        </is>
      </c>
      <c r="X255" t="inlineStr">
        <is>
          <t>Cursor / tender-response (batch)</t>
        </is>
      </c>
      <c r="Y255" t="inlineStr">
        <is>
          <t>Met</t>
        </is>
      </c>
      <c r="Z255" t="inlineStr">
        <is>
          <t>Verified</t>
        </is>
      </c>
      <c r="AA255" t="inlineStr">
        <is>
          <t>Verify: HTTPS ved webadgang — vurderet opfyldt (tool: 1. Fully met).</t>
        </is>
      </c>
      <c r="AB255" t="inlineStr">
        <is>
          <t>TAO: Ok standard</t>
        </is>
      </c>
      <c r="AC255" t="inlineStr">
        <is>
          <t>docs/tender-reference/extracted/KK Tender tool.txt; docs/product/RFP_Leverandørens_svar_utdrag.txt; docs/tender-reference/extracted/HSØ/02.00-Tietoevry-SSA-L-Bilag 2-Leverandørens beskrivelse av Tjenesten.txt</t>
        </is>
      </c>
      <c r="AD255" t="inlineStr">
        <is>
          <t>Torben: Confirm verify-tekst; opdatér review status efter tjek.</t>
        </is>
      </c>
      <c r="AE255" t="inlineStr"/>
      <c r="AF255" t="inlineStr">
        <is>
          <t>Draft</t>
        </is>
      </c>
      <c r="AG255" t="inlineStr">
        <is>
          <t>uim-esdh-full-2026-07-07</t>
        </is>
      </c>
    </row>
    <row r="256" ht="48" customHeight="1">
      <c r="A256" s="35" t="n">
        <v>255</v>
      </c>
      <c r="B256" s="35" t="inlineStr">
        <is>
          <t>MK-26</t>
        </is>
      </c>
      <c r="C256" s="35" t="inlineStr">
        <is>
          <t>Bilag 1.e</t>
        </is>
      </c>
      <c r="D256" s="35" t="inlineStr">
        <is>
          <t>Kryptering</t>
        </is>
      </c>
      <c r="E256" s="35" t="inlineStr">
        <is>
          <t>Krypteringsniveau under overførsel</t>
        </is>
      </c>
      <c r="F256" s="35" t="inlineStr">
        <is>
          <t>Data, der overføres til og fra ESDH-løsningen, skal beskyttes ved hjælp af anerkendte krypteringsprotokoller, som minimum TLS 1.2 (evt. nyere version) eller tilsvarende.</t>
        </is>
      </c>
      <c r="G256" s="35" t="inlineStr">
        <is>
          <t>Mindstekrav</t>
        </is>
      </c>
      <c r="H256" s="35">
        <f>IF(G256="Evalueringskrav","Answer",(IF(G256="Krav","Check",(IF(G256="Mindstekrav","Verify","")))))</f>
        <v/>
      </c>
      <c r="I256" s="35" t="inlineStr">
        <is>
          <t>Ja</t>
        </is>
      </c>
      <c r="J256" s="35" t="n"/>
      <c r="K256" s="47" t="n"/>
      <c r="L256" s="35" t="inlineStr">
        <is>
          <t>Torben</t>
        </is>
      </c>
      <c r="M256" s="35" t="n"/>
      <c r="N256" s="35" t="n"/>
      <c r="O256" s="35" t="inlineStr">
        <is>
          <t>1. Fully met</t>
        </is>
      </c>
      <c r="P256" s="35" t="inlineStr">
        <is>
          <t>TAO: OK, https er standard med tls1.2+</t>
        </is>
      </c>
      <c r="Q256" s="35" t="n"/>
      <c r="R256" s="35" t="n"/>
      <c r="S256" s="35" t="n"/>
      <c r="T256" s="35" t="n"/>
      <c r="U256" s="35" t="inlineStr">
        <is>
          <t>Not Started</t>
        </is>
      </c>
      <c r="V256" s="37">
        <f>IF(U256="Not Started",0%,IF(U256="Started",50%,IF(U256="Ready for review",70%,IF(U256="Reviewed - Content",80%,IF(U256="Reviewed - Format",90%,IF(U256="Done",100%,""))))))</f>
        <v/>
      </c>
      <c r="W256" t="inlineStr">
        <is>
          <t>2026-07-07</t>
        </is>
      </c>
      <c r="X256" t="inlineStr">
        <is>
          <t>Cursor / tender-response (batch)</t>
        </is>
      </c>
      <c r="Y256" t="inlineStr">
        <is>
          <t>Met</t>
        </is>
      </c>
      <c r="Z256" t="inlineStr">
        <is>
          <t>Verified</t>
        </is>
      </c>
      <c r="AA256" t="inlineStr">
        <is>
          <t>Verify: Krypteringsniveau under overførsel — vurderet opfyldt (tool: 1. Fully met).</t>
        </is>
      </c>
      <c r="AB256" t="inlineStr">
        <is>
          <t>TAO: OK, https er standard med tls1.2+</t>
        </is>
      </c>
      <c r="AC256" t="inlineStr">
        <is>
          <t>docs/tender-reference/extracted/KK Tender tool.txt; docs/tender-reference/extracted/Nationalbanken/Bilag 3.i Leverandørens Løsningsbeskrivelse.txt; docs/tender-reference/extracted/HSØ/02.00-Tietoevry-SSA-L-Bilag 2-Leverandørens beskrivelse av Tjenesten.txt</t>
        </is>
      </c>
      <c r="AD256" t="inlineStr">
        <is>
          <t>Torben: Confirm verify-tekst; opdatér review status efter tjek.</t>
        </is>
      </c>
      <c r="AE256" t="inlineStr"/>
      <c r="AF256" t="inlineStr">
        <is>
          <t>Draft</t>
        </is>
      </c>
      <c r="AG256" t="inlineStr">
        <is>
          <t>uim-esdh-full-2026-07-07</t>
        </is>
      </c>
    </row>
    <row r="257" ht="64" customHeight="1">
      <c r="A257" s="35" t="n">
        <v>256</v>
      </c>
      <c r="B257" s="35" t="inlineStr">
        <is>
          <t>MK-27</t>
        </is>
      </c>
      <c r="C257" s="35" t="inlineStr">
        <is>
          <t>Bilag 1.e</t>
        </is>
      </c>
      <c r="D257" s="35" t="inlineStr">
        <is>
          <t>Kryptering</t>
        </is>
      </c>
      <c r="E257" s="35" t="inlineStr">
        <is>
          <t>Kryptering ved integration med tredjepartsservices</t>
        </is>
      </c>
      <c r="F257" s="35" t="inlineStr">
        <is>
          <t>Kommunikationen mellem ESDH-løsningen og Standardintegrationer, f.eks. til Digital Post, sker via krypterede forbindelser baseret på anerkendte protokoller, minimum TLS 1.2 (evt. nyere version) eller tilsvarende, og korrekt certifikathåndtering.</t>
        </is>
      </c>
      <c r="G257" s="35" t="inlineStr">
        <is>
          <t>Mindstekrav</t>
        </is>
      </c>
      <c r="H257" s="35">
        <f>IF(G257="Evalueringskrav","Answer",(IF(G257="Krav","Check",(IF(G257="Mindstekrav","Verify","")))))</f>
        <v/>
      </c>
      <c r="I257" s="35" t="inlineStr">
        <is>
          <t>Ja</t>
        </is>
      </c>
      <c r="J257" s="35" t="n"/>
      <c r="K257" s="47" t="n"/>
      <c r="L257" s="35" t="inlineStr">
        <is>
          <t>Torben</t>
        </is>
      </c>
      <c r="M257" s="35" t="n"/>
      <c r="N257" s="35" t="n"/>
      <c r="O257" s="35" t="inlineStr">
        <is>
          <t>1. Fully met</t>
        </is>
      </c>
      <c r="P257" s="35" t="inlineStr">
        <is>
          <t>TAO: Ok, har tjekket CVR også</t>
        </is>
      </c>
      <c r="Q257" s="35" t="n"/>
      <c r="R257" s="35" t="n"/>
      <c r="S257" s="35" t="n"/>
      <c r="T257" s="35" t="n"/>
      <c r="U257" s="35" t="inlineStr">
        <is>
          <t>Not Started</t>
        </is>
      </c>
      <c r="V257" s="37">
        <f>IF(U257="Not Started",0%,IF(U257="Started",50%,IF(U257="Ready for review",70%,IF(U257="Reviewed - Content",80%,IF(U257="Reviewed - Format",90%,IF(U257="Done",100%,""))))))</f>
        <v/>
      </c>
      <c r="W257" t="inlineStr">
        <is>
          <t>2026-07-07</t>
        </is>
      </c>
      <c r="X257" t="inlineStr">
        <is>
          <t>Cursor / tender-response (batch)</t>
        </is>
      </c>
      <c r="Y257" t="inlineStr">
        <is>
          <t>Met</t>
        </is>
      </c>
      <c r="Z257" t="inlineStr">
        <is>
          <t>Verified</t>
        </is>
      </c>
      <c r="AA257" t="inlineStr">
        <is>
          <t>Verify: Kryptering ved integration med tredjepartsservices — vurderet opfyldt (tool: 1. Fully met).</t>
        </is>
      </c>
      <c r="AB257" t="inlineStr">
        <is>
          <t>TAO: Ok, har tjekket CVR også</t>
        </is>
      </c>
      <c r="AC257" t="inlineStr">
        <is>
          <t>docs/tender-reference/extracted/Nationalbanken/Bilag 3.i Leverandørens Løsningsbeskrivelse.txt; docs/tender-reference/extracted/KK Tender tool.txt; docs/product/RFP_Leverandørens_svar_utdrag.txt</t>
        </is>
      </c>
      <c r="AD257" t="inlineStr">
        <is>
          <t>Torben: Confirm verify-tekst; opdatér review status efter tjek.</t>
        </is>
      </c>
      <c r="AE257" t="inlineStr"/>
      <c r="AF257" t="inlineStr">
        <is>
          <t>Draft</t>
        </is>
      </c>
      <c r="AG257" t="inlineStr">
        <is>
          <t>uim-esdh-full-2026-07-07</t>
        </is>
      </c>
    </row>
    <row r="258" ht="112" customHeight="1">
      <c r="A258" s="35" t="n">
        <v>257</v>
      </c>
      <c r="B258" s="35" t="inlineStr">
        <is>
          <t>K-10</t>
        </is>
      </c>
      <c r="C258" s="35" t="inlineStr">
        <is>
          <t>Bilag 1.e</t>
        </is>
      </c>
      <c r="D258" s="35" t="inlineStr">
        <is>
          <t>Kryptering</t>
        </is>
      </c>
      <c r="E258" s="35" t="inlineStr">
        <is>
          <t>Kryptering af data i hvile (encryption at rest)</t>
        </is>
      </c>
      <c r="F258" s="35" t="inlineStr">
        <is>
          <t>Leverandøren skal sikre, at al data lagret i produktionsmiljøet og det miljø som anvendes til migrering (midlertidigt miljø) kan krypteres i hvile, så data er beskyttet selv hvis lagringen kompromitteres. 
Data, der overføres til og fra miljøerne, skal beskyttes med krypteringsprotokoller, minimum TLS 1.2 (evt. nyere version) eller tilsvarende. Løsningen skal understøtte kryptering af alle relevante datatyper.</t>
        </is>
      </c>
      <c r="G258" s="35" t="inlineStr">
        <is>
          <t>Krav</t>
        </is>
      </c>
      <c r="H258" s="35">
        <f>IF(G258="Evalueringskrav","Answer",(IF(G258="Krav","Check",(IF(G258="Mindstekrav","Verify","")))))</f>
        <v/>
      </c>
      <c r="I258" s="35" t="inlineStr">
        <is>
          <t>Ja</t>
        </is>
      </c>
      <c r="J258" s="35" t="n"/>
      <c r="K258" s="47" t="n"/>
      <c r="L258" s="35" t="n"/>
      <c r="M258" s="35" t="n"/>
      <c r="N258" s="35" t="n"/>
      <c r="O258" s="35" t="n"/>
      <c r="P258" s="35" t="n"/>
      <c r="Q258" s="35" t="n"/>
      <c r="R258" s="35" t="n"/>
      <c r="S258" s="35" t="n"/>
      <c r="T258" s="35" t="n"/>
      <c r="U258" s="35" t="inlineStr">
        <is>
          <t>Not Started</t>
        </is>
      </c>
      <c r="V258" s="37">
        <f>IF(U258="Not Started",0%,IF(U258="Started",50%,IF(U258="Ready for review",70%,IF(U258="Reviewed - Content",80%,IF(U258="Reviewed - Format",90%,IF(U258="Done",100%,""))))))</f>
        <v/>
      </c>
      <c r="W258" t="inlineStr">
        <is>
          <t>2026-07-07</t>
        </is>
      </c>
      <c r="X258" t="inlineStr">
        <is>
          <t>Cursor / tender-response (batch)</t>
        </is>
      </c>
      <c r="Y258" t="inlineStr">
        <is>
          <t>Clarify</t>
        </is>
      </c>
      <c r="Z258" t="inlineStr">
        <is>
          <t>Verified</t>
        </is>
      </c>
      <c r="AA258" t="inlineStr">
        <is>
          <t>Check: Kryptering af data i hvile (encryption at rest) — kræver produkt-/team-afklaring (ingen tool-rating).</t>
        </is>
      </c>
      <c r="AB258" t="inlineStr">
        <is>
          <t>Red flag: Kan vi ikke</t>
        </is>
      </c>
      <c r="AC258" t="inlineStr">
        <is>
          <t>docs/tender-reference/extracted/HSØ/02.00-Tietoevry-SSA-L-Bilag 2-Leverandørens beskrivelse av Tjenesten.txt; docs/tender-reference/extracted/NND/02.01-Tieto-Bilag 2-Vedlegg-Leverandørens utfyllende svar til kravtabell.txt; docs/tender-reference/extracted/KK Tender tool.txt</t>
        </is>
      </c>
      <c r="AD258" t="inlineStr">
        <is>
          <t>Owner: Udfyld tool-rating (O) og evidens; gennemgå AI-kladde.</t>
        </is>
      </c>
      <c r="AE258" t="inlineStr"/>
      <c r="AF258" t="inlineStr">
        <is>
          <t>Draft</t>
        </is>
      </c>
      <c r="AG258" t="inlineStr">
        <is>
          <t>uim-esdh-full-2026-07-07</t>
        </is>
      </c>
    </row>
    <row r="259" ht="96" customHeight="1">
      <c r="A259" s="35" t="n">
        <v>258</v>
      </c>
      <c r="B259" s="35" t="inlineStr">
        <is>
          <t>K-11</t>
        </is>
      </c>
      <c r="C259" s="35" t="inlineStr">
        <is>
          <t>Bilag 1.e</t>
        </is>
      </c>
      <c r="D259" s="35" t="inlineStr">
        <is>
          <t>Kryptering</t>
        </is>
      </c>
      <c r="E259" s="35" t="inlineStr">
        <is>
          <t>Kryptering af data i ESDH-løsningen (encryption in transit)</t>
        </is>
      </c>
      <c r="F259" s="35" t="inlineStr">
        <is>
          <t>Leverandøren skal sikre, at al data i bevægelse mellem miljøerne kan krypteres. Leverandøren skal ligeledes sikre, at al datatrafik til og fra Løsningen beskyttes med krypteringsprotokoller, minimum TLS 1.2 (evt. nyere version) eller tilsvarende. Det er yderligere essentielt, at kryptering kan omfatte den interne datatrafik mellem ESDH-løsningen og den tilhørende database.</t>
        </is>
      </c>
      <c r="G259" s="35" t="inlineStr">
        <is>
          <t>Krav</t>
        </is>
      </c>
      <c r="H259" s="35">
        <f>IF(G259="Evalueringskrav","Answer",(IF(G259="Krav","Check",(IF(G259="Mindstekrav","Verify","")))))</f>
        <v/>
      </c>
      <c r="I259" s="35" t="inlineStr">
        <is>
          <t>Ja</t>
        </is>
      </c>
      <c r="J259" s="35" t="n"/>
      <c r="K259" s="47" t="n"/>
      <c r="L259" s="35" t="n"/>
      <c r="M259" s="35" t="n"/>
      <c r="N259" s="35" t="n"/>
      <c r="O259" s="35" t="n"/>
      <c r="P259" s="35" t="n"/>
      <c r="Q259" s="35" t="n"/>
      <c r="R259" s="35" t="n"/>
      <c r="S259" s="35" t="n"/>
      <c r="T259" s="35" t="n"/>
      <c r="U259" s="35" t="inlineStr">
        <is>
          <t>Not Started</t>
        </is>
      </c>
      <c r="V259" s="37">
        <f>IF(U259="Not Started",0%,IF(U259="Started",50%,IF(U259="Ready for review",70%,IF(U259="Reviewed - Content",80%,IF(U259="Reviewed - Format",90%,IF(U259="Done",100%,""))))))</f>
        <v/>
      </c>
      <c r="W259" t="inlineStr">
        <is>
          <t>2026-07-07</t>
        </is>
      </c>
      <c r="X259" t="inlineStr">
        <is>
          <t>Cursor / tender-response (batch)</t>
        </is>
      </c>
      <c r="Y259" t="inlineStr">
        <is>
          <t>Clarify</t>
        </is>
      </c>
      <c r="Z259" t="inlineStr">
        <is>
          <t>Verified</t>
        </is>
      </c>
      <c r="AA259" t="inlineStr">
        <is>
          <t>Check: Kryptering af data i ESDH-løsningen (encryption in transit) — kræver produkt-/team-afklaring (ingen tool-rating).</t>
        </is>
      </c>
      <c r="AB259" t="inlineStr">
        <is>
          <t>Red flag: Kan vi ikke</t>
        </is>
      </c>
      <c r="AC259" t="inlineStr">
        <is>
          <t>docs/tender-reference/extracted/HSØ/02.00-Tietoevry-SSA-L-Bilag 2-Leverandørens beskrivelse av Tjenesten.txt; docs/tender-reference/extracted/KK Tender tool.txt; docs/tender-reference/extracted/NND/02.01-Tieto-Bilag 2-Vedlegg-Leverandørens utfyllende svar til kravtabell.txt</t>
        </is>
      </c>
      <c r="AD259" t="inlineStr">
        <is>
          <t>Owner: Udfyld tool-rating (O) og evidens; gennemgå AI-kladde.</t>
        </is>
      </c>
      <c r="AE259" t="inlineStr"/>
      <c r="AF259" t="inlineStr">
        <is>
          <t>Draft</t>
        </is>
      </c>
      <c r="AG259" t="inlineStr">
        <is>
          <t>uim-esdh-full-2026-07-07</t>
        </is>
      </c>
    </row>
    <row r="260" ht="192" customHeight="1">
      <c r="A260" s="35" t="n">
        <v>259</v>
      </c>
      <c r="B260" s="35" t="inlineStr">
        <is>
          <t>K-12</t>
        </is>
      </c>
      <c r="C260" s="35" t="inlineStr">
        <is>
          <t>Bilag 1.e</t>
        </is>
      </c>
      <c r="D260" s="35" t="inlineStr">
        <is>
          <t>Journalisering, records management og metadata</t>
        </is>
      </c>
      <c r="E260" s="35" t="inlineStr">
        <is>
          <t>Understøttelse af principper for journalisering og records management</t>
        </is>
      </c>
      <c r="F260" s="35" t="inlineStr">
        <is>
          <t>ESDH-løsningen skal understøtte principperne i ISO 15489 om records management, således at Dokumenter, sager og øvrige journaliseringspligtige oplysninger kan oprettes, registreres, fastholdes, genfindes og anvendes som pålidelige, autentiske, integrerede og anvendelige records gennem deres livscyklus.
ESDH-løsningen skal som minimum understøtte, at journaliserede oplysninger kan forsynes med relevante oplysninger om kontekst, ansvar, tidspunkt, relationer, hændelser og status, herunder oplysninger der understøtter sporbarhed, dokumentation, aktindsigt, sagsbehandling, bevaring og kassation.
Leverandøren skal på Kundens anmodning kunne redegøre for, hvordan standardsoftwaren understøtter principperne i ISO 15489.</t>
        </is>
      </c>
      <c r="G260" s="35" t="inlineStr">
        <is>
          <t>Krav</t>
        </is>
      </c>
      <c r="H260" s="35">
        <f>IF(G260="Evalueringskrav","Answer",(IF(G260="Krav","Check",(IF(G260="Mindstekrav","Verify","")))))</f>
        <v/>
      </c>
      <c r="I260" s="35" t="inlineStr">
        <is>
          <t>Ja</t>
        </is>
      </c>
      <c r="J260" s="35" t="n"/>
      <c r="K260" s="47" t="n"/>
      <c r="L260" s="35" t="n"/>
      <c r="M260" s="35" t="n"/>
      <c r="N260" s="35" t="n"/>
      <c r="O260" s="35" t="n"/>
      <c r="P260" s="35" t="n"/>
      <c r="Q260" s="35" t="n"/>
      <c r="R260" s="35" t="n"/>
      <c r="S260" s="35" t="n"/>
      <c r="T260" s="35" t="n"/>
      <c r="U260" s="35" t="inlineStr">
        <is>
          <t>Not Started</t>
        </is>
      </c>
      <c r="V260" s="37">
        <f>IF(U260="Not Started",0%,IF(U260="Started",50%,IF(U260="Ready for review",70%,IF(U260="Reviewed - Content",80%,IF(U260="Reviewed - Format",90%,IF(U260="Done",100%,""))))))</f>
        <v/>
      </c>
      <c r="W260" t="inlineStr">
        <is>
          <t>2026-07-07</t>
        </is>
      </c>
      <c r="X260" t="inlineStr">
        <is>
          <t>Cursor / tender-response (batch)</t>
        </is>
      </c>
      <c r="Y260" t="inlineStr">
        <is>
          <t>Clarify</t>
        </is>
      </c>
      <c r="Z260" t="inlineStr">
        <is>
          <t>Verified</t>
        </is>
      </c>
      <c r="AA260" t="inlineStr">
        <is>
          <t>Check: Understøttelse af principper for journalisering og records management — kræver produkt-/team-afklaring (ingen tool-rating).</t>
        </is>
      </c>
      <c r="AB260" t="inlineStr">
        <is>
          <t>Red flag: Kan vi ikke</t>
        </is>
      </c>
      <c r="AC260" t="inlineStr">
        <is>
          <t>docs/tender-reference/extracted/Nationalbanken/Bilag 3.i Leverandørens Løsningsbeskrivelse.txt; docs/tender-reference/extracted/KK Tender tool.txt; docs/tender-reference/extracted/KUM-SLKS/Bilag 3 - Kravspecifikation.txt</t>
        </is>
      </c>
      <c r="AD260" t="inlineStr">
        <is>
          <t>Owner: Udfyld tool-rating (O) og evidens; gennemgå AI-kladde.</t>
        </is>
      </c>
      <c r="AE260" t="inlineStr"/>
      <c r="AF260" t="inlineStr">
        <is>
          <t>Draft</t>
        </is>
      </c>
      <c r="AG260" t="inlineStr">
        <is>
          <t>uim-esdh-full-2026-07-07</t>
        </is>
      </c>
    </row>
    <row r="261" ht="160" customHeight="1">
      <c r="A261" s="35" t="n">
        <v>260</v>
      </c>
      <c r="B261" s="35" t="inlineStr">
        <is>
          <t>K-13</t>
        </is>
      </c>
      <c r="C261" s="35" t="inlineStr">
        <is>
          <t>Bilag 1.e</t>
        </is>
      </c>
      <c r="D261" s="35" t="inlineStr">
        <is>
          <t>Journalisering, records management og metadata</t>
        </is>
      </c>
      <c r="E261" s="35" t="inlineStr">
        <is>
          <t>Understøttelse af metadata for journalisering</t>
        </is>
      </c>
      <c r="F261" s="35" t="inlineStr">
        <is>
          <t>ESDH-løsningen skal understøtte principperne i ISO 23081 om metadata for records management, således at metadata kan anvendes til at dokumentere journaliserede objekters indhold, kontekst, struktur, relationer, ansvar, hændelser og livscyklus.
ESDH-løsningen skal understøtte, at metadata kan registreres, vedligeholdes, anvendes og udstilles på en måde, der understøtter dokumentation af sagsbehandling, sporbarhed, søgning, genfinding, adgangsstyring, bevaring, kassation og efterfølgende kontrol.
Leverandøren skal på Kundens anmodning kunne redegøre for, hvordan standardsoftwaren understøtter principperne i ISO 23081.</t>
        </is>
      </c>
      <c r="G261" s="35" t="inlineStr">
        <is>
          <t>Krav</t>
        </is>
      </c>
      <c r="H261" s="35">
        <f>IF(G261="Evalueringskrav","Answer",(IF(G261="Krav","Check",(IF(G261="Mindstekrav","Verify","")))))</f>
        <v/>
      </c>
      <c r="I261" s="35" t="inlineStr">
        <is>
          <t>Ja</t>
        </is>
      </c>
      <c r="J261" s="35" t="n"/>
      <c r="K261" s="47" t="n"/>
      <c r="L261" s="35" t="inlineStr">
        <is>
          <t>Morten</t>
        </is>
      </c>
      <c r="M261" s="35" t="n"/>
      <c r="N261" s="35" t="n"/>
      <c r="O261" s="35" t="n"/>
      <c r="P261" s="35" t="n"/>
      <c r="Q261" s="35" t="n"/>
      <c r="R261" s="35" t="n"/>
      <c r="S261" s="35" t="n"/>
      <c r="T261" s="35" t="n"/>
      <c r="U261" s="35" t="inlineStr">
        <is>
          <t>Not Started</t>
        </is>
      </c>
      <c r="V261" s="37">
        <f>IF(U261="Not Started",0%,IF(U261="Started",50%,IF(U261="Ready for review",70%,IF(U261="Reviewed - Content",80%,IF(U261="Reviewed - Format",90%,IF(U261="Done",100%,""))))))</f>
        <v/>
      </c>
      <c r="W261" t="inlineStr">
        <is>
          <t>2026-07-07</t>
        </is>
      </c>
      <c r="X261" t="inlineStr">
        <is>
          <t>Cursor / tender-response (batch)</t>
        </is>
      </c>
      <c r="Y261" t="inlineStr">
        <is>
          <t>Clarify</t>
        </is>
      </c>
      <c r="Z261" t="inlineStr">
        <is>
          <t>Verified</t>
        </is>
      </c>
      <c r="AA261" t="inlineStr">
        <is>
          <t>Check: Understøttelse af metadata for journalisering — kræver produkt-/team-afklaring (ingen tool-rating).</t>
        </is>
      </c>
      <c r="AB261" t="inlineStr">
        <is>
          <t>Red flag: Kan vi ikke</t>
        </is>
      </c>
      <c r="AC261" t="inlineStr">
        <is>
          <t>docs/tender-reference/extracted/KK Tender tool.txt; docs/tender-reference/extracted/Nationalbanken/Bilag 3.i Leverandørens Løsningsbeskrivelse.txt; docs/tender-reference/extracted/KUM-SLKS/Bilag 3 - Kravspecifikation.txt</t>
        </is>
      </c>
      <c r="AD261" t="inlineStr">
        <is>
          <t>Morten: Udfyld tool-rating (O) og evidens; gennemgå AI-kladde.</t>
        </is>
      </c>
      <c r="AE261" t="inlineStr"/>
      <c r="AF261" t="inlineStr">
        <is>
          <t>Draft</t>
        </is>
      </c>
      <c r="AG261" t="inlineStr">
        <is>
          <t>uim-esdh-full-2026-07-07</t>
        </is>
      </c>
    </row>
    <row r="262" ht="64" customHeight="1">
      <c r="A262" s="35" t="n">
        <v>261</v>
      </c>
      <c r="B262" s="35" t="inlineStr">
        <is>
          <t>K-14</t>
        </is>
      </c>
      <c r="C262" s="35" t="inlineStr">
        <is>
          <t>Bilag 1.e</t>
        </is>
      </c>
      <c r="D262" s="35" t="inlineStr">
        <is>
          <t>Monitorering og alarmering</t>
        </is>
      </c>
      <c r="E262" s="35" t="inlineStr">
        <is>
          <t>Monitorering</t>
        </is>
      </c>
      <c r="F262" s="35" t="inlineStr">
        <is>
          <t>ESDH-leverandøren og driftsleverandøren skal sikre, i samarbejde med Kunden, at ESDH-løsningen (egenudviklede- og tredjepartskomponenter) kan monitoreres, så Kunden eller driftsleverandøren effektivt kan fejlsøge.</t>
        </is>
      </c>
      <c r="G262" s="35" t="inlineStr">
        <is>
          <t>Krav</t>
        </is>
      </c>
      <c r="H262" s="35">
        <f>IF(G262="Evalueringskrav","Answer",(IF(G262="Krav","Check",(IF(G262="Mindstekrav","Verify","")))))</f>
        <v/>
      </c>
      <c r="I262" s="35" t="inlineStr">
        <is>
          <t>Ja</t>
        </is>
      </c>
      <c r="J262" s="35" t="n"/>
      <c r="K262" s="47" t="n"/>
      <c r="L262" s="35" t="n"/>
      <c r="M262" s="35" t="n"/>
      <c r="N262" s="35" t="n"/>
      <c r="O262" s="35" t="n"/>
      <c r="P262" s="35" t="n"/>
      <c r="Q262" s="35" t="n"/>
      <c r="R262" s="35" t="n"/>
      <c r="S262" s="35" t="n"/>
      <c r="T262" s="35" t="n"/>
      <c r="U262" s="35" t="inlineStr">
        <is>
          <t>Not Started</t>
        </is>
      </c>
      <c r="V262" s="37">
        <f>IF(U262="Not Started",0%,IF(U262="Started",50%,IF(U262="Ready for review",70%,IF(U262="Reviewed - Content",80%,IF(U262="Reviewed - Format",90%,IF(U262="Done",100%,""))))))</f>
        <v/>
      </c>
      <c r="W262" t="inlineStr">
        <is>
          <t>2026-07-07</t>
        </is>
      </c>
      <c r="X262" t="inlineStr">
        <is>
          <t>Cursor / tender-response (batch)</t>
        </is>
      </c>
      <c r="Y262" t="inlineStr">
        <is>
          <t>Clarify</t>
        </is>
      </c>
      <c r="Z262" t="inlineStr">
        <is>
          <t>Verified</t>
        </is>
      </c>
      <c r="AA262" t="inlineStr">
        <is>
          <t>Check: Monitorering — kræver produkt-/team-afklaring (ingen tool-rating).</t>
        </is>
      </c>
      <c r="AB262" t="inlineStr"/>
      <c r="AC262" t="inlineStr">
        <is>
          <t>docs/tender-reference/extracted/KUM-SLKS/Bilag 1 - Tidsplan.txt; docs/tender-reference/extracted/NND/02.01-Tieto-Bilag 2-Vedlegg-Leverandørens utfyllende svar til kravtabell.txt; docs/tender-reference/extracted/Nationalbanken/Bilag 3.i Leverandørens Løsningsbeskrivelse.txt</t>
        </is>
      </c>
      <c r="AD262" t="inlineStr">
        <is>
          <t>Owner: Udfyld tool-rating (O) og evidens; gennemgå AI-kladde.</t>
        </is>
      </c>
      <c r="AE262" t="inlineStr"/>
      <c r="AF262" t="inlineStr">
        <is>
          <t>Draft</t>
        </is>
      </c>
      <c r="AG262" t="inlineStr">
        <is>
          <t>uim-esdh-full-2026-07-07</t>
        </is>
      </c>
    </row>
    <row r="263" ht="64" customHeight="1">
      <c r="A263" s="35" t="n">
        <v>262</v>
      </c>
      <c r="B263" s="35" t="inlineStr">
        <is>
          <t>K-15</t>
        </is>
      </c>
      <c r="C263" s="35" t="inlineStr">
        <is>
          <t>Bilag 1.e</t>
        </is>
      </c>
      <c r="D263" s="35" t="inlineStr">
        <is>
          <t>Monitorering og alarmering</t>
        </is>
      </c>
      <c r="E263" s="35" t="inlineStr">
        <is>
          <t>Alarmering</t>
        </is>
      </c>
      <c r="F263" s="35" t="inlineStr">
        <is>
          <t>ESDH-leverandøren og driftsleverandøren skal sikre, i samarbejde med Kunden, at ESDH-løsningen (inkl. egenudviklede- og tredjepartskomponenter) kan fungere sammen med Driftsleverandørens og Kundens værktøjer til alarmering.</t>
        </is>
      </c>
      <c r="G263" s="35" t="inlineStr">
        <is>
          <t>Krav</t>
        </is>
      </c>
      <c r="H263" s="35">
        <f>IF(G263="Evalueringskrav","Answer",(IF(G263="Krav","Check",(IF(G263="Mindstekrav","Verify","")))))</f>
        <v/>
      </c>
      <c r="I263" s="35" t="inlineStr">
        <is>
          <t>Ja</t>
        </is>
      </c>
      <c r="J263" s="35" t="n"/>
      <c r="K263" s="47" t="n"/>
      <c r="L263" s="35" t="n"/>
      <c r="M263" s="35" t="n"/>
      <c r="N263" s="35" t="n"/>
      <c r="O263" s="35" t="n"/>
      <c r="P263" s="35" t="n"/>
      <c r="Q263" s="35" t="n"/>
      <c r="R263" s="35" t="n"/>
      <c r="S263" s="35" t="n"/>
      <c r="T263" s="35" t="n"/>
      <c r="U263" s="35" t="inlineStr">
        <is>
          <t>Not Started</t>
        </is>
      </c>
      <c r="V263" s="37">
        <f>IF(U263="Not Started",0%,IF(U263="Started",50%,IF(U263="Ready for review",70%,IF(U263="Reviewed - Content",80%,IF(U263="Reviewed - Format",90%,IF(U263="Done",100%,""))))))</f>
        <v/>
      </c>
      <c r="W263" t="inlineStr">
        <is>
          <t>2026-07-07</t>
        </is>
      </c>
      <c r="X263" t="inlineStr">
        <is>
          <t>Cursor / tender-response (batch)</t>
        </is>
      </c>
      <c r="Y263" t="inlineStr">
        <is>
          <t>Clarify</t>
        </is>
      </c>
      <c r="Z263" t="inlineStr">
        <is>
          <t>Verified</t>
        </is>
      </c>
      <c r="AA263" t="inlineStr">
        <is>
          <t>Check: Alarmering — kræver produkt-/team-afklaring (ingen tool-rating).</t>
        </is>
      </c>
      <c r="AB263" t="inlineStr"/>
      <c r="AC263" t="inlineStr">
        <is>
          <t>docs/tender-reference/extracted/KUM-SLKS/Bilag 1 - Tidsplan.txt; docs/tender-reference/extracted/Nationalbanken/Bilag 3.i Leverandørens Løsningsbeskrivelse.txt; docs/tender-reference/extracted/KK Tender tool.txt</t>
        </is>
      </c>
      <c r="AD263" t="inlineStr">
        <is>
          <t>Owner: Udfyld tool-rating (O) og evidens; gennemgå AI-kladde.</t>
        </is>
      </c>
      <c r="AE263" t="inlineStr"/>
      <c r="AF263" t="inlineStr">
        <is>
          <t>Draft</t>
        </is>
      </c>
      <c r="AG263" t="inlineStr">
        <is>
          <t>uim-esdh-full-2026-07-07</t>
        </is>
      </c>
    </row>
    <row r="264">
      <c r="A264" s="35" t="n">
        <v>263</v>
      </c>
      <c r="B264" s="35" t="inlineStr">
        <is>
          <t>Tilbudsbrev</t>
        </is>
      </c>
      <c r="C264" s="35" t="inlineStr">
        <is>
          <t>Tilbudsbrev</t>
        </is>
      </c>
      <c r="D264" s="35" t="inlineStr">
        <is>
          <t>Tilbudsbrev</t>
        </is>
      </c>
      <c r="E264" s="35" t="inlineStr">
        <is>
          <t>Tilbudsbrev</t>
        </is>
      </c>
      <c r="F264" s="35" t="inlineStr">
        <is>
          <t>Tilbudsbrev</t>
        </is>
      </c>
      <c r="G264" s="35" t="inlineStr">
        <is>
          <t>Mindstekrav</t>
        </is>
      </c>
      <c r="H264" s="35" t="inlineStr">
        <is>
          <t>Answer</t>
        </is>
      </c>
      <c r="I264" s="35" t="inlineStr">
        <is>
          <t>Nej</t>
        </is>
      </c>
      <c r="J264" s="35" t="n"/>
      <c r="K264" s="47" t="n"/>
      <c r="L264" s="35" t="inlineStr">
        <is>
          <t>Anita</t>
        </is>
      </c>
      <c r="M264" s="35" t="n"/>
      <c r="N264" s="35" t="n"/>
      <c r="O264" s="35" t="n"/>
      <c r="P264" s="35" t="n"/>
      <c r="Q264" s="35" t="n"/>
      <c r="R264" s="35" t="n"/>
      <c r="S264" s="35" t="n"/>
      <c r="T264" s="35" t="n"/>
      <c r="U264" s="35" t="inlineStr">
        <is>
          <t>Not Started</t>
        </is>
      </c>
      <c r="V264" s="37">
        <f>IF(U264="Not Started",0%,IF(U264="Started",50%,IF(U264="Ready for review",70%,IF(U264="Reviewed - Content",80%,IF(U264="Reviewed - Format",90%,IF(U264="Done",100%,""))))))</f>
        <v/>
      </c>
      <c r="W264" t="inlineStr">
        <is>
          <t>2026-07-07</t>
        </is>
      </c>
      <c r="X264" t="inlineStr">
        <is>
          <t>Cursor / tender-response (batch)</t>
        </is>
      </c>
      <c r="Y264" t="inlineStr">
        <is>
          <t>Draft needed</t>
        </is>
      </c>
      <c r="Z264" t="inlineStr">
        <is>
          <t>Lead</t>
        </is>
      </c>
      <c r="AA264" t="inlineStr">
        <is>
          <t>Answer: Tilbudsbrev — informationskrav; udkast bilag/dokumentation mangler.</t>
        </is>
      </c>
      <c r="AB264" t="inlineStr">
        <is>
          <t>Mangler link til svar-bilag i kolonne T.</t>
        </is>
      </c>
      <c r="AC264" t="inlineStr">
        <is>
          <t>Ingen prior-art træffere i docs/tender-reference/extracted eller docs/product.</t>
        </is>
      </c>
      <c r="AD264" t="inlineStr">
        <is>
          <t>Anita: Opret/link svar-bilag; draft IK-tekst fra prior art.</t>
        </is>
      </c>
      <c r="AE264" t="inlineStr"/>
      <c r="AF264" t="inlineStr">
        <is>
          <t>Draft</t>
        </is>
      </c>
      <c r="AG264" t="inlineStr">
        <is>
          <t>uim-esdh-full-2026-07-07</t>
        </is>
      </c>
    </row>
    <row r="265" ht="48" customHeight="1">
      <c r="A265" s="35" t="n">
        <v>264</v>
      </c>
      <c r="B265" s="35" t="inlineStr">
        <is>
          <t>Bilag 2 Producentens standardvilkår</t>
        </is>
      </c>
      <c r="C265" s="35" t="inlineStr">
        <is>
          <t>Bilag 2 Producentens standardvilkår</t>
        </is>
      </c>
      <c r="D265" s="35" t="inlineStr">
        <is>
          <t>Bilag 2 Producentens standardvilkår</t>
        </is>
      </c>
      <c r="E265" s="35" t="inlineStr">
        <is>
          <t>Bilag 2 Producentens standardvilkår</t>
        </is>
      </c>
      <c r="F265" s="35" t="inlineStr">
        <is>
          <t>Bilag 2 Producentens standardvilkår</t>
        </is>
      </c>
      <c r="G265" s="35" t="inlineStr">
        <is>
          <t>Mindstekrav</t>
        </is>
      </c>
      <c r="H265" s="35" t="inlineStr">
        <is>
          <t>Answer</t>
        </is>
      </c>
      <c r="I265" s="35" t="inlineStr">
        <is>
          <t>Nej</t>
        </is>
      </c>
      <c r="J265" s="35" t="n"/>
      <c r="K265" s="47" t="n"/>
      <c r="L265" s="35" t="inlineStr">
        <is>
          <t>Anita</t>
        </is>
      </c>
      <c r="M265" s="35" t="n"/>
      <c r="N265" s="35" t="n"/>
      <c r="O265" s="35" t="n"/>
      <c r="P265" s="35" t="n"/>
      <c r="Q265" s="35" t="n"/>
      <c r="R265" s="35" t="n"/>
      <c r="S265" s="35" t="n"/>
      <c r="T265" s="35" t="n"/>
      <c r="U265" s="35" t="inlineStr">
        <is>
          <t>Not Started</t>
        </is>
      </c>
      <c r="V265" s="37">
        <f>IF(U265="Not Started",0%,IF(U265="Started",50%,IF(U265="Ready for review",70%,IF(U265="Reviewed - Content",80%,IF(U265="Reviewed - Format",90%,IF(U265="Done",100%,""))))))</f>
        <v/>
      </c>
      <c r="W265" t="inlineStr">
        <is>
          <t>2026-07-07</t>
        </is>
      </c>
      <c r="X265" t="inlineStr">
        <is>
          <t>Cursor / tender-response (batch)</t>
        </is>
      </c>
      <c r="Y265" t="inlineStr">
        <is>
          <t>Draft needed</t>
        </is>
      </c>
      <c r="Z265" t="inlineStr">
        <is>
          <t>Lead</t>
        </is>
      </c>
      <c r="AA265" t="inlineStr">
        <is>
          <t>Answer: Bilag 2 Producentens standardvilkår — informationskrav; udkast bilag/dokumentation mangler.</t>
        </is>
      </c>
      <c r="AB265" t="inlineStr">
        <is>
          <t>Mangler link til svar-bilag i kolonne T.</t>
        </is>
      </c>
      <c r="AC265" t="inlineStr">
        <is>
          <t>docs/tender-reference/extracted/KUM-SLKS/Bilag 10 - Producentens standardvilkår.txt; docs/tender-reference/extracted/KUM-SLKS/Tilbudsbrevdocx.txt; docs/product/RFP_Leverandørens_svar_utdrag.txt</t>
        </is>
      </c>
      <c r="AD265" t="inlineStr">
        <is>
          <t>Anita: Opret/link svar-bilag; draft IK-tekst fra prior art.</t>
        </is>
      </c>
      <c r="AE265" t="inlineStr"/>
      <c r="AF265" t="inlineStr">
        <is>
          <t>Draft</t>
        </is>
      </c>
      <c r="AG265" t="inlineStr">
        <is>
          <t>uim-esdh-full-2026-07-07</t>
        </is>
      </c>
    </row>
    <row r="266" ht="48" customHeight="1">
      <c r="A266" s="35" t="n">
        <v>265</v>
      </c>
      <c r="B266" s="35" t="inlineStr">
        <is>
          <t>Bilag 3 Leverandørens priser</t>
        </is>
      </c>
      <c r="C266" s="35" t="inlineStr">
        <is>
          <t>Bilag 3 Leverandørens priser</t>
        </is>
      </c>
      <c r="D266" s="35" t="inlineStr">
        <is>
          <t>Bilag 3 Leverandørens priser</t>
        </is>
      </c>
      <c r="E266" s="35" t="inlineStr">
        <is>
          <t>Bilag 3 Leverandørens priser</t>
        </is>
      </c>
      <c r="F266" s="35" t="inlineStr">
        <is>
          <t>Bilag 3 Leverandørens priser</t>
        </is>
      </c>
      <c r="G266" s="35" t="inlineStr">
        <is>
          <t>Mindstekrav</t>
        </is>
      </c>
      <c r="H266" s="35" t="inlineStr">
        <is>
          <t>Answer</t>
        </is>
      </c>
      <c r="I266" s="35" t="inlineStr">
        <is>
          <t>Nej</t>
        </is>
      </c>
      <c r="J266" s="35" t="n"/>
      <c r="K266" s="47" t="n"/>
      <c r="L266" s="35" t="inlineStr">
        <is>
          <t>Hans</t>
        </is>
      </c>
      <c r="M266" s="35" t="n"/>
      <c r="N266" s="35" t="n"/>
      <c r="O266" s="35" t="n"/>
      <c r="P266" s="35" t="inlineStr">
        <is>
          <t xml:space="preserve">Der er aspekter af Bilag 1a, der er relevante for prissætningen - bla. Hvordan licenser/brug kan afregnes. </t>
        </is>
      </c>
      <c r="Q266" s="35" t="n"/>
      <c r="R266" s="35" t="n"/>
      <c r="S266" s="35" t="n"/>
      <c r="T266" s="35" t="n"/>
      <c r="U266" s="35" t="inlineStr">
        <is>
          <t>Not Started</t>
        </is>
      </c>
      <c r="V266" s="37">
        <f>IF(U266="Not Started",0%,IF(U266="Started",50%,IF(U266="Ready for review",70%,IF(U266="Reviewed - Content",80%,IF(U266="Reviewed - Format",90%,IF(U266="Done",100%,""))))))</f>
        <v/>
      </c>
      <c r="W266" t="inlineStr">
        <is>
          <t>2026-07-07</t>
        </is>
      </c>
      <c r="X266" t="inlineStr">
        <is>
          <t>Cursor / tender-response (batch)</t>
        </is>
      </c>
      <c r="Y266" t="inlineStr">
        <is>
          <t>Draft needed</t>
        </is>
      </c>
      <c r="Z266" t="inlineStr">
        <is>
          <t>Lead</t>
        </is>
      </c>
      <c r="AA266" t="inlineStr">
        <is>
          <t>Answer: Bilag 3 Leverandørens priser — informationskrav; udkast bilag/dokumentation mangler.</t>
        </is>
      </c>
      <c r="AB266" t="inlineStr">
        <is>
          <t>Der er aspekter af Bilag 1a, der er relevante for prissætningen - bla. Hvordan licenser/brug kan afregnes. | Mangler link til svar-bilag i kolonne T.</t>
        </is>
      </c>
      <c r="AC266" t="inlineStr">
        <is>
          <t>docs/tender-reference/extracted/KK Tender tool.txt; docs/tender-reference/extracted/KUM-SLKS/Bilag 10 - Producentens standardvilkår.txt; docs/tender-reference/extracted/KUM-SLKS/Bilag 11a - Leverandørens priser.txt</t>
        </is>
      </c>
      <c r="AD266" t="inlineStr">
        <is>
          <t>Hans: Opret/link svar-bilag; draft IK-tekst fra prior art.</t>
        </is>
      </c>
      <c r="AE266" t="inlineStr"/>
      <c r="AF266" t="inlineStr">
        <is>
          <t>Draft</t>
        </is>
      </c>
      <c r="AG266" t="inlineStr">
        <is>
          <t>uim-esdh-full-2026-07-07</t>
        </is>
      </c>
    </row>
    <row r="267">
      <c r="A267" s="35" t="n">
        <v>266</v>
      </c>
      <c r="B267" s="35" t="inlineStr">
        <is>
          <t>ESPD</t>
        </is>
      </c>
      <c r="C267" s="35" t="inlineStr">
        <is>
          <t>ESPD</t>
        </is>
      </c>
      <c r="D267" s="35" t="inlineStr">
        <is>
          <t>ESPD</t>
        </is>
      </c>
      <c r="E267" s="35" t="inlineStr">
        <is>
          <t>ESPD</t>
        </is>
      </c>
      <c r="F267" s="35" t="inlineStr">
        <is>
          <t>ESPD</t>
        </is>
      </c>
      <c r="G267" s="35" t="inlineStr">
        <is>
          <t>Mindstekrav</t>
        </is>
      </c>
      <c r="H267" s="35" t="inlineStr">
        <is>
          <t>Answer</t>
        </is>
      </c>
      <c r="I267" s="35" t="inlineStr">
        <is>
          <t>Nej</t>
        </is>
      </c>
      <c r="J267" s="35" t="n"/>
      <c r="K267" s="47" t="n"/>
      <c r="L267" s="35" t="inlineStr">
        <is>
          <t>Anita</t>
        </is>
      </c>
      <c r="M267" s="35" t="n"/>
      <c r="N267" s="35" t="n"/>
      <c r="O267" s="35" t="n"/>
      <c r="P267" s="35" t="n"/>
      <c r="Q267" s="35" t="n"/>
      <c r="R267" s="35" t="n"/>
      <c r="S267" s="35" t="n"/>
      <c r="T267" s="35" t="n"/>
      <c r="U267" s="35" t="inlineStr">
        <is>
          <t>Not Started</t>
        </is>
      </c>
      <c r="V267" s="37">
        <f>IF(U267="Not Started",0%,IF(U267="Started",50%,IF(U267="Ready for review",70%,IF(U267="Reviewed - Content",80%,IF(U267="Reviewed - Format",90%,IF(U267="Done",100%,""))))))</f>
        <v/>
      </c>
      <c r="W267" t="inlineStr">
        <is>
          <t>2026-07-07</t>
        </is>
      </c>
      <c r="X267" t="inlineStr">
        <is>
          <t>Cursor / tender-response (batch)</t>
        </is>
      </c>
      <c r="Y267" t="inlineStr">
        <is>
          <t>Draft needed</t>
        </is>
      </c>
      <c r="Z267" t="inlineStr">
        <is>
          <t>Lead</t>
        </is>
      </c>
      <c r="AA267" t="inlineStr">
        <is>
          <t>Answer: ESPD — informationskrav; udkast bilag/dokumentation mangler.</t>
        </is>
      </c>
      <c r="AB267" t="inlineStr">
        <is>
          <t>Mangler link til svar-bilag i kolonne T.</t>
        </is>
      </c>
      <c r="AC267" t="inlineStr">
        <is>
          <t>Ingen prior-art træffere i docs/tender-reference/extracted eller docs/product.</t>
        </is>
      </c>
      <c r="AD267" t="inlineStr">
        <is>
          <t>Anita: Opret/link svar-bilag; draft IK-tekst fra prior art.</t>
        </is>
      </c>
      <c r="AE267" t="inlineStr"/>
      <c r="AF267" t="inlineStr">
        <is>
          <t>Draft</t>
        </is>
      </c>
      <c r="AG267" t="inlineStr">
        <is>
          <t>uim-esdh-full-2026-07-07</t>
        </is>
      </c>
    </row>
    <row r="268" ht="48" customHeight="1">
      <c r="A268" s="35" t="n">
        <v>267</v>
      </c>
      <c r="B268" s="35" t="inlineStr">
        <is>
          <t>Bilag 1 - tidsplan og implementering</t>
        </is>
      </c>
      <c r="C268" s="35" t="inlineStr">
        <is>
          <t>Bilag 1</t>
        </is>
      </c>
      <c r="D268" s="35" t="inlineStr">
        <is>
          <t>tidsplan</t>
        </is>
      </c>
      <c r="E268" s="35" t="inlineStr">
        <is>
          <t>tidsplan</t>
        </is>
      </c>
      <c r="F268" s="35" t="inlineStr">
        <is>
          <t>Bilag 1's krav til tidsplanen inkl. Go-live dato d. 1. oktober 2027</t>
        </is>
      </c>
      <c r="G268" s="35" t="inlineStr">
        <is>
          <t>Mindstekrav</t>
        </is>
      </c>
      <c r="H268" s="35" t="inlineStr">
        <is>
          <t>Answer</t>
        </is>
      </c>
      <c r="I268" s="35" t="inlineStr">
        <is>
          <t>Nej</t>
        </is>
      </c>
      <c r="J268" s="35" t="n"/>
      <c r="K268" s="47" t="n"/>
      <c r="L268" s="35" t="inlineStr">
        <is>
          <t>Cristina</t>
        </is>
      </c>
      <c r="M268" s="35" t="n"/>
      <c r="N268" s="35" t="n"/>
      <c r="O268" s="35" t="n"/>
      <c r="P268" s="35" t="n"/>
      <c r="Q268" s="35" t="n"/>
      <c r="R268" s="35" t="n"/>
      <c r="S268" s="35" t="n"/>
      <c r="T268" s="35" t="n"/>
      <c r="U268" s="35" t="inlineStr">
        <is>
          <t>Not Started</t>
        </is>
      </c>
      <c r="V268" s="37">
        <f>IF(U268="Not Started",0%,IF(U268="Started",50%,IF(U268="Ready for review",70%,IF(U268="Reviewed - Content",80%,IF(U268="Reviewed - Format",90%,IF(U268="Done",100%,""))))))</f>
        <v/>
      </c>
      <c r="W268" t="inlineStr">
        <is>
          <t>2026-07-07</t>
        </is>
      </c>
      <c r="X268" t="inlineStr">
        <is>
          <t>Cursor / tender-response (batch)</t>
        </is>
      </c>
      <c r="Y268" t="inlineStr">
        <is>
          <t>Draft needed</t>
        </is>
      </c>
      <c r="Z268" t="inlineStr">
        <is>
          <t>Verified</t>
        </is>
      </c>
      <c r="AA268" t="inlineStr">
        <is>
          <t>Answer: tidsplan — informationskrav; udkast bilag/dokumentation mangler.</t>
        </is>
      </c>
      <c r="AB268" t="inlineStr">
        <is>
          <t>Mangler link til svar-bilag i kolonne T.</t>
        </is>
      </c>
      <c r="AC268" t="inlineStr">
        <is>
          <t>docs/tender-reference/extracted/KUM-SLKS/Bilag 1 - Tidsplan.txt; docs/tender-reference/extracted/KK Tender tool.txt; docs/tender-reference/extracted/Nationalbanken/Bilag 3.i Leverandørens Løsningsbeskrivelse.txt</t>
        </is>
      </c>
      <c r="AD268" t="inlineStr">
        <is>
          <t>Cristina: Opret/link svar-bilag; draft IK-tekst fra prior art.</t>
        </is>
      </c>
      <c r="AE268" t="inlineStr"/>
      <c r="AF268" t="inlineStr">
        <is>
          <t>Draft</t>
        </is>
      </c>
      <c r="AG268" t="inlineStr">
        <is>
          <t>uim-esdh-full-2026-07-07</t>
        </is>
      </c>
    </row>
    <row r="269" ht="144" customHeight="1">
      <c r="A269" s="35" t="n">
        <v>268</v>
      </c>
      <c r="B269" s="35" t="inlineStr">
        <is>
          <t>Bilag 1 - Optioner</t>
        </is>
      </c>
      <c r="C269" s="35" t="inlineStr">
        <is>
          <t>Bilag 1</t>
        </is>
      </c>
      <c r="D269" s="35" t="inlineStr">
        <is>
          <t>optioner</t>
        </is>
      </c>
      <c r="E269" s="35" t="inlineStr">
        <is>
          <t>optioner</t>
        </is>
      </c>
      <c r="F269" s="35" t="inlineStr">
        <is>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is>
      </c>
      <c r="G269" s="35" t="inlineStr">
        <is>
          <t>Mindstekrav</t>
        </is>
      </c>
      <c r="H269" s="35" t="inlineStr">
        <is>
          <t>Answer</t>
        </is>
      </c>
      <c r="I269" s="35" t="inlineStr">
        <is>
          <t>Nej</t>
        </is>
      </c>
      <c r="J269" s="35" t="n"/>
      <c r="K269" s="47" t="n"/>
      <c r="L269" s="35" t="inlineStr">
        <is>
          <t>Hans</t>
        </is>
      </c>
      <c r="M269" s="35" t="n"/>
      <c r="N269" s="35" t="n"/>
      <c r="O269" s="35" t="n"/>
      <c r="P269" s="35" t="inlineStr">
        <is>
          <t xml:space="preserve">OBS: Vi kan stå for ansvaret for deres drift med 20 DAGES varsel.
Option 7 lugter af at vi/KMD evt skal uddanne Deloitte til at håndtere driften for dem.
Vi kan ikke give gå-væk-priser på nogle af disse. De indgår i den evalueringstekniske pris. </t>
        </is>
      </c>
      <c r="Q269" s="35" t="n"/>
      <c r="R269" s="35" t="inlineStr">
        <is>
          <t>Yes</t>
        </is>
      </c>
      <c r="S269" s="35" t="n"/>
      <c r="T269" s="35" t="n"/>
      <c r="U269" s="35" t="inlineStr">
        <is>
          <t>Not Started</t>
        </is>
      </c>
      <c r="V269" s="37">
        <f>IF(U269="Not Started",0%,IF(U269="Started",50%,IF(U269="Ready for review",70%,IF(U269="Reviewed - Content",80%,IF(U269="Reviewed - Format",90%,IF(U269="Done",100%,""))))))</f>
        <v/>
      </c>
      <c r="W269" t="inlineStr">
        <is>
          <t>2026-07-07</t>
        </is>
      </c>
      <c r="X269" t="inlineStr">
        <is>
          <t>Cursor / tender-response (batch)</t>
        </is>
      </c>
      <c r="Y269" t="inlineStr">
        <is>
          <t>Draft needed</t>
        </is>
      </c>
      <c r="Z269" t="inlineStr">
        <is>
          <t>Verified</t>
        </is>
      </c>
      <c r="AA269" t="inlineStr">
        <is>
          <t>Answer: optioner — informationskrav; udkast bilag/dokumentation mangler.</t>
        </is>
      </c>
      <c r="AB269" t="inlineStr">
        <is>
          <t>OBS: Vi kan stå for ansvaret for deres drift med 20 DAGES varsel.
Option 7 lugter af at vi/KMD evt skal uddanne Deloitte til at håndtere driften for dem.
Vi kan ikke give gå-væk-priser på nogle af disse. De indgår i den evalueringstekniske pris. | Mangler link til svar-bilag i kolonne T.</t>
        </is>
      </c>
      <c r="AC269" t="inlineStr">
        <is>
          <t>docs/product/RFP_Leverandørens_svar_utdrag.txt; docs/tender-reference/extracted/KK Tender tool.txt; docs/tender-reference/extracted/NND/02.01-Tieto-Bilag 2-Vedlegg-Leverandørens utfyllende svar til kravtabell.txt</t>
        </is>
      </c>
      <c r="AD269" t="inlineStr">
        <is>
          <t>Hans: Opret/link svar-bilag; draft IK-tekst fra prior art.</t>
        </is>
      </c>
      <c r="AE269" t="inlineStr"/>
      <c r="AF269" t="inlineStr">
        <is>
          <t>Draft</t>
        </is>
      </c>
      <c r="AG269" t="inlineStr">
        <is>
          <t>uim-esdh-full-2026-07-07</t>
        </is>
      </c>
    </row>
    <row r="270" ht="64" customHeight="1">
      <c r="A270" s="35" t="n">
        <v>269</v>
      </c>
      <c r="B270" s="35" t="inlineStr">
        <is>
          <t>Bilag 1 - Sikkerhed</t>
        </is>
      </c>
      <c r="C270" s="35" t="inlineStr">
        <is>
          <t>Bilag 1</t>
        </is>
      </c>
      <c r="D270" s="35" t="inlineStr">
        <is>
          <t>Sikkerhedskrav, herunder -godkendelse</t>
        </is>
      </c>
      <c r="E270" s="35" t="inlineStr">
        <is>
          <t>Sikkerhedskrav, herunder -godkendelse</t>
        </is>
      </c>
      <c r="F270" s="35" t="inlineStr">
        <is>
          <t>Verificering af sikkerhedskrav, inkl.:
Leverandørens medarbejdere, der skal understøtte Kunden i Leveringskontraktens levetid, skal sikkerhedsgodkendes jf. Leveringskontrakten pkt. 11.</t>
        </is>
      </c>
      <c r="G270" s="35" t="inlineStr">
        <is>
          <t>Mindstekrav</t>
        </is>
      </c>
      <c r="H270" s="35">
        <f>IF(G270="Evalueringskrav","Answer",(IF(G270="Krav","Check",(IF(G270="Mindstekrav","Verify","")))))</f>
        <v/>
      </c>
      <c r="I270" s="35" t="inlineStr">
        <is>
          <t>Nej</t>
        </is>
      </c>
      <c r="J270" s="35" t="n"/>
      <c r="K270" s="47" t="n"/>
      <c r="L270" s="35" t="inlineStr">
        <is>
          <t>Morten</t>
        </is>
      </c>
      <c r="M270" s="35" t="n"/>
      <c r="N270" s="35" t="n"/>
      <c r="O270" s="35" t="n"/>
      <c r="P270" s="35" t="n"/>
      <c r="Q270" s="35" t="n"/>
      <c r="R270" s="35" t="n"/>
      <c r="S270" s="35" t="n"/>
      <c r="T270" s="35" t="n"/>
      <c r="U270" s="35" t="inlineStr">
        <is>
          <t>Not Started</t>
        </is>
      </c>
      <c r="V270" s="37">
        <f>IF(U270="Not Started",0%,IF(U270="Started",50%,IF(U270="Ready for review",70%,IF(U270="Reviewed - Content",80%,IF(U270="Reviewed - Format",90%,IF(U270="Done",100%,""))))))</f>
        <v/>
      </c>
      <c r="W270" t="inlineStr">
        <is>
          <t>2026-07-07</t>
        </is>
      </c>
      <c r="X270" t="inlineStr">
        <is>
          <t>Cursor / tender-response (batch)</t>
        </is>
      </c>
      <c r="Y270" t="inlineStr">
        <is>
          <t>Clarify</t>
        </is>
      </c>
      <c r="Z270" t="inlineStr">
        <is>
          <t>Verified</t>
        </is>
      </c>
      <c r="AA270" t="inlineStr">
        <is>
          <t>Verify: Sikkerhedskrav, herunder -godkendelse — kræver produkt-/team-afklaring (ingen tool-rating).</t>
        </is>
      </c>
      <c r="AB270" t="inlineStr"/>
      <c r="AC270" t="inlineStr">
        <is>
          <t>docs/tender-reference/extracted/Nationalbanken/Bilag 3.i Leverandørens Løsningsbeskrivelse.txt; docs/tender-reference/extracted/KK Tender tool.txt; docs/tender-reference/extracted/KUM-SLKS/Bilag 1 - Tidsplan.txt</t>
        </is>
      </c>
      <c r="AD270" t="inlineStr">
        <is>
          <t>Morten: Udfyld tool-rating (O) og evidens; gennemgå AI-kladde.</t>
        </is>
      </c>
      <c r="AE270" t="inlineStr"/>
      <c r="AF270" t="inlineStr">
        <is>
          <t>Draft</t>
        </is>
      </c>
      <c r="AG270" t="inlineStr">
        <is>
          <t>uim-esdh-full-2026-07-07</t>
        </is>
      </c>
    </row>
    <row r="271" ht="80" customHeight="1">
      <c r="A271" s="35" t="n">
        <v>270</v>
      </c>
      <c r="B271" s="3" t="inlineStr">
        <is>
          <t>B1.A-1</t>
        </is>
      </c>
      <c r="C271" s="3" t="inlineStr">
        <is>
          <t>Bilag 1.a</t>
        </is>
      </c>
      <c r="D271" s="3" t="inlineStr">
        <is>
          <t>Brugsvilkår (fra 02.06 Oversigt)</t>
        </is>
      </c>
      <c r="E271" s="3" t="inlineStr">
        <is>
          <t>Optælling og afregning af licenser</t>
        </is>
      </c>
      <c r="F271" s="35" t="inlineStr">
        <is>
          <t>Leverandøren kan ikke ændre optællingsmetoden af anvendte og installerede produkter anskaffet under Leveringskontrakten. Optællingsmetoden henviser til at der for de i Leverandørens tilbud anførte produkter ikke kan ændres på afregningsformen i antal navngivne Brugere, devices, processorer etc.</t>
        </is>
      </c>
      <c r="G271" s="3" t="inlineStr">
        <is>
          <t>Mindstekrav</t>
        </is>
      </c>
      <c r="H271" s="35">
        <f>IF(G271="Evalueringskrav","Answer",(IF(G271="Krav","Check",(IF(G271="Mindstekrav","Verify","")))))</f>
        <v/>
      </c>
      <c r="I271" s="35" t="inlineStr">
        <is>
          <t>Nej</t>
        </is>
      </c>
      <c r="J271" s="35" t="n"/>
      <c r="K271" s="47" t="n"/>
      <c r="L271" s="35" t="inlineStr">
        <is>
          <t>Hans</t>
        </is>
      </c>
      <c r="M271" s="35" t="n"/>
      <c r="N271" s="35" t="n"/>
      <c r="O271" s="35" t="n"/>
      <c r="P271" s="35" t="n"/>
      <c r="Q271" s="35" t="n"/>
      <c r="R271" s="35" t="n"/>
      <c r="S271" s="35" t="n"/>
      <c r="T271" s="35" t="n"/>
      <c r="U271" s="35" t="inlineStr">
        <is>
          <t>Not Started</t>
        </is>
      </c>
      <c r="V271" s="37">
        <f>IF(U271="Not Started",0%,IF(U271="Started",50%,IF(U271="Ready for review",70%,IF(U271="Reviewed - Content",80%,IF(U271="Reviewed - Format",90%,IF(U271="Done",100%,""))))))</f>
        <v/>
      </c>
      <c r="W271" t="inlineStr">
        <is>
          <t>2026-07-07</t>
        </is>
      </c>
      <c r="X271" t="inlineStr">
        <is>
          <t>Cursor / tender-response (batch)</t>
        </is>
      </c>
      <c r="Y271" t="inlineStr">
        <is>
          <t>Clarify</t>
        </is>
      </c>
      <c r="Z271" t="inlineStr">
        <is>
          <t>Verified</t>
        </is>
      </c>
      <c r="AA271" t="inlineStr">
        <is>
          <t>Verify: Optælling og afregning af licenser — kræver produkt-/team-afklaring (ingen tool-rating).</t>
        </is>
      </c>
      <c r="AB271" t="inlineStr"/>
      <c r="AC271" t="inlineStr">
        <is>
          <t>docs/tender-reference/extracted/Nationalbanken/Bilag 3.i Leverandørens Løsningsbeskrivelse.txt; docs/tender-reference/extracted/KK Tender tool.txt; docs/tender-reference/extracted/KUM-SLKS/Bilag 10 - Producentens standardvilkår.txt</t>
        </is>
      </c>
      <c r="AD271" t="inlineStr">
        <is>
          <t>Hans: Udfyld tool-rating (O) og evidens; gennemgå AI-kladde.</t>
        </is>
      </c>
      <c r="AE271" t="inlineStr"/>
      <c r="AF271" t="inlineStr">
        <is>
          <t>Draft</t>
        </is>
      </c>
      <c r="AG271" t="inlineStr">
        <is>
          <t>uim-esdh-full-2026-07-07</t>
        </is>
      </c>
    </row>
    <row r="272" ht="96" customHeight="1">
      <c r="A272" s="35" t="n">
        <v>271</v>
      </c>
      <c r="B272" s="3" t="inlineStr">
        <is>
          <t>B1.A-2</t>
        </is>
      </c>
      <c r="C272" s="3" t="inlineStr">
        <is>
          <t>Bilag 1.a</t>
        </is>
      </c>
      <c r="D272" s="3" t="inlineStr">
        <is>
          <t>Brugsvilkår (fra 02.06 Oversigt)</t>
        </is>
      </c>
      <c r="E272" s="3" t="inlineStr">
        <is>
          <t>Afregningsform</t>
        </is>
      </c>
      <c r="F272" s="35" t="inlineStr">
        <is>
          <t>Der afregnes efter Kundens brug af programmellet. Afregningsformen kan ikke ændres på allerede erhvervede licenser. Dette kan være optalt i enten antallet af f.eks. Brugere, processorer eller devices. Leverandøren er ikke berettiget til at lade kundespecifikke forhold af demografisk eller geografisk karakter have direkte eller indirekte indflydelse på afregningsformen, med mindre andet eksplicit er aftalt.</t>
        </is>
      </c>
      <c r="G272" s="3" t="inlineStr">
        <is>
          <t>Mindstekrav</t>
        </is>
      </c>
      <c r="H272" s="35">
        <f>IF(G272="Evalueringskrav","Answer",(IF(G272="Krav","Check",(IF(G272="Mindstekrav","Verify","")))))</f>
        <v/>
      </c>
      <c r="I272" s="35" t="inlineStr">
        <is>
          <t>Nej</t>
        </is>
      </c>
      <c r="J272" s="35" t="n"/>
      <c r="K272" s="47" t="n"/>
      <c r="L272" s="35" t="inlineStr">
        <is>
          <t>Hans</t>
        </is>
      </c>
      <c r="M272" s="35" t="n"/>
      <c r="N272" s="35" t="n"/>
      <c r="O272" s="35" t="n"/>
      <c r="P272" s="35" t="n"/>
      <c r="Q272" s="35" t="n"/>
      <c r="R272" s="35" t="n"/>
      <c r="S272" s="35" t="n"/>
      <c r="T272" s="35" t="n"/>
      <c r="U272" s="35" t="inlineStr">
        <is>
          <t>Not Started</t>
        </is>
      </c>
      <c r="V272" s="37">
        <f>IF(U272="Not Started",0%,IF(U272="Started",50%,IF(U272="Ready for review",70%,IF(U272="Reviewed - Content",80%,IF(U272="Reviewed - Format",90%,IF(U272="Done",100%,""))))))</f>
        <v/>
      </c>
      <c r="W272" t="inlineStr">
        <is>
          <t>2026-07-07</t>
        </is>
      </c>
      <c r="X272" t="inlineStr">
        <is>
          <t>Cursor / tender-response (batch)</t>
        </is>
      </c>
      <c r="Y272" t="inlineStr">
        <is>
          <t>Clarify</t>
        </is>
      </c>
      <c r="Z272" t="inlineStr">
        <is>
          <t>Verified</t>
        </is>
      </c>
      <c r="AA272" t="inlineStr">
        <is>
          <t>Verify: Afregningsform — kræver produkt-/team-afklaring (ingen tool-rating).</t>
        </is>
      </c>
      <c r="AB272" t="inlineStr"/>
      <c r="AC272" t="inlineStr">
        <is>
          <t>docs/tender-reference/extracted/KK Tender tool.txt; docs/tender-reference/extracted/KUM-SLKS/Bilag 10 - Producentens standardvilkår.txt; docs/tender-reference/extracted/Nationalbanken/Bilag 3.i Leverandørens Løsningsbeskrivelse.txt</t>
        </is>
      </c>
      <c r="AD272" t="inlineStr">
        <is>
          <t>Hans: Udfyld tool-rating (O) og evidens; gennemgå AI-kladde.</t>
        </is>
      </c>
      <c r="AE272" t="inlineStr"/>
      <c r="AF272" t="inlineStr">
        <is>
          <t>Draft</t>
        </is>
      </c>
      <c r="AG272" t="inlineStr">
        <is>
          <t>uim-esdh-full-2026-07-07</t>
        </is>
      </c>
    </row>
    <row r="273" ht="192" customHeight="1">
      <c r="A273" s="35" t="n">
        <v>272</v>
      </c>
      <c r="B273" s="3" t="inlineStr">
        <is>
          <t>B1.A-3</t>
        </is>
      </c>
      <c r="C273" s="3" t="inlineStr">
        <is>
          <t>Bilag 1.a</t>
        </is>
      </c>
      <c r="D273" s="3" t="inlineStr">
        <is>
          <t>Brugsvilkår (fra 02.06 Oversigt)</t>
        </is>
      </c>
      <c r="E273" s="3" t="inlineStr">
        <is>
          <t>Organisatorisk anvendelsesret</t>
        </is>
      </c>
      <c r="F273" s="35" t="inlineStr">
        <is>
          <t>Under de vilkår der er angivet i Leveringskontraktens bestemmelser om ændringer, står det Kunden frit for at anvende det indkøbte programmel indenfor Kundens koncern og nye eller ændrede myndigheder/koncerner etableret eller ændret f.eks. pga. omstruktureringer/ressortomlægninger, idet Kunden meddeler dette til Leverandøren og underskriver sædvanlige standardiserede navneændring/overdragelsesdokumenter overfor Leverandøren. Kunder som køber ind via Det dynamiske indkøbssystem på vegne af øvrige statslige Myndigheder kan uhindret og vederlagsfrit flytte licenser mellem statslige Myndigheder. Tilsvarende gælder imellem kommuner, regioner og lignende. Den organisatoriske anvendelsesret omfatter både tidsubegrænsede og tidsbegrænsede licenser / on-premise og cloud.</t>
        </is>
      </c>
      <c r="G273" s="3" t="inlineStr">
        <is>
          <t>Mindstekrav</t>
        </is>
      </c>
      <c r="H273" s="35">
        <f>IF(G273="Evalueringskrav","Answer",(IF(G273="Krav","Check",(IF(G273="Mindstekrav","Verify","")))))</f>
        <v/>
      </c>
      <c r="I273" s="35" t="inlineStr">
        <is>
          <t>Nej</t>
        </is>
      </c>
      <c r="J273" s="35" t="n"/>
      <c r="K273" s="47" t="n"/>
      <c r="L273" s="35" t="inlineStr">
        <is>
          <t>Mandip</t>
        </is>
      </c>
      <c r="M273" s="35" t="n"/>
      <c r="N273" s="35" t="n"/>
      <c r="O273" s="35" t="n"/>
      <c r="P273" s="35" t="inlineStr">
        <is>
          <t xml:space="preserve">Dette betyder, at de kan udvide brugen til hele koncernen, hvis de ønsker. </t>
        </is>
      </c>
      <c r="Q273" s="35" t="n"/>
      <c r="R273" s="35" t="n"/>
      <c r="S273" s="35" t="n"/>
      <c r="T273" s="35" t="n"/>
      <c r="U273" s="35" t="inlineStr">
        <is>
          <t>Not Started</t>
        </is>
      </c>
      <c r="V273" s="37">
        <f>IF(U273="Not Started",0%,IF(U273="Started",50%,IF(U273="Ready for review",70%,IF(U273="Reviewed - Content",80%,IF(U273="Reviewed - Format",90%,IF(U273="Done",100%,""))))))</f>
        <v/>
      </c>
      <c r="W273" t="inlineStr">
        <is>
          <t>2026-07-07</t>
        </is>
      </c>
      <c r="X273" t="inlineStr">
        <is>
          <t>Cursor / tender-response (batch)</t>
        </is>
      </c>
      <c r="Y273" t="inlineStr">
        <is>
          <t>Clarify</t>
        </is>
      </c>
      <c r="Z273" t="inlineStr">
        <is>
          <t>Verified</t>
        </is>
      </c>
      <c r="AA273" t="inlineStr">
        <is>
          <t>Verify: Organisatorisk anvendelsesret — kræver produkt-/team-afklaring (ingen tool-rating).</t>
        </is>
      </c>
      <c r="AB273" t="inlineStr">
        <is>
          <t>Dette betyder, at de kan udvide brugen til hele koncernen, hvis de ønsker.</t>
        </is>
      </c>
      <c r="AC273" t="inlineStr">
        <is>
          <t>docs/tender-reference/extracted/Nationalbanken/Bilag 3.i Leverandørens Løsningsbeskrivelse.txt; docs/tender-reference/extracted/KK Tender tool.txt; docs/tender-reference/extracted/KUM-SLKS/Bilag 10 - Producentens standardvilkår.txt</t>
        </is>
      </c>
      <c r="AD273" t="inlineStr">
        <is>
          <t>Mandip: Udfyld tool-rating (O) og evidens; gennemgå AI-kladde.</t>
        </is>
      </c>
      <c r="AE273" t="inlineStr"/>
      <c r="AF273" t="inlineStr">
        <is>
          <t>Draft</t>
        </is>
      </c>
      <c r="AG273" t="inlineStr">
        <is>
          <t>uim-esdh-full-2026-07-07</t>
        </is>
      </c>
    </row>
    <row r="274" ht="80" customHeight="1">
      <c r="A274" s="35" t="n">
        <v>273</v>
      </c>
      <c r="B274" s="3" t="inlineStr">
        <is>
          <t>B1.A-4</t>
        </is>
      </c>
      <c r="C274" s="3" t="inlineStr">
        <is>
          <t>Bilag 1.a</t>
        </is>
      </c>
      <c r="D274" s="3" t="inlineStr">
        <is>
          <t>Brugsvilkår (fra 02.06 Oversigt)</t>
        </is>
      </c>
      <c r="E274" s="3" t="inlineStr">
        <is>
          <t>Geografisk ret</t>
        </is>
      </c>
      <c r="F274" s="35" t="inlineStr">
        <is>
          <t>Kunden har ret til at installere og drifte det indkøbte programmel på alle fysiske lokationer, der er knyttet til Myndigheden/koncernen og dennes ressortområder/datterselskaber. Denne ret er ikke begrænset til afvikling af softwaren i Danmark, men gælder i alle lande hvor Myndigheden/koncernen opererer.</t>
        </is>
      </c>
      <c r="G274" s="3" t="inlineStr">
        <is>
          <t>Mindstekrav</t>
        </is>
      </c>
      <c r="H274" s="35">
        <f>IF(G274="Evalueringskrav","Answer",(IF(G274="Krav","Check",(IF(G274="Mindstekrav","Verify","")))))</f>
        <v/>
      </c>
      <c r="I274" s="35" t="inlineStr">
        <is>
          <t>Nej</t>
        </is>
      </c>
      <c r="J274" s="35" t="n"/>
      <c r="K274" s="47" t="n"/>
      <c r="L274" s="35" t="inlineStr">
        <is>
          <t>Mandip</t>
        </is>
      </c>
      <c r="M274" s="35" t="n"/>
      <c r="N274" s="35" t="n"/>
      <c r="O274" s="35" t="n"/>
      <c r="P274" s="35" t="n"/>
      <c r="Q274" s="35" t="n"/>
      <c r="R274" s="35" t="n"/>
      <c r="S274" s="35" t="n"/>
      <c r="T274" s="35" t="n"/>
      <c r="U274" s="35" t="inlineStr">
        <is>
          <t>Not Started</t>
        </is>
      </c>
      <c r="V274" s="37">
        <f>IF(U274="Not Started",0%,IF(U274="Started",50%,IF(U274="Ready for review",70%,IF(U274="Reviewed - Content",80%,IF(U274="Reviewed - Format",90%,IF(U274="Done",100%,""))))))</f>
        <v/>
      </c>
      <c r="W274" t="inlineStr">
        <is>
          <t>2026-07-07</t>
        </is>
      </c>
      <c r="X274" t="inlineStr">
        <is>
          <t>Cursor / tender-response (batch)</t>
        </is>
      </c>
      <c r="Y274" t="inlineStr">
        <is>
          <t>Clarify</t>
        </is>
      </c>
      <c r="Z274" t="inlineStr">
        <is>
          <t>Verified</t>
        </is>
      </c>
      <c r="AA274" t="inlineStr">
        <is>
          <t>Verify: Geografisk ret — kræver produkt-/team-afklaring (ingen tool-rating).</t>
        </is>
      </c>
      <c r="AB274" t="inlineStr"/>
      <c r="AC274"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74" t="inlineStr">
        <is>
          <t>Mandip: Udfyld tool-rating (O) og evidens; gennemgå AI-kladde.</t>
        </is>
      </c>
      <c r="AE274" t="inlineStr"/>
      <c r="AF274" t="inlineStr">
        <is>
          <t>Draft</t>
        </is>
      </c>
      <c r="AG274" t="inlineStr">
        <is>
          <t>uim-esdh-full-2026-07-07</t>
        </is>
      </c>
    </row>
    <row r="275" ht="208" customHeight="1">
      <c r="A275" s="35" t="n">
        <v>274</v>
      </c>
      <c r="B275" s="3" t="inlineStr">
        <is>
          <t>B1.A-5</t>
        </is>
      </c>
      <c r="C275" s="3" t="inlineStr">
        <is>
          <t>Bilag 1.a</t>
        </is>
      </c>
      <c r="D275" s="3" t="inlineStr">
        <is>
          <t>Brugsvilkår (fra 02.06 Oversigt)</t>
        </is>
      </c>
      <c r="E275" s="3" t="inlineStr">
        <is>
          <t>Audit - 60 dages forberedelse</t>
        </is>
      </c>
      <c r="F275" s="35" t="inlineStr">
        <is>
          <t>Såfremt Producenten/Leverandøren ønsker at gennemføre et audit af Kundens licensbeholdning gælder et almindeligt varsel på 60 kalenderdage inden audit må gennemføres. Leverandøren betaler auditomkostningerne (internt tidsforbrug hos henholdsvis Kunden og Leverandøren/Producenten, kan ikke opkræves), hvis omfanget af non-compliance ikke overstiger 15% af organisationens samlede licens- og supportomkostninger for Leveringskontraktens foregående år. I tilfælde af audit, hvor audit gennemføres af tredjepart (f.eks. et revisionsfirma) har Kunden ret til at afvise Leverandørens auditør, hvis Kunden kan sandsynliggøre at der er forhold, der gør auditøren inhabil. I særlige tilfælde f.eks. i forbindelse med organisationsændringer eller fusioner har Kunden ret til udsættelse på 60 kalenderdage udover det almindelige varsel Leverandøren er pålagt.</t>
        </is>
      </c>
      <c r="G275" s="3" t="inlineStr">
        <is>
          <t>Mindstekrav</t>
        </is>
      </c>
      <c r="H275" s="35">
        <f>IF(G275="Evalueringskrav","Answer",(IF(G275="Krav","Check",(IF(G275="Mindstekrav","Verify","")))))</f>
        <v/>
      </c>
      <c r="I275" s="35" t="inlineStr">
        <is>
          <t>Nej</t>
        </is>
      </c>
      <c r="J275" s="35" t="n"/>
      <c r="K275" s="47" t="n"/>
      <c r="L275" s="35" t="inlineStr">
        <is>
          <t>Hans</t>
        </is>
      </c>
      <c r="M275" s="35" t="n"/>
      <c r="N275" s="35" t="n"/>
      <c r="O275" s="35" t="n"/>
      <c r="P275" s="35" t="inlineStr">
        <is>
          <t>Vi plejer ikke at skulle advisere dem, men vi kan bare udmelde i begyndelsen af året, hvornår vi gør det.</t>
        </is>
      </c>
      <c r="Q275" s="35" t="n"/>
      <c r="R275" s="35" t="n"/>
      <c r="S275" s="35" t="n"/>
      <c r="T275" s="35" t="n"/>
      <c r="U275" s="35" t="inlineStr">
        <is>
          <t>Not Started</t>
        </is>
      </c>
      <c r="V275" s="37">
        <f>IF(U275="Not Started",0%,IF(U275="Started",50%,IF(U275="Ready for review",70%,IF(U275="Reviewed - Content",80%,IF(U275="Reviewed - Format",90%,IF(U275="Done",100%,""))))))</f>
        <v/>
      </c>
      <c r="W275" t="inlineStr">
        <is>
          <t>2026-07-07</t>
        </is>
      </c>
      <c r="X275" t="inlineStr">
        <is>
          <t>Cursor / tender-response (batch)</t>
        </is>
      </c>
      <c r="Y275" t="inlineStr">
        <is>
          <t>Clarify</t>
        </is>
      </c>
      <c r="Z275" t="inlineStr">
        <is>
          <t>Verified</t>
        </is>
      </c>
      <c r="AA275" t="inlineStr">
        <is>
          <t>Verify: Audit - 60 dages forberedelse — kræver produkt-/team-afklaring (ingen tool-rating).</t>
        </is>
      </c>
      <c r="AB275" t="inlineStr">
        <is>
          <t>Vi plejer ikke at skulle advisere dem, men vi kan bare udmelde i begyndelsen af året, hvornår vi gør det.</t>
        </is>
      </c>
      <c r="AC275" t="inlineStr">
        <is>
          <t>docs/tender-reference/extracted/Nationalbanken/Bilag 3.i Leverandørens Løsningsbeskrivelse.txt; docs/tender-reference/extracted/KK Tender tool.txt; docs/tender-reference/extracted/KUM-SLKS/Bilag 10 - Producentens standardvilkår.txt</t>
        </is>
      </c>
      <c r="AD275" t="inlineStr">
        <is>
          <t>Hans: Udfyld tool-rating (O) og evidens; gennemgå AI-kladde.</t>
        </is>
      </c>
      <c r="AE275" t="inlineStr"/>
      <c r="AF275" t="inlineStr">
        <is>
          <t>Draft</t>
        </is>
      </c>
      <c r="AG275" t="inlineStr">
        <is>
          <t>uim-esdh-full-2026-07-07</t>
        </is>
      </c>
    </row>
    <row r="276" ht="80" customHeight="1">
      <c r="A276" s="35" t="n">
        <v>275</v>
      </c>
      <c r="B276" s="3" t="inlineStr">
        <is>
          <t>B1.A-6</t>
        </is>
      </c>
      <c r="C276" s="3" t="inlineStr">
        <is>
          <t>Bilag 1.a</t>
        </is>
      </c>
      <c r="D276" s="3" t="inlineStr">
        <is>
          <t>Brugsvilkår (fra 02.06 Oversigt)</t>
        </is>
      </c>
      <c r="E276" s="3" t="inlineStr">
        <is>
          <t>Audit - konsekvens</t>
        </is>
      </c>
      <c r="F276" s="35" t="inlineStr">
        <is>
          <t>I tilfælde af at Leverandøren/Producenten gennemfører et audit, og der anvendes flere licenser/services, end der er indkøbt, er Kunden forpligtet til at betale for de manglende licenser/services og eventuel support. Det er de i Leveringskontrakten allerede angivne priser som skal anvendes.</t>
        </is>
      </c>
      <c r="G276" s="3" t="inlineStr">
        <is>
          <t>Mindstekrav</t>
        </is>
      </c>
      <c r="H276" s="35">
        <f>IF(G276="Evalueringskrav","Answer",(IF(G276="Krav","Check",(IF(G276="Mindstekrav","Verify","")))))</f>
        <v/>
      </c>
      <c r="I276" s="35" t="inlineStr">
        <is>
          <t>Nej</t>
        </is>
      </c>
      <c r="J276" s="35" t="n"/>
      <c r="K276" s="47" t="n"/>
      <c r="L276" s="35" t="inlineStr">
        <is>
          <t>Hans</t>
        </is>
      </c>
      <c r="M276" s="35" t="n"/>
      <c r="N276" s="35" t="n"/>
      <c r="O276" s="35" t="n"/>
      <c r="P276" s="35" t="inlineStr">
        <is>
          <t>Som det er for de fleste kunder i dag.</t>
        </is>
      </c>
      <c r="Q276" s="35" t="n"/>
      <c r="R276" s="35" t="n"/>
      <c r="S276" s="35" t="n"/>
      <c r="T276" s="35" t="n"/>
      <c r="U276" s="35" t="inlineStr">
        <is>
          <t>Not Started</t>
        </is>
      </c>
      <c r="V276" s="37">
        <f>IF(U276="Not Started",0%,IF(U276="Started",50%,IF(U276="Ready for review",70%,IF(U276="Reviewed - Content",80%,IF(U276="Reviewed - Format",90%,IF(U276="Done",100%,""))))))</f>
        <v/>
      </c>
      <c r="W276" t="inlineStr">
        <is>
          <t>2026-07-07</t>
        </is>
      </c>
      <c r="X276" t="inlineStr">
        <is>
          <t>Cursor / tender-response (batch)</t>
        </is>
      </c>
      <c r="Y276" t="inlineStr">
        <is>
          <t>Clarify</t>
        </is>
      </c>
      <c r="Z276" t="inlineStr">
        <is>
          <t>Verified</t>
        </is>
      </c>
      <c r="AA276" t="inlineStr">
        <is>
          <t>Verify: Audit - konsekvens — kræver produkt-/team-afklaring (ingen tool-rating).</t>
        </is>
      </c>
      <c r="AB276" t="inlineStr">
        <is>
          <t>Som det er for de fleste kunder i dag.</t>
        </is>
      </c>
      <c r="AC276" t="inlineStr">
        <is>
          <t>docs/tender-reference/extracted/KK Tender tool.txt; docs/tender-reference/extracted/KUM-SLKS/Bilag 10 - Producentens standardvilkår.txt; docs/tender-reference/extracted/NND/02.01-Tieto-Bilag 2-Vedlegg-Leverandørens utfyllende svar til kravtabell.txt</t>
        </is>
      </c>
      <c r="AD276" t="inlineStr">
        <is>
          <t>Hans: Udfyld tool-rating (O) og evidens; gennemgå AI-kladde.</t>
        </is>
      </c>
      <c r="AE276" t="inlineStr"/>
      <c r="AF276" t="inlineStr">
        <is>
          <t>Draft</t>
        </is>
      </c>
      <c r="AG276" t="inlineStr">
        <is>
          <t>uim-esdh-full-2026-07-07</t>
        </is>
      </c>
    </row>
    <row r="277" ht="64" customHeight="1">
      <c r="A277" s="35" t="n">
        <v>276</v>
      </c>
      <c r="B277" s="3" t="inlineStr">
        <is>
          <t>B1.A-7</t>
        </is>
      </c>
      <c r="C277" s="3" t="inlineStr">
        <is>
          <t>Bilag 1.a</t>
        </is>
      </c>
      <c r="D277" s="3" t="inlineStr">
        <is>
          <t>Brugsvilkår (fra 02.06 Oversigt)</t>
        </is>
      </c>
      <c r="E277" s="3" t="inlineStr">
        <is>
          <t>Dobbeltdrift ved migrering</t>
        </is>
      </c>
      <c r="F277" s="35" t="inlineStr">
        <is>
          <t>Ved migrering af drift fra et system til et andet eller ved skift af driftsleverandør, har Kunden ret til vederlagsfrit at dobbeltdrifte i en periode på op til 4 måneder, hvor systemet migreres fra et driftsmiljø til et andet.</t>
        </is>
      </c>
      <c r="G277" s="3" t="inlineStr">
        <is>
          <t>Mindstekrav</t>
        </is>
      </c>
      <c r="H277" s="35">
        <f>IF(G277="Evalueringskrav","Answer",(IF(G277="Krav","Check",(IF(G277="Mindstekrav","Verify","")))))</f>
        <v/>
      </c>
      <c r="I277" s="35" t="inlineStr">
        <is>
          <t>Nej</t>
        </is>
      </c>
      <c r="J277" s="35" t="n"/>
      <c r="K277" s="47" t="n"/>
      <c r="L277" s="35" t="inlineStr">
        <is>
          <t>Hans</t>
        </is>
      </c>
      <c r="M277" s="35" t="n"/>
      <c r="N277" s="35" t="n"/>
      <c r="O277" s="35" t="n"/>
      <c r="P277" s="35" t="inlineStr">
        <is>
          <t>Prispåvirkning - dette kan være dyrt.</t>
        </is>
      </c>
      <c r="Q277" s="35" t="n"/>
      <c r="R277" s="35" t="n"/>
      <c r="S277" s="35" t="inlineStr">
        <is>
          <t>Yes</t>
        </is>
      </c>
      <c r="T277" s="35" t="n"/>
      <c r="U277" s="35" t="inlineStr">
        <is>
          <t>Not Started</t>
        </is>
      </c>
      <c r="V277" s="37">
        <f>IF(U277="Not Started",0%,IF(U277="Started",50%,IF(U277="Ready for review",70%,IF(U277="Reviewed - Content",80%,IF(U277="Reviewed - Format",90%,IF(U277="Done",100%,""))))))</f>
        <v/>
      </c>
      <c r="W277" t="inlineStr">
        <is>
          <t>2026-07-07</t>
        </is>
      </c>
      <c r="X277" t="inlineStr">
        <is>
          <t>Cursor / tender-response (batch)</t>
        </is>
      </c>
      <c r="Y277" t="inlineStr">
        <is>
          <t>Clarify</t>
        </is>
      </c>
      <c r="Z277" t="inlineStr">
        <is>
          <t>Verified</t>
        </is>
      </c>
      <c r="AA277" t="inlineStr">
        <is>
          <t>Verify: Dobbeltdrift ved migrering — kræver produkt-/team-afklaring (ingen tool-rating).</t>
        </is>
      </c>
      <c r="AB277" t="inlineStr">
        <is>
          <t>Prispåvirkning - dette kan være dyrt.</t>
        </is>
      </c>
      <c r="AC277" t="inlineStr">
        <is>
          <t>docs/tender-reference/extracted/HSØ/02.00-Tietoevry-SSA-L-Bilag 2-Leverandørens beskrivelse av Tjenesten.txt; docs/tender-reference/extracted/KK Tender tool.txt; docs/tender-reference/extracted/NND/02.01-Tieto-Bilag 2-Vedlegg-Leverandørens utfyllende svar til kravtabell.txt</t>
        </is>
      </c>
      <c r="AD277" t="inlineStr">
        <is>
          <t>Hans: Udfyld tool-rating (O) og evidens; gennemgå AI-kladde.</t>
        </is>
      </c>
      <c r="AE277" t="inlineStr"/>
      <c r="AF277" t="inlineStr">
        <is>
          <t>Draft</t>
        </is>
      </c>
      <c r="AG277" t="inlineStr">
        <is>
          <t>uim-esdh-full-2026-07-07</t>
        </is>
      </c>
    </row>
    <row r="278" ht="128" customHeight="1">
      <c r="A278" s="35" t="n">
        <v>277</v>
      </c>
      <c r="B278" s="3" t="inlineStr">
        <is>
          <t>B1.A-8</t>
        </is>
      </c>
      <c r="C278" s="3" t="inlineStr">
        <is>
          <t>Bilag 1.a</t>
        </is>
      </c>
      <c r="D278" s="3" t="inlineStr">
        <is>
          <t>Brugsvilkår (fra 02.06 Oversigt)</t>
        </is>
      </c>
      <c r="E278" s="3" t="inlineStr">
        <is>
          <t>Data (output)</t>
        </is>
      </c>
      <c r="F278" s="35" t="inlineStr">
        <is>
          <t>Kunden ejer alt genereret data som selvstændigt er skabt af Kunden ved hjælp af det installerede standardsoftware, tidsubegrænset og vederlagsfrit. Kunden kan frit bruge og distribuere data, såfremt dette ikke strider mod tredjemands rettigheder. Med data forstås for eksempel borgerdata, rapporter, tekster eller regneeksempler, der risikerer at gå tabt ved skift af platform. Såfremt Leveringskontrakten ophører, skal Leverandøren vederlagsfrit sikre at Kunden kan få adgang til data og dataoverflytning i 90 Dage.</t>
        </is>
      </c>
      <c r="G278" s="3" t="inlineStr">
        <is>
          <t>Mindstekrav</t>
        </is>
      </c>
      <c r="H278" s="35">
        <f>IF(G278="Evalueringskrav","Answer",(IF(G278="Krav","Check",(IF(G278="Mindstekrav","Verify","")))))</f>
        <v/>
      </c>
      <c r="I278" s="35" t="inlineStr">
        <is>
          <t>Nej</t>
        </is>
      </c>
      <c r="J278" s="35" t="n"/>
      <c r="K278" s="47" t="n"/>
      <c r="L278" s="35" t="inlineStr">
        <is>
          <t>Mandip</t>
        </is>
      </c>
      <c r="M278" s="35" t="n"/>
      <c r="N278" s="35" t="n"/>
      <c r="O278" s="35" t="n"/>
      <c r="P278" s="35" t="inlineStr">
        <is>
          <t>Maybe Viktoria?</t>
        </is>
      </c>
      <c r="Q278" s="35" t="n"/>
      <c r="R278" s="35" t="n"/>
      <c r="S278" s="35" t="n"/>
      <c r="T278" s="35" t="n"/>
      <c r="U278" s="35" t="inlineStr">
        <is>
          <t>Not Started</t>
        </is>
      </c>
      <c r="V278" s="37">
        <f>IF(U278="Not Started",0%,IF(U278="Started",50%,IF(U278="Ready for review",70%,IF(U278="Reviewed - Content",80%,IF(U278="Reviewed - Format",90%,IF(U278="Done",100%,""))))))</f>
        <v/>
      </c>
      <c r="W278" t="inlineStr">
        <is>
          <t>2026-07-07</t>
        </is>
      </c>
      <c r="X278" t="inlineStr">
        <is>
          <t>Cursor / tender-response (batch)</t>
        </is>
      </c>
      <c r="Y278" t="inlineStr">
        <is>
          <t>Clarify</t>
        </is>
      </c>
      <c r="Z278" t="inlineStr">
        <is>
          <t>Verified</t>
        </is>
      </c>
      <c r="AA278" t="inlineStr">
        <is>
          <t>Verify: Data (output) — kræver produkt-/team-afklaring (ingen tool-rating).</t>
        </is>
      </c>
      <c r="AB278" t="inlineStr">
        <is>
          <t>Maybe Viktoria?</t>
        </is>
      </c>
      <c r="AC278" t="inlineStr">
        <is>
          <t>docs/tender-reference/extracted/KK Tender tool.txt; docs/tender-reference/extracted/Nationalbanken/Bilag 3.i Leverandørens Løsningsbeskrivelse.txt; docs/tender-reference/extracted/KUM-SLKS/Bilag 3 - Kravspecifikation.txt</t>
        </is>
      </c>
      <c r="AD278" t="inlineStr">
        <is>
          <t>Mandip: Udfyld tool-rating (O) og evidens; gennemgå AI-kladde.</t>
        </is>
      </c>
      <c r="AE278" t="inlineStr"/>
      <c r="AF278" t="inlineStr">
        <is>
          <t>Draft</t>
        </is>
      </c>
      <c r="AG278" t="inlineStr">
        <is>
          <t>uim-esdh-full-2026-07-07</t>
        </is>
      </c>
    </row>
    <row r="279" ht="160" customHeight="1">
      <c r="A279" s="35" t="n">
        <v>278</v>
      </c>
      <c r="B279" s="3" t="inlineStr">
        <is>
          <t>B1.A-9</t>
        </is>
      </c>
      <c r="C279" s="3" t="inlineStr">
        <is>
          <t>Bilag 1.a</t>
        </is>
      </c>
      <c r="D279" s="3" t="inlineStr">
        <is>
          <t>Brugsvilkår (fra 02.06 Oversigt)</t>
        </is>
      </c>
      <c r="E279" s="3" t="inlineStr">
        <is>
          <t>Sikkerhedskopier m.v.</t>
        </is>
      </c>
      <c r="F279" s="35" t="inlineStr">
        <is>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is>
      </c>
      <c r="G279" s="3" t="inlineStr">
        <is>
          <t>Mindstekrav</t>
        </is>
      </c>
      <c r="H279" s="35">
        <f>IF(G279="Evalueringskrav","Answer",(IF(G279="Krav","Check",(IF(G279="Mindstekrav","Verify","")))))</f>
        <v/>
      </c>
      <c r="I279" s="35" t="inlineStr">
        <is>
          <t>Nej</t>
        </is>
      </c>
      <c r="J279" s="35" t="n"/>
      <c r="K279" s="47" t="n"/>
      <c r="L279" s="35" t="inlineStr">
        <is>
          <t>Mandip</t>
        </is>
      </c>
      <c r="M279" s="35" t="n"/>
      <c r="N279" s="35" t="n"/>
      <c r="O279" s="35" t="n"/>
      <c r="P279" s="35" t="inlineStr">
        <is>
          <t>Betyder dette, at de kan få adgang til vores kildekode? At de vil kopiere vores kildekode og gøre med det, hvad de vil? Dette kan vi IKKE leve med.</t>
        </is>
      </c>
      <c r="Q279" s="35" t="n"/>
      <c r="R279" s="35" t="inlineStr">
        <is>
          <t>Yes</t>
        </is>
      </c>
      <c r="S279" s="35" t="n"/>
      <c r="T279" s="35" t="n"/>
      <c r="U279" s="35" t="inlineStr">
        <is>
          <t>Not Started</t>
        </is>
      </c>
      <c r="V279" s="37">
        <f>IF(U279="Not Started",0%,IF(U279="Started",50%,IF(U279="Ready for review",70%,IF(U279="Reviewed - Content",80%,IF(U279="Reviewed - Format",90%,IF(U279="Done",100%,""))))))</f>
        <v/>
      </c>
      <c r="W279" t="inlineStr">
        <is>
          <t>2026-07-07</t>
        </is>
      </c>
      <c r="X279" t="inlineStr">
        <is>
          <t>Cursor / tender-response (batch)</t>
        </is>
      </c>
      <c r="Y279" t="inlineStr">
        <is>
          <t>Clarify</t>
        </is>
      </c>
      <c r="Z279" t="inlineStr">
        <is>
          <t>Verified</t>
        </is>
      </c>
      <c r="AA279" t="inlineStr">
        <is>
          <t>Verify: Sikkerhedskopier m.v. — kræver produkt-/team-afklaring (ingen tool-rating).</t>
        </is>
      </c>
      <c r="AB279" t="inlineStr">
        <is>
          <t>Betyder dette, at de kan få adgang til vores kildekode? At de vil kopiere vores kildekode og gøre med det, hvad de vil? Dette kan vi IKKE leve med.</t>
        </is>
      </c>
      <c r="AC279" t="inlineStr">
        <is>
          <t>docs/tender-reference/extracted/KK Tender tool.txt; docs/tender-reference/extracted/Nationalbanken/Bilag 3.i Leverandørens Løsningsbeskrivelse.txt; docs/tender-reference/extracted/KUM-SLKS/Bilag 3 - Kravspecifikation.txt</t>
        </is>
      </c>
      <c r="AD279" t="inlineStr">
        <is>
          <t>Mandip: Udfyld tool-rating (O) og evidens; gennemgå AI-kladde.</t>
        </is>
      </c>
      <c r="AE279" t="inlineStr"/>
      <c r="AF279" t="inlineStr">
        <is>
          <t>Draft</t>
        </is>
      </c>
      <c r="AG279" t="inlineStr">
        <is>
          <t>uim-esdh-full-2026-07-07</t>
        </is>
      </c>
    </row>
    <row r="280" ht="96" customHeight="1">
      <c r="A280" s="35" t="n">
        <v>279</v>
      </c>
      <c r="B280" s="3" t="inlineStr">
        <is>
          <t>B1.A-10</t>
        </is>
      </c>
      <c r="C280" s="3" t="inlineStr">
        <is>
          <t>Bilag 1.a</t>
        </is>
      </c>
      <c r="D280" s="3" t="inlineStr">
        <is>
          <t>Brugsvilkår (fra 02.06 Oversigt)</t>
        </is>
      </c>
      <c r="E280" s="3" t="inlineStr">
        <is>
          <t>Kundens driftsleverandører</t>
        </is>
      </c>
      <c r="F280" s="35" t="inlineStr">
        <is>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is>
      </c>
      <c r="G280" s="3" t="inlineStr">
        <is>
          <t>Mindstekrav</t>
        </is>
      </c>
      <c r="H280" s="35">
        <f>IF(G280="Evalueringskrav","Answer",(IF(G280="Krav","Check",(IF(G280="Mindstekrav","Verify","")))))</f>
        <v/>
      </c>
      <c r="I280" s="35" t="inlineStr">
        <is>
          <t>Nej</t>
        </is>
      </c>
      <c r="J280" s="35" t="n"/>
      <c r="K280" s="47" t="n"/>
      <c r="L280" s="35" t="inlineStr">
        <is>
          <t>Mandip</t>
        </is>
      </c>
      <c r="M280" s="35" t="n"/>
      <c r="N280" s="35" t="n"/>
      <c r="O280" s="35" t="n"/>
      <c r="P280" s="35" t="inlineStr">
        <is>
          <t xml:space="preserve">Dette er nok skrevet ind for at Deloitte kan arbejde for dem. </t>
        </is>
      </c>
      <c r="Q280" s="35" t="n"/>
      <c r="R280" s="35" t="n"/>
      <c r="S280" s="35" t="n"/>
      <c r="T280" s="35" t="n"/>
      <c r="U280" s="35" t="inlineStr">
        <is>
          <t>Not Started</t>
        </is>
      </c>
      <c r="V280" s="37">
        <f>IF(U280="Not Started",0%,IF(U280="Started",50%,IF(U280="Ready for review",70%,IF(U280="Reviewed - Content",80%,IF(U280="Reviewed - Format",90%,IF(U280="Done",100%,""))))))</f>
        <v/>
      </c>
      <c r="W280" t="inlineStr">
        <is>
          <t>2026-07-07</t>
        </is>
      </c>
      <c r="X280" t="inlineStr">
        <is>
          <t>Cursor / tender-response (batch)</t>
        </is>
      </c>
      <c r="Y280" t="inlineStr">
        <is>
          <t>Clarify</t>
        </is>
      </c>
      <c r="Z280" t="inlineStr">
        <is>
          <t>Verified</t>
        </is>
      </c>
      <c r="AA280" t="inlineStr">
        <is>
          <t>Verify: Kundens driftsleverandører — kræver produkt-/team-afklaring (ingen tool-rating).</t>
        </is>
      </c>
      <c r="AB280" t="inlineStr">
        <is>
          <t>Dette er nok skrevet ind for at Deloitte kan arbejde for dem.</t>
        </is>
      </c>
      <c r="AC280" t="inlineStr">
        <is>
          <t>docs/tender-reference/extracted/KK Tender tool.txt; docs/tender-reference/extracted/KUM-SLKS/Bilag 10 - Producentens standardvilkår.txt; docs/tender-reference/extracted/Nationalbanken/Bilag 3.i Leverandørens Løsningsbeskrivelse.txt</t>
        </is>
      </c>
      <c r="AD280" t="inlineStr">
        <is>
          <t>Mandip: Udfyld tool-rating (O) og evidens; gennemgå AI-kladde.</t>
        </is>
      </c>
      <c r="AE280" t="inlineStr"/>
      <c r="AF280" t="inlineStr">
        <is>
          <t>Draft</t>
        </is>
      </c>
      <c r="AG280" t="inlineStr">
        <is>
          <t>uim-esdh-full-2026-07-07</t>
        </is>
      </c>
    </row>
    <row r="281" ht="96" customHeight="1">
      <c r="A281" s="35" t="n">
        <v>280</v>
      </c>
      <c r="B281" s="3" t="inlineStr">
        <is>
          <t>B1.A-11</t>
        </is>
      </c>
      <c r="C281" s="3" t="inlineStr">
        <is>
          <t>Bilag 1.a</t>
        </is>
      </c>
      <c r="D281" s="3" t="inlineStr">
        <is>
          <t>Brugsvilkår (udarbejdet af Kunden)</t>
        </is>
      </c>
      <c r="E281" s="3" t="inlineStr">
        <is>
          <t>ESDH Standard API</t>
        </is>
      </c>
      <c r="F281" s="35" t="inlineStr">
        <is>
          <t>Kunden skal stilles det fulde ESDH Standard API til rådighed for Kundens systemer. Al Kundens adgang, integration og forbrug af API'et er inkluderet uden yderligere omkostninger, og Leverandøren kan ikke opkræve yderligere gebyrer, uanset mængden af integrationer eller datatransaktioner, således at der ikke opkræves licensudgift pr. applikation.</t>
        </is>
      </c>
      <c r="G281" s="3" t="inlineStr">
        <is>
          <t>Mindstekrav</t>
        </is>
      </c>
      <c r="H281" s="35">
        <f>IF(G281="Evalueringskrav","Answer",(IF(G281="Krav","Check",(IF(G281="Mindstekrav","Verify","")))))</f>
        <v/>
      </c>
      <c r="I281" s="35" t="inlineStr">
        <is>
          <t>Nej</t>
        </is>
      </c>
      <c r="J281" s="35" t="n"/>
      <c r="K281" s="47" t="n"/>
      <c r="L281" s="35" t="inlineStr">
        <is>
          <t>Hans</t>
        </is>
      </c>
      <c r="M281" s="35" t="n"/>
      <c r="N281" s="35" t="n"/>
      <c r="O281" s="35" t="n"/>
      <c r="P281" s="35" t="n"/>
      <c r="Q281" s="35" t="n"/>
      <c r="R281" s="35" t="n"/>
      <c r="S281" s="35" t="n"/>
      <c r="T281" s="35" t="n"/>
      <c r="U281" s="35" t="inlineStr">
        <is>
          <t>Not Started</t>
        </is>
      </c>
      <c r="V281" s="37">
        <f>IF(U281="Not Started",0%,IF(U281="Started",50%,IF(U281="Ready for review",70%,IF(U281="Reviewed - Content",80%,IF(U281="Reviewed - Format",90%,IF(U281="Done",100%,""))))))</f>
        <v/>
      </c>
      <c r="W281" t="inlineStr">
        <is>
          <t>2026-07-07</t>
        </is>
      </c>
      <c r="X281" t="inlineStr">
        <is>
          <t>Cursor / tender-response (batch)</t>
        </is>
      </c>
      <c r="Y281" t="inlineStr">
        <is>
          <t>Clarify</t>
        </is>
      </c>
      <c r="Z281" t="inlineStr">
        <is>
          <t>Verified</t>
        </is>
      </c>
      <c r="AA281" t="inlineStr">
        <is>
          <t>Verify: ESDH Standard API — kræver produkt-/team-afklaring (ingen tool-rating).</t>
        </is>
      </c>
      <c r="AB281" t="inlineStr"/>
      <c r="AC281"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1" t="inlineStr">
        <is>
          <t>Hans: Udfyld tool-rating (O) og evidens; gennemgå AI-kladde.</t>
        </is>
      </c>
      <c r="AE281" t="inlineStr"/>
      <c r="AF281" t="inlineStr">
        <is>
          <t>Draft</t>
        </is>
      </c>
      <c r="AG281" t="inlineStr">
        <is>
          <t>uim-esdh-full-2026-07-07</t>
        </is>
      </c>
    </row>
    <row r="282" ht="256" customHeight="1">
      <c r="A282" s="35" t="n">
        <v>281</v>
      </c>
      <c r="B282" s="3" t="inlineStr">
        <is>
          <t>B1.F-1</t>
        </is>
      </c>
      <c r="C282" s="3" t="inlineStr">
        <is>
          <t>Bilag 1.f. Test og prøver</t>
        </is>
      </c>
      <c r="D282" s="3" t="inlineStr">
        <is>
          <t>1.1</t>
        </is>
      </c>
      <c r="E282" s="3" t="inlineStr">
        <is>
          <t>Oversigt over prøver, prøveudførende og miljø</t>
        </is>
      </c>
      <c r="F282" s="35" t="inlineStr">
        <is>
          <t>Oversigt over prøver, prøveudførende og miljø Dette afsnit beskriver de prøver, der skal gennemføres ved etableringen af ESDH-løsningen. Kundens pre-produktionsmiljø vil blive anvendt i alle prøver på nær konverteringsprøven og Driftsprøven. Tabel 1 – Oversigt over prøver, prøveudførende og ansvarlig samt miljø. Prøve Prøveudførende og ansvarlig Leverandør Leverandør Leverandøren sammen med SIT og Kunden Miljø Separat miljø til migreringstest – etableres af Kunden men ESDH-løsning leveres af leverandør Kundens pre-produktionsmiljø Kundens pre-produktionsmiljø Kundens produktionsmiljø 1. 2. 3. Installationsprøve Performanceprøve Sikkerhedsprøve inkl. Disaster Recovery 4. Konverteringsprøve Leverandør i samarbejde med Kunden 5. 6. 7. Accepttest - UAT Overtagelsesprøve Driftsprøve Kunden Leverandør Kunden Kundens pre-produktionsmiljø Kundens pre-produktionsmiljø Kundens pre-produktionsmiljø Bemærkning Leverandøren skal dokumentere, at sikkerhedskravene er opfyldt gennem en sikkerhedsprøve 3</t>
        </is>
      </c>
      <c r="G282" s="3" t="inlineStr">
        <is>
          <t>Mindstekrav</t>
        </is>
      </c>
      <c r="H282" s="35">
        <f>IF(G282="Evalueringskrav","Answer",(IF(G282="Krav","Check",(IF(G282="Mindstekrav","Verify","")))))</f>
        <v/>
      </c>
      <c r="I282" s="35" t="inlineStr">
        <is>
          <t>Nej</t>
        </is>
      </c>
      <c r="J282" s="35" t="n"/>
      <c r="K282" s="47" t="n"/>
      <c r="L282" s="35" t="inlineStr">
        <is>
          <t>Cristina</t>
        </is>
      </c>
      <c r="M282" s="35" t="n"/>
      <c r="N282" s="35" t="n"/>
      <c r="O282" s="35" t="n"/>
      <c r="P282" s="35" t="n"/>
      <c r="Q282" s="35" t="n"/>
      <c r="R282" s="35" t="n"/>
      <c r="S282" s="35" t="n"/>
      <c r="T282" s="35" t="n"/>
      <c r="U282" s="35" t="inlineStr">
        <is>
          <t>Not Started</t>
        </is>
      </c>
      <c r="V282" s="37">
        <f>IF(U282="Not Started",0%,IF(U282="Started",50%,IF(U282="Ready for review",70%,IF(U282="Reviewed - Content",80%,IF(U282="Reviewed - Format",90%,IF(U282="Done",100%,""))))))</f>
        <v/>
      </c>
      <c r="W282" t="inlineStr">
        <is>
          <t>2026-07-07</t>
        </is>
      </c>
      <c r="X282" t="inlineStr">
        <is>
          <t>Cursor / tender-response (batch)</t>
        </is>
      </c>
      <c r="Y282" t="inlineStr">
        <is>
          <t>Clarify</t>
        </is>
      </c>
      <c r="Z282" t="inlineStr">
        <is>
          <t>Verified</t>
        </is>
      </c>
      <c r="AA282" t="inlineStr">
        <is>
          <t>Verify: Oversigt over prøver, prøveudførende og miljø — kræver produkt-/team-afklaring (ingen tool-rating).</t>
        </is>
      </c>
      <c r="AB282" t="inlineStr"/>
      <c r="AC282" t="inlineStr">
        <is>
          <t>docs/tender-reference/extracted/KK Tender tool.txt; docs/tender-reference/extracted/KUM-SLKS/Bilag 1 - Tidsplan.txt; docs/tender-reference/extracted/Nationalbanken/Bilag 3.i Leverandørens Løsningsbeskrivelse.txt</t>
        </is>
      </c>
      <c r="AD282" t="inlineStr">
        <is>
          <t>Cristina: Udfyld tool-rating (O) og evidens; gennemgå AI-kladde.</t>
        </is>
      </c>
      <c r="AE282" t="inlineStr"/>
      <c r="AF282" t="inlineStr">
        <is>
          <t>Draft</t>
        </is>
      </c>
      <c r="AG282" t="inlineStr">
        <is>
          <t>uim-esdh-full-2026-07-07</t>
        </is>
      </c>
    </row>
    <row r="283" ht="144" customHeight="1">
      <c r="A283" s="35" t="n">
        <v>282</v>
      </c>
      <c r="B283" s="3" t="inlineStr">
        <is>
          <t>B1.F-2</t>
        </is>
      </c>
      <c r="C283" s="3" t="inlineStr">
        <is>
          <t>Bilag 1.f. Test og prøver</t>
        </is>
      </c>
      <c r="D283" s="3" t="inlineStr">
        <is>
          <t>2.1</t>
        </is>
      </c>
      <c r="E283" s="3" t="inlineStr">
        <is>
          <t>Testdokumentation</t>
        </is>
      </c>
      <c r="F283" s="35" t="inlineStr">
        <is>
          <t>Testdokumentation Leverandøren skal planlægge, dokumentere, gennemføre og rapportere alle prøver i overensstemmelse med de relevante dele af IEEE 29119-serien, herunder særligt testprocesser, testdokumentation og testteknikker. Testterminologi, definitioner og begreber skal følge den til enhver tid gældende ISTQB glossary på dansk. Leverandøren kan anvende egne metoder og værktøjer, forudsat at disse dokumenter understøtter kravene i dette prøvebilag. Leverandøren skal som en del af testprocesserne bl.a. udarbejde følgende dokumentation i forbindelse med prøverne: • • • Testplan. Testcases. Prøverapport.</t>
        </is>
      </c>
      <c r="G283" s="3" t="inlineStr">
        <is>
          <t>Mindstekrav</t>
        </is>
      </c>
      <c r="H283" s="35">
        <f>IF(G283="Evalueringskrav","Answer",(IF(G283="Krav","Check",(IF(G283="Mindstekrav","Verify","")))))</f>
        <v/>
      </c>
      <c r="I283" s="35" t="inlineStr">
        <is>
          <t>Nej</t>
        </is>
      </c>
      <c r="J283" s="35" t="n"/>
      <c r="K283" s="47" t="n"/>
      <c r="L283" s="35" t="inlineStr">
        <is>
          <t>Cristina</t>
        </is>
      </c>
      <c r="M283" s="35" t="n"/>
      <c r="N283" s="35" t="n"/>
      <c r="O283" s="35" t="n"/>
      <c r="P283" s="35" t="n"/>
      <c r="Q283" s="35" t="n"/>
      <c r="R283" s="35" t="n"/>
      <c r="S283" s="35" t="n"/>
      <c r="T283" s="35" t="n"/>
      <c r="U283" s="35" t="inlineStr">
        <is>
          <t>Not Started</t>
        </is>
      </c>
      <c r="V283" s="37">
        <f>IF(U283="Not Started",0%,IF(U283="Started",50%,IF(U283="Ready for review",70%,IF(U283="Reviewed - Content",80%,IF(U283="Reviewed - Format",90%,IF(U283="Done",100%,""))))))</f>
        <v/>
      </c>
      <c r="W283" t="inlineStr">
        <is>
          <t>2026-07-07</t>
        </is>
      </c>
      <c r="X283" t="inlineStr">
        <is>
          <t>Cursor / tender-response (batch)</t>
        </is>
      </c>
      <c r="Y283" t="inlineStr">
        <is>
          <t>Clarify</t>
        </is>
      </c>
      <c r="Z283" t="inlineStr">
        <is>
          <t>Verified</t>
        </is>
      </c>
      <c r="AA283" t="inlineStr">
        <is>
          <t>Verify: Testdokumentation — kræver produkt-/team-afklaring (ingen tool-rating).</t>
        </is>
      </c>
      <c r="AB283" t="inlineStr"/>
      <c r="AC283"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3" t="inlineStr">
        <is>
          <t>Cristina: Udfyld tool-rating (O) og evidens; gennemgå AI-kladde.</t>
        </is>
      </c>
      <c r="AE283" t="inlineStr"/>
      <c r="AF283" t="inlineStr">
        <is>
          <t>Draft</t>
        </is>
      </c>
      <c r="AG283" t="inlineStr">
        <is>
          <t>uim-esdh-full-2026-07-07</t>
        </is>
      </c>
    </row>
    <row r="284" ht="409.5" customHeight="1">
      <c r="A284" s="35" t="n">
        <v>283</v>
      </c>
      <c r="B284" s="3" t="inlineStr">
        <is>
          <t>B1.F-3</t>
        </is>
      </c>
      <c r="C284" s="3" t="inlineStr">
        <is>
          <t>Bilag 1.f. Test og prøver</t>
        </is>
      </c>
      <c r="D284" s="3" t="inlineStr">
        <is>
          <t>2.2</t>
        </is>
      </c>
      <c r="E284" s="3" t="inlineStr">
        <is>
          <t>Testplan</t>
        </is>
      </c>
      <c r="F284" s="35" t="inlineStr">
        <is>
          <t>Testplan Leverandøren er ansvarlig for testplaner for alle prøver. Testplaner skal godkendes af Kunden. Leverandøren instrueres i til at fremsende den endelige testplan for en prøve til Kunden senest 20 Arbejdsdage inden prøvens påbegyndelse, jf. den for prøven gældende testtidsplan. Den endelige testplan for en prøve skal godkendes af Kunden forud for gennemførelse af den pågældende prøve. Eventuelle ændringsforslag fra Kunden skal fremsendes til Leverandøren. Herefter indarbejder Leverandøren Kundens ændringer i den endelige testplan, der skal foreligge 10 Arbejdsdage før prøvens start. Såfremt Kunden ikke fremsender skriftlige indsigelser til Leverandøren inden for 5 Arbejdsdage efter modtagelse, betragtes testplanen for prøven som godkendt. Testplanen skal tilpasses den konkrete prøve. Testplanen skal som minimum indeholde følgende: • • • • • • • • Indledning med begrundelse for valgt prøve- og testtilgang. Prøvens formål, omfang og kontekst: Hvad der skal afprøves. Testcases: Hvilke der indgår, og hvornår de skal afprøves. Omfanget af prøven udtrykt ved antallet af konkrete testcases, der planlægges gennemført. Oversigt over testcases, dækningsgrad for testen op mod krav, herunder en redegørelse for dækningsgradens tilstrækkelighed. Testdata: Hvordan de dannes eller genereres, og hvordan det sikres, at de dækker tilstrækkeligt for en grundig afprøvning. Kundens deltagelse: Roller, ansvar, omfang og tidspunkt, herunder levering af data. Leverandørens proces skal tilrettelægges, så Kundens indsats minimeres. Testressourcer, der kræves for at gennemføre prøven. 4 • • • Ansvarsfordeling, så det fremgår hvilke testressourcer, der skal gennemføre hvilke testaktiviteter. Tidsplan for prøvegennemførelsen. Anvendelse af specifikke metoder, teknikker og værktøjer herunder automatisering.</t>
        </is>
      </c>
      <c r="G284" s="3" t="inlineStr">
        <is>
          <t>Mindstekrav</t>
        </is>
      </c>
      <c r="H284" s="35">
        <f>IF(G284="Evalueringskrav","Answer",(IF(G284="Krav","Check",(IF(G284="Mindstekrav","Verify","")))))</f>
        <v/>
      </c>
      <c r="I284" s="35" t="inlineStr">
        <is>
          <t>Nej</t>
        </is>
      </c>
      <c r="J284" s="35" t="n"/>
      <c r="K284" s="47" t="n"/>
      <c r="L284" s="35" t="inlineStr">
        <is>
          <t>Cristina</t>
        </is>
      </c>
      <c r="M284" s="35" t="n"/>
      <c r="N284" s="35" t="n"/>
      <c r="O284" s="35" t="n"/>
      <c r="P284" s="35" t="n"/>
      <c r="Q284" s="35" t="n"/>
      <c r="R284" s="35" t="n"/>
      <c r="S284" s="35" t="n"/>
      <c r="T284" s="35" t="n"/>
      <c r="U284" s="35" t="inlineStr">
        <is>
          <t>Not Started</t>
        </is>
      </c>
      <c r="V284" s="37">
        <f>IF(U284="Not Started",0%,IF(U284="Started",50%,IF(U284="Ready for review",70%,IF(U284="Reviewed - Content",80%,IF(U284="Reviewed - Format",90%,IF(U284="Done",100%,""))))))</f>
        <v/>
      </c>
      <c r="W284" t="inlineStr">
        <is>
          <t>2026-07-07</t>
        </is>
      </c>
      <c r="X284" t="inlineStr">
        <is>
          <t>Cursor / tender-response (batch)</t>
        </is>
      </c>
      <c r="Y284" t="inlineStr">
        <is>
          <t>Clarify</t>
        </is>
      </c>
      <c r="Z284" t="inlineStr">
        <is>
          <t>Verified</t>
        </is>
      </c>
      <c r="AA284" t="inlineStr">
        <is>
          <t>Verify: Testplan — kræver produkt-/team-afklaring (ingen tool-rating).</t>
        </is>
      </c>
      <c r="AB284" t="inlineStr"/>
      <c r="AC284" t="inlineStr">
        <is>
          <t>docs/tender-reference/extracted/KK Tender tool.txt; docs/tender-reference/extracted/KUM-SLKS/Bilag 1 - Tidsplan.txt; docs/tender-reference/extracted/Nationalbanken/Underbilag 6B - Testplan og Leverandørens prøveprincipper, metoder og -værktøjer (1).txt</t>
        </is>
      </c>
      <c r="AD284" t="inlineStr">
        <is>
          <t>Cristina: Udfyld tool-rating (O) og evidens; gennemgå AI-kladde.</t>
        </is>
      </c>
      <c r="AE284" t="inlineStr"/>
      <c r="AF284" t="inlineStr">
        <is>
          <t>Draft</t>
        </is>
      </c>
      <c r="AG284" t="inlineStr">
        <is>
          <t>uim-esdh-full-2026-07-07</t>
        </is>
      </c>
    </row>
    <row r="285" ht="144" customHeight="1">
      <c r="A285" s="35" t="n">
        <v>284</v>
      </c>
      <c r="B285" s="3" t="inlineStr">
        <is>
          <t>B1.F-4</t>
        </is>
      </c>
      <c r="C285" s="3" t="inlineStr">
        <is>
          <t>Bilag 1.f. Test og prøver</t>
        </is>
      </c>
      <c r="D285" s="3" t="inlineStr">
        <is>
          <t>2.3</t>
        </is>
      </c>
      <c r="E285" s="3" t="inlineStr">
        <is>
          <t>Testcases</t>
        </is>
      </c>
      <c r="F285" s="35" t="inlineStr">
        <is>
          <t>Testcases Leverandøren er ansvarlig for at udarbejde og tilrettelægge testcases for de prøver, der er defineret i de respektive prøveplaner. Testcases skal godkendes af Kunden. Kunden overtager testcases udarbejdet af Leverandøren som del af en prøve. De enkelte testcase skal som minimum indeholde: 1. Entydig identifikation af testcasen. 2. Sporbarhed til det krav, som testcasen vedrører. 3. Betingelser for påbegyndelse, f.eks. testdata, testværktøjer, relationer til andre test og evt. forudsætninger for gennemførelse. 4. Input data. 5. Handling (aktioner). 6. Forventet resultat. 7. Betingelser for afslutning.</t>
        </is>
      </c>
      <c r="G285" s="3" t="inlineStr">
        <is>
          <t>Mindstekrav</t>
        </is>
      </c>
      <c r="H285" s="35">
        <f>IF(G285="Evalueringskrav","Answer",(IF(G285="Krav","Check",(IF(G285="Mindstekrav","Verify","")))))</f>
        <v/>
      </c>
      <c r="I285" s="35" t="inlineStr">
        <is>
          <t>Nej</t>
        </is>
      </c>
      <c r="J285" s="35" t="n"/>
      <c r="K285" s="47" t="n"/>
      <c r="L285" s="35" t="inlineStr">
        <is>
          <t>Cristina</t>
        </is>
      </c>
      <c r="M285" s="35" t="n"/>
      <c r="N285" s="35" t="n"/>
      <c r="O285" s="35" t="n"/>
      <c r="P285" s="35" t="n"/>
      <c r="Q285" s="35" t="n"/>
      <c r="R285" s="35" t="n"/>
      <c r="S285" s="35" t="n"/>
      <c r="T285" s="35" t="n"/>
      <c r="U285" s="35" t="inlineStr">
        <is>
          <t>Not Started</t>
        </is>
      </c>
      <c r="V285" s="37">
        <f>IF(U285="Not Started",0%,IF(U285="Started",50%,IF(U285="Ready for review",70%,IF(U285="Reviewed - Content",80%,IF(U285="Reviewed - Format",90%,IF(U285="Done",100%,""))))))</f>
        <v/>
      </c>
      <c r="W285" t="inlineStr">
        <is>
          <t>2026-07-07</t>
        </is>
      </c>
      <c r="X285" t="inlineStr">
        <is>
          <t>Cursor / tender-response (batch)</t>
        </is>
      </c>
      <c r="Y285" t="inlineStr">
        <is>
          <t>Clarify</t>
        </is>
      </c>
      <c r="Z285" t="inlineStr">
        <is>
          <t>Verified</t>
        </is>
      </c>
      <c r="AA285" t="inlineStr">
        <is>
          <t>Verify: Testcases — kræver produkt-/team-afklaring (ingen tool-rating).</t>
        </is>
      </c>
      <c r="AB285" t="inlineStr"/>
      <c r="AC285" t="inlineStr">
        <is>
          <t>docs/tender-reference/extracted/KK Tender tool.txt; docs/tender-reference/extracted/Nationalbanken/Bilag 3.i Leverandørens Løsningsbeskrivelse.txt; docs/tender-reference/extracted/KUM-SLKS/Bilag 1 - Tidsplan.txt</t>
        </is>
      </c>
      <c r="AD285" t="inlineStr">
        <is>
          <t>Cristina: Udfyld tool-rating (O) og evidens; gennemgå AI-kladde.</t>
        </is>
      </c>
      <c r="AE285" t="inlineStr"/>
      <c r="AF285" t="inlineStr">
        <is>
          <t>Draft</t>
        </is>
      </c>
      <c r="AG285" t="inlineStr">
        <is>
          <t>uim-esdh-full-2026-07-07</t>
        </is>
      </c>
    </row>
    <row r="286" ht="409.5" customHeight="1">
      <c r="A286" s="35" t="n">
        <v>285</v>
      </c>
      <c r="B286" s="3" t="inlineStr">
        <is>
          <t>B1.F-5</t>
        </is>
      </c>
      <c r="C286" s="3" t="inlineStr">
        <is>
          <t>Bilag 1.f. Test og prøver</t>
        </is>
      </c>
      <c r="D286" s="3" t="inlineStr">
        <is>
          <t>2.4</t>
        </is>
      </c>
      <c r="E286" s="3" t="inlineStr">
        <is>
          <t>Prøverapport</t>
        </is>
      </c>
      <c r="F286" s="35" t="inlineStr">
        <is>
          <t>Prøverapport Når en prøve er gennemført, skal Leverandøren straks, og senest 5 Arbejdsdage efter prøvens gennemførelse, udarbejde en prøverapport for prøven. Prøverapporten skal dokumentere prøveforløbet og skal som minimum indeholde følgende: • • • • • • • • • Resume med hovedkonklusioner af den prøve der har været udført. Prøvekontekst. Det vil sige hvad der er prøvet og ikke prøvet, prøvens omfang, antagelser og begrænsninger samt hvilke testdata, der er anvendt. Eventuelle afvigelser fra prøveplanen, herunder begrundelser og angivelse af, hvilke krav og testcases, der ikke er testet. Oversigt over testcases, der er afprøvet, samt resultaterne. Evaluering af de i prøveplanen aftalte godkendelseskriterier. Faktorer der evt. blokerede fremdrift i prøven. Test-metrikker: o antal testcases udført, ▪ antal testcases gennemført med succes, ▪ antal testcases der resulterer i fejl, ▪ antal testcases ikke fuldført. o antal fejl med prioritet 1, 2, 3 og 4. o opnået dækningsgrad målt fra kravene op mod testcases. Fejlliste med eventuelt konstaterede fejl. Fejllisten skal angive: o Hvilke fejl der er fundet under prøven. o I hvilken testcase fejlen er konstateret. o Leverandørens forslag til fejlkategori. Status på og Leverandørens foreslåede plan for afhjælpning af de identificerede fejl. 5 • • Tilbageværende risici, som ikke er blevet berørt i prøven. Samlet resultatet af den gennemførte prøve med anbefaling til Kunden på baggrund af resultatet. Kunden skal godkende Leverandørens forslag til kategoriseringen af udestående fejl, som fremgår af Prøverapporten. Af prøverapporten skal der desuden fremgå en handlingsplan, der beskriver, hvordan og hvornår fejl udbedres, såfremt Kunden bestiller dette iværksat.</t>
        </is>
      </c>
      <c r="G286" s="3" t="inlineStr">
        <is>
          <t>Mindstekrav</t>
        </is>
      </c>
      <c r="H286" s="35">
        <f>IF(G286="Evalueringskrav","Answer",(IF(G286="Krav","Check",(IF(G286="Mindstekrav","Verify","")))))</f>
        <v/>
      </c>
      <c r="I286" s="35" t="inlineStr">
        <is>
          <t>Nej</t>
        </is>
      </c>
      <c r="J286" s="35" t="n"/>
      <c r="K286" s="47" t="n"/>
      <c r="L286" s="35" t="inlineStr">
        <is>
          <t>Cristina</t>
        </is>
      </c>
      <c r="M286" s="35" t="n"/>
      <c r="N286" s="35" t="n"/>
      <c r="O286" s="35" t="n"/>
      <c r="P286" s="35" t="n"/>
      <c r="Q286" s="35" t="n"/>
      <c r="R286" s="35" t="n"/>
      <c r="S286" s="35" t="n"/>
      <c r="T286" s="35" t="n"/>
      <c r="U286" s="35" t="inlineStr">
        <is>
          <t>Not Started</t>
        </is>
      </c>
      <c r="V286" s="37">
        <f>IF(U286="Not Started",0%,IF(U286="Started",50%,IF(U286="Ready for review",70%,IF(U286="Reviewed - Content",80%,IF(U286="Reviewed - Format",90%,IF(U286="Done",100%,""))))))</f>
        <v/>
      </c>
      <c r="W286" t="inlineStr">
        <is>
          <t>2026-07-07</t>
        </is>
      </c>
      <c r="X286" t="inlineStr">
        <is>
          <t>Cursor / tender-response (batch)</t>
        </is>
      </c>
      <c r="Y286" t="inlineStr">
        <is>
          <t>Clarify</t>
        </is>
      </c>
      <c r="Z286" t="inlineStr">
        <is>
          <t>Verified</t>
        </is>
      </c>
      <c r="AA286" t="inlineStr">
        <is>
          <t>Verify: Prøverapport — kræver produkt-/team-afklaring (ingen tool-rating).</t>
        </is>
      </c>
      <c r="AB286" t="inlineStr"/>
      <c r="AC286" t="inlineStr">
        <is>
          <t>docs/tender-reference/extracted/KUM-SLKS/Bilag 1 - Tidsplan.txt; docs/tender-reference/extracted/Nationalbanken/Underbilag 6B - Testplan og Leverandørens prøveprincipper, metoder og -værktøjer (1).txt; docs/tender-reference/extracted/KK Tender tool.txt</t>
        </is>
      </c>
      <c r="AD286" t="inlineStr">
        <is>
          <t>Cristina: Udfyld tool-rating (O) og evidens; gennemgå AI-kladde.</t>
        </is>
      </c>
      <c r="AE286" t="inlineStr"/>
      <c r="AF286" t="inlineStr">
        <is>
          <t>Draft</t>
        </is>
      </c>
      <c r="AG286" t="inlineStr">
        <is>
          <t>uim-esdh-full-2026-07-07</t>
        </is>
      </c>
    </row>
    <row r="287" ht="128" customHeight="1">
      <c r="A287" s="35" t="n">
        <v>286</v>
      </c>
      <c r="B287" s="3" t="inlineStr">
        <is>
          <t>B1.F-6</t>
        </is>
      </c>
      <c r="C287" s="3" t="inlineStr">
        <is>
          <t>Bilag 1.f. Test og prøver</t>
        </is>
      </c>
      <c r="D287" s="3" t="inlineStr">
        <is>
          <t>2.5</t>
        </is>
      </c>
      <c r="E287" s="3" t="inlineStr">
        <is>
          <t>Testmiljøer</t>
        </is>
      </c>
      <c r="F287" s="35" t="inlineStr">
        <is>
          <t>Testmiljøer Det fremtidige systemlandskab skal bestå af to separate miljøer (NON-PROD og Produktion) til håndtering af Kundens ESDH-instanser, hvor Leverandøren skal installere ESDH-løsningen. Leverandøren skal desuden stille deres ESDH-løsning til rådighed hos SIT i et konverteringsmiljø, hvor leverandøren kan gennemføre og verificere konverteringen. Det aftales forud for gennemførelse af en testaktivitet, som del af en prøve, i hvilket miljø testaktiviteten gennemføres i.</t>
        </is>
      </c>
      <c r="G287" s="3" t="inlineStr">
        <is>
          <t>Mindstekrav</t>
        </is>
      </c>
      <c r="H287" s="35">
        <f>IF(G287="Evalueringskrav","Answer",(IF(G287="Krav","Check",(IF(G287="Mindstekrav","Verify","")))))</f>
        <v/>
      </c>
      <c r="I287" s="35" t="inlineStr">
        <is>
          <t>Nej</t>
        </is>
      </c>
      <c r="J287" s="35" t="n"/>
      <c r="K287" s="47" t="n"/>
      <c r="L287" s="35" t="inlineStr">
        <is>
          <t>Cristina</t>
        </is>
      </c>
      <c r="M287" s="35" t="n"/>
      <c r="N287" s="35" t="n"/>
      <c r="O287" s="35" t="n"/>
      <c r="P287" s="35" t="n"/>
      <c r="Q287" s="35" t="n"/>
      <c r="R287" s="35" t="n"/>
      <c r="S287" s="35" t="n"/>
      <c r="T287" s="35" t="n"/>
      <c r="U287" s="35" t="inlineStr">
        <is>
          <t>Not Started</t>
        </is>
      </c>
      <c r="V287" s="37">
        <f>IF(U287="Not Started",0%,IF(U287="Started",50%,IF(U287="Ready for review",70%,IF(U287="Reviewed - Content",80%,IF(U287="Reviewed - Format",90%,IF(U287="Done",100%,""))))))</f>
        <v/>
      </c>
      <c r="W287" t="inlineStr">
        <is>
          <t>2026-07-07</t>
        </is>
      </c>
      <c r="X287" t="inlineStr">
        <is>
          <t>Cursor / tender-response (batch)</t>
        </is>
      </c>
      <c r="Y287" t="inlineStr">
        <is>
          <t>Clarify</t>
        </is>
      </c>
      <c r="Z287" t="inlineStr">
        <is>
          <t>Verified</t>
        </is>
      </c>
      <c r="AA287" t="inlineStr">
        <is>
          <t>Verify: Testmiljøer — kræver produkt-/team-afklaring (ingen tool-rating).</t>
        </is>
      </c>
      <c r="AB287" t="inlineStr"/>
      <c r="AC287" t="inlineStr">
        <is>
          <t>docs/tender-reference/extracted/KK Tender tool.txt; docs/tender-reference/extracted/KUM-SLKS/Bilag 1 - Tidsplan.txt; docs/tender-reference/extracted/Nationalbanken/Bilag 3.i Leverandørens Løsningsbeskrivelse.txt</t>
        </is>
      </c>
      <c r="AD287" t="inlineStr">
        <is>
          <t>Cristina: Udfyld tool-rating (O) og evidens; gennemgå AI-kladde.</t>
        </is>
      </c>
      <c r="AE287" t="inlineStr"/>
      <c r="AF287" t="inlineStr">
        <is>
          <t>Draft</t>
        </is>
      </c>
      <c r="AG287" t="inlineStr">
        <is>
          <t>uim-esdh-full-2026-07-07</t>
        </is>
      </c>
    </row>
    <row r="288" ht="240" customHeight="1">
      <c r="A288" s="35" t="n">
        <v>287</v>
      </c>
      <c r="B288" s="3" t="inlineStr">
        <is>
          <t>B1.F-7</t>
        </is>
      </c>
      <c r="C288" s="3" t="inlineStr">
        <is>
          <t>Bilag 1.f. Test og prøver</t>
        </is>
      </c>
      <c r="D288" s="3" t="inlineStr">
        <is>
          <t>2.6</t>
        </is>
      </c>
      <c r="E288" s="3" t="inlineStr">
        <is>
          <t>Testdata</t>
        </is>
      </c>
      <c r="F288" s="35" t="inlineStr">
        <is>
          <t>Testdata Leverandøren skal sikre, at der er de nødvendige testdata til rådighed til brug for de prøver, som Leverandøren under Kundens instruktionsbeføjelse bliver ansvarlig for afholdelsen af. Prøver skal, så vidt muligt, gennemføres med kundenært data. Hvis en Prøve kræver særlige testdata, skal Leverandøren udarbejde og stille de nødvendige data til rådighed for Kunden. Testdata skal være af en sådan kvalitet, omfang, variation og relevans, at de prøver, de skal anvendes i forbindelse med, får en så høj grad af realisme som muligt. Testdata i relation til performanceprøven kræver, at der findes mindst 8.000.000 Dokumenter i Løsningen på 2.000.000 sager med samlet 7 terabyte data. De 8.000.000 Dokumenter skal være fordelt i små, almindelige og store dokumentstørrelser som vist i Tabel 2. Der skal også være nogle Dokumenter med maksimum størrelse. Tabel 2 -- Dokumentstørrelser. Dokumenter er delt i tre niveauer Små Almindelige Store Maksimum Størrelse</t>
        </is>
      </c>
      <c r="G288" s="3" t="inlineStr">
        <is>
          <t>Mindstekrav</t>
        </is>
      </c>
      <c r="H288" s="35">
        <f>IF(G288="Evalueringskrav","Answer",(IF(G288="Krav","Check",(IF(G288="Mindstekrav","Verify","")))))</f>
        <v/>
      </c>
      <c r="I288" s="35" t="inlineStr">
        <is>
          <t>Nej</t>
        </is>
      </c>
      <c r="J288" s="35" t="n"/>
      <c r="K288" s="47" t="n"/>
      <c r="L288" s="35" t="inlineStr">
        <is>
          <t>Cristina</t>
        </is>
      </c>
      <c r="M288" s="35" t="n"/>
      <c r="N288" s="35" t="n"/>
      <c r="O288" s="35" t="n"/>
      <c r="P288" s="35" t="n"/>
      <c r="Q288" s="35" t="n"/>
      <c r="R288" s="35" t="n"/>
      <c r="S288" s="35" t="n"/>
      <c r="T288" s="35" t="n"/>
      <c r="U288" s="35" t="inlineStr">
        <is>
          <t>Not Started</t>
        </is>
      </c>
      <c r="V288" s="37">
        <f>IF(U288="Not Started",0%,IF(U288="Started",50%,IF(U288="Ready for review",70%,IF(U288="Reviewed - Content",80%,IF(U288="Reviewed - Format",90%,IF(U288="Done",100%,""))))))</f>
        <v/>
      </c>
      <c r="W288" t="inlineStr">
        <is>
          <t>2026-07-07</t>
        </is>
      </c>
      <c r="X288" t="inlineStr">
        <is>
          <t>Cursor / tender-response (batch)</t>
        </is>
      </c>
      <c r="Y288" t="inlineStr">
        <is>
          <t>Clarify</t>
        </is>
      </c>
      <c r="Z288" t="inlineStr">
        <is>
          <t>Verified</t>
        </is>
      </c>
      <c r="AA288" t="inlineStr">
        <is>
          <t>Verify: Testdata — kræver produkt-/team-afklaring (ingen tool-rating).</t>
        </is>
      </c>
      <c r="AB288" t="inlineStr"/>
      <c r="AC288"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288" t="inlineStr">
        <is>
          <t>Cristina: Udfyld tool-rating (O) og evidens; gennemgå AI-kladde.</t>
        </is>
      </c>
      <c r="AE288" t="inlineStr"/>
      <c r="AF288" t="inlineStr">
        <is>
          <t>Draft</t>
        </is>
      </c>
      <c r="AG288" t="inlineStr">
        <is>
          <t>uim-esdh-full-2026-07-07</t>
        </is>
      </c>
    </row>
    <row r="289" ht="80" customHeight="1">
      <c r="A289" s="35" t="n">
        <v>288</v>
      </c>
      <c r="B289" s="3" t="inlineStr">
        <is>
          <t>B1.F-8</t>
        </is>
      </c>
      <c r="C289" s="3" t="inlineStr">
        <is>
          <t>Bilag 1.f. Test og prøver</t>
        </is>
      </c>
      <c r="D289" s="3" t="inlineStr">
        <is>
          <t>2.7</t>
        </is>
      </c>
      <c r="E289" s="3" t="inlineStr">
        <is>
          <t>Roller og ansvar</t>
        </is>
      </c>
      <c r="F289" s="35" t="inlineStr">
        <is>
          <t>Roller og ansvar Leverandøren har under Kundens instruktionsbeføjelse det overordnede ansvar for al planlægning og udførsel af alle tests og prøver, dog undtaget de dele af testen, som Kunden påtager sig ansvaret for. Leverandøren skal levere de nødvendige ressourcer, som har viden om og forståelse for de nødvendige testaktiviteter.</t>
        </is>
      </c>
      <c r="G289" s="3" t="inlineStr">
        <is>
          <t>Mindstekrav</t>
        </is>
      </c>
      <c r="H289" s="35">
        <f>IF(G289="Evalueringskrav","Answer",(IF(G289="Krav","Check",(IF(G289="Mindstekrav","Verify","")))))</f>
        <v/>
      </c>
      <c r="I289" s="35" t="inlineStr">
        <is>
          <t>Nej</t>
        </is>
      </c>
      <c r="J289" s="35" t="n"/>
      <c r="K289" s="47" t="n"/>
      <c r="L289" s="35" t="inlineStr">
        <is>
          <t>Cristina</t>
        </is>
      </c>
      <c r="M289" s="35" t="n"/>
      <c r="N289" s="35" t="n"/>
      <c r="O289" s="35" t="n"/>
      <c r="P289" s="35" t="n"/>
      <c r="Q289" s="35" t="n"/>
      <c r="R289" s="35" t="n"/>
      <c r="S289" s="35" t="n"/>
      <c r="T289" s="35" t="n"/>
      <c r="U289" s="35" t="inlineStr">
        <is>
          <t>Not Started</t>
        </is>
      </c>
      <c r="V289" s="37">
        <f>IF(U289="Not Started",0%,IF(U289="Started",50%,IF(U289="Ready for review",70%,IF(U289="Reviewed - Content",80%,IF(U289="Reviewed - Format",90%,IF(U289="Done",100%,""))))))</f>
        <v/>
      </c>
      <c r="W289" t="inlineStr">
        <is>
          <t>2026-07-07</t>
        </is>
      </c>
      <c r="X289" t="inlineStr">
        <is>
          <t>Cursor / tender-response (batch)</t>
        </is>
      </c>
      <c r="Y289" t="inlineStr">
        <is>
          <t>Clarify</t>
        </is>
      </c>
      <c r="Z289" t="inlineStr">
        <is>
          <t>Verified</t>
        </is>
      </c>
      <c r="AA289" t="inlineStr">
        <is>
          <t>Verify: Roller og ansvar — kræver produkt-/team-afklaring (ingen tool-rating).</t>
        </is>
      </c>
      <c r="AB289" t="inlineStr"/>
      <c r="AC289" t="inlineStr">
        <is>
          <t>docs/tender-reference/extracted/KK Tender tool.txt; docs/tender-reference/extracted/KUM-SLKS/Bilag 1 - Tidsplan.txt; docs/tender-reference/extracted/Nationalbanken/Bilag 3.i Leverandørens Løsningsbeskrivelse.txt</t>
        </is>
      </c>
      <c r="AD289" t="inlineStr">
        <is>
          <t>Cristina: Udfyld tool-rating (O) og evidens; gennemgå AI-kladde.</t>
        </is>
      </c>
      <c r="AE289" t="inlineStr"/>
      <c r="AF289" t="inlineStr">
        <is>
          <t>Draft</t>
        </is>
      </c>
      <c r="AG289" t="inlineStr">
        <is>
          <t>uim-esdh-full-2026-07-07</t>
        </is>
      </c>
    </row>
    <row r="290" ht="176" customHeight="1">
      <c r="A290" s="35" t="n">
        <v>289</v>
      </c>
      <c r="B290" s="3" t="inlineStr">
        <is>
          <t>B1.F-9</t>
        </is>
      </c>
      <c r="C290" s="3" t="inlineStr">
        <is>
          <t>Bilag 1.f. Test og prøver</t>
        </is>
      </c>
      <c r="D290" s="3" t="inlineStr">
        <is>
          <t>2.8</t>
        </is>
      </c>
      <c r="E290" s="3" t="inlineStr">
        <is>
          <t>Kriterier for påbegyndelse af prøver</t>
        </is>
      </c>
      <c r="F290" s="35" t="inlineStr">
        <is>
          <t>Kriterier for påbegyndelse af prøver De enkelte prøver kan påbegyndes når følgende kriterier er opfyldt: • • • Når Leverandøren har installeret ESDH-løsningen i Kundens miljø. Kunden har godkendt Leverandørens prøveplan for den konkrete prøve. Kunden har godkendt Leverandørens testcases, der er relevante for den konkrete prøve. For Installationsprøven er der yderligere kriterier, før prøven kan påbegyndes: • Leverandøren skal have udført egne interne test og der ikke er åbne fejl af prioritet 1 og 2 som følge af denne test. For konverteringsprøven er der yderligere kriterier, før prøven kan påbegyndes: • Kunden har godkendt Leverandørens testcases, hvor alle mapningsregler er dækket.</t>
        </is>
      </c>
      <c r="G290" s="3" t="inlineStr">
        <is>
          <t>Mindstekrav</t>
        </is>
      </c>
      <c r="H290" s="35">
        <f>IF(G290="Evalueringskrav","Answer",(IF(G290="Krav","Check",(IF(G290="Mindstekrav","Verify","")))))</f>
        <v/>
      </c>
      <c r="I290" s="35" t="inlineStr">
        <is>
          <t>Nej</t>
        </is>
      </c>
      <c r="J290" s="35" t="n"/>
      <c r="K290" s="47" t="n"/>
      <c r="L290" s="35" t="inlineStr">
        <is>
          <t>Cristina</t>
        </is>
      </c>
      <c r="M290" s="35" t="n"/>
      <c r="N290" s="35" t="n"/>
      <c r="O290" s="35" t="n"/>
      <c r="P290" s="35" t="n"/>
      <c r="Q290" s="35" t="n"/>
      <c r="R290" s="35" t="n"/>
      <c r="S290" s="35" t="n"/>
      <c r="T290" s="35" t="n"/>
      <c r="U290" s="35" t="inlineStr">
        <is>
          <t>Not Started</t>
        </is>
      </c>
      <c r="V290" s="37">
        <f>IF(U290="Not Started",0%,IF(U290="Started",50%,IF(U290="Ready for review",70%,IF(U290="Reviewed - Content",80%,IF(U290="Reviewed - Format",90%,IF(U290="Done",100%,""))))))</f>
        <v/>
      </c>
      <c r="W290" t="inlineStr">
        <is>
          <t>2026-07-07</t>
        </is>
      </c>
      <c r="X290" t="inlineStr">
        <is>
          <t>Cursor / tender-response (batch)</t>
        </is>
      </c>
      <c r="Y290" t="inlineStr">
        <is>
          <t>Clarify</t>
        </is>
      </c>
      <c r="Z290" t="inlineStr">
        <is>
          <t>Verified</t>
        </is>
      </c>
      <c r="AA290" t="inlineStr">
        <is>
          <t>Verify: Kriterier for påbegyndelse af prøver — kræver produkt-/team-afklaring (ingen tool-rating).</t>
        </is>
      </c>
      <c r="AB290" t="inlineStr"/>
      <c r="AC290" t="inlineStr">
        <is>
          <t>docs/tender-reference/extracted/KK Tender tool.txt; docs/tender-reference/extracted/Nationalbanken/Underbilag 6B - Testplan og Leverandørens prøveprincipper, metoder og -værktøjer (1).txt; docs/tender-reference/extracted/KUM-SLKS/Bilag 1 - Tidsplan.txt</t>
        </is>
      </c>
      <c r="AD290" t="inlineStr">
        <is>
          <t>Cristina: Udfyld tool-rating (O) og evidens; gennemgå AI-kladde.</t>
        </is>
      </c>
      <c r="AE290" t="inlineStr"/>
      <c r="AF290" t="inlineStr">
        <is>
          <t>Draft</t>
        </is>
      </c>
      <c r="AG290" t="inlineStr">
        <is>
          <t>uim-esdh-full-2026-07-07</t>
        </is>
      </c>
    </row>
    <row r="291" ht="176" customHeight="1">
      <c r="A291" s="35" t="n">
        <v>290</v>
      </c>
      <c r="B291" s="3" t="inlineStr">
        <is>
          <t>B1.F-10</t>
        </is>
      </c>
      <c r="C291" s="3" t="inlineStr">
        <is>
          <t>Bilag 1.f. Test og prøver</t>
        </is>
      </c>
      <c r="D291" s="3" t="inlineStr">
        <is>
          <t>2.9</t>
        </is>
      </c>
      <c r="E291" s="3" t="inlineStr">
        <is>
          <t>Prøvens afvikling</t>
        </is>
      </c>
      <c r="F291" s="35" t="inlineStr">
        <is>
          <t>Prøvens afvikling Leverandøren skal gennemføre den konkrete prøve som en del af Leverandørens Leverance. Den konkrete prøve skal være bestået senest 5 Arbejdsdage efter igangsættelse med mindre andet aftales. Leverandøren skal i den konkrete prøve indeholde udvalgte testaktiviteter, som Leverandøren foreslår. Omfanget af den konkrete prøve, herunder hvilke testaktiviteter, der inkluderes, fastlægges endeligt sammen med Kunden ved Kundens godkendelse af prøveplanen for den konkrete prøve. Ved afslutningen af den konkrete prøve udarbejder og fremsender Leverandøren senest 5 Arbejdsdage efter udførsel prøverapport til Kunden med indhold som beskrevet i afsnit 2.4 inkl. angivelse af resultatet, herunder eventuelle konstaterede fejl.</t>
        </is>
      </c>
      <c r="G291" s="3" t="inlineStr">
        <is>
          <t>Mindstekrav</t>
        </is>
      </c>
      <c r="H291" s="35">
        <f>IF(G291="Evalueringskrav","Answer",(IF(G291="Krav","Check",(IF(G291="Mindstekrav","Verify","")))))</f>
        <v/>
      </c>
      <c r="I291" s="35" t="inlineStr">
        <is>
          <t>Nej</t>
        </is>
      </c>
      <c r="J291" s="35" t="n"/>
      <c r="K291" s="47" t="n"/>
      <c r="L291" s="35" t="inlineStr">
        <is>
          <t>Cristina</t>
        </is>
      </c>
      <c r="M291" s="35" t="n"/>
      <c r="N291" s="35" t="n"/>
      <c r="O291" s="35" t="n"/>
      <c r="P291" s="35" t="n"/>
      <c r="Q291" s="35" t="n"/>
      <c r="R291" s="35" t="n"/>
      <c r="S291" s="35" t="n"/>
      <c r="T291" s="35" t="n"/>
      <c r="U291" s="35" t="inlineStr">
        <is>
          <t>Not Started</t>
        </is>
      </c>
      <c r="V291" s="37">
        <f>IF(U291="Not Started",0%,IF(U291="Started",50%,IF(U291="Ready for review",70%,IF(U291="Reviewed - Content",80%,IF(U291="Reviewed - Format",90%,IF(U291="Done",100%,""))))))</f>
        <v/>
      </c>
      <c r="W291" t="inlineStr">
        <is>
          <t>2026-07-07</t>
        </is>
      </c>
      <c r="X291" t="inlineStr">
        <is>
          <t>Cursor / tender-response (batch)</t>
        </is>
      </c>
      <c r="Y291" t="inlineStr">
        <is>
          <t>Clarify</t>
        </is>
      </c>
      <c r="Z291" t="inlineStr">
        <is>
          <t>Verified</t>
        </is>
      </c>
      <c r="AA291" t="inlineStr">
        <is>
          <t>Verify: Prøvens afvikling — kræver produkt-/team-afklaring (ingen tool-rating).</t>
        </is>
      </c>
      <c r="AB291" t="inlineStr"/>
      <c r="AC291" t="inlineStr">
        <is>
          <t>docs/tender-reference/extracted/Nationalbanken/Bilag 3.i Leverandørens Løsningsbeskrivelse.txt; docs/tender-reference/extracted/KUM-SLKS/Bilag 1 - Tidsplan.txt; docs/tender-reference/extracted/KK Tender tool.txt</t>
        </is>
      </c>
      <c r="AD291" t="inlineStr">
        <is>
          <t>Cristina: Udfyld tool-rating (O) og evidens; gennemgå AI-kladde.</t>
        </is>
      </c>
      <c r="AE291" t="inlineStr"/>
      <c r="AF291" t="inlineStr">
        <is>
          <t>Draft</t>
        </is>
      </c>
      <c r="AG291" t="inlineStr">
        <is>
          <t>uim-esdh-full-2026-07-07</t>
        </is>
      </c>
    </row>
    <row r="292" ht="304" customHeight="1">
      <c r="A292" s="35" t="n">
        <v>291</v>
      </c>
      <c r="B292" s="3" t="inlineStr">
        <is>
          <t>B1.F-11</t>
        </is>
      </c>
      <c r="C292" s="3" t="inlineStr">
        <is>
          <t>Bilag 1.f. Test og prøver</t>
        </is>
      </c>
      <c r="D292" s="3" t="inlineStr">
        <is>
          <t>3.1</t>
        </is>
      </c>
      <c r="E292" s="3" t="inlineStr">
        <is>
          <t>Generelle godkendelseskriterier for prøver</t>
        </is>
      </c>
      <c r="F292" s="35" t="inlineStr">
        <is>
          <t>Generelle godkendelseskriterier for prøver For hver prøve gælder som godkendelseskriterium, at test/prøve-rapporten for testen/prøven dokumenterer, at testplanen er fulgt, og at resultaterne af den pågældende test/prøve dokumenteret at godkendelses-kriterier for testen/prøven er opnået. De enkelte test/prøver anses for godkendt, når følgende kriterier er opfyldt: • • • • Der er sporbarhed fra alle krav relevante for den konkrete test/prøve til testcases, så det sikres, at alle krav er teste for den konkrete test/prøve. Alle planlagte testcases er gennemført. Der forekommer ingen åbne fejl med prioritet 1 eller prioritet 2. Der forekommer højst 10 åbne fejl med prioritet 3 og samlet højst 20 åbne fejl med prioritet 4. Leverandøren skal endvidere have udarbejdet en plan for levering af rettelser for udstående fejl ved testen/prøvens afslutning. Kunden skal som del af godkendelsen af en prøve, godkende planen for rettelser af fejl, hvorefter planerne indgår i Leverancen i det videre forløb. En test/prøve kan kun godkendes, hvis der ikke findes fejl med prioritet 1 og 2, jf. fejlkategorier i afsnit 5. Kunden godkender i udgangspunktet ikke en prøve, såfremt der foreligger mere end 30 prioritet 3 og 4 fejl tilsammen medmindre andet er aftalt i testplan godkendt af Kunden, jf. fejlkategorier i afsnit 5.</t>
        </is>
      </c>
      <c r="G292" s="3" t="inlineStr">
        <is>
          <t>Mindstekrav</t>
        </is>
      </c>
      <c r="H292" s="35">
        <f>IF(G292="Evalueringskrav","Answer",(IF(G292="Krav","Check",(IF(G292="Mindstekrav","Verify","")))))</f>
        <v/>
      </c>
      <c r="I292" s="35" t="inlineStr">
        <is>
          <t>Nej</t>
        </is>
      </c>
      <c r="J292" s="35" t="n"/>
      <c r="K292" s="47" t="n"/>
      <c r="L292" s="35" t="inlineStr">
        <is>
          <t>Cristina</t>
        </is>
      </c>
      <c r="M292" s="35" t="n"/>
      <c r="N292" s="35" t="n"/>
      <c r="O292" s="35" t="n"/>
      <c r="P292" s="35" t="n"/>
      <c r="Q292" s="35" t="n"/>
      <c r="R292" s="35" t="n"/>
      <c r="S292" s="35" t="n"/>
      <c r="T292" s="35" t="n"/>
      <c r="U292" s="35" t="inlineStr">
        <is>
          <t>Not Started</t>
        </is>
      </c>
      <c r="V292" s="37">
        <f>IF(U292="Not Started",0%,IF(U292="Started",50%,IF(U292="Ready for review",70%,IF(U292="Reviewed - Content",80%,IF(U292="Reviewed - Format",90%,IF(U292="Done",100%,""))))))</f>
        <v/>
      </c>
      <c r="W292" t="inlineStr">
        <is>
          <t>2026-07-07</t>
        </is>
      </c>
      <c r="X292" t="inlineStr">
        <is>
          <t>Cursor / tender-response (batch)</t>
        </is>
      </c>
      <c r="Y292" t="inlineStr">
        <is>
          <t>Clarify</t>
        </is>
      </c>
      <c r="Z292" t="inlineStr">
        <is>
          <t>Verified</t>
        </is>
      </c>
      <c r="AA292" t="inlineStr">
        <is>
          <t>Verify: Generelle godkendelseskriterier for prøver — kræver produkt-/team-afklaring (ingen tool-rating).</t>
        </is>
      </c>
      <c r="AB292" t="inlineStr"/>
      <c r="AC292" t="inlineStr">
        <is>
          <t>docs/tender-reference/extracted/KK Tender tool.txt; docs/tender-reference/extracted/Nationalbanken/Underbilag 6B - Testplan og Leverandørens prøveprincipper, metoder og -værktøjer (1).txt; docs/tender-reference/extracted/Nationalbanken/Bilag 3.i Leverandørens Løsningsbeskrivelse.txt</t>
        </is>
      </c>
      <c r="AD292" t="inlineStr">
        <is>
          <t>Cristina: Udfyld tool-rating (O) og evidens; gennemgå AI-kladde.</t>
        </is>
      </c>
      <c r="AE292" t="inlineStr"/>
      <c r="AF292" t="inlineStr">
        <is>
          <t>Draft</t>
        </is>
      </c>
      <c r="AG292" t="inlineStr">
        <is>
          <t>uim-esdh-full-2026-07-07</t>
        </is>
      </c>
    </row>
    <row r="293" ht="64" customHeight="1">
      <c r="A293" s="35" t="n">
        <v>292</v>
      </c>
      <c r="B293" s="3" t="inlineStr">
        <is>
          <t>B1.F-12</t>
        </is>
      </c>
      <c r="C293" s="3" t="inlineStr">
        <is>
          <t>Bilag 1.f. Test og prøver</t>
        </is>
      </c>
      <c r="D293" s="3" t="inlineStr">
        <is>
          <t>3.2</t>
        </is>
      </c>
      <c r="E293" s="3" t="inlineStr">
        <is>
          <t>Ikke godkendt prøve</t>
        </is>
      </c>
      <c r="F293" s="35" t="inlineStr">
        <is>
          <t>Ikke godkendt prøve Hvis godkendelseskriterierne for en prøve ikke er opfyldt, eller prøvens testplan ikke er fulgt, har Kunden mulighed for ikke at godkende prøven, hvorefter Kunden vil instruere Leverandøren ift. at gentage prøven. 8</t>
        </is>
      </c>
      <c r="G293" s="3" t="inlineStr">
        <is>
          <t>Mindstekrav</t>
        </is>
      </c>
      <c r="H293" s="35">
        <f>IF(G293="Evalueringskrav","Answer",(IF(G293="Krav","Check",(IF(G293="Mindstekrav","Verify","")))))</f>
        <v/>
      </c>
      <c r="I293" s="35" t="inlineStr">
        <is>
          <t>Nej</t>
        </is>
      </c>
      <c r="J293" s="35" t="n"/>
      <c r="K293" s="47" t="n"/>
      <c r="L293" s="35" t="inlineStr">
        <is>
          <t>Cristina</t>
        </is>
      </c>
      <c r="M293" s="35" t="n"/>
      <c r="N293" s="35" t="n"/>
      <c r="O293" s="35" t="n"/>
      <c r="P293" s="35" t="n"/>
      <c r="Q293" s="35" t="n"/>
      <c r="R293" s="35" t="n"/>
      <c r="S293" s="35" t="n"/>
      <c r="T293" s="35" t="n"/>
      <c r="U293" s="35" t="inlineStr">
        <is>
          <t>Not Started</t>
        </is>
      </c>
      <c r="V293" s="37">
        <f>IF(U293="Not Started",0%,IF(U293="Started",50%,IF(U293="Ready for review",70%,IF(U293="Reviewed - Content",80%,IF(U293="Reviewed - Format",90%,IF(U293="Done",100%,""))))))</f>
        <v/>
      </c>
      <c r="W293" t="inlineStr">
        <is>
          <t>2026-07-07</t>
        </is>
      </c>
      <c r="X293" t="inlineStr">
        <is>
          <t>Cursor / tender-response (batch)</t>
        </is>
      </c>
      <c r="Y293" t="inlineStr">
        <is>
          <t>Clarify</t>
        </is>
      </c>
      <c r="Z293" t="inlineStr">
        <is>
          <t>Verified</t>
        </is>
      </c>
      <c r="AA293" t="inlineStr">
        <is>
          <t>Verify: Ikke godkendt prøve — kræver produkt-/team-afklaring (ingen tool-rating).</t>
        </is>
      </c>
      <c r="AB293" t="inlineStr"/>
      <c r="AC293" t="inlineStr">
        <is>
          <t>docs/tender-reference/extracted/Nationalbanken/Underbilag 6B - Testplan og Leverandørens prøveprincipper, metoder og -værktøjer (1).txt; docs/tender-reference/extracted/Nationalbanken/Bilag 3.i Leverandørens Løsningsbeskrivelse.txt; docs/tender-reference/extracted/KUM-SLKS/Bilag 1 - Tidsplan.txt</t>
        </is>
      </c>
      <c r="AD293" t="inlineStr">
        <is>
          <t>Cristina: Udfyld tool-rating (O) og evidens; gennemgå AI-kladde.</t>
        </is>
      </c>
      <c r="AE293" t="inlineStr"/>
      <c r="AF293" t="inlineStr">
        <is>
          <t>Draft</t>
        </is>
      </c>
      <c r="AG293" t="inlineStr">
        <is>
          <t>uim-esdh-full-2026-07-07</t>
        </is>
      </c>
    </row>
    <row r="294" ht="64" customHeight="1">
      <c r="A294" s="35" t="n">
        <v>293</v>
      </c>
      <c r="B294" s="3" t="inlineStr">
        <is>
          <t>B1.F-13</t>
        </is>
      </c>
      <c r="C294" s="3" t="inlineStr">
        <is>
          <t>Bilag 1.f. Test og prøver</t>
        </is>
      </c>
      <c r="D294" s="3" t="inlineStr">
        <is>
          <t>4.1</t>
        </is>
      </c>
      <c r="E294" s="3" t="inlineStr">
        <is>
          <t>Fejlrapporteringsværktøj</t>
        </is>
      </c>
      <c r="F294" s="35" t="inlineStr">
        <is>
          <t>Fejlrapporteringsværktøj Kunden stiller værktøjet Jira til rådighed, hvori fejl fundet som del af prøver rapporteres. Fejl dokumenteres i Jira, med reference til hvilken testcase, der har afsløret fejlen. Dette sikrer en god proces for gentest ved fejlrettelser.</t>
        </is>
      </c>
      <c r="G294" s="3" t="inlineStr">
        <is>
          <t>Mindstekrav</t>
        </is>
      </c>
      <c r="H294" s="35">
        <f>IF(G294="Evalueringskrav","Answer",(IF(G294="Krav","Check",(IF(G294="Mindstekrav","Verify","")))))</f>
        <v/>
      </c>
      <c r="I294" s="35" t="inlineStr">
        <is>
          <t>Nej</t>
        </is>
      </c>
      <c r="J294" s="35" t="n"/>
      <c r="K294" s="47" t="n"/>
      <c r="L294" s="35" t="inlineStr">
        <is>
          <t>Cristina</t>
        </is>
      </c>
      <c r="M294" s="35" t="n"/>
      <c r="N294" s="35" t="n"/>
      <c r="O294" s="35" t="n"/>
      <c r="P294" s="35" t="n"/>
      <c r="Q294" s="35" t="n"/>
      <c r="R294" s="35" t="n"/>
      <c r="S294" s="35" t="n"/>
      <c r="T294" s="35" t="n"/>
      <c r="U294" s="35" t="inlineStr">
        <is>
          <t>Not Started</t>
        </is>
      </c>
      <c r="V294" s="37">
        <f>IF(U294="Not Started",0%,IF(U294="Started",50%,IF(U294="Ready for review",70%,IF(U294="Reviewed - Content",80%,IF(U294="Reviewed - Format",90%,IF(U294="Done",100%,""))))))</f>
        <v/>
      </c>
      <c r="W294" t="inlineStr">
        <is>
          <t>2026-07-07</t>
        </is>
      </c>
      <c r="X294" t="inlineStr">
        <is>
          <t>Cursor / tender-response (batch)</t>
        </is>
      </c>
      <c r="Y294" t="inlineStr">
        <is>
          <t>Clarify</t>
        </is>
      </c>
      <c r="Z294" t="inlineStr">
        <is>
          <t>Verified</t>
        </is>
      </c>
      <c r="AA294" t="inlineStr">
        <is>
          <t>Verify: Fejlrapporteringsværktøj — kræver produkt-/team-afklaring (ingen tool-rating).</t>
        </is>
      </c>
      <c r="AB294" t="inlineStr"/>
      <c r="AC294"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94" t="inlineStr">
        <is>
          <t>Cristina: Udfyld tool-rating (O) og evidens; gennemgå AI-kladde.</t>
        </is>
      </c>
      <c r="AE294" t="inlineStr"/>
      <c r="AF294" t="inlineStr">
        <is>
          <t>Draft</t>
        </is>
      </c>
      <c r="AG294" t="inlineStr">
        <is>
          <t>uim-esdh-full-2026-07-07</t>
        </is>
      </c>
    </row>
    <row r="295" ht="128" customHeight="1">
      <c r="A295" s="35" t="n">
        <v>294</v>
      </c>
      <c r="B295" s="3" t="inlineStr">
        <is>
          <t>B1.F-14</t>
        </is>
      </c>
      <c r="C295" s="3" t="inlineStr">
        <is>
          <t>Bilag 1.f. Test og prøver</t>
        </is>
      </c>
      <c r="D295" s="3" t="inlineStr">
        <is>
          <t>4.2</t>
        </is>
      </c>
      <c r="E295" s="3" t="inlineStr">
        <is>
          <t>Teststyringsværktøj</t>
        </is>
      </c>
      <c r="F295" s="35" t="inlineStr">
        <is>
          <t>Teststyringsværktøj Kunden stiller teststyringsværktøjet Xray til rådighed. Xray er et plugin til Atlassian Jira hvori testcases skal oprettes/dokumenteres, testforløb skal planlægges og testresultater skal dokumenteres. Testcases kan importeres via en CSV-fil, hvis Leverandøren har testcases i et andet værktøj i dag. Det er muligt at læse mere om Xray Enterprise - Test Management for Jira via Atlassian Marketplace. Sporbarheden skal dokumenteres fra testcase til det unik krav som testcases dækker.</t>
        </is>
      </c>
      <c r="G295" s="3" t="inlineStr">
        <is>
          <t>Mindstekrav</t>
        </is>
      </c>
      <c r="H295" s="35">
        <f>IF(G295="Evalueringskrav","Answer",(IF(G295="Krav","Check",(IF(G295="Mindstekrav","Verify","")))))</f>
        <v/>
      </c>
      <c r="I295" s="35" t="inlineStr">
        <is>
          <t>Nej</t>
        </is>
      </c>
      <c r="J295" s="35" t="n"/>
      <c r="K295" s="47" t="n"/>
      <c r="L295" s="35" t="inlineStr">
        <is>
          <t>Cristina</t>
        </is>
      </c>
      <c r="M295" s="35" t="n"/>
      <c r="N295" s="35" t="n"/>
      <c r="O295" s="35" t="n"/>
      <c r="P295" s="35" t="n"/>
      <c r="Q295" s="35" t="n"/>
      <c r="R295" s="35" t="n"/>
      <c r="S295" s="35" t="n"/>
      <c r="T295" s="35" t="n"/>
      <c r="U295" s="35" t="inlineStr">
        <is>
          <t>Not Started</t>
        </is>
      </c>
      <c r="V295" s="37">
        <f>IF(U295="Not Started",0%,IF(U295="Started",50%,IF(U295="Ready for review",70%,IF(U295="Reviewed - Content",80%,IF(U295="Reviewed - Format",90%,IF(U295="Done",100%,""))))))</f>
        <v/>
      </c>
      <c r="W295" t="inlineStr">
        <is>
          <t>2026-07-07</t>
        </is>
      </c>
      <c r="X295" t="inlineStr">
        <is>
          <t>Cursor / tender-response (batch)</t>
        </is>
      </c>
      <c r="Y295" t="inlineStr">
        <is>
          <t>Clarify</t>
        </is>
      </c>
      <c r="Z295" t="inlineStr">
        <is>
          <t>Verified</t>
        </is>
      </c>
      <c r="AA295" t="inlineStr">
        <is>
          <t>Verify: Teststyringsværktøj — kræver produkt-/team-afklaring (ingen tool-rating).</t>
        </is>
      </c>
      <c r="AB295" t="inlineStr"/>
      <c r="AC295" t="inlineStr">
        <is>
          <t>docs/tender-reference/extracted/Nationalbanken/Bilag 3.i Leverandørens Løsningsbeskrivelse.txt; docs/tender-reference/extracted/KK Tender tool.txt; docs/tender-reference/extracted/Nationalbanken/Bilag 6.i Implementeringsplan (Leverandørens løsningsbeskrivelse.txt</t>
        </is>
      </c>
      <c r="AD295" t="inlineStr">
        <is>
          <t>Cristina: Udfyld tool-rating (O) og evidens; gennemgå AI-kladde.</t>
        </is>
      </c>
      <c r="AE295" t="inlineStr"/>
      <c r="AF295" t="inlineStr">
        <is>
          <t>Draft</t>
        </is>
      </c>
      <c r="AG295" t="inlineStr">
        <is>
          <t>uim-esdh-full-2026-07-07</t>
        </is>
      </c>
    </row>
    <row r="296" ht="48" customHeight="1">
      <c r="A296" s="35" t="n">
        <v>295</v>
      </c>
      <c r="B296" s="3" t="inlineStr">
        <is>
          <t>B1.F-15</t>
        </is>
      </c>
      <c r="C296" s="3" t="inlineStr">
        <is>
          <t>Bilag 1.f. Test og prøver</t>
        </is>
      </c>
      <c r="D296" s="3" t="inlineStr">
        <is>
          <t>4.3</t>
        </is>
      </c>
      <c r="E296" s="3" t="inlineStr">
        <is>
          <t>Testautomatisering</t>
        </is>
      </c>
      <c r="F296" s="35" t="inlineStr">
        <is>
          <t>Testautomatisering Kunden overtager testautomatiseringsscripts udarbejdet af Leverandøren som del af en prøve, hvis testautomatisering er anvendt.</t>
        </is>
      </c>
      <c r="G296" s="3" t="inlineStr">
        <is>
          <t>Mindstekrav</t>
        </is>
      </c>
      <c r="H296" s="35">
        <f>IF(G296="Evalueringskrav","Answer",(IF(G296="Krav","Check",(IF(G296="Mindstekrav","Verify","")))))</f>
        <v/>
      </c>
      <c r="I296" s="35" t="inlineStr">
        <is>
          <t>Nej</t>
        </is>
      </c>
      <c r="J296" s="35" t="n"/>
      <c r="K296" s="47" t="n"/>
      <c r="L296" s="35" t="inlineStr">
        <is>
          <t>Cristina</t>
        </is>
      </c>
      <c r="M296" s="35" t="n"/>
      <c r="N296" s="35" t="n"/>
      <c r="O296" s="35" t="n"/>
      <c r="P296" s="35" t="n"/>
      <c r="Q296" s="35" t="n"/>
      <c r="R296" s="35" t="n"/>
      <c r="S296" s="35" t="n"/>
      <c r="T296" s="35" t="n"/>
      <c r="U296" s="35" t="inlineStr">
        <is>
          <t>Not Started</t>
        </is>
      </c>
      <c r="V296" s="37">
        <f>IF(U296="Not Started",0%,IF(U296="Started",50%,IF(U296="Ready for review",70%,IF(U296="Reviewed - Content",80%,IF(U296="Reviewed - Format",90%,IF(U296="Done",100%,""))))))</f>
        <v/>
      </c>
      <c r="W296" t="inlineStr">
        <is>
          <t>2026-07-07</t>
        </is>
      </c>
      <c r="X296" t="inlineStr">
        <is>
          <t>Cursor / tender-response (batch)</t>
        </is>
      </c>
      <c r="Y296" t="inlineStr">
        <is>
          <t>Clarify</t>
        </is>
      </c>
      <c r="Z296" t="inlineStr">
        <is>
          <t>Verified</t>
        </is>
      </c>
      <c r="AA296" t="inlineStr">
        <is>
          <t>Verify: Testautomatisering — kræver produkt-/team-afklaring (ingen tool-rating).</t>
        </is>
      </c>
      <c r="AB296" t="inlineStr"/>
      <c r="AC296"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296" t="inlineStr">
        <is>
          <t>Cristina: Udfyld tool-rating (O) og evidens; gennemgå AI-kladde.</t>
        </is>
      </c>
      <c r="AE296" t="inlineStr"/>
      <c r="AF296" t="inlineStr">
        <is>
          <t>Draft</t>
        </is>
      </c>
      <c r="AG296" t="inlineStr">
        <is>
          <t>uim-esdh-full-2026-07-07</t>
        </is>
      </c>
    </row>
    <row r="297" ht="80" customHeight="1">
      <c r="A297" s="35" t="n">
        <v>296</v>
      </c>
      <c r="B297" s="3" t="inlineStr">
        <is>
          <t>B1.F-16</t>
        </is>
      </c>
      <c r="C297" s="3" t="inlineStr">
        <is>
          <t>Bilag 1.f. Test og prøver</t>
        </is>
      </c>
      <c r="D297" s="3" t="inlineStr">
        <is>
          <t>4.4</t>
        </is>
      </c>
      <c r="E297" s="3" t="inlineStr">
        <is>
          <t>Tværgående testscenarier, testdata, testkonfiguration og testfunktionalitet</t>
        </is>
      </c>
      <c r="F297" s="35" t="inlineStr">
        <is>
          <t>Tværgående testscenarier, testdata, testkonfiguration og testfunktionalitet Leverandøren skal forud for gennemførelse af prøverne sikre, at testscenarier, testdata, testkonfiguration og testfunktionalitet er udarbejdet i overensstemmelse med nedenstående.</t>
        </is>
      </c>
      <c r="G297" s="3" t="inlineStr">
        <is>
          <t>Mindstekrav</t>
        </is>
      </c>
      <c r="H297" s="35">
        <f>IF(G297="Evalueringskrav","Answer",(IF(G297="Krav","Check",(IF(G297="Mindstekrav","Verify","")))))</f>
        <v/>
      </c>
      <c r="I297" s="35" t="inlineStr">
        <is>
          <t>Nej</t>
        </is>
      </c>
      <c r="J297" s="35" t="n"/>
      <c r="K297" s="47" t="n"/>
      <c r="L297" s="35" t="inlineStr">
        <is>
          <t>Cristina</t>
        </is>
      </c>
      <c r="M297" s="35" t="n"/>
      <c r="N297" s="35" t="n"/>
      <c r="O297" s="35" t="n"/>
      <c r="P297" s="35" t="n"/>
      <c r="Q297" s="35" t="n"/>
      <c r="R297" s="35" t="n"/>
      <c r="S297" s="35" t="n"/>
      <c r="T297" s="35" t="n"/>
      <c r="U297" s="35" t="inlineStr">
        <is>
          <t>Not Started</t>
        </is>
      </c>
      <c r="V297" s="37">
        <f>IF(U297="Not Started",0%,IF(U297="Started",50%,IF(U297="Ready for review",70%,IF(U297="Reviewed - Content",80%,IF(U297="Reviewed - Format",90%,IF(U297="Done",100%,""))))))</f>
        <v/>
      </c>
      <c r="W297" t="inlineStr">
        <is>
          <t>2026-07-07</t>
        </is>
      </c>
      <c r="X297" t="inlineStr">
        <is>
          <t>Cursor / tender-response (batch)</t>
        </is>
      </c>
      <c r="Y297" t="inlineStr">
        <is>
          <t>Clarify</t>
        </is>
      </c>
      <c r="Z297" t="inlineStr">
        <is>
          <t>Verified</t>
        </is>
      </c>
      <c r="AA297" t="inlineStr">
        <is>
          <t>Verify: Tværgående testscenarier, testdata, testkonfiguration og testfunktionalitet — kræver produkt-/team-afklaring (ingen tool-rating).</t>
        </is>
      </c>
      <c r="AB297" t="inlineStr"/>
      <c r="AC297" t="inlineStr">
        <is>
          <t>docs/tender-reference/extracted/Nationalbanken/Underbilag 6B - Testplan og Leverandørens prøveprincipper, metoder og -værktøjer (1).txt; docs/tender-reference/extracted/KUM-SLKS/Bilag 1 - Tidsplan.txt; docs/tender-reference/extracted/Nationalbanken/Bilag 3.i Leverandørens Løsningsbeskrivelse.txt</t>
        </is>
      </c>
      <c r="AD297" t="inlineStr">
        <is>
          <t>Cristina: Udfyld tool-rating (O) og evidens; gennemgå AI-kladde.</t>
        </is>
      </c>
      <c r="AE297" t="inlineStr"/>
      <c r="AF297" t="inlineStr">
        <is>
          <t>Draft</t>
        </is>
      </c>
      <c r="AG297" t="inlineStr">
        <is>
          <t>uim-esdh-full-2026-07-07</t>
        </is>
      </c>
    </row>
    <row r="298" ht="96" customHeight="1">
      <c r="A298" s="35" t="n">
        <v>297</v>
      </c>
      <c r="B298" s="3" t="inlineStr">
        <is>
          <t>B1.F-17</t>
        </is>
      </c>
      <c r="C298" s="3" t="inlineStr">
        <is>
          <t>Bilag 1.f. Test og prøver</t>
        </is>
      </c>
      <c r="D298" s="3" t="inlineStr">
        <is>
          <t>4.5</t>
        </is>
      </c>
      <c r="E298" s="3" t="inlineStr">
        <is>
          <t>Testkonfiguration</t>
        </is>
      </c>
      <c r="F298" s="35" t="inlineStr">
        <is>
          <t>Testkonfiguration Leverandøren skal efter behov udarbejde en testkonfiguration af ESDH-løsningen. Ved testkonfiguration forstås en konfiguration af ESDH-løsningen, der skal etableres forud for påbegyndelsen af en prøve, således at det er muligt at gennemføre en prøve på ESDH-løsningen. Dette kan inkludere anvendelse og aktivering af testdata og testfunktionalitet.</t>
        </is>
      </c>
      <c r="G298" s="3" t="inlineStr">
        <is>
          <t>Mindstekrav</t>
        </is>
      </c>
      <c r="H298" s="35">
        <f>IF(G298="Evalueringskrav","Answer",(IF(G298="Krav","Check",(IF(G298="Mindstekrav","Verify","")))))</f>
        <v/>
      </c>
      <c r="I298" s="35" t="inlineStr">
        <is>
          <t>Nej</t>
        </is>
      </c>
      <c r="J298" s="35" t="n"/>
      <c r="K298" s="47" t="n"/>
      <c r="L298" s="35" t="inlineStr">
        <is>
          <t>Cristina</t>
        </is>
      </c>
      <c r="M298" s="35" t="n"/>
      <c r="N298" s="35" t="n"/>
      <c r="O298" s="35" t="n"/>
      <c r="P298" s="35" t="n"/>
      <c r="Q298" s="35" t="n"/>
      <c r="R298" s="35" t="n"/>
      <c r="S298" s="35" t="n"/>
      <c r="T298" s="35" t="n"/>
      <c r="U298" s="35" t="inlineStr">
        <is>
          <t>Not Started</t>
        </is>
      </c>
      <c r="V298" s="37">
        <f>IF(U298="Not Started",0%,IF(U298="Started",50%,IF(U298="Ready for review",70%,IF(U298="Reviewed - Content",80%,IF(U298="Reviewed - Format",90%,IF(U298="Done",100%,""))))))</f>
        <v/>
      </c>
      <c r="W298" t="inlineStr">
        <is>
          <t>2026-07-07</t>
        </is>
      </c>
      <c r="X298" t="inlineStr">
        <is>
          <t>Cursor / tender-response (batch)</t>
        </is>
      </c>
      <c r="Y298" t="inlineStr">
        <is>
          <t>Clarify</t>
        </is>
      </c>
      <c r="Z298" t="inlineStr">
        <is>
          <t>Verified</t>
        </is>
      </c>
      <c r="AA298" t="inlineStr">
        <is>
          <t>Verify: Testkonfiguration — kræver produkt-/team-afklaring (ingen tool-rating).</t>
        </is>
      </c>
      <c r="AB298" t="inlineStr"/>
      <c r="AC298"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298" t="inlineStr">
        <is>
          <t>Cristina: Udfyld tool-rating (O) og evidens; gennemgå AI-kladde.</t>
        </is>
      </c>
      <c r="AE298" t="inlineStr"/>
      <c r="AF298" t="inlineStr">
        <is>
          <t>Draft</t>
        </is>
      </c>
      <c r="AG298" t="inlineStr">
        <is>
          <t>uim-esdh-full-2026-07-07</t>
        </is>
      </c>
    </row>
    <row r="299" ht="96" customHeight="1">
      <c r="A299" s="35" t="n">
        <v>298</v>
      </c>
      <c r="B299" s="3" t="inlineStr">
        <is>
          <t>B1.F-18</t>
        </is>
      </c>
      <c r="C299" s="3" t="inlineStr">
        <is>
          <t>Bilag 1.f. Test og prøver</t>
        </is>
      </c>
      <c r="D299" s="3" t="inlineStr">
        <is>
          <t>4.6</t>
        </is>
      </c>
      <c r="E299" s="3" t="inlineStr">
        <is>
          <t>Testfunktionalitet</t>
        </is>
      </c>
      <c r="F299" s="35" t="inlineStr">
        <is>
          <t>Testfunktionalitet Leverandøren skal sikre, at der er den nødvendige testfunktionalitet til rådighed til brug for prøver. Ved testfunktionalitet forstås funktionalitet, der udelukkende anvendes til testformål, og som etableres forud for påbegyndelsen af en prøve. Dette kan eksempelvis være en teststub, der simulerer ekstern service, API´er eller anden form for automatiseret test.</t>
        </is>
      </c>
      <c r="G299" s="3" t="inlineStr">
        <is>
          <t>Mindstekrav</t>
        </is>
      </c>
      <c r="H299" s="35">
        <f>IF(G299="Evalueringskrav","Answer",(IF(G299="Krav","Check",(IF(G299="Mindstekrav","Verify","")))))</f>
        <v/>
      </c>
      <c r="I299" s="35" t="inlineStr">
        <is>
          <t>Nej</t>
        </is>
      </c>
      <c r="J299" s="35" t="n"/>
      <c r="K299" s="47" t="n"/>
      <c r="L299" s="35" t="inlineStr">
        <is>
          <t>Cristina</t>
        </is>
      </c>
      <c r="M299" s="35" t="n"/>
      <c r="N299" s="35" t="n"/>
      <c r="O299" s="35" t="n"/>
      <c r="P299" s="35" t="n"/>
      <c r="Q299" s="35" t="n"/>
      <c r="R299" s="35" t="n"/>
      <c r="S299" s="35" t="n"/>
      <c r="T299" s="35" t="n"/>
      <c r="U299" s="35" t="inlineStr">
        <is>
          <t>Not Started</t>
        </is>
      </c>
      <c r="V299" s="37">
        <f>IF(U299="Not Started",0%,IF(U299="Started",50%,IF(U299="Ready for review",70%,IF(U299="Reviewed - Content",80%,IF(U299="Reviewed - Format",90%,IF(U299="Done",100%,""))))))</f>
        <v/>
      </c>
      <c r="W299" t="inlineStr">
        <is>
          <t>2026-07-07</t>
        </is>
      </c>
      <c r="X299" t="inlineStr">
        <is>
          <t>Cursor / tender-response (batch)</t>
        </is>
      </c>
      <c r="Y299" t="inlineStr">
        <is>
          <t>Clarify</t>
        </is>
      </c>
      <c r="Z299" t="inlineStr">
        <is>
          <t>Verified</t>
        </is>
      </c>
      <c r="AA299" t="inlineStr">
        <is>
          <t>Verify: Testfunktionalitet — kræver produkt-/team-afklaring (ingen tool-rating).</t>
        </is>
      </c>
      <c r="AB299" t="inlineStr"/>
      <c r="AC29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299" t="inlineStr">
        <is>
          <t>Cristina: Udfyld tool-rating (O) og evidens; gennemgå AI-kladde.</t>
        </is>
      </c>
      <c r="AE299" t="inlineStr"/>
      <c r="AF299" t="inlineStr">
        <is>
          <t>Draft</t>
        </is>
      </c>
      <c r="AG299" t="inlineStr">
        <is>
          <t>uim-esdh-full-2026-07-07</t>
        </is>
      </c>
    </row>
    <row r="300" ht="160" customHeight="1">
      <c r="A300" s="35" t="n">
        <v>299</v>
      </c>
      <c r="B300" s="3" t="inlineStr">
        <is>
          <t>B1.F-19</t>
        </is>
      </c>
      <c r="C300" s="3" t="inlineStr">
        <is>
          <t>Bilag 1.f. Test og prøver</t>
        </is>
      </c>
      <c r="D300" s="3" t="inlineStr">
        <is>
          <t>6.1</t>
        </is>
      </c>
      <c r="E300" s="3" t="inlineStr">
        <is>
          <t>Installationsprøvens indhold</t>
        </is>
      </c>
      <c r="F300" s="35" t="inlineStr">
        <is>
          <t>Installationsprøvens indhold Installationsprøven skal omfatte: 10 • • • • • • • Kontrol af, at installationen kan gennemføres uden fejl og i overensstemmelse med den godkendte installationsvejledning. Verifikation af, at alle services og evt. moduler er installeret og aktive. Kontrol af, at ESDH-løsningen kan tilgås af Brugere og Administratorer. Test af grundlæggende funktioner, herunder oprettelse af sager og Dokumenter, søgning og journalisering. Bekræftelse af, at API´er fungerer efter hensigten. Kontrol af, at logning, sikkerhedsindstillinger og backupfunktionalitet er konfigureret korrekt. Gennemgang af installationsvejledninger med Kundens driftsleverandør.</t>
        </is>
      </c>
      <c r="G300" s="3" t="inlineStr">
        <is>
          <t>Mindstekrav</t>
        </is>
      </c>
      <c r="H300" s="35">
        <f>IF(G300="Evalueringskrav","Answer",(IF(G300="Krav","Check",(IF(G300="Mindstekrav","Verify","")))))</f>
        <v/>
      </c>
      <c r="I300" s="35" t="inlineStr">
        <is>
          <t>Nej</t>
        </is>
      </c>
      <c r="J300" s="35" t="n"/>
      <c r="K300" s="47" t="n"/>
      <c r="L300" s="35" t="inlineStr">
        <is>
          <t>Cristina</t>
        </is>
      </c>
      <c r="M300" s="35" t="n"/>
      <c r="N300" s="35" t="n"/>
      <c r="O300" s="35" t="n"/>
      <c r="P300" s="35" t="n"/>
      <c r="Q300" s="35" t="n"/>
      <c r="R300" s="35" t="n"/>
      <c r="S300" s="35" t="n"/>
      <c r="T300" s="35" t="n"/>
      <c r="U300" s="35" t="inlineStr">
        <is>
          <t>Not Started</t>
        </is>
      </c>
      <c r="V300" s="37">
        <f>IF(U300="Not Started",0%,IF(U300="Started",50%,IF(U300="Ready for review",70%,IF(U300="Reviewed - Content",80%,IF(U300="Reviewed - Format",90%,IF(U300="Done",100%,""))))))</f>
        <v/>
      </c>
      <c r="W300" t="inlineStr">
        <is>
          <t>2026-07-07</t>
        </is>
      </c>
      <c r="X300" t="inlineStr">
        <is>
          <t>Cursor / tender-response (batch)</t>
        </is>
      </c>
      <c r="Y300" t="inlineStr">
        <is>
          <t>Clarify</t>
        </is>
      </c>
      <c r="Z300" t="inlineStr">
        <is>
          <t>Verified</t>
        </is>
      </c>
      <c r="AA300" t="inlineStr">
        <is>
          <t>Verify: Installationsprøvens indhold — kræver produkt-/team-afklaring (ingen tool-rating).</t>
        </is>
      </c>
      <c r="AB300" t="inlineStr"/>
      <c r="AC300"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00" t="inlineStr">
        <is>
          <t>Cristina: Udfyld tool-rating (O) og evidens; gennemgå AI-kladde.</t>
        </is>
      </c>
      <c r="AE300" t="inlineStr"/>
      <c r="AF300" t="inlineStr">
        <is>
          <t>Draft</t>
        </is>
      </c>
      <c r="AG300" t="inlineStr">
        <is>
          <t>uim-esdh-full-2026-07-07</t>
        </is>
      </c>
    </row>
    <row r="301" ht="64" customHeight="1">
      <c r="A301" s="35" t="n">
        <v>300</v>
      </c>
      <c r="B301" s="3" t="inlineStr">
        <is>
          <t>B1.F-20</t>
        </is>
      </c>
      <c r="C301" s="3" t="inlineStr">
        <is>
          <t>Bilag 1.f. Test og prøver</t>
        </is>
      </c>
      <c r="D301" s="3" t="inlineStr">
        <is>
          <t>7.1</t>
        </is>
      </c>
      <c r="E301" s="3" t="inlineStr">
        <is>
          <t>Performanceprøven indhold</t>
        </is>
      </c>
      <c r="F301" s="35" t="inlineStr">
        <is>
          <t>Performanceprøven indhold Performanceprøven skal omfatte: • • • Belastning af ESDH-løsning med 1.000 Brugere, der arbejder samtidig med testen, der udføres. Datagrundlag ESDH-løsningen er tilgængelig i et pre-produktionsmiljø og der findes mindst</t>
        </is>
      </c>
      <c r="G301" s="3" t="inlineStr">
        <is>
          <t>Mindstekrav</t>
        </is>
      </c>
      <c r="H301" s="35">
        <f>IF(G301="Evalueringskrav","Answer",(IF(G301="Krav","Check",(IF(G301="Mindstekrav","Verify","")))))</f>
        <v/>
      </c>
      <c r="I301" s="35" t="inlineStr">
        <is>
          <t>Nej</t>
        </is>
      </c>
      <c r="J301" s="35" t="n"/>
      <c r="K301" s="47" t="n"/>
      <c r="L301" s="35" t="inlineStr">
        <is>
          <t>Cristina</t>
        </is>
      </c>
      <c r="M301" s="35" t="n"/>
      <c r="N301" s="35" t="n"/>
      <c r="O301" s="35" t="n"/>
      <c r="P301" s="35" t="n"/>
      <c r="Q301" s="35" t="n"/>
      <c r="R301" s="35" t="n"/>
      <c r="S301" s="35" t="n"/>
      <c r="T301" s="35" t="n"/>
      <c r="U301" s="35" t="inlineStr">
        <is>
          <t>Not Started</t>
        </is>
      </c>
      <c r="V301" s="37">
        <f>IF(U301="Not Started",0%,IF(U301="Started",50%,IF(U301="Ready for review",70%,IF(U301="Reviewed - Content",80%,IF(U301="Reviewed - Format",90%,IF(U301="Done",100%,""))))))</f>
        <v/>
      </c>
      <c r="W301" t="inlineStr">
        <is>
          <t>2026-07-07</t>
        </is>
      </c>
      <c r="X301" t="inlineStr">
        <is>
          <t>Cursor / tender-response (batch)</t>
        </is>
      </c>
      <c r="Y301" t="inlineStr">
        <is>
          <t>Clarify</t>
        </is>
      </c>
      <c r="Z301" t="inlineStr">
        <is>
          <t>Verified</t>
        </is>
      </c>
      <c r="AA301" t="inlineStr">
        <is>
          <t>Verify: Performanceprøven indhold — kræver produkt-/team-afklaring (ingen tool-rating).</t>
        </is>
      </c>
      <c r="AB301" t="inlineStr"/>
      <c r="AC301"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01" t="inlineStr">
        <is>
          <t>Cristina: Udfyld tool-rating (O) og evidens; gennemgå AI-kladde.</t>
        </is>
      </c>
      <c r="AE301" t="inlineStr"/>
      <c r="AF301" t="inlineStr">
        <is>
          <t>Draft</t>
        </is>
      </c>
      <c r="AG301" t="inlineStr">
        <is>
          <t>uim-esdh-full-2026-07-07</t>
        </is>
      </c>
    </row>
    <row r="302" ht="48" customHeight="1">
      <c r="A302" s="35" t="n">
        <v>301</v>
      </c>
      <c r="B302" s="3" t="inlineStr">
        <is>
          <t>B1.F-21</t>
        </is>
      </c>
      <c r="C302" s="3" t="inlineStr">
        <is>
          <t>Bilag 1.f. Test og prøver</t>
        </is>
      </c>
      <c r="D302" s="3" t="inlineStr">
        <is>
          <t>8.000.000</t>
        </is>
      </c>
      <c r="E302" s="3" t="inlineStr">
        <is>
          <t>Dokumenter i ESDH-løsningen på 2.000.000 sager med samlet 7 terabyte data.</t>
        </is>
      </c>
      <c r="F302" s="35" t="inlineStr">
        <is>
          <t>Dokumenter i ESDH-løsningen på 2.000.000 sager med samlet 7 terabyte data. Test af test i de tre transaktionskategorier, simple, middel og kompleks fra Bilag 1.h Servicemål afsnit 3.4.</t>
        </is>
      </c>
      <c r="G302" s="3" t="inlineStr">
        <is>
          <t>Mindstekrav</t>
        </is>
      </c>
      <c r="H302" s="35">
        <f>IF(G302="Evalueringskrav","Answer",(IF(G302="Krav","Check",(IF(G302="Mindstekrav","Verify","")))))</f>
        <v/>
      </c>
      <c r="I302" s="35" t="inlineStr">
        <is>
          <t>Nej</t>
        </is>
      </c>
      <c r="J302" s="35" t="n"/>
      <c r="K302" s="47" t="n"/>
      <c r="L302" s="35" t="inlineStr">
        <is>
          <t>Cristina</t>
        </is>
      </c>
      <c r="M302" s="35" t="n"/>
      <c r="N302" s="35" t="n"/>
      <c r="O302" s="35" t="n"/>
      <c r="P302" s="35" t="n"/>
      <c r="Q302" s="35" t="n"/>
      <c r="R302" s="35" t="n"/>
      <c r="S302" s="35" t="n"/>
      <c r="T302" s="35" t="n"/>
      <c r="U302" s="35" t="inlineStr">
        <is>
          <t>Not Started</t>
        </is>
      </c>
      <c r="V302" s="37">
        <f>IF(U302="Not Started",0%,IF(U302="Started",50%,IF(U302="Ready for review",70%,IF(U302="Reviewed - Content",80%,IF(U302="Reviewed - Format",90%,IF(U302="Done",100%,""))))))</f>
        <v/>
      </c>
      <c r="W302" t="inlineStr">
        <is>
          <t>2026-07-07</t>
        </is>
      </c>
      <c r="X302" t="inlineStr">
        <is>
          <t>Cursor / tender-response (batch)</t>
        </is>
      </c>
      <c r="Y302" t="inlineStr">
        <is>
          <t>Clarify</t>
        </is>
      </c>
      <c r="Z302" t="inlineStr">
        <is>
          <t>Verified</t>
        </is>
      </c>
      <c r="AA302" t="inlineStr">
        <is>
          <t>Verify: Dokumenter i ESDH-løsningen på 2.000.000 sager med samlet 7 terabyte data. — kræver produkt-/team-afklaring (ingen tool-rating).</t>
        </is>
      </c>
      <c r="AB302" t="inlineStr"/>
      <c r="AC302"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02" t="inlineStr">
        <is>
          <t>Cristina: Udfyld tool-rating (O) og evidens; gennemgå AI-kladde.</t>
        </is>
      </c>
      <c r="AE302" t="inlineStr"/>
      <c r="AF302" t="inlineStr">
        <is>
          <t>Draft</t>
        </is>
      </c>
      <c r="AG302" t="inlineStr">
        <is>
          <t>uim-esdh-full-2026-07-07</t>
        </is>
      </c>
    </row>
    <row r="303" ht="208" customHeight="1">
      <c r="A303" s="35" t="n">
        <v>302</v>
      </c>
      <c r="B303" s="3" t="inlineStr">
        <is>
          <t>B1.F-22</t>
        </is>
      </c>
      <c r="C303" s="3" t="inlineStr">
        <is>
          <t>Bilag 1.f. Test og prøver</t>
        </is>
      </c>
      <c r="D303" s="3" t="inlineStr">
        <is>
          <t>8.1</t>
        </is>
      </c>
      <c r="E303" s="3" t="inlineStr">
        <is>
          <t>Sikkerhedsprøven indhold</t>
        </is>
      </c>
      <c r="F303" s="35" t="inlineStr">
        <is>
          <t>Sikkerhedsprøven indhold Sikkerhedsprøven skal omfatte: 11 • • • • • • • • • Test af Adgangsstyring og rettigheder. Single Sign-On og integration til Kundens identitetsplatform. Logning og sporbarhed. API- og integrationssikkerhed. Konfiguration af sikkerhedsindstillinger. Sårbarheder og sikkerhedstest. Backup, restore og beredskab. Håndtering af sikkerhedsafvigelser. Gennemgang af beredskabsplan med Kundens og Kundens driftsleverandør. Dokumentation som verificering af test. • Leverandøren kan anvende dokumentation, erklæringer, revisionsrapporter, certificeringer, testprotokoller, konfigurationsudtræk og skærmbilleder indgå som testbevis, hvor egentlig teknisk test ikke er mulig eller hensigtsmæssig. Leverandøren skal på Kundens anmodning medvirke til at gennemgå dokumentationen som led i godkendelsesforløbet.</t>
        </is>
      </c>
      <c r="G303" s="3" t="inlineStr">
        <is>
          <t>Mindstekrav</t>
        </is>
      </c>
      <c r="H303" s="35">
        <f>IF(G303="Evalueringskrav","Answer",(IF(G303="Krav","Check",(IF(G303="Mindstekrav","Verify","")))))</f>
        <v/>
      </c>
      <c r="I303" s="35" t="inlineStr">
        <is>
          <t>Nej</t>
        </is>
      </c>
      <c r="J303" s="35" t="n"/>
      <c r="K303" s="47" t="n"/>
      <c r="L303" s="35" t="inlineStr">
        <is>
          <t>Cristina</t>
        </is>
      </c>
      <c r="M303" s="35" t="n"/>
      <c r="N303" s="35" t="n"/>
      <c r="O303" s="35" t="n"/>
      <c r="P303" s="35" t="n"/>
      <c r="Q303" s="35" t="n"/>
      <c r="R303" s="35" t="n"/>
      <c r="S303" s="35" t="n"/>
      <c r="T303" s="35" t="n"/>
      <c r="U303" s="35" t="inlineStr">
        <is>
          <t>Not Started</t>
        </is>
      </c>
      <c r="V303" s="37">
        <f>IF(U303="Not Started",0%,IF(U303="Started",50%,IF(U303="Ready for review",70%,IF(U303="Reviewed - Content",80%,IF(U303="Reviewed - Format",90%,IF(U303="Done",100%,""))))))</f>
        <v/>
      </c>
      <c r="W303" t="inlineStr">
        <is>
          <t>2026-07-07</t>
        </is>
      </c>
      <c r="X303" t="inlineStr">
        <is>
          <t>Cursor / tender-response (batch)</t>
        </is>
      </c>
      <c r="Y303" t="inlineStr">
        <is>
          <t>Clarify</t>
        </is>
      </c>
      <c r="Z303" t="inlineStr">
        <is>
          <t>Verified</t>
        </is>
      </c>
      <c r="AA303" t="inlineStr">
        <is>
          <t>Verify: Sikkerhedsprøven indhold — kræver produkt-/team-afklaring (ingen tool-rating).</t>
        </is>
      </c>
      <c r="AB303" t="inlineStr"/>
      <c r="AC303" t="inlineStr">
        <is>
          <t>docs/tender-reference/extracted/KK Tender tool.txt; docs/tender-reference/extracted/Nationalbanken/Bilag 3.i Leverandørens Løsningsbeskrivelse.txt; docs/tender-reference/extracted/Nationalbanken/Bilag 9.i Leverandørens løsningsbeskrivelse.txt</t>
        </is>
      </c>
      <c r="AD303" t="inlineStr">
        <is>
          <t>Cristina: Udfyld tool-rating (O) og evidens; gennemgå AI-kladde.</t>
        </is>
      </c>
      <c r="AE303" t="inlineStr"/>
      <c r="AF303" t="inlineStr">
        <is>
          <t>Draft</t>
        </is>
      </c>
      <c r="AG303" t="inlineStr">
        <is>
          <t>uim-esdh-full-2026-07-07</t>
        </is>
      </c>
    </row>
    <row r="304" ht="112" customHeight="1">
      <c r="A304" s="35" t="n">
        <v>303</v>
      </c>
      <c r="B304" s="3" t="inlineStr">
        <is>
          <t>B1.F-23</t>
        </is>
      </c>
      <c r="C304" s="3" t="inlineStr">
        <is>
          <t>Bilag 1.f. Test og prøver</t>
        </is>
      </c>
      <c r="D304" s="3" t="inlineStr">
        <is>
          <t>9.1</t>
        </is>
      </c>
      <c r="E304" s="3" t="inlineStr">
        <is>
          <t>Konverteringsprøven indhold</t>
        </is>
      </c>
      <c r="F304" s="35" t="inlineStr">
        <is>
          <t>Konverteringsprøven indhold Konverteringsprøven skal omfatte: • • • • Kontrol af, at konverteringen kan gennemføres uden fejl og i overensstemmelse med den godkendte testplan. Udførelse af alle testcases. Verifikation af, at alle data er korrekt konverteret over i den nye ESDH-løsning jf. datamapningsregler. Test af grundlæggende funktioner, herunder oprettelse og opdatering af sager og Dokumenter, søgning og journalisering fungerer på de konverterede data.</t>
        </is>
      </c>
      <c r="G304" s="3" t="inlineStr">
        <is>
          <t>Mindstekrav</t>
        </is>
      </c>
      <c r="H304" s="35">
        <f>IF(G304="Evalueringskrav","Answer",(IF(G304="Krav","Check",(IF(G304="Mindstekrav","Verify","")))))</f>
        <v/>
      </c>
      <c r="I304" s="35" t="inlineStr">
        <is>
          <t>Nej</t>
        </is>
      </c>
      <c r="J304" s="35" t="n"/>
      <c r="K304" s="47" t="n"/>
      <c r="L304" s="35" t="inlineStr">
        <is>
          <t>Cristina</t>
        </is>
      </c>
      <c r="M304" s="35" t="n"/>
      <c r="N304" s="35" t="n"/>
      <c r="O304" s="35" t="n"/>
      <c r="P304" s="35" t="n"/>
      <c r="Q304" s="35" t="n"/>
      <c r="R304" s="35" t="n"/>
      <c r="S304" s="35" t="n"/>
      <c r="T304" s="35" t="n"/>
      <c r="U304" s="35" t="inlineStr">
        <is>
          <t>Not Started</t>
        </is>
      </c>
      <c r="V304" s="37">
        <f>IF(U304="Not Started",0%,IF(U304="Started",50%,IF(U304="Ready for review",70%,IF(U304="Reviewed - Content",80%,IF(U304="Reviewed - Format",90%,IF(U304="Done",100%,""))))))</f>
        <v/>
      </c>
      <c r="W304" t="inlineStr">
        <is>
          <t>2026-07-07</t>
        </is>
      </c>
      <c r="X304" t="inlineStr">
        <is>
          <t>Cursor / tender-response (batch)</t>
        </is>
      </c>
      <c r="Y304" t="inlineStr">
        <is>
          <t>Clarify</t>
        </is>
      </c>
      <c r="Z304" t="inlineStr">
        <is>
          <t>Verified</t>
        </is>
      </c>
      <c r="AA304" t="inlineStr">
        <is>
          <t>Verify: Konverteringsprøven indhold — kræver produkt-/team-afklaring (ingen tool-rating).</t>
        </is>
      </c>
      <c r="AB304" t="inlineStr"/>
      <c r="AC304"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04" t="inlineStr">
        <is>
          <t>Cristina: Udfyld tool-rating (O) og evidens; gennemgå AI-kladde.</t>
        </is>
      </c>
      <c r="AE304" t="inlineStr"/>
      <c r="AF304" t="inlineStr">
        <is>
          <t>Draft</t>
        </is>
      </c>
      <c r="AG304" t="inlineStr">
        <is>
          <t>uim-esdh-full-2026-07-07</t>
        </is>
      </c>
    </row>
    <row r="305" ht="176" customHeight="1">
      <c r="A305" s="35" t="n">
        <v>304</v>
      </c>
      <c r="B305" s="3" t="inlineStr">
        <is>
          <t>B1.F-24</t>
        </is>
      </c>
      <c r="C305" s="3" t="inlineStr">
        <is>
          <t>Bilag 1.f. Test og prøver</t>
        </is>
      </c>
      <c r="D305" s="3" t="inlineStr">
        <is>
          <t>11.1</t>
        </is>
      </c>
      <c r="E305" s="3" t="inlineStr">
        <is>
          <t>Kriterier for påbegyndelse</t>
        </is>
      </c>
      <c r="F305" s="35" t="inlineStr">
        <is>
          <t>Kriterier for påbegyndelse Overtagelsesprøven kan påbegyndes, når følgende kriterier er opfyldt: 1. Installationsprøven er gennemført og godkendt. 2. Performanceprøven er gennemført og godkendt. 3. Sikkerhedsprøven er gennemført og godkendt. 4. Konverteringsprøven er gennemført og godkendt. 5. Accepttest – UAT er gennemført og godkendt. 6. ESDH-løsningen har ingen åbne prioritet 1 og prioritet 2 fejl. 7. Kunden har godkendt Leverandørens prøveplan for Overtagelsesprøven. 8. Kunden har godkendt Leverandørens testcases, der Overtagelsesprøven. 9. ESDH-løsningen er installeret i Kundens pre-produktionsmiljø. 10. ESDH-løsningen er konfiguration i Kundens pre-produktionsmiljøer.</t>
        </is>
      </c>
      <c r="G305" s="3" t="inlineStr">
        <is>
          <t>Mindstekrav</t>
        </is>
      </c>
      <c r="H305" s="35">
        <f>IF(G305="Evalueringskrav","Answer",(IF(G305="Krav","Check",(IF(G305="Mindstekrav","Verify","")))))</f>
        <v/>
      </c>
      <c r="I305" s="35" t="inlineStr">
        <is>
          <t>Nej</t>
        </is>
      </c>
      <c r="J305" s="35" t="n"/>
      <c r="K305" s="47" t="n"/>
      <c r="L305" s="35" t="inlineStr">
        <is>
          <t>Cristina</t>
        </is>
      </c>
      <c r="M305" s="35" t="n"/>
      <c r="N305" s="35" t="n"/>
      <c r="O305" s="35" t="n"/>
      <c r="P305" s="35" t="n"/>
      <c r="Q305" s="35" t="n"/>
      <c r="R305" s="35" t="n"/>
      <c r="S305" s="35" t="n"/>
      <c r="T305" s="35" t="n"/>
      <c r="U305" s="35" t="inlineStr">
        <is>
          <t>Not Started</t>
        </is>
      </c>
      <c r="V305" s="37">
        <f>IF(U305="Not Started",0%,IF(U305="Started",50%,IF(U305="Ready for review",70%,IF(U305="Reviewed - Content",80%,IF(U305="Reviewed - Format",90%,IF(U305="Done",100%,""))))))</f>
        <v/>
      </c>
      <c r="W305" t="inlineStr">
        <is>
          <t>2026-07-07</t>
        </is>
      </c>
      <c r="X305" t="inlineStr">
        <is>
          <t>Cursor / tender-response (batch)</t>
        </is>
      </c>
      <c r="Y305" t="inlineStr">
        <is>
          <t>Clarify</t>
        </is>
      </c>
      <c r="Z305" t="inlineStr">
        <is>
          <t>Verified</t>
        </is>
      </c>
      <c r="AA305" t="inlineStr">
        <is>
          <t>Verify: Kriterier for påbegyndelse — kræver produkt-/team-afklaring (ingen tool-rating).</t>
        </is>
      </c>
      <c r="AB305" t="inlineStr"/>
      <c r="AC305" t="inlineStr">
        <is>
          <t>docs/tender-reference/extracted/Nationalbanken/Underbilag 6B - Testplan og Leverandørens prøveprincipper, metoder og -værktøjer (1).txt; docs/tender-reference/extracted/KK Tender tool.txt; docs/tender-reference/extracted/Nationalbanken/Bilag 3.i Leverandørens Løsningsbeskrivelse.txt</t>
        </is>
      </c>
      <c r="AD305" t="inlineStr">
        <is>
          <t>Cristina: Udfyld tool-rating (O) og evidens; gennemgå AI-kladde.</t>
        </is>
      </c>
      <c r="AE305" t="inlineStr"/>
      <c r="AF305" t="inlineStr">
        <is>
          <t>Draft</t>
        </is>
      </c>
      <c r="AG305" t="inlineStr">
        <is>
          <t>uim-esdh-full-2026-07-07</t>
        </is>
      </c>
    </row>
    <row r="306" ht="144" customHeight="1">
      <c r="A306" s="35" t="n">
        <v>305</v>
      </c>
      <c r="B306" s="3" t="inlineStr">
        <is>
          <t>B1.F-25</t>
        </is>
      </c>
      <c r="C306" s="3" t="inlineStr">
        <is>
          <t>Bilag 1.f. Test og prøver</t>
        </is>
      </c>
      <c r="D306" s="3" t="inlineStr">
        <is>
          <t>11.2</t>
        </is>
      </c>
      <c r="E306" s="3" t="inlineStr">
        <is>
          <t>Overtagelsesprøvens indhold</t>
        </is>
      </c>
      <c r="F306" s="35" t="inlineStr">
        <is>
          <t>Overtagelsesprøvens indhold Overtagelsesprøven skal omfatte: 13 1. Test af alle funktionelle og ikke-funktionelle krav i Bilag 1.b Krav til standardsoftware. 2. Verifikation af, at Leverandørens dokumentation, jf. Bilag 1.b Krav til standardsoftware er fuldstændige. 3. Bekræftelse af, at servicedesk og supportorganisation er etableret og fungerer i henhold til aftalte processer. 4. Test af drifts- og sikkerhedsopsætning, herunder backup, logning, overvågning og hændelseshåndtering i pre-produktionsmiljøet. 5. En handlingsplan, der beskriver, hvordan og hvornår fejl udbedres, såfremt Kunden bestiller dette iværksat.</t>
        </is>
      </c>
      <c r="G306" s="3" t="inlineStr">
        <is>
          <t>Mindstekrav</t>
        </is>
      </c>
      <c r="H306" s="35">
        <f>IF(G306="Evalueringskrav","Answer",(IF(G306="Krav","Check",(IF(G306="Mindstekrav","Verify","")))))</f>
        <v/>
      </c>
      <c r="I306" s="35" t="inlineStr">
        <is>
          <t>Nej</t>
        </is>
      </c>
      <c r="J306" s="35" t="n"/>
      <c r="K306" s="47" t="n"/>
      <c r="L306" s="35" t="inlineStr">
        <is>
          <t>Cristina</t>
        </is>
      </c>
      <c r="M306" s="35" t="n"/>
      <c r="N306" s="35" t="n"/>
      <c r="O306" s="35" t="n"/>
      <c r="P306" s="35" t="n"/>
      <c r="Q306" s="35" t="n"/>
      <c r="R306" s="35" t="n"/>
      <c r="S306" s="35" t="n"/>
      <c r="T306" s="35" t="n"/>
      <c r="U306" s="35" t="inlineStr">
        <is>
          <t>Not Started</t>
        </is>
      </c>
      <c r="V306" s="37">
        <f>IF(U306="Not Started",0%,IF(U306="Started",50%,IF(U306="Ready for review",70%,IF(U306="Reviewed - Content",80%,IF(U306="Reviewed - Format",90%,IF(U306="Done",100%,""))))))</f>
        <v/>
      </c>
      <c r="W306" t="inlineStr">
        <is>
          <t>2026-07-07</t>
        </is>
      </c>
      <c r="X306" t="inlineStr">
        <is>
          <t>Cursor / tender-response (batch)</t>
        </is>
      </c>
      <c r="Y306" t="inlineStr">
        <is>
          <t>Clarify</t>
        </is>
      </c>
      <c r="Z306" t="inlineStr">
        <is>
          <t>Verified</t>
        </is>
      </c>
      <c r="AA306" t="inlineStr">
        <is>
          <t>Verify: Overtagelsesprøvens indhold — kræver produkt-/team-afklaring (ingen tool-rating).</t>
        </is>
      </c>
      <c r="AB306" t="inlineStr"/>
      <c r="AC306" t="inlineStr">
        <is>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is>
      </c>
      <c r="AD306" t="inlineStr">
        <is>
          <t>Cristina: Udfyld tool-rating (O) og evidens; gennemgå AI-kladde.</t>
        </is>
      </c>
      <c r="AE306" t="inlineStr"/>
      <c r="AF306" t="inlineStr">
        <is>
          <t>Draft</t>
        </is>
      </c>
      <c r="AG306" t="inlineStr">
        <is>
          <t>uim-esdh-full-2026-07-07</t>
        </is>
      </c>
    </row>
    <row r="307" ht="176" customHeight="1">
      <c r="A307" s="35" t="n">
        <v>306</v>
      </c>
      <c r="B307" s="3" t="inlineStr">
        <is>
          <t>B1.F-26</t>
        </is>
      </c>
      <c r="C307" s="3" t="inlineStr">
        <is>
          <t>Bilag 1.f. Test og prøver</t>
        </is>
      </c>
      <c r="D307" s="3" t="inlineStr">
        <is>
          <t>11.3</t>
        </is>
      </c>
      <c r="E307" s="3" t="inlineStr">
        <is>
          <t>Godkendelseskriterier</t>
        </is>
      </c>
      <c r="F307" s="35" t="inlineStr">
        <is>
          <t>Godkendelseskriterier Overtagelsesprøven anses for godkendt, når følgende kriterier er opfyldt: 1. Der er sporbarhed fra alle krav relevante for den konkrete test/prøve til testcases, så det sikres, at alle krav er teste for den konkrete test/prøve. 2. Alle planlagte testcases er gennemført. 3. Der forekommer ingen åbne fejl med prioritet 1 eller prioritet 2. 4. Der forekommer højst 10 åbne fejl med prioritet 3 fejl og samlet højst 20 åbne fejl med prioritet 4. 5. Alle integrationer til eksterne systemer er etableret i det omfang det er muligt, f.eks. ved teststubbe. 6. Kunden har godkendt Leverandørens dokumentation. 7. At der er udarbejdet en afhjælpningsplan for konstaterede fejl i Overtagelsesprøven.</t>
        </is>
      </c>
      <c r="G307" s="3" t="inlineStr">
        <is>
          <t>Mindstekrav</t>
        </is>
      </c>
      <c r="H307" s="35">
        <f>IF(G307="Evalueringskrav","Answer",(IF(G307="Krav","Check",(IF(G307="Mindstekrav","Verify","")))))</f>
        <v/>
      </c>
      <c r="I307" s="35" t="inlineStr">
        <is>
          <t>Nej</t>
        </is>
      </c>
      <c r="J307" s="35" t="n"/>
      <c r="K307" s="47" t="n"/>
      <c r="L307" s="35" t="inlineStr">
        <is>
          <t>Cristina</t>
        </is>
      </c>
      <c r="M307" s="35" t="n"/>
      <c r="N307" s="35" t="n"/>
      <c r="O307" s="35" t="n"/>
      <c r="P307" s="35" t="n"/>
      <c r="Q307" s="35" t="n"/>
      <c r="R307" s="35" t="n"/>
      <c r="S307" s="35" t="n"/>
      <c r="T307" s="35" t="n"/>
      <c r="U307" s="35" t="inlineStr">
        <is>
          <t>Not Started</t>
        </is>
      </c>
      <c r="V307" s="37">
        <f>IF(U307="Not Started",0%,IF(U307="Started",50%,IF(U307="Ready for review",70%,IF(U307="Reviewed - Content",80%,IF(U307="Reviewed - Format",90%,IF(U307="Done",100%,""))))))</f>
        <v/>
      </c>
      <c r="W307" t="inlineStr">
        <is>
          <t>2026-07-07</t>
        </is>
      </c>
      <c r="X307" t="inlineStr">
        <is>
          <t>Cursor / tender-response (batch)</t>
        </is>
      </c>
      <c r="Y307" t="inlineStr">
        <is>
          <t>Clarify</t>
        </is>
      </c>
      <c r="Z307" t="inlineStr">
        <is>
          <t>Verified</t>
        </is>
      </c>
      <c r="AA307" t="inlineStr">
        <is>
          <t>Verify: Godkendelseskriterier — kræver produkt-/team-afklaring (ingen tool-rating).</t>
        </is>
      </c>
      <c r="AB307" t="inlineStr"/>
      <c r="AC30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07" t="inlineStr">
        <is>
          <t>Cristina: Udfyld tool-rating (O) og evidens; gennemgå AI-kladde.</t>
        </is>
      </c>
      <c r="AE307" t="inlineStr"/>
      <c r="AF307" t="inlineStr">
        <is>
          <t>Draft</t>
        </is>
      </c>
      <c r="AG307" t="inlineStr">
        <is>
          <t>uim-esdh-full-2026-07-07</t>
        </is>
      </c>
    </row>
    <row r="308" ht="112" customHeight="1">
      <c r="A308" s="35" t="n">
        <v>307</v>
      </c>
      <c r="B308" s="3" t="inlineStr">
        <is>
          <t>B1.F-27</t>
        </is>
      </c>
      <c r="C308" s="3" t="inlineStr">
        <is>
          <t>Bilag 1.f. Test og prøver</t>
        </is>
      </c>
      <c r="D308" s="3" t="inlineStr">
        <is>
          <t>12.1</t>
        </is>
      </c>
      <c r="E308" s="3" t="inlineStr">
        <is>
          <t>Tidspunkt og periode for gennemførelse</t>
        </is>
      </c>
      <c r="F308" s="35" t="inlineStr">
        <is>
          <t>Tidspunkt og periode for gennemførelse Driftsprøven startes på krav fra Kunden, forventeligt i oktober 2027, når den fulde Løsning er klar. Den fulde løsning inkluderer Proces- og regelstyring samt Integrationsplatformen, sammen med ESDHløsningen, som beskrevet i Bilag 1.d Kundens målarkitektur for fremtidens ESDH-løsning. Driftsprøven skal vare mindst 30 sammenhængende Arbejdsdage, dog højst 60 Dage.</t>
        </is>
      </c>
      <c r="G308" s="3" t="inlineStr">
        <is>
          <t>Mindstekrav</t>
        </is>
      </c>
      <c r="H308" s="35">
        <f>IF(G308="Evalueringskrav","Answer",(IF(G308="Krav","Check",(IF(G308="Mindstekrav","Verify","")))))</f>
        <v/>
      </c>
      <c r="I308" s="35" t="inlineStr">
        <is>
          <t>Nej</t>
        </is>
      </c>
      <c r="J308" s="35" t="n"/>
      <c r="K308" s="47" t="n"/>
      <c r="L308" s="35" t="inlineStr">
        <is>
          <t>Cristina</t>
        </is>
      </c>
      <c r="M308" s="35" t="n"/>
      <c r="N308" s="35" t="n"/>
      <c r="O308" s="35" t="n"/>
      <c r="P308" s="35" t="n"/>
      <c r="Q308" s="35" t="n"/>
      <c r="R308" s="35" t="n"/>
      <c r="S308" s="35" t="n"/>
      <c r="T308" s="35" t="n"/>
      <c r="U308" s="35" t="inlineStr">
        <is>
          <t>Not Started</t>
        </is>
      </c>
      <c r="V308" s="37">
        <f>IF(U308="Not Started",0%,IF(U308="Started",50%,IF(U308="Ready for review",70%,IF(U308="Reviewed - Content",80%,IF(U308="Reviewed - Format",90%,IF(U308="Done",100%,""))))))</f>
        <v/>
      </c>
      <c r="W308" t="inlineStr">
        <is>
          <t>2026-07-07</t>
        </is>
      </c>
      <c r="X308" t="inlineStr">
        <is>
          <t>Cursor / tender-response (batch)</t>
        </is>
      </c>
      <c r="Y308" t="inlineStr">
        <is>
          <t>Clarify</t>
        </is>
      </c>
      <c r="Z308" t="inlineStr">
        <is>
          <t>Verified</t>
        </is>
      </c>
      <c r="AA308" t="inlineStr">
        <is>
          <t>Verify: Tidspunkt og periode for gennemførelse — kræver produkt-/team-afklaring (ingen tool-rating).</t>
        </is>
      </c>
      <c r="AB308" t="inlineStr"/>
      <c r="AC308" t="inlineStr">
        <is>
          <t>docs/tender-reference/extracted/KK Tender tool.txt; docs/tender-reference/extracted/KUM-SLKS/Bilag 1 - Tidsplan.txt; docs/tender-reference/extracted/Nationalbanken/Bilag 3.i Leverandørens Løsningsbeskrivelse.txt</t>
        </is>
      </c>
      <c r="AD308" t="inlineStr">
        <is>
          <t>Cristina: Udfyld tool-rating (O) og evidens; gennemgå AI-kladde.</t>
        </is>
      </c>
      <c r="AE308" t="inlineStr"/>
      <c r="AF308" t="inlineStr">
        <is>
          <t>Draft</t>
        </is>
      </c>
      <c r="AG308" t="inlineStr">
        <is>
          <t>uim-esdh-full-2026-07-07</t>
        </is>
      </c>
    </row>
    <row r="309" ht="112" customHeight="1">
      <c r="A309" s="35" t="n">
        <v>308</v>
      </c>
      <c r="B309" s="3" t="inlineStr">
        <is>
          <t>B1.F-28</t>
        </is>
      </c>
      <c r="C309" s="3" t="inlineStr">
        <is>
          <t>Bilag 1.f. Test og prøver</t>
        </is>
      </c>
      <c r="D309" s="3" t="inlineStr">
        <is>
          <t>12.2</t>
        </is>
      </c>
      <c r="E309" s="3" t="inlineStr">
        <is>
          <t>Kriterier for påbegyndelse</t>
        </is>
      </c>
      <c r="F309" s="35" t="inlineStr">
        <is>
          <t>Kriterier for påbegyndelse Følgende kriterier skal være opfyldt, før Driftsprøven kan påbegyndes: • • • • Overtagelsesprøven er godkendt af Kunden, og eventuelle fejl, som godkendelsen måtte være betinget af, er afhjulpet, medmindre andet aftales. Overtagelsesprøven for Proces- og regelstyring er gennemført og godkendt. Overtagelsesprøven for Integrationsplatformen er gennemført og godkendt. Leverandøren har udarbejdet en prøveplan for Driftsprøven, som Kunden har godkendt.</t>
        </is>
      </c>
      <c r="G309" s="3" t="inlineStr">
        <is>
          <t>Mindstekrav</t>
        </is>
      </c>
      <c r="H309" s="35">
        <f>IF(G309="Evalueringskrav","Answer",(IF(G309="Krav","Check",(IF(G309="Mindstekrav","Verify","")))))</f>
        <v/>
      </c>
      <c r="I309" s="35" t="inlineStr">
        <is>
          <t>Nej</t>
        </is>
      </c>
      <c r="J309" s="35" t="n"/>
      <c r="K309" s="47" t="n"/>
      <c r="L309" s="35" t="inlineStr">
        <is>
          <t>Cristina</t>
        </is>
      </c>
      <c r="M309" s="35" t="n"/>
      <c r="N309" s="35" t="n"/>
      <c r="O309" s="35" t="n"/>
      <c r="P309" s="35" t="n"/>
      <c r="Q309" s="35" t="n"/>
      <c r="R309" s="35" t="n"/>
      <c r="S309" s="35" t="n"/>
      <c r="T309" s="35" t="n"/>
      <c r="U309" s="35" t="inlineStr">
        <is>
          <t>Not Started</t>
        </is>
      </c>
      <c r="V309" s="37">
        <f>IF(U309="Not Started",0%,IF(U309="Started",50%,IF(U309="Ready for review",70%,IF(U309="Reviewed - Content",80%,IF(U309="Reviewed - Format",90%,IF(U309="Done",100%,""))))))</f>
        <v/>
      </c>
      <c r="W309" t="inlineStr">
        <is>
          <t>2026-07-07</t>
        </is>
      </c>
      <c r="X309" t="inlineStr">
        <is>
          <t>Cursor / tender-response (batch)</t>
        </is>
      </c>
      <c r="Y309" t="inlineStr">
        <is>
          <t>Clarify</t>
        </is>
      </c>
      <c r="Z309" t="inlineStr">
        <is>
          <t>Verified</t>
        </is>
      </c>
      <c r="AA309" t="inlineStr">
        <is>
          <t>Verify: Kriterier for påbegyndelse — kræver produkt-/team-afklaring (ingen tool-rating).</t>
        </is>
      </c>
      <c r="AB309" t="inlineStr"/>
      <c r="AC309" t="inlineStr">
        <is>
          <t>docs/tender-reference/extracted/KK Tender tool.txt; docs/tender-reference/extracted/Nationalbanken/Bilag 3.i Leverandørens Løsningsbeskrivelse.txt; docs/tender-reference/extracted/KUM-SLKS/Bilag 1 - Tidsplan.txt</t>
        </is>
      </c>
      <c r="AD309" t="inlineStr">
        <is>
          <t>Cristina: Udfyld tool-rating (O) og evidens; gennemgå AI-kladde.</t>
        </is>
      </c>
      <c r="AE309" t="inlineStr"/>
      <c r="AF309" t="inlineStr">
        <is>
          <t>Draft</t>
        </is>
      </c>
      <c r="AG309" t="inlineStr">
        <is>
          <t>uim-esdh-full-2026-07-07</t>
        </is>
      </c>
    </row>
    <row r="310" ht="96" customHeight="1">
      <c r="A310" s="35" t="n">
        <v>309</v>
      </c>
      <c r="B310" s="3" t="inlineStr">
        <is>
          <t>B1.F-29</t>
        </is>
      </c>
      <c r="C310" s="3" t="inlineStr">
        <is>
          <t>Bilag 1.f. Test og prøver</t>
        </is>
      </c>
      <c r="D310" s="3" t="inlineStr">
        <is>
          <t>12.3</t>
        </is>
      </c>
      <c r="E310" s="3" t="inlineStr">
        <is>
          <t>Godkendelseskriterier</t>
        </is>
      </c>
      <c r="F310" s="35" t="inlineStr">
        <is>
          <t>Godkendelseskriterier Driftsprøven anses for godkendt, når følgende kriterier er opfyldt: • • • Servicemålene, jf. Bilag 1.h Servicemål, er opfyldt i perioden for Driftsprøven. Ingen åbne prioritet 1 eller prioritet 2 fejl, jf. afsnit 5 i nærværende bilag, og med en angivelse af eventuelle fejl i en fejlliste med en afhjælpningsplan. Dokumentation, jf. Bilag 1.b Krav til standardsoftware.</t>
        </is>
      </c>
      <c r="G310" s="3" t="inlineStr">
        <is>
          <t>Mindstekrav</t>
        </is>
      </c>
      <c r="H310" s="35">
        <f>IF(G310="Evalueringskrav","Answer",(IF(G310="Krav","Check",(IF(G310="Mindstekrav","Verify","")))))</f>
        <v/>
      </c>
      <c r="I310" s="35" t="inlineStr">
        <is>
          <t>Nej</t>
        </is>
      </c>
      <c r="J310" s="35" t="n"/>
      <c r="K310" s="47" t="n"/>
      <c r="L310" s="35" t="inlineStr">
        <is>
          <t>Cristina</t>
        </is>
      </c>
      <c r="M310" s="35" t="n"/>
      <c r="N310" s="35" t="n"/>
      <c r="O310" s="35" t="n"/>
      <c r="P310" s="35" t="n"/>
      <c r="Q310" s="35" t="n"/>
      <c r="R310" s="35" t="n"/>
      <c r="S310" s="35" t="n"/>
      <c r="T310" s="35" t="n"/>
      <c r="U310" s="35" t="inlineStr">
        <is>
          <t>Not Started</t>
        </is>
      </c>
      <c r="V310" s="37">
        <f>IF(U310="Not Started",0%,IF(U310="Started",50%,IF(U310="Ready for review",70%,IF(U310="Reviewed - Content",80%,IF(U310="Reviewed - Format",90%,IF(U310="Done",100%,""))))))</f>
        <v/>
      </c>
      <c r="W310" t="inlineStr">
        <is>
          <t>2026-07-07</t>
        </is>
      </c>
      <c r="X310" t="inlineStr">
        <is>
          <t>Cursor / tender-response (batch)</t>
        </is>
      </c>
      <c r="Y310" t="inlineStr">
        <is>
          <t>Clarify</t>
        </is>
      </c>
      <c r="Z310" t="inlineStr">
        <is>
          <t>Verified</t>
        </is>
      </c>
      <c r="AA310" t="inlineStr">
        <is>
          <t>Verify: Godkendelseskriterier — kræver produkt-/team-afklaring (ingen tool-rating).</t>
        </is>
      </c>
      <c r="AB310" t="inlineStr"/>
      <c r="AC310" t="inlineStr">
        <is>
          <t>docs/tender-reference/extracted/KK Tender tool.txt; docs/tender-reference/extracted/Nationalbanken/Underbilag 6B - Testplan og Leverandørens prøveprincipper, metoder og -værktøjer (1).txt; docs/tender-reference/extracted/KUM-SLKS/Bilag 1 - Tidsplan.txt</t>
        </is>
      </c>
      <c r="AD310" t="inlineStr">
        <is>
          <t>Cristina: Udfyld tool-rating (O) og evidens; gennemgå AI-kladde.</t>
        </is>
      </c>
      <c r="AE310" t="inlineStr"/>
      <c r="AF310" t="inlineStr">
        <is>
          <t>Draft</t>
        </is>
      </c>
      <c r="AG310" t="inlineStr">
        <is>
          <t>uim-esdh-full-2026-07-07</t>
        </is>
      </c>
    </row>
    <row r="311" ht="48" customHeight="1">
      <c r="A311" s="35" t="n">
        <v>310</v>
      </c>
      <c r="B311" s="3" t="inlineStr">
        <is>
          <t>B1.F-30</t>
        </is>
      </c>
      <c r="C311" s="3" t="inlineStr">
        <is>
          <t>Bilag 1.f. Test og prøver</t>
        </is>
      </c>
      <c r="D311" s="3" t="inlineStr">
        <is>
          <t>12.4</t>
        </is>
      </c>
      <c r="E311" s="3" t="inlineStr">
        <is>
          <t>Samlet afslutning</t>
        </is>
      </c>
      <c r="F311" s="35" t="inlineStr">
        <is>
          <t>Samlet afslutning Prøveforløbet for ESDH-løsningen betragtes først som afsluttet, når den fulde Løsning har bestået sin Driftsprøve i henhold til godkendelseskriterierne. 15</t>
        </is>
      </c>
      <c r="G311" s="3" t="inlineStr">
        <is>
          <t>Mindstekrav</t>
        </is>
      </c>
      <c r="H311" s="35">
        <f>IF(G311="Evalueringskrav","Answer",(IF(G311="Krav","Check",(IF(G311="Mindstekrav","Verify","")))))</f>
        <v/>
      </c>
      <c r="I311" s="35" t="inlineStr">
        <is>
          <t>Nej</t>
        </is>
      </c>
      <c r="J311" s="35" t="n"/>
      <c r="K311" s="47" t="n"/>
      <c r="L311" s="35" t="inlineStr">
        <is>
          <t>Cristina</t>
        </is>
      </c>
      <c r="M311" s="35" t="n"/>
      <c r="N311" s="35" t="n"/>
      <c r="O311" s="35" t="n"/>
      <c r="P311" s="35" t="n"/>
      <c r="Q311" s="35" t="n"/>
      <c r="R311" s="35" t="n"/>
      <c r="S311" s="35" t="n"/>
      <c r="T311" s="35" t="n"/>
      <c r="U311" s="35" t="inlineStr">
        <is>
          <t>Not Started</t>
        </is>
      </c>
      <c r="V311" s="37">
        <f>IF(U311="Not Started",0%,IF(U311="Started",50%,IF(U311="Ready for review",70%,IF(U311="Reviewed - Content",80%,IF(U311="Reviewed - Format",90%,IF(U311="Done",100%,""))))))</f>
        <v/>
      </c>
      <c r="W311" t="inlineStr">
        <is>
          <t>2026-07-07</t>
        </is>
      </c>
      <c r="X311" t="inlineStr">
        <is>
          <t>Cursor / tender-response (batch)</t>
        </is>
      </c>
      <c r="Y311" t="inlineStr">
        <is>
          <t>Clarify</t>
        </is>
      </c>
      <c r="Z311" t="inlineStr">
        <is>
          <t>Verified</t>
        </is>
      </c>
      <c r="AA311" t="inlineStr">
        <is>
          <t>Verify: Samlet afslutning — kræver produkt-/team-afklaring (ingen tool-rating).</t>
        </is>
      </c>
      <c r="AB311" t="inlineStr"/>
      <c r="AC311"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11" t="inlineStr">
        <is>
          <t>Cristina: Udfyld tool-rating (O) og evidens; gennemgå AI-kladde.</t>
        </is>
      </c>
      <c r="AE311" t="inlineStr"/>
      <c r="AF311" t="inlineStr">
        <is>
          <t>Draft</t>
        </is>
      </c>
      <c r="AG311" t="inlineStr">
        <is>
          <t>uim-esdh-full-2026-07-07</t>
        </is>
      </c>
    </row>
    <row r="312" ht="64" customHeight="1">
      <c r="A312" s="35" t="n">
        <v>311</v>
      </c>
      <c r="B312" s="3" t="inlineStr">
        <is>
          <t>B1.G-1</t>
        </is>
      </c>
      <c r="C312" s="3" t="inlineStr">
        <is>
          <t>Bilag 1.g Samarbejde under Leveringskontrakten</t>
        </is>
      </c>
      <c r="D312" s="3" t="inlineStr">
        <is>
          <t>2.1</t>
        </is>
      </c>
      <c r="E312" s="3" t="inlineStr">
        <is>
          <t>Sprog</t>
        </is>
      </c>
      <c r="F312" s="35" t="inlineStr">
        <is>
          <t>Sprog Leverandøren skal sikre, at medarbejderne, der indgår i samarbejdsorganisationen, kan kommunikere mundtligt og skriftligt på dansk. Såfremt Kunden forud giver tilladelse til det, kan dele af kommunikationen i enkelte tilfælde foregå på engelsk.</t>
        </is>
      </c>
      <c r="G312" s="3" t="inlineStr">
        <is>
          <t>Mindstekrav</t>
        </is>
      </c>
      <c r="H312" s="35">
        <f>IF(G312="Evalueringskrav","Answer",(IF(G312="Krav","Check",(IF(G312="Mindstekrav","Verify","")))))</f>
        <v/>
      </c>
      <c r="I312" s="35" t="inlineStr">
        <is>
          <t>Nej</t>
        </is>
      </c>
      <c r="J312" s="35" t="n"/>
      <c r="K312" s="47" t="n"/>
      <c r="L312" s="35" t="inlineStr">
        <is>
          <t>Cristina</t>
        </is>
      </c>
      <c r="M312" s="35" t="n"/>
      <c r="N312" s="35" t="n"/>
      <c r="O312" s="35" t="n"/>
      <c r="P312" s="35" t="n"/>
      <c r="Q312" s="35" t="n"/>
      <c r="R312" s="35" t="n"/>
      <c r="S312" s="35" t="n"/>
      <c r="T312" s="35" t="n"/>
      <c r="U312" s="35" t="inlineStr">
        <is>
          <t>Not Started</t>
        </is>
      </c>
      <c r="V312" s="37">
        <f>IF(U312="Not Started",0%,IF(U312="Started",50%,IF(U312="Ready for review",70%,IF(U312="Reviewed - Content",80%,IF(U312="Reviewed - Format",90%,IF(U312="Done",100%,""))))))</f>
        <v/>
      </c>
      <c r="W312" t="inlineStr">
        <is>
          <t>2026-07-07</t>
        </is>
      </c>
      <c r="X312" t="inlineStr">
        <is>
          <t>Cursor / tender-response (batch)</t>
        </is>
      </c>
      <c r="Y312" t="inlineStr">
        <is>
          <t>Clarify</t>
        </is>
      </c>
      <c r="Z312" t="inlineStr">
        <is>
          <t>Verified</t>
        </is>
      </c>
      <c r="AA312" t="inlineStr">
        <is>
          <t>Verify: Sprog — kræver produkt-/team-afklaring (ingen tool-rating).</t>
        </is>
      </c>
      <c r="AB312" t="inlineStr"/>
      <c r="AC312" t="inlineStr">
        <is>
          <t>docs/tender-reference/extracted/Nationalbanken/Bilag 3.i Leverandørens Løsningsbeskrivelse.txt; docs/tender-reference/extracted/KK Tender tool.txt; docs/tender-reference/extracted/Nationalbanken/Bilag 1.i Leverandørens Løsningsbeskrivelse.txt</t>
        </is>
      </c>
      <c r="AD312" t="inlineStr">
        <is>
          <t>Cristina: Udfyld tool-rating (O) og evidens; gennemgå AI-kladde.</t>
        </is>
      </c>
      <c r="AE312" t="inlineStr"/>
      <c r="AF312" t="inlineStr">
        <is>
          <t>Draft</t>
        </is>
      </c>
      <c r="AG312" t="inlineStr">
        <is>
          <t>uim-esdh-full-2026-07-07</t>
        </is>
      </c>
    </row>
    <row r="313" ht="96" customHeight="1">
      <c r="A313" s="35" t="n">
        <v>312</v>
      </c>
      <c r="B313" s="3" t="inlineStr">
        <is>
          <t>B1.G-2</t>
        </is>
      </c>
      <c r="C313" s="3" t="inlineStr">
        <is>
          <t>Bilag 1.g Samarbejde under Leveringskontrakten</t>
        </is>
      </c>
      <c r="D313" s="3" t="inlineStr">
        <is>
          <t>2.2</t>
        </is>
      </c>
      <c r="E313" s="3" t="inlineStr">
        <is>
          <t>Sikkerhedsgodkendelse</t>
        </is>
      </c>
      <c r="F313" s="35" t="inlineStr">
        <is>
          <t>Sikkerhedsgodkendelse Alle medarbejdere fra Leverandøren, der tilknyttes Kunden, og har adgang til Kundens oplysninger i form af fejlindmeldinger, ændringsanmodninger og lignende, skal kunne sikkerhedstjekkes og sikkerhedsgodkendes samt opretholde denne gennem Leveringskontraktens levetid jf. Bilag 1 Kundens opgavebeskrivelse pkt. 8 og Leveringskontraktens pkt. 11.</t>
        </is>
      </c>
      <c r="G313" s="3" t="inlineStr">
        <is>
          <t>Mindstekrav</t>
        </is>
      </c>
      <c r="H313" s="35">
        <f>IF(G313="Evalueringskrav","Answer",(IF(G313="Krav","Check",(IF(G313="Mindstekrav","Verify","")))))</f>
        <v/>
      </c>
      <c r="I313" s="35" t="inlineStr">
        <is>
          <t>Nej</t>
        </is>
      </c>
      <c r="J313" s="35" t="n"/>
      <c r="K313" s="47" t="n"/>
      <c r="L313" s="35" t="inlineStr">
        <is>
          <t>Cristina</t>
        </is>
      </c>
      <c r="M313" s="35" t="n"/>
      <c r="N313" s="35" t="n"/>
      <c r="O313" s="35" t="n"/>
      <c r="P313" s="35" t="n"/>
      <c r="Q313" s="35" t="n"/>
      <c r="R313" s="35" t="n"/>
      <c r="S313" s="35" t="n"/>
      <c r="T313" s="35" t="n"/>
      <c r="U313" s="35" t="inlineStr">
        <is>
          <t>Not Started</t>
        </is>
      </c>
      <c r="V313" s="37">
        <f>IF(U313="Not Started",0%,IF(U313="Started",50%,IF(U313="Ready for review",70%,IF(U313="Reviewed - Content",80%,IF(U313="Reviewed - Format",90%,IF(U313="Done",100%,""))))))</f>
        <v/>
      </c>
      <c r="W313" t="inlineStr">
        <is>
          <t>2026-07-07</t>
        </is>
      </c>
      <c r="X313" t="inlineStr">
        <is>
          <t>Cursor / tender-response (batch)</t>
        </is>
      </c>
      <c r="Y313" t="inlineStr">
        <is>
          <t>Clarify</t>
        </is>
      </c>
      <c r="Z313" t="inlineStr">
        <is>
          <t>Verified</t>
        </is>
      </c>
      <c r="AA313" t="inlineStr">
        <is>
          <t>Verify: Sikkerhedsgodkendelse — kræver produkt-/team-afklaring (ingen tool-rating).</t>
        </is>
      </c>
      <c r="AB313" t="inlineStr"/>
      <c r="AC313" t="inlineStr">
        <is>
          <t>docs/tender-reference/extracted/KUM-SLKS/Bilag 10 - Producentens standardvilkår.txt; docs/tender-reference/extracted/Nationalbanken/Bilag 3.i Leverandørens Løsningsbeskrivelse.txt; docs/tender-reference/extracted/KK Tender tool.txt</t>
        </is>
      </c>
      <c r="AD313" t="inlineStr">
        <is>
          <t>Cristina: Udfyld tool-rating (O) og evidens; gennemgå AI-kladde.</t>
        </is>
      </c>
      <c r="AE313" t="inlineStr"/>
      <c r="AF313" t="inlineStr">
        <is>
          <t>Draft</t>
        </is>
      </c>
      <c r="AG313" t="inlineStr">
        <is>
          <t>uim-esdh-full-2026-07-07</t>
        </is>
      </c>
    </row>
    <row r="314" ht="368" customHeight="1">
      <c r="A314" s="35" t="n">
        <v>313</v>
      </c>
      <c r="B314" s="3" t="inlineStr">
        <is>
          <t>B1.G-3</t>
        </is>
      </c>
      <c r="C314" s="3" t="inlineStr">
        <is>
          <t>Bilag 1.g Samarbejde under Leveringskontrakten</t>
        </is>
      </c>
      <c r="D314" s="3" t="inlineStr">
        <is>
          <t>3.1</t>
        </is>
      </c>
      <c r="E314" s="3" t="inlineStr">
        <is>
          <t>Styregruppe</t>
        </is>
      </c>
      <c r="F314" s="35" t="inlineStr">
        <is>
          <t>Styregruppe Styregruppen er Kunden og Leverandørens øverste styringsorgan, og har ansvar for den overordnede ledelse og beslutningstagning i implementeringsfasen. Da Kunden opererer efter et multi-leverandør setup, vil implementeringsfasens styregruppe bestå af Kunden, Leverandøren samt andre relevante leverandører, der har betydning for og indflydelse på Kundens ESDH-implementering. Organiseringen af projektet kan se i nedenstående organisationsdiagram. 2 Figur 1 - Organisationsdiagram Styregruppen etableres på opstartsmøde. Styregruppens ansvarsområde/opgave er: • • • • • • • • • Løbende opfølgning på fremdrift og tidsplan Godkende opfyldelse af aftalte milepæle i implementeringsfasen Efterlevelse af Leveringskontrakten og opfølgning på Leverandørens leverancer Afklaring af forhold hos Kunden som måtte forhindre eller forsinke Leverandørens leverancer Godkende ændringslog og større ændringsønsker til Leveringskontrakten Være eskalationspunkt for såvel Leverandørens som Kundens projektleder Afklaring af tvister af enhver art Samarbejde på tværs af multi-leverandør setup, herunder afklaring af tvister og håndtering af udfordringer Godkende Overtagelsesprøve, afrapportering af Overtagelsesprøve samt Driftsprøve og afrapportering heraf Møder i styregruppen afholdes som udgangspunkt hos Kunden. Det forventes at styregruppen afholder møde hver 14. Dag gennem hele implementeringsfasen. Kunden og Leverandøren kan aftale hyppigere mødeaktivitet efter behov.</t>
        </is>
      </c>
      <c r="G314" s="3" t="inlineStr">
        <is>
          <t>Mindstekrav</t>
        </is>
      </c>
      <c r="H314" s="35">
        <f>IF(G314="Evalueringskrav","Answer",(IF(G314="Krav","Check",(IF(G314="Mindstekrav","Verify","")))))</f>
        <v/>
      </c>
      <c r="I314" s="35" t="inlineStr">
        <is>
          <t>Nej</t>
        </is>
      </c>
      <c r="J314" s="35" t="n"/>
      <c r="K314" s="47" t="n"/>
      <c r="L314" s="35" t="inlineStr">
        <is>
          <t>Cristina</t>
        </is>
      </c>
      <c r="M314" s="35" t="n"/>
      <c r="N314" s="35" t="n"/>
      <c r="O314" s="35" t="n"/>
      <c r="P314" s="35" t="n"/>
      <c r="Q314" s="35" t="n"/>
      <c r="R314" s="35" t="n"/>
      <c r="S314" s="35" t="n"/>
      <c r="T314" s="35" t="n"/>
      <c r="U314" s="35" t="inlineStr">
        <is>
          <t>Not Started</t>
        </is>
      </c>
      <c r="V314" s="37">
        <f>IF(U314="Not Started",0%,IF(U314="Started",50%,IF(U314="Ready for review",70%,IF(U314="Reviewed - Content",80%,IF(U314="Reviewed - Format",90%,IF(U314="Done",100%,""))))))</f>
        <v/>
      </c>
      <c r="W314" t="inlineStr">
        <is>
          <t>2026-07-07</t>
        </is>
      </c>
      <c r="X314" t="inlineStr">
        <is>
          <t>Cursor / tender-response (batch)</t>
        </is>
      </c>
      <c r="Y314" t="inlineStr">
        <is>
          <t>Clarify</t>
        </is>
      </c>
      <c r="Z314" t="inlineStr">
        <is>
          <t>Verified</t>
        </is>
      </c>
      <c r="AA314" t="inlineStr">
        <is>
          <t>Verify: Styregruppe — kræver produkt-/team-afklaring (ingen tool-rating).</t>
        </is>
      </c>
      <c r="AB314" t="inlineStr"/>
      <c r="AC314" t="inlineStr">
        <is>
          <t>docs/tender-reference/extracted/NND/02.01-Tieto-Bilag 2-Vedlegg-Leverandørens utfyllende svar til kravtabell.txt; docs/tender-reference/extracted/HSØ/02.00-Tietoevry-SSA-L-Bilag 2-Leverandørens beskrivelse av Tjenesten.txt; docs/tender-reference/extracted/KK Tender tool.txt</t>
        </is>
      </c>
      <c r="AD314" t="inlineStr">
        <is>
          <t>Cristina: Udfyld tool-rating (O) og evidens; gennemgå AI-kladde.</t>
        </is>
      </c>
      <c r="AE314" t="inlineStr"/>
      <c r="AF314" t="inlineStr">
        <is>
          <t>Draft</t>
        </is>
      </c>
      <c r="AG314" t="inlineStr">
        <is>
          <t>uim-esdh-full-2026-07-07</t>
        </is>
      </c>
    </row>
    <row r="315" ht="96" customHeight="1">
      <c r="A315" s="35" t="n">
        <v>314</v>
      </c>
      <c r="B315" s="3" t="inlineStr">
        <is>
          <t>B1.G-4</t>
        </is>
      </c>
      <c r="C315" s="3" t="inlineStr">
        <is>
          <t>Bilag 1.g Samarbejde under Leveringskontrakten</t>
        </is>
      </c>
      <c r="D315" s="3" t="inlineStr">
        <is>
          <t>3.2</t>
        </is>
      </c>
      <c r="E315" s="3" t="inlineStr">
        <is>
          <t>Sammensætning</t>
        </is>
      </c>
      <c r="F315" s="35" t="inlineStr">
        <is>
          <t>Sammensætning Kunden skal være repræsenteret i Styregruppen med 4 repræsentanter, herunder styregruppeformanden. Leverandøren skal være repræsenteret i Styregruppen med den leveranceansvarlige og Leverandørens projektleder. I Styregruppen vil der også indgå repræsentanter fra Kundens øvrige leverandører, der har indflydelse på Kundens ESDH-implementering. 3</t>
        </is>
      </c>
      <c r="G315" s="3" t="inlineStr">
        <is>
          <t>Mindstekrav</t>
        </is>
      </c>
      <c r="H315" s="35">
        <f>IF(G315="Evalueringskrav","Answer",(IF(G315="Krav","Check",(IF(G315="Mindstekrav","Verify","")))))</f>
        <v/>
      </c>
      <c r="I315" s="35" t="inlineStr">
        <is>
          <t>Nej</t>
        </is>
      </c>
      <c r="J315" s="35" t="n"/>
      <c r="K315" s="47" t="n"/>
      <c r="L315" s="35" t="inlineStr">
        <is>
          <t>Cristina</t>
        </is>
      </c>
      <c r="M315" s="35" t="n"/>
      <c r="N315" s="35" t="n"/>
      <c r="O315" s="35" t="n"/>
      <c r="P315" s="35" t="n"/>
      <c r="Q315" s="35" t="n"/>
      <c r="R315" s="35" t="n"/>
      <c r="S315" s="35" t="n"/>
      <c r="T315" s="35" t="n"/>
      <c r="U315" s="35" t="inlineStr">
        <is>
          <t>Not Started</t>
        </is>
      </c>
      <c r="V315" s="37">
        <f>IF(U315="Not Started",0%,IF(U315="Started",50%,IF(U315="Ready for review",70%,IF(U315="Reviewed - Content",80%,IF(U315="Reviewed - Format",90%,IF(U315="Done",100%,""))))))</f>
        <v/>
      </c>
      <c r="W315" t="inlineStr">
        <is>
          <t>2026-07-07</t>
        </is>
      </c>
      <c r="X315" t="inlineStr">
        <is>
          <t>Cursor / tender-response (batch)</t>
        </is>
      </c>
      <c r="Y315" t="inlineStr">
        <is>
          <t>Clarify</t>
        </is>
      </c>
      <c r="Z315" t="inlineStr">
        <is>
          <t>Verified</t>
        </is>
      </c>
      <c r="AA315" t="inlineStr">
        <is>
          <t>Verify: Sammensætning — kræver produkt-/team-afklaring (ingen tool-rating).</t>
        </is>
      </c>
      <c r="AB315" t="inlineStr"/>
      <c r="AC315" t="inlineStr">
        <is>
          <t>docs/tender-reference/extracted/KK Tender tool.txt; docs/tender-reference/extracted/Nationalbanken/Bilag 1.i Leverandørens Løsningsbeskrivelse.txt; docs/tender-reference/extracted/Nationalbanken/Bilag 3.i Leverandørens Løsningsbeskrivelse.txt</t>
        </is>
      </c>
      <c r="AD315" t="inlineStr">
        <is>
          <t>Cristina: Udfyld tool-rating (O) og evidens; gennemgå AI-kladde.</t>
        </is>
      </c>
      <c r="AE315" t="inlineStr"/>
      <c r="AF315" t="inlineStr">
        <is>
          <t>Draft</t>
        </is>
      </c>
      <c r="AG315" t="inlineStr">
        <is>
          <t>uim-esdh-full-2026-07-07</t>
        </is>
      </c>
    </row>
    <row r="316" ht="112" customHeight="1">
      <c r="A316" s="35" t="n">
        <v>315</v>
      </c>
      <c r="B316" s="3" t="inlineStr">
        <is>
          <t>B1.G-5</t>
        </is>
      </c>
      <c r="C316" s="3" t="inlineStr">
        <is>
          <t>Bilag 1.g Samarbejde under Leveringskontrakten</t>
        </is>
      </c>
      <c r="D316" s="3" t="inlineStr">
        <is>
          <t>3.3</t>
        </is>
      </c>
      <c r="E316" s="3" t="inlineStr">
        <is>
          <t>Udskiftning</t>
        </is>
      </c>
      <c r="F316" s="35" t="inlineStr">
        <is>
          <t>Udskiftning Parterne kan udskifte deres respektive repræsentanter i Styregruppen. Dog skal mindst én af Leverandørens repræsentanter som udgangspunkt forblive fast medlem i hele implementeringsfasen. Leverandøren skal skriftligt underrette styregruppeformanden om enhver udskiftning af et medlem. Underretningen skal indeholde navn på det udtrædende og det nye medlem. Parterne kan efter behov midlertidigt udvide deltagerkredsen til enkelte møder.</t>
        </is>
      </c>
      <c r="G316" s="3" t="inlineStr">
        <is>
          <t>Mindstekrav</t>
        </is>
      </c>
      <c r="H316" s="35">
        <f>IF(G316="Evalueringskrav","Answer",(IF(G316="Krav","Check",(IF(G316="Mindstekrav","Verify","")))))</f>
        <v/>
      </c>
      <c r="I316" s="35" t="inlineStr">
        <is>
          <t>Nej</t>
        </is>
      </c>
      <c r="J316" s="35" t="n"/>
      <c r="K316" s="47" t="n"/>
      <c r="L316" s="35" t="inlineStr">
        <is>
          <t>Cristina</t>
        </is>
      </c>
      <c r="M316" s="35" t="n"/>
      <c r="N316" s="35" t="n"/>
      <c r="O316" s="35" t="n"/>
      <c r="P316" s="35" t="n"/>
      <c r="Q316" s="35" t="n"/>
      <c r="R316" s="35" t="n"/>
      <c r="S316" s="35" t="n"/>
      <c r="T316" s="35" t="n"/>
      <c r="U316" s="35" t="inlineStr">
        <is>
          <t>Not Started</t>
        </is>
      </c>
      <c r="V316" s="37">
        <f>IF(U316="Not Started",0%,IF(U316="Started",50%,IF(U316="Ready for review",70%,IF(U316="Reviewed - Content",80%,IF(U316="Reviewed - Format",90%,IF(U316="Done",100%,""))))))</f>
        <v/>
      </c>
      <c r="W316" t="inlineStr">
        <is>
          <t>2026-07-07</t>
        </is>
      </c>
      <c r="X316" t="inlineStr">
        <is>
          <t>Cursor / tender-response (batch)</t>
        </is>
      </c>
      <c r="Y316" t="inlineStr">
        <is>
          <t>Clarify</t>
        </is>
      </c>
      <c r="Z316" t="inlineStr">
        <is>
          <t>Verified</t>
        </is>
      </c>
      <c r="AA316" t="inlineStr">
        <is>
          <t>Verify: Udskiftning — kræver produkt-/team-afklaring (ingen tool-rating).</t>
        </is>
      </c>
      <c r="AB316" t="inlineStr"/>
      <c r="AC316" t="inlineStr">
        <is>
          <t>docs/tender-reference/extracted/KK Tender tool.txt; docs/tender-reference/extracted/Nationalbanken/Bilag 3.i Leverandørens Løsningsbeskrivelse.txt; docs/tender-reference/extracted/KUM-SLKS/Bilag 1 - Tidsplan.txt</t>
        </is>
      </c>
      <c r="AD316" t="inlineStr">
        <is>
          <t>Cristina: Udfyld tool-rating (O) og evidens; gennemgå AI-kladde.</t>
        </is>
      </c>
      <c r="AE316" t="inlineStr"/>
      <c r="AF316" t="inlineStr">
        <is>
          <t>Draft</t>
        </is>
      </c>
      <c r="AG316" t="inlineStr">
        <is>
          <t>uim-esdh-full-2026-07-07</t>
        </is>
      </c>
    </row>
    <row r="317" ht="96" customHeight="1">
      <c r="A317" s="35" t="n">
        <v>316</v>
      </c>
      <c r="B317" s="3" t="inlineStr">
        <is>
          <t>B1.G-6</t>
        </is>
      </c>
      <c r="C317" s="3" t="inlineStr">
        <is>
          <t>Bilag 1.g Samarbejde under Leveringskontrakten</t>
        </is>
      </c>
      <c r="D317" s="3" t="inlineStr">
        <is>
          <t>3.4</t>
        </is>
      </c>
      <c r="E317" s="3" t="inlineStr">
        <is>
          <t>Referat af styregruppemøder</t>
        </is>
      </c>
      <c r="F317" s="35" t="inlineStr">
        <is>
          <t>Referat af styregruppemøder Kunden udarbejder referat fra styregruppemøder og sender det til Leverandøren senest 5 Arbejdsdage efter mødet. Referatet skal indeholde en beslutningslog. Leverandøren sender eventuelle kommentarer til Kunden senest 5 Arbejdsdage efter modtagelsen. Hvis Kunden ikke modtager kommentarer inden fristen, betragtes referatet som godkendt.</t>
        </is>
      </c>
      <c r="G317" s="3" t="inlineStr">
        <is>
          <t>Mindstekrav</t>
        </is>
      </c>
      <c r="H317" s="35">
        <f>IF(G317="Evalueringskrav","Answer",(IF(G317="Krav","Check",(IF(G317="Mindstekrav","Verify","")))))</f>
        <v/>
      </c>
      <c r="I317" s="35" t="inlineStr">
        <is>
          <t>Nej</t>
        </is>
      </c>
      <c r="J317" s="35" t="n"/>
      <c r="K317" s="47" t="n"/>
      <c r="L317" s="35" t="inlineStr">
        <is>
          <t>Cristina</t>
        </is>
      </c>
      <c r="M317" s="35" t="n"/>
      <c r="N317" s="35" t="n"/>
      <c r="O317" s="35" t="n"/>
      <c r="P317" s="35" t="n"/>
      <c r="Q317" s="35" t="n"/>
      <c r="R317" s="35" t="n"/>
      <c r="S317" s="35" t="n"/>
      <c r="T317" s="35" t="n"/>
      <c r="U317" s="35" t="inlineStr">
        <is>
          <t>Not Started</t>
        </is>
      </c>
      <c r="V317" s="37">
        <f>IF(U317="Not Started",0%,IF(U317="Started",50%,IF(U317="Ready for review",70%,IF(U317="Reviewed - Content",80%,IF(U317="Reviewed - Format",90%,IF(U317="Done",100%,""))))))</f>
        <v/>
      </c>
      <c r="W317" t="inlineStr">
        <is>
          <t>2026-07-07</t>
        </is>
      </c>
      <c r="X317" t="inlineStr">
        <is>
          <t>Cursor / tender-response (batch)</t>
        </is>
      </c>
      <c r="Y317" t="inlineStr">
        <is>
          <t>Clarify</t>
        </is>
      </c>
      <c r="Z317" t="inlineStr">
        <is>
          <t>Verified</t>
        </is>
      </c>
      <c r="AA317" t="inlineStr">
        <is>
          <t>Verify: Referat af styregruppemøder — kræver produkt-/team-afklaring (ingen tool-rating).</t>
        </is>
      </c>
      <c r="AB317" t="inlineStr"/>
      <c r="AC317" t="inlineStr">
        <is>
          <t>docs/tender-reference/extracted/Nationalbanken/Bilag 3.i Leverandørens Løsningsbeskrivelse.txt; docs/tender-reference/extracted/KK Tender tool.txt; docs/tender-reference/extracted/KUM-SLKS/Bilag 3 - Kravspecifikation.txt</t>
        </is>
      </c>
      <c r="AD317" t="inlineStr">
        <is>
          <t>Cristina: Udfyld tool-rating (O) og evidens; gennemgå AI-kladde.</t>
        </is>
      </c>
      <c r="AE317" t="inlineStr"/>
      <c r="AF317" t="inlineStr">
        <is>
          <t>Draft</t>
        </is>
      </c>
      <c r="AG317" t="inlineStr">
        <is>
          <t>uim-esdh-full-2026-07-07</t>
        </is>
      </c>
    </row>
    <row r="318" ht="304" customHeight="1">
      <c r="A318" s="35" t="n">
        <v>317</v>
      </c>
      <c r="B318" s="3" t="inlineStr">
        <is>
          <t>B1.G-7</t>
        </is>
      </c>
      <c r="C318" s="3" t="inlineStr">
        <is>
          <t>Bilag 1.g Samarbejde under Leveringskontrakten</t>
        </is>
      </c>
      <c r="D318" s="3" t="inlineStr">
        <is>
          <t>3.5</t>
        </is>
      </c>
      <c r="E318" s="3" t="inlineStr">
        <is>
          <t>Projektledelse</t>
        </is>
      </c>
      <c r="F318" s="35" t="inlineStr">
        <is>
          <t>Projektledelse Kundens projektledelse varetager projektledelsen af Kundens samlede implementeringsprojekt. Kundens projektleder står sammen med Leverandørens projektleder for tilrettelæggelsen af aktiviteter i projektet, koordinering af tidsplaner, ændringsønsker mm. Kundens projektleder har følgende opgaver/ansvarsområder: • • • • • • Følge op på Leverandørens aktiviteter og leverancer i henhold til Leveringskontrakten. Følge op på Kundens medvirken i forhold til tidsplaner og aftalte forudsætninger. Sikre detaljeret planlægning, tilrettelæggelse og opfølgning på aktiviteter Risikostyring af projektets aktiviteter Udarbejdelse af statusrapporter m.m., så de er klargjort til styregruppemøde Samarbejde med Leverandørens projektleder Leverandørens projektleder har følgende opgaver/ansvarsområder: • • • • • Sikre detaljeret planlægning af Leverandørens leverancer i samarbejde med Kundens projektleder Opfølgning på Leverandørens igangværende aktiviteter Leverandørens ressourcer og leverancer Sikre håndtering af ændringsanmodninger Samarbejde med Kundens projektleder De 2 projektledere kan i fællesskab beslutte, om der skal anvendes ad hoc arbejdsgrupper med deltagere fra Leverandøren og Kunden.</t>
        </is>
      </c>
      <c r="G318" s="3" t="inlineStr">
        <is>
          <t>Mindstekrav</t>
        </is>
      </c>
      <c r="H318" s="35">
        <f>IF(G318="Evalueringskrav","Answer",(IF(G318="Krav","Check",(IF(G318="Mindstekrav","Verify","")))))</f>
        <v/>
      </c>
      <c r="I318" s="35" t="inlineStr">
        <is>
          <t>Nej</t>
        </is>
      </c>
      <c r="J318" s="35" t="n"/>
      <c r="K318" s="47" t="n"/>
      <c r="L318" s="35" t="inlineStr">
        <is>
          <t>Cristina</t>
        </is>
      </c>
      <c r="M318" s="35" t="n"/>
      <c r="N318" s="35" t="n"/>
      <c r="O318" s="35" t="n"/>
      <c r="P318" s="35" t="n"/>
      <c r="Q318" s="35" t="n"/>
      <c r="R318" s="35" t="n"/>
      <c r="S318" s="35" t="n"/>
      <c r="T318" s="35" t="n"/>
      <c r="U318" s="35" t="inlineStr">
        <is>
          <t>Not Started</t>
        </is>
      </c>
      <c r="V318" s="37">
        <f>IF(U318="Not Started",0%,IF(U318="Started",50%,IF(U318="Ready for review",70%,IF(U318="Reviewed - Content",80%,IF(U318="Reviewed - Format",90%,IF(U318="Done",100%,""))))))</f>
        <v/>
      </c>
      <c r="W318" t="inlineStr">
        <is>
          <t>2026-07-07</t>
        </is>
      </c>
      <c r="X318" t="inlineStr">
        <is>
          <t>Cursor / tender-response (batch)</t>
        </is>
      </c>
      <c r="Y318" t="inlineStr">
        <is>
          <t>Clarify</t>
        </is>
      </c>
      <c r="Z318" t="inlineStr">
        <is>
          <t>Verified</t>
        </is>
      </c>
      <c r="AA318" t="inlineStr">
        <is>
          <t>Verify: Projektledelse — kræver produkt-/team-afklaring (ingen tool-rating).</t>
        </is>
      </c>
      <c r="AB318" t="inlineStr"/>
      <c r="AC318" t="inlineStr">
        <is>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is>
      </c>
      <c r="AD318" t="inlineStr">
        <is>
          <t>Cristina: Udfyld tool-rating (O) og evidens; gennemgå AI-kladde.</t>
        </is>
      </c>
      <c r="AE318" t="inlineStr"/>
      <c r="AF318" t="inlineStr">
        <is>
          <t>Draft</t>
        </is>
      </c>
      <c r="AG318" t="inlineStr">
        <is>
          <t>uim-esdh-full-2026-07-07</t>
        </is>
      </c>
    </row>
    <row r="319" ht="96" customHeight="1">
      <c r="A319" s="35" t="n">
        <v>318</v>
      </c>
      <c r="B319" s="3" t="inlineStr">
        <is>
          <t>B1.G-8</t>
        </is>
      </c>
      <c r="C319" s="3" t="inlineStr">
        <is>
          <t>Bilag 1.g Samarbejde under Leveringskontrakten</t>
        </is>
      </c>
      <c r="D319" s="3" t="inlineStr">
        <is>
          <t>4.1</t>
        </is>
      </c>
      <c r="E319" s="3" t="inlineStr">
        <is>
          <t>Personer og roller</t>
        </is>
      </c>
      <c r="F319" s="35" t="inlineStr">
        <is>
          <t>Personer og roller Det daglige samarbejde i driftsfasen varetages af Kundens systemforvaltning, som har ansvaret for den daglige administration af ESDH-løsningen, og Leverandørens servicemanagement herunder Leverandørens kundeansvarlige, service delivery manager og Leverandørens team med ansvar for ESDH-løsningen.</t>
        </is>
      </c>
      <c r="G319" s="3" t="inlineStr">
        <is>
          <t>Mindstekrav</t>
        </is>
      </c>
      <c r="H319" s="35">
        <f>IF(G319="Evalueringskrav","Answer",(IF(G319="Krav","Check",(IF(G319="Mindstekrav","Verify","")))))</f>
        <v/>
      </c>
      <c r="I319" s="35" t="inlineStr">
        <is>
          <t>Nej</t>
        </is>
      </c>
      <c r="J319" s="35" t="n"/>
      <c r="K319" s="47" t="n"/>
      <c r="L319" s="35" t="inlineStr">
        <is>
          <t>Cristina</t>
        </is>
      </c>
      <c r="M319" s="35" t="n"/>
      <c r="N319" s="35" t="n"/>
      <c r="O319" s="35" t="n"/>
      <c r="P319" s="35" t="n"/>
      <c r="Q319" s="35" t="n"/>
      <c r="R319" s="35" t="n"/>
      <c r="S319" s="35" t="n"/>
      <c r="T319" s="35" t="n"/>
      <c r="U319" s="35" t="inlineStr">
        <is>
          <t>Not Started</t>
        </is>
      </c>
      <c r="V319" s="37">
        <f>IF(U319="Not Started",0%,IF(U319="Started",50%,IF(U319="Ready for review",70%,IF(U319="Reviewed - Content",80%,IF(U319="Reviewed - Format",90%,IF(U319="Done",100%,""))))))</f>
        <v/>
      </c>
      <c r="W319" t="inlineStr">
        <is>
          <t>2026-07-07</t>
        </is>
      </c>
      <c r="X319" t="inlineStr">
        <is>
          <t>Cursor / tender-response (batch)</t>
        </is>
      </c>
      <c r="Y319" t="inlineStr">
        <is>
          <t>Clarify</t>
        </is>
      </c>
      <c r="Z319" t="inlineStr">
        <is>
          <t>Verified</t>
        </is>
      </c>
      <c r="AA319" t="inlineStr">
        <is>
          <t>Verify: Personer og roller — kræver produkt-/team-afklaring (ingen tool-rating).</t>
        </is>
      </c>
      <c r="AB319" t="inlineStr"/>
      <c r="AC319" t="inlineStr">
        <is>
          <t>docs/tender-reference/extracted/NND/02.01-Tieto-Bilag 2-Vedlegg-Leverandørens utfyllende svar til kravtabell.txt; docs/tender-reference/extracted/Nationalbanken/Bilag 1.i Leverandørens Løsningsbeskrivelse.txt; docs/tender-reference/extracted/Nationalbanken/Bilag 3.i Leverandørens Løsningsbeskrivelse.txt</t>
        </is>
      </c>
      <c r="AD319" t="inlineStr">
        <is>
          <t>Cristina: Udfyld tool-rating (O) og evidens; gennemgå AI-kladde.</t>
        </is>
      </c>
      <c r="AE319" t="inlineStr"/>
      <c r="AF319" t="inlineStr">
        <is>
          <t>Draft</t>
        </is>
      </c>
      <c r="AG319" t="inlineStr">
        <is>
          <t>uim-esdh-full-2026-07-07</t>
        </is>
      </c>
    </row>
    <row r="320" ht="64" customHeight="1">
      <c r="A320" s="35" t="n">
        <v>319</v>
      </c>
      <c r="B320" s="3" t="inlineStr">
        <is>
          <t>B1.G-9</t>
        </is>
      </c>
      <c r="C320" s="3" t="inlineStr">
        <is>
          <t>Bilag 1.g Samarbejde under Leveringskontrakten</t>
        </is>
      </c>
      <c r="D320" s="3" t="inlineStr">
        <is>
          <t>4.2</t>
        </is>
      </c>
      <c r="E320" s="3" t="inlineStr">
        <is>
          <t>Centrale roller ved Kunden</t>
        </is>
      </c>
      <c r="F320" s="35" t="inlineStr">
        <is>
          <t>Centrale roller ved Kunden Som leveringskontraktholder er Kunden ansvarlig for: • • Eskalation i forbindelse med incident-håndtering og i forbindelse med håndtering af tvister, juridiske og/eller kommercielle. Afregning med Leverandøren.</t>
        </is>
      </c>
      <c r="G320" s="3" t="inlineStr">
        <is>
          <t>Mindstekrav</t>
        </is>
      </c>
      <c r="H320" s="35">
        <f>IF(G320="Evalueringskrav","Answer",(IF(G320="Krav","Check",(IF(G320="Mindstekrav","Verify","")))))</f>
        <v/>
      </c>
      <c r="I320" s="35" t="inlineStr">
        <is>
          <t>Nej</t>
        </is>
      </c>
      <c r="J320" s="35" t="n"/>
      <c r="K320" s="47" t="n"/>
      <c r="L320" s="35" t="inlineStr">
        <is>
          <t>Cristina</t>
        </is>
      </c>
      <c r="M320" s="35" t="n"/>
      <c r="N320" s="35" t="n"/>
      <c r="O320" s="35" t="n"/>
      <c r="P320" s="35" t="n"/>
      <c r="Q320" s="35" t="n"/>
      <c r="R320" s="35" t="n"/>
      <c r="S320" s="35" t="n"/>
      <c r="T320" s="35" t="n"/>
      <c r="U320" s="35" t="inlineStr">
        <is>
          <t>Not Started</t>
        </is>
      </c>
      <c r="V320" s="37">
        <f>IF(U320="Not Started",0%,IF(U320="Started",50%,IF(U320="Ready for review",70%,IF(U320="Reviewed - Content",80%,IF(U320="Reviewed - Format",90%,IF(U320="Done",100%,""))))))</f>
        <v/>
      </c>
      <c r="W320" t="inlineStr">
        <is>
          <t>2026-07-07</t>
        </is>
      </c>
      <c r="X320" t="inlineStr">
        <is>
          <t>Cursor / tender-response (batch)</t>
        </is>
      </c>
      <c r="Y320" t="inlineStr">
        <is>
          <t>Clarify</t>
        </is>
      </c>
      <c r="Z320" t="inlineStr">
        <is>
          <t>Verified</t>
        </is>
      </c>
      <c r="AA320" t="inlineStr">
        <is>
          <t>Verify: Centrale roller ved Kunden — kræver produkt-/team-afklaring (ingen tool-rating).</t>
        </is>
      </c>
      <c r="AB320" t="inlineStr"/>
      <c r="AC320" t="inlineStr">
        <is>
          <t>docs/tender-reference/extracted/Nationalbanken/Bilag 3.i Leverandørens Løsningsbeskrivelse.txt; docs/product/RFP_Leverandørens_svar_utdrag.txt; docs/tender-reference/extracted/HSØ/02.00-Tietoevry-SSA-L-Bilag 2-Leverandørens beskrivelse av Tjenesten.txt</t>
        </is>
      </c>
      <c r="AD320" t="inlineStr">
        <is>
          <t>Cristina: Udfyld tool-rating (O) og evidens; gennemgå AI-kladde.</t>
        </is>
      </c>
      <c r="AE320" t="inlineStr"/>
      <c r="AF320" t="inlineStr">
        <is>
          <t>Draft</t>
        </is>
      </c>
      <c r="AG320" t="inlineStr">
        <is>
          <t>uim-esdh-full-2026-07-07</t>
        </is>
      </c>
    </row>
    <row r="321" ht="112" customHeight="1">
      <c r="A321" s="35" t="n">
        <v>319</v>
      </c>
      <c r="B321" s="3" t="inlineStr">
        <is>
          <t>B1.G-10</t>
        </is>
      </c>
      <c r="C321" s="3" t="inlineStr">
        <is>
          <t>Bilag 1.g Samarbejde under Leveringskontrakten</t>
        </is>
      </c>
      <c r="D321" s="3" t="inlineStr">
        <is>
          <t>4.2.1</t>
        </is>
      </c>
      <c r="E321" s="3" t="inlineStr">
        <is>
          <t>Leveringskontraktansvarlig hos Kunden</t>
        </is>
      </c>
      <c r="F321" s="35" t="inlineStr">
        <is>
          <t>Leveringskontraktansvarlig hos Kunden Den leveringskontraktansvarlige repræsenterer Kundens ledelse. Opgaver og ansvar: • • • Kompetence til at træffe bindende beslutninger i forhold til Leveringskontrakten – også af kommerciel karakter. Sikre overholdelse af Leveringskontrakt både før og efter implementering, herunder afklare Leveringskontraktuelle spørgsmål i relation til Leveringskontrakten. Kvalitetssikre udformning af ændringer til Leveringskontrakten.</t>
        </is>
      </c>
      <c r="G321" s="3" t="inlineStr">
        <is>
          <t>Mindstekrav</t>
        </is>
      </c>
      <c r="H321" s="35">
        <f>IF(G321="Evalueringskrav","Answer",(IF(G321="Krav","Check",(IF(G321="Mindstekrav","Verify","")))))</f>
        <v/>
      </c>
      <c r="I321" s="35" t="inlineStr">
        <is>
          <t>Nej</t>
        </is>
      </c>
      <c r="J321" s="35" t="n"/>
      <c r="K321" s="47" t="n"/>
      <c r="L321" s="35" t="inlineStr">
        <is>
          <t>Cristina</t>
        </is>
      </c>
      <c r="M321" s="35" t="n"/>
      <c r="N321" s="35" t="n"/>
      <c r="O321" s="35" t="n"/>
      <c r="P321" s="35" t="n"/>
      <c r="Q321" s="35" t="n"/>
      <c r="R321" s="35" t="n"/>
      <c r="S321" s="35" t="n"/>
      <c r="T321" s="35" t="n"/>
      <c r="U321" s="35" t="inlineStr">
        <is>
          <t>Not Started</t>
        </is>
      </c>
      <c r="V321" s="37">
        <f>IF(U321="Not Started",0%,IF(U321="Started",50%,IF(U321="Ready for review",70%,IF(U321="Reviewed - Content",80%,IF(U321="Reviewed - Format",90%,IF(U321="Done",100%,""))))))</f>
        <v/>
      </c>
      <c r="W321" t="inlineStr">
        <is>
          <t>2026-07-07</t>
        </is>
      </c>
      <c r="X321" t="inlineStr">
        <is>
          <t>Cursor / tender-response (batch)</t>
        </is>
      </c>
      <c r="Y321" t="inlineStr">
        <is>
          <t>Clarify</t>
        </is>
      </c>
      <c r="Z321" t="inlineStr">
        <is>
          <t>Verified</t>
        </is>
      </c>
      <c r="AA321" t="inlineStr">
        <is>
          <t>Verify: Leveringskontraktansvarlig hos Kunden — kræver produkt-/team-afklaring (ingen tool-rating).</t>
        </is>
      </c>
      <c r="AB321" t="inlineStr"/>
      <c r="AC321" t="inlineStr">
        <is>
          <t>docs/tender-reference/extracted/Nationalbanken/Bilag 3.i Leverandørens Løsningsbeskrivelse.txt; docs/tender-reference/extracted/Nationalbanken/Bilag 1.i Leverandørens Løsningsbeskrivelse.txt; docs/tender-reference/extracted/KK Tender tool.txt</t>
        </is>
      </c>
      <c r="AD321" t="inlineStr">
        <is>
          <t>Cristina: Udfyld tool-rating (O) og evidens; gennemgå AI-kladde.</t>
        </is>
      </c>
      <c r="AE321" t="inlineStr"/>
      <c r="AF321" t="inlineStr">
        <is>
          <t>Draft</t>
        </is>
      </c>
      <c r="AG321" t="inlineStr">
        <is>
          <t>uim-esdh-full-2026-07-07</t>
        </is>
      </c>
    </row>
    <row r="322" ht="368" customHeight="1">
      <c r="A322" s="35" t="n">
        <v>319</v>
      </c>
      <c r="B322" s="3" t="inlineStr">
        <is>
          <t>B1.G-11</t>
        </is>
      </c>
      <c r="C322" s="3" t="inlineStr">
        <is>
          <t>Bilag 1.g Samarbejde under Leveringskontrakten</t>
        </is>
      </c>
      <c r="D322" s="3" t="inlineStr">
        <is>
          <t>4.2.2</t>
        </is>
      </c>
      <c r="E322" s="3" t="inlineStr">
        <is>
          <t>Systemforvalter</t>
        </is>
      </c>
      <c r="F322" s="35" t="inlineStr">
        <is>
          <t>Systemforvalter Systemforvalter er, efter implementering af ESDH-løsningen, Kundens kontakt til Leverandøren, og har således ansvaret for opfølgning på Leverandørens leverancer og for fakturering vedr. disse. Systemforvalter er tillige Kundens ESDH-Administrator, og er ansvarlig for den løbende forvaltning af ESDH-løsningen hos Kunden. Kundens systemforvaltning er ligeledes eskalationspunktet for Kundens Administratorer og Brugere ved fejl eller udfordringer med ESDH-løsningen. Opgaver og ansvar: • • • • • • • Beskrivelse og klargøring af potentielle ændringsanmodninger, herunder ajourføring af ændringslog. Leveringskontraktopdatering ift. ændringsanmodninger (denne opgave kan videredelegeres internt ved Kunden) Opfølgning på incidents og Service request rekvireret af Kunden hos Leverandøren Rekvirerer og kvalitetssikrer drifts- og systemdokumentation, som Leverandøren er forpligtet til at levere og vedligeholde. Rekvirerer opsætningen af leverandørens Standardintegrationer, som Leverandøren er forpligtet til at levere og vedligeholde. Kommunikation til Kundens ambassadører og slutbrugere, fx information om planlagt nedetid, ændringer i opsætning og ny funktionalitet. Medvirken i fejlfinding og opfølgning på supportsager, der er initieret af Kunden eller Leverandøren. 5 • • • Bestilling af ad hoc projekter hos Leverandøren, samt godkendelse af Leverandørens løsningsbeskrivelse i relation til disse. Opfølgning på overholdelse af Leveringskontraktens servicemål og øvrige krav Modtager og håndterer faktura</t>
        </is>
      </c>
      <c r="G322" s="3" t="inlineStr">
        <is>
          <t>Mindstekrav</t>
        </is>
      </c>
      <c r="H322" s="35">
        <f>IF(G322="Evalueringskrav","Answer",(IF(G322="Krav","Check",(IF(G322="Mindstekrav","Verify","")))))</f>
        <v/>
      </c>
      <c r="I322" s="35" t="inlineStr">
        <is>
          <t>Nej</t>
        </is>
      </c>
      <c r="J322" s="35" t="n"/>
      <c r="K322" s="47" t="n"/>
      <c r="L322" s="35" t="inlineStr">
        <is>
          <t>Cristina</t>
        </is>
      </c>
      <c r="M322" s="35" t="n"/>
      <c r="N322" s="35" t="n"/>
      <c r="O322" s="35" t="n"/>
      <c r="P322" s="35" t="n"/>
      <c r="Q322" s="35" t="n"/>
      <c r="R322" s="35" t="n"/>
      <c r="S322" s="35" t="n"/>
      <c r="T322" s="35" t="n"/>
      <c r="U322" s="35" t="inlineStr">
        <is>
          <t>Not Started</t>
        </is>
      </c>
      <c r="V322" s="37">
        <f>IF(U322="Not Started",0%,IF(U322="Started",50%,IF(U322="Ready for review",70%,IF(U322="Reviewed - Content",80%,IF(U322="Reviewed - Format",90%,IF(U322="Done",100%,""))))))</f>
        <v/>
      </c>
      <c r="W322" t="inlineStr">
        <is>
          <t>2026-07-07</t>
        </is>
      </c>
      <c r="X322" t="inlineStr">
        <is>
          <t>Cursor / tender-response (batch)</t>
        </is>
      </c>
      <c r="Y322" t="inlineStr">
        <is>
          <t>Clarify</t>
        </is>
      </c>
      <c r="Z322" t="inlineStr">
        <is>
          <t>Verified</t>
        </is>
      </c>
      <c r="AA322" t="inlineStr">
        <is>
          <t>Verify: Systemforvalter — kræver produkt-/team-afklaring (ingen tool-rating).</t>
        </is>
      </c>
      <c r="AB322" t="inlineStr"/>
      <c r="AC322" t="inlineStr">
        <is>
          <t>docs/tender-reference/extracted/KK Tender tool.txt; docs/tender-reference/extracted/Nationalbanken/Bilag 3.i Leverandørens Løsningsbeskrivelse.txt; docs/product/RFP_Leverandørens_svar_utdrag.txt</t>
        </is>
      </c>
      <c r="AD322" t="inlineStr">
        <is>
          <t>Cristina: Udfyld tool-rating (O) og evidens; gennemgå AI-kladde.</t>
        </is>
      </c>
      <c r="AE322" t="inlineStr"/>
      <c r="AF322" t="inlineStr">
        <is>
          <t>Draft</t>
        </is>
      </c>
      <c r="AG322" t="inlineStr">
        <is>
          <t>uim-esdh-full-2026-07-07</t>
        </is>
      </c>
    </row>
    <row r="323" ht="224" customHeight="1">
      <c r="A323" s="35" t="n">
        <v>319</v>
      </c>
      <c r="B323" s="3" t="inlineStr">
        <is>
          <t>B1.G-13</t>
        </is>
      </c>
      <c r="C323" s="3" t="inlineStr">
        <is>
          <t>Bilag 1.g Samarbejde under Leveringskontrakten</t>
        </is>
      </c>
      <c r="D323" s="3" t="inlineStr">
        <is>
          <t>4.3.1</t>
        </is>
      </c>
      <c r="E323" s="3" t="inlineStr">
        <is>
          <t>Leveringskontraktansvarlige hos Leverandøren</t>
        </is>
      </c>
      <c r="F323" s="35" t="inlineStr">
        <is>
          <t>Leveringskontraktansvarlige hos Leverandøren Den leveringskontraktansvarlige repræsenterer Leverandørens ledelse og vedkommende skal sammen med Kundens leveringskontraktansvarlige sikre et smidigt samarbejde på alle niveauer. Opgaver og ansvar: • • • • • • Efterlevelse af Leveringskontrakten og opfølgning på Leverandørens Leverancer, herunder ansvarlig for løbende opfølgning (rapportering, servicemål mv.) Eskalationspunkt for Leverandørens Service Delivery Manager, jf. nedenstående. Kundens Systemforvalter er kontaktpunkt for den leveringskontraktansvarlige hos Kunden Kundens eskalationspunkt ved alle henvendelser, der handler om Leveringskontrakten Sikre leveranceorganisation med de rette kompetencer Deltager i samarbejdsorganisation. Kompetence til at træffe bindende beslutninger i forhold til Leveringskontrakten, også af kommerciel karakter.</t>
        </is>
      </c>
      <c r="G323" s="3" t="inlineStr">
        <is>
          <t>Mindstekrav</t>
        </is>
      </c>
      <c r="H323" s="35">
        <f>IF(G323="Evalueringskrav","Answer",(IF(G323="Krav","Check",(IF(G323="Mindstekrav","Verify","")))))</f>
        <v/>
      </c>
      <c r="I323" s="35" t="inlineStr">
        <is>
          <t>Nej</t>
        </is>
      </c>
      <c r="J323" s="35" t="n"/>
      <c r="K323" s="47" t="n"/>
      <c r="L323" s="35" t="inlineStr">
        <is>
          <t>Cristina</t>
        </is>
      </c>
      <c r="M323" s="35" t="n"/>
      <c r="N323" s="35" t="n"/>
      <c r="O323" s="35" t="n"/>
      <c r="P323" s="35" t="n"/>
      <c r="Q323" s="35" t="n"/>
      <c r="R323" s="35" t="n"/>
      <c r="S323" s="35" t="n"/>
      <c r="T323" s="35" t="n"/>
      <c r="U323" s="35" t="inlineStr">
        <is>
          <t>Not Started</t>
        </is>
      </c>
      <c r="V323" s="37">
        <f>IF(U323="Not Started",0%,IF(U323="Started",50%,IF(U323="Ready for review",70%,IF(U323="Reviewed - Content",80%,IF(U323="Reviewed - Format",90%,IF(U323="Done",100%,""))))))</f>
        <v/>
      </c>
      <c r="W323" t="inlineStr">
        <is>
          <t>2026-07-07</t>
        </is>
      </c>
      <c r="X323" t="inlineStr">
        <is>
          <t>Cursor / tender-response (batch)</t>
        </is>
      </c>
      <c r="Y323" t="inlineStr">
        <is>
          <t>Clarify</t>
        </is>
      </c>
      <c r="Z323" t="inlineStr">
        <is>
          <t>Verified</t>
        </is>
      </c>
      <c r="AA323" t="inlineStr">
        <is>
          <t>Verify: Leveringskontraktansvarlige hos Leverandøren — kræver produkt-/team-afklaring (ingen tool-rating).</t>
        </is>
      </c>
      <c r="AB323" t="inlineStr"/>
      <c r="AC323" t="inlineStr">
        <is>
          <t>docs/tender-reference/extracted/Nationalbanken/Bilag 3.i Leverandørens Løsningsbeskrivelse.txt; docs/tender-reference/extracted/KK Tender tool.txt; docs/tender-reference/extracted/KUM-SLKS/Bilag 3 - Kravspecifikation.txt</t>
        </is>
      </c>
      <c r="AD323" t="inlineStr">
        <is>
          <t>Cristina: Udfyld tool-rating (O) og evidens; gennemgå AI-kladde.</t>
        </is>
      </c>
      <c r="AE323" t="inlineStr"/>
      <c r="AF323" t="inlineStr">
        <is>
          <t>Draft</t>
        </is>
      </c>
      <c r="AG323" t="inlineStr">
        <is>
          <t>uim-esdh-full-2026-07-07</t>
        </is>
      </c>
    </row>
    <row r="324" ht="176" customHeight="1">
      <c r="A324" s="35" t="n">
        <v>319</v>
      </c>
      <c r="B324" s="3" t="inlineStr">
        <is>
          <t>B1.G-14</t>
        </is>
      </c>
      <c r="C324" s="3" t="inlineStr">
        <is>
          <t>Bilag 1.g Samarbejde under Leveringskontrakten</t>
        </is>
      </c>
      <c r="D324" s="3" t="inlineStr">
        <is>
          <t>4.3.2</t>
        </is>
      </c>
      <c r="E324" s="3" t="inlineStr">
        <is>
          <t>Service Delivery Manager</t>
        </is>
      </c>
      <c r="F324" s="35" t="inlineStr">
        <is>
          <t>Service Delivery Manager Service Delivery Manager er ansvarlig for det løbende samarbejde med Kunden, herunder samarbejdet med Kundens Systemforvalter. Opgaver og ansvar: • • • • • • Mødeafholdelse og -deltagelse i henhold til nærværende bilag samt efter behov. Service Delivery Manager varetager mødeledelsen efter afslutning af implementeringsfasen (medmindre andet er aftalt), og forestår mødebooking, udarbejdelse af dagsorden og udarbejdelse af referat. Løbende rapportering i medfør af Leveringskontrakten, herunder rapportering på servicemål. Kontaktpunkt for Kunden i forhold til fakturering Kontaktpunkt for Kunden ved behov for leveringskontraktændringer Deltager samarbejdsorganisation</t>
        </is>
      </c>
      <c r="G324" s="3" t="inlineStr">
        <is>
          <t>Mindstekrav</t>
        </is>
      </c>
      <c r="H324" s="35">
        <f>IF(G324="Evalueringskrav","Answer",(IF(G324="Krav","Check",(IF(G324="Mindstekrav","Verify","")))))</f>
        <v/>
      </c>
      <c r="I324" s="35" t="inlineStr">
        <is>
          <t>Nej</t>
        </is>
      </c>
      <c r="J324" s="35" t="n"/>
      <c r="K324" s="47" t="n"/>
      <c r="L324" s="35" t="inlineStr">
        <is>
          <t>Cristina</t>
        </is>
      </c>
      <c r="M324" s="35" t="n"/>
      <c r="N324" s="35" t="n"/>
      <c r="O324" s="35" t="n"/>
      <c r="P324" s="35" t="n"/>
      <c r="Q324" s="35" t="n"/>
      <c r="R324" s="35" t="n"/>
      <c r="S324" s="35" t="n"/>
      <c r="T324" s="35" t="n"/>
      <c r="U324" s="35" t="inlineStr">
        <is>
          <t>Not Started</t>
        </is>
      </c>
      <c r="V324" s="37">
        <f>IF(U324="Not Started",0%,IF(U324="Started",50%,IF(U324="Ready for review",70%,IF(U324="Reviewed - Content",80%,IF(U324="Reviewed - Format",90%,IF(U324="Done",100%,""))))))</f>
        <v/>
      </c>
      <c r="W324" t="inlineStr">
        <is>
          <t>2026-07-07</t>
        </is>
      </c>
      <c r="X324" t="inlineStr">
        <is>
          <t>Cursor / tender-response (batch)</t>
        </is>
      </c>
      <c r="Y324" t="inlineStr">
        <is>
          <t>Clarify</t>
        </is>
      </c>
      <c r="Z324" t="inlineStr">
        <is>
          <t>Verified</t>
        </is>
      </c>
      <c r="AA324" t="inlineStr">
        <is>
          <t>Verify: Service Delivery Manager — kræver produkt-/team-afklaring (ingen tool-rating).</t>
        </is>
      </c>
      <c r="AB324" t="inlineStr"/>
      <c r="AC324" t="inlineStr">
        <is>
          <t>docs/tender-reference/extracted/Nationalbanken/Bilag 3.i Leverandørens Løsningsbeskrivelse.txt; docs/tender-reference/extracted/Nationalbanken/Underbilag 6B - Testplan og Leverandørens prøveprincipper, metoder og -værktøjer (1).txt; docs/tender-reference/extracted/KK Tender tool.txt</t>
        </is>
      </c>
      <c r="AD324" t="inlineStr">
        <is>
          <t>Cristina: Udfyld tool-rating (O) og evidens; gennemgå AI-kladde.</t>
        </is>
      </c>
      <c r="AE324" t="inlineStr"/>
      <c r="AF324" t="inlineStr">
        <is>
          <t>Draft</t>
        </is>
      </c>
      <c r="AG324" t="inlineStr">
        <is>
          <t>uim-esdh-full-2026-07-07</t>
        </is>
      </c>
    </row>
    <row r="325" ht="64" customHeight="1">
      <c r="A325" s="35" t="n">
        <v>319</v>
      </c>
      <c r="B325" s="3" t="inlineStr">
        <is>
          <t>B1.G-15</t>
        </is>
      </c>
      <c r="C325" s="3" t="inlineStr">
        <is>
          <t>Bilag 1.g Samarbejde under Leveringskontrakten</t>
        </is>
      </c>
      <c r="D325" s="3" t="inlineStr">
        <is>
          <t>4.3.3</t>
        </is>
      </c>
      <c r="E325" s="3" t="inlineStr">
        <is>
          <t>Support organisation hos Leverandøren</t>
        </is>
      </c>
      <c r="F325" s="35" t="inlineStr">
        <is>
          <t>Support organisation hos Leverandøren Kunden understøttes af Leverandørens support organisation for henholdsvis applikationssupport og for driftssupport for Kunden jf. Bilag 1.h Servicemål.</t>
        </is>
      </c>
      <c r="G325" s="3" t="inlineStr">
        <is>
          <t>Mindstekrav</t>
        </is>
      </c>
      <c r="H325" s="35">
        <f>IF(G325="Evalueringskrav","Answer",(IF(G325="Krav","Check",(IF(G325="Mindstekrav","Verify","")))))</f>
        <v/>
      </c>
      <c r="I325" s="35" t="inlineStr">
        <is>
          <t>Nej</t>
        </is>
      </c>
      <c r="J325" s="35" t="n"/>
      <c r="K325" s="47" t="n"/>
      <c r="L325" s="35" t="inlineStr">
        <is>
          <t>Cristina</t>
        </is>
      </c>
      <c r="M325" s="35" t="n"/>
      <c r="N325" s="35" t="n"/>
      <c r="O325" s="35" t="n"/>
      <c r="P325" s="35" t="n"/>
      <c r="Q325" s="35" t="n"/>
      <c r="R325" s="35" t="n"/>
      <c r="S325" s="35" t="n"/>
      <c r="T325" s="35" t="n"/>
      <c r="U325" s="35" t="inlineStr">
        <is>
          <t>Not Started</t>
        </is>
      </c>
      <c r="V325" s="37">
        <f>IF(U325="Not Started",0%,IF(U325="Started",50%,IF(U325="Ready for review",70%,IF(U325="Reviewed - Content",80%,IF(U325="Reviewed - Format",90%,IF(U325="Done",100%,""))))))</f>
        <v/>
      </c>
      <c r="W325" t="inlineStr">
        <is>
          <t>2026-07-07</t>
        </is>
      </c>
      <c r="X325" t="inlineStr">
        <is>
          <t>Cursor / tender-response (batch)</t>
        </is>
      </c>
      <c r="Y325" t="inlineStr">
        <is>
          <t>Clarify</t>
        </is>
      </c>
      <c r="Z325" t="inlineStr">
        <is>
          <t>Verified</t>
        </is>
      </c>
      <c r="AA325" t="inlineStr">
        <is>
          <t>Verify: Support organisation hos Leverandøren — kræver produkt-/team-afklaring (ingen tool-rating).</t>
        </is>
      </c>
      <c r="AB325" t="inlineStr"/>
      <c r="AC325" t="inlineStr">
        <is>
          <t>docs/tender-reference/extracted/KK Tender tool.txt; docs/tender-reference/extracted/Nationalbanken/Bilag 3.i Leverandørens Løsningsbeskrivelse.txt; docs/product/RFP_Leverandørens_svar_utdrag.txt</t>
        </is>
      </c>
      <c r="AD325" t="inlineStr">
        <is>
          <t>Cristina: Udfyld tool-rating (O) og evidens; gennemgå AI-kladde.</t>
        </is>
      </c>
      <c r="AE325" t="inlineStr"/>
      <c r="AF325" t="inlineStr">
        <is>
          <t>Draft</t>
        </is>
      </c>
      <c r="AG325" t="inlineStr">
        <is>
          <t>uim-esdh-full-2026-07-07</t>
        </is>
      </c>
    </row>
    <row r="326" ht="64" customHeight="1">
      <c r="A326" s="35" t="n">
        <v>319</v>
      </c>
      <c r="B326" s="3" t="inlineStr">
        <is>
          <t>B1.G-16</t>
        </is>
      </c>
      <c r="C326" s="3" t="inlineStr">
        <is>
          <t>Bilag 1.g Samarbejde under Leveringskontrakten</t>
        </is>
      </c>
      <c r="D326" s="3" t="inlineStr">
        <is>
          <t>4.4</t>
        </is>
      </c>
      <c r="E326" s="3" t="inlineStr">
        <is>
          <t>Organisation og mødefora i driftsfasen</t>
        </is>
      </c>
      <c r="F326" s="35" t="inlineStr">
        <is>
          <t>Organisation og mødefora i driftsfasen I forbindelse med driftsfasen skal Leverandøren deltage i nedenstående mødefora og -sekvenser. 6 4.4.1 • • Møder i driftsfasen: ESDH styregruppemøder – kvartalsmøder eller efter behov ESDH driftsmøder – ugentlige møder eller efter behov</t>
        </is>
      </c>
      <c r="G326" s="3" t="inlineStr">
        <is>
          <t>Mindstekrav</t>
        </is>
      </c>
      <c r="H326" s="35">
        <f>IF(G326="Evalueringskrav","Answer",(IF(G326="Krav","Check",(IF(G326="Mindstekrav","Verify","")))))</f>
        <v/>
      </c>
      <c r="I326" s="35" t="inlineStr">
        <is>
          <t>Nej</t>
        </is>
      </c>
      <c r="J326" s="35" t="n"/>
      <c r="K326" s="47" t="n"/>
      <c r="L326" s="35" t="inlineStr">
        <is>
          <t>Cristina</t>
        </is>
      </c>
      <c r="M326" s="35" t="n"/>
      <c r="N326" s="35" t="n"/>
      <c r="O326" s="35" t="n"/>
      <c r="P326" s="35" t="n"/>
      <c r="Q326" s="35" t="n"/>
      <c r="R326" s="35" t="n"/>
      <c r="S326" s="35" t="n"/>
      <c r="T326" s="35" t="n"/>
      <c r="U326" s="35" t="inlineStr">
        <is>
          <t>Not Started</t>
        </is>
      </c>
      <c r="V326" s="37">
        <f>IF(U326="Not Started",0%,IF(U326="Started",50%,IF(U326="Ready for review",70%,IF(U326="Reviewed - Content",80%,IF(U326="Reviewed - Format",90%,IF(U326="Done",100%,""))))))</f>
        <v/>
      </c>
      <c r="W326" t="inlineStr">
        <is>
          <t>2026-07-07</t>
        </is>
      </c>
      <c r="X326" t="inlineStr">
        <is>
          <t>Cursor / tender-response (batch)</t>
        </is>
      </c>
      <c r="Y326" t="inlineStr">
        <is>
          <t>Clarify</t>
        </is>
      </c>
      <c r="Z326" t="inlineStr">
        <is>
          <t>Verified</t>
        </is>
      </c>
      <c r="AA326" t="inlineStr">
        <is>
          <t>Verify: Organisation og mødefora i driftsfasen — kræver produkt-/team-afklaring (ingen tool-rating).</t>
        </is>
      </c>
      <c r="AB326" t="inlineStr"/>
      <c r="AC326" t="inlineStr">
        <is>
          <t>docs/tender-reference/extracted/Nationalbanken/Bilag 6.i Implementeringsplan (Leverandørens løsningsbeskrivelse.txt; docs/tender-reference/extracted/KK Tender tool.txt; docs/tender-reference/extracted/KUM-SLKS/Bilag 1 - Tidsplan.txt</t>
        </is>
      </c>
      <c r="AD326" t="inlineStr">
        <is>
          <t>Cristina: Udfyld tool-rating (O) og evidens; gennemgå AI-kladde.</t>
        </is>
      </c>
      <c r="AE326" t="inlineStr"/>
      <c r="AF326" t="inlineStr">
        <is>
          <t>Draft</t>
        </is>
      </c>
      <c r="AG326" t="inlineStr">
        <is>
          <t>uim-esdh-full-2026-07-07</t>
        </is>
      </c>
    </row>
    <row r="327" ht="409.5" customHeight="1">
      <c r="A327" s="35" t="n">
        <v>319</v>
      </c>
      <c r="B327" s="3" t="inlineStr">
        <is>
          <t>B1.G-17</t>
        </is>
      </c>
      <c r="C327" s="3" t="inlineStr">
        <is>
          <t>Bilag 1.g Samarbejde under Leveringskontrakten</t>
        </is>
      </c>
      <c r="D327" s="3" t="inlineStr">
        <is>
          <t>4.4.2</t>
        </is>
      </c>
      <c r="E327" s="3" t="inlineStr">
        <is>
          <t>ESDH-styregruppe og møder under driftsfasen</t>
        </is>
      </c>
      <c r="F327" s="35" t="inlineStr">
        <is>
          <t>ESDH-styregruppe og møder under driftsfasen Kundens og Leverandøren opretter en ESDH-styregruppe, der består under driftsfasen og frem til Leveringskontraktens ophør. ESDH-styregruppen er det øverste organ i driftsfasen, og derfor skal denne bestå af beslutningsdygtige og tegningsberettigede medarbejdere, der er i stand til at træffe afgørende beslutninger på møderne indenfor følgende områder: Formål og ansvar: • • • • Godkendelse af større ændringsønsker til Leveringskontrakten. Ledelsesmæssig opfølgning på samarbejde. Behandling af leveringskontraktlige og kommercielle problematikker af generel karakter. Behandling af problematikker, der eskaleres fra ESDH driftsforum. Bemanding: • • • • Leverandørens leveringskontraktansvarlige. Leverandørens service delivery manager. Kundens leveringskontraktansvarlige. Kundens enhedschef for Kundens systemforvaltning. Mødefrekvens: • • • Kvartalsmøder eller efter behov. Mødedato fastlægges minimum 1 måned før mødet. Både Kunden og Leverandøren kan forlange et ekstraordinært Styregruppemøde afholdt med 5 Arbejdsdages varsel. Styregruppemøderne afholdes ved Kunden medmindre der træffes beslutning om andet. Øvrige forhold: • • • • • Leverandørens leveringskontraktansvarlige varetager formandskabet for styregruppen. Leverandøren udarbejder dagsorden for styregruppemøderne. Leverandøren er ansvarlig for indkaldelse til styregruppemøderne og for udsendelse af dagsorden til styregruppens medlemmer. Kunden har ret til at ændre styregruppens sammensætning og at udvide denne, hvis det vurderes hensigtsmæssigt. Dette skal ske i gensidig enighed med Leverandøren. Leverandøren udfærdiger beslutningsreferat. 7</t>
        </is>
      </c>
      <c r="G327" s="3" t="inlineStr">
        <is>
          <t>Mindstekrav</t>
        </is>
      </c>
      <c r="H327" s="35">
        <f>IF(G327="Evalueringskrav","Answer",(IF(G327="Krav","Check",(IF(G327="Mindstekrav","Verify","")))))</f>
        <v/>
      </c>
      <c r="I327" s="35" t="inlineStr">
        <is>
          <t>Nej</t>
        </is>
      </c>
      <c r="J327" s="35" t="n"/>
      <c r="K327" s="47" t="n"/>
      <c r="L327" s="35" t="inlineStr">
        <is>
          <t>Cristina</t>
        </is>
      </c>
      <c r="M327" s="35" t="n"/>
      <c r="N327" s="35" t="n"/>
      <c r="O327" s="35" t="n"/>
      <c r="P327" s="35" t="n"/>
      <c r="Q327" s="35" t="n"/>
      <c r="R327" s="35" t="n"/>
      <c r="S327" s="35" t="n"/>
      <c r="T327" s="35" t="n"/>
      <c r="U327" s="35" t="inlineStr">
        <is>
          <t>Not Started</t>
        </is>
      </c>
      <c r="V327" s="37">
        <f>IF(U327="Not Started",0%,IF(U327="Started",50%,IF(U327="Ready for review",70%,IF(U327="Reviewed - Content",80%,IF(U327="Reviewed - Format",90%,IF(U327="Done",100%,""))))))</f>
        <v/>
      </c>
      <c r="W327" t="inlineStr">
        <is>
          <t>2026-07-07</t>
        </is>
      </c>
      <c r="X327" t="inlineStr">
        <is>
          <t>Cursor / tender-response (batch)</t>
        </is>
      </c>
      <c r="Y327" t="inlineStr">
        <is>
          <t>Clarify</t>
        </is>
      </c>
      <c r="Z327" t="inlineStr">
        <is>
          <t>Verified</t>
        </is>
      </c>
      <c r="AA327" t="inlineStr">
        <is>
          <t>Verify: ESDH-styregruppe og møder under driftsfasen — kræver produkt-/team-afklaring (ingen tool-rating).</t>
        </is>
      </c>
      <c r="AB327" t="inlineStr"/>
      <c r="AC327" t="inlineStr">
        <is>
          <t>docs/tender-reference/extracted/Nationalbanken/Bilag 3.i Leverandørens Løsningsbeskrivelse.txt; docs/tender-reference/extracted/Nationalbanken/Bilag 1.i Leverandørens Løsningsbeskrivelse.txt; docs/tender-reference/extracted/KK Tender tool.txt</t>
        </is>
      </c>
      <c r="AD327" t="inlineStr">
        <is>
          <t>Cristina: Udfyld tool-rating (O) og evidens; gennemgå AI-kladde.</t>
        </is>
      </c>
      <c r="AE327" t="inlineStr"/>
      <c r="AF327" t="inlineStr">
        <is>
          <t>Draft</t>
        </is>
      </c>
      <c r="AG327" t="inlineStr">
        <is>
          <t>uim-esdh-full-2026-07-07</t>
        </is>
      </c>
    </row>
    <row r="328" ht="320" customHeight="1">
      <c r="A328" s="35" t="n">
        <v>319</v>
      </c>
      <c r="B328" s="3" t="inlineStr">
        <is>
          <t>B1.G-18</t>
        </is>
      </c>
      <c r="C328" s="3" t="inlineStr">
        <is>
          <t>Bilag 1.g Samarbejde under Leveringskontrakten</t>
        </is>
      </c>
      <c r="D328" s="3" t="inlineStr">
        <is>
          <t>4.4.3</t>
        </is>
      </c>
      <c r="E328" s="3" t="inlineStr">
        <is>
          <t>ESDH driftsgruppe og møder under driftsfasen</t>
        </is>
      </c>
      <c r="F328" s="35" t="inlineStr">
        <is>
          <t>ESDH driftsgruppe og møder under driftsfasen Driftsgruppen starter op med det samme efter godkendt Driftsprøve og eksisterer frem til Leveringskontraktens ophør. Driftsgruppen skal ugentligt deltage på driftsmøder til opfølgning og drøftelser vedr. ressourcer, drift, support, fremtidigt miljø og Konfiguration af ESDH-løsningen. Formål og ansvar: • • • • • Samarbejde og drøftelse vedr. ressourcer, drift, support, fremtidigt miljø og Konfiguration af ESDHløsningen. Ledelse og koordinering herunder behandling af eskalerede problemområder fra det daglige driftssamarbejde. Opfølgning på servicemål. Beslutte nødvendige ændringer, godkende beslutningslog samt afklare evt. driftsmæssige udfordringer. Eskalere til ESDH-styregruppen. Bemanding: • • • Kundens Systemforvalter. Leverandøren. Kundens driftsmedarbejdere – efter behov. Mødesekvens: • Ugentligt, eller efter behov. Mødet afholdes digitalt, medmindre andet aftales. Mødesekvens kan tilpasses løbende gennem driftsfasen efter aftale med Kundens systemforvaltning. Øvrige forhold: • • • Leverandøren er ansvarlig for, at der udsendes indkaldelse, dagsorden samt at der udfærdiges beslutningsreferat. Eksterne parter kan inviteres efter behov. Leverandøren udarbejder oversigt over opfyldelse af servicemål, så de er klargjort til Kunden.</t>
        </is>
      </c>
      <c r="G328" s="3" t="inlineStr">
        <is>
          <t>Mindstekrav</t>
        </is>
      </c>
      <c r="H328" s="35">
        <f>IF(G328="Evalueringskrav","Answer",(IF(G328="Krav","Check",(IF(G328="Mindstekrav","Verify","")))))</f>
        <v/>
      </c>
      <c r="I328" s="35" t="inlineStr">
        <is>
          <t>Nej</t>
        </is>
      </c>
      <c r="J328" s="35" t="n"/>
      <c r="K328" s="47" t="n"/>
      <c r="L328" s="35" t="inlineStr">
        <is>
          <t>Cristina</t>
        </is>
      </c>
      <c r="M328" s="35" t="n"/>
      <c r="N328" s="35" t="n"/>
      <c r="O328" s="35" t="n"/>
      <c r="P328" s="35" t="n"/>
      <c r="Q328" s="35" t="n"/>
      <c r="R328" s="35" t="n"/>
      <c r="S328" s="35" t="n"/>
      <c r="T328" s="35" t="n"/>
      <c r="U328" s="35" t="inlineStr">
        <is>
          <t>Not Started</t>
        </is>
      </c>
      <c r="V328" s="37">
        <f>IF(U328="Not Started",0%,IF(U328="Started",50%,IF(U328="Ready for review",70%,IF(U328="Reviewed - Content",80%,IF(U328="Reviewed - Format",90%,IF(U328="Done",100%,""))))))</f>
        <v/>
      </c>
      <c r="W328" t="inlineStr">
        <is>
          <t>2026-07-07</t>
        </is>
      </c>
      <c r="X328" t="inlineStr">
        <is>
          <t>Cursor / tender-response (batch)</t>
        </is>
      </c>
      <c r="Y328" t="inlineStr">
        <is>
          <t>Clarify</t>
        </is>
      </c>
      <c r="Z328" t="inlineStr">
        <is>
          <t>Verified</t>
        </is>
      </c>
      <c r="AA328" t="inlineStr">
        <is>
          <t>Verify: ESDH driftsgruppe og møder under driftsfasen — kræver produkt-/team-afklaring (ingen tool-rating).</t>
        </is>
      </c>
      <c r="AB328" t="inlineStr"/>
      <c r="AC328" t="inlineStr">
        <is>
          <t>docs/tender-reference/extracted/KK Tender tool.txt; docs/tender-reference/extracted/KUM-SLKS/Bilag 1 - Tidsplan.txt; docs/tender-reference/extracted/Nationalbanken/Bilag 3.i Leverandørens Løsningsbeskrivelse.txt</t>
        </is>
      </c>
      <c r="AD328" t="inlineStr">
        <is>
          <t>Cristina: Udfyld tool-rating (O) og evidens; gennemgå AI-kladde.</t>
        </is>
      </c>
      <c r="AE328" t="inlineStr"/>
      <c r="AF328" t="inlineStr">
        <is>
          <t>Draft</t>
        </is>
      </c>
      <c r="AG328" t="inlineStr">
        <is>
          <t>uim-esdh-full-2026-07-07</t>
        </is>
      </c>
    </row>
    <row r="329" ht="208" customHeight="1">
      <c r="A329" s="35" t="n">
        <v>319</v>
      </c>
      <c r="B329" s="3" t="inlineStr">
        <is>
          <t>B1.G-19</t>
        </is>
      </c>
      <c r="C329" s="3" t="inlineStr">
        <is>
          <t>Bilag 1.g Samarbejde under Leveringskontrakten</t>
        </is>
      </c>
      <c r="D329" s="3" t="inlineStr">
        <is>
          <t>4.5</t>
        </is>
      </c>
      <c r="E329" s="3" t="inlineStr">
        <is>
          <t>Proces for håndtering af incidents – roller og ansvar</t>
        </is>
      </c>
      <c r="F329" s="35" t="inlineStr">
        <is>
          <t>Proces for håndtering af incidents – roller og ansvar Incident management skal sikre, at hændelser håndteres, således driften kan varetages optimalt og som minimum i overensstemmelse med de definerede servicemål jf. Bilag 1.h Servicemål. Leverandøren har det overordnet ansvar for styring og gennemførelse af incident management for incidents, der ligger inden for Leverandørens ansvarsområde. Processen for håndtering af incidents er central og kan opsummeres som følger: • • Incident konstateres Systemforvalter kontakter Leverandørens Service desk via telefon, alternativt opretter en sag på incident i Kundens eget servicemanagement system jf. Bilag 1.h Servicemål pkt. 2.6. 8 • Leverandøren er ansvarlig for løsning af incident om nødvendigt med inddragelse af Kunden og Kundens driftsleverandør. Der kommunikeres til Kunden, når fejlen er udbedret. 9</t>
        </is>
      </c>
      <c r="G329" s="3" t="inlineStr">
        <is>
          <t>Mindstekrav</t>
        </is>
      </c>
      <c r="H329" s="35">
        <f>IF(G329="Evalueringskrav","Answer",(IF(G329="Krav","Check",(IF(G329="Mindstekrav","Verify","")))))</f>
        <v/>
      </c>
      <c r="I329" s="35" t="inlineStr">
        <is>
          <t>Nej</t>
        </is>
      </c>
      <c r="J329" s="35" t="n"/>
      <c r="K329" s="47" t="n"/>
      <c r="L329" s="35" t="inlineStr">
        <is>
          <t>Cristina</t>
        </is>
      </c>
      <c r="M329" s="35" t="n"/>
      <c r="N329" s="35" t="n"/>
      <c r="O329" s="35" t="n"/>
      <c r="P329" s="35" t="n"/>
      <c r="Q329" s="35" t="n"/>
      <c r="R329" s="35" t="n"/>
      <c r="S329" s="35" t="n"/>
      <c r="T329" s="35" t="n"/>
      <c r="U329" s="35" t="inlineStr">
        <is>
          <t>Not Started</t>
        </is>
      </c>
      <c r="V329" s="37">
        <f>IF(U329="Not Started",0%,IF(U329="Started",50%,IF(U329="Ready for review",70%,IF(U329="Reviewed - Content",80%,IF(U329="Reviewed - Format",90%,IF(U329="Done",100%,""))))))</f>
        <v/>
      </c>
      <c r="W329" t="inlineStr">
        <is>
          <t>2026-07-07</t>
        </is>
      </c>
      <c r="X329" t="inlineStr">
        <is>
          <t>Cursor / tender-response (batch)</t>
        </is>
      </c>
      <c r="Y329" t="inlineStr">
        <is>
          <t>Clarify</t>
        </is>
      </c>
      <c r="Z329" t="inlineStr">
        <is>
          <t>Verified</t>
        </is>
      </c>
      <c r="AA329" t="inlineStr">
        <is>
          <t>Verify: Proces for håndtering af incidents – roller og ansvar — kræver produkt-/team-afklaring (ingen tool-rating).</t>
        </is>
      </c>
      <c r="AB329" t="inlineStr"/>
      <c r="AC32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29" t="inlineStr">
        <is>
          <t>Cristina: Udfyld tool-rating (O) og evidens; gennemgå AI-kladde.</t>
        </is>
      </c>
      <c r="AE329" t="inlineStr"/>
      <c r="AF329" t="inlineStr">
        <is>
          <t>Draft</t>
        </is>
      </c>
      <c r="AG329" t="inlineStr">
        <is>
          <t>uim-esdh-full-2026-07-07</t>
        </is>
      </c>
    </row>
    <row r="330" ht="128" customHeight="1">
      <c r="A330" s="35" t="n">
        <v>319</v>
      </c>
      <c r="B330" s="3" t="inlineStr">
        <is>
          <t>B1.H-1</t>
        </is>
      </c>
      <c r="C330" s="3" t="inlineStr">
        <is>
          <t>Bilag 1.h Servicemål</t>
        </is>
      </c>
      <c r="D330" s="3" t="inlineStr">
        <is>
          <t>2.1</t>
        </is>
      </c>
      <c r="E330" s="3" t="inlineStr">
        <is>
          <t>Måling og rapportering</t>
        </is>
      </c>
      <c r="F330" s="35" t="inlineStr">
        <is>
          <t>Måling og rapportering Leverandøren skal forestå afrapportering af servicemålene med en frekvens, der er koordineret med mødefrekvensen i samarbejdsorganisationen, dog mindst én gang månedligt. Leverandøren skal sikre afrapportering om sine aktiviteter og resultater knyttet til vedligeholdelsen, herunder afrapportering i forhold til aftalte servicemål samt specifikt i relation til eventuelle overtrædelser, således at Kunden er velinformeret om ESDH-løsningens drifts-stabilitet og aktiviteter knyttet hertil.</t>
        </is>
      </c>
      <c r="G330" s="3" t="inlineStr">
        <is>
          <t>Mindstekrav</t>
        </is>
      </c>
      <c r="H330" s="35">
        <f>IF(G330="Evalueringskrav","Answer",(IF(G330="Krav","Check",(IF(G330="Mindstekrav","Verify","")))))</f>
        <v/>
      </c>
      <c r="I330" s="35" t="inlineStr">
        <is>
          <t>Nej</t>
        </is>
      </c>
      <c r="J330" s="35" t="n"/>
      <c r="K330" s="47" t="n"/>
      <c r="L330" s="35" t="inlineStr">
        <is>
          <t>Cristina</t>
        </is>
      </c>
      <c r="M330" s="35" t="n"/>
      <c r="N330" s="35" t="n"/>
      <c r="O330" s="35" t="n"/>
      <c r="P330" s="35" t="n"/>
      <c r="Q330" s="35" t="n"/>
      <c r="R330" s="35" t="n"/>
      <c r="S330" s="35" t="n"/>
      <c r="T330" s="35" t="n"/>
      <c r="U330" s="35" t="inlineStr">
        <is>
          <t>Not Started</t>
        </is>
      </c>
      <c r="V330" s="37">
        <f>IF(U330="Not Started",0%,IF(U330="Started",50%,IF(U330="Ready for review",70%,IF(U330="Reviewed - Content",80%,IF(U330="Reviewed - Format",90%,IF(U330="Done",100%,""))))))</f>
        <v/>
      </c>
      <c r="W330" t="inlineStr">
        <is>
          <t>2026-07-07</t>
        </is>
      </c>
      <c r="X330" t="inlineStr">
        <is>
          <t>Cursor / tender-response (batch)</t>
        </is>
      </c>
      <c r="Y330" t="inlineStr">
        <is>
          <t>Clarify</t>
        </is>
      </c>
      <c r="Z330" t="inlineStr">
        <is>
          <t>Verified</t>
        </is>
      </c>
      <c r="AA330" t="inlineStr">
        <is>
          <t>Verify: Måling og rapportering — kræver produkt-/team-afklaring (ingen tool-rating).</t>
        </is>
      </c>
      <c r="AB330" t="inlineStr"/>
      <c r="AC330" t="inlineStr">
        <is>
          <t>docs/tender-reference/extracted/KK Tender tool.txt; docs/tender-reference/extracted/Nationalbanken/Bilag 3.i Leverandørens Løsningsbeskrivelse.txt; docs/tender-reference/extracted/NND/02.01-Tieto-Bilag 2-Vedlegg-Leverandørens utfyllende svar til kravtabell.txt</t>
        </is>
      </c>
      <c r="AD330" t="inlineStr">
        <is>
          <t>Cristina: Udfyld tool-rating (O) og evidens; gennemgå AI-kladde.</t>
        </is>
      </c>
      <c r="AE330" t="inlineStr"/>
      <c r="AF330" t="inlineStr">
        <is>
          <t>Draft</t>
        </is>
      </c>
      <c r="AG330" t="inlineStr">
        <is>
          <t>uim-esdh-full-2026-07-07</t>
        </is>
      </c>
    </row>
    <row r="331" ht="224" customHeight="1">
      <c r="A331" s="35" t="n">
        <v>319</v>
      </c>
      <c r="B331" s="3" t="inlineStr">
        <is>
          <t>B1.H-2</t>
        </is>
      </c>
      <c r="C331" s="3" t="inlineStr">
        <is>
          <t>Bilag 1.h Servicemål</t>
        </is>
      </c>
      <c r="D331" s="3" t="inlineStr">
        <is>
          <t>2.1.1</t>
        </is>
      </c>
      <c r="E331" s="3" t="inlineStr">
        <is>
          <t>Rapportering om servicemål</t>
        </is>
      </c>
      <c r="F331" s="35" t="inlineStr">
        <is>
          <t>Rapportering om servicemål Leverandøren skal forestå afrapportering af servicemålene med en frekvens, der er koordineret med mødefrekvensen i samarbejdsorganisationen, dog mindst én gang månedlig. Rapporteringen skal være til rådighed senest kl. 16.00 10 Arbejdsdage efter månedens afslutning. Rapporteringens indhold skal som minimum bestå af: • • • • • • • Beregning af servicemål Overblik over statistik og status for rettelse af incidents Overblik over statistik og status for ændringer Overblik over statisk og status over tilgængelighed En oversigt over alle incidents herunder kritiske incidents og gentagne incidents (Se Tabel 3) En oversigt over Leverandørens reaktionstider i perioden. Incidents og problemer skal være angivet med id, titel, dato og emne. Leverandøren skal aflevere alle rapporter i ukodet, printbart PDF-format, der kan læses i sort/hvidt print. Leverandøren skal udarbejde alle rapporter på dansk.</t>
        </is>
      </c>
      <c r="G331" s="3" t="inlineStr">
        <is>
          <t>Mindstekrav</t>
        </is>
      </c>
      <c r="H331" s="35">
        <f>IF(G331="Evalueringskrav","Answer",(IF(G331="Krav","Check",(IF(G331="Mindstekrav","Verify","")))))</f>
        <v/>
      </c>
      <c r="I331" s="35" t="inlineStr">
        <is>
          <t>Nej</t>
        </is>
      </c>
      <c r="J331" s="35" t="n"/>
      <c r="K331" s="47" t="n"/>
      <c r="L331" s="35" t="inlineStr">
        <is>
          <t>Johan</t>
        </is>
      </c>
      <c r="M331" s="35" t="n"/>
      <c r="N331" s="35" t="n"/>
      <c r="O331" s="35" t="n"/>
      <c r="P331" s="35" t="n"/>
      <c r="Q331" s="35" t="n"/>
      <c r="R331" s="35" t="n"/>
      <c r="S331" s="35" t="n"/>
      <c r="T331" s="35" t="n"/>
      <c r="U331" s="35" t="inlineStr">
        <is>
          <t>Not Started</t>
        </is>
      </c>
      <c r="V331" s="37">
        <f>IF(U331="Not Started",0%,IF(U331="Started",50%,IF(U331="Ready for review",70%,IF(U331="Reviewed - Content",80%,IF(U331="Reviewed - Format",90%,IF(U331="Done",100%,""))))))</f>
        <v/>
      </c>
      <c r="W331" t="inlineStr">
        <is>
          <t>2026-07-07</t>
        </is>
      </c>
      <c r="X331" t="inlineStr">
        <is>
          <t>Cursor / tender-response (batch)</t>
        </is>
      </c>
      <c r="Y331" t="inlineStr">
        <is>
          <t>Clarify</t>
        </is>
      </c>
      <c r="Z331" t="inlineStr">
        <is>
          <t>Verified</t>
        </is>
      </c>
      <c r="AA331" t="inlineStr">
        <is>
          <t>Verify: Rapportering om servicemål — kræver produkt-/team-afklaring (ingen tool-rating).</t>
        </is>
      </c>
      <c r="AB331" t="inlineStr"/>
      <c r="AC331" t="inlineStr">
        <is>
          <t>docs/tender-reference/extracted/KK Tender tool.txt; docs/tender-reference/extracted/Nationalbanken/Bilag 3.i Leverandørens Løsningsbeskrivelse.txt; docs/tender-reference/extracted/Nationalbanken/Bilag 6.i Implementeringsplan (Leverandørens løsningsbeskrivelse.txt</t>
        </is>
      </c>
      <c r="AD331" t="inlineStr">
        <is>
          <t>Johan: Udfyld tool-rating (O) og evidens; gennemgå AI-kladde.</t>
        </is>
      </c>
      <c r="AE331" t="inlineStr"/>
      <c r="AF331" t="inlineStr">
        <is>
          <t>Draft</t>
        </is>
      </c>
      <c r="AG331" t="inlineStr">
        <is>
          <t>uim-esdh-full-2026-07-07</t>
        </is>
      </c>
    </row>
    <row r="332" ht="80" customHeight="1">
      <c r="A332" s="35" t="n">
        <v>319</v>
      </c>
      <c r="B332" s="3" t="inlineStr">
        <is>
          <t>B1.H-3</t>
        </is>
      </c>
      <c r="C332" s="3" t="inlineStr">
        <is>
          <t>Bilag 1.h Servicemål</t>
        </is>
      </c>
      <c r="D332" s="3" t="inlineStr">
        <is>
          <t>2.2</t>
        </is>
      </c>
      <c r="E332" s="3" t="inlineStr">
        <is>
          <t>Driftstid</t>
        </is>
      </c>
      <c r="F332" s="35" t="inlineStr">
        <is>
          <t>Driftstid Normal driftstid for ESDH-løsningen er kl. 08.00 – 16.00 på alle hverdage, men ESDH-løsningen skal være tilgængelig hele døgnet og alle kalenderdage i året. Leverandørens support kan træffes i organisationens faste driftstid, som er er kl. 08.00 – 16.00 på alle hverdage, (2. level support). 2</t>
        </is>
      </c>
      <c r="G332" s="3" t="inlineStr">
        <is>
          <t>Mindstekrav</t>
        </is>
      </c>
      <c r="H332" s="35">
        <f>IF(G332="Evalueringskrav","Answer",(IF(G332="Krav","Check",(IF(G332="Mindstekrav","Verify","")))))</f>
        <v/>
      </c>
      <c r="I332" s="35" t="inlineStr">
        <is>
          <t>Nej</t>
        </is>
      </c>
      <c r="J332" s="35" t="n"/>
      <c r="K332" s="47" t="n"/>
      <c r="L332" s="35" t="inlineStr">
        <is>
          <t>Johan</t>
        </is>
      </c>
      <c r="M332" s="35" t="n"/>
      <c r="N332" s="35" t="n"/>
      <c r="O332" s="35" t="n"/>
      <c r="P332" s="35" t="n"/>
      <c r="Q332" s="35" t="n"/>
      <c r="R332" s="35" t="n"/>
      <c r="S332" s="35" t="n"/>
      <c r="T332" s="35" t="n"/>
      <c r="U332" s="35" t="inlineStr">
        <is>
          <t>Not Started</t>
        </is>
      </c>
      <c r="V332" s="37">
        <f>IF(U332="Not Started",0%,IF(U332="Started",50%,IF(U332="Ready for review",70%,IF(U332="Reviewed - Content",80%,IF(U332="Reviewed - Format",90%,IF(U332="Done",100%,""))))))</f>
        <v/>
      </c>
      <c r="W332" t="inlineStr">
        <is>
          <t>2026-07-07</t>
        </is>
      </c>
      <c r="X332" t="inlineStr">
        <is>
          <t>Cursor / tender-response (batch)</t>
        </is>
      </c>
      <c r="Y332" t="inlineStr">
        <is>
          <t>Clarify</t>
        </is>
      </c>
      <c r="Z332" t="inlineStr">
        <is>
          <t>Verified</t>
        </is>
      </c>
      <c r="AA332" t="inlineStr">
        <is>
          <t>Verify: Driftstid — kræver produkt-/team-afklaring (ingen tool-rating).</t>
        </is>
      </c>
      <c r="AB332" t="inlineStr"/>
      <c r="AC332" t="inlineStr">
        <is>
          <t>docs/tender-reference/extracted/Nationalbanken/Bilag 3.i Leverandørens Løsningsbeskrivelse.txt; docs/tender-reference/extracted/KK Tender tool.txt; docs/tender-reference/extracted/HSØ/02.00-Tietoevry-SSA-L-Bilag 2-Leverandørens beskrivelse av Tjenesten.txt</t>
        </is>
      </c>
      <c r="AD332" t="inlineStr">
        <is>
          <t>Johan: Udfyld tool-rating (O) og evidens; gennemgå AI-kladde.</t>
        </is>
      </c>
      <c r="AE332" t="inlineStr"/>
      <c r="AF332" t="inlineStr">
        <is>
          <t>Draft</t>
        </is>
      </c>
      <c r="AG332" t="inlineStr">
        <is>
          <t>uim-esdh-full-2026-07-07</t>
        </is>
      </c>
    </row>
    <row r="333" ht="288" customHeight="1">
      <c r="A333" s="35" t="n">
        <v>319</v>
      </c>
      <c r="B333" s="3" t="inlineStr">
        <is>
          <t>B1.H-4</t>
        </is>
      </c>
      <c r="C333" s="3" t="inlineStr">
        <is>
          <t>Bilag 1.h Servicemål</t>
        </is>
      </c>
      <c r="D333" s="3" t="inlineStr">
        <is>
          <t>2.2.1</t>
        </is>
      </c>
      <c r="E333" s="3" t="inlineStr">
        <is>
          <t>Planlagt vedligehold</t>
        </is>
      </c>
      <c r="F333" s="35" t="inlineStr">
        <is>
          <t>Planlagt vedligehold Nedetid kan accepteres i servicevinduer aftalt med Kunden og Kundens driftsleverandør. Leverandøren er forpligtet til at placere servicevinduer, der påvirker Kundens produktionsmiljø, udenfor den aftalte driftstid +2 timer, så altså uden for perioden kl. 08.00 – 18.00 på alle hverdage, medmindre andet er aftalt skriftligt med Kunden. Varsling skal ske skriftligt senest 14 Arbejdsdage forinden, og Løsningen skal under servicevinduet spærres for påbegyndelse af nye brugeroperationer. Der skal ved alle ændringer i Løsningen foreligge en godkendt deployplan som følger Kundens standard, hvor Leverandøren skal anvende en skabelon, der skal udfyldes inden deployment i samarbejde med Kunden. Der skal i forbindelse med deployplan også være en rollback plan i tilfælde af, at deploy går galt. Det forventes at der vil være planlagte kvartalsvise servicevinduer i hverdage i tidsrummet kl. 18.00-00.00. Herudover er der mulighed for at aftale ad hoc servicevinduer efter behov. Leverandøren skal sikre, at vedligeholdelse af ESDH-løsningen er flytbart, således at vedligeholdelsesopgaven principielt ville kunne overdrages til anden leverandør eller til Kunden selv.</t>
        </is>
      </c>
      <c r="G333" s="3" t="inlineStr">
        <is>
          <t>Mindstekrav</t>
        </is>
      </c>
      <c r="H333" s="35">
        <f>IF(G333="Evalueringskrav","Answer",(IF(G333="Krav","Check",(IF(G333="Mindstekrav","Verify","")))))</f>
        <v/>
      </c>
      <c r="I333" s="35" t="inlineStr">
        <is>
          <t>Nej</t>
        </is>
      </c>
      <c r="J333" s="35" t="n"/>
      <c r="K333" s="47" t="n"/>
      <c r="L333" s="35" t="inlineStr">
        <is>
          <t>Johan</t>
        </is>
      </c>
      <c r="M333" s="35" t="n"/>
      <c r="N333" s="35" t="n"/>
      <c r="O333" s="35" t="n"/>
      <c r="P333" s="35" t="n"/>
      <c r="Q333" s="35" t="n"/>
      <c r="R333" s="35" t="n"/>
      <c r="S333" s="35" t="n"/>
      <c r="T333" s="35" t="n"/>
      <c r="U333" s="35" t="inlineStr">
        <is>
          <t>Not Started</t>
        </is>
      </c>
      <c r="V333" s="37">
        <f>IF(U333="Not Started",0%,IF(U333="Started",50%,IF(U333="Ready for review",70%,IF(U333="Reviewed - Content",80%,IF(U333="Reviewed - Format",90%,IF(U333="Done",100%,""))))))</f>
        <v/>
      </c>
      <c r="W333" t="inlineStr">
        <is>
          <t>2026-07-07</t>
        </is>
      </c>
      <c r="X333" t="inlineStr">
        <is>
          <t>Cursor / tender-response (batch)</t>
        </is>
      </c>
      <c r="Y333" t="inlineStr">
        <is>
          <t>Clarify</t>
        </is>
      </c>
      <c r="Z333" t="inlineStr">
        <is>
          <t>Verified</t>
        </is>
      </c>
      <c r="AA333" t="inlineStr">
        <is>
          <t>Verify: Planlagt vedligehold — kræver produkt-/team-afklaring (ingen tool-rating).</t>
        </is>
      </c>
      <c r="AB333" t="inlineStr"/>
      <c r="AC333" t="inlineStr">
        <is>
          <t>docs/tender-reference/extracted/KK Tender tool.txt; docs/tender-reference/extracted/Nationalbanken/Bilag 3.i Leverandørens Løsningsbeskrivelse.txt; docs/tender-reference/extracted/KUM-SLKS/Bilag 1 - Tidsplan.txt</t>
        </is>
      </c>
      <c r="AD333" t="inlineStr">
        <is>
          <t>Johan: Udfyld tool-rating (O) og evidens; gennemgå AI-kladde.</t>
        </is>
      </c>
      <c r="AE333" t="inlineStr"/>
      <c r="AF333" t="inlineStr">
        <is>
          <t>Draft</t>
        </is>
      </c>
      <c r="AG333" t="inlineStr">
        <is>
          <t>uim-esdh-full-2026-07-07</t>
        </is>
      </c>
    </row>
    <row r="334" ht="128" customHeight="1">
      <c r="A334" s="35" t="n">
        <v>319</v>
      </c>
      <c r="B334" s="3" t="inlineStr">
        <is>
          <t>B1.H-5</t>
        </is>
      </c>
      <c r="C334" s="3" t="inlineStr">
        <is>
          <t>Bilag 1.h Servicemål</t>
        </is>
      </c>
      <c r="D334" s="3" t="inlineStr">
        <is>
          <t>2.2.2</t>
        </is>
      </c>
      <c r="E334" s="3" t="inlineStr">
        <is>
          <t>Nødservicevindue – større og kritiske opdateringer</t>
        </is>
      </c>
      <c r="F334" s="35" t="inlineStr">
        <is>
          <t>Nødservicevindue – større og kritiske opdateringer Større eller kritiske opdateringer omfatter enhver ændring til ESDH-løsningen, der kan påvirke løsningens kernefunktionalitet, dataintegritet, sikkerhed, adgangsstyring, integrationer, performance, driftssikkerhed, brugeradgange eller overholdelse af lovgivningsmæssige og kontraktuelle krav. Frekvens: 0 – 4 gange pr. måned i tidsrummet lørdag kl. 00:00 – mandag kl. 05:00 med maksimum 16 timers varighed og en varsling på 2 Arbejdsdage.</t>
        </is>
      </c>
      <c r="G334" s="3" t="inlineStr">
        <is>
          <t>Mindstekrav</t>
        </is>
      </c>
      <c r="H334" s="35">
        <f>IF(G334="Evalueringskrav","Answer",(IF(G334="Krav","Check",(IF(G334="Mindstekrav","Verify","")))))</f>
        <v/>
      </c>
      <c r="I334" s="35" t="inlineStr">
        <is>
          <t>Nej</t>
        </is>
      </c>
      <c r="J334" s="35" t="n"/>
      <c r="K334" s="47" t="n"/>
      <c r="L334" s="35" t="inlineStr">
        <is>
          <t>Johan</t>
        </is>
      </c>
      <c r="M334" s="35" t="n"/>
      <c r="N334" s="35" t="n"/>
      <c r="O334" s="35" t="n"/>
      <c r="P334" s="35" t="n"/>
      <c r="Q334" s="35" t="n"/>
      <c r="R334" s="35" t="n"/>
      <c r="S334" s="35" t="n"/>
      <c r="T334" s="35" t="n"/>
      <c r="U334" s="35" t="inlineStr">
        <is>
          <t>Not Started</t>
        </is>
      </c>
      <c r="V334" s="37">
        <f>IF(U334="Not Started",0%,IF(U334="Started",50%,IF(U334="Ready for review",70%,IF(U334="Reviewed - Content",80%,IF(U334="Reviewed - Format",90%,IF(U334="Done",100%,""))))))</f>
        <v/>
      </c>
      <c r="W334" t="inlineStr">
        <is>
          <t>2026-07-07</t>
        </is>
      </c>
      <c r="X334" t="inlineStr">
        <is>
          <t>Cursor / tender-response (batch)</t>
        </is>
      </c>
      <c r="Y334" t="inlineStr">
        <is>
          <t>Clarify</t>
        </is>
      </c>
      <c r="Z334" t="inlineStr">
        <is>
          <t>Verified</t>
        </is>
      </c>
      <c r="AA334" t="inlineStr">
        <is>
          <t>Verify: Nødservicevindue – større og kritiske opdateringer — kræver produkt-/team-afklaring (ingen tool-rating).</t>
        </is>
      </c>
      <c r="AB334" t="inlineStr"/>
      <c r="AC334" t="inlineStr">
        <is>
          <t>docs/tender-reference/extracted/KK Tender tool.txt; docs/tender-reference/extracted/Nationalbanken/Bilag 3.i Leverandørens Løsningsbeskrivelse.txt; docs/tender-reference/extracted/KUM-SLKS/Bilag 3 - Kravspecifikation.txt</t>
        </is>
      </c>
      <c r="AD334" t="inlineStr">
        <is>
          <t>Johan: Udfyld tool-rating (O) og evidens; gennemgå AI-kladde.</t>
        </is>
      </c>
      <c r="AE334" t="inlineStr"/>
      <c r="AF334" t="inlineStr">
        <is>
          <t>Draft</t>
        </is>
      </c>
      <c r="AG334" t="inlineStr">
        <is>
          <t>uim-esdh-full-2026-07-07</t>
        </is>
      </c>
    </row>
    <row r="335" ht="144" customHeight="1">
      <c r="A335" s="35" t="n">
        <v>319</v>
      </c>
      <c r="B335" s="3" t="inlineStr">
        <is>
          <t>B1.H-6</t>
        </is>
      </c>
      <c r="C335" s="3" t="inlineStr">
        <is>
          <t>Bilag 1.h Servicemål</t>
        </is>
      </c>
      <c r="D335" s="3" t="inlineStr">
        <is>
          <t>2.2.3</t>
        </is>
      </c>
      <c r="E335" s="3" t="inlineStr">
        <is>
          <t>Servicevindue – omlægninger af miljøer, arkitekturer eller ESDH-løsningen</t>
        </is>
      </c>
      <c r="F335" s="35" t="inlineStr">
        <is>
          <t>Servicevindue – omlægninger af miljøer, arkitekturer eller ESDH-løsningen Omlægning af miljøer, arkitektur eller ESDH-løsningen omfatter enhver ændring til ESDH-løsningen tekniske platform, systemarkitektur, driftsmiljø, integrationsarkitektur eller applikationsarkitektur, som kan påvirke løsningens funktionalitet, sikkerhed, performance, stabilitet, dataintegritet eller integrationer. Frekvens: 1 gang pr. 6 måneder i tidsrummet lørdag kl. 00:00 – mandag kl. 05:00 med maksimum 24 timers varighed og en varsling på 14 Arbejdsdage.</t>
        </is>
      </c>
      <c r="G335" s="3" t="inlineStr">
        <is>
          <t>Mindstekrav</t>
        </is>
      </c>
      <c r="H335" s="35">
        <f>IF(G335="Evalueringskrav","Answer",(IF(G335="Krav","Check",(IF(G335="Mindstekrav","Verify","")))))</f>
        <v/>
      </c>
      <c r="I335" s="35" t="inlineStr">
        <is>
          <t>Nej</t>
        </is>
      </c>
      <c r="J335" s="35" t="n"/>
      <c r="K335" s="47" t="n"/>
      <c r="L335" s="35" t="inlineStr">
        <is>
          <t>Johan</t>
        </is>
      </c>
      <c r="M335" s="35" t="n"/>
      <c r="N335" s="35" t="n"/>
      <c r="O335" s="35" t="n"/>
      <c r="P335" s="35" t="n"/>
      <c r="Q335" s="35" t="n"/>
      <c r="R335" s="35" t="n"/>
      <c r="S335" s="35" t="n"/>
      <c r="T335" s="35" t="n"/>
      <c r="U335" s="35" t="inlineStr">
        <is>
          <t>Not Started</t>
        </is>
      </c>
      <c r="V335" s="37">
        <f>IF(U335="Not Started",0%,IF(U335="Started",50%,IF(U335="Ready for review",70%,IF(U335="Reviewed - Content",80%,IF(U335="Reviewed - Format",90%,IF(U335="Done",100%,""))))))</f>
        <v/>
      </c>
      <c r="W335" t="inlineStr">
        <is>
          <t>2026-07-07</t>
        </is>
      </c>
      <c r="X335" t="inlineStr">
        <is>
          <t>Cursor / tender-response (batch)</t>
        </is>
      </c>
      <c r="Y335" t="inlineStr">
        <is>
          <t>Clarify</t>
        </is>
      </c>
      <c r="Z335" t="inlineStr">
        <is>
          <t>Verified</t>
        </is>
      </c>
      <c r="AA335" t="inlineStr">
        <is>
          <t>Verify: Servicevindue – omlægninger af miljøer, arkitekturer eller ESDH-løsningen — kræver produkt-/team-afklaring (ingen tool-rating).</t>
        </is>
      </c>
      <c r="AB335" t="inlineStr"/>
      <c r="AC335" t="inlineStr">
        <is>
          <t>docs/tender-reference/extracted/Nationalbanken/Bilag 3.i Leverandørens Løsningsbeskrivelse.txt; docs/tender-reference/extracted/KK Tender tool.txt; docs/tender-reference/extracted/HSØ/02.00-Tietoevry-SSA-L-Bilag 2-Leverandørens beskrivelse av Tjenesten.txt</t>
        </is>
      </c>
      <c r="AD335" t="inlineStr">
        <is>
          <t>Johan: Udfyld tool-rating (O) og evidens; gennemgå AI-kladde.</t>
        </is>
      </c>
      <c r="AE335" t="inlineStr"/>
      <c r="AF335" t="inlineStr">
        <is>
          <t>Draft</t>
        </is>
      </c>
      <c r="AG335" t="inlineStr">
        <is>
          <t>uim-esdh-full-2026-07-07</t>
        </is>
      </c>
    </row>
    <row r="336">
      <c r="A336" s="35" t="n">
        <v>319</v>
      </c>
      <c r="B336" s="3" t="inlineStr">
        <is>
          <t>B1.H-7</t>
        </is>
      </c>
      <c r="C336" s="3" t="inlineStr">
        <is>
          <t>Bilag 1.h Servicemål</t>
        </is>
      </c>
      <c r="D336" s="3" t="inlineStr">
        <is>
          <t>2.3</t>
        </is>
      </c>
      <c r="E336" s="3" t="inlineStr">
        <is>
          <t>Tilgængelighed</t>
        </is>
      </c>
      <c r="F336" s="35" t="inlineStr">
        <is>
          <t>Tilgængelighed</t>
        </is>
      </c>
      <c r="G336" s="3" t="inlineStr">
        <is>
          <t>Mindstekrav</t>
        </is>
      </c>
      <c r="H336" s="35">
        <f>IF(G336="Evalueringskrav","Answer",(IF(G336="Krav","Check",(IF(G336="Mindstekrav","Verify","")))))</f>
        <v/>
      </c>
      <c r="I336" s="35" t="inlineStr">
        <is>
          <t>Nej</t>
        </is>
      </c>
      <c r="J336" s="35" t="n"/>
      <c r="K336" s="47" t="n"/>
      <c r="L336" s="35" t="inlineStr">
        <is>
          <t>Johan</t>
        </is>
      </c>
      <c r="M336" s="35" t="n"/>
      <c r="N336" s="35" t="n"/>
      <c r="O336" s="35" t="n"/>
      <c r="P336" s="35" t="n"/>
      <c r="Q336" s="35" t="n"/>
      <c r="R336" s="35" t="n"/>
      <c r="S336" s="35" t="n"/>
      <c r="T336" s="35" t="n"/>
      <c r="U336" s="35" t="inlineStr">
        <is>
          <t>Not Started</t>
        </is>
      </c>
      <c r="V336" s="37">
        <f>IF(U336="Not Started",0%,IF(U336="Started",50%,IF(U336="Ready for review",70%,IF(U336="Reviewed - Content",80%,IF(U336="Reviewed - Format",90%,IF(U336="Done",100%,""))))))</f>
        <v/>
      </c>
      <c r="W336" t="inlineStr">
        <is>
          <t>2026-07-07</t>
        </is>
      </c>
      <c r="X336" t="inlineStr">
        <is>
          <t>Cursor / tender-response (batch)</t>
        </is>
      </c>
      <c r="Y336" t="inlineStr">
        <is>
          <t>Clarify</t>
        </is>
      </c>
      <c r="Z336" t="inlineStr">
        <is>
          <t>Lead</t>
        </is>
      </c>
      <c r="AA336" t="inlineStr">
        <is>
          <t>Verify: Tilgængelighed — kræver produkt-/team-afklaring (ingen tool-rating).</t>
        </is>
      </c>
      <c r="AB336" t="inlineStr"/>
      <c r="AC336" t="inlineStr">
        <is>
          <t>Ingen prior-art træffere i docs/tender-reference/extracted eller docs/product.</t>
        </is>
      </c>
      <c r="AD336" t="inlineStr">
        <is>
          <t>Johan: Udfyld tool-rating (O) og evidens; gennemgå AI-kladde.</t>
        </is>
      </c>
      <c r="AE336" t="inlineStr"/>
      <c r="AF336" t="inlineStr">
        <is>
          <t>Draft</t>
        </is>
      </c>
      <c r="AG336" t="inlineStr">
        <is>
          <t>uim-esdh-full-2026-07-07</t>
        </is>
      </c>
    </row>
    <row r="337" ht="224" customHeight="1">
      <c r="A337" s="35" t="n">
        <v>319</v>
      </c>
      <c r="B337" s="3" t="inlineStr">
        <is>
          <t>B1.H-8</t>
        </is>
      </c>
      <c r="C337" s="3" t="inlineStr">
        <is>
          <t>Bilag 1.h Servicemål</t>
        </is>
      </c>
      <c r="D337" s="3" t="inlineStr">
        <is>
          <t>2.3.1</t>
        </is>
      </c>
      <c r="E337" s="3" t="inlineStr">
        <is>
          <t>Servicemål for tilgængelighed</t>
        </is>
      </c>
      <c r="F337" s="35" t="inlineStr">
        <is>
          <t>Servicemål for tilgængelighed Leverandøren skal måle og opfylde følgende krav til tilgængelighed: • • Produktionsmiljø: 99,8 % oppetid. Øvrige miljøer: 98% oppetid. Leverandørens servicemål for tilgængelighed (T%) måles på følgende måde pr. måned pr. miljø: 3 Aftalt driftstid og målt tid for utilgængelighed opgøres i minutter. Utilgængelighed beregnes fra det tidspunkt utilgængeligheden opstår, dvs. når den er registreret af Leverandøren (evt. på baggrund af henvendelse fra Kunden – telefonisk eller skriftligt via Kundens servicemanagementsystem) til normal drift er reetableret, og Kundens produktionsmiljø igen er tilgængeligt. Utilgængelighed, som skyldes faktorer, der ligger uden for Leverandørens ansvarsområde, medtages ikke i beregningen. Leverandørens forpligtelser vedrørende tilgængelighed gælder ikke ved et på forhånd aftalt og planlagt servicevindue.</t>
        </is>
      </c>
      <c r="G337" s="3" t="inlineStr">
        <is>
          <t>Mindstekrav</t>
        </is>
      </c>
      <c r="H337" s="35">
        <f>IF(G337="Evalueringskrav","Answer",(IF(G337="Krav","Check",(IF(G337="Mindstekrav","Verify","")))))</f>
        <v/>
      </c>
      <c r="I337" s="35" t="inlineStr">
        <is>
          <t>Nej</t>
        </is>
      </c>
      <c r="J337" s="35" t="n"/>
      <c r="K337" s="47" t="n"/>
      <c r="L337" s="35" t="inlineStr">
        <is>
          <t>Johan</t>
        </is>
      </c>
      <c r="M337" s="35" t="n"/>
      <c r="N337" s="35" t="n"/>
      <c r="O337" s="35" t="n"/>
      <c r="P337" s="35" t="n"/>
      <c r="Q337" s="35" t="n"/>
      <c r="R337" s="35" t="n"/>
      <c r="S337" s="35" t="n"/>
      <c r="T337" s="35" t="n"/>
      <c r="U337" s="35" t="inlineStr">
        <is>
          <t>Not Started</t>
        </is>
      </c>
      <c r="V337" s="37">
        <f>IF(U337="Not Started",0%,IF(U337="Started",50%,IF(U337="Ready for review",70%,IF(U337="Reviewed - Content",80%,IF(U337="Reviewed - Format",90%,IF(U337="Done",100%,""))))))</f>
        <v/>
      </c>
      <c r="W337" t="inlineStr">
        <is>
          <t>2026-07-07</t>
        </is>
      </c>
      <c r="X337" t="inlineStr">
        <is>
          <t>Cursor / tender-response (batch)</t>
        </is>
      </c>
      <c r="Y337" t="inlineStr">
        <is>
          <t>Clarify</t>
        </is>
      </c>
      <c r="Z337" t="inlineStr">
        <is>
          <t>Verified</t>
        </is>
      </c>
      <c r="AA337" t="inlineStr">
        <is>
          <t>Verify: Servicemål for tilgængelighed — kræver produkt-/team-afklaring (ingen tool-rating).</t>
        </is>
      </c>
      <c r="AB337" t="inlineStr"/>
      <c r="AC337"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37" t="inlineStr">
        <is>
          <t>Johan: Udfyld tool-rating (O) og evidens; gennemgå AI-kladde.</t>
        </is>
      </c>
      <c r="AE337" t="inlineStr"/>
      <c r="AF337" t="inlineStr">
        <is>
          <t>Draft</t>
        </is>
      </c>
      <c r="AG337" t="inlineStr">
        <is>
          <t>uim-esdh-full-2026-07-07</t>
        </is>
      </c>
    </row>
    <row r="338" ht="224" customHeight="1">
      <c r="A338" s="35" t="n">
        <v>319</v>
      </c>
      <c r="B338" s="3" t="inlineStr">
        <is>
          <t>B1.H-9</t>
        </is>
      </c>
      <c r="C338" s="3" t="inlineStr">
        <is>
          <t>Bilag 1.h Servicemål</t>
        </is>
      </c>
      <c r="D338" s="3" t="inlineStr">
        <is>
          <t>2.4</t>
        </is>
      </c>
      <c r="E338" s="3" t="inlineStr">
        <is>
          <t>Svartider</t>
        </is>
      </c>
      <c r="F338" s="35" t="inlineStr">
        <is>
          <t>Svartider Kunden forstår ved svartid for en transaktion: tidsintervallet fra Brugeren sender sin kommando til resultatet er synligt for Brugeren, og Brugeren har mulighed for angivelse af ny kommando. Ved kommando forstås den meddelelse, der sendes til ESDH-løsningen, når Enter/Return-tast, funktionstast eller tilsvarende tast/ikon aktiveres. Såfremt en transaktion består af flere requests, er det svartiden fra starten af det første request til svaret fra det sidste request er returneret, der tæller. Det er Kundens krav til svartider i andre miljøer fx test, at de ikke er mere end maksimum 25% langsommere end svartider i produktionsmiljøet. Leverandøren skal sikre, at ESDH-løsningen overholder nedenfor angivne krav til svartider. Opgaverne er beskrevet således, at de ikke omfatter aktivitet udenfor ESDH-løsningen. Leverandøren bliver målt på svartider men også på at systemet bruger så få ressourcer som muligt til at opfylde svartider.</t>
        </is>
      </c>
      <c r="G338" s="3" t="inlineStr">
        <is>
          <t>Mindstekrav</t>
        </is>
      </c>
      <c r="H338" s="35">
        <f>IF(G338="Evalueringskrav","Answer",(IF(G338="Krav","Check",(IF(G338="Mindstekrav","Verify","")))))</f>
        <v/>
      </c>
      <c r="I338" s="35" t="inlineStr">
        <is>
          <t>Nej</t>
        </is>
      </c>
      <c r="J338" s="35" t="n"/>
      <c r="K338" s="47" t="n"/>
      <c r="L338" s="35" t="inlineStr">
        <is>
          <t>Johan</t>
        </is>
      </c>
      <c r="M338" s="35" t="n"/>
      <c r="N338" s="35" t="n"/>
      <c r="O338" s="35" t="n"/>
      <c r="P338" s="35" t="n"/>
      <c r="Q338" s="35" t="n"/>
      <c r="R338" s="35" t="n"/>
      <c r="S338" s="35" t="n"/>
      <c r="T338" s="35" t="n"/>
      <c r="U338" s="35" t="inlineStr">
        <is>
          <t>Not Started</t>
        </is>
      </c>
      <c r="V338" s="37">
        <f>IF(U338="Not Started",0%,IF(U338="Started",50%,IF(U338="Ready for review",70%,IF(U338="Reviewed - Content",80%,IF(U338="Reviewed - Format",90%,IF(U338="Done",100%,""))))))</f>
        <v/>
      </c>
      <c r="W338" t="inlineStr">
        <is>
          <t>2026-07-07</t>
        </is>
      </c>
      <c r="X338" t="inlineStr">
        <is>
          <t>Cursor / tender-response (batch)</t>
        </is>
      </c>
      <c r="Y338" t="inlineStr">
        <is>
          <t>Clarify</t>
        </is>
      </c>
      <c r="Z338" t="inlineStr">
        <is>
          <t>Verified</t>
        </is>
      </c>
      <c r="AA338" t="inlineStr">
        <is>
          <t>Verify: Svartider — kræver produkt-/team-afklaring (ingen tool-rating).</t>
        </is>
      </c>
      <c r="AB338" t="inlineStr"/>
      <c r="AC338" t="inlineStr">
        <is>
          <t>docs/tender-reference/extracted/KK Tender tool.txt; docs/tender-reference/extracted/Nationalbanken/Bilag 3.i Leverandørens Løsningsbeskrivelse.txt; docs/tender-reference/extracted/KUM-SLKS/Bilag 3 - Kravspecifikation.txt</t>
        </is>
      </c>
      <c r="AD338" t="inlineStr">
        <is>
          <t>Johan: Udfyld tool-rating (O) og evidens; gennemgå AI-kladde.</t>
        </is>
      </c>
      <c r="AE338" t="inlineStr"/>
      <c r="AF338" t="inlineStr">
        <is>
          <t>Draft</t>
        </is>
      </c>
      <c r="AG338" t="inlineStr">
        <is>
          <t>uim-esdh-full-2026-07-07</t>
        </is>
      </c>
    </row>
    <row r="339" ht="80" customHeight="1">
      <c r="A339" s="35" t="n">
        <v>319</v>
      </c>
      <c r="B339" s="3" t="inlineStr">
        <is>
          <t>B1.H-10</t>
        </is>
      </c>
      <c r="C339" s="3" t="inlineStr">
        <is>
          <t>Bilag 1.h Servicemål</t>
        </is>
      </c>
      <c r="D339" s="3" t="inlineStr">
        <is>
          <t>2.4.1</t>
        </is>
      </c>
      <c r="E339" s="3" t="inlineStr">
        <is>
          <t>Forudsætning i relation til performance og antal samtidige Brugere</t>
        </is>
      </c>
      <c r="F339" s="35" t="inlineStr">
        <is>
          <t>Forudsætning i relation til performance og antal samtidige Brugere ESDH-løsningen skal være tilgængeligt i et produktionsmiljø eller et produktionslignede miljø til brug for performancetesten. Ved performancetesten skal Leverandøren sikre, at der i miljøet findes mindst</t>
        </is>
      </c>
      <c r="G339" s="3" t="inlineStr">
        <is>
          <t>Mindstekrav</t>
        </is>
      </c>
      <c r="H339" s="35">
        <f>IF(G339="Evalueringskrav","Answer",(IF(G339="Krav","Check",(IF(G339="Mindstekrav","Verify","")))))</f>
        <v/>
      </c>
      <c r="I339" s="35" t="inlineStr">
        <is>
          <t>Nej</t>
        </is>
      </c>
      <c r="J339" s="35" t="n"/>
      <c r="K339" s="47" t="n"/>
      <c r="L339" s="35" t="inlineStr">
        <is>
          <t>Johan</t>
        </is>
      </c>
      <c r="M339" s="35" t="n"/>
      <c r="N339" s="35" t="n"/>
      <c r="O339" s="35" t="n"/>
      <c r="P339" s="35" t="n"/>
      <c r="Q339" s="35" t="n"/>
      <c r="R339" s="35" t="n"/>
      <c r="S339" s="35" t="n"/>
      <c r="T339" s="35" t="n"/>
      <c r="U339" s="35" t="inlineStr">
        <is>
          <t>Not Started</t>
        </is>
      </c>
      <c r="V339" s="37">
        <f>IF(U339="Not Started",0%,IF(U339="Started",50%,IF(U339="Ready for review",70%,IF(U339="Reviewed - Content",80%,IF(U339="Reviewed - Format",90%,IF(U339="Done",100%,""))))))</f>
        <v/>
      </c>
      <c r="W339" t="inlineStr">
        <is>
          <t>2026-07-07</t>
        </is>
      </c>
      <c r="X339" t="inlineStr">
        <is>
          <t>Cursor / tender-response (batch)</t>
        </is>
      </c>
      <c r="Y339" t="inlineStr">
        <is>
          <t>Clarify</t>
        </is>
      </c>
      <c r="Z339" t="inlineStr">
        <is>
          <t>Verified</t>
        </is>
      </c>
      <c r="AA339" t="inlineStr">
        <is>
          <t>Verify: Forudsætning i relation til performance og antal samtidige Brugere — kræver produkt-/team-afklaring (ingen tool-rating).</t>
        </is>
      </c>
      <c r="AB339" t="inlineStr"/>
      <c r="AC33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39" t="inlineStr">
        <is>
          <t>Johan: Udfyld tool-rating (O) og evidens; gennemgå AI-kladde.</t>
        </is>
      </c>
      <c r="AE339" t="inlineStr"/>
      <c r="AF339" t="inlineStr">
        <is>
          <t>Draft</t>
        </is>
      </c>
      <c r="AG339" t="inlineStr">
        <is>
          <t>uim-esdh-full-2026-07-07</t>
        </is>
      </c>
    </row>
    <row r="340" ht="96" customHeight="1">
      <c r="A340" s="35" t="n">
        <v>319</v>
      </c>
      <c r="B340" s="3" t="inlineStr">
        <is>
          <t>B1.H-11</t>
        </is>
      </c>
      <c r="C340" s="3" t="inlineStr">
        <is>
          <t>Bilag 1.h Servicemål</t>
        </is>
      </c>
      <c r="D340" s="3" t="inlineStr">
        <is>
          <t>8.000.000</t>
        </is>
      </c>
      <c r="E340" s="3" t="inlineStr">
        <is>
          <t>dokumenter i løsningen på 2.000.000 sager med samlet 7 terabyte data.</t>
        </is>
      </c>
      <c r="F340" s="35" t="inlineStr">
        <is>
          <t>dokumenter i løsningen på 2.000.000 sager med samlet 7 terabyte data. De 8.000.000 dokumenter skal være fordelt i små, almindelige og store dokumentstørrelser som vist i Tabel 1. Der skal også være nogle dokumenter med maksimum størrelse. Tabel 1 – Dokumentstørrelser. Dokumenter er delt i tre niveauer Små Almindelige Store Maksimum Størrelse</t>
        </is>
      </c>
      <c r="G340" s="3" t="inlineStr">
        <is>
          <t>Mindstekrav</t>
        </is>
      </c>
      <c r="H340" s="35">
        <f>IF(G340="Evalueringskrav","Answer",(IF(G340="Krav","Check",(IF(G340="Mindstekrav","Verify","")))))</f>
        <v/>
      </c>
      <c r="I340" s="35" t="inlineStr">
        <is>
          <t>Nej</t>
        </is>
      </c>
      <c r="J340" s="35" t="n"/>
      <c r="K340" s="47" t="n"/>
      <c r="L340" s="35" t="inlineStr">
        <is>
          <t>Johan</t>
        </is>
      </c>
      <c r="M340" s="35" t="n"/>
      <c r="N340" s="35" t="n"/>
      <c r="O340" s="35" t="n"/>
      <c r="P340" s="35" t="n"/>
      <c r="Q340" s="35" t="n"/>
      <c r="R340" s="35" t="n"/>
      <c r="S340" s="35" t="n"/>
      <c r="T340" s="35" t="n"/>
      <c r="U340" s="35" t="inlineStr">
        <is>
          <t>Not Started</t>
        </is>
      </c>
      <c r="V340" s="37">
        <f>IF(U340="Not Started",0%,IF(U340="Started",50%,IF(U340="Ready for review",70%,IF(U340="Reviewed - Content",80%,IF(U340="Reviewed - Format",90%,IF(U340="Done",100%,""))))))</f>
        <v/>
      </c>
      <c r="W340" t="inlineStr">
        <is>
          <t>2026-07-07</t>
        </is>
      </c>
      <c r="X340" t="inlineStr">
        <is>
          <t>Cursor / tender-response (batch)</t>
        </is>
      </c>
      <c r="Y340" t="inlineStr">
        <is>
          <t>Clarify</t>
        </is>
      </c>
      <c r="Z340" t="inlineStr">
        <is>
          <t>Verified</t>
        </is>
      </c>
      <c r="AA340" t="inlineStr">
        <is>
          <t>Verify: dokumenter i løsningen på 2.000.000 sager med samlet 7 terabyte data. — kræver produkt-/team-afklaring (ingen tool-rating).</t>
        </is>
      </c>
      <c r="AB340" t="inlineStr"/>
      <c r="AC340" t="inlineStr">
        <is>
          <t>docs/tender-reference/extracted/Nationalbanken/Bilag 3.i Leverandørens Løsningsbeskrivelse.txt; docs/tender-reference/extracted/KK Tender tool.txt; docs/tender-reference/extracted/NND/02.01-Tieto-Bilag 2-Vedlegg-Leverandørens utfyllende svar til kravtabell.txt</t>
        </is>
      </c>
      <c r="AD340" t="inlineStr">
        <is>
          <t>Johan: Udfyld tool-rating (O) og evidens; gennemgå AI-kladde.</t>
        </is>
      </c>
      <c r="AE340" t="inlineStr"/>
      <c r="AF340" t="inlineStr">
        <is>
          <t>Draft</t>
        </is>
      </c>
      <c r="AG340" t="inlineStr">
        <is>
          <t>uim-esdh-full-2026-07-07</t>
        </is>
      </c>
    </row>
    <row r="341" ht="208" customHeight="1">
      <c r="A341" s="35" t="n">
        <v>319</v>
      </c>
      <c r="B341" s="3" t="inlineStr">
        <is>
          <t>B1.H-12</t>
        </is>
      </c>
      <c r="C341" s="3" t="inlineStr">
        <is>
          <t>Bilag 1.h Servicemål</t>
        </is>
      </c>
      <c r="D341" s="3" t="inlineStr">
        <is>
          <t>2.4.2</t>
        </is>
      </c>
      <c r="E341" s="3" t="inlineStr">
        <is>
          <t>Måling af svartider</t>
        </is>
      </c>
      <c r="F341" s="35" t="inlineStr">
        <is>
          <t>Måling af svartider Formålet med målingerne er at verificere, at ESDH-løsningen opfylder de fastsatte svartider, stabilitet og kapacitet, inden ESDH-løsningen sættes i produktion, og efter idriftsættelse løbende følge op på svartiderne, som beskrevet i afsnit 3.4.4. Svartidstesten gennemføres ved hjælp af et performanceværktøj, som Leverandøren skal stille til rådighed. Performanceværktøj skal kunne genere samtidige Brugere, måle svartider og registrere fejl under testen. Testen skal udføres af leverandøren i Kundens miljø med de belastninger, der er nævnt i afsnit 3.4.1. Opsætning af målepunkter skal (i samarbejde med Kunden) opsættes af Leverandøren, målepunkter af interesse er, men ikke begrænset til: a) b) c) d) e) f) g) Gennemsnitlige svartider. 95% svartid. 99% svartid. Antal fejl. CPU-forbrug. Hukommelsesforbrug. Databasebelastning.</t>
        </is>
      </c>
      <c r="G341" s="3" t="inlineStr">
        <is>
          <t>Mindstekrav</t>
        </is>
      </c>
      <c r="H341" s="35">
        <f>IF(G341="Evalueringskrav","Answer",(IF(G341="Krav","Check",(IF(G341="Mindstekrav","Verify","")))))</f>
        <v/>
      </c>
      <c r="I341" s="35" t="inlineStr">
        <is>
          <t>Nej</t>
        </is>
      </c>
      <c r="J341" s="35" t="n"/>
      <c r="K341" s="47" t="n"/>
      <c r="L341" s="35" t="inlineStr">
        <is>
          <t>Johan</t>
        </is>
      </c>
      <c r="M341" s="35" t="n"/>
      <c r="N341" s="35" t="n"/>
      <c r="O341" s="35" t="n"/>
      <c r="P341" s="35" t="n"/>
      <c r="Q341" s="35" t="n"/>
      <c r="R341" s="35" t="n"/>
      <c r="S341" s="35" t="n"/>
      <c r="T341" s="35" t="n"/>
      <c r="U341" s="35" t="inlineStr">
        <is>
          <t>Not Started</t>
        </is>
      </c>
      <c r="V341" s="37">
        <f>IF(U341="Not Started",0%,IF(U341="Started",50%,IF(U341="Ready for review",70%,IF(U341="Reviewed - Content",80%,IF(U341="Reviewed - Format",90%,IF(U341="Done",100%,""))))))</f>
        <v/>
      </c>
      <c r="W341" t="inlineStr">
        <is>
          <t>2026-07-07</t>
        </is>
      </c>
      <c r="X341" t="inlineStr">
        <is>
          <t>Cursor / tender-response (batch)</t>
        </is>
      </c>
      <c r="Y341" t="inlineStr">
        <is>
          <t>Clarify</t>
        </is>
      </c>
      <c r="Z341" t="inlineStr">
        <is>
          <t>Verified</t>
        </is>
      </c>
      <c r="AA341" t="inlineStr">
        <is>
          <t>Verify: Måling af svartider — kræver produkt-/team-afklaring (ingen tool-rating).</t>
        </is>
      </c>
      <c r="AB341" t="inlineStr"/>
      <c r="AC341" t="inlineStr">
        <is>
          <t>docs/tender-reference/extracted/Nationalbanken/Underbilag 6B - Testplan og Leverandørens prøveprincipper, metoder og -værktøjer (1).txt; docs/tender-reference/extracted/Nationalbanken/Bilag 3.i Leverandørens Løsningsbeskrivelse.txt; docs/tender-reference/extracted/KK Tender tool.txt</t>
        </is>
      </c>
      <c r="AD341" t="inlineStr">
        <is>
          <t>Johan: Udfyld tool-rating (O) og evidens; gennemgå AI-kladde.</t>
        </is>
      </c>
      <c r="AE341" t="inlineStr"/>
      <c r="AF341" t="inlineStr">
        <is>
          <t>Draft</t>
        </is>
      </c>
      <c r="AG341" t="inlineStr">
        <is>
          <t>uim-esdh-full-2026-07-07</t>
        </is>
      </c>
    </row>
    <row r="342" ht="64" customHeight="1">
      <c r="A342" s="35" t="n">
        <v>319</v>
      </c>
      <c r="B342" s="3" t="inlineStr">
        <is>
          <t>B1.H-13</t>
        </is>
      </c>
      <c r="C342" s="3" t="inlineStr">
        <is>
          <t>Bilag 1.h Servicemål</t>
        </is>
      </c>
      <c r="D342" s="3" t="inlineStr">
        <is>
          <t>2.4.3</t>
        </is>
      </c>
      <c r="E342" s="3" t="inlineStr">
        <is>
          <t>Håndtering af mangelfulde svartider</t>
        </is>
      </c>
      <c r="F342" s="35" t="inlineStr">
        <is>
          <t>Håndtering af mangelfulde svartider Leverandøren er forpligtet til, sammen med driftsleverandøren, at deltage aktivt i fejlsøgning og udbedring, hvis svartiderne ikke overholder kravene i Tabel 2 - Svartider. 6</t>
        </is>
      </c>
      <c r="G342" s="3" t="inlineStr">
        <is>
          <t>Mindstekrav</t>
        </is>
      </c>
      <c r="H342" s="35">
        <f>IF(G342="Evalueringskrav","Answer",(IF(G342="Krav","Check",(IF(G342="Mindstekrav","Verify","")))))</f>
        <v/>
      </c>
      <c r="I342" s="35" t="inlineStr">
        <is>
          <t>Nej</t>
        </is>
      </c>
      <c r="J342" s="35" t="n"/>
      <c r="K342" s="47" t="n"/>
      <c r="L342" s="35" t="inlineStr">
        <is>
          <t>Johan</t>
        </is>
      </c>
      <c r="M342" s="35" t="n"/>
      <c r="N342" s="35" t="n"/>
      <c r="O342" s="35" t="n"/>
      <c r="P342" s="35" t="n"/>
      <c r="Q342" s="35" t="n"/>
      <c r="R342" s="35" t="n"/>
      <c r="S342" s="35" t="n"/>
      <c r="T342" s="35" t="n"/>
      <c r="U342" s="35" t="inlineStr">
        <is>
          <t>Not Started</t>
        </is>
      </c>
      <c r="V342" s="37">
        <f>IF(U342="Not Started",0%,IF(U342="Started",50%,IF(U342="Ready for review",70%,IF(U342="Reviewed - Content",80%,IF(U342="Reviewed - Format",90%,IF(U342="Done",100%,""))))))</f>
        <v/>
      </c>
      <c r="W342" t="inlineStr">
        <is>
          <t>2026-07-07</t>
        </is>
      </c>
      <c r="X342" t="inlineStr">
        <is>
          <t>Cursor / tender-response (batch)</t>
        </is>
      </c>
      <c r="Y342" t="inlineStr">
        <is>
          <t>Clarify</t>
        </is>
      </c>
      <c r="Z342" t="inlineStr">
        <is>
          <t>Verified</t>
        </is>
      </c>
      <c r="AA342" t="inlineStr">
        <is>
          <t>Verify: Håndtering af mangelfulde svartider — kræver produkt-/team-afklaring (ingen tool-rating).</t>
        </is>
      </c>
      <c r="AB342" t="inlineStr"/>
      <c r="AC342" t="inlineStr">
        <is>
          <t>docs/tender-reference/extracted/Nationalbanken/Bilag 3.i Leverandørens Løsningsbeskrivelse.txt; docs/tender-reference/extracted/Nationalbanken/Underbilag 6B - Testplan og Leverandørens prøveprincipper, metoder og -værktøjer (1).txt; docs/product/RFP_Leverandørens_svar_utdrag.txt</t>
        </is>
      </c>
      <c r="AD342" t="inlineStr">
        <is>
          <t>Johan: Udfyld tool-rating (O) og evidens; gennemgå AI-kladde.</t>
        </is>
      </c>
      <c r="AE342" t="inlineStr"/>
      <c r="AF342" t="inlineStr">
        <is>
          <t>Draft</t>
        </is>
      </c>
      <c r="AG342" t="inlineStr">
        <is>
          <t>uim-esdh-full-2026-07-07</t>
        </is>
      </c>
    </row>
    <row r="343" ht="112" customHeight="1">
      <c r="A343" s="35" t="n">
        <v>319</v>
      </c>
      <c r="B343" s="3" t="inlineStr">
        <is>
          <t>B1.H-14</t>
        </is>
      </c>
      <c r="C343" s="3" t="inlineStr">
        <is>
          <t>Bilag 1.h Servicemål</t>
        </is>
      </c>
      <c r="D343" s="3" t="inlineStr">
        <is>
          <t>2.4.4</t>
        </is>
      </c>
      <c r="E343" s="3" t="inlineStr">
        <is>
          <t>Proaktiv ESDH-løsningsovervågning</t>
        </is>
      </c>
      <c r="F343" s="35" t="inlineStr">
        <is>
          <t>Proaktiv ESDH-løsningsovervågning Leverandøren skal, i samarbejde med Kundens driftsleverandør, sikre, at Løsningen muliggør en proaktiv ESDH-løsningsovervågning, som kontinuerligt overvåger Løsningens helbred, performance og svartider. Værktøjerne skal automatisk identificere ESDH-løsningsfejl og tekniske flaskehalse samt udstille data i tekniske dashboards og tilstandsrapporter, der giver Kunden fuld indsigt i løsningens aktuelle driftstilstand.</t>
        </is>
      </c>
      <c r="G343" s="3" t="inlineStr">
        <is>
          <t>Mindstekrav</t>
        </is>
      </c>
      <c r="H343" s="35">
        <f>IF(G343="Evalueringskrav","Answer",(IF(G343="Krav","Check",(IF(G343="Mindstekrav","Verify","")))))</f>
        <v/>
      </c>
      <c r="I343" s="35" t="inlineStr">
        <is>
          <t>Nej</t>
        </is>
      </c>
      <c r="J343" s="35" t="n"/>
      <c r="K343" s="47" t="n"/>
      <c r="L343" s="35" t="inlineStr">
        <is>
          <t>Johan</t>
        </is>
      </c>
      <c r="M343" s="35" t="n"/>
      <c r="N343" s="35" t="n"/>
      <c r="O343" s="35" t="n"/>
      <c r="P343" s="35" t="n"/>
      <c r="Q343" s="35" t="n"/>
      <c r="R343" s="35" t="n"/>
      <c r="S343" s="35" t="n"/>
      <c r="T343" s="35" t="n"/>
      <c r="U343" s="35" t="inlineStr">
        <is>
          <t>Not Started</t>
        </is>
      </c>
      <c r="V343" s="37">
        <f>IF(U343="Not Started",0%,IF(U343="Started",50%,IF(U343="Ready for review",70%,IF(U343="Reviewed - Content",80%,IF(U343="Reviewed - Format",90%,IF(U343="Done",100%,""))))))</f>
        <v/>
      </c>
      <c r="W343" t="inlineStr">
        <is>
          <t>2026-07-07</t>
        </is>
      </c>
      <c r="X343" t="inlineStr">
        <is>
          <t>Cursor / tender-response (batch)</t>
        </is>
      </c>
      <c r="Y343" t="inlineStr">
        <is>
          <t>Clarify</t>
        </is>
      </c>
      <c r="Z343" t="inlineStr">
        <is>
          <t>Verified</t>
        </is>
      </c>
      <c r="AA343" t="inlineStr">
        <is>
          <t>Verify: Proaktiv ESDH-løsningsovervågning — kræver produkt-/team-afklaring (ingen tool-rating).</t>
        </is>
      </c>
      <c r="AB343" t="inlineStr"/>
      <c r="AC343" t="inlineStr">
        <is>
          <t>docs/tender-reference/extracted/Nationalbanken/Bilag 3.i Leverandørens Løsningsbeskrivelse.txt; docs/tender-reference/extracted/KK Tender tool.txt; docs/tender-reference/extracted/Nationalbanken/Underbilag 6B - Testplan og Leverandørens prøveprincipper, metoder og -værktøjer (1).txt</t>
        </is>
      </c>
      <c r="AD343" t="inlineStr">
        <is>
          <t>Johan: Udfyld tool-rating (O) og evidens; gennemgå AI-kladde.</t>
        </is>
      </c>
      <c r="AE343" t="inlineStr"/>
      <c r="AF343" t="inlineStr">
        <is>
          <t>Draft</t>
        </is>
      </c>
      <c r="AG343" t="inlineStr">
        <is>
          <t>uim-esdh-full-2026-07-07</t>
        </is>
      </c>
    </row>
    <row r="344" ht="128" customHeight="1">
      <c r="A344" s="35" t="n">
        <v>319</v>
      </c>
      <c r="B344" s="3" t="inlineStr">
        <is>
          <t>B1.H-15</t>
        </is>
      </c>
      <c r="C344" s="3" t="inlineStr">
        <is>
          <t>Bilag 1.h Servicemål</t>
        </is>
      </c>
      <c r="D344" s="3" t="inlineStr">
        <is>
          <t>2.4.5</t>
        </is>
      </c>
      <c r="E344" s="3" t="inlineStr">
        <is>
          <t>Svartider til og fra ESDH via API</t>
        </is>
      </c>
      <c r="F344" s="35" t="inlineStr">
        <is>
          <t>Svartider til og fra ESDH via API Løsningen skal sikre, at ESDH-løsningen implementerer OIO API-standarden, således at der kan kommunikeres med andre offentlige systemer, herunder svartider for anvendelse af: • • API´er til opslag af sager og dokumentmetadata skal kunne besvare mindst 95% af alle forespørgsler indenfor 1 sekund og 99% af alle forespørgsler indenfor 2 sekunder under normal belastning med mindre end 0,5% fejlrate. API´er til journalisering Dokumenter skal kunne gennemføre mindst 95% af alle transaktioner indenfor</t>
        </is>
      </c>
      <c r="G344" s="3" t="inlineStr">
        <is>
          <t>Mindstekrav</t>
        </is>
      </c>
      <c r="H344" s="35">
        <f>IF(G344="Evalueringskrav","Answer",(IF(G344="Krav","Check",(IF(G344="Mindstekrav","Verify","")))))</f>
        <v/>
      </c>
      <c r="I344" s="35" t="inlineStr">
        <is>
          <t>Nej</t>
        </is>
      </c>
      <c r="J344" s="35" t="n"/>
      <c r="K344" s="47" t="n"/>
      <c r="L344" s="35" t="inlineStr">
        <is>
          <t>Johan</t>
        </is>
      </c>
      <c r="M344" s="35" t="n"/>
      <c r="N344" s="35" t="n"/>
      <c r="O344" s="35" t="n"/>
      <c r="P344" s="35" t="n"/>
      <c r="Q344" s="35" t="n"/>
      <c r="R344" s="35" t="n"/>
      <c r="S344" s="35" t="n"/>
      <c r="T344" s="35" t="n"/>
      <c r="U344" s="35" t="inlineStr">
        <is>
          <t>Not Started</t>
        </is>
      </c>
      <c r="V344" s="37">
        <f>IF(U344="Not Started",0%,IF(U344="Started",50%,IF(U344="Ready for review",70%,IF(U344="Reviewed - Content",80%,IF(U344="Reviewed - Format",90%,IF(U344="Done",100%,""))))))</f>
        <v/>
      </c>
      <c r="W344" t="inlineStr">
        <is>
          <t>2026-07-07</t>
        </is>
      </c>
      <c r="X344" t="inlineStr">
        <is>
          <t>Cursor / tender-response (batch)</t>
        </is>
      </c>
      <c r="Y344" t="inlineStr">
        <is>
          <t>Clarify</t>
        </is>
      </c>
      <c r="Z344" t="inlineStr">
        <is>
          <t>Verified</t>
        </is>
      </c>
      <c r="AA344" t="inlineStr">
        <is>
          <t>Verify: Svartider til og fra ESDH via API — kræver produkt-/team-afklaring (ingen tool-rating).</t>
        </is>
      </c>
      <c r="AB344" t="inlineStr"/>
      <c r="AC344" t="inlineStr">
        <is>
          <t>docs/tender-reference/extracted/KK Tender tool.txt; docs/tender-reference/extracted/Nationalbanken/Bilag 3.i Leverandørens Løsningsbeskrivelse.txt; docs/tender-reference/extracted/NND/02.01-Tieto-Bilag 2-Vedlegg-Leverandørens utfyllende svar til kravtabell.txt</t>
        </is>
      </c>
      <c r="AD344" t="inlineStr">
        <is>
          <t>Johan: Udfyld tool-rating (O) og evidens; gennemgå AI-kladde.</t>
        </is>
      </c>
      <c r="AE344" t="inlineStr"/>
      <c r="AF344" t="inlineStr">
        <is>
          <t>Draft</t>
        </is>
      </c>
      <c r="AG344" t="inlineStr">
        <is>
          <t>uim-esdh-full-2026-07-07</t>
        </is>
      </c>
    </row>
    <row r="345" ht="409.5" customHeight="1">
      <c r="A345" s="35" t="n">
        <v>319</v>
      </c>
      <c r="B345" s="3" t="inlineStr">
        <is>
          <t>B1.H-16</t>
        </is>
      </c>
      <c r="C345" s="3" t="inlineStr">
        <is>
          <t>Bilag 1.h Servicemål</t>
        </is>
      </c>
      <c r="D345" s="3" t="inlineStr">
        <is>
          <t>2.5</t>
        </is>
      </c>
      <c r="E345" s="3" t="inlineStr">
        <is>
          <t>Servicemål for support ved incidents i ESDH-løsningen</t>
        </is>
      </c>
      <c r="F345" s="35" t="inlineStr">
        <is>
          <t>Servicemål for support ved incidents i ESDH-løsningen Leverandøren skal tage imod henvendelser fra Kunden, når der opstår incidents, og forpligtiger sig til at anvende og oprette dem i Kundens interne servicemanagementsystem. Uanset om årsagen til et givet incident entydigt kan henføres til Leverandøren eller ej, skal Leverandøren bistå ved afhjælpning af incidentet. Leverandøren er ligeledes forpligtet til at bistå Kundens driftsleverandør i relevant arbejde med analyse af incidentet i forhold til ESDH-løsningen. Kategorisering af incidents sker som udgangspunkt af Kunden enten ved en mundtlig eller skriftlig indrapportering. Kategoriseringen af et incident afhænger særligt af, om incidentet er kritisk for løsning af Kundens opgaver, og om incidentet kan løses ved en omgåelse. Såfremt der er uenighed om kategoriseringen skal uenigheden løses efter princippet om ”udbedr først – afklar senere”. Princippet ”udbedr først – afklar senere” indebærer, at Leverandøren altid har en forpligtelse til at levere Ydelserne uanset Parternes uoverensstemmelse. Indtil Kunden og Leverandøren har afgjort spørgsmålet om kategoriseringen af det indrapporterede incident, skal Leverandøren foretage den fornødne afhjælpning i forhold til Kundens kategorisering. Reaktionstiden måles frem til det tidspunkt, hvor Leverandøren enten har løst incidenten eller har udført sådan afhjælpning, at incidenten kun er af typen ”betydende incident” eller ”ubetydeligt incident”, hvorefter et nyt interval begynder. Såfremt Kunden har indrapporteret incidentet udenfor den aftalte Servicetid, måles reaktionstiden fra det tidligste tidspunkt efter indrapporteringen, der er omfattet af den aftalte Servicetid. 7 Reaktionstiden er den tid, indenfor hvilken Leverandøren senest skal have igangsat en udbedring af incidenten. Incidentet skal være løst indenfor den tidsramme, som angives i kolonnen ”Servicemål” i Tabel 4 nedenfor.</t>
        </is>
      </c>
      <c r="G345" s="3" t="inlineStr">
        <is>
          <t>Mindstekrav</t>
        </is>
      </c>
      <c r="H345" s="35">
        <f>IF(G345="Evalueringskrav","Answer",(IF(G345="Krav","Check",(IF(G345="Mindstekrav","Verify","")))))</f>
        <v/>
      </c>
      <c r="I345" s="35" t="inlineStr">
        <is>
          <t>Nej</t>
        </is>
      </c>
      <c r="J345" s="35" t="n"/>
      <c r="K345" s="47" t="n"/>
      <c r="L345" s="35" t="inlineStr">
        <is>
          <t>Johan</t>
        </is>
      </c>
      <c r="M345" s="35" t="n"/>
      <c r="N345" s="35" t="n"/>
      <c r="O345" s="35" t="n"/>
      <c r="P345" s="35" t="n"/>
      <c r="Q345" s="35" t="n"/>
      <c r="R345" s="35" t="n"/>
      <c r="S345" s="35" t="n"/>
      <c r="T345" s="35" t="n"/>
      <c r="U345" s="35" t="inlineStr">
        <is>
          <t>Not Started</t>
        </is>
      </c>
      <c r="V345" s="37">
        <f>IF(U345="Not Started",0%,IF(U345="Started",50%,IF(U345="Ready for review",70%,IF(U345="Reviewed - Content",80%,IF(U345="Reviewed - Format",90%,IF(U345="Done",100%,""))))))</f>
        <v/>
      </c>
      <c r="W345" t="inlineStr">
        <is>
          <t>2026-07-07</t>
        </is>
      </c>
      <c r="X345" t="inlineStr">
        <is>
          <t>Cursor / tender-response (batch)</t>
        </is>
      </c>
      <c r="Y345" t="inlineStr">
        <is>
          <t>Clarify</t>
        </is>
      </c>
      <c r="Z345" t="inlineStr">
        <is>
          <t>Verified</t>
        </is>
      </c>
      <c r="AA345" t="inlineStr">
        <is>
          <t>Verify: Servicemål for support ved incidents i ESDH-løsningen — kræver produkt-/team-afklaring (ingen tool-rating).</t>
        </is>
      </c>
      <c r="AB345" t="inlineStr"/>
      <c r="AC345" t="inlineStr">
        <is>
          <t>docs/tender-reference/extracted/KK Tender tool.txt; docs/tender-reference/extracted/Nationalbanken/Bilag 3.i Leverandørens Løsningsbeskrivelse.txt; docs/tender-reference/extracted/Nationalbanken/Bilag 1.i Leverandørens Løsningsbeskrivelse.txt</t>
        </is>
      </c>
      <c r="AD345" t="inlineStr">
        <is>
          <t>Johan: Udfyld tool-rating (O) og evidens; gennemgå AI-kladde.</t>
        </is>
      </c>
      <c r="AE345" t="inlineStr"/>
      <c r="AF345" t="inlineStr">
        <is>
          <t>Draft</t>
        </is>
      </c>
      <c r="AG345" t="inlineStr">
        <is>
          <t>uim-esdh-full-2026-07-07</t>
        </is>
      </c>
    </row>
    <row r="346" ht="409.5" customHeight="1">
      <c r="A346" s="35" t="n">
        <v>319</v>
      </c>
      <c r="B346" s="3" t="inlineStr">
        <is>
          <t>B1.H-17</t>
        </is>
      </c>
      <c r="C346" s="3" t="inlineStr">
        <is>
          <t>Bilag 1.h Servicemål</t>
        </is>
      </c>
      <c r="D346" s="3" t="inlineStr">
        <is>
          <t>2.6</t>
        </is>
      </c>
      <c r="E346" s="3" t="inlineStr">
        <is>
          <t>Incidentkategorier</t>
        </is>
      </c>
      <c r="F346" s="35" t="inlineStr">
        <is>
          <t>Incidentkategorier Nedenfor beskrives de fire kategorier, som incidents skal kategoriseres i henhold til, og som skal anvendes af Leverandøren i forbindelse med indberetninger af incidents fra produktion i Kundens servicemanagementsystem. Incidentkategorierne skal tillige anvendes i den løbende rapportering. Tabel 3 - Incidentkategorier Incidentkategori Kritisk incidents (Prioritet 1) Beskrivelse Det er et kritisk incident, hvis omgåelse ikke er mulig, dvs. at sagsbehandlingen (eller dele heraf) ikke kan gennemføres, som Løsningen er designet. Konsekvenserne heraf er væsentlige for f.eks. faglig korrekthed, omdømme, sagsbehandlingstider, trivsel hos medarbejdere, forringet servicekvalitet for borgere m.m. Alvorligt incident (Prioritet 2) Det er et kritisk incident, hvis incidenten udgør en væsentlig risiko for persondatasikkerhed. Det er et alvorligt incident, hvis rimelig omgåelse ikke er mulig, dvs. at ansøgningsprocessen og sagsbehandlingen (eller dele heraf) kun kan gennemføres med markant længere behandlingstid eller svartid pr. sag, eller at omgåelsen af incidenten medfører forhøjet risiko for sagsbehandlingsfejl. Konsekvenserne heraf er væsentlige for f.eks. faglig korrekthed, omdømme, sagsbehandlingstider, trivsel hos medarbejdere, forringet servicekvalitet for borgere m.m. Betydende incident (Prioritet 3) Ubetydeligt incident (Prioritet 4) Det er et alvorligt incident, hvis incidenten udgør en risiko for persondatasikkerhed. Det er et betydende incident, hvis rimelig omgåelse er mulig, dvs. at sagsbehandlingen kan gennemføres, evt. med marginal forringelse af sagsbehandlingstider eller marginalt forringet servicekvalitet for borgere. Det er et ubetydeligt incident, hvis den ikke har nogen eller blot bagatelagtig betydning for sagsbehandling eller for borgerens service.</t>
        </is>
      </c>
      <c r="G346" s="3" t="inlineStr">
        <is>
          <t>Mindstekrav</t>
        </is>
      </c>
      <c r="H346" s="35">
        <f>IF(G346="Evalueringskrav","Answer",(IF(G346="Krav","Check",(IF(G346="Mindstekrav","Verify","")))))</f>
        <v/>
      </c>
      <c r="I346" s="35" t="inlineStr">
        <is>
          <t>Nej</t>
        </is>
      </c>
      <c r="J346" s="35" t="n"/>
      <c r="K346" s="47" t="n"/>
      <c r="L346" s="35" t="inlineStr">
        <is>
          <t>Johan</t>
        </is>
      </c>
      <c r="M346" s="35" t="n"/>
      <c r="N346" s="35" t="n"/>
      <c r="O346" s="35" t="n"/>
      <c r="P346" s="35" t="n"/>
      <c r="Q346" s="35" t="n"/>
      <c r="R346" s="35" t="n"/>
      <c r="S346" s="35" t="n"/>
      <c r="T346" s="35" t="n"/>
      <c r="U346" s="35" t="inlineStr">
        <is>
          <t>Not Started</t>
        </is>
      </c>
      <c r="V346" s="37">
        <f>IF(U346="Not Started",0%,IF(U346="Started",50%,IF(U346="Ready for review",70%,IF(U346="Reviewed - Content",80%,IF(U346="Reviewed - Format",90%,IF(U346="Done",100%,""))))))</f>
        <v/>
      </c>
      <c r="W346" t="inlineStr">
        <is>
          <t>2026-07-07</t>
        </is>
      </c>
      <c r="X346" t="inlineStr">
        <is>
          <t>Cursor / tender-response (batch)</t>
        </is>
      </c>
      <c r="Y346" t="inlineStr">
        <is>
          <t>Clarify</t>
        </is>
      </c>
      <c r="Z346" t="inlineStr">
        <is>
          <t>Verified</t>
        </is>
      </c>
      <c r="AA346" t="inlineStr">
        <is>
          <t>Verify: Incidentkategorier — kræver produkt-/team-afklaring (ingen tool-rating).</t>
        </is>
      </c>
      <c r="AB346" t="inlineStr"/>
      <c r="AC346" t="inlineStr">
        <is>
          <t>docs/tender-reference/extracted/Nationalbanken/Bilag 3.i Leverandørens Løsningsbeskrivelse.txt; docs/tender-reference/extracted/KK Tender tool.txt; docs/product/RFP_Leverandørens_svar_utdrag.txt</t>
        </is>
      </c>
      <c r="AD346" t="inlineStr">
        <is>
          <t>Johan: Udfyld tool-rating (O) og evidens; gennemgå AI-kladde.</t>
        </is>
      </c>
      <c r="AE346" t="inlineStr"/>
      <c r="AF346" t="inlineStr">
        <is>
          <t>Draft</t>
        </is>
      </c>
      <c r="AG346" t="inlineStr">
        <is>
          <t>uim-esdh-full-2026-07-07</t>
        </is>
      </c>
    </row>
    <row r="347" ht="409.5" customHeight="1">
      <c r="A347" s="35" t="n">
        <v>319</v>
      </c>
      <c r="B347" s="3" t="inlineStr">
        <is>
          <t>B1.H-18</t>
        </is>
      </c>
      <c r="C347" s="3" t="inlineStr">
        <is>
          <t>Bilag 1.h Servicemål</t>
        </is>
      </c>
      <c r="D347" s="3" t="inlineStr">
        <is>
          <t>2.7</t>
        </is>
      </c>
      <c r="E347" s="3" t="inlineStr">
        <is>
          <t>Servicemål</t>
        </is>
      </c>
      <c r="F347" s="35" t="inlineStr">
        <is>
          <t>Servicemål Leverandøren skal tage imod henvendelser fra Kunden i aftalt driftstid. I tilfælde af kritiske incidents (prioritet 1) skal det desuden være muligt for Kunden at kontakte Leverandøren uden for normal driftstid med henblik på afhjælpning af kritiske incidents. Servicemål for Leverandørens afhjælpning, herunder for Leverandørens reaktions, løsningsindsats og statusrapportering, fremgår af nedenstående tabel: 8 Tabel 4 – Servicemål KPI Reaktionstiden ved sikkerhedsnedbrud angiver tiden fra IT sikkerhedsbrud til Leverandørens SPOC indgår i Kundens sikkerhedsorganisation og evt. Kundens taskforce. Reaktionstiden angiver tiden fra henvendelsen om incidents er modtaget, ved registrering i servicemanagement-systemet, til løsning eller afhjælpning påbegyndes hos Leverandøren. Løsningsindsats hos Leverandøren indtil incidenten er løst. Statusrapportering i relation til indrapporterede incidents. Statusrapportering initieres af Leverandørens registrering af henvendelsen. Servicemål (Måles af leverandøren) Leverandøren skal påbegynde afhjælpning omgående, og senest inden for 30 minutter fra det tidspunkt, hvor Leverandøren selv bliver bekendt med sikkerhedsnedbruddet eller Kunden giver Leverandøren besked herom. &gt;90 % har Leverandøren påbegyndt afhjælpning af incidents indenfor: 1. Prioritet 1: Umiddelbart og mindre end 2 timer 2. Prioritet 2: Inden for2 timer (inden for aftalt driftstid). 3. Prioritet 3: Inden 5 Arbejdsdage. 4. Prioritet 4: Inden 20 Arbejdsdage. 1. Prioritet 1: Leverandøren skal arbejde uhindret på løsning af incidenten også uden for aftalt driftstid indtil incidenten er løst. 2. Prioritet 2: Leverandøren skal arbejde uhindret på løsning af incidenten inden for aftalt driftstid. 3. Prioritet 3: Leverandøren skal arbejde på løsningen af incidenten inden for aftalt driftstid efter prioritering med Kunden ift. øvrige opgaver. 4. Prioritet 4: Leverandøren skal arbejde på løsning af incidenten inden for aftalt driftstid uden, det hindrer fremdriften på Leverandørens øvrige opgaver for Kunden. 1. Prioritet 1: Leverandørens statusrapportering til Kunden skal ske minimum hver anden time indenfor normal driftstid, indtil incidenten er løst. 2. Prioritet 2: Leverandørens statusrapportering til Kunden skal ske mindst én gang hver Arbejdsdag, indtil incidenten er løst. 3. Prioritet 3: Statusrapportering gives i forbindelse med Leverandørens månedlige statusrapportering til Kunden. 4. Prioritet 4: Statusrapportering gives i forbindelse med Leverandørens månedlige statusrapportering til Kunden.</t>
        </is>
      </c>
      <c r="G347" s="3" t="inlineStr">
        <is>
          <t>Mindstekrav</t>
        </is>
      </c>
      <c r="H347" s="35">
        <f>IF(G347="Evalueringskrav","Answer",(IF(G347="Krav","Check",(IF(G347="Mindstekrav","Verify","")))))</f>
        <v/>
      </c>
      <c r="I347" s="35" t="inlineStr">
        <is>
          <t>Nej</t>
        </is>
      </c>
      <c r="J347" s="35" t="n"/>
      <c r="K347" s="47" t="n"/>
      <c r="L347" s="35" t="inlineStr">
        <is>
          <t>Johan</t>
        </is>
      </c>
      <c r="M347" s="35" t="n"/>
      <c r="N347" s="35" t="n"/>
      <c r="O347" s="35" t="n"/>
      <c r="P347" s="35" t="n"/>
      <c r="Q347" s="35" t="n"/>
      <c r="R347" s="35" t="n"/>
      <c r="S347" s="35" t="n"/>
      <c r="T347" s="35" t="n"/>
      <c r="U347" s="35" t="inlineStr">
        <is>
          <t>Not Started</t>
        </is>
      </c>
      <c r="V347" s="37">
        <f>IF(U347="Not Started",0%,IF(U347="Started",50%,IF(U347="Ready for review",70%,IF(U347="Reviewed - Content",80%,IF(U347="Reviewed - Format",90%,IF(U347="Done",100%,""))))))</f>
        <v/>
      </c>
      <c r="W347" t="inlineStr">
        <is>
          <t>2026-07-07</t>
        </is>
      </c>
      <c r="X347" t="inlineStr">
        <is>
          <t>Cursor / tender-response (batch)</t>
        </is>
      </c>
      <c r="Y347" t="inlineStr">
        <is>
          <t>Clarify</t>
        </is>
      </c>
      <c r="Z347" t="inlineStr">
        <is>
          <t>Verified</t>
        </is>
      </c>
      <c r="AA347" t="inlineStr">
        <is>
          <t>Verify: Servicemål — kræver produkt-/team-afklaring (ingen tool-rating).</t>
        </is>
      </c>
      <c r="AB347" t="inlineStr"/>
      <c r="AC347" t="inlineStr">
        <is>
          <t>docs/tender-reference/extracted/KK Tender tool.txt; docs/tender-reference/extracted/Nationalbanken/Bilag 3.i Leverandørens Løsningsbeskrivelse.txt; docs/tender-reference/extracted/KUM-SLKS/Bilag 10 - Producentens standardvilkår.txt</t>
        </is>
      </c>
      <c r="AD347" t="inlineStr">
        <is>
          <t>Johan: Udfyld tool-rating (O) og evidens; gennemgå AI-kladde.</t>
        </is>
      </c>
      <c r="AE347" t="inlineStr"/>
      <c r="AF347" t="inlineStr">
        <is>
          <t>Draft</t>
        </is>
      </c>
      <c r="AG347" t="inlineStr">
        <is>
          <t>uim-esdh-full-2026-07-07</t>
        </is>
      </c>
    </row>
    <row r="348" ht="192" customHeight="1">
      <c r="A348" s="35" t="n">
        <v>319</v>
      </c>
      <c r="B348" s="3" t="inlineStr">
        <is>
          <t>B1.J-1</t>
        </is>
      </c>
      <c r="C348" s="3" t="inlineStr">
        <is>
          <t>Bilag 1.j Ændringshåndtering</t>
        </is>
      </c>
      <c r="D348" s="3" t="inlineStr">
        <is>
          <t>1.1</t>
        </is>
      </c>
      <c r="E348" s="3" t="inlineStr">
        <is>
          <t>Formål</t>
        </is>
      </c>
      <c r="F348" s="35" t="inlineStr">
        <is>
          <t>Formål Formålet med dette bilag er at angive procedurer og regler for ændringshåndtering, der kan finde anvendelse ved Leveringskontraktens opfyldelse. Leverandøren skal i henhold til Leveringskontrakten levere en række Ydelser, der f.eks. kan føre til ændringer af Løsningen. Tilpasning af eksisterende funktionalitet i Løsningen som følger af Leverandørens forpligtelser under Leveringskontrakten, f.eks. som følge af lovvedligehold, fejrettelser, nødvendige release ændringer ift. Løsningens afvikling eller andet, skal gennemføres af Leverandøren jf. Leveringskontrakten. Omkostninger hertil er Kunden uvedkommende, også uanset en sådan tilpasning håndteres via ændringsproceduren i nærværende bilag for sådanne ændringer.</t>
        </is>
      </c>
      <c r="G348" s="3" t="inlineStr">
        <is>
          <t>Mindstekrav</t>
        </is>
      </c>
      <c r="H348" s="35">
        <f>IF(G348="Evalueringskrav","Answer",(IF(G348="Krav","Check",(IF(G348="Mindstekrav","Verify","")))))</f>
        <v/>
      </c>
      <c r="I348" s="35" t="inlineStr">
        <is>
          <t>Nej</t>
        </is>
      </c>
      <c r="J348" s="35" t="n"/>
      <c r="K348" s="47" t="n"/>
      <c r="L348" s="35" t="inlineStr">
        <is>
          <t>Cristina</t>
        </is>
      </c>
      <c r="M348" s="35" t="n"/>
      <c r="N348" s="35" t="n"/>
      <c r="O348" s="35" t="n"/>
      <c r="P348" s="35" t="n"/>
      <c r="Q348" s="35" t="n"/>
      <c r="R348" s="35" t="n"/>
      <c r="S348" s="35" t="n"/>
      <c r="T348" s="35" t="n"/>
      <c r="U348" s="35" t="inlineStr">
        <is>
          <t>Not Started</t>
        </is>
      </c>
      <c r="V348" s="37">
        <f>IF(U348="Not Started",0%,IF(U348="Started",50%,IF(U348="Ready for review",70%,IF(U348="Reviewed - Content",80%,IF(U348="Reviewed - Format",90%,IF(U348="Done",100%,""))))))</f>
        <v/>
      </c>
      <c r="W348" t="inlineStr">
        <is>
          <t>2026-07-07</t>
        </is>
      </c>
      <c r="X348" t="inlineStr">
        <is>
          <t>Cursor / tender-response (batch)</t>
        </is>
      </c>
      <c r="Y348" t="inlineStr">
        <is>
          <t>Clarify</t>
        </is>
      </c>
      <c r="Z348" t="inlineStr">
        <is>
          <t>Verified</t>
        </is>
      </c>
      <c r="AA348" t="inlineStr">
        <is>
          <t>Verify: Formål — kræver produkt-/team-afklaring (ingen tool-rating).</t>
        </is>
      </c>
      <c r="AB348" t="inlineStr"/>
      <c r="AC348" t="inlineStr">
        <is>
          <t>docs/tender-reference/extracted/KK Tender tool.txt; docs/tender-reference/extracted/Nationalbanken/Bilag 3.i Leverandørens Løsningsbeskrivelse.txt; docs/tender-reference/extracted/KUM-SLKS/Bilag 1 - Tidsplan.txt</t>
        </is>
      </c>
      <c r="AD348" t="inlineStr">
        <is>
          <t>Cristina: Udfyld tool-rating (O) og evidens; gennemgå AI-kladde.</t>
        </is>
      </c>
      <c r="AE348" t="inlineStr"/>
      <c r="AF348" t="inlineStr">
        <is>
          <t>Draft</t>
        </is>
      </c>
      <c r="AG348" t="inlineStr">
        <is>
          <t>uim-esdh-full-2026-07-07</t>
        </is>
      </c>
    </row>
    <row r="349" ht="409.5" customHeight="1">
      <c r="A349" s="35" t="n">
        <v>319</v>
      </c>
      <c r="B349" s="3" t="inlineStr">
        <is>
          <t>B1.J-2</t>
        </is>
      </c>
      <c r="C349" s="3" t="inlineStr">
        <is>
          <t>Bilag 1.j Ændringshåndtering</t>
        </is>
      </c>
      <c r="D349" s="3" t="inlineStr">
        <is>
          <t>2.1</t>
        </is>
      </c>
      <c r="E349" s="3" t="inlineStr">
        <is>
          <t>Løsningsforslag</t>
        </is>
      </c>
      <c r="F349" s="35" t="inlineStr">
        <is>
          <t>Løsningsforslag Leverandøren skal udarbejde et løsningsforslag, der som minimum indeholder oplysninger: a) Leverandørens beskrivelse af løsningsforslaget, herunder en detaljeret beskrivelse af hvordan ændringsanmodningen opfyldes samt ressourceforbruget forbundet med implementeringen af ændringen med forsat opretholdelse af de fastsatte servicemål efter gennemførelse af ændringen. b) Tidsplan for ændringen samt eventuelle konsekvenser for en eksisterende tidsplan. c) Vederlagsmæssige konsekvenser af Løsningen, herunder eventuelle konsekvenser for løbende vederlag for løsninger og tilknyttede Ydelser. d) Antallet af konsulenttimer til gennemførelse af ændringen. e) Konsekvenser for Løsningen og eksekvering af løsningen. f) Konsekvenser for funktionelle tillægsydelser og integrationer. g) Konsekvenser for Leverandørens øvrige Ydelser. h) Konsekvenser for servicemål. i) Konsekvenser for dokumentation. j) Konsekvenser for Brugernes anvendelse af Løsningen. k) Konsekvenser for Kundens medvirken og ressourcer. l) Konsekvenser for Kundens øvrige It-systemer og løsninger, såfremt Leverandøren har den fornødne indsigt i forhold hertil. m) Konsekvenser for arkitektur, sikkerhed og drift. n) Tidspunkt for eventuel afprøvning af gennemførte ændringer og konsekvenser for afprøvning af øvrige dele af løsningen, herunder Kundens deltagelse. o) Konsekvenser for uddannelse. p) Konsekvenser for andre leverandører og deres leverancer, hvis Leverandøren har den fornødne indsigt i forhold hertil. q) Konsekvenser for exit og exitprocessen. r) Leverandørens angivelse af hvilke bilag, som Leverandørens har udarbejdet korrektioner til som følge af ændringen. s) Konsekvenser såfremt ændringen ikke gennemføres. t) Eventuelle andre relevante forhold. Såfremt løsningsforslaget ikke indeholder en angivelse af konsekvenser i forhold til ovenstående, anses ændringen og løsningsforslaget for ikke at påvirke, ændre eller i øvrigt at have konsekvenser for de pågældende forhold.</t>
        </is>
      </c>
      <c r="G349" s="3" t="inlineStr">
        <is>
          <t>Mindstekrav</t>
        </is>
      </c>
      <c r="H349" s="35">
        <f>IF(G349="Evalueringskrav","Answer",(IF(G349="Krav","Check",(IF(G349="Mindstekrav","Verify","")))))</f>
        <v/>
      </c>
      <c r="I349" s="35" t="inlineStr">
        <is>
          <t>Nej</t>
        </is>
      </c>
      <c r="J349" s="35" t="n"/>
      <c r="K349" s="47" t="n"/>
      <c r="L349" s="35" t="inlineStr">
        <is>
          <t>Cristina</t>
        </is>
      </c>
      <c r="M349" s="35" t="n"/>
      <c r="N349" s="35" t="n"/>
      <c r="O349" s="35" t="n"/>
      <c r="P349" s="35" t="n"/>
      <c r="Q349" s="35" t="n"/>
      <c r="R349" s="35" t="n"/>
      <c r="S349" s="35" t="n"/>
      <c r="T349" s="35" t="n"/>
      <c r="U349" s="35" t="inlineStr">
        <is>
          <t>Not Started</t>
        </is>
      </c>
      <c r="V349" s="37">
        <f>IF(U349="Not Started",0%,IF(U349="Started",50%,IF(U349="Ready for review",70%,IF(U349="Reviewed - Content",80%,IF(U349="Reviewed - Format",90%,IF(U349="Done",100%,""))))))</f>
        <v/>
      </c>
      <c r="W349" t="inlineStr">
        <is>
          <t>2026-07-07</t>
        </is>
      </c>
      <c r="X349" t="inlineStr">
        <is>
          <t>Cursor / tender-response (batch)</t>
        </is>
      </c>
      <c r="Y349" t="inlineStr">
        <is>
          <t>Clarify</t>
        </is>
      </c>
      <c r="Z349" t="inlineStr">
        <is>
          <t>Verified</t>
        </is>
      </c>
      <c r="AA349" t="inlineStr">
        <is>
          <t>Verify: Løsningsforslag — kræver produkt-/team-afklaring (ingen tool-rating).</t>
        </is>
      </c>
      <c r="AB349" t="inlineStr"/>
      <c r="AC349" t="inlineStr">
        <is>
          <t>docs/tender-reference/extracted/KK Tender tool.txt; docs/tender-reference/extracted/Nationalbanken/Bilag 3.i Leverandørens Løsningsbeskrivelse.txt; docs/tender-reference/extracted/Nationalbanken/Underbilag 6B - Testplan og Leverandørens prøveprincipper, metoder og -værktøjer (1).txt</t>
        </is>
      </c>
      <c r="AD349" t="inlineStr">
        <is>
          <t>Cristina: Udfyld tool-rating (O) og evidens; gennemgå AI-kladde.</t>
        </is>
      </c>
      <c r="AE349" t="inlineStr"/>
      <c r="AF349" t="inlineStr">
        <is>
          <t>Draft</t>
        </is>
      </c>
      <c r="AG349" t="inlineStr">
        <is>
          <t>uim-esdh-full-2026-07-07</t>
        </is>
      </c>
    </row>
    <row r="350" ht="256" customHeight="1">
      <c r="A350" s="35" t="n">
        <v>319</v>
      </c>
      <c r="B350" s="3" t="inlineStr">
        <is>
          <t>B1.J-3</t>
        </is>
      </c>
      <c r="C350" s="3" t="inlineStr">
        <is>
          <t>Bilag 1.j Ændringshåndtering</t>
        </is>
      </c>
      <c r="D350" s="3" t="inlineStr">
        <is>
          <t>2.2</t>
        </is>
      </c>
      <c r="E350" s="3" t="inlineStr">
        <is>
          <t>Godkendelse og levering</t>
        </is>
      </c>
      <c r="F350" s="35" t="inlineStr">
        <is>
          <t>Godkendelse og levering Leverandøren skal fremsende løsningsforslaget til Kunden med henblik på Kundens godkendelse. Kunden bekræfter herefter skriftligt overfor Leverandøren, hvorvidt et givent løsningsforslag kan godkendes. Kunden kan vælge enten: a) Afvise løsningsforslaget. 3 b) Godkende løsningsforslaget på betingelse af ændringer af løsningsforslaget, som Kunden specificerer. c) Godkende løsningsforslaget. Ved anmodning om en væsentlig ændring af et løsningsforslag, anses det som en afvisning af det foreliggende løsningsforslag. Leverandøren skal, hvis Kunden fremsætter anmodning om ændring af et løsningsforslag, bekræfte skriftligt overfor Kunden, om ændringerne til løsningsforslaget kan accepteres. Når Kunden har godkendt et løsningsforslag, implementeres den pågældende ændring i Leveringskontrakten. Leverandøren skal herefter påbegynde arbejde forbundet med løsningsforslaget i relation til Løsningen i overensstemmelse dermed samt i overensstemmelse med Leveringskontrakten i øvrigt.</t>
        </is>
      </c>
      <c r="G350" s="3" t="inlineStr">
        <is>
          <t>Mindstekrav</t>
        </is>
      </c>
      <c r="H350" s="35">
        <f>IF(G350="Evalueringskrav","Answer",(IF(G350="Krav","Check",(IF(G350="Mindstekrav","Verify","")))))</f>
        <v/>
      </c>
      <c r="I350" s="35" t="inlineStr">
        <is>
          <t>Nej</t>
        </is>
      </c>
      <c r="J350" s="35" t="n"/>
      <c r="K350" s="47" t="n"/>
      <c r="L350" s="35" t="inlineStr">
        <is>
          <t>Cristina</t>
        </is>
      </c>
      <c r="M350" s="35" t="n"/>
      <c r="N350" s="35" t="n"/>
      <c r="O350" s="35" t="n"/>
      <c r="P350" s="35" t="n"/>
      <c r="Q350" s="35" t="n"/>
      <c r="R350" s="35" t="n"/>
      <c r="S350" s="35" t="n"/>
      <c r="T350" s="35" t="n"/>
      <c r="U350" s="35" t="inlineStr">
        <is>
          <t>Not Started</t>
        </is>
      </c>
      <c r="V350" s="37">
        <f>IF(U350="Not Started",0%,IF(U350="Started",50%,IF(U350="Ready for review",70%,IF(U350="Reviewed - Content",80%,IF(U350="Reviewed - Format",90%,IF(U350="Done",100%,""))))))</f>
        <v/>
      </c>
      <c r="W350" t="inlineStr">
        <is>
          <t>2026-07-07</t>
        </is>
      </c>
      <c r="X350" t="inlineStr">
        <is>
          <t>Cursor / tender-response (batch)</t>
        </is>
      </c>
      <c r="Y350" t="inlineStr">
        <is>
          <t>Clarify</t>
        </is>
      </c>
      <c r="Z350" t="inlineStr">
        <is>
          <t>Verified</t>
        </is>
      </c>
      <c r="AA350" t="inlineStr">
        <is>
          <t>Verify: Godkendelse og levering — kræver produkt-/team-afklaring (ingen tool-rating).</t>
        </is>
      </c>
      <c r="AB350" t="inlineStr"/>
      <c r="AC350" t="inlineStr">
        <is>
          <t>docs/tender-reference/extracted/KK Tender tool.txt; docs/tender-reference/extracted/Nationalbanken/Bilag 3.i Leverandørens Løsningsbeskrivelse.txt; docs/tender-reference/extracted/KUM-SLKS/Bilag 3 - Kravspecifikation.txt</t>
        </is>
      </c>
      <c r="AD350" t="inlineStr">
        <is>
          <t>Cristina: Udfyld tool-rating (O) og evidens; gennemgå AI-kladde.</t>
        </is>
      </c>
      <c r="AE350" t="inlineStr"/>
      <c r="AF350" t="inlineStr">
        <is>
          <t>Draft</t>
        </is>
      </c>
      <c r="AG350" t="inlineStr">
        <is>
          <t>uim-esdh-full-2026-07-07</t>
        </is>
      </c>
    </row>
    <row r="351" ht="256" customHeight="1">
      <c r="A351" s="35" t="n">
        <v>319</v>
      </c>
      <c r="B351" s="3" t="inlineStr">
        <is>
          <t>B1.J-4</t>
        </is>
      </c>
      <c r="C351" s="3" t="inlineStr">
        <is>
          <t>Bilag 1.j Ændringshåndtering</t>
        </is>
      </c>
      <c r="D351" s="3" t="inlineStr">
        <is>
          <t>2.3</t>
        </is>
      </c>
      <c r="E351" s="3" t="inlineStr">
        <is>
          <t>Ændringsstyring</t>
        </is>
      </c>
      <c r="F351" s="35" t="inlineStr">
        <is>
          <t>Ændringsstyring Leverandøren skal føre en ændringslog, som skal indeholde følgende oplysninger: a) b) c) d) e) Daterede ændringsanmodninger. Daterede løsningsforslag. Godkendte løsningsforslag. Opdaterede tidsplaner (hvor relevant). Øvrige relevante dokumenter. Det påhviler Leverandøren løbende at ajourføre Leveringskontrakten, inklusive bilag, eventuelle tillæg og andet, såfremt der foretages ændringer. Sporbarhed og versionering ved ændringer skal være tydeligt versioneret i ændringsloggen, hvorfor tidligere versioner af dokumentationen skal bevares, så det også er dokumenteret, hvordan Løsningen blev driftsunderstøttet på et givent tidspunkt. Leverandøren skal udlevere en ajourført Leveringskontrakt til Kunden inden for 10 Arbejdsdage efter Kundens accept af et løsningsforslag. Leverandørens udlevering skal ske elektronisk og begrænser sig til de kontraktdokumenter, hvori der er foretaget ændringer, medmindre Kunden anmoder Leverandøren om andet. Leverandøren skal ajourføre dokumentation, som berøres af en ændring.</t>
        </is>
      </c>
      <c r="G351" s="3" t="inlineStr">
        <is>
          <t>Mindstekrav</t>
        </is>
      </c>
      <c r="H351" s="35">
        <f>IF(G351="Evalueringskrav","Answer",(IF(G351="Krav","Check",(IF(G351="Mindstekrav","Verify","")))))</f>
        <v/>
      </c>
      <c r="I351" s="35" t="inlineStr">
        <is>
          <t>Nej</t>
        </is>
      </c>
      <c r="J351" s="35" t="n"/>
      <c r="K351" s="47" t="n"/>
      <c r="L351" s="35" t="inlineStr">
        <is>
          <t>Cristina</t>
        </is>
      </c>
      <c r="M351" s="35" t="n"/>
      <c r="N351" s="35" t="n"/>
      <c r="O351" s="35" t="n"/>
      <c r="P351" s="35" t="n"/>
      <c r="Q351" s="35" t="n"/>
      <c r="R351" s="35" t="n"/>
      <c r="S351" s="35" t="n"/>
      <c r="T351" s="35" t="n"/>
      <c r="U351" s="35" t="inlineStr">
        <is>
          <t>Not Started</t>
        </is>
      </c>
      <c r="V351" s="37">
        <f>IF(U351="Not Started",0%,IF(U351="Started",50%,IF(U351="Ready for review",70%,IF(U351="Reviewed - Content",80%,IF(U351="Reviewed - Format",90%,IF(U351="Done",100%,""))))))</f>
        <v/>
      </c>
      <c r="W351" t="inlineStr">
        <is>
          <t>2026-07-07</t>
        </is>
      </c>
      <c r="X351" t="inlineStr">
        <is>
          <t>Cursor / tender-response (batch)</t>
        </is>
      </c>
      <c r="Y351" t="inlineStr">
        <is>
          <t>Clarify</t>
        </is>
      </c>
      <c r="Z351" t="inlineStr">
        <is>
          <t>Verified</t>
        </is>
      </c>
      <c r="AA351" t="inlineStr">
        <is>
          <t>Verify: Ændringsstyring — kræver produkt-/team-afklaring (ingen tool-rating).</t>
        </is>
      </c>
      <c r="AB351" t="inlineStr"/>
      <c r="AC351" t="inlineStr">
        <is>
          <t>docs/tender-reference/extracted/Nationalbanken/Bilag 3.i Leverandørens Løsningsbeskrivelse.txt; docs/tender-reference/extracted/KUM-SLKS/Bilag 10 - Producentens standardvilkår.txt; docs/tender-reference/extracted/KK Tender tool.txt</t>
        </is>
      </c>
      <c r="AD351" t="inlineStr">
        <is>
          <t>Cristina: Udfyld tool-rating (O) og evidens; gennemgå AI-kladde.</t>
        </is>
      </c>
      <c r="AE351" t="inlineStr"/>
      <c r="AF351" t="inlineStr">
        <is>
          <t>Draft</t>
        </is>
      </c>
      <c r="AG351" t="inlineStr">
        <is>
          <t>uim-esdh-full-2026-07-07</t>
        </is>
      </c>
    </row>
    <row r="352" ht="144" customHeight="1">
      <c r="A352" s="35" t="n">
        <v>319</v>
      </c>
      <c r="B352" s="3" t="inlineStr">
        <is>
          <t>B1.J-5</t>
        </is>
      </c>
      <c r="C352" s="3" t="inlineStr">
        <is>
          <t>Bilag 1.j Ændringshåndtering</t>
        </is>
      </c>
      <c r="D352" s="3" t="inlineStr">
        <is>
          <t>2.4</t>
        </is>
      </c>
      <c r="E352" s="3" t="inlineStr">
        <is>
          <t>Øvrige krav til Leverandørens medvirken</t>
        </is>
      </c>
      <c r="F352" s="35" t="inlineStr">
        <is>
          <t>Øvrige krav til Leverandørens medvirken Leverandøren skal proaktivt medvirke i ændringshåndteringsprocessen, uanset om ændringsanmodningen vedrører ændringer, som kun måtte være i Kundens interesse. Leverandøren skal give Kunden alle relevante oplysninger, som Leverandøren besidder, med henblik på Kundens bedømmelse af og stillingtagen til konsekvenserne af en ændring og det foreliggende løsningsforslag. I den forbindelse skal Leverandøren orientere Kunden, såfremt Leverandøren bliver opmærksom på, at Kundens behov bedre opfyldes på en anden måde. 4</t>
        </is>
      </c>
      <c r="G352" s="3" t="inlineStr">
        <is>
          <t>Mindstekrav</t>
        </is>
      </c>
      <c r="H352" s="35">
        <f>IF(G352="Evalueringskrav","Answer",(IF(G352="Krav","Check",(IF(G352="Mindstekrav","Verify","")))))</f>
        <v/>
      </c>
      <c r="I352" s="35" t="inlineStr">
        <is>
          <t>Nej</t>
        </is>
      </c>
      <c r="J352" s="35" t="n"/>
      <c r="K352" s="47" t="n"/>
      <c r="L352" s="35" t="inlineStr">
        <is>
          <t>Cristina</t>
        </is>
      </c>
      <c r="M352" s="35" t="n"/>
      <c r="N352" s="35" t="n"/>
      <c r="O352" s="35" t="n"/>
      <c r="P352" s="35" t="n"/>
      <c r="Q352" s="35" t="n"/>
      <c r="R352" s="35" t="n"/>
      <c r="S352" s="35" t="n"/>
      <c r="T352" s="35" t="n"/>
      <c r="U352" s="35" t="inlineStr">
        <is>
          <t>Not Started</t>
        </is>
      </c>
      <c r="V352" s="37">
        <f>IF(U352="Not Started",0%,IF(U352="Started",50%,IF(U352="Ready for review",70%,IF(U352="Reviewed - Content",80%,IF(U352="Reviewed - Format",90%,IF(U352="Done",100%,""))))))</f>
        <v/>
      </c>
      <c r="W352" t="inlineStr">
        <is>
          <t>2026-07-07</t>
        </is>
      </c>
      <c r="X352" t="inlineStr">
        <is>
          <t>Cursor / tender-response (batch)</t>
        </is>
      </c>
      <c r="Y352" t="inlineStr">
        <is>
          <t>Clarify</t>
        </is>
      </c>
      <c r="Z352" t="inlineStr">
        <is>
          <t>Verified</t>
        </is>
      </c>
      <c r="AA352" t="inlineStr">
        <is>
          <t>Verify: Øvrige krav til Leverandørens medvirken — kræver produkt-/team-afklaring (ingen tool-rating).</t>
        </is>
      </c>
      <c r="AB352" t="inlineStr"/>
      <c r="AC352" t="inlineStr">
        <is>
          <t>docs/tender-reference/extracted/Nationalbanken/Bilag 3.i Leverandørens Løsningsbeskrivelse.txt; docs/tender-reference/extracted/KK Tender tool.txt; docs/tender-reference/extracted/NND/02.01-Tieto-Bilag 2-Vedlegg-Leverandørens utfyllende svar til kravtabell.txt</t>
        </is>
      </c>
      <c r="AD352" t="inlineStr">
        <is>
          <t>Cristina: Udfyld tool-rating (O) og evidens; gennemgå AI-kladde.</t>
        </is>
      </c>
      <c r="AE352" t="inlineStr"/>
      <c r="AF352" t="inlineStr">
        <is>
          <t>Draft</t>
        </is>
      </c>
      <c r="AG352" t="inlineStr">
        <is>
          <t>uim-esdh-full-2026-07-07</t>
        </is>
      </c>
    </row>
    <row r="353" ht="224" customHeight="1">
      <c r="A353" s="35" t="n">
        <v>319</v>
      </c>
      <c r="B353" s="3" t="inlineStr">
        <is>
          <t>B1.J-6</t>
        </is>
      </c>
      <c r="C353" s="3" t="inlineStr">
        <is>
          <t>Bilag 1.j Ændringshåndtering</t>
        </is>
      </c>
      <c r="D353" s="3" t="inlineStr">
        <is>
          <t>2.5</t>
        </is>
      </c>
      <c r="E353" s="3" t="inlineStr">
        <is>
          <t>Ændringshåndteringsskabelon</t>
        </is>
      </c>
      <c r="F353" s="35" t="inlineStr">
        <is>
          <t>Ændringshåndteringsskabelon Bestilling af en ændring skal initieres gennem nedenstående skabelon. Titel: [indsæt titel på ændring] Identifikationsnummer: [Indsæt nummer] Dato: [Indsæt data for anmodningen] Anmodningen udarbejdet af: [Kunden / Leverandøren] Tidsmæssig ramme: [Indsæt hvornår ændringen ønsker gennemført] Beskrivelse: [Indsæt beskrivelse af den ønskede ændring samt en begrundelse herfor. Ændringsanmodningen skal være tilstrækkelig detaljeret til, at Leverandøren kan udarbejde et estimat over det vederlag, som vil være forbundet med udarbejdelse af et ændringsforslag.] Forventede konsekvenser: [Indsæt beskrivelse af de forventede konsekvenser, som ændringen medfører, herunder i forhold til Leveringskontrakten, bilag eller andre dokumenter, som skal opdateres.] Øvrige oplysninger: [Andre relevante oplysninger om den ønskede ændring indsættes her.] 5</t>
        </is>
      </c>
      <c r="G353" s="3" t="inlineStr">
        <is>
          <t>Mindstekrav</t>
        </is>
      </c>
      <c r="H353" s="35">
        <f>IF(G353="Evalueringskrav","Answer",(IF(G353="Krav","Check",(IF(G353="Mindstekrav","Verify","")))))</f>
        <v/>
      </c>
      <c r="I353" s="35" t="inlineStr">
        <is>
          <t>Nej</t>
        </is>
      </c>
      <c r="J353" s="35" t="n"/>
      <c r="K353" s="47" t="n"/>
      <c r="L353" s="35" t="inlineStr">
        <is>
          <t>Cristina</t>
        </is>
      </c>
      <c r="M353" s="35" t="n"/>
      <c r="N353" s="35" t="n"/>
      <c r="O353" s="35" t="n"/>
      <c r="P353" s="35" t="n"/>
      <c r="Q353" s="35" t="n"/>
      <c r="R353" s="35" t="n"/>
      <c r="S353" s="35" t="n"/>
      <c r="T353" s="35" t="n"/>
      <c r="U353" s="35" t="inlineStr">
        <is>
          <t>Not Started</t>
        </is>
      </c>
      <c r="V353" s="37">
        <f>IF(U353="Not Started",0%,IF(U353="Started",50%,IF(U353="Ready for review",70%,IF(U353="Reviewed - Content",80%,IF(U353="Reviewed - Format",90%,IF(U353="Done",100%,""))))))</f>
        <v/>
      </c>
      <c r="W353" t="inlineStr">
        <is>
          <t>2026-07-07</t>
        </is>
      </c>
      <c r="X353" t="inlineStr">
        <is>
          <t>Cursor / tender-response (batch)</t>
        </is>
      </c>
      <c r="Y353" t="inlineStr">
        <is>
          <t>Clarify</t>
        </is>
      </c>
      <c r="Z353" t="inlineStr">
        <is>
          <t>Verified</t>
        </is>
      </c>
      <c r="AA353" t="inlineStr">
        <is>
          <t>Verify: Ændringshåndteringsskabelon — kræver produkt-/team-afklaring (ingen tool-rating).</t>
        </is>
      </c>
      <c r="AB353" t="inlineStr"/>
      <c r="AC353" t="inlineStr">
        <is>
          <t>docs/tender-reference/extracted/Nationalbanken/Bilag 3.i Leverandørens Løsningsbeskrivelse.txt; docs/tender-reference/extracted/KK Tender tool.txt; docs/tender-reference/extracted/KUM-SLKS/Bilag 3 - Kravspecifikation.txt</t>
        </is>
      </c>
      <c r="AD353" t="inlineStr">
        <is>
          <t>Cristina: Udfyld tool-rating (O) og evidens; gennemgå AI-kladde.</t>
        </is>
      </c>
      <c r="AE353" t="inlineStr"/>
      <c r="AF353" t="inlineStr">
        <is>
          <t>Draft</t>
        </is>
      </c>
      <c r="AG353" t="inlineStr">
        <is>
          <t>uim-esdh-full-2026-07-07</t>
        </is>
      </c>
    </row>
    <row r="354" ht="176" customHeight="1">
      <c r="A354" s="35" t="n">
        <v>319</v>
      </c>
      <c r="B354" s="3" t="inlineStr">
        <is>
          <t>B1.K-1</t>
        </is>
      </c>
      <c r="C354" s="3" t="inlineStr">
        <is>
          <t>Bilag 1.k Forpligtelser ved ophør</t>
        </is>
      </c>
      <c r="D354" s="3" t="inlineStr">
        <is>
          <t>2.1</t>
        </is>
      </c>
      <c r="E354" s="3" t="inlineStr">
        <is>
          <t>Aflevering af information til Kunden</t>
        </is>
      </c>
      <c r="F354" s="35" t="inlineStr">
        <is>
          <t>Aflevering af information til Kunden Leverandøren skal i forbindelse med Leveringskontraktens hele eller delvise ophør, og inden for 20 arbejdsdage efter Kunden har anmodet herom, som minimum udlevere følgende beskrivelser af ESDHløsningen til Kunden: • • Kundens data i ESDH-løsningen Datastruktur og datafelter herunder: o Databasemodel og formatbeskrivelse af Datamodellens indhold o Registreringssystematikker, herunder journalplan/er o Rettighedsmatricer, dvs. systematik for sammensætning af brugerrettigheder o Adgangsgrupper, dvs. gruppering af brugerrettigheder Al ovenfor nævnt information skal afleveres i et elektronisk standardformat, som kan læses og redigeres af Kunden.</t>
        </is>
      </c>
      <c r="G354" s="3" t="inlineStr">
        <is>
          <t>Mindstekrav</t>
        </is>
      </c>
      <c r="H354" s="35">
        <f>IF(G354="Evalueringskrav","Answer",(IF(G354="Krav","Check",(IF(G354="Mindstekrav","Verify","")))))</f>
        <v/>
      </c>
      <c r="I354" s="35" t="inlineStr">
        <is>
          <t>Nej</t>
        </is>
      </c>
      <c r="J354" s="35" t="n"/>
      <c r="K354" s="47" t="n"/>
      <c r="L354" s="35" t="inlineStr">
        <is>
          <t>Cristina</t>
        </is>
      </c>
      <c r="M354" s="35" t="n"/>
      <c r="N354" s="35" t="n"/>
      <c r="O354" s="35" t="n"/>
      <c r="P354" s="35" t="n"/>
      <c r="Q354" s="35" t="n"/>
      <c r="R354" s="35" t="n"/>
      <c r="S354" s="35" t="n"/>
      <c r="T354" s="35" t="n"/>
      <c r="U354" s="35" t="inlineStr">
        <is>
          <t>Not Started</t>
        </is>
      </c>
      <c r="V354" s="37">
        <f>IF(U354="Not Started",0%,IF(U354="Started",50%,IF(U354="Ready for review",70%,IF(U354="Reviewed - Content",80%,IF(U354="Reviewed - Format",90%,IF(U354="Done",100%,""))))))</f>
        <v/>
      </c>
      <c r="W354" t="inlineStr">
        <is>
          <t>2026-07-07</t>
        </is>
      </c>
      <c r="X354" t="inlineStr">
        <is>
          <t>Cursor / tender-response (batch)</t>
        </is>
      </c>
      <c r="Y354" t="inlineStr">
        <is>
          <t>Clarify</t>
        </is>
      </c>
      <c r="Z354" t="inlineStr">
        <is>
          <t>Verified</t>
        </is>
      </c>
      <c r="AA354" t="inlineStr">
        <is>
          <t>Verify: Aflevering af information til Kunden — kræver produkt-/team-afklaring (ingen tool-rating).</t>
        </is>
      </c>
      <c r="AB354" t="inlineStr"/>
      <c r="AC354" t="inlineStr">
        <is>
          <t>docs/tender-reference/extracted/KK Tender tool.txt; docs/tender-reference/extracted/Nationalbanken/Bilag 3.i Leverandørens Løsningsbeskrivelse.txt; docs/tender-reference/extracted/NND/02.01-Tieto-Bilag 2-Vedlegg-Leverandørens utfyllende svar til kravtabell.txt</t>
        </is>
      </c>
      <c r="AD354" t="inlineStr">
        <is>
          <t>Cristina: Udfyld tool-rating (O) og evidens; gennemgå AI-kladde.</t>
        </is>
      </c>
      <c r="AE354" t="inlineStr"/>
      <c r="AF354" t="inlineStr">
        <is>
          <t>Draft</t>
        </is>
      </c>
      <c r="AG354" t="inlineStr">
        <is>
          <t>uim-esdh-full-2026-07-07</t>
        </is>
      </c>
    </row>
    <row r="355" ht="160" customHeight="1">
      <c r="A355" s="35" t="n">
        <v>319</v>
      </c>
      <c r="B355" s="3" t="inlineStr">
        <is>
          <t>B1.K-2</t>
        </is>
      </c>
      <c r="C355" s="3" t="inlineStr">
        <is>
          <t>Bilag 1.k Forpligtelser ved ophør</t>
        </is>
      </c>
      <c r="D355" s="3" t="inlineStr">
        <is>
          <t>2.2</t>
        </is>
      </c>
      <c r="E355" s="3" t="inlineStr">
        <is>
          <t>Afvikling</t>
        </is>
      </c>
      <c r="F355" s="35" t="inlineStr">
        <is>
          <t>Afvikling Leverandøren skal i forbindelse med Leveringskontraktens ophør, og inden for 20 Arbejdsdage efter Kunden har anmodet herom: • • • • Tilbagelevere evt. hardware, f.eks. SIA pc’er som Leverandøren måtte have modtaget af Kunden eller SIT Sikre sletning af alle Kundens data (herunder personoplysninger), back-up af data og logfiler. Afinstallere softwarelicenser, som Kunden eller SIT har stillet til rådighed Lukke alle Leverandørens adgange til Kundens ESDH-løsning. Sletning af Kundens data mv. må først gennemføres efter Kundens eksplicitte anmodning herom. Leverandøren skal dokumentere alle afviklingsaktiviteter, eventuelt i form af en erklæring.</t>
        </is>
      </c>
      <c r="G355" s="3" t="inlineStr">
        <is>
          <t>Mindstekrav</t>
        </is>
      </c>
      <c r="H355" s="35">
        <f>IF(G355="Evalueringskrav","Answer",(IF(G355="Krav","Check",(IF(G355="Mindstekrav","Verify","")))))</f>
        <v/>
      </c>
      <c r="I355" s="35" t="inlineStr">
        <is>
          <t>Nej</t>
        </is>
      </c>
      <c r="J355" s="35" t="n"/>
      <c r="K355" s="47" t="n"/>
      <c r="L355" s="35" t="inlineStr">
        <is>
          <t>Cristina</t>
        </is>
      </c>
      <c r="M355" s="35" t="n"/>
      <c r="N355" s="35" t="n"/>
      <c r="O355" s="35" t="n"/>
      <c r="P355" s="35" t="n"/>
      <c r="Q355" s="35" t="n"/>
      <c r="R355" s="35" t="n"/>
      <c r="S355" s="35" t="n"/>
      <c r="T355" s="35" t="n"/>
      <c r="U355" s="35" t="inlineStr">
        <is>
          <t>Not Started</t>
        </is>
      </c>
      <c r="V355" s="37">
        <f>IF(U355="Not Started",0%,IF(U355="Started",50%,IF(U355="Ready for review",70%,IF(U355="Reviewed - Content",80%,IF(U355="Reviewed - Format",90%,IF(U355="Done",100%,""))))))</f>
        <v/>
      </c>
      <c r="W355" t="inlineStr">
        <is>
          <t>2026-07-07</t>
        </is>
      </c>
      <c r="X355" t="inlineStr">
        <is>
          <t>Cursor / tender-response (batch)</t>
        </is>
      </c>
      <c r="Y355" t="inlineStr">
        <is>
          <t>Clarify</t>
        </is>
      </c>
      <c r="Z355" t="inlineStr">
        <is>
          <t>Verified</t>
        </is>
      </c>
      <c r="AA355" t="inlineStr">
        <is>
          <t>Verify: Afvikling — kræver produkt-/team-afklaring (ingen tool-rating).</t>
        </is>
      </c>
      <c r="AB355" t="inlineStr"/>
      <c r="AC355" t="inlineStr">
        <is>
          <t>docs/tender-reference/extracted/KK Tender tool.txt; docs/tender-reference/extracted/KUM-SLKS/Bilag 10 - Producentens standardvilkår.txt; docs/tender-reference/extracted/Nationalbanken/Bilag 3.i Leverandørens Løsningsbeskrivelse.txt</t>
        </is>
      </c>
      <c r="AD355" t="inlineStr">
        <is>
          <t>Cristina: Udfyld tool-rating (O) og evidens; gennemgå AI-kladde.</t>
        </is>
      </c>
      <c r="AE355" t="inlineStr"/>
      <c r="AF355" t="inlineStr">
        <is>
          <t>Draft</t>
        </is>
      </c>
      <c r="AG355" t="inlineStr">
        <is>
          <t>uim-esdh-full-2026-07-07</t>
        </is>
      </c>
    </row>
    <row r="356" ht="80" customHeight="1">
      <c r="A356" s="35" t="n">
        <v>319</v>
      </c>
      <c r="B356" s="3" t="inlineStr">
        <is>
          <t>B1.K-3</t>
        </is>
      </c>
      <c r="C356" s="3" t="inlineStr">
        <is>
          <t>Bilag 1.k Forpligtelser ved ophør</t>
        </is>
      </c>
      <c r="D356" s="3" t="inlineStr">
        <is>
          <t>3.1</t>
        </is>
      </c>
      <c r="E356" s="3" t="inlineStr">
        <is>
          <t>Bistand til data-relaterede aktiviteter</t>
        </is>
      </c>
      <c r="F356" s="35" t="inlineStr">
        <is>
          <t>Bistand til data-relaterede aktiviteter Leverandøren skal yde bistand til data-relaterede aktiviteter i forbindelse med Kundens overgang til ny ESDH-løsning, herunder bistand til: • • Periodeaflevering til Statens Arkiver Konvertering af data fra nuværende ESDH-løsning til ny ESDH-løsning</t>
        </is>
      </c>
      <c r="G356" s="3" t="inlineStr">
        <is>
          <t>Mindstekrav</t>
        </is>
      </c>
      <c r="H356" s="35">
        <f>IF(G356="Evalueringskrav","Answer",(IF(G356="Krav","Check",(IF(G356="Mindstekrav","Verify","")))))</f>
        <v/>
      </c>
      <c r="I356" s="35" t="inlineStr">
        <is>
          <t>Nej</t>
        </is>
      </c>
      <c r="J356" s="35" t="n"/>
      <c r="K356" s="47" t="n"/>
      <c r="L356" s="35" t="inlineStr">
        <is>
          <t>Cristina</t>
        </is>
      </c>
      <c r="M356" s="35" t="n"/>
      <c r="N356" s="35" t="n"/>
      <c r="O356" s="35" t="n"/>
      <c r="P356" s="35" t="n"/>
      <c r="Q356" s="35" t="n"/>
      <c r="R356" s="35" t="n"/>
      <c r="S356" s="35" t="n"/>
      <c r="T356" s="35" t="n"/>
      <c r="U356" s="35" t="inlineStr">
        <is>
          <t>Not Started</t>
        </is>
      </c>
      <c r="V356" s="37">
        <f>IF(U356="Not Started",0%,IF(U356="Started",50%,IF(U356="Ready for review",70%,IF(U356="Reviewed - Content",80%,IF(U356="Reviewed - Format",90%,IF(U356="Done",100%,""))))))</f>
        <v/>
      </c>
      <c r="W356" t="inlineStr">
        <is>
          <t>2026-07-07</t>
        </is>
      </c>
      <c r="X356" t="inlineStr">
        <is>
          <t>Cursor / tender-response (batch)</t>
        </is>
      </c>
      <c r="Y356" t="inlineStr">
        <is>
          <t>Clarify</t>
        </is>
      </c>
      <c r="Z356" t="inlineStr">
        <is>
          <t>Verified</t>
        </is>
      </c>
      <c r="AA356" t="inlineStr">
        <is>
          <t>Verify: Bistand til data-relaterede aktiviteter — kræver produkt-/team-afklaring (ingen tool-rating).</t>
        </is>
      </c>
      <c r="AB356" t="inlineStr"/>
      <c r="AC356" t="inlineStr">
        <is>
          <t>docs/product/RFP_Leverandørens_svar_utdrag.txt; docs/tender-reference/extracted/HSØ/02.00-Tietoevry-SSA-L-Bilag 2-Leverandørens beskrivelse av Tjenesten.txt; docs/tender-reference/extracted/KK Tender tool.txt</t>
        </is>
      </c>
      <c r="AD356" t="inlineStr">
        <is>
          <t>Cristina: Udfyld tool-rating (O) og evidens; gennemgå AI-kladde.</t>
        </is>
      </c>
      <c r="AE356" t="inlineStr"/>
      <c r="AF356" t="inlineStr">
        <is>
          <t>Draft</t>
        </is>
      </c>
      <c r="AG356" t="inlineStr">
        <is>
          <t>uim-esdh-full-2026-07-07</t>
        </is>
      </c>
    </row>
    <row r="357" ht="144" customHeight="1">
      <c r="A357" s="35" t="n">
        <v>319</v>
      </c>
      <c r="B357" s="3" t="inlineStr">
        <is>
          <t>B1.K-4</t>
        </is>
      </c>
      <c r="C357" s="3" t="inlineStr">
        <is>
          <t>Bilag 1.k Forpligtelser ved ophør</t>
        </is>
      </c>
      <c r="D357" s="3" t="inlineStr">
        <is>
          <t>3.2</t>
        </is>
      </c>
      <c r="E357" s="3" t="inlineStr">
        <is>
          <t>Bistand til overgang til ny ESDH-løsning</t>
        </is>
      </c>
      <c r="F357" s="35" t="inlineStr">
        <is>
          <t>Bistand til overgang til ny ESDH-løsning Leverandøren skal yde bistand til Kunden og den nye Leverandør i forbindelse med overgang til ny ESDHløsning herunder: • • • • • Udarbejde overgangsplan i samarbejde med Kunden og den nye Leverandør Yde bistand til overflytning af aktiviteter til Kunden eller den nye Leverandør Deltage i overleveringsmøder og eventuelle workshops med Kunden og den ny Leverandør Assistere med rådgivning i en overgangsperiode til Kunden eller den nye Leverandør Udarbejde eventuel supplerende dokumentation. 3</t>
        </is>
      </c>
      <c r="G357" s="3" t="inlineStr">
        <is>
          <t>Mindstekrav</t>
        </is>
      </c>
      <c r="H357" s="35">
        <f>IF(G357="Evalueringskrav","Answer",(IF(G357="Krav","Check",(IF(G357="Mindstekrav","Verify","")))))</f>
        <v/>
      </c>
      <c r="I357" s="35" t="inlineStr">
        <is>
          <t>Nej</t>
        </is>
      </c>
      <c r="J357" s="35" t="n"/>
      <c r="K357" s="47" t="n"/>
      <c r="L357" s="35" t="inlineStr">
        <is>
          <t>Cristina</t>
        </is>
      </c>
      <c r="M357" s="35" t="n"/>
      <c r="N357" s="35" t="n"/>
      <c r="O357" s="35" t="n"/>
      <c r="P357" s="35" t="n"/>
      <c r="Q357" s="35" t="n"/>
      <c r="R357" s="35" t="n"/>
      <c r="S357" s="35" t="n"/>
      <c r="T357" s="35" t="n"/>
      <c r="U357" s="35" t="inlineStr">
        <is>
          <t>Not Started</t>
        </is>
      </c>
      <c r="V357" s="37">
        <f>IF(U357="Not Started",0%,IF(U357="Started",50%,IF(U357="Ready for review",70%,IF(U357="Reviewed - Content",80%,IF(U357="Reviewed - Format",90%,IF(U357="Done",100%,""))))))</f>
        <v/>
      </c>
      <c r="W357" t="inlineStr">
        <is>
          <t>2026-07-07</t>
        </is>
      </c>
      <c r="X357" t="inlineStr">
        <is>
          <t>Cursor / tender-response (batch)</t>
        </is>
      </c>
      <c r="Y357" t="inlineStr">
        <is>
          <t>Clarify</t>
        </is>
      </c>
      <c r="Z357" t="inlineStr">
        <is>
          <t>Verified</t>
        </is>
      </c>
      <c r="AA357" t="inlineStr">
        <is>
          <t>Verify: Bistand til overgang til ny ESDH-løsning — kræver produkt-/team-afklaring (ingen tool-rating).</t>
        </is>
      </c>
      <c r="AB357" t="inlineStr"/>
      <c r="AC357" t="inlineStr">
        <is>
          <t>docs/tender-reference/extracted/Nationalbanken/Bilag 3.i Leverandørens Løsningsbeskrivelse.txt; docs/product/RFP_Leverandørens_svar_utdrag.txt; docs/tender-reference/extracted/KUM-SLKS/Bilag 1 - Tidsplan.txt</t>
        </is>
      </c>
      <c r="AD357" t="inlineStr">
        <is>
          <t>Cristina: Udfyld tool-rating (O) og evidens; gennemgå AI-kladde.</t>
        </is>
      </c>
      <c r="AE357" t="inlineStr"/>
      <c r="AF357" t="inlineStr">
        <is>
          <t>Draft</t>
        </is>
      </c>
      <c r="AG357" t="inlineStr">
        <is>
          <t>uim-esdh-full-2026-07-07</t>
        </is>
      </c>
    </row>
  </sheetData>
  <autoFilter ref="A1:V357">
    <filterColumn colId="11" hiddenButton="0" showButton="1">
      <filters blank="1"/>
    </filterColumn>
  </autoFilter>
  <conditionalFormatting sqref="V2:V357">
    <cfRule type="expression" priority="49" dxfId="14">
      <formula>V2=100%</formula>
    </cfRule>
    <cfRule type="expression" priority="50" dxfId="13">
      <formula>V2=90%</formula>
    </cfRule>
    <cfRule type="expression" priority="51" dxfId="12">
      <formula>V2=80%</formula>
    </cfRule>
    <cfRule type="expression" priority="52" dxfId="11">
      <formula>V2=70%</formula>
    </cfRule>
    <cfRule type="expression" priority="53" dxfId="10">
      <formula>V2=50%</formula>
    </cfRule>
    <cfRule type="expression" priority="54" dxfId="0">
      <formula>V2=0%</formula>
    </cfRule>
  </conditionalFormatting>
  <dataValidations count="6">
    <dataValidation sqref="H358:H1048576" showDropDown="0" showInputMessage="1" showErrorMessage="1" allowBlank="1" type="list">
      <formula1>"Check,Answer"</formula1>
    </dataValidation>
    <dataValidation sqref="H2:H265 H267:H357" showDropDown="0" showInputMessage="1" showErrorMessage="1" allowBlank="1" type="list">
      <formula1>"Check,Answer,Verify"</formula1>
    </dataValidation>
    <dataValidation sqref="U2:U1048576" showDropDown="0" showInputMessage="1" showErrorMessage="1" allowBlank="1" type="list">
      <formula1>"Not Started,Started,Ready for review,Reviewed - Content,Reviewed - Format,Done"</formula1>
    </dataValidation>
    <dataValidation sqref="O2:O1048576" showDropDown="0" showInputMessage="1" showErrorMessage="1" allowBlank="1" type="list">
      <formula1>"1. Fully met,2. Partly met,3. Not able to meet,4. Not part of offer"</formula1>
    </dataValidation>
    <dataValidation sqref="G2:G1048576" showDropDown="0" showInputMessage="1" showErrorMessage="1" allowBlank="1" type="list">
      <formula1>"Mindstekrav,Krav,Evalueringskrav"</formula1>
    </dataValidation>
    <dataValidation sqref="Q2:S1048576"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53"/>
  <sheetViews>
    <sheetView zoomScale="71" workbookViewId="0">
      <pane ySplit="1" topLeftCell="A2" activePane="bottomLeft" state="frozen"/>
      <selection pane="bottomLeft" activeCell="C1" sqref="C1"/>
    </sheetView>
  </sheetViews>
  <sheetFormatPr baseColWidth="8" defaultRowHeight="16"/>
  <cols>
    <col width="14.765625" bestFit="1" customWidth="1" min="1" max="1"/>
    <col width="51.3046875" customWidth="1" min="2" max="2"/>
    <col width="72.23046875" customWidth="1" min="3" max="3"/>
  </cols>
  <sheetData>
    <row r="1">
      <c r="A1" s="44" t="inlineStr">
        <is>
          <t>Krav nr.</t>
        </is>
      </c>
      <c r="B1" s="44" t="inlineStr">
        <is>
          <t>Kravtekst</t>
        </is>
      </c>
      <c r="C1" s="44" t="inlineStr">
        <is>
          <t>Kommentar</t>
        </is>
      </c>
    </row>
    <row r="2" ht="32" customHeight="1">
      <c r="A2" s="48" t="inlineStr">
        <is>
          <t>MK-30</t>
        </is>
      </c>
      <c r="B2" s="48" t="inlineStr">
        <is>
          <t>MK-30</t>
        </is>
      </c>
      <c r="C2" s="48" t="inlineStr">
        <is>
          <t>Det er kludret formuleret - men jeg tolker det til, at de fra en søgning på et projekt, skal kunne se relaterede sager i resultatlisterne.. Det  er udfordrende</t>
        </is>
      </c>
    </row>
    <row r="3" ht="48" customHeight="1">
      <c r="A3" s="48" t="inlineStr">
        <is>
          <t>MK-35</t>
        </is>
      </c>
      <c r="B3" s="48" t="inlineStr">
        <is>
          <t>ESDH-løsningen skal understøtte, at alle Dokumenter, Filer, Hoveddokumenter og Bilag har hver deres unikke ID, som skal være synligt i brugergrænsefladen.</t>
        </is>
      </c>
      <c r="C3" s="48" t="inlineStr">
        <is>
          <t>Hvornår er noget ”synligt i brugergrænsefladen”… vi har recno på filer, men de kræver ”vis egenskaber” for at være synlige.</t>
        </is>
      </c>
    </row>
    <row r="4" ht="96" customHeight="1">
      <c r="A4" s="48" t="inlineStr">
        <is>
          <t>MK-49</t>
        </is>
      </c>
      <c r="B4" s="48" t="inlineStr">
        <is>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is>
      </c>
      <c r="C4" s="48" t="inlineStr">
        <is>
          <t>”Direkte” er problematisk, hvis det forbyder os fra et nyt vindue.</t>
        </is>
      </c>
    </row>
    <row r="5" ht="64" customHeight="1">
      <c r="A5" s="48" t="inlineStr">
        <is>
          <t>MK-50</t>
        </is>
      </c>
      <c r="B5" s="48" t="inlineStr">
        <is>
          <t>ESDH-løsningen skal understøtte, at Brugeren kan navigere og scrolle i dokument- og fillistevisninger, og at forhåndsvisningen automatisk opdateres og viser det Dokument/Fil, som Brugeren har navigeret til.</t>
        </is>
      </c>
      <c r="C5" s="48" t="inlineStr">
        <is>
          <t>Vores forhåndsvisning ”opdateres ikke automatisk”. Kræver aktivt klik på det dokument/fil der ønskes forhåndsvist.</t>
        </is>
      </c>
    </row>
    <row r="6" ht="48" customHeight="1">
      <c r="A6" s="48" t="inlineStr">
        <is>
          <t>MK-56</t>
        </is>
      </c>
      <c r="B6" s="48" t="inlineStr">
        <is>
          <t>ESDH-løsningen skal understøtte, at en Bruger ikke kan oprette en kontakt, hvis kontaktens unikke ID allerede findes i kontaktregisteret.</t>
        </is>
      </c>
      <c r="C6" s="48" t="inlineStr">
        <is>
          <t>Vi advarer, men vi forbyder ikke. CPR/CVR er ikke så unikt at det ikke kan duplikeres.</t>
        </is>
      </c>
    </row>
    <row r="7" ht="48" customHeight="1">
      <c r="A7" s="48" t="inlineStr">
        <is>
          <t>MK-66</t>
        </is>
      </c>
      <c r="B7" s="48" t="inlineStr">
        <is>
          <t>ESDH-løsningen skal understøtte, at der kan søges på alle standard- og Kundeoprettede felter på samme tid i ESDH-løsningen.</t>
        </is>
      </c>
      <c r="C7" s="48" t="inlineStr">
        <is>
          <t>Det her krav er formuleret uden logiske begræsninger mellem entiteter, hvilke tikke giver mening. Det kan vi ikke understøtte.</t>
        </is>
      </c>
    </row>
    <row r="8" ht="32" customHeight="1">
      <c r="A8" s="48" t="inlineStr">
        <is>
          <t>MK-68</t>
        </is>
      </c>
      <c r="B8" s="48" t="inlineStr">
        <is>
          <t>Trunkering i avanceret søgning</t>
        </is>
      </c>
      <c r="C8" s="48" t="inlineStr">
        <is>
          <t>Det her lugter af at være givet titlen her, fordi de ved vi ikke kan i den avancerede søgning - men kravteksten indeholder det ikke, og derfor bør vi være OK med kravet</t>
        </is>
      </c>
    </row>
    <row r="9" ht="32" customHeight="1">
      <c r="A9" s="48" t="inlineStr">
        <is>
          <t>MK-70</t>
        </is>
      </c>
      <c r="B9" s="48" t="inlineStr">
        <is>
          <t>ESDH-løsningen skal understøtte, at alle felter kan vises i søgeresultaternes visningslister.</t>
        </is>
      </c>
      <c r="C9" s="48" t="inlineStr">
        <is>
          <t>”Alle felter” - godt nok afgrænset til søgeresultater, men stadig en stor risc, fra en ondsindet kunde.</t>
        </is>
      </c>
    </row>
    <row r="10" ht="48" customHeight="1">
      <c r="A10" s="48" t="inlineStr">
        <is>
          <t>MK-74</t>
        </is>
      </c>
      <c r="B10" s="48" t="inlineStr">
        <is>
          <t>ESDH-løsningen skal understøtte, at Kunden kan opsætte og konfigurere søgebilleder for alle Løsningens standard- og Kundeoprettede Entiteter.</t>
        </is>
      </c>
      <c r="C10" s="48" t="inlineStr">
        <is>
          <t>Det understøtter vi ikke.</t>
        </is>
      </c>
    </row>
    <row r="11" ht="48" customHeight="1">
      <c r="A11" s="48" t="inlineStr">
        <is>
          <t>MK-75</t>
        </is>
      </c>
      <c r="B11" s="48" t="inlineStr">
        <is>
          <t>ESDH-løsningen skal understøtte, at Kunden selv kan definere og konfigurere, hvilke standard- og Kundeoprettede felter søgebilledet skal indeholde.</t>
        </is>
      </c>
      <c r="C11" s="48" t="inlineStr">
        <is>
          <t>Det understøtter vi ikke</t>
        </is>
      </c>
    </row>
    <row r="12" ht="32" customHeight="1">
      <c r="A12" s="48" t="inlineStr">
        <is>
          <t>MK-76</t>
        </is>
      </c>
      <c r="B12" s="48" t="inlineStr">
        <is>
          <t>MK-76</t>
        </is>
      </c>
      <c r="C12" s="48" t="inlineStr">
        <is>
          <t>Påvirker ikke os - men det her krav er et godt eksempel på en Kunde der beskriver en løsning frem for et behov. Hvorfor skal det være browserbaseret?</t>
        </is>
      </c>
    </row>
    <row r="13" ht="96" customHeight="1">
      <c r="A13" s="48" t="inlineStr">
        <is>
          <t>MK-77</t>
        </is>
      </c>
      <c r="B13" s="48" t="inlineStr">
        <is>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is>
      </c>
      <c r="C13" s="48" t="inlineStr">
        <is>
          <t>Issue - ”Alle”  og ”ingen begrænsning” i samme sætning..</t>
        </is>
      </c>
    </row>
    <row r="14" ht="48" customHeight="1">
      <c r="A14" s="48" t="inlineStr">
        <is>
          <t>MK-78</t>
        </is>
      </c>
      <c r="B14" s="48" t="inlineStr">
        <is>
          <t>ESDH-løsningen skal understøtte brugen af genvejstaster, funktionstaster eller tastekombinationer. Genvejstaster skal være dokumenteret i hjælpefunktionen.</t>
        </is>
      </c>
      <c r="C14" s="48" t="inlineStr">
        <is>
          <t>Det her bevæger vi os væk fra, fordi det ikke er særligt WCAG-compliant. MEN - vi skal bemærke de ikke definere det skal gælde alt, eller hvad man skal kunne, så hvis vi har en genvejstast ét sted i løsningen, kan vi principielt sige ja til dette krav.</t>
        </is>
      </c>
    </row>
    <row r="15" ht="64" customHeight="1">
      <c r="A15" s="48" t="inlineStr">
        <is>
          <t>MK-80</t>
        </is>
      </c>
      <c r="B15" s="48" t="inlineStr">
        <is>
          <t>ESDH-løsningen skal understøtte, at en Bruger via brugergrænsefladen kan foretage masseændringer af tilknyttede standard- og Kundeoprettede felter på sager, Dokumenter, kontakter og Kundeoprettede Entiteter.</t>
        </is>
      </c>
      <c r="C15" s="48" t="inlineStr">
        <is>
          <t>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is>
      </c>
    </row>
    <row r="16" ht="32" customHeight="1">
      <c r="A16" s="48" t="inlineStr">
        <is>
          <t>MK-81</t>
        </is>
      </c>
      <c r="B16" s="48" t="inlineStr">
        <is>
          <t>ESDH-løsningen skal understøtte en visuel adskillelse af indgående og udgående Dokumenter, f.eks. via opmærkning.</t>
        </is>
      </c>
      <c r="C16" s="48" t="inlineStr">
        <is>
          <t>Hvornår er noget ”Visuelt adskilt”? - er det nok at der står ”Indgående” og/eller ”Udgående”?</t>
        </is>
      </c>
    </row>
    <row r="17" ht="48" customHeight="1">
      <c r="A17" s="48" t="inlineStr">
        <is>
          <t>MK-83</t>
        </is>
      </c>
      <c r="B17" s="48" t="inlineStr">
        <is>
          <t>ESDH-løsningen skal understøtte at Kunden kan tilvælge og fravælge kolonnevisninger på sager, Dokumenter, kontakt-billeder.</t>
        </is>
      </c>
      <c r="C17" s="48" t="inlineStr">
        <is>
          <t>Det understøtter vi ikke - jeg tænker de mener kolonner inde i webparts på vores overbliksbilleder.</t>
        </is>
      </c>
    </row>
    <row r="18" ht="32" customHeight="1">
      <c r="A18" s="48" t="inlineStr">
        <is>
          <t>MK-84</t>
        </is>
      </c>
      <c r="B18" s="48" t="inlineStr">
        <is>
          <t>ESDH-løsningen skal understøtte, at Kunden kan tilvælge og fravælge kolonnevisninger på Kundeoprettede Entiteter.</t>
        </is>
      </c>
      <c r="C18" s="48" t="inlineStr">
        <is>
          <t>Det understøtter vi ikke - jeg tænker de mener kolonner inde i webparts på vores overbliksbilleder.</t>
        </is>
      </c>
    </row>
    <row r="19" ht="48" customHeight="1">
      <c r="A19" s="48" t="inlineStr">
        <is>
          <t>MK-85</t>
        </is>
      </c>
      <c r="B19" s="48" t="inlineStr">
        <is>
          <t>ESDH-løsningen skal understøtte, at Kundeoprettede felter skal kunne anvendes i kolonnevisningerne på standard Entiteter og Kundeoprettede Entiteter.</t>
        </is>
      </c>
      <c r="C19" s="48" t="inlineStr">
        <is>
          <t>Det understøtter vi ikke - jeg tænker de mener kolonner inde i webparts på vores overbliksbilleder.</t>
        </is>
      </c>
    </row>
    <row r="20" ht="48" customHeight="1">
      <c r="A20" s="48" t="inlineStr">
        <is>
          <t>MK-86</t>
        </is>
      </c>
      <c r="B20" s="48" t="inlineStr">
        <is>
          <t>ESDH-løsningen skal understøtte filtrering og sortering på kolonnevisninger. Brugerens valgte indstillinger skal kunne gemmes som standardvisning for Brugeren.</t>
        </is>
      </c>
      <c r="C20" s="48" t="inlineStr">
        <is>
          <t>Det understøtter vi ikke - jeg tænker de mener kolonner inde i webparts på vores overbliksbilleder.Vi gemmer ikke sorteringer og filtreringer</t>
        </is>
      </c>
    </row>
    <row r="21" ht="48" customHeight="1">
      <c r="A21" s="48" t="inlineStr">
        <is>
          <t>MK-87</t>
        </is>
      </c>
      <c r="B21" s="48" t="inlineStr">
        <is>
          <t>ESDH-løsningen skal understøtte, at Kunden kan opsætte Kundeoprettede faner/widgets på både standard- og Kundeoprettede Entiteter.</t>
        </is>
      </c>
      <c r="C21" s="48" t="inlineStr">
        <is>
          <t>”kundeoprettede faner” på overbliksbilleder kræver en voldsomt udvidelse af FFUI Overbliksbilleder</t>
        </is>
      </c>
    </row>
    <row r="22" ht="48" customHeight="1">
      <c r="A22" s="48" t="inlineStr">
        <is>
          <t>MK-88</t>
        </is>
      </c>
      <c r="B22" s="48" t="inlineStr">
        <is>
          <t>ESDH-løsningen skal understøtte, at Kunden har fuld fleksibilitet til vælge, hvor Kundeoprettede Entiteter og Kundeoprettede felter vises i brugergrænsefladen.</t>
        </is>
      </c>
      <c r="C22" s="48" t="inlineStr">
        <is>
          <t>Understøttes ikke</t>
        </is>
      </c>
    </row>
    <row r="23" ht="48" customHeight="1">
      <c r="A23" s="48" t="inlineStr">
        <is>
          <t>MK-99</t>
        </is>
      </c>
      <c r="B23" s="48" t="inlineStr">
        <is>
          <t>ESDH-løsningen skal understøtte, at der automatisk dannes et Dokument med en tilknyttet Fil, hvortil historikken af godkendelsesflowet er dokumenteret.</t>
        </is>
      </c>
      <c r="C23" s="48" t="inlineStr">
        <is>
          <t>”automatisk dannes” sker ikke. vi har muligheden for manuelt at gøre dette.</t>
        </is>
      </c>
    </row>
    <row r="24" ht="48" customHeight="1">
      <c r="A24" s="48" t="inlineStr">
        <is>
          <t>MK-100</t>
        </is>
      </c>
      <c r="B24" s="48" t="inlineStr">
        <is>
          <t>ESDH-løsningen skal understøtte, at der automatisk dannes et Dokument med en tilknyttet Fil, hvortil historikken af høringsflowet er dokumenteret.</t>
        </is>
      </c>
      <c r="C24" s="48" t="inlineStr">
        <is>
          <t>”automatisk dannes” sker ikke. vi har muligheden for manuelt at gøre dette.</t>
        </is>
      </c>
    </row>
    <row r="25" ht="64" customHeight="1">
      <c r="A25" s="48" t="inlineStr">
        <is>
          <t>MK-102</t>
        </is>
      </c>
      <c r="B25" s="48" t="inlineStr">
        <is>
          <t>ESDH-løsningen skal understøtte friststyring, hvor den ansvarlige Bruger for en opgave kan opsætte individuelle frister. Det skal være muligt at konfigurere notifikationerne fleksibelt i forhold til både opgavens deadline og status.</t>
        </is>
      </c>
      <c r="C25" s="48" t="inlineStr">
        <is>
          <t>Jeg bryder mig ikke om denne formulering - er bekymret for at den kan bruges imod os i en implementering</t>
        </is>
      </c>
    </row>
    <row r="26" ht="96" customHeight="1">
      <c r="A26" s="48" t="inlineStr">
        <is>
          <t>MK-103</t>
        </is>
      </c>
      <c r="B26" s="48" t="inlineStr">
        <is>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is>
      </c>
      <c r="C26" s="48" t="inlineStr">
        <is>
          <t>Jeg bryder mig ikke om denne formulering - er bekymret for at den kan bruges imod os i en implementering</t>
        </is>
      </c>
    </row>
    <row r="27" ht="32" customHeight="1">
      <c r="A27" s="48" t="inlineStr">
        <is>
          <t>MK-111</t>
        </is>
      </c>
      <c r="B27" s="48" t="inlineStr">
        <is>
          <t>ESDH-løsningen skal understøtte, at alle Konfigurationer bevares ved systemopdateringer eller opgraderinger.</t>
        </is>
      </c>
      <c r="C27" s="48" t="inlineStr">
        <is>
          <t>Det her har historisk givet problemer hvis kunden konfigurerede videre på standard-elementer.</t>
        </is>
      </c>
    </row>
    <row r="28" ht="64" customHeight="1">
      <c r="A28" s="48" t="inlineStr">
        <is>
          <t>MK-113</t>
        </is>
      </c>
      <c r="B28" s="48" t="inlineStr">
        <is>
          <t>ESDH-løsningen skal understøtte, at tekstfelters længde som minimum kan indeholde 3500 karakterer for indtastningen af den fulde tekst f.eks. kommentarfelter og øvrige fritekst-felter i Løsningen.</t>
        </is>
      </c>
      <c r="C28" s="48" t="inlineStr">
        <is>
          <t>Det ved jeg simpelthen ikke om vi understøtter i alle fritekstfelter i løsningen..</t>
        </is>
      </c>
    </row>
    <row r="29" ht="32" customHeight="1">
      <c r="A29" s="48" t="inlineStr">
        <is>
          <t>MK-118</t>
        </is>
      </c>
      <c r="B29" s="48" t="inlineStr">
        <is>
          <t>ESDH-løsningen skal understøtte, at Administrator kan konfigurere hele ESDH-løsningens brugergrænseflade.</t>
        </is>
      </c>
      <c r="C29" s="48" t="inlineStr">
        <is>
          <t>”hele brugergrænsefladen” kan tolkes skidt af en ondsindet modpart.</t>
        </is>
      </c>
    </row>
    <row r="30" ht="64" customHeight="1">
      <c r="A30" s="48" t="inlineStr">
        <is>
          <t>K-10</t>
        </is>
      </c>
      <c r="B30" s="48" t="inlineStr">
        <is>
          <t>ESDH-løsningen skal understøtte, at en Administrator kan tilknytte fast metadata til journalplanen i form af adgangsgrupper og adgangsbegrænsning, når der vælges en foruddefineret journalplansværdi.</t>
        </is>
      </c>
      <c r="C30" s="48" t="inlineStr">
        <is>
          <t>Kan vi ikke</t>
        </is>
      </c>
    </row>
    <row r="31" ht="64" customHeight="1">
      <c r="A31" s="48" t="inlineStr">
        <is>
          <t>K-11</t>
        </is>
      </c>
      <c r="B31" s="48" t="inlineStr">
        <is>
          <t>ESDH-løsningen skal understøtte, at Kundens Konfiguration af brugergrænsefladen kan eksporteres og importeres på tværs af Kundens it-miljøer (f.eks. fra et test- eller udviklingsmiljø til pre-produktions- og produktionsmiljøet).</t>
        </is>
      </c>
      <c r="C31" s="48" t="inlineStr">
        <is>
          <t>Kan vi ikke</t>
        </is>
      </c>
    </row>
    <row r="32" ht="64" customHeight="1">
      <c r="A32" s="48" t="inlineStr">
        <is>
          <t>K-12</t>
        </is>
      </c>
      <c r="B32" s="48" t="inlineStr">
        <is>
          <t>ESDH-løsningen skal understøtte, at Kundens Konfiguration fra administratormodulet kan eksporteres og importeres på tværs af Kundens it-miljøer (f.eks. fra et test- eller udviklingsmiljø til pre-produktions- og produktionsmiljøet).</t>
        </is>
      </c>
      <c r="C32" s="48" t="inlineStr">
        <is>
          <t>Kan vi ikke</t>
        </is>
      </c>
    </row>
    <row r="33" ht="32" customHeight="1">
      <c r="A33" s="48" t="inlineStr">
        <is>
          <t>K-13</t>
        </is>
      </c>
      <c r="B33" s="48" t="inlineStr">
        <is>
          <t>ESDH-løsningen skal understøtte, at en Administrator kan opsætte visning af datoformatet i Løsningen.</t>
        </is>
      </c>
      <c r="C33" s="48" t="inlineStr">
        <is>
          <t>Kan vi ikke</t>
        </is>
      </c>
    </row>
    <row r="34" ht="96" customHeight="1">
      <c r="A34" s="48" t="inlineStr">
        <is>
          <t>MK-133</t>
        </is>
      </c>
      <c r="B34" s="48" t="inlineStr">
        <is>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is>
      </c>
      <c r="C34" s="48" t="inlineStr">
        <is>
          <t>Har vi ikke</t>
        </is>
      </c>
    </row>
    <row r="35" ht="80" customHeight="1">
      <c r="A35" s="48" t="inlineStr">
        <is>
          <t>MK-135</t>
        </is>
      </c>
      <c r="B35" s="48" t="inlineStr">
        <is>
          <t>ESDH-løsningen skal understøtte, at adgang til Dokumenter og Bilag kan tildeles uafhængigt af adgang til den tilhørende sag. Brugere med adgang til et Dokument eller Bilag, men uden adgang til sagen, må ikke kunne tilgå eller se oplysninger om sagens øvrige indhold.</t>
        </is>
      </c>
      <c r="C35" s="48" t="inlineStr">
        <is>
          <t>Begrænser muligheden for at bruge ”Case accessgroup” der ellers passer på deres MK’s</t>
        </is>
      </c>
    </row>
    <row r="36" ht="64" customHeight="1">
      <c r="A36" s="48" t="inlineStr">
        <is>
          <t>MK-136</t>
        </is>
      </c>
      <c r="B36" s="48" t="inlineStr">
        <is>
          <t>ESDH-løsningen skal understøtte, at data skal kunne tilgås og udtrækkes udenom leverandørspecifikke værktøjer, således at fremtidig migrering til en anden platform kan gennemføres med begrænset kompleksitet og uden tab af data.</t>
        </is>
      </c>
      <c r="C36" s="48" t="inlineStr">
        <is>
          <t>Kan det lade sig gøre at trække data ud uden?</t>
        </is>
      </c>
    </row>
    <row r="37" ht="80" customHeight="1">
      <c r="A37" s="48" t="inlineStr">
        <is>
          <t>MK-142</t>
        </is>
      </c>
      <c r="B37" s="48" t="inlineStr">
        <is>
          <t>ESDH-løsningen skal understøtte integration til andre leverandører af office-pakker end Microsoft Office, som tilbyder samme services som kravstillet til standardsoftware, f.eks. opensource office pakken LibreOffice, som kan afvikles på Statens IT’s SIA pc.</t>
        </is>
      </c>
      <c r="C37" s="48" t="inlineStr">
        <is>
          <t>Det har vi ikke endnu</t>
        </is>
      </c>
    </row>
    <row r="38" ht="48" customHeight="1">
      <c r="A38" s="48" t="inlineStr">
        <is>
          <t>MK-145</t>
        </is>
      </c>
      <c r="B38" s="48" t="inlineStr">
        <is>
          <t>ESDH-løsningen skal understøtte, at det fremgår visuelt i Outlook-mapper, på hvilken sag og hvornår en e-mail er blevet journaliseret i ESDH-løsningen.</t>
        </is>
      </c>
      <c r="C38" s="48" t="inlineStr">
        <is>
          <t>Kan vi kun med office webapps</t>
        </is>
      </c>
    </row>
    <row r="39" ht="64" customHeight="1">
      <c r="A39" s="48" t="inlineStr">
        <is>
          <t>MK-148</t>
        </is>
      </c>
      <c r="B39" s="48" t="inlineStr">
        <is>
          <t>ESDH-løsningen skal understøtte integration til andre leverandører af e-mail klienter, som tilbyder samme services som kravstillet til standardsoftware, f.eks. Evolution mailklient, som kan afvikles på Statens IT’s SIA pc.</t>
        </is>
      </c>
      <c r="C39" s="48" t="inlineStr">
        <is>
          <t>Understøtter vi ikke endnu</t>
        </is>
      </c>
    </row>
    <row r="40" ht="32" customHeight="1">
      <c r="A40" s="48" t="inlineStr">
        <is>
          <t>MK-150</t>
        </is>
      </c>
      <c r="B40" s="48" t="inlineStr">
        <is>
          <t>Scanningsløsningen skal kunne benyttes på følgende fysiske skannere:</t>
        </is>
      </c>
      <c r="C40" s="48" t="inlineStr">
        <is>
          <t>Ingen ide</t>
        </is>
      </c>
    </row>
    <row r="41" ht="80" customHeight="1">
      <c r="A41" s="48" t="inlineStr">
        <is>
          <t>MK-151</t>
        </is>
      </c>
      <c r="B41" s="48" t="inlineStr">
        <is>
          <t>De skannede Dokumenter skal ende i en ”skanningsindbakke” i ESDH-løsningen, hvor man kan modtage skannede Dokumenter til en afdeling, team eller til enkeltpersoner. Scannede Dokumenter til enkeltpersoner skal også kunne ses af afdelingen/teamet.</t>
        </is>
      </c>
      <c r="C41" s="48" t="inlineStr">
        <is>
          <t>Ved ikke om vi understøtter til enkeltpersoner..?</t>
        </is>
      </c>
    </row>
    <row r="42" ht="48" customHeight="1">
      <c r="A42" s="48" t="inlineStr">
        <is>
          <t>MK-153</t>
        </is>
      </c>
      <c r="B42" s="48" t="inlineStr">
        <is>
          <t>Dokumenterne skal sorteres og skannes med eksempelvis skilleark eller lignende løsning, som sikrer at Dokumenterne ender hos den rigtige person/afdeling/team i ESDH-løsningen.</t>
        </is>
      </c>
      <c r="C42" s="48" t="inlineStr">
        <is>
          <t>Igen person</t>
        </is>
      </c>
    </row>
    <row r="43" ht="48" customHeight="1">
      <c r="A43" s="48" t="inlineStr">
        <is>
          <t>MK-165</t>
        </is>
      </c>
      <c r="B43" s="48" t="inlineStr">
        <is>
          <t>ESDH-løsningen skal understøtte, at alle nødvendige parametre kan anvendes til opsætning og Konfiguration af fjernprint.</t>
        </is>
      </c>
      <c r="C43" s="48" t="inlineStr">
        <is>
          <t>Ikke sikker - kender ikke nogen kunder der har det, men mon ikke vi kan understøtte det</t>
        </is>
      </c>
    </row>
    <row r="44" ht="96" customHeight="1">
      <c r="A44" s="48" t="inlineStr">
        <is>
          <t>MK-168</t>
        </is>
      </c>
      <c r="B44" s="48" t="inlineStr">
        <is>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is>
      </c>
      <c r="C44" s="48" t="inlineStr">
        <is>
          <t>Understøtter vi ikke - vi skifter ikke automatisk til næste forsendelseskanal hvis den første fejler.</t>
        </is>
      </c>
    </row>
    <row r="45" ht="32" customHeight="1">
      <c r="A45" s="48" t="inlineStr">
        <is>
          <t>MK-169</t>
        </is>
      </c>
      <c r="B45" s="48" t="inlineStr">
        <is>
          <t>ESDH-løsningen skal understøtte en forsendelsesproces, hvor forsendelsen er større end, hvad der kan sendes i Digital Post.</t>
        </is>
      </c>
      <c r="C45" s="48" t="inlineStr">
        <is>
          <t>Har vi ikke</t>
        </is>
      </c>
    </row>
    <row r="46" ht="80" customHeight="1">
      <c r="A46" s="48" t="inlineStr">
        <is>
          <t>MK-170</t>
        </is>
      </c>
      <c r="B46" s="48" t="inlineStr">
        <is>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is>
      </c>
      <c r="C46" s="48" t="inlineStr">
        <is>
          <t>Ser ikke ud til at F2 er på bordet for udskiftning også</t>
        </is>
      </c>
    </row>
    <row r="47" ht="32" customHeight="1">
      <c r="A47" s="48" t="inlineStr">
        <is>
          <t>MK-175</t>
        </is>
      </c>
      <c r="B47" s="48" t="inlineStr">
        <is>
          <t>Leverandøren skal sikre etablering, Konfiguration og stabil drift af to sikkerhedsmæssigt adskilte miljøer:</t>
        </is>
      </c>
      <c r="C47" s="48" t="inlineStr">
        <is>
          <t>Leverandøren kan vel ikke sikre etablering af miljøer når SIT er driftsleverandør?</t>
        </is>
      </c>
    </row>
    <row r="48" ht="160" customHeight="1">
      <c r="A48" s="35" t="inlineStr">
        <is>
          <t>Bilag 1 - Optioner</t>
        </is>
      </c>
      <c r="B48" s="35" t="inlineStr">
        <is>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is>
      </c>
      <c r="C48" s="35" t="inlineStr">
        <is>
          <t xml:space="preserve">OBS: Vi kan stå for ansvaret for deres drift med 20 DAGES varsel.
Option 7 lugter af at vi/KMD evt skal uddanne Deloitte til at håndtere driften for dem.
Vi kan ikke give gå-væk-priser på nogle af disse. De indgår i den evalueringstekniske pris. </t>
        </is>
      </c>
    </row>
    <row r="49" ht="64" customHeight="1">
      <c r="A49" s="3" t="inlineStr">
        <is>
          <t>B1.A-7</t>
        </is>
      </c>
      <c r="B49" s="35" t="inlineStr">
        <is>
          <t>Ved migrering af drift fra et system til et andet eller ved skift af driftsleverandør, har Kunden ret til vederlagsfrit at dobbeltdrifte i en periode på op til 4 måneder, hvor systemet migreres fra et driftsmiljø til et andet.</t>
        </is>
      </c>
      <c r="C49" s="35" t="inlineStr">
        <is>
          <t>Prispåvirkning - dette kan være dyrt.</t>
        </is>
      </c>
    </row>
    <row r="50" ht="192" customHeight="1">
      <c r="A50" s="3" t="inlineStr">
        <is>
          <t>B1.A-9</t>
        </is>
      </c>
      <c r="B50" s="35" t="inlineStr">
        <is>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is>
      </c>
      <c r="C50" s="35" t="inlineStr">
        <is>
          <t>Betyder dette, at de kan få adgang til vores kildekode? At de vil kopiere vores kildekode og gøre med det, hvad de vil? Dette kan vi IKKE leve med.</t>
        </is>
      </c>
    </row>
    <row r="51" ht="112" customHeight="1">
      <c r="A51" s="3" t="inlineStr">
        <is>
          <t>B1.A-10</t>
        </is>
      </c>
      <c r="B51" s="35" t="inlineStr">
        <is>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is>
      </c>
      <c r="C51" s="35" t="inlineStr">
        <is>
          <t xml:space="preserve">Dette er nok skrevet ind for at Deloitte kan arbejde for dem. </t>
        </is>
      </c>
    </row>
    <row r="52" ht="32" customHeight="1">
      <c r="A52" s="3" t="inlineStr">
        <is>
          <t>Bilag 1 - Tidsplan</t>
        </is>
      </c>
      <c r="B52" s="3" t="inlineStr">
        <is>
          <t xml:space="preserve">Kontraktunderskrift sker først efter afklaringsfasen. </t>
        </is>
      </c>
      <c r="C52" s="35" t="inlineStr">
        <is>
          <t xml:space="preserve">Dette er meget unormalt og kan bruges som en ekstra måde at kunne sparke en leverandør ud på. </t>
        </is>
      </c>
    </row>
    <row r="53" ht="64" customHeight="1">
      <c r="A53" s="3" t="inlineStr">
        <is>
          <t>Fordeling af krav</t>
        </is>
      </c>
      <c r="B53" s="35" t="inlineStr">
        <is>
          <t>I udbudsmaterialet findes der følgende fordeling af krav: 
- ca. 217 krav (83 %) er klassificeret som Mindstekrav, 
- ca. 33 krav (13 %) er klassificeret som Krav,
- kun ca. 12 krav (4 %) er klassificeret som Evalueringskrav.</t>
        </is>
      </c>
      <c r="C53" s="35" t="inlineStr">
        <is>
          <t>Tommelfingerreglen for offentlige udbud er, at kun omkring 10% af et udbuds totale antal krav bør være mindstekrav.</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20"/>
  <sheetViews>
    <sheetView zoomScale="85" zoomScaleNormal="85" workbookViewId="0">
      <pane ySplit="1" topLeftCell="A9" activePane="bottomLeft" state="frozen"/>
      <selection pane="bottomLeft" activeCell="D13" sqref="D13"/>
    </sheetView>
  </sheetViews>
  <sheetFormatPr baseColWidth="8" defaultRowHeight="16"/>
  <cols>
    <col width="3.07421875" bestFit="1" customWidth="1" min="1" max="1"/>
    <col width="21" customWidth="1" min="2" max="2"/>
    <col width="13" customWidth="1" min="3" max="3"/>
    <col width="58.23046875" customWidth="1" min="4" max="4"/>
    <col width="13.69140625" customWidth="1" style="7" min="5" max="5"/>
    <col width="45.69140625" customWidth="1" min="6" max="6"/>
    <col width="14.765625" customWidth="1" style="7" min="7" max="7"/>
    <col width="26.53515625" customWidth="1" min="8" max="8"/>
  </cols>
  <sheetData>
    <row r="1">
      <c r="A1" s="32" t="inlineStr">
        <is>
          <t>#</t>
        </is>
      </c>
      <c r="B1" s="32" t="inlineStr">
        <is>
          <t>Relates to requirement ID</t>
        </is>
      </c>
      <c r="C1" s="32" t="inlineStr">
        <is>
          <t>Sender</t>
        </is>
      </c>
      <c r="D1" s="32" t="inlineStr">
        <is>
          <t>Question</t>
        </is>
      </c>
      <c r="E1" s="32" t="inlineStr">
        <is>
          <t>Sent Date</t>
        </is>
      </c>
      <c r="F1" s="32" t="inlineStr">
        <is>
          <t>Answer</t>
        </is>
      </c>
      <c r="G1" s="32" t="inlineStr">
        <is>
          <t>Received Date</t>
        </is>
      </c>
      <c r="H1" s="32" t="inlineStr">
        <is>
          <t>Comment</t>
        </is>
      </c>
    </row>
    <row r="2" hidden="1" ht="409.5" customHeight="1">
      <c r="A2" s="3" t="n">
        <v>1</v>
      </c>
      <c r="B2" s="35" t="inlineStr">
        <is>
          <t>Leveringskontrakten:
Punkt 16.1 (Forsinkelse)
Punkt 16.3 (Bod)
Punkt 16.4 (Erstatning)
Bilag 1.h Servicemål (SLA-bod)
Bilag 5 CSR (CSR-bod)
Bilag 6 Trepartsaftale (bod ved mangelfuld rapportering til SKI)</t>
        </is>
      </c>
      <c r="C2" s="3" t="inlineStr">
        <is>
          <t>Tieto</t>
        </is>
      </c>
      <c r="D2" s="35" t="inlineStr">
        <is>
          <t>Leveringskontrakten fastsætter et bod-system med følgende elementer: (1) Dagbod på
0,1% af evalueringsteknisk pris (minimum DKK 1.500/dag) fra dag 31 af forsinkelse, (2)
Supplerende bodspoint ved SLA-overtrædelser værdsatte til leverandørens timepris, (3)
Maksimalt bod på 10% af evalueringsteknisk pris. Bod kan modregnes direkte i
vederlaget. Den samlede bod-risiko kan dermed udgøre væsentligt af projektets
fortjeneste.
Leverandøren finder, at de samlede bodsbestemmelser i Leveringskontrakten og de tilhørende bilag er væsentligt mere vidtgående end det, der almindeligvis ses i markedet for tilsvarende offentlige it-kontrakter. Kontrakten indeholder blandt andet bod ved implementeringsforsinkelse, bod ved mangler, særskilte bodsbestemmelser for servicemål, CSR-relaterede bodsbestemmelser samt bodsbestemmelser i trepartsaftalen med SKI.
Efter tilbudsgivers opfattelse medfører dette et uforholdsmæssigt højt risikoniveau, idet flere bodsregimer kan finde anvendelse parallelt for samme kontraktforhold. Den samlede regulering fremstår derfor ikke markedskonform og understøtter efter tilbudsgivers vurdering ikke et balanceret kontraktforhold, hvor begge parter har et fælles incitament til at løse udfordringer i samarbejde.
Som bestemmelserne er udformet, kan de eksempelvis føre til situationer, hvor:
samme hændelse udløser flere samtidige bodskrav efter forskellige bilag,
mindre eller kortvarige afvigelser med begrænset forretningsmæssig betydning kan udløse betydelige økonomiske sanktioner,
bod kan påløbe, selv om leverandøren arbejder aktivt og loyalt på at afhjælpe forholdet,
kunden får et økonomisk incitament til at lade bod fortsætte frem for hurtigt at samarbejde om en praktisk løsning, fordi kontrakten ikke i tilstrækkelig grad understøtter afhjælpning før sanktionering.
Vil Kunden derfor overveje at justere bodsbestemmelserne, så de samlet set bliver mere proportionale og markedskonforme, eksempelvis ved at:
begrænse muligheden for kumulation af bod,
reducere bodsniveauerne,
indføre en rimelig afhjælpningsperiode før bod pålægges,
fastsætte et samlet loft for bod på tværs af kontrakten og bilagene.
En sådan justering vil efter tilbudsgivers vurdering skabe et mere balanceret kontraktgrundlag, hvor sanktioner fortsat kan anvendes ved væsentlig misligholdelse, men hvor kontrakten i højere grad understøtter et samarbejde om hurtig afhjælpning og en succesfuld leverance.
Det kombinerede bod-system (dagbod + bodspoint) udgør
en betydelig finansiel risiko uden tydelige årsagssammenhænge til kundens tab. En 10%
maksimalbod kan være højere end projektets nettoresultat. Hvis leverandøren ikke kan
påtage sig sådan risiko uden væsentlig prisforhøjelse, eller hvis risikoen vurderes som
uacceptabel, kan dette påvirke antallet og kvaliteten af tilbud. Kun meget store
leverandører med høj risiko-tolerance kan være villige til at byde under disse
betingelser.</t>
        </is>
      </c>
      <c r="E2" s="8" t="n"/>
      <c r="F2" s="3" t="n"/>
      <c r="G2" s="8" t="n"/>
      <c r="H2" s="3" t="inlineStr">
        <is>
          <t>Afventer - efter ferien</t>
        </is>
      </c>
    </row>
    <row r="3" hidden="1" ht="320" customHeight="1">
      <c r="A3" s="3" t="n">
        <v>2</v>
      </c>
      <c r="B3" s="35" t="inlineStr">
        <is>
          <t>Bilag 1 Kundens opgavebeskrivelse
Punkt 2.2 Support og vedligeholdelse
Punkt 2.3 Implementering
Punkt 3 Eksisterende it-miljø
Punkt 4 Tidsplan
Bilag 1.c Kundens eksisterende it-landskab
Bilag 1.g Samarbejde under Leveringskontrakten
Bilag 1.h Servicemål
Bilag 1.l Statens IT's driftsmodeller</t>
        </is>
      </c>
      <c r="C3" s="3" t="inlineStr">
        <is>
          <t>Tieto</t>
        </is>
      </c>
      <c r="D3" s="35" t="inlineStr">
        <is>
          <t>Leverandøren implementerer ESDH-systemet, men Statens IT (SIT) driver og supporterer det i produktionsmiljø efter Go-Live. Ansvarsgrænsen mellem disse to roller er ikke præcist defineret. Det er uklart: Hvem er ansvarlig hvis SIT's infrastruktur fejler?
Hvem betaler hvis SIT ikke leverer promised ressourcer (CPU-kapacitet, lagring, backup)? Kan leverandøren blive pålagt bod for SLA-overtrædelser der skyldes SIT's manglende drift-ressourcer?
 Kan I præcisere grænserne for ansvar mellem leverandørens implementering og SIT's drift? Specifikt: (1) Hvis systemet ikke opnår den fastsatte tilgængelighed eller performance på grund af utilstrækkelig infrastruktur fra SIT, hvem betaler? (2) Hvad
er proceduren hvis SIT kan ikke levere promised drift-ressourcer? (3) Er der SLA'er for SIT's drift, og hvordan håndteres overtrædelser af disse SLA'er?
Baggrund for spørgsmål: Hvis leverandøren kan blive pålagt bod for SLAovertrædelser der skyldes SIT's drift-mangler, betyder det, at leverandøren kan straffes økonomisk for fejl som ligger uden for deres kontrol. Dette øger risikoen betydeligt og kan være uacceptabelt for leverandøren. Manglende klarhed omkring ansvarsgrænserne kan føre til tvister og påvirke leverandørens vilje til at acceptere SLA'er.</t>
        </is>
      </c>
      <c r="E3" s="8" t="n"/>
      <c r="F3" s="3" t="n"/>
      <c r="G3" s="8" t="n"/>
      <c r="H3" s="3" t="inlineStr">
        <is>
          <t>Afventer - efter ferien</t>
        </is>
      </c>
    </row>
    <row r="4" hidden="1" ht="409.5" customHeight="1">
      <c r="A4" s="3" t="n">
        <v>4</v>
      </c>
      <c r="B4" s="35" t="inlineStr">
        <is>
          <t>Bilag 1.b Krav til standardsoftware
Samtlige MK, K og EK
Bilag 1.e Krav til IT- og informationssikkerhed
Samtlige MK og K
Opfordringsskrivelsen
Afsnit om evaluering
Afsnit om konditionsmæssighed</t>
        </is>
      </c>
      <c r="C4" s="3" t="inlineStr">
        <is>
          <t>Tieto</t>
        </is>
      </c>
      <c r="D4" s="35" t="inlineStr">
        <is>
          <t>I udbudsmaterialet findes der følgende fordeling af krav: 
- ca. 217 krav (83 %) er klassificeret som Mindstekrav, 
- ca. 33 krav (13 %) er klassificeret som Krav,
- kun ca. 12 krav (4 %) er klassificeret som Evalueringskrav.
Det betyder, at langt hovedparten af kravene er ufravigelige Mindstekrav, som tilbudsgiver skal opfylde, mens kun en meget begrænset del af kravene giver mulighed for, at Ordregiver kan evaluere forskellige løsningsforslag og deres kvalitet.
Tommelfingerreglen for offentlige udbud er, at kun omkring 10% af et udbuds totale antal krav bør være mindstekrav.
Efter vores opfattelse indebærer en så høj andel af detaljerede Mindstekrav en risiko for, at konkurrencen begrænses unødigt, idet leverandørerne kun i begrænset omfang får mulighed for at konkurrere på forskellige standardfunktionaliteter, arkitekturvalg og løsningsmetoder. Dette gælder særligt, når Mindstekravene omfatter detaljerede krav til funktionalitet, brugergrænseflade og systemarkitektur frem for de bagvedliggende forretningsmæssige behov.
Ordregiver bedes derfor oplyse:
Hvilke overvejelser ligger til grund for, at ca. 83 % af kravene er udformet som Mindstekrav?
Har Ordregiver vurderet, om alle disse krav er nødvendige som ufravigelige Mindstekrav, eller om en del af kravene kunne være udformet som Krav eller Evalueringskrav, således at forskellige standardløsninger kunne konkurrere på deres respektive styrker?
Hvordan har Ordregiver sikret, at kravspecifikationen er udformet i overensstemmelse med udbudslovens § 42 om tekniske specifikationer, således at kravene ikke i praksis favoriserer bestemte produkter eller leverandører, men giver alle relevante standardløsninger mulighed for at konkurrere på lige vilkår?
Hvordan har Ordregiver vurderet, at den valgte kravstruktur er forenelig med udbudslovens § 2 om ligebehandling og proportionalitet, når langt størstedelen af kravene er gjort til ufravigelige Mindstekrav?
Baggrunden for spørgsmålene er, at en kravspecifikation med en meget høj andel af detaljerede Mindstekrav kan medføre, at konkurrencen i praksis begrænses til standardløsninger, som allerede er indrettet efter netop disse krav. Leverandører, der kan opfylde Ordregivers behov gennem andre standardfunktionaliteter eller en anden systemarkitektur, kan dermed få vanskeligere ved at konkurrere, selv om løsningen opfylder de bagvedliggende forretningsmæssige behov.
Ordregiver bedes derfor redegøre for, hvilke konkrete vurderinger der er foretaget for at sikre, at kravspecifikationen ikke begrænser konkurrencen mere end nødvendigt, og at de opstillede Mindstekrav er proportionale og objektivt nødvendige for at opfylde Ordregivers behov.</t>
        </is>
      </c>
      <c r="E4" s="8" t="n"/>
      <c r="F4" s="3" t="n"/>
      <c r="G4" s="8" t="n"/>
      <c r="H4" s="3" t="inlineStr">
        <is>
          <t>Afventer - efter ferien</t>
        </is>
      </c>
    </row>
    <row r="5" hidden="1" ht="368" customHeight="1">
      <c r="A5" s="3" t="n">
        <v>5</v>
      </c>
      <c r="B5" s="35" t="inlineStr">
        <is>
          <t>Opfordringsskrivelsen
Afsnit 3 Skriftlige spørgsmål
Tidsplanen for spørgsmål og svar
Tilbudsfrister</t>
        </is>
      </c>
      <c r="C5" s="3" t="inlineStr">
        <is>
          <t>Tieto</t>
        </is>
      </c>
      <c r="D5" s="35" t="inlineStr">
        <is>
          <t>Ordregiver har anført, at tilbudsgiverne i perioden fra den 10. juli 2026 til den 2. august 2026 ikke kan forvente at modtage svar på indsendte spørgsmål.
Udbudsmaterialet er omfattende og indeholder et betydeligt antal detaljerede tekniske, kontraktuelle og sikkerhedsmæssige krav. For at kunne udarbejde et kvalificeret og konkurrencedygtigt tilbud er tilbudsgiverne afhængige af løbende afklaring af spørgsmål til udbudsmaterialet.
Ordregiver bedes derfor redegøre for, hvordan det er vurderet, at den lange periode uden mulighed for afklaring giver tilbudsgiverne tilstrækkelige muligheder for at udarbejde et fuldt oplyst og konkurrencedygtigt tilbud på lige vilkår.
Har Ordregiver overvejet enten:
at besvare spørgsmål løbende i ferieperioden,
at forlænge tilbudsfristen tilsvarende, eller
at forlænge fristen for indsendelse af spørgsmål,
således at tilbudsgiverne reelt har mulighed for at få afklaret væsentlige forhold i udbudsmaterialet inden tilbudsafgivelsen?</t>
        </is>
      </c>
      <c r="E5" s="8" t="n"/>
      <c r="F5" s="3" t="n"/>
      <c r="G5" s="8" t="n"/>
      <c r="H5" s="3" t="inlineStr">
        <is>
          <t>Afventer - efter ferien</t>
        </is>
      </c>
    </row>
    <row r="6" hidden="1" ht="409.5" customHeight="1">
      <c r="A6" s="3" t="n">
        <v>6</v>
      </c>
      <c r="B6" s="35" t="inlineStr">
        <is>
          <t>Bilag 1 Kundens opgavebeskrivelse
Punkt 2.3 Implementering
Punkt 4 Tidsplan
Bilag 1.g Samarbejde under Leveringskontrakten
Kapitel 3 Samarbejdsorganisation i implementeringsfasen
Punkt 3.5 Projektledelse</t>
        </is>
      </c>
      <c r="C6" s="3" t="inlineStr">
        <is>
          <t>Tieto</t>
        </is>
      </c>
      <c r="D6" s="35" t="inlineStr">
        <is>
          <t>Udbudsmaterialet beskriver, at implementeringen skal gennemføres i et tæt samarbejde mellem Ordregiver og Leverandøren, og at begge parter har væsentlige roller i projektets gennemførelse.
Ordregiver bedes derfor oplyse, hvem der forventes at varetage projektlederrollen på Ordregivers side under implementeringsfasen.
Er det Ordregivers forventning, at projektledelsen varetages af interne medarbejdere, eller forventes projektledelsen helt eller delvist varetaget af en ekstern rådgiver?
Såfremt Ordregiver forventer at anvende en ekstern rådgiver, bedes Ordregiver oplyse, om denne vil være den samme rådgiver, som har bistået Ordregiver med udarbejdelsen af udbudsmaterialet og den forudgående anskaffelsesproces.
Baggrunden for spørgsmålet er, at projektorganisationen, projektledelsens rolle og graden af kontinuitet mellem udbudsfasen og implementeringsfasen har væsentlig betydning for implementeringsrisikoen, governance, beslutningsprocesser og samarbejdsmodellen. Disse forhold indgår direkte i tilbudsgivernes vurdering af risiko og dermed i prissætningen af implementeringsopgaven.
En afklaring vil derfor bidrage til en mere ensartet risikovurdering og prissætning blandt tilbudsgiverne.</t>
        </is>
      </c>
      <c r="E6" s="8" t="n"/>
      <c r="F6" s="3" t="n"/>
      <c r="G6" s="8" t="n"/>
      <c r="H6" s="3" t="inlineStr">
        <is>
          <t>Afventer - efter ferien</t>
        </is>
      </c>
    </row>
    <row r="7" hidden="1" ht="336" customHeight="1">
      <c r="A7" s="3" t="n">
        <v>7</v>
      </c>
      <c r="B7" s="35" t="inlineStr">
        <is>
          <t>Bilag 1 Kundens opgavebeskrivelse
Punkt 4.1 Faser i tidsplanen
Punkt 4.2 Nedbrydning af faserne
Aktiviteten "Kontraktunderskrivelse"
Leveringskontrakten
Punkt 13 Varighed</t>
        </is>
      </c>
      <c r="C7" s="3" t="inlineStr">
        <is>
          <t>Tieto</t>
        </is>
      </c>
      <c r="D7" s="35" t="inlineStr">
        <is>
          <t>Det fremgår af Bilag 1, at afklaringsfasen omfatter en række aktiviteter, herunder planlægning, afklaringer, projektopstart, miljøopsætning og etablering af testmiljø, og at afklaringsfasen afsluttes med "Kontraktunderskrivelse".
Tilbudsgiver forstår dette således, at den endelige kontrakt først underskrives efter gennemførelsen af afklaringsfasen.
Er denne forståelse korrekt?
Såfremt dette er tilfældet, bedes Ordregiver redegøre for:
Hvilket kontraktgrundlag regulerer Parternes rettigheder og forpligtelser under afklaringsfasen.
Hvordan Ordregiver har vurderet denne model i forhold til almindelig udbuds- og kontraktpraksis, hvor kontrakten typisk indgås forud for projektets opstart.
Hvilke konsekvenser det har, hvis Parterne ikke kan opnå enighed om de forhold, der afklares i afklaringsfasen, herunder om Ordregiver i så fald kan vælge ikke at underskrive kontrakten, selv om leverandøren er blevet tildelt kontrakten efter gennemført udbud.</t>
        </is>
      </c>
      <c r="E7" s="8" t="n"/>
      <c r="F7" s="3" t="n"/>
      <c r="G7" s="8" t="n"/>
      <c r="H7" s="3" t="inlineStr">
        <is>
          <t>Afventer - efter ferien</t>
        </is>
      </c>
    </row>
    <row r="8" ht="288" customHeight="1">
      <c r="A8" s="3" t="n">
        <v>8</v>
      </c>
      <c r="B8" s="35" t="inlineStr">
        <is>
          <t>Option 5 – Databasedrift hos Statens IT
Bilag 1 Kundens opgavebeskrivelse
Punkt 7 Optioner
Option 5 Databasedrift hos Statens IT
Bilag 1.i Vederlag og betalingsplan
Prissætning af optioner
Bilag 1.l Statens IT's driftsmodeller
Bilag 1.h Servicemål (hvis optionen aktiveres)</t>
        </is>
      </c>
      <c r="C8" s="3" t="inlineStr">
        <is>
          <t>Tieto</t>
        </is>
      </c>
      <c r="D8" s="35" t="inlineStr">
        <is>
          <t>Det fremgår af Option 5, at Ordregiver ønsker mulighed for at overdrage ansvaret for drift og vedligeholdelse af ESDH-løsningens database (middleware) til Leverandøren i Ordregivers miljø hos Statens IT.
Ordregiver bedes oplyse, om Statens IT har bekræftet, at den beskrevne driftsmodel er teknisk, kontraktuelt og driftsmæssigt mulig inden for Statens IT's gældende driftsmodeller og rammevilkår.
Såfremt dette er tilfældet, bedes Ordregiver oplyse, om den nødvendige afklaring og accept fra Statens IT allerede foreligger, eller om dette først skal ske i forbindelse med en eventuel aktivering af optionen.
Baggrunden for spørgsmålet er, at optionens gennemførlighed afhænger af Statens IT's rammer og godkendelser. En afklaring er derfor nødvendig for, at tilbudsgiverne kan foretage en retvisende risikovurdering og prissætning af optionen på et ensartet grundlag.</t>
        </is>
      </c>
      <c r="E8" s="8" t="n"/>
      <c r="F8" s="3" t="n"/>
      <c r="G8" s="8" t="n"/>
      <c r="H8" s="3" t="n"/>
    </row>
    <row r="9" ht="48" customHeight="1">
      <c r="A9" s="3" t="n">
        <v>9</v>
      </c>
      <c r="B9" s="3" t="inlineStr">
        <is>
          <t xml:space="preserve">Erklæring om Ruslands-forordningen. </t>
        </is>
      </c>
      <c r="C9" s="3" t="inlineStr">
        <is>
          <t>Tieto</t>
        </is>
      </c>
      <c r="D9" s="35" t="inlineStr">
        <is>
          <t>Leverandøren gør opmærksom på, at der mangler en Erklæring om Ruslands-forordningen. 
Vil det være muligt for Ordregiver at uploade denne?</t>
        </is>
      </c>
      <c r="E9" s="8" t="n"/>
      <c r="F9" s="3" t="n"/>
      <c r="G9" s="8" t="n"/>
      <c r="H9" s="3" t="n"/>
    </row>
    <row r="10" ht="320" customHeight="1">
      <c r="A10" s="3" t="n">
        <v>10</v>
      </c>
      <c r="B10" s="3" t="inlineStr">
        <is>
          <t>Bilag 1.f</t>
        </is>
      </c>
      <c r="C10" s="3" t="inlineStr">
        <is>
          <t>Anton</t>
        </is>
      </c>
      <c r="D10" s="35" t="inlineStr">
        <is>
          <t>Det fremgår af Bilag 1.f, pkt. 12.1 og 12.2, at Driftsprøven først kan påbegyndes, når den fulde løsning er klar, herunder når både Proces- og regelstyringskomponenten samt Integrationsplatformen har gennemført og bestået deres respektive overtagelsesprøver.
Samtidig fremgår det af Leveringskontrakten, at Ordregiver har adgang til at gøre misligholdelsesbeføjelser gældende ved væsentlige forsinkelser, herunder hvis leveringen overskrider de kontraktuelle frister.
Ordregiver bedes derfor oplyse, hvordan denne afhængighed håndteres, hvis Proces- og regelstyringskomponenten og/eller Integrationsplatformen leveres af en anden leverandør, og en forsinkelse hos denne leverandør medfører, at Driftsprøven for ESDH-løsningen ikke kan påbegyndes eller afsluttes rettidigt.
Bekræfter Ordregiver, at Leverandøren ikke kan ifalde bod, misligholdelsesansvar eller risikere ophævelse som følge af forsinkelser, der udelukkende skyldes manglende levering eller godkendelse af disse øvrige komponenter?</t>
        </is>
      </c>
      <c r="E10" s="8" t="n"/>
      <c r="F10" s="3" t="n"/>
      <c r="G10" s="8" t="n"/>
      <c r="H10" s="3" t="n"/>
    </row>
    <row r="11" hidden="1" ht="272" customHeight="1">
      <c r="A11" s="3" t="n">
        <v>11</v>
      </c>
      <c r="B11" s="3" t="inlineStr">
        <is>
          <t>Bilag 1.f</t>
        </is>
      </c>
      <c r="C11" s="3" t="inlineStr">
        <is>
          <t>Tieto</t>
        </is>
      </c>
      <c r="D11" s="35" t="inlineStr">
        <is>
          <t>Det fremgår af Leveringskontrakten samt Bilag 1.d, at ESDH-løsningen udgør den første af tre komponenter i Ordregivers målarkitektur, og at den endelige Driftsprøve for ESDH-løsningen forudsætter, at både Proces- og regelstyringskomponenten samt Integrationsplatformen er implementeret og har bestået deres respektive overtagelsesprøver.
Ordregiver bedes redegøre for, hvordan den valgte opdeling af anskaffelsen er vurderet i forhold til udbudslovens § 2 om ligebehandling, gennemsigtighed og proportionalitet, når den kontraktuelle godkendelse af ESDH-løsningen er direkte afhængig af leverancer, der ikke er omfattet af nærværende udbud.
Ordregiver bedes samtidig oplyse, hvilke overvejelser der ligger til grund for, at de tre indbyrdes afhængige komponenter udbydes separat, herunder hvordan Ordregiver har sikret en klar ansvarsfordeling og en rimelig risikofordeling mellem de enkelte leverandører.</t>
        </is>
      </c>
      <c r="E11" s="8" t="n"/>
      <c r="F11" s="3" t="n"/>
      <c r="G11" s="8" t="n"/>
      <c r="H11" s="3" t="inlineStr">
        <is>
          <t>Afventer</t>
        </is>
      </c>
    </row>
    <row r="12" ht="169.5" customHeight="1">
      <c r="A12" s="3" t="n">
        <v>12</v>
      </c>
      <c r="B12" s="3" t="inlineStr">
        <is>
          <t>Bilag 1.b</t>
        </is>
      </c>
      <c r="C12" s="3" t="inlineStr">
        <is>
          <t>Anton</t>
        </is>
      </c>
      <c r="D12" s="49" t="inlineStr">
        <is>
          <t>MK 189 er selvmodsigende:
Ved afslutningen af hypercare-perioden skal Leverandøren udarbejde en rapport, der beskriver status og håndtering af samtlige registrerede fejl. Rapporten skal senest overleveres til Kunden ved afslutning af hypercare. 
Hvornår skal Leverandøren påbegynde udarbejdelsen, og hvornår skal den afleveres til kunden?</t>
        </is>
      </c>
      <c r="E12" s="8" t="n"/>
      <c r="F12" s="3" t="n"/>
      <c r="G12" s="8" t="n"/>
      <c r="H12" s="3" t="n"/>
    </row>
    <row r="13" ht="208" customHeight="1">
      <c r="A13" s="3" t="n">
        <v>13</v>
      </c>
      <c r="B13" s="3" t="inlineStr">
        <is>
          <t>Bilag 1.b</t>
        </is>
      </c>
      <c r="C13" s="3" t="inlineStr">
        <is>
          <t>Hans</t>
        </is>
      </c>
      <c r="D13" s="35" t="inlineStr">
        <is>
          <t>Ordregiver bedes præcisere, hvordan kravet om, at "Brugeren kan navigere og scrolle i dokument- og fillistevisninger, og at forhåndsvisningen automatisk opdateres og viser det Dokument/Fil, som Brugeren har navigeret til", skal forstås.
Er det Ordregivers forventning, at forhåndsvisningen løbende skal skifte i takt med, at Brugeren scroller gennem listen, eller er kravet opfyldt, når forhåndsvisningen automatisk opdateres, efter at Brugeren har navigeret til og valgt et andet dokument eller en anden fil?
Baggrunden for spørgsmålet er, at de to fortolkninger medfører forskellige krav til brugergrænsefladens adfærd, og en præcisering vil sikre en ensartet vurdering af tilbuddene.</t>
        </is>
      </c>
      <c r="E13" s="8" t="n"/>
      <c r="F13" s="3" t="n"/>
      <c r="G13" s="8" t="n"/>
      <c r="H13" s="3" t="n"/>
    </row>
    <row r="14">
      <c r="A14" s="3" t="n">
        <v>14</v>
      </c>
      <c r="B14" s="3" t="n"/>
      <c r="C14" s="3" t="n"/>
      <c r="D14" s="3" t="n"/>
      <c r="E14" s="8" t="n"/>
      <c r="F14" s="3" t="n"/>
      <c r="G14" s="8" t="n"/>
      <c r="H14" s="3" t="n"/>
    </row>
    <row r="15">
      <c r="A15" s="3" t="n">
        <v>15</v>
      </c>
      <c r="B15" s="3" t="n"/>
      <c r="C15" s="3" t="n"/>
      <c r="D15" s="3" t="n"/>
      <c r="E15" s="8" t="n"/>
      <c r="F15" s="3" t="n"/>
      <c r="G15" s="8" t="n"/>
      <c r="H15" s="3" t="n"/>
    </row>
    <row r="16">
      <c r="A16" s="3" t="n">
        <v>16</v>
      </c>
      <c r="B16" s="3" t="n"/>
      <c r="C16" s="3" t="n"/>
      <c r="D16" s="3" t="n"/>
      <c r="E16" s="8" t="n"/>
      <c r="F16" s="3" t="n"/>
      <c r="G16" s="8" t="n"/>
      <c r="H16" s="3" t="n"/>
    </row>
    <row r="17">
      <c r="A17" s="3" t="n">
        <v>17</v>
      </c>
      <c r="B17" s="3" t="n"/>
      <c r="C17" s="3" t="n"/>
      <c r="D17" s="3" t="n"/>
      <c r="E17" s="8" t="n"/>
      <c r="F17" s="3" t="n"/>
      <c r="G17" s="8" t="n"/>
      <c r="H17" s="3" t="n"/>
    </row>
    <row r="18">
      <c r="A18" s="3" t="n">
        <v>18</v>
      </c>
      <c r="B18" s="3" t="n"/>
      <c r="C18" s="3" t="n"/>
      <c r="D18" s="3" t="n"/>
      <c r="E18" s="8" t="n"/>
      <c r="F18" s="3" t="n"/>
      <c r="G18" s="8" t="n"/>
      <c r="H18" s="3" t="n"/>
    </row>
    <row r="19">
      <c r="A19" s="3" t="n">
        <v>19</v>
      </c>
      <c r="B19" s="3" t="n"/>
      <c r="C19" s="3" t="n"/>
      <c r="D19" s="3" t="n"/>
      <c r="E19" s="8" t="n"/>
      <c r="F19" s="3" t="n"/>
      <c r="G19" s="8" t="n"/>
      <c r="H19" s="3" t="n"/>
    </row>
    <row r="20">
      <c r="A20" s="3" t="n">
        <v>20</v>
      </c>
      <c r="B20" s="3" t="n"/>
      <c r="C20" s="3" t="n"/>
      <c r="D20" s="3" t="n"/>
      <c r="E20" s="8" t="n"/>
      <c r="F20" s="3" t="n"/>
      <c r="G20" s="8" t="n"/>
      <c r="H20" s="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4" sqref="A14:C16"/>
    </sheetView>
  </sheetViews>
  <sheetFormatPr baseColWidth="8" defaultRowHeight="16"/>
  <cols>
    <col width="35.53515625" bestFit="1" customWidth="1" min="1" max="1"/>
    <col width="22.3046875" customWidth="1" min="2" max="2"/>
  </cols>
  <sheetData>
    <row r="1">
      <c r="A1" s="40" t="inlineStr">
        <is>
          <t>Meeting</t>
        </is>
      </c>
      <c r="B1" s="40" t="inlineStr">
        <is>
          <t>Date</t>
        </is>
      </c>
    </row>
    <row r="2">
      <c r="A2" s="41" t="inlineStr">
        <is>
          <t>Tender material published</t>
        </is>
      </c>
      <c r="B2" s="41" t="inlineStr">
        <is>
          <t>Fri 03. Jul</t>
        </is>
      </c>
      <c r="C2" t="inlineStr">
        <is>
          <t>done</t>
        </is>
      </c>
    </row>
    <row r="3">
      <c r="A3" s="41" t="inlineStr">
        <is>
          <t>Material and requests sent to stakeholders</t>
        </is>
      </c>
      <c r="B3" s="41" t="inlineStr">
        <is>
          <t>Fri 03. Jul</t>
        </is>
      </c>
      <c r="C3" t="inlineStr">
        <is>
          <t>done</t>
        </is>
      </c>
    </row>
    <row r="4">
      <c r="A4" s="41" t="inlineStr">
        <is>
          <t>Kick-off meeting</t>
        </is>
      </c>
      <c r="B4" s="41" t="inlineStr">
        <is>
          <t>Mon 06. Jul</t>
        </is>
      </c>
      <c r="C4" t="inlineStr">
        <is>
          <t>done</t>
        </is>
      </c>
    </row>
    <row r="5">
      <c r="A5" s="41" t="inlineStr">
        <is>
          <t>Initial Solution Review</t>
        </is>
      </c>
      <c r="B5" s="41" t="inlineStr">
        <is>
          <t>Tue 07. Jul</t>
        </is>
      </c>
      <c r="C5" t="inlineStr">
        <is>
          <t>done</t>
        </is>
      </c>
    </row>
    <row r="6">
      <c r="A6" s="41" t="inlineStr">
        <is>
          <t>Initial guiding price meeting</t>
        </is>
      </c>
      <c r="B6" s="41" t="inlineStr">
        <is>
          <t>Tue 07. Jul</t>
        </is>
      </c>
      <c r="C6" t="inlineStr">
        <is>
          <t>done</t>
        </is>
      </c>
    </row>
    <row r="7">
      <c r="A7" s="41" t="inlineStr">
        <is>
          <t>Initial Legal review</t>
        </is>
      </c>
      <c r="B7" s="41" t="inlineStr">
        <is>
          <t>Tue 07. Jul</t>
        </is>
      </c>
      <c r="C7" t="inlineStr">
        <is>
          <t>done</t>
        </is>
      </c>
      <c r="E7" t="inlineStr">
        <is>
          <t xml:space="preserve">10. juli til 2. august kan vi ikke forvente at få svar fra kunden. </t>
        </is>
      </c>
    </row>
    <row r="8">
      <c r="A8" s="41" t="inlineStr">
        <is>
          <t>Initial SLA and servicegoal review</t>
        </is>
      </c>
      <c r="B8" s="41" t="inlineStr">
        <is>
          <t>Tue 07. Jul</t>
        </is>
      </c>
      <c r="C8" t="inlineStr">
        <is>
          <t>done</t>
        </is>
      </c>
    </row>
    <row r="9">
      <c r="A9" s="41" t="inlineStr">
        <is>
          <t>DG1</t>
        </is>
      </c>
      <c r="B9" s="41" t="inlineStr">
        <is>
          <t>Tue 07. Jul</t>
        </is>
      </c>
      <c r="C9" t="inlineStr">
        <is>
          <t>done</t>
        </is>
      </c>
    </row>
    <row r="10">
      <c r="A10" s="50" t="inlineStr">
        <is>
          <t>Holidays</t>
        </is>
      </c>
      <c r="B10" s="55" t="n"/>
    </row>
    <row r="11">
      <c r="A11" s="41" t="inlineStr">
        <is>
          <t>Legal review</t>
        </is>
      </c>
      <c r="B11" s="41" t="inlineStr">
        <is>
          <t>Wed 05. Aug</t>
        </is>
      </c>
      <c r="C11" t="inlineStr">
        <is>
          <t>done</t>
        </is>
      </c>
    </row>
    <row r="12">
      <c r="A12" s="41" t="inlineStr">
        <is>
          <t>Final SLA and servicegoals review</t>
        </is>
      </c>
      <c r="B12" s="41" t="inlineStr">
        <is>
          <t>Wed 05. Aug</t>
        </is>
      </c>
      <c r="C12" t="inlineStr">
        <is>
          <t>done</t>
        </is>
      </c>
    </row>
    <row r="13">
      <c r="A13" s="41" t="inlineStr">
        <is>
          <t>Finance review</t>
        </is>
      </c>
      <c r="B13" s="41" t="inlineStr">
        <is>
          <t>Fri 07. Aug</t>
        </is>
      </c>
    </row>
    <row r="14">
      <c r="A14" s="42" t="inlineStr">
        <is>
          <t>Product commitments</t>
        </is>
      </c>
      <c r="B14" s="42" t="inlineStr">
        <is>
          <t>Mon 10. Aug</t>
        </is>
      </c>
      <c r="C14" t="inlineStr">
        <is>
          <t>skal muligvis flyttes</t>
        </is>
      </c>
    </row>
    <row r="15">
      <c r="A15" s="41" t="inlineStr">
        <is>
          <t>Send material for DG2 L2 and L1</t>
        </is>
      </c>
      <c r="B15" s="41" t="inlineStr">
        <is>
          <t>Mon 10. Aug at 9</t>
        </is>
      </c>
    </row>
    <row r="16">
      <c r="A16" s="41" t="inlineStr">
        <is>
          <t>DG2 L2 and L1</t>
        </is>
      </c>
      <c r="B16" s="41" t="inlineStr">
        <is>
          <t>Tue 11. Aug at 9</t>
        </is>
      </c>
    </row>
    <row r="17">
      <c r="A17" s="41" t="inlineStr">
        <is>
          <t>Deadline for spørgsmål</t>
        </is>
      </c>
      <c r="B17" s="41" t="inlineStr">
        <is>
          <t xml:space="preserve">fre 14. august </t>
        </is>
      </c>
    </row>
    <row r="18">
      <c r="A18" s="41" t="inlineStr">
        <is>
          <t>Send material for DG2 L0</t>
        </is>
      </c>
      <c r="B18" s="41" t="inlineStr">
        <is>
          <t>Mon 17. Aug before 11</t>
        </is>
      </c>
    </row>
    <row r="19">
      <c r="A19" s="41" t="inlineStr">
        <is>
          <t>DG2 L0</t>
        </is>
      </c>
      <c r="B19" s="41" t="inlineStr">
        <is>
          <t>Tue 18. Aug at 11</t>
        </is>
      </c>
    </row>
    <row r="20">
      <c r="A20" s="41" t="inlineStr">
        <is>
          <t>Close for Edits</t>
        </is>
      </c>
      <c r="B20" s="41" t="inlineStr">
        <is>
          <t>Tue 24. Aug kl. 12</t>
        </is>
      </c>
    </row>
    <row r="21">
      <c r="A21" s="41" t="inlineStr">
        <is>
          <t>Hand-in</t>
        </is>
      </c>
      <c r="B21" s="41" t="inlineStr">
        <is>
          <t>Wed 26. Aug at 12</t>
        </is>
      </c>
    </row>
  </sheetData>
  <mergeCells count="1">
    <mergeCell ref="A10:B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6:G43"/>
  <sheetViews>
    <sheetView workbookViewId="0">
      <selection activeCell="E14" sqref="E14"/>
    </sheetView>
  </sheetViews>
  <sheetFormatPr baseColWidth="8" defaultRowHeight="16"/>
  <cols>
    <col width="26.07421875" bestFit="1" customWidth="1" min="3" max="3"/>
    <col width="15.765625" bestFit="1" customWidth="1" min="4" max="6"/>
  </cols>
  <sheetData>
    <row r="5" ht="16.5" customHeight="1" thickBot="1"/>
    <row r="6">
      <c r="B6" s="10" t="n"/>
      <c r="C6" s="11" t="n"/>
      <c r="D6" s="11" t="n"/>
      <c r="E6" s="11" t="n"/>
      <c r="F6" s="11" t="n"/>
      <c r="G6" s="12" t="n"/>
    </row>
    <row r="7">
      <c r="B7" s="13" t="n"/>
      <c r="C7" s="14" t="n"/>
      <c r="D7" s="14" t="n"/>
      <c r="E7" s="14" t="n"/>
      <c r="F7" s="14" t="n"/>
      <c r="G7" s="15" t="n"/>
    </row>
    <row r="8">
      <c r="B8" s="13" t="n"/>
      <c r="C8" s="4" t="inlineStr">
        <is>
          <t>Total numer of Requirements</t>
        </is>
      </c>
      <c r="D8" s="21">
        <f>COUNTIF('Production Plan'!B:B,"&lt;&gt;")-1</f>
        <v/>
      </c>
      <c r="E8" s="14" t="n"/>
      <c r="F8" s="14" t="n"/>
      <c r="G8" s="15" t="n"/>
    </row>
    <row r="9">
      <c r="B9" s="13" t="n"/>
      <c r="C9" s="20" t="n"/>
      <c r="D9" s="14" t="n"/>
      <c r="E9" s="14" t="n"/>
      <c r="F9" s="14" t="n"/>
      <c r="G9" s="15" t="n"/>
    </row>
    <row r="10">
      <c r="B10" s="13" t="n"/>
      <c r="C10" s="14" t="n"/>
      <c r="D10" s="14" t="n"/>
      <c r="E10" s="14" t="n"/>
      <c r="F10" s="14" t="n"/>
      <c r="G10" s="15" t="n"/>
    </row>
    <row r="11">
      <c r="B11" s="13" t="n"/>
      <c r="C11" s="14" t="n"/>
      <c r="D11" s="14" t="n"/>
      <c r="E11" s="56" t="inlineStr">
        <is>
          <t>Round 1</t>
        </is>
      </c>
      <c r="F11" s="55" t="n"/>
      <c r="G11" s="15" t="n"/>
    </row>
    <row r="12">
      <c r="B12" s="13" t="n"/>
      <c r="C12" s="14" t="n"/>
      <c r="D12" s="14" t="n"/>
      <c r="E12" s="5" t="inlineStr">
        <is>
          <t># of requirements</t>
        </is>
      </c>
      <c r="F12" s="5" t="inlineStr">
        <is>
          <t>%</t>
        </is>
      </c>
      <c r="G12" s="15" t="n"/>
    </row>
    <row r="13">
      <c r="B13" s="13" t="n"/>
      <c r="C13" s="6" t="inlineStr">
        <is>
          <t>Not Started</t>
        </is>
      </c>
      <c r="D13" s="30" t="n"/>
      <c r="E13" s="21">
        <f>COUNTIF('Production Plan'!U:U,Status!$C$13)</f>
        <v/>
      </c>
      <c r="F13" s="22">
        <f>E13/$D$8</f>
        <v/>
      </c>
      <c r="G13" s="15" t="n"/>
    </row>
    <row r="14">
      <c r="B14" s="13" t="n"/>
      <c r="C14" s="6" t="inlineStr">
        <is>
          <t>Started</t>
        </is>
      </c>
      <c r="D14" s="31" t="n"/>
      <c r="E14" s="21">
        <f>COUNTIF('Production Plan'!U:U,Status!C14)</f>
        <v/>
      </c>
      <c r="F14" s="22">
        <f>E14/$D$8</f>
        <v/>
      </c>
      <c r="G14" s="15" t="n"/>
    </row>
    <row r="15">
      <c r="B15" s="13" t="n"/>
      <c r="C15" s="6" t="inlineStr">
        <is>
          <t>Ready for review</t>
        </is>
      </c>
      <c r="D15" s="30" t="n"/>
      <c r="E15" s="21">
        <f>COUNTIF('Production Plan'!U:U,Status!C15)</f>
        <v/>
      </c>
      <c r="F15" s="22">
        <f>E15/$D$8</f>
        <v/>
      </c>
      <c r="G15" s="15" t="n"/>
    </row>
    <row r="16">
      <c r="B16" s="13" t="n"/>
      <c r="C16" s="6" t="inlineStr">
        <is>
          <t>Reviewed - Content</t>
        </is>
      </c>
      <c r="D16" s="30" t="n"/>
      <c r="E16" s="21">
        <f>COUNTIF('Production Plan'!U:U,Status!C16)</f>
        <v/>
      </c>
      <c r="F16" s="22">
        <f>E16/$D$8</f>
        <v/>
      </c>
      <c r="G16" s="15" t="n"/>
    </row>
    <row r="17">
      <c r="B17" s="13" t="n"/>
      <c r="C17" s="6" t="inlineStr">
        <is>
          <t>Reviewed - Format</t>
        </is>
      </c>
      <c r="D17" s="30" t="n"/>
      <c r="E17" s="21">
        <f>COUNTIF('Production Plan'!U:U,Status!C17)</f>
        <v/>
      </c>
      <c r="F17" s="22">
        <f>E17/$D$8</f>
        <v/>
      </c>
      <c r="G17" s="15" t="n"/>
    </row>
    <row r="18">
      <c r="B18" s="13" t="n"/>
      <c r="C18" s="6" t="inlineStr">
        <is>
          <t>Done</t>
        </is>
      </c>
      <c r="D18" s="31" t="n"/>
      <c r="E18" s="21">
        <f>COUNTIF('Production Plan'!U:U,Status!C18)</f>
        <v/>
      </c>
      <c r="F18" s="22">
        <f>E18/$D$8</f>
        <v/>
      </c>
      <c r="G18" s="15" t="n"/>
    </row>
    <row r="19">
      <c r="B19" s="13" t="n"/>
      <c r="C19" s="24" t="inlineStr">
        <is>
          <t>Total</t>
        </is>
      </c>
      <c r="D19" s="25" t="n"/>
      <c r="E19" s="26">
        <f>SUM(E13:E18)</f>
        <v/>
      </c>
      <c r="F19" s="27">
        <f>SUM(F13:F18)</f>
        <v/>
      </c>
      <c r="G19" s="15" t="n"/>
    </row>
    <row r="20">
      <c r="B20" s="13" t="n"/>
      <c r="C20" s="24" t="inlineStr">
        <is>
          <t>Missing</t>
        </is>
      </c>
      <c r="D20" s="25" t="n"/>
      <c r="E20" s="25">
        <f>$D$8-E19</f>
        <v/>
      </c>
      <c r="F20" s="28">
        <f>100%-F19</f>
        <v/>
      </c>
      <c r="G20" s="15" t="n"/>
    </row>
    <row r="21">
      <c r="B21" s="13" t="n"/>
      <c r="C21" s="14" t="n"/>
      <c r="E21" s="14" t="n"/>
      <c r="F21" s="16" t="n"/>
      <c r="G21" s="15" t="n"/>
    </row>
    <row r="22" ht="16.5" customHeight="1" thickBot="1">
      <c r="B22" s="17" t="n"/>
      <c r="C22" s="18" t="n"/>
      <c r="D22" s="18" t="n"/>
      <c r="E22" s="18" t="n"/>
      <c r="F22" s="18" t="n"/>
      <c r="G22" s="19" t="n"/>
    </row>
    <row r="24" ht="16.5" customHeight="1" thickBot="1"/>
    <row r="25">
      <c r="B25" s="10" t="n"/>
      <c r="C25" s="11" t="n"/>
      <c r="D25" s="11" t="n"/>
      <c r="E25" s="11" t="n"/>
      <c r="F25" s="11" t="n"/>
      <c r="G25" s="12" t="n"/>
    </row>
    <row r="26">
      <c r="B26" s="13" t="n"/>
      <c r="C26" s="14" t="n"/>
      <c r="D26" s="14" t="n"/>
      <c r="E26" s="14" t="n"/>
      <c r="F26" s="14" t="n"/>
      <c r="G26" s="15" t="n"/>
    </row>
    <row r="27">
      <c r="B27" s="13" t="n"/>
      <c r="C27" s="14" t="n"/>
      <c r="D27" s="14" t="n"/>
      <c r="E27" s="51" t="inlineStr">
        <is>
          <t>Round 1</t>
        </is>
      </c>
      <c r="F27" s="57" t="n"/>
      <c r="G27" s="15" t="n"/>
    </row>
    <row r="28">
      <c r="B28" s="13" t="n"/>
      <c r="C28" s="6" t="inlineStr">
        <is>
          <t>Responsible</t>
        </is>
      </c>
      <c r="D28" s="29" t="n"/>
      <c r="E28" s="9" t="inlineStr">
        <is>
          <t># of Requirements</t>
        </is>
      </c>
      <c r="F28" s="2" t="inlineStr">
        <is>
          <t>%</t>
        </is>
      </c>
      <c r="G28" s="15" t="n"/>
    </row>
    <row r="29">
      <c r="B29" s="13" t="n"/>
      <c r="C29" s="6" t="inlineStr">
        <is>
          <t>Anton</t>
        </is>
      </c>
      <c r="D29" s="29" t="n"/>
      <c r="E29" s="23">
        <f>COUNTIF('Production Plan'!L:L,C29)</f>
        <v/>
      </c>
      <c r="F29" s="22">
        <f>E29/$D$8</f>
        <v/>
      </c>
      <c r="G29" s="15" t="n"/>
    </row>
    <row r="30">
      <c r="B30" s="13" t="n"/>
      <c r="C30" s="6" t="inlineStr">
        <is>
          <t>Anita</t>
        </is>
      </c>
      <c r="D30" s="29" t="n"/>
      <c r="E30" s="23">
        <f>COUNTIF('Production Plan'!L:L,C30)</f>
        <v/>
      </c>
      <c r="F30" s="22">
        <f>E30/$D$8</f>
        <v/>
      </c>
      <c r="G30" s="15" t="n"/>
    </row>
    <row r="31">
      <c r="B31" s="13" t="n"/>
      <c r="C31" s="6" t="inlineStr">
        <is>
          <t>Hans</t>
        </is>
      </c>
      <c r="D31" s="29" t="n"/>
      <c r="E31" s="23">
        <f>COUNTIF('Production Plan'!L:L,C31)</f>
        <v/>
      </c>
      <c r="F31" s="22">
        <f>E31/$D$8</f>
        <v/>
      </c>
      <c r="G31" s="15" t="n"/>
    </row>
    <row r="32">
      <c r="B32" s="13" t="n"/>
      <c r="C32" s="6" t="inlineStr">
        <is>
          <t>Claus</t>
        </is>
      </c>
      <c r="D32" s="29" t="n"/>
      <c r="E32" s="23">
        <f>COUNTIF('Production Plan'!L:L,C32)</f>
        <v/>
      </c>
      <c r="F32" s="22">
        <f>E32/$D$8</f>
        <v/>
      </c>
      <c r="G32" s="15" t="n"/>
    </row>
    <row r="33">
      <c r="B33" s="13" t="n"/>
      <c r="C33" s="6" t="inlineStr">
        <is>
          <t>Torben</t>
        </is>
      </c>
      <c r="D33" s="29" t="n"/>
      <c r="E33" s="23">
        <f>COUNTIF('Production Plan'!L:L,C33)</f>
        <v/>
      </c>
      <c r="F33" s="22">
        <f>E33/$D$8</f>
        <v/>
      </c>
      <c r="G33" s="15" t="n"/>
    </row>
    <row r="34">
      <c r="B34" s="13" t="n"/>
      <c r="C34" s="6" t="inlineStr">
        <is>
          <t>Cristina</t>
        </is>
      </c>
      <c r="D34" s="29" t="n"/>
      <c r="E34" s="23">
        <f>COUNTIF('Production Plan'!L:L,C34)</f>
        <v/>
      </c>
      <c r="F34" s="22">
        <f>E34/$D$8</f>
        <v/>
      </c>
      <c r="G34" s="15" t="n"/>
    </row>
    <row r="35">
      <c r="B35" s="13" t="n"/>
      <c r="C35" s="6" t="inlineStr">
        <is>
          <t>Johan</t>
        </is>
      </c>
      <c r="D35" s="29" t="n"/>
      <c r="E35" s="23">
        <f>COUNTIF('Production Plan'!L:L,C35)</f>
        <v/>
      </c>
      <c r="F35" s="22">
        <f>E35/$D$8</f>
        <v/>
      </c>
      <c r="G35" s="15" t="n"/>
    </row>
    <row r="36">
      <c r="B36" s="13" t="n"/>
      <c r="C36" s="6" t="inlineStr">
        <is>
          <t>Mandip</t>
        </is>
      </c>
      <c r="D36" s="29" t="n"/>
      <c r="E36" s="23">
        <f>COUNTIF('Production Plan'!L:L,C36)</f>
        <v/>
      </c>
      <c r="F36" s="22">
        <f>E36/$D$8</f>
        <v/>
      </c>
      <c r="G36" s="15" t="n"/>
    </row>
    <row r="37">
      <c r="B37" s="13" t="n"/>
      <c r="C37" s="6" t="inlineStr">
        <is>
          <t>CloudOps</t>
        </is>
      </c>
      <c r="D37" s="29" t="n"/>
      <c r="E37" s="23">
        <f>COUNTIF('Production Plan'!L:L,C37)</f>
        <v/>
      </c>
      <c r="F37" s="22">
        <f>E37/$D$8</f>
        <v/>
      </c>
      <c r="G37" s="15" t="n"/>
    </row>
    <row r="38">
      <c r="B38" s="13" t="n"/>
      <c r="C38" s="6" t="inlineStr">
        <is>
          <t>Kaare</t>
        </is>
      </c>
      <c r="D38" s="29" t="n"/>
      <c r="E38" s="23">
        <f>COUNTIF('Production Plan'!L:L,C38)</f>
        <v/>
      </c>
      <c r="F38" s="22">
        <f>E38/$D$8</f>
        <v/>
      </c>
      <c r="G38" s="15" t="n"/>
    </row>
    <row r="39">
      <c r="B39" s="13" t="n"/>
      <c r="C39" s="6" t="inlineStr">
        <is>
          <t>Morten</t>
        </is>
      </c>
      <c r="D39" s="29" t="n"/>
      <c r="E39" s="23">
        <f>COUNTIF('Production Plan'!L:L,C39)</f>
        <v/>
      </c>
      <c r="F39" s="22">
        <f>E39/$D$8</f>
        <v/>
      </c>
      <c r="G39" s="15" t="n"/>
    </row>
    <row r="40">
      <c r="B40" s="13" t="n"/>
      <c r="C40" s="24" t="inlineStr">
        <is>
          <t>Total</t>
        </is>
      </c>
      <c r="D40" s="25" t="n"/>
      <c r="E40" s="25">
        <f>SUM(E29:E39)</f>
        <v/>
      </c>
      <c r="F40" s="28">
        <f>SUM(F29:F39)</f>
        <v/>
      </c>
      <c r="G40" s="15" t="n"/>
    </row>
    <row r="41">
      <c r="B41" s="13" t="n"/>
      <c r="C41" s="24" t="inlineStr">
        <is>
          <t>Missing</t>
        </is>
      </c>
      <c r="D41" s="25" t="n"/>
      <c r="E41" s="25">
        <f>$D$8-E40</f>
        <v/>
      </c>
      <c r="F41" s="28">
        <f>100%-F40</f>
        <v/>
      </c>
      <c r="G41" s="15" t="n"/>
    </row>
    <row r="42">
      <c r="B42" s="13" t="n"/>
      <c r="C42" s="14" t="n"/>
      <c r="D42" s="14" t="n"/>
      <c r="E42" s="14" t="n"/>
      <c r="F42" s="14" t="n"/>
      <c r="G42" s="15" t="n"/>
    </row>
    <row r="43" ht="16.5" customHeight="1" thickBot="1">
      <c r="B43" s="17" t="n"/>
      <c r="C43" s="18" t="n"/>
      <c r="D43" s="18" t="n"/>
      <c r="E43" s="18" t="n"/>
      <c r="F43" s="18" t="n"/>
      <c r="G43" s="19" t="n"/>
    </row>
  </sheetData>
  <mergeCells count="2">
    <mergeCell ref="E27:F27"/>
    <mergeCell ref="E11:F11"/>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J1009"/>
  <sheetViews>
    <sheetView workbookViewId="0">
      <selection activeCell="D1015" sqref="D1015"/>
    </sheetView>
  </sheetViews>
  <sheetFormatPr baseColWidth="8" defaultRowHeight="16"/>
  <cols>
    <col width="6.23046875" bestFit="1" customWidth="1" min="1" max="1"/>
    <col width="30.69140625" customWidth="1" min="3" max="3"/>
    <col width="38.07421875" customWidth="1" min="4" max="4"/>
    <col width="27.84375" bestFit="1" customWidth="1" min="5" max="5"/>
    <col width="40.07421875" customWidth="1" min="6" max="6"/>
    <col width="11.69140625" bestFit="1" customWidth="1" min="7" max="7"/>
    <col width="14.3046875" bestFit="1" customWidth="1" style="7" min="8" max="8"/>
    <col width="43.4609375" customWidth="1" min="9" max="9"/>
    <col width="37" customWidth="1" min="10" max="10"/>
  </cols>
  <sheetData>
    <row r="1">
      <c r="A1" s="4" t="inlineStr">
        <is>
          <t>Req ID</t>
        </is>
      </c>
      <c r="B1" s="4" t="inlineStr">
        <is>
          <t>Included</t>
        </is>
      </c>
      <c r="C1" s="4" t="inlineStr">
        <is>
          <t>Requirement</t>
        </is>
      </c>
      <c r="D1" s="4" t="inlineStr">
        <is>
          <t>Non-standard element</t>
        </is>
      </c>
      <c r="E1" s="4" t="inlineStr">
        <is>
          <t>Effect if not included</t>
        </is>
      </c>
      <c r="F1" s="4" t="inlineStr">
        <is>
          <t>Issue description</t>
        </is>
      </c>
      <c r="G1" s="4" t="inlineStr">
        <is>
          <t>Committer</t>
        </is>
      </c>
      <c r="H1" s="4" t="inlineStr">
        <is>
          <t>Comitted date</t>
        </is>
      </c>
      <c r="I1" s="4" t="inlineStr">
        <is>
          <t>Conditions for commitment</t>
        </is>
      </c>
      <c r="J1" s="4" t="inlineStr">
        <is>
          <t>Comment</t>
        </is>
      </c>
    </row>
    <row r="2">
      <c r="A2" s="3">
        <f>'Production Plan'!B2</f>
        <v/>
      </c>
      <c r="B2" s="3">
        <f>VLOOKUP(A2,'Production Plan'!B:Q,14,FALSE)</f>
        <v/>
      </c>
      <c r="C2" s="3">
        <f>VLOOKUP(A2,'Production Plan'!B:F,5,FALSE)</f>
        <v/>
      </c>
      <c r="D2" s="3" t="inlineStr">
        <is>
          <t>Describe</t>
        </is>
      </c>
      <c r="E2" s="3" t="inlineStr">
        <is>
          <t>Disqualification/Non-conditional</t>
        </is>
      </c>
      <c r="F2" s="3" t="inlineStr">
        <is>
          <t>Issue as we don't have this solution</t>
        </is>
      </c>
      <c r="G2" s="3" t="inlineStr">
        <is>
          <t>Name</t>
        </is>
      </c>
      <c r="H2" s="8" t="n">
        <v>46023</v>
      </c>
      <c r="I2" s="3" t="inlineStr">
        <is>
          <t>Conditional upon winning.</t>
        </is>
      </c>
      <c r="J2" s="3" t="n"/>
    </row>
    <row r="3" hidden="1">
      <c r="A3">
        <f>'Production Plan'!B3</f>
        <v/>
      </c>
      <c r="B3" s="3">
        <f>VLOOKUP(A3,'Production Plan'!B:Q,14,FALSE)</f>
        <v/>
      </c>
    </row>
    <row r="4" hidden="1">
      <c r="A4">
        <f>'Production Plan'!B4</f>
        <v/>
      </c>
      <c r="B4" s="3">
        <f>VLOOKUP(A4,'Production Plan'!B:Q,14,FALSE)</f>
        <v/>
      </c>
    </row>
    <row r="5" hidden="1">
      <c r="A5">
        <f>'Production Plan'!B5</f>
        <v/>
      </c>
      <c r="B5" s="3">
        <f>VLOOKUP(A5,'Production Plan'!B:Q,14,FALSE)</f>
        <v/>
      </c>
    </row>
    <row r="6" hidden="1">
      <c r="A6">
        <f>'Production Plan'!B6</f>
        <v/>
      </c>
      <c r="B6" s="3">
        <f>VLOOKUP(A6,'Production Plan'!B:Q,14,FALSE)</f>
        <v/>
      </c>
    </row>
    <row r="7" hidden="1">
      <c r="A7">
        <f>'Production Plan'!B7</f>
        <v/>
      </c>
      <c r="B7" s="3">
        <f>VLOOKUP(A7,'Production Plan'!B:Q,14,FALSE)</f>
        <v/>
      </c>
    </row>
    <row r="8" hidden="1">
      <c r="A8">
        <f>'Production Plan'!B8</f>
        <v/>
      </c>
      <c r="B8" s="3">
        <f>VLOOKUP(A8,'Production Plan'!B:Q,14,FALSE)</f>
        <v/>
      </c>
    </row>
    <row r="9" hidden="1">
      <c r="A9">
        <f>'Production Plan'!B9</f>
        <v/>
      </c>
      <c r="B9" s="3">
        <f>VLOOKUP(A9,'Production Plan'!B:Q,14,FALSE)</f>
        <v/>
      </c>
    </row>
    <row r="10" hidden="1">
      <c r="A10">
        <f>'Production Plan'!B10</f>
        <v/>
      </c>
      <c r="B10" s="3">
        <f>VLOOKUP(A10,'Production Plan'!B:Q,14,FALSE)</f>
        <v/>
      </c>
    </row>
    <row r="11" hidden="1">
      <c r="A11">
        <f>'Production Plan'!B11</f>
        <v/>
      </c>
      <c r="B11" s="3">
        <f>VLOOKUP(A11,'Production Plan'!B:Q,14,FALSE)</f>
        <v/>
      </c>
    </row>
    <row r="12" hidden="1">
      <c r="A12">
        <f>'Production Plan'!B12</f>
        <v/>
      </c>
      <c r="B12" s="3">
        <f>VLOOKUP(A12,'Production Plan'!B:Q,14,FALSE)</f>
        <v/>
      </c>
    </row>
    <row r="13" hidden="1">
      <c r="A13">
        <f>'Production Plan'!B13</f>
        <v/>
      </c>
      <c r="B13" s="3">
        <f>VLOOKUP(A13,'Production Plan'!B:Q,14,FALSE)</f>
        <v/>
      </c>
    </row>
    <row r="14" hidden="1">
      <c r="A14">
        <f>'Production Plan'!B14</f>
        <v/>
      </c>
      <c r="B14" s="3">
        <f>VLOOKUP(A14,'Production Plan'!B:Q,14,FALSE)</f>
        <v/>
      </c>
    </row>
    <row r="15" hidden="1">
      <c r="A15">
        <f>'Production Plan'!B15</f>
        <v/>
      </c>
      <c r="B15" s="3">
        <f>VLOOKUP(A15,'Production Plan'!B:Q,14,FALSE)</f>
        <v/>
      </c>
    </row>
    <row r="16" hidden="1">
      <c r="A16">
        <f>'Production Plan'!B16</f>
        <v/>
      </c>
      <c r="B16" s="3">
        <f>VLOOKUP(A16,'Production Plan'!B:Q,14,FALSE)</f>
        <v/>
      </c>
    </row>
    <row r="17" hidden="1">
      <c r="A17">
        <f>'Production Plan'!B17</f>
        <v/>
      </c>
      <c r="B17" s="3">
        <f>VLOOKUP(A17,'Production Plan'!B:Q,14,FALSE)</f>
        <v/>
      </c>
    </row>
    <row r="18" hidden="1">
      <c r="A18">
        <f>'Production Plan'!B18</f>
        <v/>
      </c>
      <c r="B18" s="3">
        <f>VLOOKUP(A18,'Production Plan'!B:Q,14,FALSE)</f>
        <v/>
      </c>
    </row>
    <row r="19" hidden="1">
      <c r="A19">
        <f>'Production Plan'!B19</f>
        <v/>
      </c>
      <c r="B19" s="3">
        <f>VLOOKUP(A19,'Production Plan'!B:Q,14,FALSE)</f>
        <v/>
      </c>
    </row>
    <row r="20" hidden="1">
      <c r="A20">
        <f>'Production Plan'!B20</f>
        <v/>
      </c>
      <c r="B20" s="3">
        <f>VLOOKUP(A20,'Production Plan'!B:Q,14,FALSE)</f>
        <v/>
      </c>
    </row>
    <row r="21" hidden="1">
      <c r="A21">
        <f>'Production Plan'!B21</f>
        <v/>
      </c>
      <c r="B21" s="3">
        <f>VLOOKUP(A21,'Production Plan'!B:Q,14,FALSE)</f>
        <v/>
      </c>
    </row>
    <row r="22" hidden="1">
      <c r="A22">
        <f>'Production Plan'!B22</f>
        <v/>
      </c>
      <c r="B22" s="3">
        <f>VLOOKUP(A22,'Production Plan'!B:Q,14,FALSE)</f>
        <v/>
      </c>
    </row>
    <row r="23" hidden="1">
      <c r="A23">
        <f>'Production Plan'!B23</f>
        <v/>
      </c>
      <c r="B23" s="3">
        <f>VLOOKUP(A23,'Production Plan'!B:Q,14,FALSE)</f>
        <v/>
      </c>
    </row>
    <row r="24" hidden="1">
      <c r="A24">
        <f>'Production Plan'!B24</f>
        <v/>
      </c>
      <c r="B24" s="3">
        <f>VLOOKUP(A24,'Production Plan'!B:Q,14,FALSE)</f>
        <v/>
      </c>
    </row>
    <row r="25" hidden="1">
      <c r="A25">
        <f>'Production Plan'!B25</f>
        <v/>
      </c>
      <c r="B25" s="3">
        <f>VLOOKUP(A25,'Production Plan'!B:Q,14,FALSE)</f>
        <v/>
      </c>
    </row>
    <row r="26" hidden="1">
      <c r="A26">
        <f>'Production Plan'!B26</f>
        <v/>
      </c>
      <c r="B26" s="3">
        <f>VLOOKUP(A26,'Production Plan'!B:Q,14,FALSE)</f>
        <v/>
      </c>
    </row>
    <row r="27" hidden="1">
      <c r="A27">
        <f>'Production Plan'!B27</f>
        <v/>
      </c>
      <c r="B27" s="3">
        <f>VLOOKUP(A27,'Production Plan'!B:Q,14,FALSE)</f>
        <v/>
      </c>
    </row>
    <row r="28" hidden="1">
      <c r="A28">
        <f>'Production Plan'!B28</f>
        <v/>
      </c>
      <c r="B28" s="3">
        <f>VLOOKUP(A28,'Production Plan'!B:Q,14,FALSE)</f>
        <v/>
      </c>
    </row>
    <row r="29" hidden="1">
      <c r="A29">
        <f>'Production Plan'!B29</f>
        <v/>
      </c>
      <c r="B29" s="3">
        <f>VLOOKUP(A29,'Production Plan'!B:Q,14,FALSE)</f>
        <v/>
      </c>
    </row>
    <row r="30" hidden="1">
      <c r="A30">
        <f>'Production Plan'!B30</f>
        <v/>
      </c>
      <c r="B30" s="3">
        <f>VLOOKUP(A30,'Production Plan'!B:Q,14,FALSE)</f>
        <v/>
      </c>
    </row>
    <row r="31" hidden="1">
      <c r="A31">
        <f>'Production Plan'!B31</f>
        <v/>
      </c>
      <c r="B31" s="3">
        <f>VLOOKUP(A31,'Production Plan'!B:Q,14,FALSE)</f>
        <v/>
      </c>
    </row>
    <row r="32" hidden="1">
      <c r="A32">
        <f>'Production Plan'!B32</f>
        <v/>
      </c>
      <c r="B32" s="3">
        <f>VLOOKUP(A32,'Production Plan'!B:Q,14,FALSE)</f>
        <v/>
      </c>
    </row>
    <row r="33" hidden="1">
      <c r="A33">
        <f>'Production Plan'!B33</f>
        <v/>
      </c>
      <c r="B33" s="3">
        <f>VLOOKUP(A33,'Production Plan'!B:Q,14,FALSE)</f>
        <v/>
      </c>
    </row>
    <row r="34" hidden="1">
      <c r="A34">
        <f>'Production Plan'!B34</f>
        <v/>
      </c>
      <c r="B34" s="3">
        <f>VLOOKUP(A34,'Production Plan'!B:Q,14,FALSE)</f>
        <v/>
      </c>
    </row>
    <row r="35" hidden="1">
      <c r="A35">
        <f>'Production Plan'!B35</f>
        <v/>
      </c>
      <c r="B35" s="3">
        <f>VLOOKUP(A35,'Production Plan'!B:Q,14,FALSE)</f>
        <v/>
      </c>
    </row>
    <row r="36" hidden="1">
      <c r="A36">
        <f>'Production Plan'!B36</f>
        <v/>
      </c>
      <c r="B36" s="3">
        <f>VLOOKUP(A36,'Production Plan'!B:Q,14,FALSE)</f>
        <v/>
      </c>
    </row>
    <row r="37" hidden="1">
      <c r="A37">
        <f>'Production Plan'!B37</f>
        <v/>
      </c>
      <c r="B37" s="3">
        <f>VLOOKUP(A37,'Production Plan'!B:Q,14,FALSE)</f>
        <v/>
      </c>
    </row>
    <row r="38" hidden="1">
      <c r="A38">
        <f>'Production Plan'!B38</f>
        <v/>
      </c>
      <c r="B38" s="3">
        <f>VLOOKUP(A38,'Production Plan'!B:Q,14,FALSE)</f>
        <v/>
      </c>
    </row>
    <row r="39" hidden="1">
      <c r="A39">
        <f>'Production Plan'!B39</f>
        <v/>
      </c>
      <c r="B39" s="3">
        <f>VLOOKUP(A39,'Production Plan'!B:Q,14,FALSE)</f>
        <v/>
      </c>
    </row>
    <row r="40" hidden="1">
      <c r="A40">
        <f>'Production Plan'!B40</f>
        <v/>
      </c>
      <c r="B40" s="3">
        <f>VLOOKUP(A40,'Production Plan'!B:Q,14,FALSE)</f>
        <v/>
      </c>
    </row>
    <row r="41" hidden="1">
      <c r="A41">
        <f>'Production Plan'!B41</f>
        <v/>
      </c>
      <c r="B41" s="3">
        <f>VLOOKUP(A41,'Production Plan'!B:Q,14,FALSE)</f>
        <v/>
      </c>
    </row>
    <row r="42" hidden="1">
      <c r="A42">
        <f>'Production Plan'!B42</f>
        <v/>
      </c>
      <c r="B42" s="3">
        <f>VLOOKUP(A42,'Production Plan'!B:Q,14,FALSE)</f>
        <v/>
      </c>
    </row>
    <row r="43" hidden="1">
      <c r="A43">
        <f>'Production Plan'!B43</f>
        <v/>
      </c>
      <c r="B43" s="3">
        <f>VLOOKUP(A43,'Production Plan'!B:Q,14,FALSE)</f>
        <v/>
      </c>
    </row>
    <row r="44" hidden="1">
      <c r="A44">
        <f>'Production Plan'!B44</f>
        <v/>
      </c>
      <c r="B44" s="3">
        <f>VLOOKUP(A44,'Production Plan'!B:Q,14,FALSE)</f>
        <v/>
      </c>
    </row>
    <row r="45" hidden="1">
      <c r="A45">
        <f>'Production Plan'!B45</f>
        <v/>
      </c>
      <c r="B45" s="3">
        <f>VLOOKUP(A45,'Production Plan'!B:Q,14,FALSE)</f>
        <v/>
      </c>
    </row>
    <row r="46" hidden="1">
      <c r="A46">
        <f>'Production Plan'!B46</f>
        <v/>
      </c>
      <c r="B46" s="3">
        <f>VLOOKUP(A46,'Production Plan'!B:Q,14,FALSE)</f>
        <v/>
      </c>
    </row>
    <row r="47" hidden="1">
      <c r="A47">
        <f>'Production Plan'!B47</f>
        <v/>
      </c>
      <c r="B47" s="3">
        <f>VLOOKUP(A47,'Production Plan'!B:Q,14,FALSE)</f>
        <v/>
      </c>
    </row>
    <row r="48" hidden="1">
      <c r="A48">
        <f>'Production Plan'!B48</f>
        <v/>
      </c>
      <c r="B48" s="3">
        <f>VLOOKUP(A48,'Production Plan'!B:Q,14,FALSE)</f>
        <v/>
      </c>
    </row>
    <row r="49" hidden="1">
      <c r="A49">
        <f>'Production Plan'!B49</f>
        <v/>
      </c>
      <c r="B49" s="3">
        <f>VLOOKUP(A49,'Production Plan'!B:Q,14,FALSE)</f>
        <v/>
      </c>
    </row>
    <row r="50" hidden="1">
      <c r="A50">
        <f>'Production Plan'!B50</f>
        <v/>
      </c>
      <c r="B50" s="3">
        <f>VLOOKUP(A50,'Production Plan'!B:Q,14,FALSE)</f>
        <v/>
      </c>
    </row>
    <row r="51" hidden="1">
      <c r="A51">
        <f>'Production Plan'!B51</f>
        <v/>
      </c>
      <c r="B51" s="3">
        <f>VLOOKUP(A51,'Production Plan'!B:Q,14,FALSE)</f>
        <v/>
      </c>
    </row>
    <row r="52" hidden="1">
      <c r="A52">
        <f>'Production Plan'!B52</f>
        <v/>
      </c>
      <c r="B52" s="3">
        <f>VLOOKUP(A52,'Production Plan'!B:Q,14,FALSE)</f>
        <v/>
      </c>
    </row>
    <row r="53" hidden="1">
      <c r="A53">
        <f>'Production Plan'!B53</f>
        <v/>
      </c>
      <c r="B53" s="3">
        <f>VLOOKUP(A53,'Production Plan'!B:Q,14,FALSE)</f>
        <v/>
      </c>
    </row>
    <row r="54" hidden="1">
      <c r="A54">
        <f>'Production Plan'!B54</f>
        <v/>
      </c>
      <c r="B54" s="3">
        <f>VLOOKUP(A54,'Production Plan'!B:Q,14,FALSE)</f>
        <v/>
      </c>
    </row>
    <row r="55" hidden="1">
      <c r="A55">
        <f>'Production Plan'!B55</f>
        <v/>
      </c>
      <c r="B55" s="3">
        <f>VLOOKUP(A55,'Production Plan'!B:Q,14,FALSE)</f>
        <v/>
      </c>
    </row>
    <row r="56" hidden="1">
      <c r="A56">
        <f>'Production Plan'!B56</f>
        <v/>
      </c>
      <c r="B56" s="3">
        <f>VLOOKUP(A56,'Production Plan'!B:Q,14,FALSE)</f>
        <v/>
      </c>
    </row>
    <row r="57" hidden="1">
      <c r="A57">
        <f>'Production Plan'!B57</f>
        <v/>
      </c>
      <c r="B57" s="3">
        <f>VLOOKUP(A57,'Production Plan'!B:Q,14,FALSE)</f>
        <v/>
      </c>
    </row>
    <row r="58" hidden="1">
      <c r="A58">
        <f>'Production Plan'!B58</f>
        <v/>
      </c>
      <c r="B58" s="3">
        <f>VLOOKUP(A58,'Production Plan'!B:Q,14,FALSE)</f>
        <v/>
      </c>
    </row>
    <row r="59" hidden="1">
      <c r="A59">
        <f>'Production Plan'!B59</f>
        <v/>
      </c>
      <c r="B59" s="3">
        <f>VLOOKUP(A59,'Production Plan'!B:Q,14,FALSE)</f>
        <v/>
      </c>
    </row>
    <row r="60" hidden="1">
      <c r="A60">
        <f>'Production Plan'!B60</f>
        <v/>
      </c>
      <c r="B60" s="3">
        <f>VLOOKUP(A60,'Production Plan'!B:Q,14,FALSE)</f>
        <v/>
      </c>
    </row>
    <row r="61" hidden="1">
      <c r="A61">
        <f>'Production Plan'!B61</f>
        <v/>
      </c>
      <c r="B61" s="3">
        <f>VLOOKUP(A61,'Production Plan'!B:Q,14,FALSE)</f>
        <v/>
      </c>
    </row>
    <row r="62" hidden="1">
      <c r="A62">
        <f>'Production Plan'!B62</f>
        <v/>
      </c>
      <c r="B62" s="3">
        <f>VLOOKUP(A62,'Production Plan'!B:Q,14,FALSE)</f>
        <v/>
      </c>
    </row>
    <row r="63" hidden="1">
      <c r="A63">
        <f>'Production Plan'!B63</f>
        <v/>
      </c>
      <c r="B63" s="3">
        <f>VLOOKUP(A63,'Production Plan'!B:Q,14,FALSE)</f>
        <v/>
      </c>
    </row>
    <row r="64" hidden="1">
      <c r="A64">
        <f>'Production Plan'!B64</f>
        <v/>
      </c>
      <c r="B64" s="3">
        <f>VLOOKUP(A64,'Production Plan'!B:Q,14,FALSE)</f>
        <v/>
      </c>
    </row>
    <row r="65" hidden="1">
      <c r="A65">
        <f>'Production Plan'!B65</f>
        <v/>
      </c>
      <c r="B65" s="3">
        <f>VLOOKUP(A65,'Production Plan'!B:Q,14,FALSE)</f>
        <v/>
      </c>
    </row>
    <row r="66" hidden="1">
      <c r="A66">
        <f>'Production Plan'!B66</f>
        <v/>
      </c>
      <c r="B66" s="3">
        <f>VLOOKUP(A66,'Production Plan'!B:Q,14,FALSE)</f>
        <v/>
      </c>
    </row>
    <row r="67" hidden="1">
      <c r="A67">
        <f>'Production Plan'!B67</f>
        <v/>
      </c>
      <c r="B67" s="3">
        <f>VLOOKUP(A67,'Production Plan'!B:Q,14,FALSE)</f>
        <v/>
      </c>
    </row>
    <row r="68" hidden="1">
      <c r="A68">
        <f>'Production Plan'!B68</f>
        <v/>
      </c>
      <c r="B68" s="3">
        <f>VLOOKUP(A68,'Production Plan'!B:Q,14,FALSE)</f>
        <v/>
      </c>
    </row>
    <row r="69" hidden="1">
      <c r="A69">
        <f>'Production Plan'!B69</f>
        <v/>
      </c>
      <c r="B69" s="3">
        <f>VLOOKUP(A69,'Production Plan'!B:Q,14,FALSE)</f>
        <v/>
      </c>
    </row>
    <row r="70" hidden="1">
      <c r="A70">
        <f>'Production Plan'!B70</f>
        <v/>
      </c>
      <c r="B70" s="3">
        <f>VLOOKUP(A70,'Production Plan'!B:Q,14,FALSE)</f>
        <v/>
      </c>
    </row>
    <row r="71" hidden="1">
      <c r="A71">
        <f>'Production Plan'!B71</f>
        <v/>
      </c>
      <c r="B71" s="3">
        <f>VLOOKUP(A71,'Production Plan'!B:Q,14,FALSE)</f>
        <v/>
      </c>
    </row>
    <row r="72" hidden="1">
      <c r="A72">
        <f>'Production Plan'!B72</f>
        <v/>
      </c>
      <c r="B72" s="3">
        <f>VLOOKUP(A72,'Production Plan'!B:Q,14,FALSE)</f>
        <v/>
      </c>
    </row>
    <row r="73" hidden="1">
      <c r="A73">
        <f>'Production Plan'!B73</f>
        <v/>
      </c>
      <c r="B73" s="3">
        <f>VLOOKUP(A73,'Production Plan'!B:Q,14,FALSE)</f>
        <v/>
      </c>
    </row>
    <row r="74" hidden="1">
      <c r="A74">
        <f>'Production Plan'!B74</f>
        <v/>
      </c>
      <c r="B74" s="3">
        <f>VLOOKUP(A74,'Production Plan'!B:Q,14,FALSE)</f>
        <v/>
      </c>
    </row>
    <row r="75" hidden="1">
      <c r="A75">
        <f>'Production Plan'!B75</f>
        <v/>
      </c>
      <c r="B75" s="3">
        <f>VLOOKUP(A75,'Production Plan'!B:Q,14,FALSE)</f>
        <v/>
      </c>
    </row>
    <row r="76" hidden="1">
      <c r="A76">
        <f>'Production Plan'!B76</f>
        <v/>
      </c>
      <c r="B76" s="3">
        <f>VLOOKUP(A76,'Production Plan'!B:Q,14,FALSE)</f>
        <v/>
      </c>
    </row>
    <row r="77" hidden="1">
      <c r="A77">
        <f>'Production Plan'!B77</f>
        <v/>
      </c>
      <c r="B77" s="3">
        <f>VLOOKUP(A77,'Production Plan'!B:Q,14,FALSE)</f>
        <v/>
      </c>
    </row>
    <row r="78" hidden="1">
      <c r="A78">
        <f>'Production Plan'!B78</f>
        <v/>
      </c>
      <c r="B78" s="3">
        <f>VLOOKUP(A78,'Production Plan'!B:Q,14,FALSE)</f>
        <v/>
      </c>
    </row>
    <row r="79" hidden="1">
      <c r="A79">
        <f>'Production Plan'!B79</f>
        <v/>
      </c>
      <c r="B79" s="3">
        <f>VLOOKUP(A79,'Production Plan'!B:Q,14,FALSE)</f>
        <v/>
      </c>
    </row>
    <row r="80" hidden="1">
      <c r="A80">
        <f>'Production Plan'!B80</f>
        <v/>
      </c>
      <c r="B80" s="3">
        <f>VLOOKUP(A80,'Production Plan'!B:Q,14,FALSE)</f>
        <v/>
      </c>
    </row>
    <row r="81" hidden="1">
      <c r="A81">
        <f>'Production Plan'!B81</f>
        <v/>
      </c>
      <c r="B81" s="3">
        <f>VLOOKUP(A81,'Production Plan'!B:Q,14,FALSE)</f>
        <v/>
      </c>
    </row>
    <row r="82" hidden="1">
      <c r="A82">
        <f>'Production Plan'!B82</f>
        <v/>
      </c>
      <c r="B82" s="3">
        <f>VLOOKUP(A82,'Production Plan'!B:Q,14,FALSE)</f>
        <v/>
      </c>
    </row>
    <row r="83" hidden="1">
      <c r="A83">
        <f>'Production Plan'!B83</f>
        <v/>
      </c>
      <c r="B83" s="3">
        <f>VLOOKUP(A83,'Production Plan'!B:Q,14,FALSE)</f>
        <v/>
      </c>
    </row>
    <row r="84" hidden="1">
      <c r="A84">
        <f>'Production Plan'!B84</f>
        <v/>
      </c>
      <c r="B84" s="3">
        <f>VLOOKUP(A84,'Production Plan'!B:Q,14,FALSE)</f>
        <v/>
      </c>
    </row>
    <row r="85" hidden="1">
      <c r="A85">
        <f>'Production Plan'!B85</f>
        <v/>
      </c>
      <c r="B85" s="3">
        <f>VLOOKUP(A85,'Production Plan'!B:Q,14,FALSE)</f>
        <v/>
      </c>
    </row>
    <row r="86" hidden="1">
      <c r="A86">
        <f>'Production Plan'!B86</f>
        <v/>
      </c>
      <c r="B86" s="3">
        <f>VLOOKUP(A86,'Production Plan'!B:Q,14,FALSE)</f>
        <v/>
      </c>
    </row>
    <row r="87" hidden="1">
      <c r="A87">
        <f>'Production Plan'!B87</f>
        <v/>
      </c>
      <c r="B87" s="3">
        <f>VLOOKUP(A87,'Production Plan'!B:Q,14,FALSE)</f>
        <v/>
      </c>
    </row>
    <row r="88" hidden="1">
      <c r="A88">
        <f>'Production Plan'!B88</f>
        <v/>
      </c>
      <c r="B88" s="3">
        <f>VLOOKUP(A88,'Production Plan'!B:Q,14,FALSE)</f>
        <v/>
      </c>
    </row>
    <row r="89" hidden="1">
      <c r="A89">
        <f>'Production Plan'!B89</f>
        <v/>
      </c>
      <c r="B89" s="3">
        <f>VLOOKUP(A89,'Production Plan'!B:Q,14,FALSE)</f>
        <v/>
      </c>
    </row>
    <row r="90" hidden="1">
      <c r="A90">
        <f>'Production Plan'!B90</f>
        <v/>
      </c>
      <c r="B90" s="3">
        <f>VLOOKUP(A90,'Production Plan'!B:Q,14,FALSE)</f>
        <v/>
      </c>
    </row>
    <row r="91" hidden="1">
      <c r="A91">
        <f>'Production Plan'!B91</f>
        <v/>
      </c>
      <c r="B91" s="3">
        <f>VLOOKUP(A91,'Production Plan'!B:Q,14,FALSE)</f>
        <v/>
      </c>
    </row>
    <row r="92" hidden="1">
      <c r="A92">
        <f>'Production Plan'!B92</f>
        <v/>
      </c>
      <c r="B92" s="3">
        <f>VLOOKUP(A92,'Production Plan'!B:Q,14,FALSE)</f>
        <v/>
      </c>
    </row>
    <row r="93" hidden="1">
      <c r="A93">
        <f>'Production Plan'!B93</f>
        <v/>
      </c>
      <c r="B93" s="3">
        <f>VLOOKUP(A93,'Production Plan'!B:Q,14,FALSE)</f>
        <v/>
      </c>
    </row>
    <row r="94" hidden="1">
      <c r="A94">
        <f>'Production Plan'!B94</f>
        <v/>
      </c>
      <c r="B94" s="3">
        <f>VLOOKUP(A94,'Production Plan'!B:Q,14,FALSE)</f>
        <v/>
      </c>
    </row>
    <row r="95" hidden="1">
      <c r="A95">
        <f>'Production Plan'!B95</f>
        <v/>
      </c>
      <c r="B95" s="3">
        <f>VLOOKUP(A95,'Production Plan'!B:Q,14,FALSE)</f>
        <v/>
      </c>
    </row>
    <row r="96" hidden="1">
      <c r="A96">
        <f>'Production Plan'!B96</f>
        <v/>
      </c>
      <c r="B96" s="3">
        <f>VLOOKUP(A96,'Production Plan'!B:Q,14,FALSE)</f>
        <v/>
      </c>
    </row>
    <row r="97" hidden="1">
      <c r="A97">
        <f>'Production Plan'!B97</f>
        <v/>
      </c>
      <c r="B97" s="3">
        <f>VLOOKUP(A97,'Production Plan'!B:Q,14,FALSE)</f>
        <v/>
      </c>
    </row>
    <row r="98" hidden="1">
      <c r="A98">
        <f>'Production Plan'!B98</f>
        <v/>
      </c>
      <c r="B98" s="3">
        <f>VLOOKUP(A98,'Production Plan'!B:Q,14,FALSE)</f>
        <v/>
      </c>
    </row>
    <row r="99" hidden="1">
      <c r="A99">
        <f>'Production Plan'!B99</f>
        <v/>
      </c>
      <c r="B99" s="3">
        <f>VLOOKUP(A99,'Production Plan'!B:Q,14,FALSE)</f>
        <v/>
      </c>
    </row>
    <row r="100" hidden="1">
      <c r="A100">
        <f>'Production Plan'!B100</f>
        <v/>
      </c>
      <c r="B100" s="3">
        <f>VLOOKUP(A100,'Production Plan'!B:Q,14,FALSE)</f>
        <v/>
      </c>
    </row>
    <row r="101" hidden="1">
      <c r="A101">
        <f>'Production Plan'!B101</f>
        <v/>
      </c>
      <c r="B101" s="3">
        <f>VLOOKUP(A101,'Production Plan'!B:Q,14,FALSE)</f>
        <v/>
      </c>
    </row>
    <row r="102" hidden="1">
      <c r="A102">
        <f>'Production Plan'!B102</f>
        <v/>
      </c>
      <c r="B102" s="3">
        <f>VLOOKUP(A102,'Production Plan'!B:Q,14,FALSE)</f>
        <v/>
      </c>
    </row>
    <row r="103" hidden="1">
      <c r="A103">
        <f>'Production Plan'!B103</f>
        <v/>
      </c>
      <c r="B103" s="3">
        <f>VLOOKUP(A103,'Production Plan'!B:Q,14,FALSE)</f>
        <v/>
      </c>
    </row>
    <row r="104" hidden="1">
      <c r="A104">
        <f>'Production Plan'!B104</f>
        <v/>
      </c>
      <c r="B104" s="3">
        <f>VLOOKUP(A104,'Production Plan'!B:Q,14,FALSE)</f>
        <v/>
      </c>
    </row>
    <row r="105" hidden="1">
      <c r="A105">
        <f>'Production Plan'!B105</f>
        <v/>
      </c>
      <c r="B105" s="3">
        <f>VLOOKUP(A105,'Production Plan'!B:Q,14,FALSE)</f>
        <v/>
      </c>
    </row>
    <row r="106" hidden="1">
      <c r="A106">
        <f>'Production Plan'!B106</f>
        <v/>
      </c>
      <c r="B106" s="3">
        <f>VLOOKUP(A106,'Production Plan'!B:Q,14,FALSE)</f>
        <v/>
      </c>
    </row>
    <row r="107" hidden="1">
      <c r="A107">
        <f>'Production Plan'!B107</f>
        <v/>
      </c>
      <c r="B107" s="3">
        <f>VLOOKUP(A107,'Production Plan'!B:Q,14,FALSE)</f>
        <v/>
      </c>
    </row>
    <row r="108" hidden="1">
      <c r="A108">
        <f>'Production Plan'!B108</f>
        <v/>
      </c>
      <c r="B108" s="3">
        <f>VLOOKUP(A108,'Production Plan'!B:Q,14,FALSE)</f>
        <v/>
      </c>
    </row>
    <row r="109" hidden="1">
      <c r="A109">
        <f>'Production Plan'!B109</f>
        <v/>
      </c>
      <c r="B109" s="3">
        <f>VLOOKUP(A109,'Production Plan'!B:Q,14,FALSE)</f>
        <v/>
      </c>
    </row>
    <row r="110" hidden="1">
      <c r="A110">
        <f>'Production Plan'!B110</f>
        <v/>
      </c>
      <c r="B110" s="3">
        <f>VLOOKUP(A110,'Production Plan'!B:Q,14,FALSE)</f>
        <v/>
      </c>
    </row>
    <row r="111" hidden="1">
      <c r="A111">
        <f>'Production Plan'!B111</f>
        <v/>
      </c>
      <c r="B111" s="3">
        <f>VLOOKUP(A111,'Production Plan'!B:Q,14,FALSE)</f>
        <v/>
      </c>
    </row>
    <row r="112" hidden="1">
      <c r="A112">
        <f>'Production Plan'!B112</f>
        <v/>
      </c>
      <c r="B112" s="3">
        <f>VLOOKUP(A112,'Production Plan'!B:Q,14,FALSE)</f>
        <v/>
      </c>
    </row>
    <row r="113" hidden="1">
      <c r="A113">
        <f>'Production Plan'!B113</f>
        <v/>
      </c>
      <c r="B113" s="3">
        <f>VLOOKUP(A113,'Production Plan'!B:Q,14,FALSE)</f>
        <v/>
      </c>
    </row>
    <row r="114" hidden="1">
      <c r="A114">
        <f>'Production Plan'!B114</f>
        <v/>
      </c>
      <c r="B114" s="3">
        <f>VLOOKUP(A114,'Production Plan'!B:Q,14,FALSE)</f>
        <v/>
      </c>
    </row>
    <row r="115" hidden="1">
      <c r="A115">
        <f>'Production Plan'!B115</f>
        <v/>
      </c>
      <c r="B115" s="3">
        <f>VLOOKUP(A115,'Production Plan'!B:Q,14,FALSE)</f>
        <v/>
      </c>
    </row>
    <row r="116" hidden="1">
      <c r="A116">
        <f>'Production Plan'!B116</f>
        <v/>
      </c>
      <c r="B116" s="3">
        <f>VLOOKUP(A116,'Production Plan'!B:Q,14,FALSE)</f>
        <v/>
      </c>
    </row>
    <row r="117" hidden="1">
      <c r="A117">
        <f>'Production Plan'!B117</f>
        <v/>
      </c>
      <c r="B117" s="3">
        <f>VLOOKUP(A117,'Production Plan'!B:Q,14,FALSE)</f>
        <v/>
      </c>
    </row>
    <row r="118" hidden="1">
      <c r="A118">
        <f>'Production Plan'!B118</f>
        <v/>
      </c>
      <c r="B118" s="3">
        <f>VLOOKUP(A118,'Production Plan'!B:Q,14,FALSE)</f>
        <v/>
      </c>
    </row>
    <row r="119" hidden="1">
      <c r="A119">
        <f>'Production Plan'!B119</f>
        <v/>
      </c>
      <c r="B119" s="3">
        <f>VLOOKUP(A119,'Production Plan'!B:Q,14,FALSE)</f>
        <v/>
      </c>
    </row>
    <row r="120" hidden="1">
      <c r="A120">
        <f>'Production Plan'!B120</f>
        <v/>
      </c>
      <c r="B120" s="3">
        <f>VLOOKUP(A120,'Production Plan'!B:Q,14,FALSE)</f>
        <v/>
      </c>
    </row>
    <row r="121" hidden="1">
      <c r="A121">
        <f>'Production Plan'!B121</f>
        <v/>
      </c>
      <c r="B121" s="3">
        <f>VLOOKUP(A121,'Production Plan'!B:Q,14,FALSE)</f>
        <v/>
      </c>
    </row>
    <row r="122" hidden="1">
      <c r="A122">
        <f>'Production Plan'!B122</f>
        <v/>
      </c>
      <c r="B122" s="3">
        <f>VLOOKUP(A122,'Production Plan'!B:Q,14,FALSE)</f>
        <v/>
      </c>
    </row>
    <row r="123" hidden="1">
      <c r="A123">
        <f>'Production Plan'!B123</f>
        <v/>
      </c>
      <c r="B123" s="3">
        <f>VLOOKUP(A123,'Production Plan'!B:Q,14,FALSE)</f>
        <v/>
      </c>
    </row>
    <row r="124" hidden="1">
      <c r="A124">
        <f>'Production Plan'!B124</f>
        <v/>
      </c>
      <c r="B124" s="3">
        <f>VLOOKUP(A124,'Production Plan'!B:Q,14,FALSE)</f>
        <v/>
      </c>
    </row>
    <row r="125" hidden="1">
      <c r="A125">
        <f>'Production Plan'!B125</f>
        <v/>
      </c>
      <c r="B125" s="3">
        <f>VLOOKUP(A125,'Production Plan'!B:Q,14,FALSE)</f>
        <v/>
      </c>
    </row>
    <row r="126" hidden="1">
      <c r="A126">
        <f>'Production Plan'!B126</f>
        <v/>
      </c>
      <c r="B126" s="3">
        <f>VLOOKUP(A126,'Production Plan'!B:Q,14,FALSE)</f>
        <v/>
      </c>
    </row>
    <row r="127" hidden="1">
      <c r="A127">
        <f>'Production Plan'!B127</f>
        <v/>
      </c>
      <c r="B127" s="3">
        <f>VLOOKUP(A127,'Production Plan'!B:Q,14,FALSE)</f>
        <v/>
      </c>
    </row>
    <row r="128" hidden="1">
      <c r="A128">
        <f>'Production Plan'!B128</f>
        <v/>
      </c>
      <c r="B128" s="3">
        <f>VLOOKUP(A128,'Production Plan'!B:Q,14,FALSE)</f>
        <v/>
      </c>
    </row>
    <row r="129" hidden="1">
      <c r="A129">
        <f>'Production Plan'!B129</f>
        <v/>
      </c>
      <c r="B129" s="3">
        <f>VLOOKUP(A129,'Production Plan'!B:Q,14,FALSE)</f>
        <v/>
      </c>
    </row>
    <row r="130" hidden="1">
      <c r="A130">
        <f>'Production Plan'!B130</f>
        <v/>
      </c>
      <c r="B130" s="3">
        <f>VLOOKUP(A130,'Production Plan'!B:Q,14,FALSE)</f>
        <v/>
      </c>
    </row>
    <row r="131" hidden="1">
      <c r="A131">
        <f>'Production Plan'!B131</f>
        <v/>
      </c>
      <c r="B131" s="3">
        <f>VLOOKUP(A131,'Production Plan'!B:Q,14,FALSE)</f>
        <v/>
      </c>
    </row>
    <row r="132" hidden="1">
      <c r="A132">
        <f>'Production Plan'!B132</f>
        <v/>
      </c>
      <c r="B132" s="3">
        <f>VLOOKUP(A132,'Production Plan'!B:Q,14,FALSE)</f>
        <v/>
      </c>
    </row>
    <row r="133" hidden="1">
      <c r="A133">
        <f>'Production Plan'!B133</f>
        <v/>
      </c>
      <c r="B133" s="3">
        <f>VLOOKUP(A133,'Production Plan'!B:Q,14,FALSE)</f>
        <v/>
      </c>
    </row>
    <row r="134" hidden="1">
      <c r="A134">
        <f>'Production Plan'!B134</f>
        <v/>
      </c>
      <c r="B134" s="3">
        <f>VLOOKUP(A134,'Production Plan'!B:Q,14,FALSE)</f>
        <v/>
      </c>
    </row>
    <row r="135" hidden="1">
      <c r="A135">
        <f>'Production Plan'!B135</f>
        <v/>
      </c>
      <c r="B135" s="3">
        <f>VLOOKUP(A135,'Production Plan'!B:Q,14,FALSE)</f>
        <v/>
      </c>
    </row>
    <row r="136" hidden="1">
      <c r="A136">
        <f>'Production Plan'!B136</f>
        <v/>
      </c>
      <c r="B136" s="3">
        <f>VLOOKUP(A136,'Production Plan'!B:Q,14,FALSE)</f>
        <v/>
      </c>
    </row>
    <row r="137" hidden="1">
      <c r="A137">
        <f>'Production Plan'!B137</f>
        <v/>
      </c>
      <c r="B137" s="3">
        <f>VLOOKUP(A137,'Production Plan'!B:Q,14,FALSE)</f>
        <v/>
      </c>
    </row>
    <row r="138" hidden="1">
      <c r="A138">
        <f>'Production Plan'!B138</f>
        <v/>
      </c>
      <c r="B138" s="3">
        <f>VLOOKUP(A138,'Production Plan'!B:Q,14,FALSE)</f>
        <v/>
      </c>
    </row>
    <row r="139" hidden="1">
      <c r="A139">
        <f>'Production Plan'!B139</f>
        <v/>
      </c>
      <c r="B139" s="3">
        <f>VLOOKUP(A139,'Production Plan'!B:Q,14,FALSE)</f>
        <v/>
      </c>
    </row>
    <row r="140" hidden="1">
      <c r="A140">
        <f>'Production Plan'!B140</f>
        <v/>
      </c>
      <c r="B140" s="3">
        <f>VLOOKUP(A140,'Production Plan'!B:Q,14,FALSE)</f>
        <v/>
      </c>
    </row>
    <row r="141" hidden="1">
      <c r="A141">
        <f>'Production Plan'!B141</f>
        <v/>
      </c>
      <c r="B141" s="3">
        <f>VLOOKUP(A141,'Production Plan'!B:Q,14,FALSE)</f>
        <v/>
      </c>
    </row>
    <row r="142" hidden="1">
      <c r="A142">
        <f>'Production Plan'!B142</f>
        <v/>
      </c>
      <c r="B142" s="3">
        <f>VLOOKUP(A142,'Production Plan'!B:Q,14,FALSE)</f>
        <v/>
      </c>
    </row>
    <row r="143" hidden="1">
      <c r="A143">
        <f>'Production Plan'!B143</f>
        <v/>
      </c>
      <c r="B143" s="3">
        <f>VLOOKUP(A143,'Production Plan'!B:Q,14,FALSE)</f>
        <v/>
      </c>
    </row>
    <row r="144" hidden="1">
      <c r="A144">
        <f>'Production Plan'!B144</f>
        <v/>
      </c>
      <c r="B144" s="3">
        <f>VLOOKUP(A144,'Production Plan'!B:Q,14,FALSE)</f>
        <v/>
      </c>
    </row>
    <row r="145" hidden="1">
      <c r="A145">
        <f>'Production Plan'!B145</f>
        <v/>
      </c>
      <c r="B145" s="3">
        <f>VLOOKUP(A145,'Production Plan'!B:Q,14,FALSE)</f>
        <v/>
      </c>
    </row>
    <row r="146" hidden="1">
      <c r="A146">
        <f>'Production Plan'!B146</f>
        <v/>
      </c>
      <c r="B146" s="3">
        <f>VLOOKUP(A146,'Production Plan'!B:Q,14,FALSE)</f>
        <v/>
      </c>
    </row>
    <row r="147" hidden="1">
      <c r="A147">
        <f>'Production Plan'!B147</f>
        <v/>
      </c>
      <c r="B147" s="3">
        <f>VLOOKUP(A147,'Production Plan'!B:Q,14,FALSE)</f>
        <v/>
      </c>
    </row>
    <row r="148" hidden="1">
      <c r="A148">
        <f>'Production Plan'!B148</f>
        <v/>
      </c>
      <c r="B148" s="3">
        <f>VLOOKUP(A148,'Production Plan'!B:Q,14,FALSE)</f>
        <v/>
      </c>
    </row>
    <row r="149" hidden="1">
      <c r="A149">
        <f>'Production Plan'!B149</f>
        <v/>
      </c>
      <c r="B149" s="3">
        <f>VLOOKUP(A149,'Production Plan'!B:Q,14,FALSE)</f>
        <v/>
      </c>
    </row>
    <row r="150" hidden="1">
      <c r="A150">
        <f>'Production Plan'!B150</f>
        <v/>
      </c>
      <c r="B150" s="3">
        <f>VLOOKUP(A150,'Production Plan'!B:Q,14,FALSE)</f>
        <v/>
      </c>
    </row>
    <row r="151" hidden="1">
      <c r="A151">
        <f>'Production Plan'!B151</f>
        <v/>
      </c>
      <c r="B151" s="3">
        <f>VLOOKUP(A151,'Production Plan'!B:Q,14,FALSE)</f>
        <v/>
      </c>
    </row>
    <row r="152" hidden="1">
      <c r="A152">
        <f>'Production Plan'!B152</f>
        <v/>
      </c>
      <c r="B152" s="3">
        <f>VLOOKUP(A152,'Production Plan'!B:Q,14,FALSE)</f>
        <v/>
      </c>
    </row>
    <row r="153" hidden="1">
      <c r="A153">
        <f>'Production Plan'!B153</f>
        <v/>
      </c>
      <c r="B153" s="3">
        <f>VLOOKUP(A153,'Production Plan'!B:Q,14,FALSE)</f>
        <v/>
      </c>
    </row>
    <row r="154" hidden="1">
      <c r="A154">
        <f>'Production Plan'!B154</f>
        <v/>
      </c>
      <c r="B154" s="3">
        <f>VLOOKUP(A154,'Production Plan'!B:Q,14,FALSE)</f>
        <v/>
      </c>
    </row>
    <row r="155" hidden="1">
      <c r="A155">
        <f>'Production Plan'!B155</f>
        <v/>
      </c>
      <c r="B155" s="3">
        <f>VLOOKUP(A155,'Production Plan'!B:Q,14,FALSE)</f>
        <v/>
      </c>
    </row>
    <row r="156" hidden="1">
      <c r="A156">
        <f>'Production Plan'!B156</f>
        <v/>
      </c>
      <c r="B156" s="3">
        <f>VLOOKUP(A156,'Production Plan'!B:Q,14,FALSE)</f>
        <v/>
      </c>
    </row>
    <row r="157" hidden="1">
      <c r="A157">
        <f>'Production Plan'!B157</f>
        <v/>
      </c>
      <c r="B157" s="3">
        <f>VLOOKUP(A157,'Production Plan'!B:Q,14,FALSE)</f>
        <v/>
      </c>
    </row>
    <row r="158" hidden="1">
      <c r="A158">
        <f>'Production Plan'!B158</f>
        <v/>
      </c>
      <c r="B158" s="3">
        <f>VLOOKUP(A158,'Production Plan'!B:Q,14,FALSE)</f>
        <v/>
      </c>
    </row>
    <row r="159" hidden="1">
      <c r="A159">
        <f>'Production Plan'!B159</f>
        <v/>
      </c>
      <c r="B159" s="3">
        <f>VLOOKUP(A159,'Production Plan'!B:Q,14,FALSE)</f>
        <v/>
      </c>
    </row>
    <row r="160" hidden="1">
      <c r="A160">
        <f>'Production Plan'!B160</f>
        <v/>
      </c>
      <c r="B160" s="3">
        <f>VLOOKUP(A160,'Production Plan'!B:Q,14,FALSE)</f>
        <v/>
      </c>
    </row>
    <row r="161" hidden="1">
      <c r="A161">
        <f>'Production Plan'!B161</f>
        <v/>
      </c>
      <c r="B161" s="3">
        <f>VLOOKUP(A161,'Production Plan'!B:Q,14,FALSE)</f>
        <v/>
      </c>
    </row>
    <row r="162" hidden="1">
      <c r="A162">
        <f>'Production Plan'!B162</f>
        <v/>
      </c>
      <c r="B162" s="3">
        <f>VLOOKUP(A162,'Production Plan'!B:Q,14,FALSE)</f>
        <v/>
      </c>
    </row>
    <row r="163" hidden="1">
      <c r="A163">
        <f>'Production Plan'!B163</f>
        <v/>
      </c>
      <c r="B163" s="3">
        <f>VLOOKUP(A163,'Production Plan'!B:Q,14,FALSE)</f>
        <v/>
      </c>
    </row>
    <row r="164" hidden="1">
      <c r="A164">
        <f>'Production Plan'!B164</f>
        <v/>
      </c>
      <c r="B164" s="3">
        <f>VLOOKUP(A164,'Production Plan'!B:Q,14,FALSE)</f>
        <v/>
      </c>
    </row>
    <row r="165" hidden="1">
      <c r="A165">
        <f>'Production Plan'!B165</f>
        <v/>
      </c>
      <c r="B165" s="3">
        <f>VLOOKUP(A165,'Production Plan'!B:Q,14,FALSE)</f>
        <v/>
      </c>
    </row>
    <row r="166" hidden="1">
      <c r="A166">
        <f>'Production Plan'!B166</f>
        <v/>
      </c>
      <c r="B166" s="3">
        <f>VLOOKUP(A166,'Production Plan'!B:Q,14,FALSE)</f>
        <v/>
      </c>
    </row>
    <row r="167" hidden="1">
      <c r="A167">
        <f>'Production Plan'!B167</f>
        <v/>
      </c>
      <c r="B167" s="3">
        <f>VLOOKUP(A167,'Production Plan'!B:Q,14,FALSE)</f>
        <v/>
      </c>
    </row>
    <row r="168" hidden="1">
      <c r="A168">
        <f>'Production Plan'!B168</f>
        <v/>
      </c>
      <c r="B168" s="3">
        <f>VLOOKUP(A168,'Production Plan'!B:Q,14,FALSE)</f>
        <v/>
      </c>
    </row>
    <row r="169" hidden="1">
      <c r="A169">
        <f>'Production Plan'!B169</f>
        <v/>
      </c>
      <c r="B169" s="3">
        <f>VLOOKUP(A169,'Production Plan'!B:Q,14,FALSE)</f>
        <v/>
      </c>
    </row>
    <row r="170" hidden="1">
      <c r="A170">
        <f>'Production Plan'!B170</f>
        <v/>
      </c>
      <c r="B170" s="3">
        <f>VLOOKUP(A170,'Production Plan'!B:Q,14,FALSE)</f>
        <v/>
      </c>
    </row>
    <row r="171" hidden="1">
      <c r="A171">
        <f>'Production Plan'!B171</f>
        <v/>
      </c>
      <c r="B171" s="3">
        <f>VLOOKUP(A171,'Production Plan'!B:Q,14,FALSE)</f>
        <v/>
      </c>
    </row>
    <row r="172" hidden="1">
      <c r="A172">
        <f>'Production Plan'!B172</f>
        <v/>
      </c>
      <c r="B172" s="3">
        <f>VLOOKUP(A172,'Production Plan'!B:Q,14,FALSE)</f>
        <v/>
      </c>
    </row>
    <row r="173" hidden="1">
      <c r="A173">
        <f>'Production Plan'!B173</f>
        <v/>
      </c>
      <c r="B173" s="3">
        <f>VLOOKUP(A173,'Production Plan'!B:Q,14,FALSE)</f>
        <v/>
      </c>
    </row>
    <row r="174" hidden="1">
      <c r="A174">
        <f>'Production Plan'!B174</f>
        <v/>
      </c>
      <c r="B174" s="3">
        <f>VLOOKUP(A174,'Production Plan'!B:Q,14,FALSE)</f>
        <v/>
      </c>
    </row>
    <row r="175" hidden="1">
      <c r="A175">
        <f>'Production Plan'!B175</f>
        <v/>
      </c>
      <c r="B175" s="3">
        <f>VLOOKUP(A175,'Production Plan'!B:Q,14,FALSE)</f>
        <v/>
      </c>
    </row>
    <row r="176" hidden="1">
      <c r="A176">
        <f>'Production Plan'!B176</f>
        <v/>
      </c>
      <c r="B176" s="3">
        <f>VLOOKUP(A176,'Production Plan'!B:Q,14,FALSE)</f>
        <v/>
      </c>
    </row>
    <row r="177" hidden="1">
      <c r="A177">
        <f>'Production Plan'!B177</f>
        <v/>
      </c>
      <c r="B177" s="3">
        <f>VLOOKUP(A177,'Production Plan'!B:Q,14,FALSE)</f>
        <v/>
      </c>
    </row>
    <row r="178" hidden="1">
      <c r="A178">
        <f>'Production Plan'!B178</f>
        <v/>
      </c>
      <c r="B178" s="3">
        <f>VLOOKUP(A178,'Production Plan'!B:Q,14,FALSE)</f>
        <v/>
      </c>
    </row>
    <row r="179" hidden="1">
      <c r="A179">
        <f>'Production Plan'!B179</f>
        <v/>
      </c>
      <c r="B179" s="3">
        <f>VLOOKUP(A179,'Production Plan'!B:Q,14,FALSE)</f>
        <v/>
      </c>
    </row>
    <row r="180" hidden="1">
      <c r="A180">
        <f>'Production Plan'!B180</f>
        <v/>
      </c>
      <c r="B180" s="3">
        <f>VLOOKUP(A180,'Production Plan'!B:Q,14,FALSE)</f>
        <v/>
      </c>
    </row>
    <row r="181" hidden="1">
      <c r="A181">
        <f>'Production Plan'!B181</f>
        <v/>
      </c>
      <c r="B181" s="3">
        <f>VLOOKUP(A181,'Production Plan'!B:Q,14,FALSE)</f>
        <v/>
      </c>
    </row>
    <row r="182" hidden="1">
      <c r="A182">
        <f>'Production Plan'!B182</f>
        <v/>
      </c>
      <c r="B182" s="3">
        <f>VLOOKUP(A182,'Production Plan'!B:Q,14,FALSE)</f>
        <v/>
      </c>
    </row>
    <row r="183" hidden="1">
      <c r="A183">
        <f>'Production Plan'!B183</f>
        <v/>
      </c>
      <c r="B183" s="3">
        <f>VLOOKUP(A183,'Production Plan'!B:Q,14,FALSE)</f>
        <v/>
      </c>
    </row>
    <row r="184" hidden="1">
      <c r="A184">
        <f>'Production Plan'!B184</f>
        <v/>
      </c>
      <c r="B184" s="3">
        <f>VLOOKUP(A184,'Production Plan'!B:Q,14,FALSE)</f>
        <v/>
      </c>
    </row>
    <row r="185" hidden="1">
      <c r="A185">
        <f>'Production Plan'!B185</f>
        <v/>
      </c>
      <c r="B185" s="3">
        <f>VLOOKUP(A185,'Production Plan'!B:Q,14,FALSE)</f>
        <v/>
      </c>
    </row>
    <row r="186" hidden="1">
      <c r="A186">
        <f>'Production Plan'!B186</f>
        <v/>
      </c>
      <c r="B186" s="3">
        <f>VLOOKUP(A186,'Production Plan'!B:Q,14,FALSE)</f>
        <v/>
      </c>
    </row>
    <row r="187" hidden="1">
      <c r="A187">
        <f>'Production Plan'!B187</f>
        <v/>
      </c>
      <c r="B187" s="3">
        <f>VLOOKUP(A187,'Production Plan'!B:Q,14,FALSE)</f>
        <v/>
      </c>
    </row>
    <row r="188" hidden="1">
      <c r="A188">
        <f>'Production Plan'!B188</f>
        <v/>
      </c>
      <c r="B188" s="3">
        <f>VLOOKUP(A188,'Production Plan'!B:Q,14,FALSE)</f>
        <v/>
      </c>
    </row>
    <row r="189" hidden="1">
      <c r="A189">
        <f>'Production Plan'!B189</f>
        <v/>
      </c>
      <c r="B189" s="3">
        <f>VLOOKUP(A189,'Production Plan'!B:Q,14,FALSE)</f>
        <v/>
      </c>
    </row>
    <row r="190" hidden="1">
      <c r="A190">
        <f>'Production Plan'!B190</f>
        <v/>
      </c>
      <c r="B190" s="3">
        <f>VLOOKUP(A190,'Production Plan'!B:Q,14,FALSE)</f>
        <v/>
      </c>
    </row>
    <row r="191" hidden="1">
      <c r="A191">
        <f>'Production Plan'!B191</f>
        <v/>
      </c>
      <c r="B191" s="3">
        <f>VLOOKUP(A191,'Production Plan'!B:Q,14,FALSE)</f>
        <v/>
      </c>
    </row>
    <row r="192" hidden="1">
      <c r="A192">
        <f>'Production Plan'!B192</f>
        <v/>
      </c>
      <c r="B192" s="3">
        <f>VLOOKUP(A192,'Production Plan'!B:Q,14,FALSE)</f>
        <v/>
      </c>
    </row>
    <row r="193" hidden="1">
      <c r="A193">
        <f>'Production Plan'!B193</f>
        <v/>
      </c>
      <c r="B193" s="3">
        <f>VLOOKUP(A193,'Production Plan'!B:Q,14,FALSE)</f>
        <v/>
      </c>
    </row>
    <row r="194" hidden="1">
      <c r="A194">
        <f>'Production Plan'!B194</f>
        <v/>
      </c>
      <c r="B194" s="3">
        <f>VLOOKUP(A194,'Production Plan'!B:Q,14,FALSE)</f>
        <v/>
      </c>
    </row>
    <row r="195" hidden="1">
      <c r="A195">
        <f>'Production Plan'!B195</f>
        <v/>
      </c>
      <c r="B195" s="3">
        <f>VLOOKUP(A195,'Production Plan'!B:Q,14,FALSE)</f>
        <v/>
      </c>
    </row>
    <row r="196" hidden="1">
      <c r="A196">
        <f>'Production Plan'!B196</f>
        <v/>
      </c>
      <c r="B196" s="3">
        <f>VLOOKUP(A196,'Production Plan'!B:Q,14,FALSE)</f>
        <v/>
      </c>
    </row>
    <row r="197" hidden="1">
      <c r="A197">
        <f>'Production Plan'!B197</f>
        <v/>
      </c>
      <c r="B197" s="3">
        <f>VLOOKUP(A197,'Production Plan'!B:Q,14,FALSE)</f>
        <v/>
      </c>
    </row>
    <row r="198" hidden="1">
      <c r="A198">
        <f>'Production Plan'!B198</f>
        <v/>
      </c>
      <c r="B198" s="3">
        <f>VLOOKUP(A198,'Production Plan'!B:Q,14,FALSE)</f>
        <v/>
      </c>
    </row>
    <row r="199" hidden="1">
      <c r="A199">
        <f>'Production Plan'!B199</f>
        <v/>
      </c>
      <c r="B199" s="3">
        <f>VLOOKUP(A199,'Production Plan'!B:Q,14,FALSE)</f>
        <v/>
      </c>
    </row>
    <row r="200" hidden="1">
      <c r="A200">
        <f>'Production Plan'!B200</f>
        <v/>
      </c>
      <c r="B200" s="3">
        <f>VLOOKUP(A200,'Production Plan'!B:Q,14,FALSE)</f>
        <v/>
      </c>
    </row>
    <row r="201" hidden="1">
      <c r="A201">
        <f>'Production Plan'!B201</f>
        <v/>
      </c>
      <c r="B201" s="3">
        <f>VLOOKUP(A201,'Production Plan'!B:Q,14,FALSE)</f>
        <v/>
      </c>
    </row>
    <row r="202" hidden="1">
      <c r="A202">
        <f>'Production Plan'!B202</f>
        <v/>
      </c>
      <c r="B202" s="3">
        <f>VLOOKUP(A202,'Production Plan'!B:Q,14,FALSE)</f>
        <v/>
      </c>
    </row>
    <row r="203" hidden="1">
      <c r="A203">
        <f>'Production Plan'!B203</f>
        <v/>
      </c>
      <c r="B203" s="3">
        <f>VLOOKUP(A203,'Production Plan'!B:Q,14,FALSE)</f>
        <v/>
      </c>
    </row>
    <row r="204" hidden="1">
      <c r="A204">
        <f>'Production Plan'!B204</f>
        <v/>
      </c>
      <c r="B204" s="3">
        <f>VLOOKUP(A204,'Production Plan'!B:Q,14,FALSE)</f>
        <v/>
      </c>
    </row>
    <row r="205" hidden="1">
      <c r="A205">
        <f>'Production Plan'!B205</f>
        <v/>
      </c>
      <c r="B205" s="3">
        <f>VLOOKUP(A205,'Production Plan'!B:Q,14,FALSE)</f>
        <v/>
      </c>
    </row>
    <row r="206" hidden="1">
      <c r="A206">
        <f>'Production Plan'!B206</f>
        <v/>
      </c>
      <c r="B206" s="3">
        <f>VLOOKUP(A206,'Production Plan'!B:Q,14,FALSE)</f>
        <v/>
      </c>
    </row>
    <row r="207" hidden="1">
      <c r="A207">
        <f>'Production Plan'!B207</f>
        <v/>
      </c>
      <c r="B207" s="3">
        <f>VLOOKUP(A207,'Production Plan'!B:Q,14,FALSE)</f>
        <v/>
      </c>
    </row>
    <row r="208" hidden="1">
      <c r="A208">
        <f>'Production Plan'!B208</f>
        <v/>
      </c>
      <c r="B208" s="3">
        <f>VLOOKUP(A208,'Production Plan'!B:Q,14,FALSE)</f>
        <v/>
      </c>
    </row>
    <row r="209" hidden="1">
      <c r="A209">
        <f>'Production Plan'!B209</f>
        <v/>
      </c>
      <c r="B209" s="3">
        <f>VLOOKUP(A209,'Production Plan'!B:Q,14,FALSE)</f>
        <v/>
      </c>
    </row>
    <row r="210" hidden="1">
      <c r="A210">
        <f>'Production Plan'!B210</f>
        <v/>
      </c>
      <c r="B210" s="3">
        <f>VLOOKUP(A210,'Production Plan'!B:Q,14,FALSE)</f>
        <v/>
      </c>
    </row>
    <row r="211" hidden="1">
      <c r="A211">
        <f>'Production Plan'!B211</f>
        <v/>
      </c>
      <c r="B211" s="3">
        <f>VLOOKUP(A211,'Production Plan'!B:Q,14,FALSE)</f>
        <v/>
      </c>
    </row>
    <row r="212" hidden="1">
      <c r="A212">
        <f>'Production Plan'!B212</f>
        <v/>
      </c>
      <c r="B212" s="3">
        <f>VLOOKUP(A212,'Production Plan'!B:Q,14,FALSE)</f>
        <v/>
      </c>
    </row>
    <row r="213" hidden="1">
      <c r="A213">
        <f>'Production Plan'!B213</f>
        <v/>
      </c>
      <c r="B213" s="3">
        <f>VLOOKUP(A213,'Production Plan'!B:Q,14,FALSE)</f>
        <v/>
      </c>
    </row>
    <row r="214" hidden="1">
      <c r="A214">
        <f>'Production Plan'!B214</f>
        <v/>
      </c>
      <c r="B214" s="3">
        <f>VLOOKUP(A214,'Production Plan'!B:Q,14,FALSE)</f>
        <v/>
      </c>
    </row>
    <row r="215" hidden="1">
      <c r="A215">
        <f>'Production Plan'!B215</f>
        <v/>
      </c>
      <c r="B215" s="3">
        <f>VLOOKUP(A215,'Production Plan'!B:Q,14,FALSE)</f>
        <v/>
      </c>
    </row>
    <row r="216" hidden="1">
      <c r="A216">
        <f>'Production Plan'!B216</f>
        <v/>
      </c>
      <c r="B216" s="3">
        <f>VLOOKUP(A216,'Production Plan'!B:Q,14,FALSE)</f>
        <v/>
      </c>
    </row>
    <row r="217" hidden="1">
      <c r="A217">
        <f>'Production Plan'!B217</f>
        <v/>
      </c>
      <c r="B217" s="3">
        <f>VLOOKUP(A217,'Production Plan'!B:Q,14,FALSE)</f>
        <v/>
      </c>
    </row>
    <row r="218" hidden="1">
      <c r="A218">
        <f>'Production Plan'!B218</f>
        <v/>
      </c>
      <c r="B218" s="3">
        <f>VLOOKUP(A218,'Production Plan'!B:Q,14,FALSE)</f>
        <v/>
      </c>
    </row>
    <row r="219" hidden="1">
      <c r="A219">
        <f>'Production Plan'!B219</f>
        <v/>
      </c>
      <c r="B219" s="3">
        <f>VLOOKUP(A219,'Production Plan'!B:Q,14,FALSE)</f>
        <v/>
      </c>
    </row>
    <row r="220" hidden="1">
      <c r="A220">
        <f>'Production Plan'!B220</f>
        <v/>
      </c>
      <c r="B220" s="3">
        <f>VLOOKUP(A220,'Production Plan'!B:Q,14,FALSE)</f>
        <v/>
      </c>
    </row>
    <row r="221" hidden="1">
      <c r="A221">
        <f>'Production Plan'!B221</f>
        <v/>
      </c>
      <c r="B221" s="3">
        <f>VLOOKUP(A221,'Production Plan'!B:Q,14,FALSE)</f>
        <v/>
      </c>
    </row>
    <row r="222" hidden="1">
      <c r="A222">
        <f>'Production Plan'!B222</f>
        <v/>
      </c>
      <c r="B222" s="3">
        <f>VLOOKUP(A222,'Production Plan'!B:Q,14,FALSE)</f>
        <v/>
      </c>
    </row>
    <row r="223" hidden="1">
      <c r="A223">
        <f>'Production Plan'!B223</f>
        <v/>
      </c>
      <c r="B223" s="3">
        <f>VLOOKUP(A223,'Production Plan'!B:Q,14,FALSE)</f>
        <v/>
      </c>
    </row>
    <row r="224" hidden="1">
      <c r="A224">
        <f>'Production Plan'!B224</f>
        <v/>
      </c>
      <c r="B224" s="3">
        <f>VLOOKUP(A224,'Production Plan'!B:Q,14,FALSE)</f>
        <v/>
      </c>
    </row>
    <row r="225" hidden="1">
      <c r="A225">
        <f>'Production Plan'!B225</f>
        <v/>
      </c>
      <c r="B225" s="3">
        <f>VLOOKUP(A225,'Production Plan'!B:Q,14,FALSE)</f>
        <v/>
      </c>
    </row>
    <row r="226" hidden="1">
      <c r="A226">
        <f>'Production Plan'!B226</f>
        <v/>
      </c>
      <c r="B226" s="3">
        <f>VLOOKUP(A226,'Production Plan'!B:Q,14,FALSE)</f>
        <v/>
      </c>
    </row>
    <row r="227" hidden="1">
      <c r="A227">
        <f>'Production Plan'!B227</f>
        <v/>
      </c>
      <c r="B227" s="3">
        <f>VLOOKUP(A227,'Production Plan'!B:Q,14,FALSE)</f>
        <v/>
      </c>
    </row>
    <row r="228" hidden="1">
      <c r="A228">
        <f>'Production Plan'!B228</f>
        <v/>
      </c>
      <c r="B228" s="3">
        <f>VLOOKUP(A228,'Production Plan'!B:Q,14,FALSE)</f>
        <v/>
      </c>
    </row>
    <row r="229" hidden="1">
      <c r="A229">
        <f>'Production Plan'!B229</f>
        <v/>
      </c>
      <c r="B229" s="3">
        <f>VLOOKUP(A229,'Production Plan'!B:Q,14,FALSE)</f>
        <v/>
      </c>
    </row>
    <row r="230" hidden="1">
      <c r="A230">
        <f>'Production Plan'!B230</f>
        <v/>
      </c>
      <c r="B230" s="3">
        <f>VLOOKUP(A230,'Production Plan'!B:Q,14,FALSE)</f>
        <v/>
      </c>
    </row>
    <row r="231" hidden="1">
      <c r="A231">
        <f>'Production Plan'!B231</f>
        <v/>
      </c>
      <c r="B231" s="3">
        <f>VLOOKUP(A231,'Production Plan'!B:Q,14,FALSE)</f>
        <v/>
      </c>
    </row>
    <row r="232" hidden="1">
      <c r="A232">
        <f>'Production Plan'!B232</f>
        <v/>
      </c>
      <c r="B232" s="3">
        <f>VLOOKUP(A232,'Production Plan'!B:Q,14,FALSE)</f>
        <v/>
      </c>
    </row>
    <row r="233" hidden="1">
      <c r="A233">
        <f>'Production Plan'!B233</f>
        <v/>
      </c>
      <c r="B233" s="3">
        <f>VLOOKUP(A233,'Production Plan'!B:Q,14,FALSE)</f>
        <v/>
      </c>
    </row>
    <row r="234" hidden="1">
      <c r="A234">
        <f>'Production Plan'!B234</f>
        <v/>
      </c>
      <c r="B234" s="3">
        <f>VLOOKUP(A234,'Production Plan'!B:Q,14,FALSE)</f>
        <v/>
      </c>
    </row>
    <row r="235" hidden="1">
      <c r="A235">
        <f>'Production Plan'!B235</f>
        <v/>
      </c>
      <c r="B235" s="3">
        <f>VLOOKUP(A235,'Production Plan'!B:Q,14,FALSE)</f>
        <v/>
      </c>
    </row>
    <row r="236" hidden="1">
      <c r="A236">
        <f>'Production Plan'!B236</f>
        <v/>
      </c>
      <c r="B236" s="3">
        <f>VLOOKUP(A236,'Production Plan'!B:Q,14,FALSE)</f>
        <v/>
      </c>
    </row>
    <row r="237" hidden="1">
      <c r="A237">
        <f>'Production Plan'!B237</f>
        <v/>
      </c>
      <c r="B237" s="3">
        <f>VLOOKUP(A237,'Production Plan'!B:Q,14,FALSE)</f>
        <v/>
      </c>
    </row>
    <row r="238" hidden="1">
      <c r="A238">
        <f>'Production Plan'!B238</f>
        <v/>
      </c>
      <c r="B238" s="3">
        <f>VLOOKUP(A238,'Production Plan'!B:Q,14,FALSE)</f>
        <v/>
      </c>
    </row>
    <row r="239" hidden="1">
      <c r="A239">
        <f>'Production Plan'!B239</f>
        <v/>
      </c>
      <c r="B239" s="3">
        <f>VLOOKUP(A239,'Production Plan'!B:Q,14,FALSE)</f>
        <v/>
      </c>
    </row>
    <row r="240" hidden="1">
      <c r="A240">
        <f>'Production Plan'!B240</f>
        <v/>
      </c>
      <c r="B240" s="3">
        <f>VLOOKUP(A240,'Production Plan'!B:Q,14,FALSE)</f>
        <v/>
      </c>
    </row>
    <row r="241" hidden="1">
      <c r="A241">
        <f>'Production Plan'!B241</f>
        <v/>
      </c>
      <c r="B241" s="3">
        <f>VLOOKUP(A241,'Production Plan'!B:Q,14,FALSE)</f>
        <v/>
      </c>
    </row>
    <row r="242" hidden="1">
      <c r="A242">
        <f>'Production Plan'!B242</f>
        <v/>
      </c>
      <c r="B242" s="3">
        <f>VLOOKUP(A242,'Production Plan'!B:Q,14,FALSE)</f>
        <v/>
      </c>
    </row>
    <row r="243" hidden="1">
      <c r="A243">
        <f>'Production Plan'!B243</f>
        <v/>
      </c>
      <c r="B243" s="3">
        <f>VLOOKUP(A243,'Production Plan'!B:Q,14,FALSE)</f>
        <v/>
      </c>
    </row>
    <row r="244" hidden="1">
      <c r="A244">
        <f>'Production Plan'!B244</f>
        <v/>
      </c>
      <c r="B244" s="3">
        <f>VLOOKUP(A244,'Production Plan'!B:Q,14,FALSE)</f>
        <v/>
      </c>
    </row>
    <row r="245" hidden="1">
      <c r="A245">
        <f>'Production Plan'!B245</f>
        <v/>
      </c>
      <c r="B245" s="3">
        <f>VLOOKUP(A245,'Production Plan'!B:Q,14,FALSE)</f>
        <v/>
      </c>
    </row>
    <row r="246" hidden="1">
      <c r="A246">
        <f>'Production Plan'!B246</f>
        <v/>
      </c>
      <c r="B246" s="3">
        <f>VLOOKUP(A246,'Production Plan'!B:Q,14,FALSE)</f>
        <v/>
      </c>
    </row>
    <row r="247" hidden="1">
      <c r="A247">
        <f>'Production Plan'!B247</f>
        <v/>
      </c>
      <c r="B247" s="3">
        <f>VLOOKUP(A247,'Production Plan'!B:Q,14,FALSE)</f>
        <v/>
      </c>
    </row>
    <row r="248" hidden="1">
      <c r="A248">
        <f>'Production Plan'!B248</f>
        <v/>
      </c>
      <c r="B248" s="3">
        <f>VLOOKUP(A248,'Production Plan'!B:Q,14,FALSE)</f>
        <v/>
      </c>
    </row>
    <row r="249" hidden="1">
      <c r="A249">
        <f>'Production Plan'!B249</f>
        <v/>
      </c>
      <c r="B249" s="3">
        <f>VLOOKUP(A249,'Production Plan'!B:Q,14,FALSE)</f>
        <v/>
      </c>
    </row>
    <row r="250" hidden="1">
      <c r="A250">
        <f>'Production Plan'!B250</f>
        <v/>
      </c>
      <c r="B250" s="3">
        <f>VLOOKUP(A250,'Production Plan'!B:Q,14,FALSE)</f>
        <v/>
      </c>
    </row>
    <row r="251" hidden="1">
      <c r="A251">
        <f>'Production Plan'!B251</f>
        <v/>
      </c>
      <c r="B251" s="3">
        <f>VLOOKUP(A251,'Production Plan'!B:Q,14,FALSE)</f>
        <v/>
      </c>
    </row>
    <row r="252" hidden="1">
      <c r="A252">
        <f>'Production Plan'!B252</f>
        <v/>
      </c>
      <c r="B252" s="3">
        <f>VLOOKUP(A252,'Production Plan'!B:Q,14,FALSE)</f>
        <v/>
      </c>
    </row>
    <row r="253" hidden="1">
      <c r="A253">
        <f>'Production Plan'!B253</f>
        <v/>
      </c>
      <c r="B253" s="3">
        <f>VLOOKUP(A253,'Production Plan'!B:Q,14,FALSE)</f>
        <v/>
      </c>
    </row>
    <row r="254" hidden="1">
      <c r="A254">
        <f>'Production Plan'!B254</f>
        <v/>
      </c>
      <c r="B254" s="3">
        <f>VLOOKUP(A254,'Production Plan'!B:Q,14,FALSE)</f>
        <v/>
      </c>
    </row>
    <row r="255" hidden="1">
      <c r="A255">
        <f>'Production Plan'!B255</f>
        <v/>
      </c>
      <c r="B255" s="3">
        <f>VLOOKUP(A255,'Production Plan'!B:Q,14,FALSE)</f>
        <v/>
      </c>
    </row>
    <row r="256" hidden="1">
      <c r="A256">
        <f>'Production Plan'!B256</f>
        <v/>
      </c>
      <c r="B256" s="3">
        <f>VLOOKUP(A256,'Production Plan'!B:Q,14,FALSE)</f>
        <v/>
      </c>
    </row>
    <row r="257" hidden="1">
      <c r="A257">
        <f>'Production Plan'!B257</f>
        <v/>
      </c>
      <c r="B257" s="3">
        <f>VLOOKUP(A257,'Production Plan'!B:Q,14,FALSE)</f>
        <v/>
      </c>
    </row>
    <row r="258" hidden="1">
      <c r="A258">
        <f>'Production Plan'!B258</f>
        <v/>
      </c>
      <c r="B258" s="3">
        <f>VLOOKUP(A258,'Production Plan'!B:Q,14,FALSE)</f>
        <v/>
      </c>
    </row>
    <row r="259" hidden="1">
      <c r="A259">
        <f>'Production Plan'!B259</f>
        <v/>
      </c>
      <c r="B259" s="3">
        <f>VLOOKUP(A259,'Production Plan'!B:Q,14,FALSE)</f>
        <v/>
      </c>
    </row>
    <row r="260" hidden="1">
      <c r="A260">
        <f>'Production Plan'!B260</f>
        <v/>
      </c>
      <c r="B260" s="3">
        <f>VLOOKUP(A260,'Production Plan'!B:Q,14,FALSE)</f>
        <v/>
      </c>
    </row>
    <row r="261" hidden="1">
      <c r="A261">
        <f>'Production Plan'!B261</f>
        <v/>
      </c>
      <c r="B261" s="3">
        <f>VLOOKUP(A261,'Production Plan'!B:Q,14,FALSE)</f>
        <v/>
      </c>
    </row>
    <row r="262" hidden="1">
      <c r="A262">
        <f>'Production Plan'!B262</f>
        <v/>
      </c>
      <c r="B262" s="3">
        <f>VLOOKUP(A262,'Production Plan'!B:Q,14,FALSE)</f>
        <v/>
      </c>
    </row>
    <row r="263" hidden="1">
      <c r="A263">
        <f>'Production Plan'!B263</f>
        <v/>
      </c>
      <c r="B263" s="3">
        <f>VLOOKUP(A263,'Production Plan'!B:Q,14,FALSE)</f>
        <v/>
      </c>
    </row>
    <row r="264" hidden="1">
      <c r="A264">
        <f>'Production Plan'!B264</f>
        <v/>
      </c>
      <c r="B264" s="3">
        <f>VLOOKUP(A264,'Production Plan'!B:Q,14,FALSE)</f>
        <v/>
      </c>
    </row>
    <row r="265" hidden="1">
      <c r="A265">
        <f>'Production Plan'!B265</f>
        <v/>
      </c>
      <c r="B265" s="3">
        <f>VLOOKUP(A265,'Production Plan'!B:Q,14,FALSE)</f>
        <v/>
      </c>
    </row>
    <row r="266" hidden="1">
      <c r="A266">
        <f>'Production Plan'!B266</f>
        <v/>
      </c>
      <c r="B266" s="3">
        <f>VLOOKUP(A266,'Production Plan'!B:Q,14,FALSE)</f>
        <v/>
      </c>
    </row>
    <row r="267" hidden="1">
      <c r="A267">
        <f>'Production Plan'!B267</f>
        <v/>
      </c>
      <c r="B267" s="3">
        <f>VLOOKUP(A267,'Production Plan'!B:Q,14,FALSE)</f>
        <v/>
      </c>
    </row>
    <row r="268" hidden="1">
      <c r="A268">
        <f>'Production Plan'!B268</f>
        <v/>
      </c>
      <c r="B268" s="3">
        <f>VLOOKUP(A268,'Production Plan'!B:Q,14,FALSE)</f>
        <v/>
      </c>
    </row>
    <row r="269" hidden="1">
      <c r="A269">
        <f>'Production Plan'!B269</f>
        <v/>
      </c>
      <c r="B269" s="3">
        <f>VLOOKUP(A269,'Production Plan'!B:Q,14,FALSE)</f>
        <v/>
      </c>
    </row>
    <row r="270" hidden="1">
      <c r="A270">
        <f>'Production Plan'!B270</f>
        <v/>
      </c>
      <c r="B270" s="3">
        <f>VLOOKUP(A270,'Production Plan'!B:Q,14,FALSE)</f>
        <v/>
      </c>
    </row>
    <row r="271" hidden="1">
      <c r="A271">
        <f>'Production Plan'!B271</f>
        <v/>
      </c>
      <c r="B271" s="3">
        <f>VLOOKUP(A271,'Production Plan'!B:Q,14,FALSE)</f>
        <v/>
      </c>
    </row>
    <row r="272" hidden="1">
      <c r="A272">
        <f>'Production Plan'!B272</f>
        <v/>
      </c>
      <c r="B272" s="3">
        <f>VLOOKUP(A272,'Production Plan'!B:Q,14,FALSE)</f>
        <v/>
      </c>
    </row>
    <row r="273" hidden="1">
      <c r="A273">
        <f>'Production Plan'!B273</f>
        <v/>
      </c>
      <c r="B273" s="3">
        <f>VLOOKUP(A273,'Production Plan'!B:Q,14,FALSE)</f>
        <v/>
      </c>
    </row>
    <row r="274" hidden="1">
      <c r="A274">
        <f>'Production Plan'!B274</f>
        <v/>
      </c>
      <c r="B274" s="3">
        <f>VLOOKUP(A274,'Production Plan'!B:Q,14,FALSE)</f>
        <v/>
      </c>
    </row>
    <row r="275" hidden="1">
      <c r="A275">
        <f>'Production Plan'!B275</f>
        <v/>
      </c>
      <c r="B275" s="3">
        <f>VLOOKUP(A275,'Production Plan'!B:Q,14,FALSE)</f>
        <v/>
      </c>
    </row>
    <row r="276" hidden="1">
      <c r="A276">
        <f>'Production Plan'!B276</f>
        <v/>
      </c>
      <c r="B276" s="3">
        <f>VLOOKUP(A276,'Production Plan'!B:Q,14,FALSE)</f>
        <v/>
      </c>
    </row>
    <row r="277" hidden="1">
      <c r="A277">
        <f>'Production Plan'!B277</f>
        <v/>
      </c>
      <c r="B277" s="3">
        <f>VLOOKUP(A277,'Production Plan'!B:Q,14,FALSE)</f>
        <v/>
      </c>
    </row>
    <row r="278" hidden="1">
      <c r="A278">
        <f>'Production Plan'!B278</f>
        <v/>
      </c>
      <c r="B278" s="3">
        <f>VLOOKUP(A278,'Production Plan'!B:Q,14,FALSE)</f>
        <v/>
      </c>
    </row>
    <row r="279" hidden="1">
      <c r="A279">
        <f>'Production Plan'!B279</f>
        <v/>
      </c>
      <c r="B279" s="3">
        <f>VLOOKUP(A279,'Production Plan'!B:Q,14,FALSE)</f>
        <v/>
      </c>
    </row>
    <row r="280" hidden="1">
      <c r="A280">
        <f>'Production Plan'!B280</f>
        <v/>
      </c>
      <c r="B280" s="3">
        <f>VLOOKUP(A280,'Production Plan'!B:Q,14,FALSE)</f>
        <v/>
      </c>
    </row>
    <row r="281" hidden="1">
      <c r="A281">
        <f>'Production Plan'!B281</f>
        <v/>
      </c>
      <c r="B281" s="3">
        <f>VLOOKUP(A281,'Production Plan'!B:Q,14,FALSE)</f>
        <v/>
      </c>
    </row>
    <row r="282" hidden="1">
      <c r="A282">
        <f>'Production Plan'!B282</f>
        <v/>
      </c>
      <c r="B282" s="3">
        <f>VLOOKUP(A282,'Production Plan'!B:Q,14,FALSE)</f>
        <v/>
      </c>
    </row>
    <row r="283" hidden="1">
      <c r="A283">
        <f>'Production Plan'!B283</f>
        <v/>
      </c>
      <c r="B283" s="3">
        <f>VLOOKUP(A283,'Production Plan'!B:Q,14,FALSE)</f>
        <v/>
      </c>
    </row>
    <row r="284" hidden="1">
      <c r="A284">
        <f>'Production Plan'!B284</f>
        <v/>
      </c>
      <c r="B284" s="3">
        <f>VLOOKUP(A284,'Production Plan'!B:Q,14,FALSE)</f>
        <v/>
      </c>
    </row>
    <row r="285" hidden="1">
      <c r="A285">
        <f>'Production Plan'!B285</f>
        <v/>
      </c>
      <c r="B285" s="3">
        <f>VLOOKUP(A285,'Production Plan'!B:Q,14,FALSE)</f>
        <v/>
      </c>
    </row>
    <row r="286" hidden="1">
      <c r="A286">
        <f>'Production Plan'!B286</f>
        <v/>
      </c>
      <c r="B286" s="3">
        <f>VLOOKUP(A286,'Production Plan'!B:Q,14,FALSE)</f>
        <v/>
      </c>
    </row>
    <row r="287" hidden="1">
      <c r="A287">
        <f>'Production Plan'!B287</f>
        <v/>
      </c>
      <c r="B287" s="3">
        <f>VLOOKUP(A287,'Production Plan'!B:Q,14,FALSE)</f>
        <v/>
      </c>
    </row>
    <row r="288" hidden="1">
      <c r="A288">
        <f>'Production Plan'!B288</f>
        <v/>
      </c>
      <c r="B288" s="3">
        <f>VLOOKUP(A288,'Production Plan'!B:Q,14,FALSE)</f>
        <v/>
      </c>
    </row>
    <row r="289" hidden="1">
      <c r="A289">
        <f>'Production Plan'!B289</f>
        <v/>
      </c>
      <c r="B289" s="3">
        <f>VLOOKUP(A289,'Production Plan'!B:Q,14,FALSE)</f>
        <v/>
      </c>
    </row>
    <row r="290" hidden="1">
      <c r="A290">
        <f>'Production Plan'!B290</f>
        <v/>
      </c>
      <c r="B290" s="3">
        <f>VLOOKUP(A290,'Production Plan'!B:Q,14,FALSE)</f>
        <v/>
      </c>
    </row>
    <row r="291" hidden="1">
      <c r="A291">
        <f>'Production Plan'!B291</f>
        <v/>
      </c>
      <c r="B291" s="3">
        <f>VLOOKUP(A291,'Production Plan'!B:Q,14,FALSE)</f>
        <v/>
      </c>
    </row>
    <row r="292" hidden="1">
      <c r="A292">
        <f>'Production Plan'!B292</f>
        <v/>
      </c>
      <c r="B292" s="3">
        <f>VLOOKUP(A292,'Production Plan'!B:Q,14,FALSE)</f>
        <v/>
      </c>
    </row>
    <row r="293" hidden="1">
      <c r="A293">
        <f>'Production Plan'!B293</f>
        <v/>
      </c>
      <c r="B293" s="3">
        <f>VLOOKUP(A293,'Production Plan'!B:Q,14,FALSE)</f>
        <v/>
      </c>
    </row>
    <row r="294" hidden="1">
      <c r="A294">
        <f>'Production Plan'!B294</f>
        <v/>
      </c>
      <c r="B294" s="3">
        <f>VLOOKUP(A294,'Production Plan'!B:Q,14,FALSE)</f>
        <v/>
      </c>
    </row>
    <row r="295" hidden="1">
      <c r="A295">
        <f>'Production Plan'!B295</f>
        <v/>
      </c>
      <c r="B295" s="3">
        <f>VLOOKUP(A295,'Production Plan'!B:Q,14,FALSE)</f>
        <v/>
      </c>
    </row>
    <row r="296" hidden="1">
      <c r="A296">
        <f>'Production Plan'!B296</f>
        <v/>
      </c>
      <c r="B296" s="3">
        <f>VLOOKUP(A296,'Production Plan'!B:Q,14,FALSE)</f>
        <v/>
      </c>
    </row>
    <row r="297" hidden="1">
      <c r="A297">
        <f>'Production Plan'!B297</f>
        <v/>
      </c>
      <c r="B297" s="3">
        <f>VLOOKUP(A297,'Production Plan'!B:Q,14,FALSE)</f>
        <v/>
      </c>
    </row>
    <row r="298" hidden="1">
      <c r="A298">
        <f>'Production Plan'!B298</f>
        <v/>
      </c>
      <c r="B298" s="3">
        <f>VLOOKUP(A298,'Production Plan'!B:Q,14,FALSE)</f>
        <v/>
      </c>
    </row>
    <row r="299" hidden="1">
      <c r="A299">
        <f>'Production Plan'!B299</f>
        <v/>
      </c>
      <c r="B299" s="3">
        <f>VLOOKUP(A299,'Production Plan'!B:Q,14,FALSE)</f>
        <v/>
      </c>
    </row>
    <row r="300" hidden="1">
      <c r="A300">
        <f>'Production Plan'!B300</f>
        <v/>
      </c>
      <c r="B300" s="3">
        <f>VLOOKUP(A300,'Production Plan'!B:Q,14,FALSE)</f>
        <v/>
      </c>
    </row>
    <row r="301" hidden="1">
      <c r="A301">
        <f>'Production Plan'!B301</f>
        <v/>
      </c>
      <c r="B301" s="3">
        <f>VLOOKUP(A301,'Production Plan'!B:Q,14,FALSE)</f>
        <v/>
      </c>
    </row>
    <row r="302" hidden="1">
      <c r="A302">
        <f>'Production Plan'!B302</f>
        <v/>
      </c>
      <c r="B302" s="3">
        <f>VLOOKUP(A302,'Production Plan'!B:Q,14,FALSE)</f>
        <v/>
      </c>
    </row>
    <row r="303" hidden="1">
      <c r="A303">
        <f>'Production Plan'!B303</f>
        <v/>
      </c>
      <c r="B303" s="3">
        <f>VLOOKUP(A303,'Production Plan'!B:Q,14,FALSE)</f>
        <v/>
      </c>
    </row>
    <row r="304" hidden="1">
      <c r="A304">
        <f>'Production Plan'!B304</f>
        <v/>
      </c>
      <c r="B304" s="3">
        <f>VLOOKUP(A304,'Production Plan'!B:Q,14,FALSE)</f>
        <v/>
      </c>
    </row>
    <row r="305" hidden="1">
      <c r="A305">
        <f>'Production Plan'!B305</f>
        <v/>
      </c>
      <c r="B305" s="3">
        <f>VLOOKUP(A305,'Production Plan'!B:Q,14,FALSE)</f>
        <v/>
      </c>
    </row>
    <row r="306" hidden="1">
      <c r="A306">
        <f>'Production Plan'!B306</f>
        <v/>
      </c>
      <c r="B306" s="3">
        <f>VLOOKUP(A306,'Production Plan'!B:Q,14,FALSE)</f>
        <v/>
      </c>
    </row>
    <row r="307" hidden="1">
      <c r="A307">
        <f>'Production Plan'!B307</f>
        <v/>
      </c>
      <c r="B307" s="3">
        <f>VLOOKUP(A307,'Production Plan'!B:Q,14,FALSE)</f>
        <v/>
      </c>
    </row>
    <row r="308" hidden="1">
      <c r="A308">
        <f>'Production Plan'!B308</f>
        <v/>
      </c>
      <c r="B308" s="3">
        <f>VLOOKUP(A308,'Production Plan'!B:Q,14,FALSE)</f>
        <v/>
      </c>
    </row>
    <row r="309" hidden="1">
      <c r="A309">
        <f>'Production Plan'!B309</f>
        <v/>
      </c>
      <c r="B309" s="3">
        <f>VLOOKUP(A309,'Production Plan'!B:Q,14,FALSE)</f>
        <v/>
      </c>
    </row>
    <row r="310" hidden="1">
      <c r="A310">
        <f>'Production Plan'!B310</f>
        <v/>
      </c>
      <c r="B310" s="3">
        <f>VLOOKUP(A310,'Production Plan'!B:Q,14,FALSE)</f>
        <v/>
      </c>
    </row>
    <row r="311" hidden="1">
      <c r="A311">
        <f>'Production Plan'!B311</f>
        <v/>
      </c>
      <c r="B311" s="3">
        <f>VLOOKUP(A311,'Production Plan'!B:Q,14,FALSE)</f>
        <v/>
      </c>
    </row>
    <row r="312" hidden="1">
      <c r="A312">
        <f>'Production Plan'!B312</f>
        <v/>
      </c>
      <c r="B312" s="3">
        <f>VLOOKUP(A312,'Production Plan'!B:Q,14,FALSE)</f>
        <v/>
      </c>
    </row>
    <row r="313" hidden="1">
      <c r="A313">
        <f>'Production Plan'!B313</f>
        <v/>
      </c>
      <c r="B313" s="3">
        <f>VLOOKUP(A313,'Production Plan'!B:Q,14,FALSE)</f>
        <v/>
      </c>
    </row>
    <row r="314" hidden="1">
      <c r="A314">
        <f>'Production Plan'!B314</f>
        <v/>
      </c>
      <c r="B314" s="3">
        <f>VLOOKUP(A314,'Production Plan'!B:Q,14,FALSE)</f>
        <v/>
      </c>
    </row>
    <row r="315" hidden="1">
      <c r="A315">
        <f>'Production Plan'!B315</f>
        <v/>
      </c>
      <c r="B315" s="3">
        <f>VLOOKUP(A315,'Production Plan'!B:Q,14,FALSE)</f>
        <v/>
      </c>
    </row>
    <row r="316" hidden="1">
      <c r="A316">
        <f>'Production Plan'!B316</f>
        <v/>
      </c>
      <c r="B316" s="3">
        <f>VLOOKUP(A316,'Production Plan'!B:Q,14,FALSE)</f>
        <v/>
      </c>
    </row>
    <row r="317" hidden="1">
      <c r="A317">
        <f>'Production Plan'!B317</f>
        <v/>
      </c>
      <c r="B317" s="3">
        <f>VLOOKUP(A317,'Production Plan'!B:Q,14,FALSE)</f>
        <v/>
      </c>
    </row>
    <row r="318" hidden="1">
      <c r="A318">
        <f>'Production Plan'!B318</f>
        <v/>
      </c>
      <c r="B318" s="3">
        <f>VLOOKUP(A318,'Production Plan'!B:Q,14,FALSE)</f>
        <v/>
      </c>
    </row>
    <row r="319" hidden="1">
      <c r="A319">
        <f>'Production Plan'!B319</f>
        <v/>
      </c>
      <c r="B319" s="3">
        <f>VLOOKUP(A319,'Production Plan'!B:Q,14,FALSE)</f>
        <v/>
      </c>
    </row>
    <row r="320" hidden="1">
      <c r="A320">
        <f>'Production Plan'!B320</f>
        <v/>
      </c>
      <c r="B320" s="3">
        <f>VLOOKUP(A320,'Production Plan'!B:Q,14,FALSE)</f>
        <v/>
      </c>
    </row>
    <row r="321" hidden="1">
      <c r="A321">
        <f>'Production Plan'!B321</f>
        <v/>
      </c>
      <c r="B321" s="3">
        <f>VLOOKUP(A321,'Production Plan'!B:Q,14,FALSE)</f>
        <v/>
      </c>
    </row>
    <row r="322" hidden="1">
      <c r="A322">
        <f>'Production Plan'!B322</f>
        <v/>
      </c>
      <c r="B322" s="3">
        <f>VLOOKUP(A322,'Production Plan'!B:Q,14,FALSE)</f>
        <v/>
      </c>
    </row>
    <row r="323" hidden="1">
      <c r="A323">
        <f>'Production Plan'!#REF!</f>
        <v/>
      </c>
      <c r="B323" s="3">
        <f>VLOOKUP(A323,'Production Plan'!B:Q,14,FALSE)</f>
        <v/>
      </c>
    </row>
    <row r="324" hidden="1">
      <c r="A324">
        <f>'Production Plan'!B323</f>
        <v/>
      </c>
      <c r="B324" s="3">
        <f>VLOOKUP(A324,'Production Plan'!B:Q,14,FALSE)</f>
        <v/>
      </c>
    </row>
    <row r="325" hidden="1">
      <c r="A325">
        <f>'Production Plan'!B324</f>
        <v/>
      </c>
      <c r="B325" s="3">
        <f>VLOOKUP(A325,'Production Plan'!B:Q,14,FALSE)</f>
        <v/>
      </c>
    </row>
    <row r="326" hidden="1">
      <c r="A326">
        <f>'Production Plan'!B325</f>
        <v/>
      </c>
      <c r="B326" s="3">
        <f>VLOOKUP(A326,'Production Plan'!B:Q,14,FALSE)</f>
        <v/>
      </c>
    </row>
    <row r="327" hidden="1">
      <c r="A327">
        <f>'Production Plan'!B326</f>
        <v/>
      </c>
      <c r="B327" s="3">
        <f>VLOOKUP(A327,'Production Plan'!B:Q,14,FALSE)</f>
        <v/>
      </c>
    </row>
    <row r="328" hidden="1">
      <c r="A328">
        <f>'Production Plan'!B327</f>
        <v/>
      </c>
      <c r="B328" s="3">
        <f>VLOOKUP(A328,'Production Plan'!B:Q,14,FALSE)</f>
        <v/>
      </c>
    </row>
    <row r="329" hidden="1">
      <c r="A329">
        <f>'Production Plan'!B328</f>
        <v/>
      </c>
      <c r="B329" s="3">
        <f>VLOOKUP(A329,'Production Plan'!B:Q,14,FALSE)</f>
        <v/>
      </c>
    </row>
    <row r="330" hidden="1">
      <c r="A330">
        <f>'Production Plan'!B329</f>
        <v/>
      </c>
      <c r="B330" s="3">
        <f>VLOOKUP(A330,'Production Plan'!B:Q,14,FALSE)</f>
        <v/>
      </c>
    </row>
    <row r="331" hidden="1">
      <c r="A331">
        <f>'Production Plan'!B330</f>
        <v/>
      </c>
      <c r="B331" s="3">
        <f>VLOOKUP(A331,'Production Plan'!B:Q,14,FALSE)</f>
        <v/>
      </c>
    </row>
    <row r="332" hidden="1">
      <c r="A332">
        <f>'Production Plan'!B331</f>
        <v/>
      </c>
      <c r="B332" s="3">
        <f>VLOOKUP(A332,'Production Plan'!B:Q,14,FALSE)</f>
        <v/>
      </c>
    </row>
    <row r="333" hidden="1">
      <c r="A333">
        <f>'Production Plan'!B332</f>
        <v/>
      </c>
      <c r="B333" s="3">
        <f>VLOOKUP(A333,'Production Plan'!B:Q,14,FALSE)</f>
        <v/>
      </c>
    </row>
    <row r="334" hidden="1">
      <c r="A334">
        <f>'Production Plan'!B333</f>
        <v/>
      </c>
      <c r="B334" s="3">
        <f>VLOOKUP(A334,'Production Plan'!B:Q,14,FALSE)</f>
        <v/>
      </c>
    </row>
    <row r="335" hidden="1">
      <c r="A335">
        <f>'Production Plan'!B334</f>
        <v/>
      </c>
      <c r="B335" s="3">
        <f>VLOOKUP(A335,'Production Plan'!B:Q,14,FALSE)</f>
        <v/>
      </c>
    </row>
    <row r="336" hidden="1">
      <c r="A336">
        <f>'Production Plan'!B335</f>
        <v/>
      </c>
      <c r="B336" s="3">
        <f>VLOOKUP(A336,'Production Plan'!B:Q,14,FALSE)</f>
        <v/>
      </c>
    </row>
    <row r="337" hidden="1">
      <c r="A337">
        <f>'Production Plan'!B336</f>
        <v/>
      </c>
      <c r="B337" s="3">
        <f>VLOOKUP(A337,'Production Plan'!B:Q,14,FALSE)</f>
        <v/>
      </c>
    </row>
    <row r="338" hidden="1">
      <c r="A338">
        <f>'Production Plan'!B337</f>
        <v/>
      </c>
      <c r="B338" s="3">
        <f>VLOOKUP(A338,'Production Plan'!B:Q,14,FALSE)</f>
        <v/>
      </c>
    </row>
    <row r="339" hidden="1">
      <c r="A339">
        <f>'Production Plan'!B338</f>
        <v/>
      </c>
      <c r="B339" s="3">
        <f>VLOOKUP(A339,'Production Plan'!B:Q,14,FALSE)</f>
        <v/>
      </c>
    </row>
    <row r="340" hidden="1">
      <c r="A340">
        <f>'Production Plan'!B339</f>
        <v/>
      </c>
      <c r="B340" s="3">
        <f>VLOOKUP(A340,'Production Plan'!B:Q,14,FALSE)</f>
        <v/>
      </c>
    </row>
    <row r="341" hidden="1">
      <c r="A341">
        <f>'Production Plan'!B340</f>
        <v/>
      </c>
      <c r="B341" s="3">
        <f>VLOOKUP(A341,'Production Plan'!B:Q,14,FALSE)</f>
        <v/>
      </c>
    </row>
    <row r="342" hidden="1">
      <c r="A342">
        <f>'Production Plan'!B341</f>
        <v/>
      </c>
      <c r="B342" s="3">
        <f>VLOOKUP(A342,'Production Plan'!B:Q,14,FALSE)</f>
        <v/>
      </c>
    </row>
    <row r="343" hidden="1">
      <c r="A343">
        <f>'Production Plan'!B342</f>
        <v/>
      </c>
      <c r="B343" s="3">
        <f>VLOOKUP(A343,'Production Plan'!B:Q,14,FALSE)</f>
        <v/>
      </c>
    </row>
    <row r="344" hidden="1">
      <c r="A344">
        <f>'Production Plan'!B343</f>
        <v/>
      </c>
      <c r="B344" s="3">
        <f>VLOOKUP(A344,'Production Plan'!B:Q,14,FALSE)</f>
        <v/>
      </c>
    </row>
    <row r="345" hidden="1">
      <c r="A345">
        <f>'Production Plan'!B344</f>
        <v/>
      </c>
      <c r="B345" s="3">
        <f>VLOOKUP(A345,'Production Plan'!B:Q,14,FALSE)</f>
        <v/>
      </c>
    </row>
    <row r="346" hidden="1">
      <c r="A346">
        <f>'Production Plan'!B345</f>
        <v/>
      </c>
      <c r="B346" s="3">
        <f>VLOOKUP(A346,'Production Plan'!B:Q,14,FALSE)</f>
        <v/>
      </c>
    </row>
    <row r="347" hidden="1">
      <c r="A347">
        <f>'Production Plan'!B346</f>
        <v/>
      </c>
      <c r="B347" s="3">
        <f>VLOOKUP(A347,'Production Plan'!B:Q,14,FALSE)</f>
        <v/>
      </c>
    </row>
    <row r="348" hidden="1">
      <c r="A348">
        <f>'Production Plan'!B347</f>
        <v/>
      </c>
      <c r="B348" s="3">
        <f>VLOOKUP(A348,'Production Plan'!B:Q,14,FALSE)</f>
        <v/>
      </c>
    </row>
    <row r="349" hidden="1">
      <c r="A349">
        <f>'Production Plan'!B348</f>
        <v/>
      </c>
      <c r="B349" s="3">
        <f>VLOOKUP(A349,'Production Plan'!B:Q,14,FALSE)</f>
        <v/>
      </c>
    </row>
    <row r="350" hidden="1">
      <c r="A350">
        <f>'Production Plan'!B349</f>
        <v/>
      </c>
      <c r="B350" s="3">
        <f>VLOOKUP(A350,'Production Plan'!B:Q,14,FALSE)</f>
        <v/>
      </c>
    </row>
    <row r="351" hidden="1">
      <c r="A351">
        <f>'Production Plan'!B350</f>
        <v/>
      </c>
      <c r="B351" s="3">
        <f>VLOOKUP(A351,'Production Plan'!B:Q,14,FALSE)</f>
        <v/>
      </c>
    </row>
    <row r="352" hidden="1">
      <c r="A352">
        <f>'Production Plan'!B351</f>
        <v/>
      </c>
      <c r="B352" s="3">
        <f>VLOOKUP(A352,'Production Plan'!B:Q,14,FALSE)</f>
        <v/>
      </c>
    </row>
    <row r="353" hidden="1">
      <c r="A353">
        <f>'Production Plan'!B352</f>
        <v/>
      </c>
      <c r="B353" s="3">
        <f>VLOOKUP(A353,'Production Plan'!B:Q,14,FALSE)</f>
        <v/>
      </c>
    </row>
    <row r="354" hidden="1">
      <c r="A354">
        <f>'Production Plan'!B353</f>
        <v/>
      </c>
      <c r="B354" s="3">
        <f>VLOOKUP(A354,'Production Plan'!B:Q,14,FALSE)</f>
        <v/>
      </c>
    </row>
    <row r="355" hidden="1">
      <c r="A355">
        <f>'Production Plan'!B354</f>
        <v/>
      </c>
      <c r="B355" s="3">
        <f>VLOOKUP(A355,'Production Plan'!B:Q,14,FALSE)</f>
        <v/>
      </c>
    </row>
    <row r="356" hidden="1">
      <c r="A356">
        <f>'Production Plan'!B355</f>
        <v/>
      </c>
      <c r="B356" s="3">
        <f>VLOOKUP(A356,'Production Plan'!B:Q,14,FALSE)</f>
        <v/>
      </c>
    </row>
    <row r="357" hidden="1">
      <c r="A357">
        <f>'Production Plan'!B356</f>
        <v/>
      </c>
      <c r="B357" s="3">
        <f>VLOOKUP(A357,'Production Plan'!B:Q,14,FALSE)</f>
        <v/>
      </c>
    </row>
    <row r="358" hidden="1">
      <c r="A358">
        <f>'Production Plan'!B357</f>
        <v/>
      </c>
      <c r="B358" s="3">
        <f>VLOOKUP(A358,'Production Plan'!B:Q,14,FALSE)</f>
        <v/>
      </c>
    </row>
    <row r="359" hidden="1">
      <c r="A359">
        <f>'Production Plan'!#REF!</f>
        <v/>
      </c>
      <c r="B359" s="3">
        <f>VLOOKUP(A359,'Production Plan'!B:Q,14,FALSE)</f>
        <v/>
      </c>
    </row>
    <row r="360" hidden="1">
      <c r="A360">
        <f>'Production Plan'!#REF!</f>
        <v/>
      </c>
      <c r="B360" s="3">
        <f>VLOOKUP(A360,'Production Plan'!B:Q,14,FALSE)</f>
        <v/>
      </c>
    </row>
    <row r="361" hidden="1">
      <c r="A361">
        <f>'Production Plan'!#REF!</f>
        <v/>
      </c>
      <c r="B361" s="3">
        <f>VLOOKUP(A361,'Production Plan'!B:Q,14,FALSE)</f>
        <v/>
      </c>
    </row>
    <row r="362" hidden="1">
      <c r="A362">
        <f>'Production Plan'!#REF!</f>
        <v/>
      </c>
      <c r="B362" s="3">
        <f>VLOOKUP(A362,'Production Plan'!B:Q,14,FALSE)</f>
        <v/>
      </c>
    </row>
    <row r="363" hidden="1">
      <c r="A363">
        <f>'Production Plan'!#REF!</f>
        <v/>
      </c>
      <c r="B363" s="3">
        <f>VLOOKUP(A363,'Production Plan'!B:Q,14,FALSE)</f>
        <v/>
      </c>
    </row>
    <row r="364" hidden="1">
      <c r="A364">
        <f>'Production Plan'!#REF!</f>
        <v/>
      </c>
      <c r="B364" s="3">
        <f>VLOOKUP(A364,'Production Plan'!B:Q,14,FALSE)</f>
        <v/>
      </c>
    </row>
    <row r="365" hidden="1">
      <c r="A365">
        <f>'Production Plan'!#REF!</f>
        <v/>
      </c>
      <c r="B365" s="3">
        <f>VLOOKUP(A365,'Production Plan'!B:Q,14,FALSE)</f>
        <v/>
      </c>
    </row>
    <row r="366" hidden="1">
      <c r="A366">
        <f>'Production Plan'!#REF!</f>
        <v/>
      </c>
      <c r="B366" s="3">
        <f>VLOOKUP(A366,'Production Plan'!B:Q,14,FALSE)</f>
        <v/>
      </c>
    </row>
    <row r="367" hidden="1">
      <c r="A367">
        <f>'Production Plan'!#REF!</f>
        <v/>
      </c>
      <c r="B367" s="3">
        <f>VLOOKUP(A367,'Production Plan'!B:Q,14,FALSE)</f>
        <v/>
      </c>
    </row>
    <row r="368" hidden="1">
      <c r="A368">
        <f>'Production Plan'!#REF!</f>
        <v/>
      </c>
      <c r="B368" s="3">
        <f>VLOOKUP(A368,'Production Plan'!B:Q,14,FALSE)</f>
        <v/>
      </c>
    </row>
    <row r="369" hidden="1">
      <c r="A369">
        <f>'Production Plan'!#REF!</f>
        <v/>
      </c>
      <c r="B369" s="3">
        <f>VLOOKUP(A369,'Production Plan'!B:Q,14,FALSE)</f>
        <v/>
      </c>
    </row>
    <row r="370" hidden="1">
      <c r="A370">
        <f>'Production Plan'!B358</f>
        <v/>
      </c>
      <c r="B370" s="3">
        <f>VLOOKUP(A370,'Production Plan'!B:Q,14,FALSE)</f>
        <v/>
      </c>
    </row>
    <row r="371" hidden="1">
      <c r="A371">
        <f>'Production Plan'!B359</f>
        <v/>
      </c>
      <c r="B371" s="3">
        <f>VLOOKUP(A371,'Production Plan'!B:Q,14,FALSE)</f>
        <v/>
      </c>
    </row>
    <row r="372" hidden="1">
      <c r="A372">
        <f>'Production Plan'!B360</f>
        <v/>
      </c>
      <c r="B372" s="3">
        <f>VLOOKUP(A372,'Production Plan'!B:Q,14,FALSE)</f>
        <v/>
      </c>
    </row>
    <row r="373" hidden="1">
      <c r="A373">
        <f>'Production Plan'!B361</f>
        <v/>
      </c>
      <c r="B373" s="3">
        <f>VLOOKUP(A373,'Production Plan'!B:Q,14,FALSE)</f>
        <v/>
      </c>
    </row>
    <row r="374" hidden="1">
      <c r="A374">
        <f>'Production Plan'!B362</f>
        <v/>
      </c>
      <c r="B374" s="3">
        <f>VLOOKUP(A374,'Production Plan'!B:Q,14,FALSE)</f>
        <v/>
      </c>
    </row>
    <row r="375" hidden="1">
      <c r="A375">
        <f>'Production Plan'!B363</f>
        <v/>
      </c>
      <c r="B375" s="3">
        <f>VLOOKUP(A375,'Production Plan'!B:Q,14,FALSE)</f>
        <v/>
      </c>
    </row>
    <row r="376" hidden="1">
      <c r="A376">
        <f>'Production Plan'!B364</f>
        <v/>
      </c>
      <c r="B376" s="3">
        <f>VLOOKUP(A376,'Production Plan'!B:Q,14,FALSE)</f>
        <v/>
      </c>
    </row>
    <row r="377" hidden="1">
      <c r="A377">
        <f>'Production Plan'!B365</f>
        <v/>
      </c>
      <c r="B377" s="3">
        <f>VLOOKUP(A377,'Production Plan'!B:Q,14,FALSE)</f>
        <v/>
      </c>
    </row>
    <row r="378" hidden="1">
      <c r="A378">
        <f>'Production Plan'!B366</f>
        <v/>
      </c>
      <c r="B378" s="3">
        <f>VLOOKUP(A378,'Production Plan'!B:Q,14,FALSE)</f>
        <v/>
      </c>
    </row>
    <row r="379" hidden="1">
      <c r="A379">
        <f>'Production Plan'!B367</f>
        <v/>
      </c>
      <c r="B379" s="3">
        <f>VLOOKUP(A379,'Production Plan'!B:Q,14,FALSE)</f>
        <v/>
      </c>
    </row>
    <row r="380" hidden="1">
      <c r="A380">
        <f>'Production Plan'!B368</f>
        <v/>
      </c>
      <c r="B380" s="3">
        <f>VLOOKUP(A380,'Production Plan'!B:Q,14,FALSE)</f>
        <v/>
      </c>
    </row>
    <row r="381" hidden="1">
      <c r="A381">
        <f>'Production Plan'!B369</f>
        <v/>
      </c>
      <c r="B381" s="3">
        <f>VLOOKUP(A381,'Production Plan'!B:Q,14,FALSE)</f>
        <v/>
      </c>
    </row>
    <row r="382" hidden="1">
      <c r="A382">
        <f>'Production Plan'!B370</f>
        <v/>
      </c>
      <c r="B382" s="3">
        <f>VLOOKUP(A382,'Production Plan'!B:Q,14,FALSE)</f>
        <v/>
      </c>
    </row>
    <row r="383" hidden="1">
      <c r="A383">
        <f>'Production Plan'!B371</f>
        <v/>
      </c>
      <c r="B383" s="3">
        <f>VLOOKUP(A383,'Production Plan'!B:Q,14,FALSE)</f>
        <v/>
      </c>
    </row>
    <row r="384" hidden="1">
      <c r="A384">
        <f>'Production Plan'!B372</f>
        <v/>
      </c>
      <c r="B384" s="3">
        <f>VLOOKUP(A384,'Production Plan'!B:Q,14,FALSE)</f>
        <v/>
      </c>
    </row>
    <row r="385" hidden="1">
      <c r="A385">
        <f>'Production Plan'!B373</f>
        <v/>
      </c>
      <c r="B385" s="3">
        <f>VLOOKUP(A385,'Production Plan'!B:Q,14,FALSE)</f>
        <v/>
      </c>
    </row>
    <row r="386" hidden="1">
      <c r="A386">
        <f>'Production Plan'!B374</f>
        <v/>
      </c>
      <c r="B386" s="3">
        <f>VLOOKUP(A386,'Production Plan'!B:Q,14,FALSE)</f>
        <v/>
      </c>
    </row>
    <row r="387" hidden="1">
      <c r="A387">
        <f>'Production Plan'!B375</f>
        <v/>
      </c>
      <c r="B387" s="3">
        <f>VLOOKUP(A387,'Production Plan'!B:Q,14,FALSE)</f>
        <v/>
      </c>
    </row>
    <row r="388" hidden="1">
      <c r="A388">
        <f>'Production Plan'!B376</f>
        <v/>
      </c>
      <c r="B388" s="3">
        <f>VLOOKUP(A388,'Production Plan'!B:Q,14,FALSE)</f>
        <v/>
      </c>
    </row>
    <row r="389" hidden="1">
      <c r="A389">
        <f>'Production Plan'!B377</f>
        <v/>
      </c>
      <c r="B389" s="3">
        <f>VLOOKUP(A389,'Production Plan'!B:Q,14,FALSE)</f>
        <v/>
      </c>
    </row>
    <row r="390" hidden="1">
      <c r="A390">
        <f>'Production Plan'!B378</f>
        <v/>
      </c>
      <c r="B390" s="3">
        <f>VLOOKUP(A390,'Production Plan'!B:Q,14,FALSE)</f>
        <v/>
      </c>
    </row>
    <row r="391" hidden="1">
      <c r="A391">
        <f>'Production Plan'!B379</f>
        <v/>
      </c>
      <c r="B391" s="3">
        <f>VLOOKUP(A391,'Production Plan'!B:Q,14,FALSE)</f>
        <v/>
      </c>
    </row>
    <row r="392" hidden="1">
      <c r="A392">
        <f>'Production Plan'!B380</f>
        <v/>
      </c>
      <c r="B392" s="3">
        <f>VLOOKUP(A392,'Production Plan'!B:Q,14,FALSE)</f>
        <v/>
      </c>
    </row>
    <row r="393" hidden="1">
      <c r="A393">
        <f>'Production Plan'!B381</f>
        <v/>
      </c>
      <c r="B393" s="3">
        <f>VLOOKUP(A393,'Production Plan'!B:Q,14,FALSE)</f>
        <v/>
      </c>
    </row>
    <row r="394" hidden="1">
      <c r="A394">
        <f>'Production Plan'!B382</f>
        <v/>
      </c>
      <c r="B394" s="3">
        <f>VLOOKUP(A394,'Production Plan'!B:Q,14,FALSE)</f>
        <v/>
      </c>
    </row>
    <row r="395" hidden="1">
      <c r="A395">
        <f>'Production Plan'!B383</f>
        <v/>
      </c>
      <c r="B395" s="3">
        <f>VLOOKUP(A395,'Production Plan'!B:Q,14,FALSE)</f>
        <v/>
      </c>
    </row>
    <row r="396" hidden="1">
      <c r="A396">
        <f>'Production Plan'!B384</f>
        <v/>
      </c>
      <c r="B396" s="3">
        <f>VLOOKUP(A396,'Production Plan'!B:Q,14,FALSE)</f>
        <v/>
      </c>
    </row>
    <row r="397" hidden="1">
      <c r="A397">
        <f>'Production Plan'!B385</f>
        <v/>
      </c>
      <c r="B397" s="3">
        <f>VLOOKUP(A397,'Production Plan'!B:Q,14,FALSE)</f>
        <v/>
      </c>
    </row>
    <row r="398" hidden="1">
      <c r="A398">
        <f>'Production Plan'!B386</f>
        <v/>
      </c>
      <c r="B398" s="3">
        <f>VLOOKUP(A398,'Production Plan'!B:Q,14,FALSE)</f>
        <v/>
      </c>
    </row>
    <row r="399" hidden="1">
      <c r="A399">
        <f>'Production Plan'!B387</f>
        <v/>
      </c>
      <c r="B399" s="3">
        <f>VLOOKUP(A399,'Production Plan'!B:Q,14,FALSE)</f>
        <v/>
      </c>
    </row>
    <row r="400" hidden="1">
      <c r="A400">
        <f>'Production Plan'!B388</f>
        <v/>
      </c>
      <c r="B400" s="3">
        <f>VLOOKUP(A400,'Production Plan'!B:Q,14,FALSE)</f>
        <v/>
      </c>
    </row>
    <row r="401" hidden="1">
      <c r="A401">
        <f>'Production Plan'!B389</f>
        <v/>
      </c>
      <c r="B401" s="3">
        <f>VLOOKUP(A401,'Production Plan'!B:Q,14,FALSE)</f>
        <v/>
      </c>
    </row>
    <row r="402" hidden="1">
      <c r="A402">
        <f>'Production Plan'!B390</f>
        <v/>
      </c>
      <c r="B402" s="3">
        <f>VLOOKUP(A402,'Production Plan'!B:Q,14,FALSE)</f>
        <v/>
      </c>
    </row>
    <row r="403" hidden="1">
      <c r="A403">
        <f>'Production Plan'!B391</f>
        <v/>
      </c>
      <c r="B403" s="3">
        <f>VLOOKUP(A403,'Production Plan'!B:Q,14,FALSE)</f>
        <v/>
      </c>
    </row>
    <row r="404" hidden="1">
      <c r="A404">
        <f>'Production Plan'!B392</f>
        <v/>
      </c>
      <c r="B404" s="3">
        <f>VLOOKUP(A404,'Production Plan'!B:Q,14,FALSE)</f>
        <v/>
      </c>
    </row>
    <row r="405" hidden="1">
      <c r="A405">
        <f>'Production Plan'!B393</f>
        <v/>
      </c>
      <c r="B405" s="3">
        <f>VLOOKUP(A405,'Production Plan'!B:Q,14,FALSE)</f>
        <v/>
      </c>
    </row>
    <row r="406" hidden="1">
      <c r="A406">
        <f>'Production Plan'!B394</f>
        <v/>
      </c>
      <c r="B406" s="3">
        <f>VLOOKUP(A406,'Production Plan'!B:Q,14,FALSE)</f>
        <v/>
      </c>
    </row>
    <row r="407" hidden="1">
      <c r="A407">
        <f>'Production Plan'!B395</f>
        <v/>
      </c>
      <c r="B407" s="3">
        <f>VLOOKUP(A407,'Production Plan'!B:Q,14,FALSE)</f>
        <v/>
      </c>
    </row>
    <row r="408" hidden="1">
      <c r="A408">
        <f>'Production Plan'!B396</f>
        <v/>
      </c>
      <c r="B408" s="3">
        <f>VLOOKUP(A408,'Production Plan'!B:Q,14,FALSE)</f>
        <v/>
      </c>
    </row>
    <row r="409" hidden="1">
      <c r="A409">
        <f>'Production Plan'!B397</f>
        <v/>
      </c>
      <c r="B409" s="3">
        <f>VLOOKUP(A409,'Production Plan'!B:Q,14,FALSE)</f>
        <v/>
      </c>
    </row>
    <row r="410" hidden="1">
      <c r="A410">
        <f>'Production Plan'!B398</f>
        <v/>
      </c>
      <c r="B410" s="3">
        <f>VLOOKUP(A410,'Production Plan'!B:Q,14,FALSE)</f>
        <v/>
      </c>
    </row>
    <row r="411" hidden="1">
      <c r="A411">
        <f>'Production Plan'!B399</f>
        <v/>
      </c>
      <c r="B411" s="3">
        <f>VLOOKUP(A411,'Production Plan'!B:Q,14,FALSE)</f>
        <v/>
      </c>
    </row>
    <row r="412" hidden="1">
      <c r="A412">
        <f>'Production Plan'!B400</f>
        <v/>
      </c>
      <c r="B412" s="3">
        <f>VLOOKUP(A412,'Production Plan'!B:Q,14,FALSE)</f>
        <v/>
      </c>
    </row>
    <row r="413" hidden="1">
      <c r="A413">
        <f>'Production Plan'!B401</f>
        <v/>
      </c>
      <c r="B413" s="3">
        <f>VLOOKUP(A413,'Production Plan'!B:Q,14,FALSE)</f>
        <v/>
      </c>
    </row>
    <row r="414" hidden="1">
      <c r="A414">
        <f>'Production Plan'!B402</f>
        <v/>
      </c>
      <c r="B414" s="3">
        <f>VLOOKUP(A414,'Production Plan'!B:Q,14,FALSE)</f>
        <v/>
      </c>
    </row>
    <row r="415" hidden="1">
      <c r="A415">
        <f>'Production Plan'!B403</f>
        <v/>
      </c>
      <c r="B415" s="3">
        <f>VLOOKUP(A415,'Production Plan'!B:Q,14,FALSE)</f>
        <v/>
      </c>
    </row>
    <row r="416" hidden="1">
      <c r="A416">
        <f>'Production Plan'!B404</f>
        <v/>
      </c>
      <c r="B416" s="3">
        <f>VLOOKUP(A416,'Production Plan'!B:Q,14,FALSE)</f>
        <v/>
      </c>
    </row>
    <row r="417" hidden="1">
      <c r="A417">
        <f>'Production Plan'!B405</f>
        <v/>
      </c>
      <c r="B417" s="3">
        <f>VLOOKUP(A417,'Production Plan'!B:Q,14,FALSE)</f>
        <v/>
      </c>
    </row>
    <row r="418" hidden="1">
      <c r="A418">
        <f>'Production Plan'!B406</f>
        <v/>
      </c>
      <c r="B418" s="3">
        <f>VLOOKUP(A418,'Production Plan'!B:Q,14,FALSE)</f>
        <v/>
      </c>
    </row>
    <row r="419" hidden="1">
      <c r="A419">
        <f>'Production Plan'!B407</f>
        <v/>
      </c>
      <c r="B419" s="3">
        <f>VLOOKUP(A419,'Production Plan'!B:Q,14,FALSE)</f>
        <v/>
      </c>
    </row>
    <row r="420" hidden="1">
      <c r="A420">
        <f>'Production Plan'!B408</f>
        <v/>
      </c>
      <c r="B420" s="3">
        <f>VLOOKUP(A420,'Production Plan'!B:Q,14,FALSE)</f>
        <v/>
      </c>
    </row>
    <row r="421" hidden="1">
      <c r="A421">
        <f>'Production Plan'!B409</f>
        <v/>
      </c>
      <c r="B421" s="3">
        <f>VLOOKUP(A421,'Production Plan'!B:Q,14,FALSE)</f>
        <v/>
      </c>
    </row>
    <row r="422" hidden="1">
      <c r="A422">
        <f>'Production Plan'!B410</f>
        <v/>
      </c>
      <c r="B422" s="3">
        <f>VLOOKUP(A422,'Production Plan'!B:Q,14,FALSE)</f>
        <v/>
      </c>
    </row>
    <row r="423" hidden="1">
      <c r="A423">
        <f>'Production Plan'!B411</f>
        <v/>
      </c>
      <c r="B423" s="3">
        <f>VLOOKUP(A423,'Production Plan'!B:Q,14,FALSE)</f>
        <v/>
      </c>
    </row>
    <row r="424" hidden="1">
      <c r="A424">
        <f>'Production Plan'!B412</f>
        <v/>
      </c>
      <c r="B424" s="3">
        <f>VLOOKUP(A424,'Production Plan'!B:Q,14,FALSE)</f>
        <v/>
      </c>
    </row>
    <row r="425" hidden="1">
      <c r="A425">
        <f>'Production Plan'!B413</f>
        <v/>
      </c>
      <c r="B425" s="3">
        <f>VLOOKUP(A425,'Production Plan'!B:Q,14,FALSE)</f>
        <v/>
      </c>
    </row>
    <row r="426" hidden="1">
      <c r="A426">
        <f>'Production Plan'!B414</f>
        <v/>
      </c>
      <c r="B426" s="3">
        <f>VLOOKUP(A426,'Production Plan'!B:Q,14,FALSE)</f>
        <v/>
      </c>
    </row>
    <row r="427" hidden="1">
      <c r="A427">
        <f>'Production Plan'!B415</f>
        <v/>
      </c>
      <c r="B427" s="3">
        <f>VLOOKUP(A427,'Production Plan'!B:Q,14,FALSE)</f>
        <v/>
      </c>
    </row>
    <row r="428" hidden="1">
      <c r="A428">
        <f>'Production Plan'!B416</f>
        <v/>
      </c>
      <c r="B428" s="3">
        <f>VLOOKUP(A428,'Production Plan'!B:Q,14,FALSE)</f>
        <v/>
      </c>
    </row>
    <row r="429" hidden="1">
      <c r="A429">
        <f>'Production Plan'!B417</f>
        <v/>
      </c>
      <c r="B429" s="3">
        <f>VLOOKUP(A429,'Production Plan'!B:Q,14,FALSE)</f>
        <v/>
      </c>
    </row>
    <row r="430" hidden="1">
      <c r="A430">
        <f>'Production Plan'!B418</f>
        <v/>
      </c>
      <c r="B430" s="3">
        <f>VLOOKUP(A430,'Production Plan'!B:Q,14,FALSE)</f>
        <v/>
      </c>
    </row>
    <row r="431" hidden="1">
      <c r="A431">
        <f>'Production Plan'!B419</f>
        <v/>
      </c>
      <c r="B431" s="3">
        <f>VLOOKUP(A431,'Production Plan'!B:Q,14,FALSE)</f>
        <v/>
      </c>
    </row>
    <row r="432" hidden="1">
      <c r="A432">
        <f>'Production Plan'!B420</f>
        <v/>
      </c>
      <c r="B432" s="3">
        <f>VLOOKUP(A432,'Production Plan'!B:Q,14,FALSE)</f>
        <v/>
      </c>
    </row>
    <row r="433" hidden="1">
      <c r="A433">
        <f>'Production Plan'!B421</f>
        <v/>
      </c>
      <c r="B433" s="3">
        <f>VLOOKUP(A433,'Production Plan'!B:Q,14,FALSE)</f>
        <v/>
      </c>
    </row>
    <row r="434" hidden="1">
      <c r="A434">
        <f>'Production Plan'!B422</f>
        <v/>
      </c>
      <c r="B434" s="3">
        <f>VLOOKUP(A434,'Production Plan'!B:Q,14,FALSE)</f>
        <v/>
      </c>
    </row>
    <row r="435" hidden="1">
      <c r="A435">
        <f>'Production Plan'!B423</f>
        <v/>
      </c>
      <c r="B435" s="3">
        <f>VLOOKUP(A435,'Production Plan'!B:Q,14,FALSE)</f>
        <v/>
      </c>
    </row>
    <row r="436" hidden="1">
      <c r="A436">
        <f>'Production Plan'!B424</f>
        <v/>
      </c>
      <c r="B436" s="3">
        <f>VLOOKUP(A436,'Production Plan'!B:Q,14,FALSE)</f>
        <v/>
      </c>
    </row>
    <row r="437" hidden="1">
      <c r="A437">
        <f>'Production Plan'!B425</f>
        <v/>
      </c>
      <c r="B437" s="3">
        <f>VLOOKUP(A437,'Production Plan'!B:Q,14,FALSE)</f>
        <v/>
      </c>
    </row>
    <row r="438" hidden="1">
      <c r="A438">
        <f>'Production Plan'!B426</f>
        <v/>
      </c>
      <c r="B438" s="3">
        <f>VLOOKUP(A438,'Production Plan'!B:Q,14,FALSE)</f>
        <v/>
      </c>
    </row>
    <row r="439" hidden="1">
      <c r="A439">
        <f>'Production Plan'!B427</f>
        <v/>
      </c>
      <c r="B439" s="3">
        <f>VLOOKUP(A439,'Production Plan'!B:Q,14,FALSE)</f>
        <v/>
      </c>
    </row>
    <row r="440" hidden="1">
      <c r="A440">
        <f>'Production Plan'!B428</f>
        <v/>
      </c>
      <c r="B440" s="3">
        <f>VLOOKUP(A440,'Production Plan'!B:Q,14,FALSE)</f>
        <v/>
      </c>
    </row>
    <row r="441" hidden="1">
      <c r="A441">
        <f>'Production Plan'!B429</f>
        <v/>
      </c>
      <c r="B441" s="3">
        <f>VLOOKUP(A441,'Production Plan'!B:Q,14,FALSE)</f>
        <v/>
      </c>
    </row>
    <row r="442" hidden="1">
      <c r="A442">
        <f>'Production Plan'!B430</f>
        <v/>
      </c>
      <c r="B442" s="3">
        <f>VLOOKUP(A442,'Production Plan'!B:Q,14,FALSE)</f>
        <v/>
      </c>
    </row>
    <row r="443" hidden="1">
      <c r="A443">
        <f>'Production Plan'!B431</f>
        <v/>
      </c>
      <c r="B443" s="3">
        <f>VLOOKUP(A443,'Production Plan'!B:Q,14,FALSE)</f>
        <v/>
      </c>
    </row>
    <row r="444" hidden="1">
      <c r="A444">
        <f>'Production Plan'!B432</f>
        <v/>
      </c>
      <c r="B444" s="3">
        <f>VLOOKUP(A444,'Production Plan'!B:Q,14,FALSE)</f>
        <v/>
      </c>
    </row>
    <row r="445" hidden="1">
      <c r="A445">
        <f>'Production Plan'!B433</f>
        <v/>
      </c>
      <c r="B445" s="3">
        <f>VLOOKUP(A445,'Production Plan'!B:Q,14,FALSE)</f>
        <v/>
      </c>
    </row>
    <row r="446" hidden="1">
      <c r="A446">
        <f>'Production Plan'!B434</f>
        <v/>
      </c>
      <c r="B446" s="3">
        <f>VLOOKUP(A446,'Production Plan'!B:Q,14,FALSE)</f>
        <v/>
      </c>
    </row>
    <row r="447" hidden="1">
      <c r="A447">
        <f>'Production Plan'!B435</f>
        <v/>
      </c>
      <c r="B447" s="3">
        <f>VLOOKUP(A447,'Production Plan'!B:Q,14,FALSE)</f>
        <v/>
      </c>
    </row>
    <row r="448" hidden="1">
      <c r="A448">
        <f>'Production Plan'!B436</f>
        <v/>
      </c>
      <c r="B448" s="3">
        <f>VLOOKUP(A448,'Production Plan'!B:Q,14,FALSE)</f>
        <v/>
      </c>
    </row>
    <row r="449" hidden="1">
      <c r="A449">
        <f>'Production Plan'!B437</f>
        <v/>
      </c>
      <c r="B449" s="3">
        <f>VLOOKUP(A449,'Production Plan'!B:Q,14,FALSE)</f>
        <v/>
      </c>
    </row>
    <row r="450" hidden="1">
      <c r="A450">
        <f>'Production Plan'!B438</f>
        <v/>
      </c>
      <c r="B450" s="3">
        <f>VLOOKUP(A450,'Production Plan'!B:Q,14,FALSE)</f>
        <v/>
      </c>
    </row>
    <row r="451" hidden="1">
      <c r="A451">
        <f>'Production Plan'!B439</f>
        <v/>
      </c>
      <c r="B451" s="3">
        <f>VLOOKUP(A451,'Production Plan'!B:Q,14,FALSE)</f>
        <v/>
      </c>
    </row>
    <row r="452" hidden="1">
      <c r="A452">
        <f>'Production Plan'!B440</f>
        <v/>
      </c>
      <c r="B452" s="3">
        <f>VLOOKUP(A452,'Production Plan'!B:Q,14,FALSE)</f>
        <v/>
      </c>
    </row>
    <row r="453" hidden="1">
      <c r="A453">
        <f>'Production Plan'!B441</f>
        <v/>
      </c>
      <c r="B453" s="3">
        <f>VLOOKUP(A453,'Production Plan'!B:Q,14,FALSE)</f>
        <v/>
      </c>
    </row>
    <row r="454" hidden="1">
      <c r="A454">
        <f>'Production Plan'!B442</f>
        <v/>
      </c>
      <c r="B454" s="3">
        <f>VLOOKUP(A454,'Production Plan'!B:Q,14,FALSE)</f>
        <v/>
      </c>
    </row>
    <row r="455" hidden="1">
      <c r="A455">
        <f>'Production Plan'!B443</f>
        <v/>
      </c>
      <c r="B455" s="3">
        <f>VLOOKUP(A455,'Production Plan'!B:Q,14,FALSE)</f>
        <v/>
      </c>
    </row>
    <row r="456" hidden="1">
      <c r="A456">
        <f>'Production Plan'!B444</f>
        <v/>
      </c>
      <c r="B456" s="3">
        <f>VLOOKUP(A456,'Production Plan'!B:Q,14,FALSE)</f>
        <v/>
      </c>
    </row>
    <row r="457" hidden="1">
      <c r="A457">
        <f>'Production Plan'!B445</f>
        <v/>
      </c>
      <c r="B457" s="3">
        <f>VLOOKUP(A457,'Production Plan'!B:Q,14,FALSE)</f>
        <v/>
      </c>
    </row>
    <row r="458" hidden="1">
      <c r="A458">
        <f>'Production Plan'!B446</f>
        <v/>
      </c>
      <c r="B458" s="3">
        <f>VLOOKUP(A458,'Production Plan'!B:Q,14,FALSE)</f>
        <v/>
      </c>
    </row>
    <row r="459" hidden="1">
      <c r="A459">
        <f>'Production Plan'!B447</f>
        <v/>
      </c>
      <c r="B459" s="3">
        <f>VLOOKUP(A459,'Production Plan'!B:Q,14,FALSE)</f>
        <v/>
      </c>
    </row>
    <row r="460" hidden="1">
      <c r="A460">
        <f>'Production Plan'!B448</f>
        <v/>
      </c>
      <c r="B460" s="3">
        <f>VLOOKUP(A460,'Production Plan'!B:Q,14,FALSE)</f>
        <v/>
      </c>
    </row>
    <row r="461" hidden="1">
      <c r="A461">
        <f>'Production Plan'!B449</f>
        <v/>
      </c>
      <c r="B461" s="3">
        <f>VLOOKUP(A461,'Production Plan'!B:Q,14,FALSE)</f>
        <v/>
      </c>
    </row>
    <row r="462" hidden="1">
      <c r="A462">
        <f>'Production Plan'!B450</f>
        <v/>
      </c>
      <c r="B462" s="3">
        <f>VLOOKUP(A462,'Production Plan'!B:Q,14,FALSE)</f>
        <v/>
      </c>
    </row>
    <row r="463" hidden="1">
      <c r="A463">
        <f>'Production Plan'!B451</f>
        <v/>
      </c>
      <c r="B463" s="3">
        <f>VLOOKUP(A463,'Production Plan'!B:Q,14,FALSE)</f>
        <v/>
      </c>
    </row>
    <row r="464" hidden="1">
      <c r="A464">
        <f>'Production Plan'!B452</f>
        <v/>
      </c>
      <c r="B464" s="3">
        <f>VLOOKUP(A464,'Production Plan'!B:Q,14,FALSE)</f>
        <v/>
      </c>
    </row>
    <row r="465" hidden="1">
      <c r="A465">
        <f>'Production Plan'!B453</f>
        <v/>
      </c>
      <c r="B465" s="3">
        <f>VLOOKUP(A465,'Production Plan'!B:Q,14,FALSE)</f>
        <v/>
      </c>
    </row>
    <row r="466" hidden="1">
      <c r="A466">
        <f>'Production Plan'!B454</f>
        <v/>
      </c>
      <c r="B466" s="3">
        <f>VLOOKUP(A466,'Production Plan'!B:Q,14,FALSE)</f>
        <v/>
      </c>
    </row>
    <row r="467" hidden="1">
      <c r="A467">
        <f>'Production Plan'!B455</f>
        <v/>
      </c>
      <c r="B467" s="3">
        <f>VLOOKUP(A467,'Production Plan'!B:Q,14,FALSE)</f>
        <v/>
      </c>
    </row>
    <row r="468" hidden="1">
      <c r="A468">
        <f>'Production Plan'!B456</f>
        <v/>
      </c>
      <c r="B468" s="3">
        <f>VLOOKUP(A468,'Production Plan'!B:Q,14,FALSE)</f>
        <v/>
      </c>
    </row>
    <row r="469" hidden="1">
      <c r="A469">
        <f>'Production Plan'!B457</f>
        <v/>
      </c>
      <c r="B469" s="3">
        <f>VLOOKUP(A469,'Production Plan'!B:Q,14,FALSE)</f>
        <v/>
      </c>
    </row>
    <row r="470" hidden="1">
      <c r="A470">
        <f>'Production Plan'!B458</f>
        <v/>
      </c>
      <c r="B470" s="3">
        <f>VLOOKUP(A470,'Production Plan'!B:Q,14,FALSE)</f>
        <v/>
      </c>
    </row>
    <row r="471" hidden="1">
      <c r="A471">
        <f>'Production Plan'!B459</f>
        <v/>
      </c>
      <c r="B471" s="3">
        <f>VLOOKUP(A471,'Production Plan'!B:Q,14,FALSE)</f>
        <v/>
      </c>
    </row>
    <row r="472" hidden="1">
      <c r="A472">
        <f>'Production Plan'!B460</f>
        <v/>
      </c>
      <c r="B472" s="3">
        <f>VLOOKUP(A472,'Production Plan'!B:Q,14,FALSE)</f>
        <v/>
      </c>
    </row>
    <row r="473" hidden="1">
      <c r="A473">
        <f>'Production Plan'!B461</f>
        <v/>
      </c>
      <c r="B473" s="3">
        <f>VLOOKUP(A473,'Production Plan'!B:Q,14,FALSE)</f>
        <v/>
      </c>
    </row>
    <row r="474" hidden="1">
      <c r="A474">
        <f>'Production Plan'!B462</f>
        <v/>
      </c>
      <c r="B474" s="3">
        <f>VLOOKUP(A474,'Production Plan'!B:Q,14,FALSE)</f>
        <v/>
      </c>
    </row>
    <row r="475" hidden="1">
      <c r="A475">
        <f>'Production Plan'!B463</f>
        <v/>
      </c>
      <c r="B475" s="3">
        <f>VLOOKUP(A475,'Production Plan'!B:Q,14,FALSE)</f>
        <v/>
      </c>
    </row>
    <row r="476" hidden="1">
      <c r="A476">
        <f>'Production Plan'!B464</f>
        <v/>
      </c>
      <c r="B476" s="3">
        <f>VLOOKUP(A476,'Production Plan'!B:Q,14,FALSE)</f>
        <v/>
      </c>
    </row>
    <row r="477" hidden="1">
      <c r="A477">
        <f>'Production Plan'!B465</f>
        <v/>
      </c>
      <c r="B477" s="3">
        <f>VLOOKUP(A477,'Production Plan'!B:Q,14,FALSE)</f>
        <v/>
      </c>
    </row>
    <row r="478" hidden="1">
      <c r="A478">
        <f>'Production Plan'!B466</f>
        <v/>
      </c>
      <c r="B478" s="3">
        <f>VLOOKUP(A478,'Production Plan'!B:Q,14,FALSE)</f>
        <v/>
      </c>
    </row>
    <row r="479" hidden="1">
      <c r="A479">
        <f>'Production Plan'!B467</f>
        <v/>
      </c>
      <c r="B479" s="3">
        <f>VLOOKUP(A479,'Production Plan'!B:Q,14,FALSE)</f>
        <v/>
      </c>
    </row>
    <row r="480" hidden="1">
      <c r="A480">
        <f>'Production Plan'!B468</f>
        <v/>
      </c>
      <c r="B480" s="3">
        <f>VLOOKUP(A480,'Production Plan'!B:Q,14,FALSE)</f>
        <v/>
      </c>
    </row>
    <row r="481" hidden="1">
      <c r="A481">
        <f>'Production Plan'!B469</f>
        <v/>
      </c>
      <c r="B481" s="3">
        <f>VLOOKUP(A481,'Production Plan'!B:Q,14,FALSE)</f>
        <v/>
      </c>
    </row>
    <row r="482" hidden="1">
      <c r="A482">
        <f>'Production Plan'!B470</f>
        <v/>
      </c>
      <c r="B482" s="3">
        <f>VLOOKUP(A482,'Production Plan'!B:Q,14,FALSE)</f>
        <v/>
      </c>
    </row>
    <row r="483" hidden="1">
      <c r="A483">
        <f>'Production Plan'!B471</f>
        <v/>
      </c>
      <c r="B483" s="3">
        <f>VLOOKUP(A483,'Production Plan'!B:Q,14,FALSE)</f>
        <v/>
      </c>
    </row>
    <row r="484" hidden="1">
      <c r="A484">
        <f>'Production Plan'!B472</f>
        <v/>
      </c>
      <c r="B484" s="3">
        <f>VLOOKUP(A484,'Production Plan'!B:Q,14,FALSE)</f>
        <v/>
      </c>
    </row>
    <row r="485" hidden="1">
      <c r="A485">
        <f>'Production Plan'!B473</f>
        <v/>
      </c>
      <c r="B485" s="3">
        <f>VLOOKUP(A485,'Production Plan'!B:Q,14,FALSE)</f>
        <v/>
      </c>
    </row>
    <row r="486" hidden="1">
      <c r="A486">
        <f>'Production Plan'!B474</f>
        <v/>
      </c>
      <c r="B486" s="3">
        <f>VLOOKUP(A486,'Production Plan'!B:Q,14,FALSE)</f>
        <v/>
      </c>
    </row>
    <row r="487" hidden="1">
      <c r="A487">
        <f>'Production Plan'!B475</f>
        <v/>
      </c>
      <c r="B487" s="3">
        <f>VLOOKUP(A487,'Production Plan'!B:Q,14,FALSE)</f>
        <v/>
      </c>
    </row>
    <row r="488" hidden="1">
      <c r="A488">
        <f>'Production Plan'!B476</f>
        <v/>
      </c>
      <c r="B488" s="3">
        <f>VLOOKUP(A488,'Production Plan'!B:Q,14,FALSE)</f>
        <v/>
      </c>
    </row>
    <row r="489" hidden="1">
      <c r="A489">
        <f>'Production Plan'!B477</f>
        <v/>
      </c>
      <c r="B489" s="3">
        <f>VLOOKUP(A489,'Production Plan'!B:Q,14,FALSE)</f>
        <v/>
      </c>
    </row>
    <row r="490" hidden="1">
      <c r="A490">
        <f>'Production Plan'!B478</f>
        <v/>
      </c>
      <c r="B490" s="3">
        <f>VLOOKUP(A490,'Production Plan'!B:Q,14,FALSE)</f>
        <v/>
      </c>
    </row>
    <row r="491" hidden="1">
      <c r="A491">
        <f>'Production Plan'!B479</f>
        <v/>
      </c>
      <c r="B491" s="3">
        <f>VLOOKUP(A491,'Production Plan'!B:Q,14,FALSE)</f>
        <v/>
      </c>
    </row>
    <row r="492" hidden="1">
      <c r="A492">
        <f>'Production Plan'!B480</f>
        <v/>
      </c>
      <c r="B492" s="3">
        <f>VLOOKUP(A492,'Production Plan'!B:Q,14,FALSE)</f>
        <v/>
      </c>
    </row>
    <row r="493" hidden="1">
      <c r="A493">
        <f>'Production Plan'!B481</f>
        <v/>
      </c>
      <c r="B493" s="3">
        <f>VLOOKUP(A493,'Production Plan'!B:Q,14,FALSE)</f>
        <v/>
      </c>
    </row>
    <row r="494" hidden="1">
      <c r="A494">
        <f>'Production Plan'!B482</f>
        <v/>
      </c>
      <c r="B494" s="3">
        <f>VLOOKUP(A494,'Production Plan'!B:Q,14,FALSE)</f>
        <v/>
      </c>
    </row>
    <row r="495" hidden="1">
      <c r="A495">
        <f>'Production Plan'!B483</f>
        <v/>
      </c>
      <c r="B495" s="3">
        <f>VLOOKUP(A495,'Production Plan'!B:Q,14,FALSE)</f>
        <v/>
      </c>
    </row>
    <row r="496" hidden="1">
      <c r="A496">
        <f>'Production Plan'!B484</f>
        <v/>
      </c>
      <c r="B496" s="3">
        <f>VLOOKUP(A496,'Production Plan'!B:Q,14,FALSE)</f>
        <v/>
      </c>
    </row>
    <row r="497" hidden="1">
      <c r="A497">
        <f>'Production Plan'!B485</f>
        <v/>
      </c>
      <c r="B497" s="3">
        <f>VLOOKUP(A497,'Production Plan'!B:Q,14,FALSE)</f>
        <v/>
      </c>
    </row>
    <row r="498" hidden="1">
      <c r="A498">
        <f>'Production Plan'!B486</f>
        <v/>
      </c>
      <c r="B498" s="3">
        <f>VLOOKUP(A498,'Production Plan'!B:Q,14,FALSE)</f>
        <v/>
      </c>
    </row>
    <row r="499" hidden="1">
      <c r="A499">
        <f>'Production Plan'!B487</f>
        <v/>
      </c>
      <c r="B499" s="3">
        <f>VLOOKUP(A499,'Production Plan'!B:Q,14,FALSE)</f>
        <v/>
      </c>
    </row>
    <row r="500" hidden="1">
      <c r="A500">
        <f>'Production Plan'!B488</f>
        <v/>
      </c>
      <c r="B500" s="3">
        <f>VLOOKUP(A500,'Production Plan'!B:Q,14,FALSE)</f>
        <v/>
      </c>
    </row>
    <row r="501" hidden="1">
      <c r="A501">
        <f>'Production Plan'!B489</f>
        <v/>
      </c>
      <c r="B501" s="3">
        <f>VLOOKUP(A501,'Production Plan'!B:Q,14,FALSE)</f>
        <v/>
      </c>
    </row>
    <row r="502" hidden="1">
      <c r="A502">
        <f>'Production Plan'!B490</f>
        <v/>
      </c>
      <c r="B502" s="3">
        <f>VLOOKUP(A502,'Production Plan'!B:Q,14,FALSE)</f>
        <v/>
      </c>
    </row>
    <row r="503" hidden="1">
      <c r="A503">
        <f>'Production Plan'!B491</f>
        <v/>
      </c>
      <c r="B503" s="3">
        <f>VLOOKUP(A503,'Production Plan'!B:Q,14,FALSE)</f>
        <v/>
      </c>
    </row>
    <row r="504" hidden="1">
      <c r="A504">
        <f>'Production Plan'!B492</f>
        <v/>
      </c>
      <c r="B504" s="3">
        <f>VLOOKUP(A504,'Production Plan'!B:Q,14,FALSE)</f>
        <v/>
      </c>
    </row>
    <row r="505" hidden="1">
      <c r="A505">
        <f>'Production Plan'!B493</f>
        <v/>
      </c>
      <c r="B505" s="3">
        <f>VLOOKUP(A505,'Production Plan'!B:Q,14,FALSE)</f>
        <v/>
      </c>
    </row>
    <row r="506" hidden="1">
      <c r="A506">
        <f>'Production Plan'!B494</f>
        <v/>
      </c>
      <c r="B506" s="3">
        <f>VLOOKUP(A506,'Production Plan'!B:Q,14,FALSE)</f>
        <v/>
      </c>
    </row>
    <row r="507" hidden="1">
      <c r="A507">
        <f>'Production Plan'!B495</f>
        <v/>
      </c>
      <c r="B507" s="3">
        <f>VLOOKUP(A507,'Production Plan'!B:Q,14,FALSE)</f>
        <v/>
      </c>
    </row>
    <row r="508" hidden="1">
      <c r="A508">
        <f>'Production Plan'!B496</f>
        <v/>
      </c>
      <c r="B508" s="3">
        <f>VLOOKUP(A508,'Production Plan'!B:Q,14,FALSE)</f>
        <v/>
      </c>
    </row>
    <row r="509" hidden="1">
      <c r="A509">
        <f>'Production Plan'!B497</f>
        <v/>
      </c>
      <c r="B509" s="3">
        <f>VLOOKUP(A509,'Production Plan'!B:Q,14,FALSE)</f>
        <v/>
      </c>
    </row>
    <row r="510" hidden="1">
      <c r="A510">
        <f>'Production Plan'!B498</f>
        <v/>
      </c>
      <c r="B510" s="3">
        <f>VLOOKUP(A510,'Production Plan'!B:Q,14,FALSE)</f>
        <v/>
      </c>
    </row>
    <row r="511" hidden="1">
      <c r="A511">
        <f>'Production Plan'!B499</f>
        <v/>
      </c>
      <c r="B511" s="3">
        <f>VLOOKUP(A511,'Production Plan'!B:Q,14,FALSE)</f>
        <v/>
      </c>
    </row>
    <row r="512" hidden="1">
      <c r="A512">
        <f>'Production Plan'!B500</f>
        <v/>
      </c>
      <c r="B512" s="3">
        <f>VLOOKUP(A512,'Production Plan'!B:Q,14,FALSE)</f>
        <v/>
      </c>
    </row>
    <row r="513" hidden="1">
      <c r="A513">
        <f>'Production Plan'!B501</f>
        <v/>
      </c>
      <c r="B513" s="3">
        <f>VLOOKUP(A513,'Production Plan'!B:Q,14,FALSE)</f>
        <v/>
      </c>
    </row>
    <row r="514" hidden="1">
      <c r="A514">
        <f>'Production Plan'!B502</f>
        <v/>
      </c>
      <c r="B514" s="3">
        <f>VLOOKUP(A514,'Production Plan'!B:Q,14,FALSE)</f>
        <v/>
      </c>
    </row>
    <row r="515" hidden="1">
      <c r="A515">
        <f>'Production Plan'!B503</f>
        <v/>
      </c>
      <c r="B515" s="3">
        <f>VLOOKUP(A515,'Production Plan'!B:Q,14,FALSE)</f>
        <v/>
      </c>
    </row>
    <row r="516" hidden="1">
      <c r="A516">
        <f>'Production Plan'!B504</f>
        <v/>
      </c>
      <c r="B516" s="3">
        <f>VLOOKUP(A516,'Production Plan'!B:Q,14,FALSE)</f>
        <v/>
      </c>
    </row>
    <row r="517" hidden="1">
      <c r="A517">
        <f>'Production Plan'!B505</f>
        <v/>
      </c>
      <c r="B517" s="3">
        <f>VLOOKUP(A517,'Production Plan'!B:Q,14,FALSE)</f>
        <v/>
      </c>
    </row>
    <row r="518" hidden="1">
      <c r="A518">
        <f>'Production Plan'!B506</f>
        <v/>
      </c>
      <c r="B518" s="3">
        <f>VLOOKUP(A518,'Production Plan'!B:Q,14,FALSE)</f>
        <v/>
      </c>
    </row>
    <row r="519" hidden="1">
      <c r="A519">
        <f>'Production Plan'!B507</f>
        <v/>
      </c>
      <c r="B519" s="3">
        <f>VLOOKUP(A519,'Production Plan'!B:Q,14,FALSE)</f>
        <v/>
      </c>
    </row>
    <row r="520" hidden="1">
      <c r="A520">
        <f>'Production Plan'!B508</f>
        <v/>
      </c>
      <c r="B520" s="3">
        <f>VLOOKUP(A520,'Production Plan'!B:Q,14,FALSE)</f>
        <v/>
      </c>
    </row>
    <row r="521" hidden="1">
      <c r="A521">
        <f>'Production Plan'!B509</f>
        <v/>
      </c>
      <c r="B521" s="3">
        <f>VLOOKUP(A521,'Production Plan'!B:Q,14,FALSE)</f>
        <v/>
      </c>
    </row>
    <row r="522" hidden="1">
      <c r="A522">
        <f>'Production Plan'!B510</f>
        <v/>
      </c>
      <c r="B522" s="3">
        <f>VLOOKUP(A522,'Production Plan'!B:Q,14,FALSE)</f>
        <v/>
      </c>
    </row>
    <row r="523" hidden="1">
      <c r="A523">
        <f>'Production Plan'!B511</f>
        <v/>
      </c>
      <c r="B523" s="3">
        <f>VLOOKUP(A523,'Production Plan'!B:Q,14,FALSE)</f>
        <v/>
      </c>
    </row>
    <row r="524" hidden="1">
      <c r="A524">
        <f>'Production Plan'!B512</f>
        <v/>
      </c>
      <c r="B524" s="3">
        <f>VLOOKUP(A524,'Production Plan'!B:Q,14,FALSE)</f>
        <v/>
      </c>
    </row>
    <row r="525" hidden="1">
      <c r="A525">
        <f>'Production Plan'!B513</f>
        <v/>
      </c>
      <c r="B525" s="3">
        <f>VLOOKUP(A525,'Production Plan'!B:Q,14,FALSE)</f>
        <v/>
      </c>
    </row>
    <row r="526" hidden="1">
      <c r="A526">
        <f>'Production Plan'!B514</f>
        <v/>
      </c>
      <c r="B526" s="3">
        <f>VLOOKUP(A526,'Production Plan'!B:Q,14,FALSE)</f>
        <v/>
      </c>
    </row>
    <row r="527" hidden="1">
      <c r="A527">
        <f>'Production Plan'!B515</f>
        <v/>
      </c>
      <c r="B527" s="3">
        <f>VLOOKUP(A527,'Production Plan'!B:Q,14,FALSE)</f>
        <v/>
      </c>
    </row>
    <row r="528" hidden="1">
      <c r="A528">
        <f>'Production Plan'!B516</f>
        <v/>
      </c>
      <c r="B528" s="3">
        <f>VLOOKUP(A528,'Production Plan'!B:Q,14,FALSE)</f>
        <v/>
      </c>
    </row>
    <row r="529" hidden="1">
      <c r="A529">
        <f>'Production Plan'!B517</f>
        <v/>
      </c>
      <c r="B529" s="3">
        <f>VLOOKUP(A529,'Production Plan'!B:Q,14,FALSE)</f>
        <v/>
      </c>
    </row>
    <row r="530" hidden="1">
      <c r="A530">
        <f>'Production Plan'!B518</f>
        <v/>
      </c>
      <c r="B530" s="3">
        <f>VLOOKUP(A530,'Production Plan'!B:Q,14,FALSE)</f>
        <v/>
      </c>
    </row>
    <row r="531" hidden="1">
      <c r="A531">
        <f>'Production Plan'!B519</f>
        <v/>
      </c>
      <c r="B531" s="3">
        <f>VLOOKUP(A531,'Production Plan'!B:Q,14,FALSE)</f>
        <v/>
      </c>
    </row>
    <row r="532" hidden="1">
      <c r="A532">
        <f>'Production Plan'!B520</f>
        <v/>
      </c>
      <c r="B532" s="3">
        <f>VLOOKUP(A532,'Production Plan'!B:Q,14,FALSE)</f>
        <v/>
      </c>
    </row>
    <row r="533" hidden="1">
      <c r="A533">
        <f>'Production Plan'!B521</f>
        <v/>
      </c>
      <c r="B533" s="3">
        <f>VLOOKUP(A533,'Production Plan'!B:Q,14,FALSE)</f>
        <v/>
      </c>
    </row>
    <row r="534" hidden="1">
      <c r="A534">
        <f>'Production Plan'!B522</f>
        <v/>
      </c>
      <c r="B534" s="3">
        <f>VLOOKUP(A534,'Production Plan'!B:Q,14,FALSE)</f>
        <v/>
      </c>
    </row>
    <row r="535" hidden="1">
      <c r="A535">
        <f>'Production Plan'!B523</f>
        <v/>
      </c>
      <c r="B535" s="3">
        <f>VLOOKUP(A535,'Production Plan'!B:Q,14,FALSE)</f>
        <v/>
      </c>
    </row>
    <row r="536" hidden="1">
      <c r="A536">
        <f>'Production Plan'!B524</f>
        <v/>
      </c>
      <c r="B536" s="3">
        <f>VLOOKUP(A536,'Production Plan'!B:Q,14,FALSE)</f>
        <v/>
      </c>
    </row>
    <row r="537" hidden="1">
      <c r="A537">
        <f>'Production Plan'!B525</f>
        <v/>
      </c>
      <c r="B537" s="3">
        <f>VLOOKUP(A537,'Production Plan'!B:Q,14,FALSE)</f>
        <v/>
      </c>
    </row>
    <row r="538" hidden="1">
      <c r="A538">
        <f>'Production Plan'!B526</f>
        <v/>
      </c>
      <c r="B538" s="3">
        <f>VLOOKUP(A538,'Production Plan'!B:Q,14,FALSE)</f>
        <v/>
      </c>
    </row>
    <row r="539" hidden="1">
      <c r="A539">
        <f>'Production Plan'!B527</f>
        <v/>
      </c>
      <c r="B539" s="3">
        <f>VLOOKUP(A539,'Production Plan'!B:Q,14,FALSE)</f>
        <v/>
      </c>
    </row>
    <row r="540" hidden="1">
      <c r="A540">
        <f>'Production Plan'!B528</f>
        <v/>
      </c>
      <c r="B540" s="3">
        <f>VLOOKUP(A540,'Production Plan'!B:Q,14,FALSE)</f>
        <v/>
      </c>
    </row>
    <row r="541" hidden="1">
      <c r="A541">
        <f>'Production Plan'!B529</f>
        <v/>
      </c>
      <c r="B541" s="3">
        <f>VLOOKUP(A541,'Production Plan'!B:Q,14,FALSE)</f>
        <v/>
      </c>
    </row>
    <row r="542" hidden="1">
      <c r="A542">
        <f>'Production Plan'!B530</f>
        <v/>
      </c>
      <c r="B542" s="3">
        <f>VLOOKUP(A542,'Production Plan'!B:Q,14,FALSE)</f>
        <v/>
      </c>
    </row>
    <row r="543" hidden="1">
      <c r="A543">
        <f>'Production Plan'!B531</f>
        <v/>
      </c>
      <c r="B543" s="3">
        <f>VLOOKUP(A543,'Production Plan'!B:Q,14,FALSE)</f>
        <v/>
      </c>
    </row>
    <row r="544" hidden="1">
      <c r="A544">
        <f>'Production Plan'!B532</f>
        <v/>
      </c>
      <c r="B544" s="3">
        <f>VLOOKUP(A544,'Production Plan'!B:Q,14,FALSE)</f>
        <v/>
      </c>
    </row>
    <row r="545" hidden="1">
      <c r="A545">
        <f>'Production Plan'!B533</f>
        <v/>
      </c>
      <c r="B545" s="3">
        <f>VLOOKUP(A545,'Production Plan'!B:Q,14,FALSE)</f>
        <v/>
      </c>
    </row>
    <row r="546" hidden="1">
      <c r="A546">
        <f>'Production Plan'!B534</f>
        <v/>
      </c>
      <c r="B546" s="3">
        <f>VLOOKUP(A546,'Production Plan'!B:Q,14,FALSE)</f>
        <v/>
      </c>
    </row>
    <row r="547" hidden="1">
      <c r="A547">
        <f>'Production Plan'!B535</f>
        <v/>
      </c>
      <c r="B547" s="3">
        <f>VLOOKUP(A547,'Production Plan'!B:Q,14,FALSE)</f>
        <v/>
      </c>
    </row>
    <row r="548" hidden="1">
      <c r="A548">
        <f>'Production Plan'!B536</f>
        <v/>
      </c>
      <c r="B548" s="3">
        <f>VLOOKUP(A548,'Production Plan'!B:Q,14,FALSE)</f>
        <v/>
      </c>
    </row>
    <row r="549" hidden="1">
      <c r="A549">
        <f>'Production Plan'!B537</f>
        <v/>
      </c>
      <c r="B549" s="3">
        <f>VLOOKUP(A549,'Production Plan'!B:Q,14,FALSE)</f>
        <v/>
      </c>
    </row>
    <row r="550" hidden="1">
      <c r="A550">
        <f>'Production Plan'!B538</f>
        <v/>
      </c>
      <c r="B550" s="3">
        <f>VLOOKUP(A550,'Production Plan'!B:Q,14,FALSE)</f>
        <v/>
      </c>
    </row>
    <row r="551" hidden="1">
      <c r="A551">
        <f>'Production Plan'!B539</f>
        <v/>
      </c>
      <c r="B551" s="3">
        <f>VLOOKUP(A551,'Production Plan'!B:Q,14,FALSE)</f>
        <v/>
      </c>
    </row>
    <row r="552" hidden="1">
      <c r="A552">
        <f>'Production Plan'!B540</f>
        <v/>
      </c>
      <c r="B552" s="3">
        <f>VLOOKUP(A552,'Production Plan'!B:Q,14,FALSE)</f>
        <v/>
      </c>
    </row>
    <row r="553" hidden="1">
      <c r="A553">
        <f>'Production Plan'!B541</f>
        <v/>
      </c>
      <c r="B553" s="3">
        <f>VLOOKUP(A553,'Production Plan'!B:Q,14,FALSE)</f>
        <v/>
      </c>
    </row>
    <row r="554" hidden="1">
      <c r="A554">
        <f>'Production Plan'!B542</f>
        <v/>
      </c>
      <c r="B554" s="3">
        <f>VLOOKUP(A554,'Production Plan'!B:Q,14,FALSE)</f>
        <v/>
      </c>
    </row>
    <row r="555" hidden="1">
      <c r="A555">
        <f>'Production Plan'!B543</f>
        <v/>
      </c>
      <c r="B555" s="3">
        <f>VLOOKUP(A555,'Production Plan'!B:Q,14,FALSE)</f>
        <v/>
      </c>
    </row>
    <row r="556" hidden="1">
      <c r="A556">
        <f>'Production Plan'!B544</f>
        <v/>
      </c>
      <c r="B556" s="3">
        <f>VLOOKUP(A556,'Production Plan'!B:Q,14,FALSE)</f>
        <v/>
      </c>
    </row>
    <row r="557" hidden="1">
      <c r="A557">
        <f>'Production Plan'!B545</f>
        <v/>
      </c>
      <c r="B557" s="3">
        <f>VLOOKUP(A557,'Production Plan'!B:Q,14,FALSE)</f>
        <v/>
      </c>
    </row>
    <row r="558" hidden="1">
      <c r="A558">
        <f>'Production Plan'!B546</f>
        <v/>
      </c>
      <c r="B558" s="3">
        <f>VLOOKUP(A558,'Production Plan'!B:Q,14,FALSE)</f>
        <v/>
      </c>
    </row>
    <row r="559" hidden="1">
      <c r="A559">
        <f>'Production Plan'!B547</f>
        <v/>
      </c>
      <c r="B559" s="3">
        <f>VLOOKUP(A559,'Production Plan'!B:Q,14,FALSE)</f>
        <v/>
      </c>
    </row>
    <row r="560" hidden="1">
      <c r="A560">
        <f>'Production Plan'!B548</f>
        <v/>
      </c>
      <c r="B560" s="3">
        <f>VLOOKUP(A560,'Production Plan'!B:Q,14,FALSE)</f>
        <v/>
      </c>
    </row>
    <row r="561" hidden="1">
      <c r="A561">
        <f>'Production Plan'!B549</f>
        <v/>
      </c>
      <c r="B561" s="3">
        <f>VLOOKUP(A561,'Production Plan'!B:Q,14,FALSE)</f>
        <v/>
      </c>
    </row>
    <row r="562" hidden="1">
      <c r="A562">
        <f>'Production Plan'!B550</f>
        <v/>
      </c>
      <c r="B562" s="3">
        <f>VLOOKUP(A562,'Production Plan'!B:Q,14,FALSE)</f>
        <v/>
      </c>
    </row>
    <row r="563" hidden="1">
      <c r="A563">
        <f>'Production Plan'!B551</f>
        <v/>
      </c>
      <c r="B563" s="3">
        <f>VLOOKUP(A563,'Production Plan'!B:Q,14,FALSE)</f>
        <v/>
      </c>
    </row>
    <row r="564" hidden="1">
      <c r="A564">
        <f>'Production Plan'!B552</f>
        <v/>
      </c>
      <c r="B564" s="3">
        <f>VLOOKUP(A564,'Production Plan'!B:Q,14,FALSE)</f>
        <v/>
      </c>
    </row>
    <row r="565" hidden="1">
      <c r="A565">
        <f>'Production Plan'!B553</f>
        <v/>
      </c>
      <c r="B565" s="3">
        <f>VLOOKUP(A565,'Production Plan'!B:Q,14,FALSE)</f>
        <v/>
      </c>
    </row>
    <row r="566" hidden="1">
      <c r="A566">
        <f>'Production Plan'!B554</f>
        <v/>
      </c>
      <c r="B566" s="3">
        <f>VLOOKUP(A566,'Production Plan'!B:Q,14,FALSE)</f>
        <v/>
      </c>
    </row>
    <row r="567" hidden="1">
      <c r="A567">
        <f>'Production Plan'!B555</f>
        <v/>
      </c>
      <c r="B567" s="3">
        <f>VLOOKUP(A567,'Production Plan'!B:Q,14,FALSE)</f>
        <v/>
      </c>
    </row>
    <row r="568" hidden="1">
      <c r="A568">
        <f>'Production Plan'!B556</f>
        <v/>
      </c>
      <c r="B568" s="3">
        <f>VLOOKUP(A568,'Production Plan'!B:Q,14,FALSE)</f>
        <v/>
      </c>
    </row>
    <row r="569" hidden="1">
      <c r="A569">
        <f>'Production Plan'!B557</f>
        <v/>
      </c>
      <c r="B569" s="3">
        <f>VLOOKUP(A569,'Production Plan'!B:Q,14,FALSE)</f>
        <v/>
      </c>
    </row>
    <row r="570" hidden="1">
      <c r="A570">
        <f>'Production Plan'!B558</f>
        <v/>
      </c>
      <c r="B570" s="3">
        <f>VLOOKUP(A570,'Production Plan'!B:Q,14,FALSE)</f>
        <v/>
      </c>
    </row>
    <row r="571" hidden="1">
      <c r="A571">
        <f>'Production Plan'!B559</f>
        <v/>
      </c>
      <c r="B571" s="3">
        <f>VLOOKUP(A571,'Production Plan'!B:Q,14,FALSE)</f>
        <v/>
      </c>
    </row>
    <row r="572" hidden="1">
      <c r="A572">
        <f>'Production Plan'!B560</f>
        <v/>
      </c>
      <c r="B572" s="3">
        <f>VLOOKUP(A572,'Production Plan'!B:Q,14,FALSE)</f>
        <v/>
      </c>
    </row>
    <row r="573" hidden="1">
      <c r="A573">
        <f>'Production Plan'!B561</f>
        <v/>
      </c>
      <c r="B573" s="3">
        <f>VLOOKUP(A573,'Production Plan'!B:Q,14,FALSE)</f>
        <v/>
      </c>
    </row>
    <row r="574" hidden="1">
      <c r="A574">
        <f>'Production Plan'!B562</f>
        <v/>
      </c>
      <c r="B574" s="3">
        <f>VLOOKUP(A574,'Production Plan'!B:Q,14,FALSE)</f>
        <v/>
      </c>
    </row>
    <row r="575" hidden="1">
      <c r="A575">
        <f>'Production Plan'!B563</f>
        <v/>
      </c>
      <c r="B575" s="3">
        <f>VLOOKUP(A575,'Production Plan'!B:Q,14,FALSE)</f>
        <v/>
      </c>
    </row>
    <row r="576" hidden="1">
      <c r="A576">
        <f>'Production Plan'!B564</f>
        <v/>
      </c>
      <c r="B576" s="3">
        <f>VLOOKUP(A576,'Production Plan'!B:Q,14,FALSE)</f>
        <v/>
      </c>
    </row>
    <row r="577" hidden="1">
      <c r="A577">
        <f>'Production Plan'!B565</f>
        <v/>
      </c>
      <c r="B577" s="3">
        <f>VLOOKUP(A577,'Production Plan'!B:Q,14,FALSE)</f>
        <v/>
      </c>
    </row>
    <row r="578" hidden="1">
      <c r="A578">
        <f>'Production Plan'!B566</f>
        <v/>
      </c>
      <c r="B578" s="3">
        <f>VLOOKUP(A578,'Production Plan'!B:Q,14,FALSE)</f>
        <v/>
      </c>
    </row>
    <row r="579" hidden="1">
      <c r="A579">
        <f>'Production Plan'!B567</f>
        <v/>
      </c>
      <c r="B579" s="3">
        <f>VLOOKUP(A579,'Production Plan'!B:Q,14,FALSE)</f>
        <v/>
      </c>
    </row>
    <row r="580" hidden="1">
      <c r="A580">
        <f>'Production Plan'!B568</f>
        <v/>
      </c>
      <c r="B580" s="3">
        <f>VLOOKUP(A580,'Production Plan'!B:Q,14,FALSE)</f>
        <v/>
      </c>
    </row>
    <row r="581" hidden="1">
      <c r="A581">
        <f>'Production Plan'!B569</f>
        <v/>
      </c>
      <c r="B581" s="3">
        <f>VLOOKUP(A581,'Production Plan'!B:Q,14,FALSE)</f>
        <v/>
      </c>
    </row>
    <row r="582" hidden="1">
      <c r="A582">
        <f>'Production Plan'!B570</f>
        <v/>
      </c>
      <c r="B582" s="3">
        <f>VLOOKUP(A582,'Production Plan'!B:Q,14,FALSE)</f>
        <v/>
      </c>
    </row>
    <row r="583" hidden="1">
      <c r="A583">
        <f>'Production Plan'!B571</f>
        <v/>
      </c>
      <c r="B583" s="3">
        <f>VLOOKUP(A583,'Production Plan'!B:Q,14,FALSE)</f>
        <v/>
      </c>
    </row>
    <row r="584" hidden="1">
      <c r="A584">
        <f>'Production Plan'!B572</f>
        <v/>
      </c>
      <c r="B584" s="3">
        <f>VLOOKUP(A584,'Production Plan'!B:Q,14,FALSE)</f>
        <v/>
      </c>
    </row>
    <row r="585" hidden="1">
      <c r="A585">
        <f>'Production Plan'!B573</f>
        <v/>
      </c>
      <c r="B585" s="3">
        <f>VLOOKUP(A585,'Production Plan'!B:Q,14,FALSE)</f>
        <v/>
      </c>
    </row>
    <row r="586" hidden="1">
      <c r="A586">
        <f>'Production Plan'!B574</f>
        <v/>
      </c>
      <c r="B586" s="3">
        <f>VLOOKUP(A586,'Production Plan'!B:Q,14,FALSE)</f>
        <v/>
      </c>
    </row>
    <row r="587" hidden="1">
      <c r="A587">
        <f>'Production Plan'!B575</f>
        <v/>
      </c>
      <c r="B587" s="3">
        <f>VLOOKUP(A587,'Production Plan'!B:Q,14,FALSE)</f>
        <v/>
      </c>
    </row>
    <row r="588" hidden="1">
      <c r="A588">
        <f>'Production Plan'!B576</f>
        <v/>
      </c>
      <c r="B588" s="3">
        <f>VLOOKUP(A588,'Production Plan'!B:Q,14,FALSE)</f>
        <v/>
      </c>
    </row>
    <row r="589" hidden="1">
      <c r="A589">
        <f>'Production Plan'!B577</f>
        <v/>
      </c>
      <c r="B589" s="3">
        <f>VLOOKUP(A589,'Production Plan'!B:Q,14,FALSE)</f>
        <v/>
      </c>
    </row>
    <row r="590" hidden="1">
      <c r="A590">
        <f>'Production Plan'!B578</f>
        <v/>
      </c>
      <c r="B590" s="3">
        <f>VLOOKUP(A590,'Production Plan'!B:Q,14,FALSE)</f>
        <v/>
      </c>
    </row>
    <row r="591" hidden="1">
      <c r="A591">
        <f>'Production Plan'!B579</f>
        <v/>
      </c>
      <c r="B591" s="3">
        <f>VLOOKUP(A591,'Production Plan'!B:Q,14,FALSE)</f>
        <v/>
      </c>
    </row>
    <row r="592" hidden="1">
      <c r="A592">
        <f>'Production Plan'!B580</f>
        <v/>
      </c>
      <c r="B592" s="3">
        <f>VLOOKUP(A592,'Production Plan'!B:Q,14,FALSE)</f>
        <v/>
      </c>
    </row>
    <row r="593" hidden="1">
      <c r="A593">
        <f>'Production Plan'!B581</f>
        <v/>
      </c>
      <c r="B593" s="3">
        <f>VLOOKUP(A593,'Production Plan'!B:Q,14,FALSE)</f>
        <v/>
      </c>
    </row>
    <row r="594" hidden="1">
      <c r="A594">
        <f>'Production Plan'!B582</f>
        <v/>
      </c>
      <c r="B594" s="3">
        <f>VLOOKUP(A594,'Production Plan'!B:Q,14,FALSE)</f>
        <v/>
      </c>
    </row>
    <row r="595" hidden="1">
      <c r="A595">
        <f>'Production Plan'!B583</f>
        <v/>
      </c>
      <c r="B595" s="3">
        <f>VLOOKUP(A595,'Production Plan'!B:Q,14,FALSE)</f>
        <v/>
      </c>
    </row>
    <row r="596" hidden="1">
      <c r="A596">
        <f>'Production Plan'!B584</f>
        <v/>
      </c>
      <c r="B596" s="3">
        <f>VLOOKUP(A596,'Production Plan'!B:Q,14,FALSE)</f>
        <v/>
      </c>
    </row>
    <row r="597" hidden="1">
      <c r="A597">
        <f>'Production Plan'!B585</f>
        <v/>
      </c>
      <c r="B597" s="3">
        <f>VLOOKUP(A597,'Production Plan'!B:Q,14,FALSE)</f>
        <v/>
      </c>
    </row>
    <row r="598" hidden="1">
      <c r="A598">
        <f>'Production Plan'!B586</f>
        <v/>
      </c>
      <c r="B598" s="3">
        <f>VLOOKUP(A598,'Production Plan'!B:Q,14,FALSE)</f>
        <v/>
      </c>
    </row>
    <row r="599" hidden="1">
      <c r="A599">
        <f>'Production Plan'!B587</f>
        <v/>
      </c>
      <c r="B599" s="3">
        <f>VLOOKUP(A599,'Production Plan'!B:Q,14,FALSE)</f>
        <v/>
      </c>
    </row>
    <row r="600" hidden="1">
      <c r="A600">
        <f>'Production Plan'!B588</f>
        <v/>
      </c>
      <c r="B600" s="3">
        <f>VLOOKUP(A600,'Production Plan'!B:Q,14,FALSE)</f>
        <v/>
      </c>
    </row>
    <row r="601" hidden="1">
      <c r="A601">
        <f>'Production Plan'!B589</f>
        <v/>
      </c>
      <c r="B601" s="3">
        <f>VLOOKUP(A601,'Production Plan'!B:Q,14,FALSE)</f>
        <v/>
      </c>
    </row>
    <row r="602" hidden="1">
      <c r="A602">
        <f>'Production Plan'!B590</f>
        <v/>
      </c>
      <c r="B602" s="3">
        <f>VLOOKUP(A602,'Production Plan'!B:Q,14,FALSE)</f>
        <v/>
      </c>
    </row>
    <row r="603" hidden="1">
      <c r="A603">
        <f>'Production Plan'!B591</f>
        <v/>
      </c>
      <c r="B603" s="3">
        <f>VLOOKUP(A603,'Production Plan'!B:Q,14,FALSE)</f>
        <v/>
      </c>
    </row>
    <row r="604" hidden="1">
      <c r="A604">
        <f>'Production Plan'!B592</f>
        <v/>
      </c>
      <c r="B604" s="3">
        <f>VLOOKUP(A604,'Production Plan'!B:Q,14,FALSE)</f>
        <v/>
      </c>
    </row>
    <row r="605" hidden="1">
      <c r="A605">
        <f>'Production Plan'!B593</f>
        <v/>
      </c>
      <c r="B605" s="3">
        <f>VLOOKUP(A605,'Production Plan'!B:Q,14,FALSE)</f>
        <v/>
      </c>
    </row>
    <row r="606" hidden="1">
      <c r="A606">
        <f>'Production Plan'!B594</f>
        <v/>
      </c>
      <c r="B606" s="3">
        <f>VLOOKUP(A606,'Production Plan'!B:Q,14,FALSE)</f>
        <v/>
      </c>
    </row>
    <row r="607" hidden="1">
      <c r="A607">
        <f>'Production Plan'!B595</f>
        <v/>
      </c>
      <c r="B607" s="3">
        <f>VLOOKUP(A607,'Production Plan'!B:Q,14,FALSE)</f>
        <v/>
      </c>
    </row>
    <row r="608" hidden="1">
      <c r="A608">
        <f>'Production Plan'!B596</f>
        <v/>
      </c>
      <c r="B608" s="3">
        <f>VLOOKUP(A608,'Production Plan'!B:Q,14,FALSE)</f>
        <v/>
      </c>
    </row>
    <row r="609" hidden="1">
      <c r="A609">
        <f>'Production Plan'!B597</f>
        <v/>
      </c>
      <c r="B609" s="3">
        <f>VLOOKUP(A609,'Production Plan'!B:Q,14,FALSE)</f>
        <v/>
      </c>
    </row>
    <row r="610" hidden="1">
      <c r="A610">
        <f>'Production Plan'!B598</f>
        <v/>
      </c>
      <c r="B610" s="3">
        <f>VLOOKUP(A610,'Production Plan'!B:Q,14,FALSE)</f>
        <v/>
      </c>
    </row>
    <row r="611" hidden="1">
      <c r="A611">
        <f>'Production Plan'!B599</f>
        <v/>
      </c>
      <c r="B611" s="3">
        <f>VLOOKUP(A611,'Production Plan'!B:Q,14,FALSE)</f>
        <v/>
      </c>
    </row>
    <row r="612" hidden="1">
      <c r="A612">
        <f>'Production Plan'!B600</f>
        <v/>
      </c>
      <c r="B612" s="3">
        <f>VLOOKUP(A612,'Production Plan'!B:Q,14,FALSE)</f>
        <v/>
      </c>
    </row>
    <row r="613" hidden="1">
      <c r="A613">
        <f>'Production Plan'!B601</f>
        <v/>
      </c>
      <c r="B613" s="3">
        <f>VLOOKUP(A613,'Production Plan'!B:Q,14,FALSE)</f>
        <v/>
      </c>
    </row>
    <row r="614" hidden="1">
      <c r="A614">
        <f>'Production Plan'!B602</f>
        <v/>
      </c>
      <c r="B614" s="3">
        <f>VLOOKUP(A614,'Production Plan'!B:Q,14,FALSE)</f>
        <v/>
      </c>
    </row>
    <row r="615" hidden="1">
      <c r="A615">
        <f>'Production Plan'!B603</f>
        <v/>
      </c>
      <c r="B615" s="3">
        <f>VLOOKUP(A615,'Production Plan'!B:Q,14,FALSE)</f>
        <v/>
      </c>
    </row>
    <row r="616" hidden="1">
      <c r="A616">
        <f>'Production Plan'!B604</f>
        <v/>
      </c>
      <c r="B616" s="3">
        <f>VLOOKUP(A616,'Production Plan'!B:Q,14,FALSE)</f>
        <v/>
      </c>
    </row>
    <row r="617" hidden="1">
      <c r="A617">
        <f>'Production Plan'!B605</f>
        <v/>
      </c>
      <c r="B617" s="3">
        <f>VLOOKUP(A617,'Production Plan'!B:Q,14,FALSE)</f>
        <v/>
      </c>
    </row>
    <row r="618" hidden="1">
      <c r="A618">
        <f>'Production Plan'!B606</f>
        <v/>
      </c>
      <c r="B618" s="3">
        <f>VLOOKUP(A618,'Production Plan'!B:Q,14,FALSE)</f>
        <v/>
      </c>
    </row>
    <row r="619" hidden="1">
      <c r="A619">
        <f>'Production Plan'!B607</f>
        <v/>
      </c>
      <c r="B619" s="3">
        <f>VLOOKUP(A619,'Production Plan'!B:Q,14,FALSE)</f>
        <v/>
      </c>
    </row>
    <row r="620" hidden="1">
      <c r="A620">
        <f>'Production Plan'!B608</f>
        <v/>
      </c>
      <c r="B620" s="3">
        <f>VLOOKUP(A620,'Production Plan'!B:Q,14,FALSE)</f>
        <v/>
      </c>
    </row>
    <row r="621" hidden="1">
      <c r="A621">
        <f>'Production Plan'!B609</f>
        <v/>
      </c>
      <c r="B621" s="3">
        <f>VLOOKUP(A621,'Production Plan'!B:Q,14,FALSE)</f>
        <v/>
      </c>
    </row>
    <row r="622" hidden="1">
      <c r="A622">
        <f>'Production Plan'!B610</f>
        <v/>
      </c>
      <c r="B622" s="3">
        <f>VLOOKUP(A622,'Production Plan'!B:Q,14,FALSE)</f>
        <v/>
      </c>
    </row>
    <row r="623" hidden="1">
      <c r="A623">
        <f>'Production Plan'!B611</f>
        <v/>
      </c>
      <c r="B623" s="3">
        <f>VLOOKUP(A623,'Production Plan'!B:Q,14,FALSE)</f>
        <v/>
      </c>
    </row>
    <row r="624" hidden="1">
      <c r="A624">
        <f>'Production Plan'!B612</f>
        <v/>
      </c>
      <c r="B624" s="3">
        <f>VLOOKUP(A624,'Production Plan'!B:Q,14,FALSE)</f>
        <v/>
      </c>
    </row>
    <row r="625" hidden="1">
      <c r="A625">
        <f>'Production Plan'!B613</f>
        <v/>
      </c>
      <c r="B625" s="3">
        <f>VLOOKUP(A625,'Production Plan'!B:Q,14,FALSE)</f>
        <v/>
      </c>
    </row>
    <row r="626" hidden="1">
      <c r="A626">
        <f>'Production Plan'!B614</f>
        <v/>
      </c>
      <c r="B626" s="3">
        <f>VLOOKUP(A626,'Production Plan'!B:Q,14,FALSE)</f>
        <v/>
      </c>
    </row>
    <row r="627" hidden="1">
      <c r="A627">
        <f>'Production Plan'!B615</f>
        <v/>
      </c>
      <c r="B627" s="3">
        <f>VLOOKUP(A627,'Production Plan'!B:Q,14,FALSE)</f>
        <v/>
      </c>
    </row>
    <row r="628" hidden="1">
      <c r="A628">
        <f>'Production Plan'!B616</f>
        <v/>
      </c>
      <c r="B628" s="3">
        <f>VLOOKUP(A628,'Production Plan'!B:Q,14,FALSE)</f>
        <v/>
      </c>
    </row>
    <row r="629" hidden="1">
      <c r="A629">
        <f>'Production Plan'!B617</f>
        <v/>
      </c>
      <c r="B629" s="3">
        <f>VLOOKUP(A629,'Production Plan'!B:Q,14,FALSE)</f>
        <v/>
      </c>
    </row>
    <row r="630" hidden="1">
      <c r="A630">
        <f>'Production Plan'!B618</f>
        <v/>
      </c>
      <c r="B630" s="3">
        <f>VLOOKUP(A630,'Production Plan'!B:Q,14,FALSE)</f>
        <v/>
      </c>
    </row>
    <row r="631" hidden="1">
      <c r="A631">
        <f>'Production Plan'!B619</f>
        <v/>
      </c>
      <c r="B631" s="3">
        <f>VLOOKUP(A631,'Production Plan'!B:Q,14,FALSE)</f>
        <v/>
      </c>
    </row>
    <row r="632" hidden="1">
      <c r="A632">
        <f>'Production Plan'!B620</f>
        <v/>
      </c>
      <c r="B632" s="3">
        <f>VLOOKUP(A632,'Production Plan'!B:Q,14,FALSE)</f>
        <v/>
      </c>
    </row>
    <row r="633" hidden="1">
      <c r="A633">
        <f>'Production Plan'!B621</f>
        <v/>
      </c>
      <c r="B633" s="3">
        <f>VLOOKUP(A633,'Production Plan'!B:Q,14,FALSE)</f>
        <v/>
      </c>
    </row>
    <row r="634" hidden="1">
      <c r="A634">
        <f>'Production Plan'!B622</f>
        <v/>
      </c>
      <c r="B634" s="3">
        <f>VLOOKUP(A634,'Production Plan'!B:Q,14,FALSE)</f>
        <v/>
      </c>
    </row>
    <row r="635" hidden="1">
      <c r="A635">
        <f>'Production Plan'!B623</f>
        <v/>
      </c>
      <c r="B635" s="3">
        <f>VLOOKUP(A635,'Production Plan'!B:Q,14,FALSE)</f>
        <v/>
      </c>
    </row>
    <row r="636" hidden="1">
      <c r="A636">
        <f>'Production Plan'!B624</f>
        <v/>
      </c>
      <c r="B636" s="3">
        <f>VLOOKUP(A636,'Production Plan'!B:Q,14,FALSE)</f>
        <v/>
      </c>
    </row>
    <row r="637" hidden="1">
      <c r="A637">
        <f>'Production Plan'!B625</f>
        <v/>
      </c>
      <c r="B637" s="3">
        <f>VLOOKUP(A637,'Production Plan'!B:Q,14,FALSE)</f>
        <v/>
      </c>
    </row>
    <row r="638" hidden="1">
      <c r="A638">
        <f>'Production Plan'!B626</f>
        <v/>
      </c>
      <c r="B638" s="3">
        <f>VLOOKUP(A638,'Production Plan'!B:Q,14,FALSE)</f>
        <v/>
      </c>
    </row>
    <row r="639" hidden="1">
      <c r="A639">
        <f>'Production Plan'!B627</f>
        <v/>
      </c>
      <c r="B639" s="3">
        <f>VLOOKUP(A639,'Production Plan'!B:Q,14,FALSE)</f>
        <v/>
      </c>
    </row>
    <row r="640" hidden="1">
      <c r="A640">
        <f>'Production Plan'!B628</f>
        <v/>
      </c>
      <c r="B640" s="3">
        <f>VLOOKUP(A640,'Production Plan'!B:Q,14,FALSE)</f>
        <v/>
      </c>
    </row>
    <row r="641" hidden="1">
      <c r="A641">
        <f>'Production Plan'!B629</f>
        <v/>
      </c>
      <c r="B641" s="3">
        <f>VLOOKUP(A641,'Production Plan'!B:Q,14,FALSE)</f>
        <v/>
      </c>
    </row>
    <row r="642" hidden="1">
      <c r="A642">
        <f>'Production Plan'!B630</f>
        <v/>
      </c>
      <c r="B642" s="3">
        <f>VLOOKUP(A642,'Production Plan'!B:Q,14,FALSE)</f>
        <v/>
      </c>
    </row>
    <row r="643" hidden="1">
      <c r="A643">
        <f>'Production Plan'!B631</f>
        <v/>
      </c>
      <c r="B643" s="3">
        <f>VLOOKUP(A643,'Production Plan'!B:Q,14,FALSE)</f>
        <v/>
      </c>
    </row>
    <row r="644" hidden="1">
      <c r="A644">
        <f>'Production Plan'!B632</f>
        <v/>
      </c>
      <c r="B644" s="3">
        <f>VLOOKUP(A644,'Production Plan'!B:Q,14,FALSE)</f>
        <v/>
      </c>
    </row>
    <row r="645" hidden="1">
      <c r="A645">
        <f>'Production Plan'!B633</f>
        <v/>
      </c>
      <c r="B645" s="3">
        <f>VLOOKUP(A645,'Production Plan'!B:Q,14,FALSE)</f>
        <v/>
      </c>
    </row>
    <row r="646" hidden="1">
      <c r="A646">
        <f>'Production Plan'!B634</f>
        <v/>
      </c>
      <c r="B646" s="3">
        <f>VLOOKUP(A646,'Production Plan'!B:Q,14,FALSE)</f>
        <v/>
      </c>
    </row>
    <row r="647" hidden="1">
      <c r="A647">
        <f>'Production Plan'!B635</f>
        <v/>
      </c>
      <c r="B647" s="3">
        <f>VLOOKUP(A647,'Production Plan'!B:Q,14,FALSE)</f>
        <v/>
      </c>
    </row>
    <row r="648" hidden="1">
      <c r="A648">
        <f>'Production Plan'!B636</f>
        <v/>
      </c>
      <c r="B648" s="3">
        <f>VLOOKUP(A648,'Production Plan'!B:Q,14,FALSE)</f>
        <v/>
      </c>
    </row>
    <row r="649" hidden="1">
      <c r="A649">
        <f>'Production Plan'!B637</f>
        <v/>
      </c>
      <c r="B649" s="3">
        <f>VLOOKUP(A649,'Production Plan'!B:Q,14,FALSE)</f>
        <v/>
      </c>
    </row>
    <row r="650" hidden="1">
      <c r="A650">
        <f>'Production Plan'!B638</f>
        <v/>
      </c>
      <c r="B650" s="3">
        <f>VLOOKUP(A650,'Production Plan'!B:Q,14,FALSE)</f>
        <v/>
      </c>
    </row>
    <row r="651" hidden="1">
      <c r="A651">
        <f>'Production Plan'!B639</f>
        <v/>
      </c>
      <c r="B651" s="3">
        <f>VLOOKUP(A651,'Production Plan'!B:Q,14,FALSE)</f>
        <v/>
      </c>
    </row>
    <row r="652" hidden="1">
      <c r="A652">
        <f>'Production Plan'!B640</f>
        <v/>
      </c>
      <c r="B652" s="3">
        <f>VLOOKUP(A652,'Production Plan'!B:Q,14,FALSE)</f>
        <v/>
      </c>
    </row>
    <row r="653" hidden="1">
      <c r="A653">
        <f>'Production Plan'!B641</f>
        <v/>
      </c>
      <c r="B653" s="3">
        <f>VLOOKUP(A653,'Production Plan'!B:Q,14,FALSE)</f>
        <v/>
      </c>
    </row>
    <row r="654" hidden="1">
      <c r="A654">
        <f>'Production Plan'!B642</f>
        <v/>
      </c>
      <c r="B654" s="3">
        <f>VLOOKUP(A654,'Production Plan'!B:Q,14,FALSE)</f>
        <v/>
      </c>
    </row>
    <row r="655" hidden="1">
      <c r="A655">
        <f>'Production Plan'!B643</f>
        <v/>
      </c>
      <c r="B655" s="3">
        <f>VLOOKUP(A655,'Production Plan'!B:Q,14,FALSE)</f>
        <v/>
      </c>
    </row>
    <row r="656" hidden="1">
      <c r="A656">
        <f>'Production Plan'!B644</f>
        <v/>
      </c>
      <c r="B656" s="3">
        <f>VLOOKUP(A656,'Production Plan'!B:Q,14,FALSE)</f>
        <v/>
      </c>
    </row>
    <row r="657" hidden="1">
      <c r="A657">
        <f>'Production Plan'!B645</f>
        <v/>
      </c>
      <c r="B657" s="3">
        <f>VLOOKUP(A657,'Production Plan'!B:Q,14,FALSE)</f>
        <v/>
      </c>
    </row>
    <row r="658" hidden="1">
      <c r="A658">
        <f>'Production Plan'!B646</f>
        <v/>
      </c>
      <c r="B658" s="3">
        <f>VLOOKUP(A658,'Production Plan'!B:Q,14,FALSE)</f>
        <v/>
      </c>
    </row>
    <row r="659" hidden="1">
      <c r="A659">
        <f>'Production Plan'!B647</f>
        <v/>
      </c>
      <c r="B659" s="3">
        <f>VLOOKUP(A659,'Production Plan'!B:Q,14,FALSE)</f>
        <v/>
      </c>
    </row>
    <row r="660" hidden="1">
      <c r="A660">
        <f>'Production Plan'!B648</f>
        <v/>
      </c>
      <c r="B660" s="3">
        <f>VLOOKUP(A660,'Production Plan'!B:Q,14,FALSE)</f>
        <v/>
      </c>
    </row>
    <row r="661" hidden="1">
      <c r="A661">
        <f>'Production Plan'!B649</f>
        <v/>
      </c>
      <c r="B661" s="3">
        <f>VLOOKUP(A661,'Production Plan'!B:Q,14,FALSE)</f>
        <v/>
      </c>
    </row>
    <row r="662" hidden="1">
      <c r="A662">
        <f>'Production Plan'!B650</f>
        <v/>
      </c>
      <c r="B662" s="3">
        <f>VLOOKUP(A662,'Production Plan'!B:Q,14,FALSE)</f>
        <v/>
      </c>
    </row>
    <row r="663" hidden="1">
      <c r="A663">
        <f>'Production Plan'!B651</f>
        <v/>
      </c>
      <c r="B663" s="3">
        <f>VLOOKUP(A663,'Production Plan'!B:Q,14,FALSE)</f>
        <v/>
      </c>
    </row>
    <row r="664" hidden="1">
      <c r="A664">
        <f>'Production Plan'!B652</f>
        <v/>
      </c>
      <c r="B664" s="3">
        <f>VLOOKUP(A664,'Production Plan'!B:Q,14,FALSE)</f>
        <v/>
      </c>
    </row>
    <row r="665" hidden="1">
      <c r="A665">
        <f>'Production Plan'!B653</f>
        <v/>
      </c>
      <c r="B665" s="3">
        <f>VLOOKUP(A665,'Production Plan'!B:Q,14,FALSE)</f>
        <v/>
      </c>
    </row>
    <row r="666" hidden="1">
      <c r="A666">
        <f>'Production Plan'!B654</f>
        <v/>
      </c>
      <c r="B666" s="3">
        <f>VLOOKUP(A666,'Production Plan'!B:Q,14,FALSE)</f>
        <v/>
      </c>
    </row>
    <row r="667" hidden="1">
      <c r="A667">
        <f>'Production Plan'!B655</f>
        <v/>
      </c>
      <c r="B667" s="3">
        <f>VLOOKUP(A667,'Production Plan'!B:Q,14,FALSE)</f>
        <v/>
      </c>
    </row>
    <row r="668" hidden="1">
      <c r="A668">
        <f>'Production Plan'!B656</f>
        <v/>
      </c>
      <c r="B668" s="3">
        <f>VLOOKUP(A668,'Production Plan'!B:Q,14,FALSE)</f>
        <v/>
      </c>
    </row>
    <row r="669" hidden="1">
      <c r="A669">
        <f>'Production Plan'!B657</f>
        <v/>
      </c>
      <c r="B669" s="3">
        <f>VLOOKUP(A669,'Production Plan'!B:Q,14,FALSE)</f>
        <v/>
      </c>
    </row>
    <row r="670" hidden="1">
      <c r="A670">
        <f>'Production Plan'!B658</f>
        <v/>
      </c>
      <c r="B670" s="3">
        <f>VLOOKUP(A670,'Production Plan'!B:Q,14,FALSE)</f>
        <v/>
      </c>
    </row>
    <row r="671" hidden="1">
      <c r="A671">
        <f>'Production Plan'!B659</f>
        <v/>
      </c>
      <c r="B671" s="3">
        <f>VLOOKUP(A671,'Production Plan'!B:Q,14,FALSE)</f>
        <v/>
      </c>
    </row>
    <row r="672" hidden="1">
      <c r="A672">
        <f>'Production Plan'!B660</f>
        <v/>
      </c>
      <c r="B672" s="3">
        <f>VLOOKUP(A672,'Production Plan'!B:Q,14,FALSE)</f>
        <v/>
      </c>
    </row>
    <row r="673" hidden="1">
      <c r="A673">
        <f>'Production Plan'!B661</f>
        <v/>
      </c>
      <c r="B673" s="3">
        <f>VLOOKUP(A673,'Production Plan'!B:Q,14,FALSE)</f>
        <v/>
      </c>
    </row>
    <row r="674" hidden="1">
      <c r="A674">
        <f>'Production Plan'!B662</f>
        <v/>
      </c>
      <c r="B674" s="3">
        <f>VLOOKUP(A674,'Production Plan'!B:Q,14,FALSE)</f>
        <v/>
      </c>
    </row>
    <row r="675" hidden="1">
      <c r="A675">
        <f>'Production Plan'!B663</f>
        <v/>
      </c>
      <c r="B675" s="3">
        <f>VLOOKUP(A675,'Production Plan'!B:Q,14,FALSE)</f>
        <v/>
      </c>
    </row>
    <row r="676" hidden="1">
      <c r="A676">
        <f>'Production Plan'!B664</f>
        <v/>
      </c>
      <c r="B676" s="3">
        <f>VLOOKUP(A676,'Production Plan'!B:Q,14,FALSE)</f>
        <v/>
      </c>
    </row>
    <row r="677" hidden="1">
      <c r="A677">
        <f>'Production Plan'!B665</f>
        <v/>
      </c>
      <c r="B677" s="3">
        <f>VLOOKUP(A677,'Production Plan'!B:Q,14,FALSE)</f>
        <v/>
      </c>
    </row>
    <row r="678" hidden="1">
      <c r="A678">
        <f>'Production Plan'!B666</f>
        <v/>
      </c>
      <c r="B678" s="3">
        <f>VLOOKUP(A678,'Production Plan'!B:Q,14,FALSE)</f>
        <v/>
      </c>
    </row>
    <row r="679" hidden="1">
      <c r="A679">
        <f>'Production Plan'!B667</f>
        <v/>
      </c>
      <c r="B679" s="3">
        <f>VLOOKUP(A679,'Production Plan'!B:Q,14,FALSE)</f>
        <v/>
      </c>
    </row>
    <row r="680" hidden="1">
      <c r="A680">
        <f>'Production Plan'!B668</f>
        <v/>
      </c>
      <c r="B680" s="3">
        <f>VLOOKUP(A680,'Production Plan'!B:Q,14,FALSE)</f>
        <v/>
      </c>
    </row>
    <row r="681" hidden="1">
      <c r="A681">
        <f>'Production Plan'!B669</f>
        <v/>
      </c>
      <c r="B681" s="3">
        <f>VLOOKUP(A681,'Production Plan'!B:Q,14,FALSE)</f>
        <v/>
      </c>
    </row>
    <row r="682" hidden="1">
      <c r="A682">
        <f>'Production Plan'!B670</f>
        <v/>
      </c>
      <c r="B682" s="3">
        <f>VLOOKUP(A682,'Production Plan'!B:Q,14,FALSE)</f>
        <v/>
      </c>
    </row>
    <row r="683" hidden="1">
      <c r="A683">
        <f>'Production Plan'!B671</f>
        <v/>
      </c>
      <c r="B683" s="3">
        <f>VLOOKUP(A683,'Production Plan'!B:Q,14,FALSE)</f>
        <v/>
      </c>
    </row>
    <row r="684" hidden="1">
      <c r="A684">
        <f>'Production Plan'!B672</f>
        <v/>
      </c>
      <c r="B684" s="3">
        <f>VLOOKUP(A684,'Production Plan'!B:Q,14,FALSE)</f>
        <v/>
      </c>
    </row>
    <row r="685" hidden="1">
      <c r="A685">
        <f>'Production Plan'!B673</f>
        <v/>
      </c>
      <c r="B685" s="3">
        <f>VLOOKUP(A685,'Production Plan'!B:Q,14,FALSE)</f>
        <v/>
      </c>
    </row>
    <row r="686" hidden="1">
      <c r="A686">
        <f>'Production Plan'!B674</f>
        <v/>
      </c>
      <c r="B686" s="3">
        <f>VLOOKUP(A686,'Production Plan'!B:Q,14,FALSE)</f>
        <v/>
      </c>
    </row>
    <row r="687" hidden="1">
      <c r="A687">
        <f>'Production Plan'!B675</f>
        <v/>
      </c>
      <c r="B687" s="3">
        <f>VLOOKUP(A687,'Production Plan'!B:Q,14,FALSE)</f>
        <v/>
      </c>
    </row>
    <row r="688" hidden="1">
      <c r="A688">
        <f>'Production Plan'!B676</f>
        <v/>
      </c>
      <c r="B688" s="3">
        <f>VLOOKUP(A688,'Production Plan'!B:Q,14,FALSE)</f>
        <v/>
      </c>
    </row>
    <row r="689" hidden="1">
      <c r="A689">
        <f>'Production Plan'!B677</f>
        <v/>
      </c>
      <c r="B689" s="3">
        <f>VLOOKUP(A689,'Production Plan'!B:Q,14,FALSE)</f>
        <v/>
      </c>
    </row>
    <row r="690" hidden="1">
      <c r="A690">
        <f>'Production Plan'!B678</f>
        <v/>
      </c>
      <c r="B690" s="3">
        <f>VLOOKUP(A690,'Production Plan'!B:Q,14,FALSE)</f>
        <v/>
      </c>
    </row>
    <row r="691" hidden="1">
      <c r="A691">
        <f>'Production Plan'!B679</f>
        <v/>
      </c>
      <c r="B691" s="3">
        <f>VLOOKUP(A691,'Production Plan'!B:Q,14,FALSE)</f>
        <v/>
      </c>
    </row>
    <row r="692" hidden="1">
      <c r="A692">
        <f>'Production Plan'!B680</f>
        <v/>
      </c>
      <c r="B692" s="3">
        <f>VLOOKUP(A692,'Production Plan'!B:Q,14,FALSE)</f>
        <v/>
      </c>
    </row>
    <row r="693" hidden="1">
      <c r="A693">
        <f>'Production Plan'!B681</f>
        <v/>
      </c>
      <c r="B693" s="3">
        <f>VLOOKUP(A693,'Production Plan'!B:Q,14,FALSE)</f>
        <v/>
      </c>
    </row>
    <row r="694" hidden="1">
      <c r="A694">
        <f>'Production Plan'!B682</f>
        <v/>
      </c>
      <c r="B694" s="3">
        <f>VLOOKUP(A694,'Production Plan'!B:Q,14,FALSE)</f>
        <v/>
      </c>
    </row>
    <row r="695" hidden="1">
      <c r="A695">
        <f>'Production Plan'!B683</f>
        <v/>
      </c>
      <c r="B695" s="3">
        <f>VLOOKUP(A695,'Production Plan'!B:Q,14,FALSE)</f>
        <v/>
      </c>
    </row>
    <row r="696" hidden="1">
      <c r="A696">
        <f>'Production Plan'!B684</f>
        <v/>
      </c>
      <c r="B696" s="3">
        <f>VLOOKUP(A696,'Production Plan'!B:Q,14,FALSE)</f>
        <v/>
      </c>
    </row>
    <row r="697" hidden="1">
      <c r="A697">
        <f>'Production Plan'!B685</f>
        <v/>
      </c>
      <c r="B697" s="3">
        <f>VLOOKUP(A697,'Production Plan'!B:Q,14,FALSE)</f>
        <v/>
      </c>
    </row>
    <row r="698" hidden="1">
      <c r="A698">
        <f>'Production Plan'!B686</f>
        <v/>
      </c>
      <c r="B698" s="3">
        <f>VLOOKUP(A698,'Production Plan'!B:Q,14,FALSE)</f>
        <v/>
      </c>
    </row>
    <row r="699" hidden="1">
      <c r="A699">
        <f>'Production Plan'!B687</f>
        <v/>
      </c>
      <c r="B699" s="3">
        <f>VLOOKUP(A699,'Production Plan'!B:Q,14,FALSE)</f>
        <v/>
      </c>
    </row>
    <row r="700" hidden="1">
      <c r="A700">
        <f>'Production Plan'!B688</f>
        <v/>
      </c>
      <c r="B700" s="3">
        <f>VLOOKUP(A700,'Production Plan'!B:Q,14,FALSE)</f>
        <v/>
      </c>
    </row>
    <row r="701" hidden="1">
      <c r="A701">
        <f>'Production Plan'!B689</f>
        <v/>
      </c>
      <c r="B701" s="3">
        <f>VLOOKUP(A701,'Production Plan'!B:Q,14,FALSE)</f>
        <v/>
      </c>
    </row>
    <row r="702" hidden="1">
      <c r="A702">
        <f>'Production Plan'!B690</f>
        <v/>
      </c>
      <c r="B702" s="3">
        <f>VLOOKUP(A702,'Production Plan'!B:Q,14,FALSE)</f>
        <v/>
      </c>
    </row>
    <row r="703" hidden="1">
      <c r="A703">
        <f>'Production Plan'!B691</f>
        <v/>
      </c>
      <c r="B703" s="3">
        <f>VLOOKUP(A703,'Production Plan'!B:Q,14,FALSE)</f>
        <v/>
      </c>
    </row>
    <row r="704" hidden="1">
      <c r="A704">
        <f>'Production Plan'!B692</f>
        <v/>
      </c>
      <c r="B704" s="3">
        <f>VLOOKUP(A704,'Production Plan'!B:Q,14,FALSE)</f>
        <v/>
      </c>
    </row>
    <row r="705" hidden="1">
      <c r="A705">
        <f>'Production Plan'!B693</f>
        <v/>
      </c>
      <c r="B705" s="3">
        <f>VLOOKUP(A705,'Production Plan'!B:Q,14,FALSE)</f>
        <v/>
      </c>
    </row>
    <row r="706" hidden="1">
      <c r="A706">
        <f>'Production Plan'!B694</f>
        <v/>
      </c>
      <c r="B706" s="3">
        <f>VLOOKUP(A706,'Production Plan'!B:Q,14,FALSE)</f>
        <v/>
      </c>
    </row>
    <row r="707" hidden="1">
      <c r="A707">
        <f>'Production Plan'!B695</f>
        <v/>
      </c>
      <c r="B707" s="3">
        <f>VLOOKUP(A707,'Production Plan'!B:Q,14,FALSE)</f>
        <v/>
      </c>
    </row>
    <row r="708" hidden="1">
      <c r="A708">
        <f>'Production Plan'!B696</f>
        <v/>
      </c>
      <c r="B708" s="3">
        <f>VLOOKUP(A708,'Production Plan'!B:Q,14,FALSE)</f>
        <v/>
      </c>
    </row>
    <row r="709" hidden="1">
      <c r="A709">
        <f>'Production Plan'!B697</f>
        <v/>
      </c>
      <c r="B709" s="3">
        <f>VLOOKUP(A709,'Production Plan'!B:Q,14,FALSE)</f>
        <v/>
      </c>
    </row>
    <row r="710" hidden="1">
      <c r="A710">
        <f>'Production Plan'!B698</f>
        <v/>
      </c>
      <c r="B710" s="3">
        <f>VLOOKUP(A710,'Production Plan'!B:Q,14,FALSE)</f>
        <v/>
      </c>
    </row>
    <row r="711" hidden="1">
      <c r="A711">
        <f>'Production Plan'!B699</f>
        <v/>
      </c>
      <c r="B711" s="3">
        <f>VLOOKUP(A711,'Production Plan'!B:Q,14,FALSE)</f>
        <v/>
      </c>
    </row>
    <row r="712" hidden="1">
      <c r="A712">
        <f>'Production Plan'!B700</f>
        <v/>
      </c>
      <c r="B712" s="3">
        <f>VLOOKUP(A712,'Production Plan'!B:Q,14,FALSE)</f>
        <v/>
      </c>
    </row>
    <row r="713" hidden="1">
      <c r="A713">
        <f>'Production Plan'!B701</f>
        <v/>
      </c>
      <c r="B713" s="3">
        <f>VLOOKUP(A713,'Production Plan'!B:Q,14,FALSE)</f>
        <v/>
      </c>
    </row>
    <row r="714" hidden="1">
      <c r="A714">
        <f>'Production Plan'!B702</f>
        <v/>
      </c>
      <c r="B714" s="3">
        <f>VLOOKUP(A714,'Production Plan'!B:Q,14,FALSE)</f>
        <v/>
      </c>
    </row>
    <row r="715" hidden="1">
      <c r="A715">
        <f>'Production Plan'!B703</f>
        <v/>
      </c>
      <c r="B715" s="3">
        <f>VLOOKUP(A715,'Production Plan'!B:Q,14,FALSE)</f>
        <v/>
      </c>
    </row>
    <row r="716" hidden="1">
      <c r="A716">
        <f>'Production Plan'!B704</f>
        <v/>
      </c>
      <c r="B716" s="3">
        <f>VLOOKUP(A716,'Production Plan'!B:Q,14,FALSE)</f>
        <v/>
      </c>
    </row>
    <row r="717" hidden="1">
      <c r="A717">
        <f>'Production Plan'!B705</f>
        <v/>
      </c>
      <c r="B717" s="3">
        <f>VLOOKUP(A717,'Production Plan'!B:Q,14,FALSE)</f>
        <v/>
      </c>
    </row>
    <row r="718" hidden="1">
      <c r="A718">
        <f>'Production Plan'!B706</f>
        <v/>
      </c>
      <c r="B718" s="3">
        <f>VLOOKUP(A718,'Production Plan'!B:Q,14,FALSE)</f>
        <v/>
      </c>
    </row>
    <row r="719" hidden="1">
      <c r="A719">
        <f>'Production Plan'!B707</f>
        <v/>
      </c>
      <c r="B719" s="3">
        <f>VLOOKUP(A719,'Production Plan'!B:Q,14,FALSE)</f>
        <v/>
      </c>
    </row>
    <row r="720" hidden="1">
      <c r="A720">
        <f>'Production Plan'!B708</f>
        <v/>
      </c>
      <c r="B720" s="3">
        <f>VLOOKUP(A720,'Production Plan'!B:Q,14,FALSE)</f>
        <v/>
      </c>
    </row>
    <row r="721" hidden="1">
      <c r="A721">
        <f>'Production Plan'!B709</f>
        <v/>
      </c>
      <c r="B721" s="3">
        <f>VLOOKUP(A721,'Production Plan'!B:Q,14,FALSE)</f>
        <v/>
      </c>
    </row>
    <row r="722" hidden="1">
      <c r="A722">
        <f>'Production Plan'!B710</f>
        <v/>
      </c>
      <c r="B722" s="3">
        <f>VLOOKUP(A722,'Production Plan'!B:Q,14,FALSE)</f>
        <v/>
      </c>
    </row>
    <row r="723" hidden="1">
      <c r="A723">
        <f>'Production Plan'!B711</f>
        <v/>
      </c>
      <c r="B723" s="3">
        <f>VLOOKUP(A723,'Production Plan'!B:Q,14,FALSE)</f>
        <v/>
      </c>
    </row>
    <row r="724" hidden="1">
      <c r="A724">
        <f>'Production Plan'!B712</f>
        <v/>
      </c>
      <c r="B724" s="3">
        <f>VLOOKUP(A724,'Production Plan'!B:Q,14,FALSE)</f>
        <v/>
      </c>
    </row>
    <row r="725" hidden="1">
      <c r="A725">
        <f>'Production Plan'!B713</f>
        <v/>
      </c>
      <c r="B725" s="3">
        <f>VLOOKUP(A725,'Production Plan'!B:Q,14,FALSE)</f>
        <v/>
      </c>
    </row>
    <row r="726" hidden="1">
      <c r="A726">
        <f>'Production Plan'!B714</f>
        <v/>
      </c>
      <c r="B726" s="3">
        <f>VLOOKUP(A726,'Production Plan'!B:Q,14,FALSE)</f>
        <v/>
      </c>
    </row>
    <row r="727" hidden="1">
      <c r="A727">
        <f>'Production Plan'!B715</f>
        <v/>
      </c>
      <c r="B727" s="3">
        <f>VLOOKUP(A727,'Production Plan'!B:Q,14,FALSE)</f>
        <v/>
      </c>
    </row>
    <row r="728" hidden="1">
      <c r="A728">
        <f>'Production Plan'!B716</f>
        <v/>
      </c>
      <c r="B728" s="3">
        <f>VLOOKUP(A728,'Production Plan'!B:Q,14,FALSE)</f>
        <v/>
      </c>
    </row>
    <row r="729" hidden="1">
      <c r="A729">
        <f>'Production Plan'!B717</f>
        <v/>
      </c>
      <c r="B729" s="3">
        <f>VLOOKUP(A729,'Production Plan'!B:Q,14,FALSE)</f>
        <v/>
      </c>
    </row>
    <row r="730" hidden="1">
      <c r="A730">
        <f>'Production Plan'!B718</f>
        <v/>
      </c>
      <c r="B730" s="3">
        <f>VLOOKUP(A730,'Production Plan'!B:Q,14,FALSE)</f>
        <v/>
      </c>
    </row>
    <row r="731" hidden="1">
      <c r="A731">
        <f>'Production Plan'!B719</f>
        <v/>
      </c>
      <c r="B731" s="3">
        <f>VLOOKUP(A731,'Production Plan'!B:Q,14,FALSE)</f>
        <v/>
      </c>
    </row>
    <row r="732" hidden="1">
      <c r="A732">
        <f>'Production Plan'!B720</f>
        <v/>
      </c>
      <c r="B732" s="3">
        <f>VLOOKUP(A732,'Production Plan'!B:Q,14,FALSE)</f>
        <v/>
      </c>
    </row>
    <row r="733" hidden="1">
      <c r="A733">
        <f>'Production Plan'!B721</f>
        <v/>
      </c>
      <c r="B733" s="3">
        <f>VLOOKUP(A733,'Production Plan'!B:Q,14,FALSE)</f>
        <v/>
      </c>
    </row>
    <row r="734" hidden="1">
      <c r="A734">
        <f>'Production Plan'!B722</f>
        <v/>
      </c>
      <c r="B734" s="3">
        <f>VLOOKUP(A734,'Production Plan'!B:Q,14,FALSE)</f>
        <v/>
      </c>
    </row>
    <row r="735" hidden="1">
      <c r="A735">
        <f>'Production Plan'!B723</f>
        <v/>
      </c>
      <c r="B735" s="3">
        <f>VLOOKUP(A735,'Production Plan'!B:Q,14,FALSE)</f>
        <v/>
      </c>
    </row>
    <row r="736" hidden="1">
      <c r="A736">
        <f>'Production Plan'!B724</f>
        <v/>
      </c>
      <c r="B736" s="3">
        <f>VLOOKUP(A736,'Production Plan'!B:Q,14,FALSE)</f>
        <v/>
      </c>
    </row>
    <row r="737" hidden="1">
      <c r="A737">
        <f>'Production Plan'!B725</f>
        <v/>
      </c>
      <c r="B737" s="3">
        <f>VLOOKUP(A737,'Production Plan'!B:Q,14,FALSE)</f>
        <v/>
      </c>
    </row>
    <row r="738" hidden="1">
      <c r="A738">
        <f>'Production Plan'!B726</f>
        <v/>
      </c>
      <c r="B738" s="3">
        <f>VLOOKUP(A738,'Production Plan'!B:Q,14,FALSE)</f>
        <v/>
      </c>
    </row>
    <row r="739" hidden="1">
      <c r="A739">
        <f>'Production Plan'!B727</f>
        <v/>
      </c>
      <c r="B739" s="3">
        <f>VLOOKUP(A739,'Production Plan'!B:Q,14,FALSE)</f>
        <v/>
      </c>
    </row>
    <row r="740" hidden="1">
      <c r="A740">
        <f>'Production Plan'!B728</f>
        <v/>
      </c>
      <c r="B740" s="3">
        <f>VLOOKUP(A740,'Production Plan'!B:Q,14,FALSE)</f>
        <v/>
      </c>
    </row>
    <row r="741" hidden="1">
      <c r="A741">
        <f>'Production Plan'!B729</f>
        <v/>
      </c>
      <c r="B741" s="3">
        <f>VLOOKUP(A741,'Production Plan'!B:Q,14,FALSE)</f>
        <v/>
      </c>
    </row>
    <row r="742" hidden="1">
      <c r="A742">
        <f>'Production Plan'!B730</f>
        <v/>
      </c>
      <c r="B742" s="3">
        <f>VLOOKUP(A742,'Production Plan'!B:Q,14,FALSE)</f>
        <v/>
      </c>
    </row>
    <row r="743" hidden="1">
      <c r="A743">
        <f>'Production Plan'!B731</f>
        <v/>
      </c>
      <c r="B743" s="3">
        <f>VLOOKUP(A743,'Production Plan'!B:Q,14,FALSE)</f>
        <v/>
      </c>
    </row>
    <row r="744" hidden="1">
      <c r="A744">
        <f>'Production Plan'!B732</f>
        <v/>
      </c>
      <c r="B744" s="3">
        <f>VLOOKUP(A744,'Production Plan'!B:Q,14,FALSE)</f>
        <v/>
      </c>
    </row>
    <row r="745" hidden="1">
      <c r="A745">
        <f>'Production Plan'!B733</f>
        <v/>
      </c>
      <c r="B745" s="3">
        <f>VLOOKUP(A745,'Production Plan'!B:Q,14,FALSE)</f>
        <v/>
      </c>
    </row>
    <row r="746" hidden="1">
      <c r="A746">
        <f>'Production Plan'!B734</f>
        <v/>
      </c>
      <c r="B746" s="3">
        <f>VLOOKUP(A746,'Production Plan'!B:Q,14,FALSE)</f>
        <v/>
      </c>
    </row>
    <row r="747" hidden="1">
      <c r="A747">
        <f>'Production Plan'!B735</f>
        <v/>
      </c>
      <c r="B747" s="3">
        <f>VLOOKUP(A747,'Production Plan'!B:Q,14,FALSE)</f>
        <v/>
      </c>
    </row>
    <row r="748" hidden="1">
      <c r="A748">
        <f>'Production Plan'!B736</f>
        <v/>
      </c>
      <c r="B748" s="3">
        <f>VLOOKUP(A748,'Production Plan'!B:Q,14,FALSE)</f>
        <v/>
      </c>
    </row>
    <row r="749" hidden="1">
      <c r="A749">
        <f>'Production Plan'!B737</f>
        <v/>
      </c>
      <c r="B749" s="3">
        <f>VLOOKUP(A749,'Production Plan'!B:Q,14,FALSE)</f>
        <v/>
      </c>
    </row>
    <row r="750" hidden="1">
      <c r="A750">
        <f>'Production Plan'!B738</f>
        <v/>
      </c>
      <c r="B750" s="3">
        <f>VLOOKUP(A750,'Production Plan'!B:Q,14,FALSE)</f>
        <v/>
      </c>
    </row>
    <row r="751" hidden="1">
      <c r="A751">
        <f>'Production Plan'!B739</f>
        <v/>
      </c>
      <c r="B751" s="3">
        <f>VLOOKUP(A751,'Production Plan'!B:Q,14,FALSE)</f>
        <v/>
      </c>
    </row>
    <row r="752" hidden="1">
      <c r="A752">
        <f>'Production Plan'!B740</f>
        <v/>
      </c>
      <c r="B752" s="3">
        <f>VLOOKUP(A752,'Production Plan'!B:Q,14,FALSE)</f>
        <v/>
      </c>
    </row>
    <row r="753" hidden="1">
      <c r="A753">
        <f>'Production Plan'!B741</f>
        <v/>
      </c>
      <c r="B753" s="3">
        <f>VLOOKUP(A753,'Production Plan'!B:Q,14,FALSE)</f>
        <v/>
      </c>
    </row>
    <row r="754" hidden="1">
      <c r="A754">
        <f>'Production Plan'!B742</f>
        <v/>
      </c>
      <c r="B754" s="3">
        <f>VLOOKUP(A754,'Production Plan'!B:Q,14,FALSE)</f>
        <v/>
      </c>
    </row>
    <row r="755" hidden="1">
      <c r="A755">
        <f>'Production Plan'!B743</f>
        <v/>
      </c>
      <c r="B755" s="3">
        <f>VLOOKUP(A755,'Production Plan'!B:Q,14,FALSE)</f>
        <v/>
      </c>
    </row>
    <row r="756" hidden="1">
      <c r="A756">
        <f>'Production Plan'!B744</f>
        <v/>
      </c>
      <c r="B756" s="3">
        <f>VLOOKUP(A756,'Production Plan'!B:Q,14,FALSE)</f>
        <v/>
      </c>
    </row>
    <row r="757" hidden="1">
      <c r="A757">
        <f>'Production Plan'!B745</f>
        <v/>
      </c>
      <c r="B757" s="3">
        <f>VLOOKUP(A757,'Production Plan'!B:Q,14,FALSE)</f>
        <v/>
      </c>
    </row>
    <row r="758" hidden="1">
      <c r="A758">
        <f>'Production Plan'!B746</f>
        <v/>
      </c>
      <c r="B758" s="3">
        <f>VLOOKUP(A758,'Production Plan'!B:Q,14,FALSE)</f>
        <v/>
      </c>
    </row>
    <row r="759" hidden="1">
      <c r="A759">
        <f>'Production Plan'!B747</f>
        <v/>
      </c>
      <c r="B759" s="3">
        <f>VLOOKUP(A759,'Production Plan'!B:Q,14,FALSE)</f>
        <v/>
      </c>
    </row>
    <row r="760" hidden="1">
      <c r="A760">
        <f>'Production Plan'!B748</f>
        <v/>
      </c>
      <c r="B760" s="3">
        <f>VLOOKUP(A760,'Production Plan'!B:Q,14,FALSE)</f>
        <v/>
      </c>
    </row>
    <row r="761" hidden="1">
      <c r="A761">
        <f>'Production Plan'!B749</f>
        <v/>
      </c>
      <c r="B761" s="3">
        <f>VLOOKUP(A761,'Production Plan'!B:Q,14,FALSE)</f>
        <v/>
      </c>
    </row>
    <row r="762" hidden="1">
      <c r="A762">
        <f>'Production Plan'!B750</f>
        <v/>
      </c>
      <c r="B762" s="3">
        <f>VLOOKUP(A762,'Production Plan'!B:Q,14,FALSE)</f>
        <v/>
      </c>
    </row>
    <row r="763" hidden="1">
      <c r="A763">
        <f>'Production Plan'!B751</f>
        <v/>
      </c>
      <c r="B763" s="3">
        <f>VLOOKUP(A763,'Production Plan'!B:Q,14,FALSE)</f>
        <v/>
      </c>
    </row>
    <row r="764" hidden="1">
      <c r="A764">
        <f>'Production Plan'!B752</f>
        <v/>
      </c>
      <c r="B764" s="3">
        <f>VLOOKUP(A764,'Production Plan'!B:Q,14,FALSE)</f>
        <v/>
      </c>
    </row>
    <row r="765" hidden="1">
      <c r="A765">
        <f>'Production Plan'!B753</f>
        <v/>
      </c>
      <c r="B765" s="3">
        <f>VLOOKUP(A765,'Production Plan'!B:Q,14,FALSE)</f>
        <v/>
      </c>
    </row>
    <row r="766" hidden="1">
      <c r="A766">
        <f>'Production Plan'!B754</f>
        <v/>
      </c>
      <c r="B766" s="3">
        <f>VLOOKUP(A766,'Production Plan'!B:Q,14,FALSE)</f>
        <v/>
      </c>
    </row>
    <row r="767" hidden="1">
      <c r="A767">
        <f>'Production Plan'!B755</f>
        <v/>
      </c>
      <c r="B767" s="3">
        <f>VLOOKUP(A767,'Production Plan'!B:Q,14,FALSE)</f>
        <v/>
      </c>
    </row>
    <row r="768" hidden="1">
      <c r="A768">
        <f>'Production Plan'!B756</f>
        <v/>
      </c>
      <c r="B768" s="3">
        <f>VLOOKUP(A768,'Production Plan'!B:Q,14,FALSE)</f>
        <v/>
      </c>
    </row>
    <row r="769" hidden="1">
      <c r="A769">
        <f>'Production Plan'!B757</f>
        <v/>
      </c>
      <c r="B769" s="3">
        <f>VLOOKUP(A769,'Production Plan'!B:Q,14,FALSE)</f>
        <v/>
      </c>
    </row>
    <row r="770" hidden="1">
      <c r="A770">
        <f>'Production Plan'!B758</f>
        <v/>
      </c>
      <c r="B770" s="3">
        <f>VLOOKUP(A770,'Production Plan'!B:Q,14,FALSE)</f>
        <v/>
      </c>
    </row>
    <row r="771" hidden="1">
      <c r="A771">
        <f>'Production Plan'!B759</f>
        <v/>
      </c>
      <c r="B771" s="3">
        <f>VLOOKUP(A771,'Production Plan'!B:Q,14,FALSE)</f>
        <v/>
      </c>
    </row>
    <row r="772" hidden="1">
      <c r="A772">
        <f>'Production Plan'!B760</f>
        <v/>
      </c>
      <c r="B772" s="3">
        <f>VLOOKUP(A772,'Production Plan'!B:Q,14,FALSE)</f>
        <v/>
      </c>
    </row>
    <row r="773" hidden="1">
      <c r="A773">
        <f>'Production Plan'!B761</f>
        <v/>
      </c>
      <c r="B773" s="3">
        <f>VLOOKUP(A773,'Production Plan'!B:Q,14,FALSE)</f>
        <v/>
      </c>
    </row>
    <row r="774" hidden="1">
      <c r="A774">
        <f>'Production Plan'!B762</f>
        <v/>
      </c>
      <c r="B774" s="3">
        <f>VLOOKUP(A774,'Production Plan'!B:Q,14,FALSE)</f>
        <v/>
      </c>
    </row>
    <row r="775" hidden="1">
      <c r="A775">
        <f>'Production Plan'!B763</f>
        <v/>
      </c>
      <c r="B775" s="3">
        <f>VLOOKUP(A775,'Production Plan'!B:Q,14,FALSE)</f>
        <v/>
      </c>
    </row>
    <row r="776" hidden="1">
      <c r="A776">
        <f>'Production Plan'!B764</f>
        <v/>
      </c>
      <c r="B776" s="3">
        <f>VLOOKUP(A776,'Production Plan'!B:Q,14,FALSE)</f>
        <v/>
      </c>
    </row>
    <row r="777" hidden="1">
      <c r="A777">
        <f>'Production Plan'!B765</f>
        <v/>
      </c>
      <c r="B777" s="3">
        <f>VLOOKUP(A777,'Production Plan'!B:Q,14,FALSE)</f>
        <v/>
      </c>
    </row>
    <row r="778" hidden="1">
      <c r="A778">
        <f>'Production Plan'!B766</f>
        <v/>
      </c>
      <c r="B778" s="3">
        <f>VLOOKUP(A778,'Production Plan'!B:Q,14,FALSE)</f>
        <v/>
      </c>
    </row>
    <row r="779" hidden="1">
      <c r="A779">
        <f>'Production Plan'!B767</f>
        <v/>
      </c>
      <c r="B779" s="3">
        <f>VLOOKUP(A779,'Production Plan'!B:Q,14,FALSE)</f>
        <v/>
      </c>
    </row>
    <row r="780" hidden="1">
      <c r="A780">
        <f>'Production Plan'!B768</f>
        <v/>
      </c>
      <c r="B780" s="3">
        <f>VLOOKUP(A780,'Production Plan'!B:Q,14,FALSE)</f>
        <v/>
      </c>
    </row>
    <row r="781" hidden="1">
      <c r="A781">
        <f>'Production Plan'!B769</f>
        <v/>
      </c>
      <c r="B781" s="3">
        <f>VLOOKUP(A781,'Production Plan'!B:Q,14,FALSE)</f>
        <v/>
      </c>
    </row>
    <row r="782" hidden="1">
      <c r="A782">
        <f>'Production Plan'!B770</f>
        <v/>
      </c>
      <c r="B782" s="3">
        <f>VLOOKUP(A782,'Production Plan'!B:Q,14,FALSE)</f>
        <v/>
      </c>
    </row>
    <row r="783" hidden="1">
      <c r="A783">
        <f>'Production Plan'!B771</f>
        <v/>
      </c>
      <c r="B783" s="3">
        <f>VLOOKUP(A783,'Production Plan'!B:Q,14,FALSE)</f>
        <v/>
      </c>
    </row>
    <row r="784" hidden="1">
      <c r="A784">
        <f>'Production Plan'!B772</f>
        <v/>
      </c>
      <c r="B784" s="3">
        <f>VLOOKUP(A784,'Production Plan'!B:Q,14,FALSE)</f>
        <v/>
      </c>
    </row>
    <row r="785" hidden="1">
      <c r="A785">
        <f>'Production Plan'!B773</f>
        <v/>
      </c>
      <c r="B785" s="3">
        <f>VLOOKUP(A785,'Production Plan'!B:Q,14,FALSE)</f>
        <v/>
      </c>
    </row>
    <row r="786" hidden="1">
      <c r="A786">
        <f>'Production Plan'!B774</f>
        <v/>
      </c>
      <c r="B786" s="3">
        <f>VLOOKUP(A786,'Production Plan'!B:Q,14,FALSE)</f>
        <v/>
      </c>
    </row>
    <row r="787" hidden="1">
      <c r="A787">
        <f>'Production Plan'!B775</f>
        <v/>
      </c>
      <c r="B787" s="3">
        <f>VLOOKUP(A787,'Production Plan'!B:Q,14,FALSE)</f>
        <v/>
      </c>
    </row>
    <row r="788" hidden="1">
      <c r="A788">
        <f>'Production Plan'!B776</f>
        <v/>
      </c>
      <c r="B788" s="3">
        <f>VLOOKUP(A788,'Production Plan'!B:Q,14,FALSE)</f>
        <v/>
      </c>
    </row>
    <row r="789" hidden="1">
      <c r="A789">
        <f>'Production Plan'!B777</f>
        <v/>
      </c>
      <c r="B789" s="3">
        <f>VLOOKUP(A789,'Production Plan'!B:Q,14,FALSE)</f>
        <v/>
      </c>
    </row>
    <row r="790" hidden="1">
      <c r="A790">
        <f>'Production Plan'!B778</f>
        <v/>
      </c>
      <c r="B790" s="3">
        <f>VLOOKUP(A790,'Production Plan'!B:Q,14,FALSE)</f>
        <v/>
      </c>
    </row>
    <row r="791" hidden="1">
      <c r="A791">
        <f>'Production Plan'!B779</f>
        <v/>
      </c>
      <c r="B791" s="3">
        <f>VLOOKUP(A791,'Production Plan'!B:Q,14,FALSE)</f>
        <v/>
      </c>
    </row>
    <row r="792" hidden="1">
      <c r="A792">
        <f>'Production Plan'!B780</f>
        <v/>
      </c>
      <c r="B792" s="3">
        <f>VLOOKUP(A792,'Production Plan'!B:Q,14,FALSE)</f>
        <v/>
      </c>
    </row>
    <row r="793" hidden="1">
      <c r="A793">
        <f>'Production Plan'!B781</f>
        <v/>
      </c>
      <c r="B793" s="3">
        <f>VLOOKUP(A793,'Production Plan'!B:Q,14,FALSE)</f>
        <v/>
      </c>
    </row>
    <row r="794" hidden="1">
      <c r="A794">
        <f>'Production Plan'!B782</f>
        <v/>
      </c>
      <c r="B794" s="3">
        <f>VLOOKUP(A794,'Production Plan'!B:Q,14,FALSE)</f>
        <v/>
      </c>
    </row>
    <row r="795" hidden="1">
      <c r="A795">
        <f>'Production Plan'!B783</f>
        <v/>
      </c>
      <c r="B795" s="3">
        <f>VLOOKUP(A795,'Production Plan'!B:Q,14,FALSE)</f>
        <v/>
      </c>
    </row>
    <row r="796" hidden="1">
      <c r="A796">
        <f>'Production Plan'!B784</f>
        <v/>
      </c>
      <c r="B796" s="3">
        <f>VLOOKUP(A796,'Production Plan'!B:Q,14,FALSE)</f>
        <v/>
      </c>
    </row>
    <row r="797" hidden="1">
      <c r="A797">
        <f>'Production Plan'!B785</f>
        <v/>
      </c>
      <c r="B797" s="3">
        <f>VLOOKUP(A797,'Production Plan'!B:Q,14,FALSE)</f>
        <v/>
      </c>
    </row>
    <row r="798" hidden="1">
      <c r="A798">
        <f>'Production Plan'!B786</f>
        <v/>
      </c>
      <c r="B798" s="3">
        <f>VLOOKUP(A798,'Production Plan'!B:Q,14,FALSE)</f>
        <v/>
      </c>
    </row>
    <row r="799" hidden="1">
      <c r="A799">
        <f>'Production Plan'!B787</f>
        <v/>
      </c>
      <c r="B799" s="3">
        <f>VLOOKUP(A799,'Production Plan'!B:Q,14,FALSE)</f>
        <v/>
      </c>
    </row>
    <row r="800" hidden="1">
      <c r="A800">
        <f>'Production Plan'!B788</f>
        <v/>
      </c>
      <c r="B800" s="3">
        <f>VLOOKUP(A800,'Production Plan'!B:Q,14,FALSE)</f>
        <v/>
      </c>
    </row>
    <row r="801" hidden="1">
      <c r="A801">
        <f>'Production Plan'!B789</f>
        <v/>
      </c>
      <c r="B801" s="3">
        <f>VLOOKUP(A801,'Production Plan'!B:Q,14,FALSE)</f>
        <v/>
      </c>
    </row>
    <row r="802" hidden="1">
      <c r="A802">
        <f>'Production Plan'!B790</f>
        <v/>
      </c>
      <c r="B802" s="3">
        <f>VLOOKUP(A802,'Production Plan'!B:Q,14,FALSE)</f>
        <v/>
      </c>
    </row>
    <row r="803" hidden="1">
      <c r="A803">
        <f>'Production Plan'!B791</f>
        <v/>
      </c>
      <c r="B803" s="3">
        <f>VLOOKUP(A803,'Production Plan'!B:Q,14,FALSE)</f>
        <v/>
      </c>
    </row>
    <row r="804" hidden="1">
      <c r="A804">
        <f>'Production Plan'!B792</f>
        <v/>
      </c>
      <c r="B804" s="3">
        <f>VLOOKUP(A804,'Production Plan'!B:Q,14,FALSE)</f>
        <v/>
      </c>
    </row>
    <row r="805" hidden="1">
      <c r="A805">
        <f>'Production Plan'!B793</f>
        <v/>
      </c>
      <c r="B805" s="3">
        <f>VLOOKUP(A805,'Production Plan'!B:Q,14,FALSE)</f>
        <v/>
      </c>
    </row>
    <row r="806" hidden="1">
      <c r="A806">
        <f>'Production Plan'!B794</f>
        <v/>
      </c>
      <c r="B806" s="3">
        <f>VLOOKUP(A806,'Production Plan'!B:Q,14,FALSE)</f>
        <v/>
      </c>
    </row>
    <row r="807" hidden="1">
      <c r="A807">
        <f>'Production Plan'!B795</f>
        <v/>
      </c>
      <c r="B807" s="3">
        <f>VLOOKUP(A807,'Production Plan'!B:Q,14,FALSE)</f>
        <v/>
      </c>
    </row>
    <row r="808" hidden="1">
      <c r="A808">
        <f>'Production Plan'!B796</f>
        <v/>
      </c>
      <c r="B808" s="3">
        <f>VLOOKUP(A808,'Production Plan'!B:Q,14,FALSE)</f>
        <v/>
      </c>
    </row>
    <row r="809" hidden="1">
      <c r="A809">
        <f>'Production Plan'!B797</f>
        <v/>
      </c>
      <c r="B809" s="3">
        <f>VLOOKUP(A809,'Production Plan'!B:Q,14,FALSE)</f>
        <v/>
      </c>
    </row>
    <row r="810" hidden="1">
      <c r="A810">
        <f>'Production Plan'!B798</f>
        <v/>
      </c>
      <c r="B810" s="3">
        <f>VLOOKUP(A810,'Production Plan'!B:Q,14,FALSE)</f>
        <v/>
      </c>
    </row>
    <row r="811" hidden="1">
      <c r="A811">
        <f>'Production Plan'!B799</f>
        <v/>
      </c>
      <c r="B811" s="3">
        <f>VLOOKUP(A811,'Production Plan'!B:Q,14,FALSE)</f>
        <v/>
      </c>
    </row>
    <row r="812" hidden="1">
      <c r="A812">
        <f>'Production Plan'!B800</f>
        <v/>
      </c>
      <c r="B812" s="3">
        <f>VLOOKUP(A812,'Production Plan'!B:Q,14,FALSE)</f>
        <v/>
      </c>
    </row>
    <row r="813" hidden="1">
      <c r="A813">
        <f>'Production Plan'!B801</f>
        <v/>
      </c>
      <c r="B813" s="3">
        <f>VLOOKUP(A813,'Production Plan'!B:Q,14,FALSE)</f>
        <v/>
      </c>
    </row>
    <row r="814" hidden="1">
      <c r="A814">
        <f>'Production Plan'!B802</f>
        <v/>
      </c>
      <c r="B814" s="3">
        <f>VLOOKUP(A814,'Production Plan'!B:Q,14,FALSE)</f>
        <v/>
      </c>
    </row>
    <row r="815" hidden="1">
      <c r="A815">
        <f>'Production Plan'!B803</f>
        <v/>
      </c>
      <c r="B815" s="3">
        <f>VLOOKUP(A815,'Production Plan'!B:Q,14,FALSE)</f>
        <v/>
      </c>
    </row>
    <row r="816" hidden="1">
      <c r="A816">
        <f>'Production Plan'!B804</f>
        <v/>
      </c>
      <c r="B816" s="3">
        <f>VLOOKUP(A816,'Production Plan'!B:Q,14,FALSE)</f>
        <v/>
      </c>
    </row>
    <row r="817" hidden="1">
      <c r="A817">
        <f>'Production Plan'!B805</f>
        <v/>
      </c>
      <c r="B817" s="3">
        <f>VLOOKUP(A817,'Production Plan'!B:Q,14,FALSE)</f>
        <v/>
      </c>
    </row>
    <row r="818" hidden="1">
      <c r="A818">
        <f>'Production Plan'!B806</f>
        <v/>
      </c>
      <c r="B818" s="3">
        <f>VLOOKUP(A818,'Production Plan'!B:Q,14,FALSE)</f>
        <v/>
      </c>
    </row>
    <row r="819" hidden="1">
      <c r="A819">
        <f>'Production Plan'!B807</f>
        <v/>
      </c>
      <c r="B819" s="3">
        <f>VLOOKUP(A819,'Production Plan'!B:Q,14,FALSE)</f>
        <v/>
      </c>
    </row>
    <row r="820" hidden="1">
      <c r="A820">
        <f>'Production Plan'!B808</f>
        <v/>
      </c>
      <c r="B820" s="3">
        <f>VLOOKUP(A820,'Production Plan'!B:Q,14,FALSE)</f>
        <v/>
      </c>
    </row>
    <row r="821" hidden="1">
      <c r="A821">
        <f>'Production Plan'!B809</f>
        <v/>
      </c>
      <c r="B821" s="3">
        <f>VLOOKUP(A821,'Production Plan'!B:Q,14,FALSE)</f>
        <v/>
      </c>
    </row>
    <row r="822" hidden="1">
      <c r="A822">
        <f>'Production Plan'!B810</f>
        <v/>
      </c>
      <c r="B822" s="3">
        <f>VLOOKUP(A822,'Production Plan'!B:Q,14,FALSE)</f>
        <v/>
      </c>
    </row>
    <row r="823" hidden="1">
      <c r="A823">
        <f>'Production Plan'!B811</f>
        <v/>
      </c>
      <c r="B823" s="3">
        <f>VLOOKUP(A823,'Production Plan'!B:Q,14,FALSE)</f>
        <v/>
      </c>
    </row>
    <row r="824" hidden="1">
      <c r="A824">
        <f>'Production Plan'!B812</f>
        <v/>
      </c>
      <c r="B824" s="3">
        <f>VLOOKUP(A824,'Production Plan'!B:Q,14,FALSE)</f>
        <v/>
      </c>
    </row>
    <row r="825" hidden="1">
      <c r="A825">
        <f>'Production Plan'!B813</f>
        <v/>
      </c>
      <c r="B825" s="3">
        <f>VLOOKUP(A825,'Production Plan'!B:Q,14,FALSE)</f>
        <v/>
      </c>
    </row>
    <row r="826" hidden="1">
      <c r="A826">
        <f>'Production Plan'!B814</f>
        <v/>
      </c>
      <c r="B826" s="3">
        <f>VLOOKUP(A826,'Production Plan'!B:Q,14,FALSE)</f>
        <v/>
      </c>
    </row>
    <row r="827" hidden="1">
      <c r="A827">
        <f>'Production Plan'!B815</f>
        <v/>
      </c>
      <c r="B827" s="3">
        <f>VLOOKUP(A827,'Production Plan'!B:Q,14,FALSE)</f>
        <v/>
      </c>
    </row>
    <row r="828" hidden="1">
      <c r="A828">
        <f>'Production Plan'!B816</f>
        <v/>
      </c>
      <c r="B828" s="3">
        <f>VLOOKUP(A828,'Production Plan'!B:Q,14,FALSE)</f>
        <v/>
      </c>
    </row>
    <row r="829" hidden="1">
      <c r="A829">
        <f>'Production Plan'!B817</f>
        <v/>
      </c>
      <c r="B829" s="3">
        <f>VLOOKUP(A829,'Production Plan'!B:Q,14,FALSE)</f>
        <v/>
      </c>
    </row>
    <row r="830" hidden="1">
      <c r="A830">
        <f>'Production Plan'!B818</f>
        <v/>
      </c>
      <c r="B830" s="3">
        <f>VLOOKUP(A830,'Production Plan'!B:Q,14,FALSE)</f>
        <v/>
      </c>
    </row>
    <row r="831" hidden="1">
      <c r="A831">
        <f>'Production Plan'!B819</f>
        <v/>
      </c>
      <c r="B831" s="3">
        <f>VLOOKUP(A831,'Production Plan'!B:Q,14,FALSE)</f>
        <v/>
      </c>
    </row>
    <row r="832" hidden="1">
      <c r="A832">
        <f>'Production Plan'!B820</f>
        <v/>
      </c>
      <c r="B832" s="3">
        <f>VLOOKUP(A832,'Production Plan'!B:Q,14,FALSE)</f>
        <v/>
      </c>
    </row>
    <row r="833" hidden="1">
      <c r="A833">
        <f>'Production Plan'!B821</f>
        <v/>
      </c>
      <c r="B833" s="3">
        <f>VLOOKUP(A833,'Production Plan'!B:Q,14,FALSE)</f>
        <v/>
      </c>
    </row>
    <row r="834" hidden="1">
      <c r="A834">
        <f>'Production Plan'!B822</f>
        <v/>
      </c>
      <c r="B834" s="3">
        <f>VLOOKUP(A834,'Production Plan'!B:Q,14,FALSE)</f>
        <v/>
      </c>
    </row>
    <row r="835" hidden="1">
      <c r="A835">
        <f>'Production Plan'!B823</f>
        <v/>
      </c>
      <c r="B835" s="3">
        <f>VLOOKUP(A835,'Production Plan'!B:Q,14,FALSE)</f>
        <v/>
      </c>
    </row>
    <row r="836" hidden="1">
      <c r="A836">
        <f>'Production Plan'!B824</f>
        <v/>
      </c>
      <c r="B836" s="3">
        <f>VLOOKUP(A836,'Production Plan'!B:Q,14,FALSE)</f>
        <v/>
      </c>
    </row>
    <row r="837" hidden="1">
      <c r="A837">
        <f>'Production Plan'!B825</f>
        <v/>
      </c>
      <c r="B837" s="3">
        <f>VLOOKUP(A837,'Production Plan'!B:Q,14,FALSE)</f>
        <v/>
      </c>
    </row>
    <row r="838" hidden="1">
      <c r="A838">
        <f>'Production Plan'!B826</f>
        <v/>
      </c>
      <c r="B838" s="3">
        <f>VLOOKUP(A838,'Production Plan'!B:Q,14,FALSE)</f>
        <v/>
      </c>
    </row>
    <row r="839" hidden="1">
      <c r="A839">
        <f>'Production Plan'!B827</f>
        <v/>
      </c>
      <c r="B839" s="3">
        <f>VLOOKUP(A839,'Production Plan'!B:Q,14,FALSE)</f>
        <v/>
      </c>
    </row>
    <row r="840" hidden="1">
      <c r="A840">
        <f>'Production Plan'!B828</f>
        <v/>
      </c>
      <c r="B840" s="3">
        <f>VLOOKUP(A840,'Production Plan'!B:Q,14,FALSE)</f>
        <v/>
      </c>
    </row>
    <row r="841" hidden="1">
      <c r="A841">
        <f>'Production Plan'!B829</f>
        <v/>
      </c>
      <c r="B841" s="3">
        <f>VLOOKUP(A841,'Production Plan'!B:Q,14,FALSE)</f>
        <v/>
      </c>
    </row>
    <row r="842" hidden="1">
      <c r="A842">
        <f>'Production Plan'!B830</f>
        <v/>
      </c>
      <c r="B842" s="3">
        <f>VLOOKUP(A842,'Production Plan'!B:Q,14,FALSE)</f>
        <v/>
      </c>
    </row>
    <row r="843" hidden="1">
      <c r="A843">
        <f>'Production Plan'!B831</f>
        <v/>
      </c>
      <c r="B843" s="3">
        <f>VLOOKUP(A843,'Production Plan'!B:Q,14,FALSE)</f>
        <v/>
      </c>
    </row>
    <row r="844" hidden="1">
      <c r="A844">
        <f>'Production Plan'!B832</f>
        <v/>
      </c>
      <c r="B844" s="3">
        <f>VLOOKUP(A844,'Production Plan'!B:Q,14,FALSE)</f>
        <v/>
      </c>
    </row>
    <row r="845" hidden="1">
      <c r="A845">
        <f>'Production Plan'!B833</f>
        <v/>
      </c>
      <c r="B845" s="3">
        <f>VLOOKUP(A845,'Production Plan'!B:Q,14,FALSE)</f>
        <v/>
      </c>
    </row>
    <row r="846" hidden="1">
      <c r="A846">
        <f>'Production Plan'!B834</f>
        <v/>
      </c>
      <c r="B846" s="3">
        <f>VLOOKUP(A846,'Production Plan'!B:Q,14,FALSE)</f>
        <v/>
      </c>
    </row>
    <row r="847" hidden="1">
      <c r="A847">
        <f>'Production Plan'!B835</f>
        <v/>
      </c>
      <c r="B847" s="3">
        <f>VLOOKUP(A847,'Production Plan'!B:Q,14,FALSE)</f>
        <v/>
      </c>
    </row>
    <row r="848" hidden="1">
      <c r="A848">
        <f>'Production Plan'!B836</f>
        <v/>
      </c>
      <c r="B848" s="3">
        <f>VLOOKUP(A848,'Production Plan'!B:Q,14,FALSE)</f>
        <v/>
      </c>
    </row>
    <row r="849" hidden="1">
      <c r="A849">
        <f>'Production Plan'!B837</f>
        <v/>
      </c>
      <c r="B849" s="3">
        <f>VLOOKUP(A849,'Production Plan'!B:Q,14,FALSE)</f>
        <v/>
      </c>
    </row>
    <row r="850" hidden="1">
      <c r="A850">
        <f>'Production Plan'!B838</f>
        <v/>
      </c>
      <c r="B850" s="3">
        <f>VLOOKUP(A850,'Production Plan'!B:Q,14,FALSE)</f>
        <v/>
      </c>
    </row>
    <row r="851" hidden="1">
      <c r="A851">
        <f>'Production Plan'!B839</f>
        <v/>
      </c>
      <c r="B851" s="3">
        <f>VLOOKUP(A851,'Production Plan'!B:Q,14,FALSE)</f>
        <v/>
      </c>
    </row>
    <row r="852" hidden="1">
      <c r="A852">
        <f>'Production Plan'!B840</f>
        <v/>
      </c>
      <c r="B852" s="3">
        <f>VLOOKUP(A852,'Production Plan'!B:Q,14,FALSE)</f>
        <v/>
      </c>
    </row>
    <row r="853" hidden="1">
      <c r="A853">
        <f>'Production Plan'!B841</f>
        <v/>
      </c>
      <c r="B853" s="3">
        <f>VLOOKUP(A853,'Production Plan'!B:Q,14,FALSE)</f>
        <v/>
      </c>
    </row>
    <row r="854" hidden="1">
      <c r="A854">
        <f>'Production Plan'!B842</f>
        <v/>
      </c>
      <c r="B854" s="3">
        <f>VLOOKUP(A854,'Production Plan'!B:Q,14,FALSE)</f>
        <v/>
      </c>
    </row>
    <row r="855" hidden="1">
      <c r="A855">
        <f>'Production Plan'!B843</f>
        <v/>
      </c>
      <c r="B855" s="3">
        <f>VLOOKUP(A855,'Production Plan'!B:Q,14,FALSE)</f>
        <v/>
      </c>
    </row>
    <row r="856" hidden="1">
      <c r="A856">
        <f>'Production Plan'!B844</f>
        <v/>
      </c>
      <c r="B856" s="3">
        <f>VLOOKUP(A856,'Production Plan'!B:Q,14,FALSE)</f>
        <v/>
      </c>
    </row>
    <row r="857" hidden="1">
      <c r="A857">
        <f>'Production Plan'!B845</f>
        <v/>
      </c>
      <c r="B857" s="3">
        <f>VLOOKUP(A857,'Production Plan'!B:Q,14,FALSE)</f>
        <v/>
      </c>
    </row>
    <row r="858" hidden="1">
      <c r="A858">
        <f>'Production Plan'!B846</f>
        <v/>
      </c>
      <c r="B858" s="3">
        <f>VLOOKUP(A858,'Production Plan'!B:Q,14,FALSE)</f>
        <v/>
      </c>
    </row>
    <row r="859" hidden="1">
      <c r="A859">
        <f>'Production Plan'!B847</f>
        <v/>
      </c>
      <c r="B859" s="3">
        <f>VLOOKUP(A859,'Production Plan'!B:Q,14,FALSE)</f>
        <v/>
      </c>
    </row>
    <row r="860" hidden="1">
      <c r="A860">
        <f>'Production Plan'!B848</f>
        <v/>
      </c>
      <c r="B860" s="3">
        <f>VLOOKUP(A860,'Production Plan'!B:Q,14,FALSE)</f>
        <v/>
      </c>
    </row>
    <row r="861" hidden="1">
      <c r="A861">
        <f>'Production Plan'!B849</f>
        <v/>
      </c>
      <c r="B861" s="3">
        <f>VLOOKUP(A861,'Production Plan'!B:Q,14,FALSE)</f>
        <v/>
      </c>
    </row>
    <row r="862" hidden="1">
      <c r="A862">
        <f>'Production Plan'!B850</f>
        <v/>
      </c>
      <c r="B862" s="3">
        <f>VLOOKUP(A862,'Production Plan'!B:Q,14,FALSE)</f>
        <v/>
      </c>
    </row>
    <row r="863" hidden="1">
      <c r="A863">
        <f>'Production Plan'!B851</f>
        <v/>
      </c>
      <c r="B863" s="3">
        <f>VLOOKUP(A863,'Production Plan'!B:Q,14,FALSE)</f>
        <v/>
      </c>
    </row>
    <row r="864" hidden="1">
      <c r="A864">
        <f>'Production Plan'!B852</f>
        <v/>
      </c>
      <c r="B864" s="3">
        <f>VLOOKUP(A864,'Production Plan'!B:Q,14,FALSE)</f>
        <v/>
      </c>
    </row>
    <row r="865" hidden="1">
      <c r="A865">
        <f>'Production Plan'!B853</f>
        <v/>
      </c>
      <c r="B865" s="3">
        <f>VLOOKUP(A865,'Production Plan'!B:Q,14,FALSE)</f>
        <v/>
      </c>
    </row>
    <row r="866" hidden="1">
      <c r="A866">
        <f>'Production Plan'!B854</f>
        <v/>
      </c>
      <c r="B866" s="3">
        <f>VLOOKUP(A866,'Production Plan'!B:Q,14,FALSE)</f>
        <v/>
      </c>
    </row>
    <row r="867" hidden="1">
      <c r="A867">
        <f>'Production Plan'!B855</f>
        <v/>
      </c>
      <c r="B867" s="3">
        <f>VLOOKUP(A867,'Production Plan'!B:Q,14,FALSE)</f>
        <v/>
      </c>
    </row>
    <row r="868" hidden="1">
      <c r="A868">
        <f>'Production Plan'!B856</f>
        <v/>
      </c>
      <c r="B868" s="3">
        <f>VLOOKUP(A868,'Production Plan'!B:Q,14,FALSE)</f>
        <v/>
      </c>
    </row>
    <row r="869" hidden="1">
      <c r="A869">
        <f>'Production Plan'!B857</f>
        <v/>
      </c>
      <c r="B869" s="3">
        <f>VLOOKUP(A869,'Production Plan'!B:Q,14,FALSE)</f>
        <v/>
      </c>
    </row>
    <row r="870" hidden="1">
      <c r="A870">
        <f>'Production Plan'!B858</f>
        <v/>
      </c>
      <c r="B870" s="3">
        <f>VLOOKUP(A870,'Production Plan'!B:Q,14,FALSE)</f>
        <v/>
      </c>
    </row>
    <row r="871" hidden="1">
      <c r="A871">
        <f>'Production Plan'!B859</f>
        <v/>
      </c>
      <c r="B871" s="3">
        <f>VLOOKUP(A871,'Production Plan'!B:Q,14,FALSE)</f>
        <v/>
      </c>
    </row>
    <row r="872" hidden="1">
      <c r="A872">
        <f>'Production Plan'!B860</f>
        <v/>
      </c>
      <c r="B872" s="3">
        <f>VLOOKUP(A872,'Production Plan'!B:Q,14,FALSE)</f>
        <v/>
      </c>
    </row>
    <row r="873" hidden="1">
      <c r="A873">
        <f>'Production Plan'!B861</f>
        <v/>
      </c>
      <c r="B873" s="3">
        <f>VLOOKUP(A873,'Production Plan'!B:Q,14,FALSE)</f>
        <v/>
      </c>
    </row>
    <row r="874" hidden="1">
      <c r="A874">
        <f>'Production Plan'!B862</f>
        <v/>
      </c>
      <c r="B874" s="3">
        <f>VLOOKUP(A874,'Production Plan'!B:Q,14,FALSE)</f>
        <v/>
      </c>
    </row>
    <row r="875" hidden="1">
      <c r="A875">
        <f>'Production Plan'!B863</f>
        <v/>
      </c>
      <c r="B875" s="3">
        <f>VLOOKUP(A875,'Production Plan'!B:Q,14,FALSE)</f>
        <v/>
      </c>
    </row>
    <row r="876" hidden="1">
      <c r="A876">
        <f>'Production Plan'!B864</f>
        <v/>
      </c>
      <c r="B876" s="3">
        <f>VLOOKUP(A876,'Production Plan'!B:Q,14,FALSE)</f>
        <v/>
      </c>
    </row>
    <row r="877" hidden="1">
      <c r="A877">
        <f>'Production Plan'!B865</f>
        <v/>
      </c>
      <c r="B877" s="3">
        <f>VLOOKUP(A877,'Production Plan'!B:Q,14,FALSE)</f>
        <v/>
      </c>
    </row>
    <row r="878" hidden="1">
      <c r="A878">
        <f>'Production Plan'!B866</f>
        <v/>
      </c>
      <c r="B878" s="3">
        <f>VLOOKUP(A878,'Production Plan'!B:Q,14,FALSE)</f>
        <v/>
      </c>
    </row>
    <row r="879" hidden="1">
      <c r="A879">
        <f>'Production Plan'!B867</f>
        <v/>
      </c>
      <c r="B879" s="3">
        <f>VLOOKUP(A879,'Production Plan'!B:Q,14,FALSE)</f>
        <v/>
      </c>
    </row>
    <row r="880" hidden="1">
      <c r="A880">
        <f>'Production Plan'!B868</f>
        <v/>
      </c>
      <c r="B880" s="3">
        <f>VLOOKUP(A880,'Production Plan'!B:Q,14,FALSE)</f>
        <v/>
      </c>
    </row>
    <row r="881" hidden="1">
      <c r="A881">
        <f>'Production Plan'!B869</f>
        <v/>
      </c>
      <c r="B881" s="3">
        <f>VLOOKUP(A881,'Production Plan'!B:Q,14,FALSE)</f>
        <v/>
      </c>
    </row>
    <row r="882" hidden="1">
      <c r="A882">
        <f>'Production Plan'!B870</f>
        <v/>
      </c>
      <c r="B882" s="3">
        <f>VLOOKUP(A882,'Production Plan'!B:Q,14,FALSE)</f>
        <v/>
      </c>
    </row>
    <row r="883" hidden="1">
      <c r="A883">
        <f>'Production Plan'!B871</f>
        <v/>
      </c>
      <c r="B883" s="3">
        <f>VLOOKUP(A883,'Production Plan'!B:Q,14,FALSE)</f>
        <v/>
      </c>
    </row>
    <row r="884" hidden="1">
      <c r="A884">
        <f>'Production Plan'!B872</f>
        <v/>
      </c>
      <c r="B884" s="3">
        <f>VLOOKUP(A884,'Production Plan'!B:Q,14,FALSE)</f>
        <v/>
      </c>
    </row>
    <row r="885" hidden="1">
      <c r="A885">
        <f>'Production Plan'!B873</f>
        <v/>
      </c>
      <c r="B885" s="3">
        <f>VLOOKUP(A885,'Production Plan'!B:Q,14,FALSE)</f>
        <v/>
      </c>
    </row>
    <row r="886" hidden="1">
      <c r="A886">
        <f>'Production Plan'!B874</f>
        <v/>
      </c>
      <c r="B886" s="3">
        <f>VLOOKUP(A886,'Production Plan'!B:Q,14,FALSE)</f>
        <v/>
      </c>
    </row>
    <row r="887" hidden="1">
      <c r="A887">
        <f>'Production Plan'!B875</f>
        <v/>
      </c>
      <c r="B887" s="3">
        <f>VLOOKUP(A887,'Production Plan'!B:Q,14,FALSE)</f>
        <v/>
      </c>
    </row>
    <row r="888" hidden="1">
      <c r="A888">
        <f>'Production Plan'!B876</f>
        <v/>
      </c>
      <c r="B888" s="3">
        <f>VLOOKUP(A888,'Production Plan'!B:Q,14,FALSE)</f>
        <v/>
      </c>
    </row>
    <row r="889" hidden="1">
      <c r="A889">
        <f>'Production Plan'!B877</f>
        <v/>
      </c>
      <c r="B889" s="3">
        <f>VLOOKUP(A889,'Production Plan'!B:Q,14,FALSE)</f>
        <v/>
      </c>
    </row>
    <row r="890" hidden="1">
      <c r="A890">
        <f>'Production Plan'!B878</f>
        <v/>
      </c>
      <c r="B890" s="3">
        <f>VLOOKUP(A890,'Production Plan'!B:Q,14,FALSE)</f>
        <v/>
      </c>
    </row>
    <row r="891" hidden="1">
      <c r="A891">
        <f>'Production Plan'!B879</f>
        <v/>
      </c>
      <c r="B891" s="3">
        <f>VLOOKUP(A891,'Production Plan'!B:Q,14,FALSE)</f>
        <v/>
      </c>
    </row>
    <row r="892" hidden="1">
      <c r="A892">
        <f>'Production Plan'!B880</f>
        <v/>
      </c>
      <c r="B892" s="3">
        <f>VLOOKUP(A892,'Production Plan'!B:Q,14,FALSE)</f>
        <v/>
      </c>
    </row>
    <row r="893" hidden="1">
      <c r="A893">
        <f>'Production Plan'!B881</f>
        <v/>
      </c>
      <c r="B893" s="3">
        <f>VLOOKUP(A893,'Production Plan'!B:Q,14,FALSE)</f>
        <v/>
      </c>
    </row>
    <row r="894" hidden="1">
      <c r="A894">
        <f>'Production Plan'!B882</f>
        <v/>
      </c>
      <c r="B894" s="3">
        <f>VLOOKUP(A894,'Production Plan'!B:Q,14,FALSE)</f>
        <v/>
      </c>
    </row>
    <row r="895" hidden="1">
      <c r="A895">
        <f>'Production Plan'!B883</f>
        <v/>
      </c>
      <c r="B895" s="3">
        <f>VLOOKUP(A895,'Production Plan'!B:Q,14,FALSE)</f>
        <v/>
      </c>
    </row>
    <row r="896" hidden="1">
      <c r="A896">
        <f>'Production Plan'!B884</f>
        <v/>
      </c>
      <c r="B896" s="3">
        <f>VLOOKUP(A896,'Production Plan'!B:Q,14,FALSE)</f>
        <v/>
      </c>
    </row>
    <row r="897" hidden="1">
      <c r="A897">
        <f>'Production Plan'!B885</f>
        <v/>
      </c>
      <c r="B897" s="3">
        <f>VLOOKUP(A897,'Production Plan'!B:Q,14,FALSE)</f>
        <v/>
      </c>
    </row>
    <row r="898" hidden="1">
      <c r="A898">
        <f>'Production Plan'!B886</f>
        <v/>
      </c>
      <c r="B898" s="3">
        <f>VLOOKUP(A898,'Production Plan'!B:Q,14,FALSE)</f>
        <v/>
      </c>
    </row>
    <row r="899" hidden="1">
      <c r="A899">
        <f>'Production Plan'!B887</f>
        <v/>
      </c>
      <c r="B899" s="3">
        <f>VLOOKUP(A899,'Production Plan'!B:Q,14,FALSE)</f>
        <v/>
      </c>
    </row>
    <row r="900" hidden="1">
      <c r="A900">
        <f>'Production Plan'!B888</f>
        <v/>
      </c>
      <c r="B900" s="3">
        <f>VLOOKUP(A900,'Production Plan'!B:Q,14,FALSE)</f>
        <v/>
      </c>
    </row>
    <row r="901" hidden="1">
      <c r="A901">
        <f>'Production Plan'!B889</f>
        <v/>
      </c>
      <c r="B901" s="3">
        <f>VLOOKUP(A901,'Production Plan'!B:Q,14,FALSE)</f>
        <v/>
      </c>
    </row>
    <row r="902" hidden="1">
      <c r="A902">
        <f>'Production Plan'!B890</f>
        <v/>
      </c>
      <c r="B902" s="3">
        <f>VLOOKUP(A902,'Production Plan'!B:Q,14,FALSE)</f>
        <v/>
      </c>
    </row>
    <row r="903" hidden="1">
      <c r="A903">
        <f>'Production Plan'!B891</f>
        <v/>
      </c>
      <c r="B903" s="3">
        <f>VLOOKUP(A903,'Production Plan'!B:Q,14,FALSE)</f>
        <v/>
      </c>
    </row>
    <row r="904" hidden="1">
      <c r="A904">
        <f>'Production Plan'!B892</f>
        <v/>
      </c>
      <c r="B904" s="3">
        <f>VLOOKUP(A904,'Production Plan'!B:Q,14,FALSE)</f>
        <v/>
      </c>
    </row>
    <row r="905" hidden="1">
      <c r="A905">
        <f>'Production Plan'!B893</f>
        <v/>
      </c>
      <c r="B905" s="3">
        <f>VLOOKUP(A905,'Production Plan'!B:Q,14,FALSE)</f>
        <v/>
      </c>
    </row>
    <row r="906" hidden="1">
      <c r="A906">
        <f>'Production Plan'!B894</f>
        <v/>
      </c>
      <c r="B906" s="3">
        <f>VLOOKUP(A906,'Production Plan'!B:Q,14,FALSE)</f>
        <v/>
      </c>
    </row>
    <row r="907" hidden="1">
      <c r="A907">
        <f>'Production Plan'!B895</f>
        <v/>
      </c>
      <c r="B907" s="3">
        <f>VLOOKUP(A907,'Production Plan'!B:Q,14,FALSE)</f>
        <v/>
      </c>
    </row>
    <row r="908" hidden="1">
      <c r="A908">
        <f>'Production Plan'!B896</f>
        <v/>
      </c>
      <c r="B908" s="3">
        <f>VLOOKUP(A908,'Production Plan'!B:Q,14,FALSE)</f>
        <v/>
      </c>
    </row>
    <row r="909" hidden="1">
      <c r="A909">
        <f>'Production Plan'!B897</f>
        <v/>
      </c>
      <c r="B909" s="3">
        <f>VLOOKUP(A909,'Production Plan'!B:Q,14,FALSE)</f>
        <v/>
      </c>
    </row>
    <row r="910" hidden="1">
      <c r="A910">
        <f>'Production Plan'!B898</f>
        <v/>
      </c>
      <c r="B910" s="3">
        <f>VLOOKUP(A910,'Production Plan'!B:Q,14,FALSE)</f>
        <v/>
      </c>
    </row>
    <row r="911" hidden="1">
      <c r="A911">
        <f>'Production Plan'!B899</f>
        <v/>
      </c>
      <c r="B911" s="3">
        <f>VLOOKUP(A911,'Production Plan'!B:Q,14,FALSE)</f>
        <v/>
      </c>
    </row>
    <row r="912" hidden="1">
      <c r="A912">
        <f>'Production Plan'!B900</f>
        <v/>
      </c>
      <c r="B912" s="3">
        <f>VLOOKUP(A912,'Production Plan'!B:Q,14,FALSE)</f>
        <v/>
      </c>
    </row>
    <row r="913" hidden="1">
      <c r="A913">
        <f>'Production Plan'!B901</f>
        <v/>
      </c>
      <c r="B913" s="3">
        <f>VLOOKUP(A913,'Production Plan'!B:Q,14,FALSE)</f>
        <v/>
      </c>
    </row>
    <row r="914" hidden="1">
      <c r="A914">
        <f>'Production Plan'!B902</f>
        <v/>
      </c>
      <c r="B914" s="3">
        <f>VLOOKUP(A914,'Production Plan'!B:Q,14,FALSE)</f>
        <v/>
      </c>
    </row>
    <row r="915" hidden="1">
      <c r="A915">
        <f>'Production Plan'!B903</f>
        <v/>
      </c>
      <c r="B915" s="3">
        <f>VLOOKUP(A915,'Production Plan'!B:Q,14,FALSE)</f>
        <v/>
      </c>
    </row>
    <row r="916" hidden="1">
      <c r="A916">
        <f>'Production Plan'!B904</f>
        <v/>
      </c>
      <c r="B916" s="3">
        <f>VLOOKUP(A916,'Production Plan'!B:Q,14,FALSE)</f>
        <v/>
      </c>
    </row>
    <row r="917" hidden="1">
      <c r="A917">
        <f>'Production Plan'!B905</f>
        <v/>
      </c>
      <c r="B917" s="3">
        <f>VLOOKUP(A917,'Production Plan'!B:Q,14,FALSE)</f>
        <v/>
      </c>
    </row>
    <row r="918" hidden="1">
      <c r="A918">
        <f>'Production Plan'!B906</f>
        <v/>
      </c>
      <c r="B918" s="3">
        <f>VLOOKUP(A918,'Production Plan'!B:Q,14,FALSE)</f>
        <v/>
      </c>
    </row>
    <row r="919" hidden="1">
      <c r="A919">
        <f>'Production Plan'!B907</f>
        <v/>
      </c>
      <c r="B919" s="3">
        <f>VLOOKUP(A919,'Production Plan'!B:Q,14,FALSE)</f>
        <v/>
      </c>
    </row>
    <row r="920" hidden="1">
      <c r="A920">
        <f>'Production Plan'!B908</f>
        <v/>
      </c>
      <c r="B920" s="3">
        <f>VLOOKUP(A920,'Production Plan'!B:Q,14,FALSE)</f>
        <v/>
      </c>
    </row>
    <row r="921" hidden="1">
      <c r="A921">
        <f>'Production Plan'!B909</f>
        <v/>
      </c>
      <c r="B921" s="3">
        <f>VLOOKUP(A921,'Production Plan'!B:Q,14,FALSE)</f>
        <v/>
      </c>
    </row>
    <row r="922" hidden="1">
      <c r="A922">
        <f>'Production Plan'!B910</f>
        <v/>
      </c>
      <c r="B922" s="3">
        <f>VLOOKUP(A922,'Production Plan'!B:Q,14,FALSE)</f>
        <v/>
      </c>
    </row>
    <row r="923" hidden="1">
      <c r="A923">
        <f>'Production Plan'!B911</f>
        <v/>
      </c>
      <c r="B923" s="3">
        <f>VLOOKUP(A923,'Production Plan'!B:Q,14,FALSE)</f>
        <v/>
      </c>
    </row>
    <row r="924" hidden="1">
      <c r="A924">
        <f>'Production Plan'!B912</f>
        <v/>
      </c>
      <c r="B924" s="3">
        <f>VLOOKUP(A924,'Production Plan'!B:Q,14,FALSE)</f>
        <v/>
      </c>
    </row>
    <row r="925" hidden="1">
      <c r="A925">
        <f>'Production Plan'!B913</f>
        <v/>
      </c>
      <c r="B925" s="3">
        <f>VLOOKUP(A925,'Production Plan'!B:Q,14,FALSE)</f>
        <v/>
      </c>
    </row>
    <row r="926" hidden="1">
      <c r="A926">
        <f>'Production Plan'!B914</f>
        <v/>
      </c>
      <c r="B926" s="3">
        <f>VLOOKUP(A926,'Production Plan'!B:Q,14,FALSE)</f>
        <v/>
      </c>
    </row>
    <row r="927" hidden="1">
      <c r="A927">
        <f>'Production Plan'!B915</f>
        <v/>
      </c>
      <c r="B927" s="3">
        <f>VLOOKUP(A927,'Production Plan'!B:Q,14,FALSE)</f>
        <v/>
      </c>
    </row>
    <row r="928" hidden="1">
      <c r="A928">
        <f>'Production Plan'!B916</f>
        <v/>
      </c>
      <c r="B928" s="3">
        <f>VLOOKUP(A928,'Production Plan'!B:Q,14,FALSE)</f>
        <v/>
      </c>
    </row>
    <row r="929" hidden="1">
      <c r="A929">
        <f>'Production Plan'!B917</f>
        <v/>
      </c>
      <c r="B929" s="3">
        <f>VLOOKUP(A929,'Production Plan'!B:Q,14,FALSE)</f>
        <v/>
      </c>
    </row>
    <row r="930" hidden="1">
      <c r="A930">
        <f>'Production Plan'!B918</f>
        <v/>
      </c>
      <c r="B930" s="3">
        <f>VLOOKUP(A930,'Production Plan'!B:Q,14,FALSE)</f>
        <v/>
      </c>
    </row>
    <row r="931" hidden="1">
      <c r="A931">
        <f>'Production Plan'!B919</f>
        <v/>
      </c>
      <c r="B931" s="3">
        <f>VLOOKUP(A931,'Production Plan'!B:Q,14,FALSE)</f>
        <v/>
      </c>
    </row>
    <row r="932" hidden="1">
      <c r="A932">
        <f>'Production Plan'!B920</f>
        <v/>
      </c>
      <c r="B932" s="3">
        <f>VLOOKUP(A932,'Production Plan'!B:Q,14,FALSE)</f>
        <v/>
      </c>
    </row>
    <row r="933" hidden="1">
      <c r="A933">
        <f>'Production Plan'!B921</f>
        <v/>
      </c>
      <c r="B933" s="3">
        <f>VLOOKUP(A933,'Production Plan'!B:Q,14,FALSE)</f>
        <v/>
      </c>
    </row>
    <row r="934" hidden="1">
      <c r="A934">
        <f>'Production Plan'!B922</f>
        <v/>
      </c>
      <c r="B934" s="3">
        <f>VLOOKUP(A934,'Production Plan'!B:Q,14,FALSE)</f>
        <v/>
      </c>
    </row>
    <row r="935" hidden="1">
      <c r="A935">
        <f>'Production Plan'!B923</f>
        <v/>
      </c>
      <c r="B935" s="3">
        <f>VLOOKUP(A935,'Production Plan'!B:Q,14,FALSE)</f>
        <v/>
      </c>
    </row>
    <row r="936" hidden="1">
      <c r="A936">
        <f>'Production Plan'!B924</f>
        <v/>
      </c>
      <c r="B936" s="3">
        <f>VLOOKUP(A936,'Production Plan'!B:Q,14,FALSE)</f>
        <v/>
      </c>
    </row>
    <row r="937" hidden="1">
      <c r="A937">
        <f>'Production Plan'!B925</f>
        <v/>
      </c>
      <c r="B937" s="3">
        <f>VLOOKUP(A937,'Production Plan'!B:Q,14,FALSE)</f>
        <v/>
      </c>
    </row>
    <row r="938" hidden="1">
      <c r="A938">
        <f>'Production Plan'!B926</f>
        <v/>
      </c>
      <c r="B938" s="3">
        <f>VLOOKUP(A938,'Production Plan'!B:Q,14,FALSE)</f>
        <v/>
      </c>
    </row>
    <row r="939" hidden="1">
      <c r="A939">
        <f>'Production Plan'!B927</f>
        <v/>
      </c>
      <c r="B939" s="3">
        <f>VLOOKUP(A939,'Production Plan'!B:Q,14,FALSE)</f>
        <v/>
      </c>
    </row>
    <row r="940" hidden="1">
      <c r="A940">
        <f>'Production Plan'!B928</f>
        <v/>
      </c>
      <c r="B940" s="3">
        <f>VLOOKUP(A940,'Production Plan'!B:Q,14,FALSE)</f>
        <v/>
      </c>
    </row>
    <row r="941" hidden="1">
      <c r="A941">
        <f>'Production Plan'!B929</f>
        <v/>
      </c>
      <c r="B941" s="3">
        <f>VLOOKUP(A941,'Production Plan'!B:Q,14,FALSE)</f>
        <v/>
      </c>
    </row>
    <row r="942" hidden="1">
      <c r="A942">
        <f>'Production Plan'!B930</f>
        <v/>
      </c>
      <c r="B942" s="3">
        <f>VLOOKUP(A942,'Production Plan'!B:Q,14,FALSE)</f>
        <v/>
      </c>
    </row>
    <row r="943" hidden="1">
      <c r="A943">
        <f>'Production Plan'!B931</f>
        <v/>
      </c>
      <c r="B943" s="3">
        <f>VLOOKUP(A943,'Production Plan'!B:Q,14,FALSE)</f>
        <v/>
      </c>
    </row>
    <row r="944" hidden="1">
      <c r="A944">
        <f>'Production Plan'!B932</f>
        <v/>
      </c>
      <c r="B944" s="3">
        <f>VLOOKUP(A944,'Production Plan'!B:Q,14,FALSE)</f>
        <v/>
      </c>
    </row>
    <row r="945" hidden="1">
      <c r="A945">
        <f>'Production Plan'!B933</f>
        <v/>
      </c>
      <c r="B945" s="3">
        <f>VLOOKUP(A945,'Production Plan'!B:Q,14,FALSE)</f>
        <v/>
      </c>
    </row>
    <row r="946" hidden="1">
      <c r="A946">
        <f>'Production Plan'!B934</f>
        <v/>
      </c>
      <c r="B946" s="3">
        <f>VLOOKUP(A946,'Production Plan'!B:Q,14,FALSE)</f>
        <v/>
      </c>
    </row>
    <row r="947" hidden="1">
      <c r="A947">
        <f>'Production Plan'!B935</f>
        <v/>
      </c>
      <c r="B947" s="3">
        <f>VLOOKUP(A947,'Production Plan'!B:Q,14,FALSE)</f>
        <v/>
      </c>
    </row>
    <row r="948" hidden="1">
      <c r="A948">
        <f>'Production Plan'!B936</f>
        <v/>
      </c>
      <c r="B948" s="3">
        <f>VLOOKUP(A948,'Production Plan'!B:Q,14,FALSE)</f>
        <v/>
      </c>
    </row>
    <row r="949" hidden="1">
      <c r="A949">
        <f>'Production Plan'!B937</f>
        <v/>
      </c>
      <c r="B949" s="3">
        <f>VLOOKUP(A949,'Production Plan'!B:Q,14,FALSE)</f>
        <v/>
      </c>
    </row>
    <row r="950" hidden="1">
      <c r="A950">
        <f>'Production Plan'!B938</f>
        <v/>
      </c>
      <c r="B950" s="3">
        <f>VLOOKUP(A950,'Production Plan'!B:Q,14,FALSE)</f>
        <v/>
      </c>
    </row>
    <row r="951" hidden="1">
      <c r="A951">
        <f>'Production Plan'!B939</f>
        <v/>
      </c>
      <c r="B951" s="3">
        <f>VLOOKUP(A951,'Production Plan'!B:Q,14,FALSE)</f>
        <v/>
      </c>
    </row>
    <row r="952" hidden="1">
      <c r="A952">
        <f>'Production Plan'!B940</f>
        <v/>
      </c>
      <c r="B952" s="3">
        <f>VLOOKUP(A952,'Production Plan'!B:Q,14,FALSE)</f>
        <v/>
      </c>
    </row>
    <row r="953" hidden="1">
      <c r="A953">
        <f>'Production Plan'!B941</f>
        <v/>
      </c>
      <c r="B953" s="3">
        <f>VLOOKUP(A953,'Production Plan'!B:Q,14,FALSE)</f>
        <v/>
      </c>
    </row>
    <row r="954" hidden="1">
      <c r="A954">
        <f>'Production Plan'!B942</f>
        <v/>
      </c>
      <c r="B954" s="3">
        <f>VLOOKUP(A954,'Production Plan'!B:Q,14,FALSE)</f>
        <v/>
      </c>
    </row>
    <row r="955" hidden="1">
      <c r="A955">
        <f>'Production Plan'!B943</f>
        <v/>
      </c>
      <c r="B955" s="3">
        <f>VLOOKUP(A955,'Production Plan'!B:Q,14,FALSE)</f>
        <v/>
      </c>
    </row>
    <row r="956" hidden="1">
      <c r="A956">
        <f>'Production Plan'!B944</f>
        <v/>
      </c>
      <c r="B956" s="3">
        <f>VLOOKUP(A956,'Production Plan'!B:Q,14,FALSE)</f>
        <v/>
      </c>
    </row>
    <row r="957" hidden="1">
      <c r="A957">
        <f>'Production Plan'!B945</f>
        <v/>
      </c>
      <c r="B957" s="3">
        <f>VLOOKUP(A957,'Production Plan'!B:Q,14,FALSE)</f>
        <v/>
      </c>
    </row>
    <row r="958" hidden="1">
      <c r="A958">
        <f>'Production Plan'!B946</f>
        <v/>
      </c>
      <c r="B958" s="3">
        <f>VLOOKUP(A958,'Production Plan'!B:Q,14,FALSE)</f>
        <v/>
      </c>
    </row>
    <row r="959" hidden="1">
      <c r="A959">
        <f>'Production Plan'!B947</f>
        <v/>
      </c>
      <c r="B959" s="3">
        <f>VLOOKUP(A959,'Production Plan'!B:Q,14,FALSE)</f>
        <v/>
      </c>
    </row>
    <row r="960" hidden="1">
      <c r="A960">
        <f>'Production Plan'!B948</f>
        <v/>
      </c>
      <c r="B960" s="3">
        <f>VLOOKUP(A960,'Production Plan'!B:Q,14,FALSE)</f>
        <v/>
      </c>
    </row>
    <row r="961" hidden="1">
      <c r="A961">
        <f>'Production Plan'!B949</f>
        <v/>
      </c>
      <c r="B961" s="3">
        <f>VLOOKUP(A961,'Production Plan'!B:Q,14,FALSE)</f>
        <v/>
      </c>
    </row>
    <row r="962" hidden="1">
      <c r="A962">
        <f>'Production Plan'!B950</f>
        <v/>
      </c>
      <c r="B962" s="3">
        <f>VLOOKUP(A962,'Production Plan'!B:Q,14,FALSE)</f>
        <v/>
      </c>
    </row>
    <row r="963" hidden="1">
      <c r="A963">
        <f>'Production Plan'!B951</f>
        <v/>
      </c>
      <c r="B963" s="3">
        <f>VLOOKUP(A963,'Production Plan'!B:Q,14,FALSE)</f>
        <v/>
      </c>
    </row>
    <row r="964" hidden="1">
      <c r="A964">
        <f>'Production Plan'!B952</f>
        <v/>
      </c>
      <c r="B964" s="3">
        <f>VLOOKUP(A964,'Production Plan'!B:Q,14,FALSE)</f>
        <v/>
      </c>
    </row>
    <row r="965" hidden="1">
      <c r="A965">
        <f>'Production Plan'!B953</f>
        <v/>
      </c>
      <c r="B965" s="3">
        <f>VLOOKUP(A965,'Production Plan'!B:Q,14,FALSE)</f>
        <v/>
      </c>
    </row>
    <row r="966" hidden="1">
      <c r="A966">
        <f>'Production Plan'!B954</f>
        <v/>
      </c>
      <c r="B966" s="3">
        <f>VLOOKUP(A966,'Production Plan'!B:Q,14,FALSE)</f>
        <v/>
      </c>
    </row>
    <row r="967" hidden="1">
      <c r="A967">
        <f>'Production Plan'!B955</f>
        <v/>
      </c>
      <c r="B967" s="3">
        <f>VLOOKUP(A967,'Production Plan'!B:Q,14,FALSE)</f>
        <v/>
      </c>
    </row>
    <row r="968" hidden="1">
      <c r="A968">
        <f>'Production Plan'!B956</f>
        <v/>
      </c>
      <c r="B968" s="3">
        <f>VLOOKUP(A968,'Production Plan'!B:Q,14,FALSE)</f>
        <v/>
      </c>
    </row>
    <row r="969" hidden="1">
      <c r="A969">
        <f>'Production Plan'!B957</f>
        <v/>
      </c>
      <c r="B969" s="3">
        <f>VLOOKUP(A969,'Production Plan'!B:Q,14,FALSE)</f>
        <v/>
      </c>
    </row>
    <row r="970" hidden="1">
      <c r="A970">
        <f>'Production Plan'!B958</f>
        <v/>
      </c>
      <c r="B970" s="3">
        <f>VLOOKUP(A970,'Production Plan'!B:Q,14,FALSE)</f>
        <v/>
      </c>
    </row>
    <row r="971" hidden="1">
      <c r="A971">
        <f>'Production Plan'!B959</f>
        <v/>
      </c>
      <c r="B971" s="3">
        <f>VLOOKUP(A971,'Production Plan'!B:Q,14,FALSE)</f>
        <v/>
      </c>
    </row>
    <row r="972" hidden="1">
      <c r="A972">
        <f>'Production Plan'!B960</f>
        <v/>
      </c>
      <c r="B972" s="3">
        <f>VLOOKUP(A972,'Production Plan'!B:Q,14,FALSE)</f>
        <v/>
      </c>
    </row>
    <row r="973" hidden="1">
      <c r="A973">
        <f>'Production Plan'!B961</f>
        <v/>
      </c>
      <c r="B973" s="3">
        <f>VLOOKUP(A973,'Production Plan'!B:Q,14,FALSE)</f>
        <v/>
      </c>
    </row>
    <row r="974" hidden="1">
      <c r="A974">
        <f>'Production Plan'!B962</f>
        <v/>
      </c>
      <c r="B974" s="3">
        <f>VLOOKUP(A974,'Production Plan'!B:Q,14,FALSE)</f>
        <v/>
      </c>
    </row>
    <row r="975" hidden="1">
      <c r="A975">
        <f>'Production Plan'!B963</f>
        <v/>
      </c>
      <c r="B975" s="3">
        <f>VLOOKUP(A975,'Production Plan'!B:Q,14,FALSE)</f>
        <v/>
      </c>
    </row>
    <row r="976" hidden="1">
      <c r="A976">
        <f>'Production Plan'!B964</f>
        <v/>
      </c>
      <c r="B976" s="3">
        <f>VLOOKUP(A976,'Production Plan'!B:Q,14,FALSE)</f>
        <v/>
      </c>
    </row>
    <row r="977" hidden="1">
      <c r="A977">
        <f>'Production Plan'!B965</f>
        <v/>
      </c>
      <c r="B977" s="3">
        <f>VLOOKUP(A977,'Production Plan'!B:Q,14,FALSE)</f>
        <v/>
      </c>
    </row>
    <row r="978" hidden="1">
      <c r="A978">
        <f>'Production Plan'!B966</f>
        <v/>
      </c>
      <c r="B978" s="3">
        <f>VLOOKUP(A978,'Production Plan'!B:Q,14,FALSE)</f>
        <v/>
      </c>
    </row>
    <row r="979" hidden="1">
      <c r="A979">
        <f>'Production Plan'!B967</f>
        <v/>
      </c>
      <c r="B979" s="3">
        <f>VLOOKUP(A979,'Production Plan'!B:Q,14,FALSE)</f>
        <v/>
      </c>
    </row>
    <row r="980" hidden="1">
      <c r="A980">
        <f>'Production Plan'!B968</f>
        <v/>
      </c>
      <c r="B980" s="3">
        <f>VLOOKUP(A980,'Production Plan'!B:Q,14,FALSE)</f>
        <v/>
      </c>
    </row>
    <row r="981" hidden="1">
      <c r="A981">
        <f>'Production Plan'!B969</f>
        <v/>
      </c>
      <c r="B981" s="3">
        <f>VLOOKUP(A981,'Production Plan'!B:Q,14,FALSE)</f>
        <v/>
      </c>
    </row>
    <row r="982" hidden="1">
      <c r="A982">
        <f>'Production Plan'!B970</f>
        <v/>
      </c>
      <c r="B982" s="3">
        <f>VLOOKUP(A982,'Production Plan'!B:Q,14,FALSE)</f>
        <v/>
      </c>
    </row>
    <row r="983" hidden="1">
      <c r="A983">
        <f>'Production Plan'!B971</f>
        <v/>
      </c>
      <c r="B983" s="3">
        <f>VLOOKUP(A983,'Production Plan'!B:Q,14,FALSE)</f>
        <v/>
      </c>
    </row>
    <row r="984" hidden="1">
      <c r="A984">
        <f>'Production Plan'!B972</f>
        <v/>
      </c>
      <c r="B984" s="3">
        <f>VLOOKUP(A984,'Production Plan'!B:Q,14,FALSE)</f>
        <v/>
      </c>
    </row>
    <row r="985" hidden="1">
      <c r="A985">
        <f>'Production Plan'!B973</f>
        <v/>
      </c>
      <c r="B985" s="3">
        <f>VLOOKUP(A985,'Production Plan'!B:Q,14,FALSE)</f>
        <v/>
      </c>
    </row>
    <row r="986" hidden="1">
      <c r="A986">
        <f>'Production Plan'!B974</f>
        <v/>
      </c>
      <c r="B986" s="3">
        <f>VLOOKUP(A986,'Production Plan'!B:Q,14,FALSE)</f>
        <v/>
      </c>
    </row>
    <row r="987" hidden="1">
      <c r="A987">
        <f>'Production Plan'!B975</f>
        <v/>
      </c>
      <c r="B987" s="3">
        <f>VLOOKUP(A987,'Production Plan'!B:Q,14,FALSE)</f>
        <v/>
      </c>
    </row>
    <row r="988" hidden="1">
      <c r="A988">
        <f>'Production Plan'!B976</f>
        <v/>
      </c>
      <c r="B988" s="3">
        <f>VLOOKUP(A988,'Production Plan'!B:Q,14,FALSE)</f>
        <v/>
      </c>
    </row>
    <row r="989" hidden="1">
      <c r="A989">
        <f>'Production Plan'!B977</f>
        <v/>
      </c>
      <c r="B989" s="3">
        <f>VLOOKUP(A989,'Production Plan'!B:Q,14,FALSE)</f>
        <v/>
      </c>
    </row>
    <row r="990" hidden="1">
      <c r="A990">
        <f>'Production Plan'!B978</f>
        <v/>
      </c>
      <c r="B990" s="3">
        <f>VLOOKUP(A990,'Production Plan'!B:Q,14,FALSE)</f>
        <v/>
      </c>
    </row>
    <row r="991" hidden="1">
      <c r="A991">
        <f>'Production Plan'!B979</f>
        <v/>
      </c>
      <c r="B991" s="3">
        <f>VLOOKUP(A991,'Production Plan'!B:Q,14,FALSE)</f>
        <v/>
      </c>
    </row>
    <row r="992" hidden="1">
      <c r="A992">
        <f>'Production Plan'!B980</f>
        <v/>
      </c>
      <c r="B992" s="3">
        <f>VLOOKUP(A992,'Production Plan'!B:Q,14,FALSE)</f>
        <v/>
      </c>
    </row>
    <row r="993" hidden="1">
      <c r="A993">
        <f>'Production Plan'!B981</f>
        <v/>
      </c>
      <c r="B993" s="3">
        <f>VLOOKUP(A993,'Production Plan'!B:Q,14,FALSE)</f>
        <v/>
      </c>
    </row>
    <row r="994" hidden="1">
      <c r="A994">
        <f>'Production Plan'!B982</f>
        <v/>
      </c>
      <c r="B994" s="3">
        <f>VLOOKUP(A994,'Production Plan'!B:Q,14,FALSE)</f>
        <v/>
      </c>
    </row>
    <row r="995" hidden="1">
      <c r="A995">
        <f>'Production Plan'!B983</f>
        <v/>
      </c>
      <c r="B995" s="3">
        <f>VLOOKUP(A995,'Production Plan'!B:Q,14,FALSE)</f>
        <v/>
      </c>
    </row>
    <row r="996" hidden="1">
      <c r="A996">
        <f>'Production Plan'!B984</f>
        <v/>
      </c>
      <c r="B996" s="3">
        <f>VLOOKUP(A996,'Production Plan'!B:Q,14,FALSE)</f>
        <v/>
      </c>
    </row>
    <row r="997" hidden="1">
      <c r="A997">
        <f>'Production Plan'!B985</f>
        <v/>
      </c>
      <c r="B997" s="3">
        <f>VLOOKUP(A997,'Production Plan'!B:Q,14,FALSE)</f>
        <v/>
      </c>
    </row>
    <row r="998" hidden="1">
      <c r="A998">
        <f>'Production Plan'!B986</f>
        <v/>
      </c>
      <c r="B998" s="3">
        <f>VLOOKUP(A998,'Production Plan'!B:Q,14,FALSE)</f>
        <v/>
      </c>
    </row>
    <row r="999" hidden="1">
      <c r="A999">
        <f>'Production Plan'!B987</f>
        <v/>
      </c>
      <c r="B999" s="3">
        <f>VLOOKUP(A999,'Production Plan'!B:Q,14,FALSE)</f>
        <v/>
      </c>
    </row>
    <row r="1000" hidden="1">
      <c r="A1000">
        <f>'Production Plan'!B988</f>
        <v/>
      </c>
      <c r="B1000" s="3">
        <f>VLOOKUP(A1000,'Production Plan'!B:Q,14,FALSE)</f>
        <v/>
      </c>
    </row>
    <row r="1001">
      <c r="A1001" s="3" t="n"/>
      <c r="B1001" s="3" t="n"/>
      <c r="C1001" s="3" t="n"/>
      <c r="D1001" s="3" t="n"/>
      <c r="E1001" s="3" t="n"/>
      <c r="F1001" s="3" t="n"/>
      <c r="G1001" s="3" t="n"/>
      <c r="H1001" s="8" t="n"/>
      <c r="I1001" s="3" t="n"/>
      <c r="J1001" s="3" t="n"/>
    </row>
    <row r="1002">
      <c r="A1002" s="3" t="n"/>
      <c r="B1002" s="3" t="n"/>
      <c r="C1002" s="3" t="n"/>
      <c r="D1002" s="3" t="n"/>
      <c r="E1002" s="3" t="n"/>
      <c r="F1002" s="3" t="n"/>
      <c r="G1002" s="3" t="n"/>
      <c r="H1002" s="8" t="n"/>
      <c r="I1002" s="3" t="n"/>
      <c r="J1002" s="3" t="n"/>
    </row>
    <row r="1003">
      <c r="A1003" s="3" t="n"/>
      <c r="B1003" s="3" t="n"/>
      <c r="C1003" s="3" t="n"/>
      <c r="D1003" s="3" t="n"/>
      <c r="E1003" s="3" t="n"/>
      <c r="F1003" s="3" t="n"/>
      <c r="G1003" s="3" t="n"/>
      <c r="H1003" s="8" t="n"/>
      <c r="I1003" s="3" t="n"/>
      <c r="J1003" s="3" t="n"/>
    </row>
    <row r="1004">
      <c r="A1004" s="3" t="n"/>
      <c r="B1004" s="3" t="n"/>
      <c r="C1004" s="3" t="n"/>
      <c r="D1004" s="3" t="n"/>
      <c r="E1004" s="3" t="n"/>
      <c r="F1004" s="3" t="n"/>
      <c r="G1004" s="3" t="n"/>
      <c r="H1004" s="8" t="n"/>
      <c r="I1004" s="3" t="n"/>
      <c r="J1004" s="3" t="n"/>
    </row>
    <row r="1005">
      <c r="A1005" s="3" t="n"/>
      <c r="B1005" s="3" t="n"/>
      <c r="C1005" s="3" t="n"/>
      <c r="D1005" s="3" t="n"/>
      <c r="E1005" s="3" t="n"/>
      <c r="F1005" s="3" t="n"/>
      <c r="G1005" s="3" t="n"/>
      <c r="H1005" s="8" t="n"/>
      <c r="I1005" s="3" t="n"/>
      <c r="J1005" s="3" t="n"/>
    </row>
    <row r="1006">
      <c r="A1006" s="3" t="n"/>
      <c r="B1006" s="3" t="n"/>
      <c r="C1006" s="3" t="n"/>
      <c r="D1006" s="3" t="n"/>
      <c r="E1006" s="3" t="n"/>
      <c r="F1006" s="3" t="n"/>
      <c r="G1006" s="3" t="n"/>
      <c r="H1006" s="8" t="n"/>
      <c r="I1006" s="3" t="n"/>
      <c r="J1006" s="3" t="n"/>
    </row>
    <row r="1007">
      <c r="A1007" s="3" t="n"/>
      <c r="B1007" s="3" t="n"/>
      <c r="C1007" s="3" t="n"/>
      <c r="D1007" s="3" t="n"/>
      <c r="E1007" s="3" t="n"/>
      <c r="F1007" s="3" t="n"/>
      <c r="G1007" s="3" t="n"/>
      <c r="H1007" s="8" t="n"/>
      <c r="I1007" s="3" t="n"/>
      <c r="J1007" s="3" t="n"/>
    </row>
    <row r="1008">
      <c r="A1008" s="3" t="n"/>
      <c r="B1008" s="3" t="n"/>
      <c r="C1008" s="3" t="n"/>
      <c r="D1008" s="3" t="n"/>
      <c r="E1008" s="3" t="n"/>
      <c r="F1008" s="3" t="n"/>
      <c r="G1008" s="3" t="n"/>
      <c r="H1008" s="8" t="n"/>
      <c r="I1008" s="3" t="n"/>
      <c r="J1008" s="3" t="n"/>
    </row>
    <row r="1009">
      <c r="A1009" s="3" t="n"/>
      <c r="B1009" s="3" t="n"/>
      <c r="C1009" s="3" t="n"/>
      <c r="D1009" s="3" t="n"/>
      <c r="E1009" s="3" t="n"/>
      <c r="F1009" s="3" t="n"/>
      <c r="G1009" s="3" t="n"/>
      <c r="H1009" s="8" t="n"/>
      <c r="I1009" s="3" t="n"/>
      <c r="J1009" s="3" t="n"/>
    </row>
  </sheetData>
  <autoFilter ref="A1:L1000">
    <filterColumn colId="1" hiddenButton="0" showButton="1">
      <filters>
        <filter val="Yes"/>
      </filters>
    </filterColumn>
  </autoFilter>
  <dataValidations count="1">
    <dataValidation sqref="E2:E1048576" showDropDown="0" showInputMessage="1" showErrorMessage="1" allowBlank="1" type="list">
      <formula1>"Disqualification/Non-conditional,Decreases chances of winning,No effect"</formula1>
    </dataValidation>
  </dataValidation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M453"/>
  <sheetViews>
    <sheetView workbookViewId="0">
      <selection activeCell="N457" sqref="N457"/>
    </sheetView>
  </sheetViews>
  <sheetFormatPr baseColWidth="8" defaultRowHeight="16"/>
  <cols>
    <col width="6.4609375" bestFit="1" customWidth="1" min="1" max="1"/>
    <col width="8.3046875" bestFit="1" customWidth="1" min="2" max="2"/>
    <col width="40.69140625" customWidth="1" min="3" max="3"/>
    <col width="20.07421875" bestFit="1" customWidth="1" min="4" max="4"/>
    <col width="27.84375" bestFit="1" customWidth="1" min="5" max="5"/>
    <col width="29.53515625" bestFit="1" customWidth="1" min="6" max="6"/>
    <col width="31.07421875" customWidth="1" min="7" max="8"/>
    <col width="32.3046875" bestFit="1" customWidth="1" min="9" max="9"/>
    <col width="19.4609375" customWidth="1" min="10" max="10"/>
    <col width="13" bestFit="1" customWidth="1" min="11" max="11"/>
    <col width="46.07421875" bestFit="1" customWidth="1" min="12" max="12"/>
  </cols>
  <sheetData>
    <row r="1">
      <c r="A1" s="4" t="inlineStr">
        <is>
          <t>Req ID</t>
        </is>
      </c>
      <c r="B1" s="4" t="inlineStr">
        <is>
          <t>Included</t>
        </is>
      </c>
      <c r="C1" s="4" t="inlineStr">
        <is>
          <t>Requirement</t>
        </is>
      </c>
      <c r="D1" s="4" t="inlineStr">
        <is>
          <t>Risk Element</t>
        </is>
      </c>
      <c r="E1" s="4" t="inlineStr">
        <is>
          <t>Severity</t>
        </is>
      </c>
      <c r="F1" s="4" t="inlineStr">
        <is>
          <t>Issue description</t>
        </is>
      </c>
      <c r="G1" s="4" t="inlineStr">
        <is>
          <t>Mitigation</t>
        </is>
      </c>
      <c r="H1" s="4" t="inlineStr">
        <is>
          <t>Comment</t>
        </is>
      </c>
      <c r="I1" s="4" t="inlineStr">
        <is>
          <t>Decision</t>
        </is>
      </c>
      <c r="J1" s="4" t="inlineStr">
        <is>
          <t>Decider</t>
        </is>
      </c>
      <c r="K1" s="4" t="inlineStr">
        <is>
          <t>Decision date</t>
        </is>
      </c>
      <c r="L1" s="4" t="inlineStr">
        <is>
          <t>Conditions for Approval</t>
        </is>
      </c>
      <c r="M1" s="4" t="inlineStr">
        <is>
          <t>Reporter</t>
        </is>
      </c>
    </row>
    <row r="2">
      <c r="A2" s="3">
        <f>'Production Plan'!B2</f>
        <v/>
      </c>
      <c r="B2" s="3">
        <f>VLOOKUP(A2,'Production Plan'!B:R,15,FALSE)</f>
        <v/>
      </c>
      <c r="C2" s="3">
        <f>VLOOKUP(A2,'Production Plan'!B:F,5,FALSE)</f>
        <v/>
      </c>
      <c r="D2" s="3" t="inlineStr">
        <is>
          <t>Describe</t>
        </is>
      </c>
      <c r="E2" s="3" t="inlineStr">
        <is>
          <t>High</t>
        </is>
      </c>
      <c r="F2" s="3" t="inlineStr">
        <is>
          <t>Issue as we may risk fines</t>
        </is>
      </c>
      <c r="G2" s="3" t="inlineStr">
        <is>
          <t>Buffer in price</t>
        </is>
      </c>
      <c r="H2" s="3" t="n"/>
      <c r="I2" s="3" t="inlineStr">
        <is>
          <t>Go-ahead - dependent upon mitigation</t>
        </is>
      </c>
      <c r="J2" s="3" t="inlineStr">
        <is>
          <t>Name</t>
        </is>
      </c>
      <c r="K2" s="8" t="n">
        <v>46023</v>
      </c>
      <c r="L2" s="3" t="inlineStr">
        <is>
          <t>Actions in mitigation must be done.</t>
        </is>
      </c>
      <c r="M2" s="3" t="n"/>
    </row>
    <row r="3">
      <c r="A3" s="3">
        <f>'Production Plan'!B3</f>
        <v/>
      </c>
      <c r="B3" s="3">
        <f>VLOOKUP(A3,'Production Plan'!B:R,15,FALSE)</f>
        <v/>
      </c>
      <c r="C3" s="3">
        <f>VLOOKUP(A3,'Production Plan'!B:F,5,FALSE)</f>
        <v/>
      </c>
      <c r="D3" s="3" t="inlineStr">
        <is>
          <t>Describe</t>
        </is>
      </c>
      <c r="E3" s="3" t="inlineStr">
        <is>
          <t>Medium</t>
        </is>
      </c>
      <c r="F3" s="3" t="inlineStr">
        <is>
          <t>Big risk of scope creep</t>
        </is>
      </c>
      <c r="G3" s="3" t="inlineStr">
        <is>
          <t>Clear statement of work in Clarification phase</t>
        </is>
      </c>
      <c r="H3" s="3" t="n"/>
      <c r="I3" s="3" t="inlineStr">
        <is>
          <t>Go ahead - attempt to mitigate</t>
        </is>
      </c>
      <c r="J3" s="3" t="inlineStr">
        <is>
          <t>Name</t>
        </is>
      </c>
      <c r="K3" s="8" t="n">
        <v>46023</v>
      </c>
      <c r="L3" s="3" t="inlineStr">
        <is>
          <t>Attempt to mitigate, but go ahead, even if unsuccessful.</t>
        </is>
      </c>
      <c r="M3" s="3" t="n"/>
    </row>
    <row r="4" hidden="1">
      <c r="A4" s="3">
        <f>'Production Plan'!B4</f>
        <v/>
      </c>
      <c r="B4" s="3">
        <f>VLOOKUP(A4,'Production Plan'!B:R,15,FALSE)</f>
        <v/>
      </c>
      <c r="C4" s="3">
        <f>VLOOKUP(A4,'Production Plan'!B:F,5,FALSE)</f>
        <v/>
      </c>
      <c r="D4" s="3" t="n"/>
      <c r="E4" s="3" t="n"/>
      <c r="F4" s="3" t="n"/>
      <c r="G4" s="3" t="n"/>
      <c r="H4" s="3" t="n"/>
      <c r="I4" s="3" t="n"/>
      <c r="J4" s="3" t="n"/>
      <c r="K4" s="3" t="n"/>
      <c r="L4" s="3" t="n"/>
    </row>
    <row r="5">
      <c r="A5" s="3">
        <f>'Production Plan'!B5</f>
        <v/>
      </c>
      <c r="B5" s="3">
        <f>VLOOKUP(A5,'Production Plan'!B:R,15,FALSE)</f>
        <v/>
      </c>
      <c r="C5" s="3">
        <f>VLOOKUP(A5,'Production Plan'!B:F,5,FALSE)</f>
        <v/>
      </c>
      <c r="D5" s="3" t="inlineStr">
        <is>
          <t>Describe</t>
        </is>
      </c>
      <c r="E5" s="3" t="inlineStr">
        <is>
          <t>Low</t>
        </is>
      </c>
      <c r="F5" s="3" t="inlineStr">
        <is>
          <t>We can be sued</t>
        </is>
      </c>
      <c r="G5" s="3" t="inlineStr">
        <is>
          <t>We add a line in the contract.</t>
        </is>
      </c>
      <c r="H5" s="3" t="inlineStr">
        <is>
          <t>This is a very unlikely scenario.</t>
        </is>
      </c>
      <c r="I5" s="3" t="inlineStr">
        <is>
          <t>Go ahead - disregard risk</t>
        </is>
      </c>
      <c r="J5" s="3" t="inlineStr">
        <is>
          <t>Name</t>
        </is>
      </c>
      <c r="K5" s="8" t="n">
        <v>46023</v>
      </c>
      <c r="L5" s="3" t="inlineStr">
        <is>
          <t>As it is unlikely - we take the risk.</t>
        </is>
      </c>
      <c r="M5" s="3" t="n"/>
    </row>
    <row r="6" hidden="1">
      <c r="A6" s="3">
        <f>'Production Plan'!B6</f>
        <v/>
      </c>
      <c r="B6" s="3">
        <f>VLOOKUP(A6,'Production Plan'!B:R,15,FALSE)</f>
        <v/>
      </c>
      <c r="C6" s="3">
        <f>VLOOKUP(A6,'Production Plan'!B:F,5,FALSE)</f>
        <v/>
      </c>
      <c r="D6" s="3" t="n"/>
      <c r="E6" s="3" t="n"/>
      <c r="F6" s="3" t="n"/>
      <c r="G6" s="3" t="n"/>
      <c r="H6" s="3" t="n"/>
      <c r="I6" s="3" t="n"/>
      <c r="J6" s="3" t="n"/>
      <c r="K6" s="8" t="n"/>
      <c r="L6" s="3" t="n"/>
    </row>
    <row r="7">
      <c r="A7" s="3">
        <f>'Production Plan'!B7</f>
        <v/>
      </c>
      <c r="B7" s="3">
        <f>VLOOKUP(A7,'Production Plan'!B:R,15,FALSE)</f>
        <v/>
      </c>
      <c r="C7" s="3">
        <f>VLOOKUP(A7,'Production Plan'!B:F,5,FALSE)</f>
        <v/>
      </c>
      <c r="D7" s="3" t="inlineStr">
        <is>
          <t>Describe</t>
        </is>
      </c>
      <c r="E7" s="3" t="inlineStr">
        <is>
          <t>High</t>
        </is>
      </c>
      <c r="F7" s="3" t="inlineStr">
        <is>
          <t>We are unable to meet requirement</t>
        </is>
      </c>
      <c r="G7" s="3" t="inlineStr">
        <is>
          <t>We build a new module</t>
        </is>
      </c>
      <c r="H7" s="3" t="inlineStr">
        <is>
          <t>Their budget is not big enough for this.</t>
        </is>
      </c>
      <c r="I7" s="3" t="inlineStr">
        <is>
          <t>No bid</t>
        </is>
      </c>
      <c r="J7" s="3" t="inlineStr">
        <is>
          <t>Name</t>
        </is>
      </c>
      <c r="K7" s="8" t="n">
        <v>46023</v>
      </c>
      <c r="L7" s="3" t="inlineStr">
        <is>
          <t>-</t>
        </is>
      </c>
      <c r="M7" s="3" t="n"/>
    </row>
    <row r="8" hidden="1">
      <c r="A8" s="3">
        <f>'Production Plan'!B8</f>
        <v/>
      </c>
      <c r="B8" s="3">
        <f>VLOOKUP(A8,'Production Plan'!B:R,15,FALSE)</f>
        <v/>
      </c>
      <c r="C8" s="3">
        <f>VLOOKUP(A8,'Production Plan'!B:F,5,FALSE)</f>
        <v/>
      </c>
      <c r="D8" s="3" t="n"/>
      <c r="E8" s="3" t="n"/>
      <c r="F8" s="3" t="n"/>
      <c r="G8" s="3" t="n"/>
      <c r="H8" s="3" t="n"/>
      <c r="I8" s="3" t="n"/>
      <c r="J8" s="3" t="n"/>
      <c r="K8" s="8" t="n"/>
      <c r="L8" s="3" t="n"/>
    </row>
    <row r="9" hidden="1">
      <c r="A9" s="3">
        <f>'Production Plan'!B9</f>
        <v/>
      </c>
      <c r="B9" s="3">
        <f>VLOOKUP(A9,'Production Plan'!B:R,15,FALSE)</f>
        <v/>
      </c>
      <c r="C9" s="3">
        <f>VLOOKUP(A9,'Production Plan'!B:F,5,FALSE)</f>
        <v/>
      </c>
      <c r="D9" s="3" t="n"/>
      <c r="E9" s="3" t="n"/>
      <c r="F9" s="3" t="n"/>
      <c r="G9" s="3" t="n"/>
      <c r="H9" s="3" t="n"/>
      <c r="I9" s="3" t="n"/>
      <c r="J9" s="3" t="n"/>
      <c r="K9" s="8" t="n"/>
      <c r="L9" s="3" t="n"/>
    </row>
    <row r="10" hidden="1">
      <c r="A10" s="3">
        <f>'Production Plan'!B10</f>
        <v/>
      </c>
      <c r="B10" s="3">
        <f>VLOOKUP(A10,'Production Plan'!B:R,15,FALSE)</f>
        <v/>
      </c>
      <c r="C10" s="3">
        <f>VLOOKUP(A10,'Production Plan'!B:F,5,FALSE)</f>
        <v/>
      </c>
      <c r="D10" s="3" t="n"/>
      <c r="E10" s="3" t="n"/>
      <c r="F10" s="3" t="n"/>
      <c r="G10" s="3" t="n"/>
      <c r="H10" s="3" t="n"/>
      <c r="I10" s="3" t="n"/>
      <c r="J10" s="3" t="n"/>
      <c r="K10" s="8" t="n"/>
      <c r="L10" s="3" t="n"/>
    </row>
    <row r="11" hidden="1">
      <c r="A11" s="3">
        <f>'Production Plan'!B11</f>
        <v/>
      </c>
      <c r="B11" s="3">
        <f>VLOOKUP(A11,'Production Plan'!B:R,15,FALSE)</f>
        <v/>
      </c>
      <c r="C11" s="3">
        <f>VLOOKUP(A11,'Production Plan'!B:F,5,FALSE)</f>
        <v/>
      </c>
      <c r="D11" s="3" t="n"/>
      <c r="E11" s="3" t="n"/>
      <c r="F11" s="3" t="n"/>
      <c r="G11" s="3" t="n"/>
      <c r="H11" s="3" t="n"/>
      <c r="I11" s="3" t="n"/>
      <c r="J11" s="3" t="n"/>
      <c r="K11" s="8" t="n"/>
      <c r="L11" s="3" t="n"/>
    </row>
    <row r="12" hidden="1">
      <c r="A12" s="3">
        <f>'Production Plan'!B12</f>
        <v/>
      </c>
      <c r="B12" s="3">
        <f>VLOOKUP(A12,'Production Plan'!B:R,15,FALSE)</f>
        <v/>
      </c>
      <c r="C12" s="3">
        <f>VLOOKUP(A12,'Production Plan'!B:F,5,FALSE)</f>
        <v/>
      </c>
    </row>
    <row r="13" hidden="1">
      <c r="A13" s="3">
        <f>'Production Plan'!B13</f>
        <v/>
      </c>
      <c r="B13" s="3">
        <f>VLOOKUP(A13,'Production Plan'!B:R,15,FALSE)</f>
        <v/>
      </c>
      <c r="C13" s="3">
        <f>VLOOKUP(A13,'Production Plan'!B:F,5,FALSE)</f>
        <v/>
      </c>
    </row>
    <row r="14" hidden="1">
      <c r="A14" s="3">
        <f>'Production Plan'!B14</f>
        <v/>
      </c>
      <c r="B14" s="3">
        <f>VLOOKUP(A14,'Production Plan'!B:R,15,FALSE)</f>
        <v/>
      </c>
      <c r="C14" s="3">
        <f>VLOOKUP(A14,'Production Plan'!B:F,5,FALSE)</f>
        <v/>
      </c>
    </row>
    <row r="15" hidden="1">
      <c r="A15" s="3">
        <f>'Production Plan'!B15</f>
        <v/>
      </c>
      <c r="B15" s="3">
        <f>VLOOKUP(A15,'Production Plan'!B:R,15,FALSE)</f>
        <v/>
      </c>
      <c r="C15" s="3">
        <f>VLOOKUP(A15,'Production Plan'!B:F,5,FALSE)</f>
        <v/>
      </c>
    </row>
    <row r="16" hidden="1">
      <c r="A16" s="3">
        <f>'Production Plan'!B16</f>
        <v/>
      </c>
      <c r="B16" s="3">
        <f>VLOOKUP(A16,'Production Plan'!B:R,15,FALSE)</f>
        <v/>
      </c>
      <c r="C16" s="3">
        <f>VLOOKUP(A16,'Production Plan'!B:F,5,FALSE)</f>
        <v/>
      </c>
    </row>
    <row r="17" hidden="1">
      <c r="A17" s="3">
        <f>'Production Plan'!B17</f>
        <v/>
      </c>
      <c r="B17" s="3">
        <f>VLOOKUP(A17,'Production Plan'!B:R,15,FALSE)</f>
        <v/>
      </c>
      <c r="C17" s="3">
        <f>VLOOKUP(A17,'Production Plan'!B:F,5,FALSE)</f>
        <v/>
      </c>
    </row>
    <row r="18" hidden="1">
      <c r="A18" s="3">
        <f>'Production Plan'!B18</f>
        <v/>
      </c>
      <c r="B18" s="3">
        <f>VLOOKUP(A18,'Production Plan'!B:R,15,FALSE)</f>
        <v/>
      </c>
      <c r="C18" s="3">
        <f>VLOOKUP(A18,'Production Plan'!B:F,5,FALSE)</f>
        <v/>
      </c>
    </row>
    <row r="19" hidden="1">
      <c r="A19" s="3">
        <f>'Production Plan'!B19</f>
        <v/>
      </c>
      <c r="B19" s="3">
        <f>VLOOKUP(A19,'Production Plan'!B:R,15,FALSE)</f>
        <v/>
      </c>
      <c r="C19" s="3">
        <f>VLOOKUP(A19,'Production Plan'!B:F,5,FALSE)</f>
        <v/>
      </c>
    </row>
    <row r="20" hidden="1">
      <c r="A20" s="3">
        <f>'Production Plan'!B20</f>
        <v/>
      </c>
      <c r="B20" s="3">
        <f>VLOOKUP(A20,'Production Plan'!B:R,15,FALSE)</f>
        <v/>
      </c>
      <c r="C20" s="3">
        <f>VLOOKUP(A20,'Production Plan'!B:F,5,FALSE)</f>
        <v/>
      </c>
    </row>
    <row r="21" hidden="1">
      <c r="A21" s="3">
        <f>'Production Plan'!B21</f>
        <v/>
      </c>
      <c r="B21" s="3">
        <f>VLOOKUP(A21,'Production Plan'!B:R,15,FALSE)</f>
        <v/>
      </c>
      <c r="C21" s="3">
        <f>VLOOKUP(A21,'Production Plan'!B:F,5,FALSE)</f>
        <v/>
      </c>
    </row>
    <row r="22" hidden="1">
      <c r="A22" s="3">
        <f>'Production Plan'!B22</f>
        <v/>
      </c>
      <c r="B22" s="3">
        <f>VLOOKUP(A22,'Production Plan'!B:R,15,FALSE)</f>
        <v/>
      </c>
      <c r="C22" s="3">
        <f>VLOOKUP(A22,'Production Plan'!B:F,5,FALSE)</f>
        <v/>
      </c>
    </row>
    <row r="23" hidden="1">
      <c r="A23" s="3">
        <f>'Production Plan'!B23</f>
        <v/>
      </c>
      <c r="B23" s="3">
        <f>VLOOKUP(A23,'Production Plan'!B:R,15,FALSE)</f>
        <v/>
      </c>
      <c r="C23" s="3">
        <f>VLOOKUP(A23,'Production Plan'!B:F,5,FALSE)</f>
        <v/>
      </c>
    </row>
    <row r="24" hidden="1">
      <c r="A24" s="3">
        <f>'Production Plan'!B24</f>
        <v/>
      </c>
      <c r="B24" s="3">
        <f>VLOOKUP(A24,'Production Plan'!B:R,15,FALSE)</f>
        <v/>
      </c>
      <c r="C24" s="3">
        <f>VLOOKUP(A24,'Production Plan'!B:F,5,FALSE)</f>
        <v/>
      </c>
    </row>
    <row r="25" hidden="1">
      <c r="A25" s="3">
        <f>'Production Plan'!B25</f>
        <v/>
      </c>
      <c r="B25" s="3">
        <f>VLOOKUP(A25,'Production Plan'!B:R,15,FALSE)</f>
        <v/>
      </c>
      <c r="C25" s="3">
        <f>VLOOKUP(A25,'Production Plan'!B:F,5,FALSE)</f>
        <v/>
      </c>
    </row>
    <row r="26" hidden="1">
      <c r="A26" s="3">
        <f>'Production Plan'!B26</f>
        <v/>
      </c>
      <c r="B26" s="3">
        <f>VLOOKUP(A26,'Production Plan'!B:R,15,FALSE)</f>
        <v/>
      </c>
      <c r="C26" s="3">
        <f>VLOOKUP(A26,'Production Plan'!B:F,5,FALSE)</f>
        <v/>
      </c>
    </row>
    <row r="27" hidden="1">
      <c r="A27" s="3">
        <f>'Production Plan'!B27</f>
        <v/>
      </c>
      <c r="B27" s="3">
        <f>VLOOKUP(A27,'Production Plan'!B:R,15,FALSE)</f>
        <v/>
      </c>
      <c r="C27" s="3">
        <f>VLOOKUP(A27,'Production Plan'!B:F,5,FALSE)</f>
        <v/>
      </c>
    </row>
    <row r="28" hidden="1">
      <c r="A28" s="3">
        <f>'Production Plan'!B28</f>
        <v/>
      </c>
      <c r="B28" s="3">
        <f>VLOOKUP(A28,'Production Plan'!B:R,15,FALSE)</f>
        <v/>
      </c>
      <c r="C28" s="3">
        <f>VLOOKUP(A28,'Production Plan'!B:F,5,FALSE)</f>
        <v/>
      </c>
    </row>
    <row r="29" hidden="1">
      <c r="A29" s="3">
        <f>'Production Plan'!B29</f>
        <v/>
      </c>
      <c r="B29" s="3">
        <f>VLOOKUP(A29,'Production Plan'!B:R,15,FALSE)</f>
        <v/>
      </c>
      <c r="C29" s="3">
        <f>VLOOKUP(A29,'Production Plan'!B:F,5,FALSE)</f>
        <v/>
      </c>
    </row>
    <row r="30" hidden="1">
      <c r="A30" s="3">
        <f>'Production Plan'!B30</f>
        <v/>
      </c>
      <c r="B30" s="3">
        <f>VLOOKUP(A30,'Production Plan'!B:R,15,FALSE)</f>
        <v/>
      </c>
      <c r="C30" s="3">
        <f>VLOOKUP(A30,'Production Plan'!B:F,5,FALSE)</f>
        <v/>
      </c>
    </row>
    <row r="31" hidden="1">
      <c r="A31" s="3">
        <f>'Production Plan'!B31</f>
        <v/>
      </c>
      <c r="B31" s="3">
        <f>VLOOKUP(A31,'Production Plan'!B:R,15,FALSE)</f>
        <v/>
      </c>
      <c r="C31" s="3">
        <f>VLOOKUP(A31,'Production Plan'!B:F,5,FALSE)</f>
        <v/>
      </c>
    </row>
    <row r="32" hidden="1">
      <c r="A32" s="3">
        <f>'Production Plan'!B32</f>
        <v/>
      </c>
      <c r="B32" s="3">
        <f>VLOOKUP(A32,'Production Plan'!B:R,15,FALSE)</f>
        <v/>
      </c>
      <c r="C32" s="3">
        <f>VLOOKUP(A32,'Production Plan'!B:F,5,FALSE)</f>
        <v/>
      </c>
    </row>
    <row r="33" hidden="1">
      <c r="A33" s="3">
        <f>'Production Plan'!B33</f>
        <v/>
      </c>
      <c r="B33" s="3">
        <f>VLOOKUP(A33,'Production Plan'!B:R,15,FALSE)</f>
        <v/>
      </c>
      <c r="C33" s="3">
        <f>VLOOKUP(A33,'Production Plan'!B:F,5,FALSE)</f>
        <v/>
      </c>
    </row>
    <row r="34" hidden="1">
      <c r="A34" s="3">
        <f>'Production Plan'!B34</f>
        <v/>
      </c>
      <c r="B34" s="3">
        <f>VLOOKUP(A34,'Production Plan'!B:R,15,FALSE)</f>
        <v/>
      </c>
      <c r="C34" s="3">
        <f>VLOOKUP(A34,'Production Plan'!B:F,5,FALSE)</f>
        <v/>
      </c>
    </row>
    <row r="35" hidden="1">
      <c r="A35" s="3">
        <f>'Production Plan'!B35</f>
        <v/>
      </c>
      <c r="B35" s="3">
        <f>VLOOKUP(A35,'Production Plan'!B:R,15,FALSE)</f>
        <v/>
      </c>
      <c r="C35" s="3">
        <f>VLOOKUP(A35,'Production Plan'!B:F,5,FALSE)</f>
        <v/>
      </c>
    </row>
    <row r="36" hidden="1">
      <c r="A36" s="3">
        <f>'Production Plan'!B36</f>
        <v/>
      </c>
      <c r="B36" s="3">
        <f>VLOOKUP(A36,'Production Plan'!B:R,15,FALSE)</f>
        <v/>
      </c>
      <c r="C36" s="3">
        <f>VLOOKUP(A36,'Production Plan'!B:F,5,FALSE)</f>
        <v/>
      </c>
    </row>
    <row r="37" hidden="1">
      <c r="A37" s="3">
        <f>'Production Plan'!B37</f>
        <v/>
      </c>
      <c r="B37" s="3">
        <f>VLOOKUP(A37,'Production Plan'!B:R,15,FALSE)</f>
        <v/>
      </c>
      <c r="C37" s="3">
        <f>VLOOKUP(A37,'Production Plan'!B:F,5,FALSE)</f>
        <v/>
      </c>
    </row>
    <row r="38" hidden="1">
      <c r="A38" s="3">
        <f>'Production Plan'!B38</f>
        <v/>
      </c>
      <c r="B38" s="3">
        <f>VLOOKUP(A38,'Production Plan'!B:R,15,FALSE)</f>
        <v/>
      </c>
      <c r="C38" s="3">
        <f>VLOOKUP(A38,'Production Plan'!B:F,5,FALSE)</f>
        <v/>
      </c>
    </row>
    <row r="39" hidden="1">
      <c r="A39" s="3">
        <f>'Production Plan'!B39</f>
        <v/>
      </c>
      <c r="B39" s="3">
        <f>VLOOKUP(A39,'Production Plan'!B:R,15,FALSE)</f>
        <v/>
      </c>
      <c r="C39" s="3">
        <f>VLOOKUP(A39,'Production Plan'!B:F,5,FALSE)</f>
        <v/>
      </c>
    </row>
    <row r="40" hidden="1">
      <c r="A40" s="3">
        <f>'Production Plan'!B40</f>
        <v/>
      </c>
      <c r="B40" s="3">
        <f>VLOOKUP(A40,'Production Plan'!B:R,15,FALSE)</f>
        <v/>
      </c>
      <c r="C40" s="3">
        <f>VLOOKUP(A40,'Production Plan'!B:F,5,FALSE)</f>
        <v/>
      </c>
    </row>
    <row r="41" hidden="1">
      <c r="A41" s="3">
        <f>'Production Plan'!B41</f>
        <v/>
      </c>
      <c r="B41" s="3">
        <f>VLOOKUP(A41,'Production Plan'!B:R,15,FALSE)</f>
        <v/>
      </c>
      <c r="C41" s="3">
        <f>VLOOKUP(A41,'Production Plan'!B:F,5,FALSE)</f>
        <v/>
      </c>
    </row>
    <row r="42" hidden="1">
      <c r="A42" s="3">
        <f>'Production Plan'!B42</f>
        <v/>
      </c>
      <c r="B42" s="3">
        <f>VLOOKUP(A42,'Production Plan'!B:R,15,FALSE)</f>
        <v/>
      </c>
      <c r="C42" s="3">
        <f>VLOOKUP(A42,'Production Plan'!B:F,5,FALSE)</f>
        <v/>
      </c>
    </row>
    <row r="43" hidden="1">
      <c r="A43" s="3">
        <f>'Production Plan'!B43</f>
        <v/>
      </c>
      <c r="B43" s="3">
        <f>VLOOKUP(A43,'Production Plan'!B:R,15,FALSE)</f>
        <v/>
      </c>
      <c r="C43" s="3">
        <f>VLOOKUP(A43,'Production Plan'!B:F,5,FALSE)</f>
        <v/>
      </c>
    </row>
    <row r="44" hidden="1">
      <c r="A44" s="3">
        <f>'Production Plan'!B44</f>
        <v/>
      </c>
      <c r="B44" s="3">
        <f>VLOOKUP(A44,'Production Plan'!B:R,15,FALSE)</f>
        <v/>
      </c>
      <c r="C44" s="3">
        <f>VLOOKUP(A44,'Production Plan'!B:F,5,FALSE)</f>
        <v/>
      </c>
    </row>
    <row r="45" hidden="1">
      <c r="A45" s="3">
        <f>'Production Plan'!B45</f>
        <v/>
      </c>
      <c r="B45" s="3">
        <f>VLOOKUP(A45,'Production Plan'!B:R,15,FALSE)</f>
        <v/>
      </c>
      <c r="C45" s="3">
        <f>VLOOKUP(A45,'Production Plan'!B:F,5,FALSE)</f>
        <v/>
      </c>
    </row>
    <row r="46" hidden="1">
      <c r="A46" s="3">
        <f>'Production Plan'!B46</f>
        <v/>
      </c>
      <c r="B46" s="3">
        <f>VLOOKUP(A46,'Production Plan'!B:R,15,FALSE)</f>
        <v/>
      </c>
      <c r="C46" s="3">
        <f>VLOOKUP(A46,'Production Plan'!B:F,5,FALSE)</f>
        <v/>
      </c>
    </row>
    <row r="47" hidden="1">
      <c r="A47" s="3">
        <f>'Production Plan'!B47</f>
        <v/>
      </c>
      <c r="B47" s="3">
        <f>VLOOKUP(A47,'Production Plan'!B:R,15,FALSE)</f>
        <v/>
      </c>
      <c r="C47" s="3">
        <f>VLOOKUP(A47,'Production Plan'!B:F,5,FALSE)</f>
        <v/>
      </c>
    </row>
    <row r="48" hidden="1">
      <c r="A48" s="3">
        <f>'Production Plan'!B48</f>
        <v/>
      </c>
      <c r="B48" s="3">
        <f>VLOOKUP(A48,'Production Plan'!B:R,15,FALSE)</f>
        <v/>
      </c>
      <c r="C48" s="3">
        <f>VLOOKUP(A48,'Production Plan'!B:F,5,FALSE)</f>
        <v/>
      </c>
    </row>
    <row r="49" hidden="1">
      <c r="A49" s="3">
        <f>'Production Plan'!B49</f>
        <v/>
      </c>
      <c r="B49" s="3">
        <f>VLOOKUP(A49,'Production Plan'!B:R,15,FALSE)</f>
        <v/>
      </c>
      <c r="C49" s="3">
        <f>VLOOKUP(A49,'Production Plan'!B:F,5,FALSE)</f>
        <v/>
      </c>
    </row>
    <row r="50" hidden="1">
      <c r="A50" s="3">
        <f>'Production Plan'!B50</f>
        <v/>
      </c>
      <c r="B50" s="3">
        <f>VLOOKUP(A50,'Production Plan'!B:R,15,FALSE)</f>
        <v/>
      </c>
      <c r="C50" s="3">
        <f>VLOOKUP(A50,'Production Plan'!B:F,5,FALSE)</f>
        <v/>
      </c>
    </row>
    <row r="51" hidden="1">
      <c r="A51" s="3">
        <f>'Production Plan'!B51</f>
        <v/>
      </c>
      <c r="B51" s="3">
        <f>VLOOKUP(A51,'Production Plan'!B:R,15,FALSE)</f>
        <v/>
      </c>
      <c r="C51" s="3">
        <f>VLOOKUP(A51,'Production Plan'!B:F,5,FALSE)</f>
        <v/>
      </c>
    </row>
    <row r="52" hidden="1">
      <c r="A52" s="3">
        <f>'Production Plan'!B52</f>
        <v/>
      </c>
      <c r="B52" s="3">
        <f>VLOOKUP(A52,'Production Plan'!B:R,15,FALSE)</f>
        <v/>
      </c>
      <c r="C52" s="3">
        <f>VLOOKUP(A52,'Production Plan'!B:F,5,FALSE)</f>
        <v/>
      </c>
    </row>
    <row r="53" hidden="1">
      <c r="A53" s="3">
        <f>'Production Plan'!B53</f>
        <v/>
      </c>
      <c r="B53" s="3">
        <f>VLOOKUP(A53,'Production Plan'!B:R,15,FALSE)</f>
        <v/>
      </c>
      <c r="C53" s="3">
        <f>VLOOKUP(A53,'Production Plan'!B:F,5,FALSE)</f>
        <v/>
      </c>
    </row>
    <row r="54" hidden="1">
      <c r="A54" s="3">
        <f>'Production Plan'!B54</f>
        <v/>
      </c>
      <c r="B54" s="3">
        <f>VLOOKUP(A54,'Production Plan'!B:R,15,FALSE)</f>
        <v/>
      </c>
      <c r="C54" s="3">
        <f>VLOOKUP(A54,'Production Plan'!B:F,5,FALSE)</f>
        <v/>
      </c>
    </row>
    <row r="55" hidden="1">
      <c r="A55" s="3">
        <f>'Production Plan'!B55</f>
        <v/>
      </c>
      <c r="B55" s="3">
        <f>VLOOKUP(A55,'Production Plan'!B:R,15,FALSE)</f>
        <v/>
      </c>
      <c r="C55" s="3">
        <f>VLOOKUP(A55,'Production Plan'!B:F,5,FALSE)</f>
        <v/>
      </c>
    </row>
    <row r="56" hidden="1">
      <c r="A56" s="3">
        <f>'Production Plan'!B56</f>
        <v/>
      </c>
      <c r="B56" s="3">
        <f>VLOOKUP(A56,'Production Plan'!B:R,15,FALSE)</f>
        <v/>
      </c>
      <c r="C56" s="3">
        <f>VLOOKUP(A56,'Production Plan'!B:F,5,FALSE)</f>
        <v/>
      </c>
    </row>
    <row r="57" hidden="1">
      <c r="A57" s="3">
        <f>'Production Plan'!B57</f>
        <v/>
      </c>
      <c r="B57" s="3">
        <f>VLOOKUP(A57,'Production Plan'!B:R,15,FALSE)</f>
        <v/>
      </c>
      <c r="C57" s="3">
        <f>VLOOKUP(A57,'Production Plan'!B:F,5,FALSE)</f>
        <v/>
      </c>
    </row>
    <row r="58" hidden="1">
      <c r="A58" s="3">
        <f>'Production Plan'!B58</f>
        <v/>
      </c>
      <c r="B58" s="3">
        <f>VLOOKUP(A58,'Production Plan'!B:R,15,FALSE)</f>
        <v/>
      </c>
      <c r="C58" s="3">
        <f>VLOOKUP(A58,'Production Plan'!B:F,5,FALSE)</f>
        <v/>
      </c>
    </row>
    <row r="59" hidden="1">
      <c r="A59" s="3">
        <f>'Production Plan'!B59</f>
        <v/>
      </c>
      <c r="B59" s="3">
        <f>VLOOKUP(A59,'Production Plan'!B:R,15,FALSE)</f>
        <v/>
      </c>
      <c r="C59" s="3">
        <f>VLOOKUP(A59,'Production Plan'!B:F,5,FALSE)</f>
        <v/>
      </c>
    </row>
    <row r="60" hidden="1">
      <c r="A60" s="3">
        <f>'Production Plan'!B60</f>
        <v/>
      </c>
      <c r="B60" s="3">
        <f>VLOOKUP(A60,'Production Plan'!B:R,15,FALSE)</f>
        <v/>
      </c>
      <c r="C60" s="3">
        <f>VLOOKUP(A60,'Production Plan'!B:F,5,FALSE)</f>
        <v/>
      </c>
    </row>
    <row r="61" hidden="1">
      <c r="A61" s="3">
        <f>'Production Plan'!B61</f>
        <v/>
      </c>
      <c r="B61" s="3">
        <f>VLOOKUP(A61,'Production Plan'!B:R,15,FALSE)</f>
        <v/>
      </c>
      <c r="C61" s="3">
        <f>VLOOKUP(A61,'Production Plan'!B:F,5,FALSE)</f>
        <v/>
      </c>
    </row>
    <row r="62" hidden="1">
      <c r="A62" s="3">
        <f>'Production Plan'!B62</f>
        <v/>
      </c>
      <c r="B62" s="3">
        <f>VLOOKUP(A62,'Production Plan'!B:R,15,FALSE)</f>
        <v/>
      </c>
      <c r="C62" s="3">
        <f>VLOOKUP(A62,'Production Plan'!B:F,5,FALSE)</f>
        <v/>
      </c>
    </row>
    <row r="63" hidden="1">
      <c r="A63" s="3">
        <f>'Production Plan'!B63</f>
        <v/>
      </c>
      <c r="B63" s="3">
        <f>VLOOKUP(A63,'Production Plan'!B:R,15,FALSE)</f>
        <v/>
      </c>
      <c r="C63" s="3">
        <f>VLOOKUP(A63,'Production Plan'!B:F,5,FALSE)</f>
        <v/>
      </c>
    </row>
    <row r="64" hidden="1">
      <c r="A64" s="3">
        <f>'Production Plan'!B64</f>
        <v/>
      </c>
      <c r="B64" s="3">
        <f>VLOOKUP(A64,'Production Plan'!B:R,15,FALSE)</f>
        <v/>
      </c>
      <c r="C64" s="3">
        <f>VLOOKUP(A64,'Production Plan'!B:F,5,FALSE)</f>
        <v/>
      </c>
    </row>
    <row r="65" hidden="1">
      <c r="A65" s="3">
        <f>'Production Plan'!B65</f>
        <v/>
      </c>
      <c r="B65" s="3">
        <f>VLOOKUP(A65,'Production Plan'!B:R,15,FALSE)</f>
        <v/>
      </c>
      <c r="C65" s="3">
        <f>VLOOKUP(A65,'Production Plan'!B:F,5,FALSE)</f>
        <v/>
      </c>
    </row>
    <row r="66" hidden="1">
      <c r="A66" s="3">
        <f>'Production Plan'!B66</f>
        <v/>
      </c>
      <c r="B66" s="3">
        <f>VLOOKUP(A66,'Production Plan'!B:R,15,FALSE)</f>
        <v/>
      </c>
      <c r="C66" s="3">
        <f>VLOOKUP(A66,'Production Plan'!B:F,5,FALSE)</f>
        <v/>
      </c>
    </row>
    <row r="67" hidden="1">
      <c r="A67" s="3">
        <f>'Production Plan'!B67</f>
        <v/>
      </c>
      <c r="B67" s="3">
        <f>VLOOKUP(A67,'Production Plan'!B:R,15,FALSE)</f>
        <v/>
      </c>
      <c r="C67" s="3">
        <f>VLOOKUP(A67,'Production Plan'!B:F,5,FALSE)</f>
        <v/>
      </c>
    </row>
    <row r="68" hidden="1">
      <c r="A68" s="3">
        <f>'Production Plan'!B68</f>
        <v/>
      </c>
      <c r="B68" s="3">
        <f>VLOOKUP(A68,'Production Plan'!B:R,15,FALSE)</f>
        <v/>
      </c>
      <c r="C68" s="3">
        <f>VLOOKUP(A68,'Production Plan'!B:F,5,FALSE)</f>
        <v/>
      </c>
    </row>
    <row r="69" hidden="1">
      <c r="A69" s="3">
        <f>'Production Plan'!B69</f>
        <v/>
      </c>
      <c r="B69" s="3">
        <f>VLOOKUP(A69,'Production Plan'!B:R,15,FALSE)</f>
        <v/>
      </c>
      <c r="C69" s="3">
        <f>VLOOKUP(A69,'Production Plan'!B:F,5,FALSE)</f>
        <v/>
      </c>
    </row>
    <row r="70" hidden="1">
      <c r="A70" s="3">
        <f>'Production Plan'!B70</f>
        <v/>
      </c>
      <c r="B70" s="3">
        <f>VLOOKUP(A70,'Production Plan'!B:R,15,FALSE)</f>
        <v/>
      </c>
      <c r="C70" s="3">
        <f>VLOOKUP(A70,'Production Plan'!B:F,5,FALSE)</f>
        <v/>
      </c>
    </row>
    <row r="71" hidden="1">
      <c r="A71" s="3">
        <f>'Production Plan'!B71</f>
        <v/>
      </c>
      <c r="B71" s="3">
        <f>VLOOKUP(A71,'Production Plan'!B:R,15,FALSE)</f>
        <v/>
      </c>
      <c r="C71" s="3">
        <f>VLOOKUP(A71,'Production Plan'!B:F,5,FALSE)</f>
        <v/>
      </c>
    </row>
    <row r="72" hidden="1">
      <c r="A72" s="3">
        <f>'Production Plan'!B72</f>
        <v/>
      </c>
      <c r="B72" s="3">
        <f>VLOOKUP(A72,'Production Plan'!B:R,15,FALSE)</f>
        <v/>
      </c>
      <c r="C72" s="3">
        <f>VLOOKUP(A72,'Production Plan'!B:F,5,FALSE)</f>
        <v/>
      </c>
    </row>
    <row r="73" hidden="1">
      <c r="A73" s="3">
        <f>'Production Plan'!B73</f>
        <v/>
      </c>
      <c r="B73" s="3">
        <f>VLOOKUP(A73,'Production Plan'!B:R,15,FALSE)</f>
        <v/>
      </c>
      <c r="C73" s="3">
        <f>VLOOKUP(A73,'Production Plan'!B:F,5,FALSE)</f>
        <v/>
      </c>
    </row>
    <row r="74" hidden="1">
      <c r="A74" s="3">
        <f>'Production Plan'!B74</f>
        <v/>
      </c>
      <c r="B74" s="3">
        <f>VLOOKUP(A74,'Production Plan'!B:R,15,FALSE)</f>
        <v/>
      </c>
      <c r="C74" s="3">
        <f>VLOOKUP(A74,'Production Plan'!B:F,5,FALSE)</f>
        <v/>
      </c>
    </row>
    <row r="75" hidden="1">
      <c r="A75" s="3">
        <f>'Production Plan'!B75</f>
        <v/>
      </c>
      <c r="B75" s="3">
        <f>VLOOKUP(A75,'Production Plan'!B:R,15,FALSE)</f>
        <v/>
      </c>
      <c r="C75" s="3">
        <f>VLOOKUP(A75,'Production Plan'!B:F,5,FALSE)</f>
        <v/>
      </c>
    </row>
    <row r="76" hidden="1">
      <c r="A76" s="3">
        <f>'Production Plan'!B76</f>
        <v/>
      </c>
      <c r="B76" s="3">
        <f>VLOOKUP(A76,'Production Plan'!B:R,15,FALSE)</f>
        <v/>
      </c>
      <c r="C76" s="3">
        <f>VLOOKUP(A76,'Production Plan'!B:F,5,FALSE)</f>
        <v/>
      </c>
    </row>
    <row r="77" hidden="1">
      <c r="A77" s="3">
        <f>'Production Plan'!B77</f>
        <v/>
      </c>
      <c r="B77" s="3">
        <f>VLOOKUP(A77,'Production Plan'!B:R,15,FALSE)</f>
        <v/>
      </c>
      <c r="C77" s="3">
        <f>VLOOKUP(A77,'Production Plan'!B:F,5,FALSE)</f>
        <v/>
      </c>
    </row>
    <row r="78" hidden="1">
      <c r="A78" s="3">
        <f>'Production Plan'!B78</f>
        <v/>
      </c>
      <c r="B78" s="3">
        <f>VLOOKUP(A78,'Production Plan'!B:R,15,FALSE)</f>
        <v/>
      </c>
      <c r="C78" s="3">
        <f>VLOOKUP(A78,'Production Plan'!B:F,5,FALSE)</f>
        <v/>
      </c>
    </row>
    <row r="79" hidden="1">
      <c r="A79" s="3">
        <f>'Production Plan'!B79</f>
        <v/>
      </c>
      <c r="B79" s="3">
        <f>VLOOKUP(A79,'Production Plan'!B:R,15,FALSE)</f>
        <v/>
      </c>
      <c r="C79" s="3">
        <f>VLOOKUP(A79,'Production Plan'!B:F,5,FALSE)</f>
        <v/>
      </c>
    </row>
    <row r="80" hidden="1">
      <c r="A80" s="3">
        <f>'Production Plan'!B80</f>
        <v/>
      </c>
      <c r="B80" s="3">
        <f>VLOOKUP(A80,'Production Plan'!B:R,15,FALSE)</f>
        <v/>
      </c>
      <c r="C80" s="3">
        <f>VLOOKUP(A80,'Production Plan'!B:F,5,FALSE)</f>
        <v/>
      </c>
    </row>
    <row r="81" hidden="1">
      <c r="A81" s="3">
        <f>'Production Plan'!B81</f>
        <v/>
      </c>
      <c r="B81" s="3">
        <f>VLOOKUP(A81,'Production Plan'!B:R,15,FALSE)</f>
        <v/>
      </c>
      <c r="C81" s="3">
        <f>VLOOKUP(A81,'Production Plan'!B:F,5,FALSE)</f>
        <v/>
      </c>
    </row>
    <row r="82" hidden="1">
      <c r="A82" s="3">
        <f>'Production Plan'!B82</f>
        <v/>
      </c>
      <c r="B82" s="3">
        <f>VLOOKUP(A82,'Production Plan'!B:R,15,FALSE)</f>
        <v/>
      </c>
      <c r="C82" s="3">
        <f>VLOOKUP(A82,'Production Plan'!B:F,5,FALSE)</f>
        <v/>
      </c>
    </row>
    <row r="83" hidden="1">
      <c r="A83" s="3">
        <f>'Production Plan'!B83</f>
        <v/>
      </c>
      <c r="B83" s="3">
        <f>VLOOKUP(A83,'Production Plan'!B:R,15,FALSE)</f>
        <v/>
      </c>
      <c r="C83" s="3">
        <f>VLOOKUP(A83,'Production Plan'!B:F,5,FALSE)</f>
        <v/>
      </c>
    </row>
    <row r="84" hidden="1">
      <c r="A84" s="3">
        <f>'Production Plan'!B84</f>
        <v/>
      </c>
      <c r="B84" s="3">
        <f>VLOOKUP(A84,'Production Plan'!B:R,15,FALSE)</f>
        <v/>
      </c>
      <c r="C84" s="3">
        <f>VLOOKUP(A84,'Production Plan'!B:F,5,FALSE)</f>
        <v/>
      </c>
    </row>
    <row r="85" hidden="1">
      <c r="A85" s="3">
        <f>'Production Plan'!B85</f>
        <v/>
      </c>
      <c r="B85" s="3">
        <f>VLOOKUP(A85,'Production Plan'!B:R,15,FALSE)</f>
        <v/>
      </c>
      <c r="C85" s="3">
        <f>VLOOKUP(A85,'Production Plan'!B:F,5,FALSE)</f>
        <v/>
      </c>
    </row>
    <row r="86" hidden="1">
      <c r="A86" s="3">
        <f>'Production Plan'!B86</f>
        <v/>
      </c>
      <c r="B86" s="3">
        <f>VLOOKUP(A86,'Production Plan'!B:R,15,FALSE)</f>
        <v/>
      </c>
      <c r="C86" s="3">
        <f>VLOOKUP(A86,'Production Plan'!B:F,5,FALSE)</f>
        <v/>
      </c>
    </row>
    <row r="87" hidden="1">
      <c r="A87" s="3">
        <f>'Production Plan'!B87</f>
        <v/>
      </c>
      <c r="B87" s="3">
        <f>VLOOKUP(A87,'Production Plan'!B:R,15,FALSE)</f>
        <v/>
      </c>
      <c r="C87" s="3">
        <f>VLOOKUP(A87,'Production Plan'!B:F,5,FALSE)</f>
        <v/>
      </c>
    </row>
    <row r="88" hidden="1">
      <c r="A88" s="3">
        <f>'Production Plan'!B88</f>
        <v/>
      </c>
      <c r="B88" s="3">
        <f>VLOOKUP(A88,'Production Plan'!B:R,15,FALSE)</f>
        <v/>
      </c>
      <c r="C88" s="3">
        <f>VLOOKUP(A88,'Production Plan'!B:F,5,FALSE)</f>
        <v/>
      </c>
    </row>
    <row r="89" hidden="1">
      <c r="A89" s="3">
        <f>'Production Plan'!B89</f>
        <v/>
      </c>
      <c r="B89" s="3">
        <f>VLOOKUP(A89,'Production Plan'!B:R,15,FALSE)</f>
        <v/>
      </c>
      <c r="C89" s="3">
        <f>VLOOKUP(A89,'Production Plan'!B:F,5,FALSE)</f>
        <v/>
      </c>
    </row>
    <row r="90" hidden="1">
      <c r="A90" s="3">
        <f>'Production Plan'!B90</f>
        <v/>
      </c>
      <c r="B90" s="3">
        <f>VLOOKUP(A90,'Production Plan'!B:R,15,FALSE)</f>
        <v/>
      </c>
      <c r="C90" s="3">
        <f>VLOOKUP(A90,'Production Plan'!B:F,5,FALSE)</f>
        <v/>
      </c>
    </row>
    <row r="91" hidden="1">
      <c r="A91" s="3">
        <f>'Production Plan'!B91</f>
        <v/>
      </c>
      <c r="B91" s="3">
        <f>VLOOKUP(A91,'Production Plan'!B:R,15,FALSE)</f>
        <v/>
      </c>
      <c r="C91" s="3">
        <f>VLOOKUP(A91,'Production Plan'!B:F,5,FALSE)</f>
        <v/>
      </c>
    </row>
    <row r="92" hidden="1">
      <c r="A92" s="3">
        <f>'Production Plan'!B92</f>
        <v/>
      </c>
      <c r="B92" s="3">
        <f>VLOOKUP(A92,'Production Plan'!B:R,15,FALSE)</f>
        <v/>
      </c>
      <c r="C92" s="3">
        <f>VLOOKUP(A92,'Production Plan'!B:F,5,FALSE)</f>
        <v/>
      </c>
    </row>
    <row r="93" hidden="1">
      <c r="A93" s="3">
        <f>'Production Plan'!B93</f>
        <v/>
      </c>
      <c r="B93" s="3">
        <f>VLOOKUP(A93,'Production Plan'!B:R,15,FALSE)</f>
        <v/>
      </c>
      <c r="C93" s="3">
        <f>VLOOKUP(A93,'Production Plan'!B:F,5,FALSE)</f>
        <v/>
      </c>
    </row>
    <row r="94" hidden="1">
      <c r="A94" s="3">
        <f>'Production Plan'!B94</f>
        <v/>
      </c>
      <c r="B94" s="3">
        <f>VLOOKUP(A94,'Production Plan'!B:R,15,FALSE)</f>
        <v/>
      </c>
      <c r="C94" s="3">
        <f>VLOOKUP(A94,'Production Plan'!B:F,5,FALSE)</f>
        <v/>
      </c>
    </row>
    <row r="95" hidden="1">
      <c r="A95" s="3">
        <f>'Production Plan'!B95</f>
        <v/>
      </c>
      <c r="B95" s="3">
        <f>VLOOKUP(A95,'Production Plan'!B:R,15,FALSE)</f>
        <v/>
      </c>
      <c r="C95" s="3">
        <f>VLOOKUP(A95,'Production Plan'!B:F,5,FALSE)</f>
        <v/>
      </c>
    </row>
    <row r="96" hidden="1">
      <c r="A96" s="3">
        <f>'Production Plan'!B96</f>
        <v/>
      </c>
      <c r="B96" s="3">
        <f>VLOOKUP(A96,'Production Plan'!B:R,15,FALSE)</f>
        <v/>
      </c>
      <c r="C96" s="3">
        <f>VLOOKUP(A96,'Production Plan'!B:F,5,FALSE)</f>
        <v/>
      </c>
    </row>
    <row r="97" hidden="1">
      <c r="A97" s="3">
        <f>'Production Plan'!B97</f>
        <v/>
      </c>
      <c r="B97" s="3">
        <f>VLOOKUP(A97,'Production Plan'!B:R,15,FALSE)</f>
        <v/>
      </c>
      <c r="C97" s="3">
        <f>VLOOKUP(A97,'Production Plan'!B:F,5,FALSE)</f>
        <v/>
      </c>
    </row>
    <row r="98" hidden="1">
      <c r="A98" s="3">
        <f>'Production Plan'!B98</f>
        <v/>
      </c>
      <c r="B98" s="3">
        <f>VLOOKUP(A98,'Production Plan'!B:R,15,FALSE)</f>
        <v/>
      </c>
      <c r="C98" s="3">
        <f>VLOOKUP(A98,'Production Plan'!B:F,5,FALSE)</f>
        <v/>
      </c>
    </row>
    <row r="99" hidden="1">
      <c r="A99" s="3">
        <f>'Production Plan'!B99</f>
        <v/>
      </c>
      <c r="B99" s="3">
        <f>VLOOKUP(A99,'Production Plan'!B:R,15,FALSE)</f>
        <v/>
      </c>
      <c r="C99" s="3">
        <f>VLOOKUP(A99,'Production Plan'!B:F,5,FALSE)</f>
        <v/>
      </c>
    </row>
    <row r="100" hidden="1">
      <c r="A100" s="3">
        <f>'Production Plan'!B100</f>
        <v/>
      </c>
      <c r="B100" s="3">
        <f>VLOOKUP(A100,'Production Plan'!B:R,15,FALSE)</f>
        <v/>
      </c>
      <c r="C100" s="3">
        <f>VLOOKUP(A100,'Production Plan'!B:F,5,FALSE)</f>
        <v/>
      </c>
    </row>
    <row r="101" hidden="1">
      <c r="A101" s="3">
        <f>'Production Plan'!B101</f>
        <v/>
      </c>
      <c r="B101" s="3">
        <f>VLOOKUP(A101,'Production Plan'!B:R,15,FALSE)</f>
        <v/>
      </c>
      <c r="C101" s="3">
        <f>VLOOKUP(A101,'Production Plan'!B:F,5,FALSE)</f>
        <v/>
      </c>
    </row>
    <row r="102" hidden="1">
      <c r="A102" s="3">
        <f>'Production Plan'!B102</f>
        <v/>
      </c>
      <c r="B102" s="3">
        <f>VLOOKUP(A102,'Production Plan'!B:R,15,FALSE)</f>
        <v/>
      </c>
      <c r="C102" s="3">
        <f>VLOOKUP(A102,'Production Plan'!B:F,5,FALSE)</f>
        <v/>
      </c>
    </row>
    <row r="103" hidden="1">
      <c r="A103" s="3">
        <f>'Production Plan'!B103</f>
        <v/>
      </c>
      <c r="B103" s="3">
        <f>VLOOKUP(A103,'Production Plan'!B:R,15,FALSE)</f>
        <v/>
      </c>
      <c r="C103" s="3">
        <f>VLOOKUP(A103,'Production Plan'!B:F,5,FALSE)</f>
        <v/>
      </c>
    </row>
    <row r="104" hidden="1">
      <c r="A104" s="3">
        <f>'Production Plan'!B104</f>
        <v/>
      </c>
      <c r="B104" s="3">
        <f>VLOOKUP(A104,'Production Plan'!B:R,15,FALSE)</f>
        <v/>
      </c>
      <c r="C104" s="3">
        <f>VLOOKUP(A104,'Production Plan'!B:F,5,FALSE)</f>
        <v/>
      </c>
    </row>
    <row r="105" hidden="1">
      <c r="A105" s="3">
        <f>'Production Plan'!B105</f>
        <v/>
      </c>
      <c r="B105" s="3">
        <f>VLOOKUP(A105,'Production Plan'!B:R,15,FALSE)</f>
        <v/>
      </c>
      <c r="C105" s="3">
        <f>VLOOKUP(A105,'Production Plan'!B:F,5,FALSE)</f>
        <v/>
      </c>
    </row>
    <row r="106" hidden="1">
      <c r="A106" s="3">
        <f>'Production Plan'!B106</f>
        <v/>
      </c>
      <c r="B106" s="3">
        <f>VLOOKUP(A106,'Production Plan'!B:R,15,FALSE)</f>
        <v/>
      </c>
      <c r="C106" s="3">
        <f>VLOOKUP(A106,'Production Plan'!B:F,5,FALSE)</f>
        <v/>
      </c>
    </row>
    <row r="107" hidden="1">
      <c r="A107" s="3">
        <f>'Production Plan'!B107</f>
        <v/>
      </c>
      <c r="B107" s="3">
        <f>VLOOKUP(A107,'Production Plan'!B:R,15,FALSE)</f>
        <v/>
      </c>
      <c r="C107" s="3">
        <f>VLOOKUP(A107,'Production Plan'!B:F,5,FALSE)</f>
        <v/>
      </c>
    </row>
    <row r="108" hidden="1">
      <c r="A108" s="3">
        <f>'Production Plan'!B108</f>
        <v/>
      </c>
      <c r="B108" s="3">
        <f>VLOOKUP(A108,'Production Plan'!B:R,15,FALSE)</f>
        <v/>
      </c>
      <c r="C108" s="3">
        <f>VLOOKUP(A108,'Production Plan'!B:F,5,FALSE)</f>
        <v/>
      </c>
    </row>
    <row r="109" hidden="1">
      <c r="A109" s="3">
        <f>'Production Plan'!B109</f>
        <v/>
      </c>
      <c r="B109" s="3">
        <f>VLOOKUP(A109,'Production Plan'!B:R,15,FALSE)</f>
        <v/>
      </c>
      <c r="C109" s="3">
        <f>VLOOKUP(A109,'Production Plan'!B:F,5,FALSE)</f>
        <v/>
      </c>
    </row>
    <row r="110" hidden="1">
      <c r="A110" s="3">
        <f>'Production Plan'!B110</f>
        <v/>
      </c>
      <c r="B110" s="3">
        <f>VLOOKUP(A110,'Production Plan'!B:R,15,FALSE)</f>
        <v/>
      </c>
      <c r="C110" s="3">
        <f>VLOOKUP(A110,'Production Plan'!B:F,5,FALSE)</f>
        <v/>
      </c>
    </row>
    <row r="111" hidden="1">
      <c r="A111" s="3">
        <f>'Production Plan'!B111</f>
        <v/>
      </c>
      <c r="B111" s="3">
        <f>VLOOKUP(A111,'Production Plan'!B:R,15,FALSE)</f>
        <v/>
      </c>
      <c r="C111" s="3">
        <f>VLOOKUP(A111,'Production Plan'!B:F,5,FALSE)</f>
        <v/>
      </c>
    </row>
    <row r="112" hidden="1">
      <c r="A112" s="3">
        <f>'Production Plan'!B112</f>
        <v/>
      </c>
      <c r="B112" s="3">
        <f>VLOOKUP(A112,'Production Plan'!B:R,15,FALSE)</f>
        <v/>
      </c>
      <c r="C112" s="3">
        <f>VLOOKUP(A112,'Production Plan'!B:F,5,FALSE)</f>
        <v/>
      </c>
    </row>
    <row r="113" hidden="1">
      <c r="A113" s="3">
        <f>'Production Plan'!B113</f>
        <v/>
      </c>
      <c r="B113" s="3">
        <f>VLOOKUP(A113,'Production Plan'!B:R,15,FALSE)</f>
        <v/>
      </c>
      <c r="C113" s="3">
        <f>VLOOKUP(A113,'Production Plan'!B:F,5,FALSE)</f>
        <v/>
      </c>
    </row>
    <row r="114" hidden="1">
      <c r="A114" s="3">
        <f>'Production Plan'!B114</f>
        <v/>
      </c>
      <c r="B114" s="3">
        <f>VLOOKUP(A114,'Production Plan'!B:R,15,FALSE)</f>
        <v/>
      </c>
      <c r="C114" s="3">
        <f>VLOOKUP(A114,'Production Plan'!B:F,5,FALSE)</f>
        <v/>
      </c>
    </row>
    <row r="115" hidden="1">
      <c r="A115" s="3">
        <f>'Production Plan'!B115</f>
        <v/>
      </c>
      <c r="B115" s="3">
        <f>VLOOKUP(A115,'Production Plan'!B:R,15,FALSE)</f>
        <v/>
      </c>
      <c r="C115" s="3">
        <f>VLOOKUP(A115,'Production Plan'!B:F,5,FALSE)</f>
        <v/>
      </c>
    </row>
    <row r="116" hidden="1">
      <c r="A116" s="3">
        <f>'Production Plan'!B116</f>
        <v/>
      </c>
      <c r="B116" s="3">
        <f>VLOOKUP(A116,'Production Plan'!B:R,15,FALSE)</f>
        <v/>
      </c>
      <c r="C116" s="3">
        <f>VLOOKUP(A116,'Production Plan'!B:F,5,FALSE)</f>
        <v/>
      </c>
    </row>
    <row r="117" hidden="1">
      <c r="A117" s="3">
        <f>'Production Plan'!B117</f>
        <v/>
      </c>
      <c r="B117" s="3">
        <f>VLOOKUP(A117,'Production Plan'!B:R,15,FALSE)</f>
        <v/>
      </c>
      <c r="C117" s="3">
        <f>VLOOKUP(A117,'Production Plan'!B:F,5,FALSE)</f>
        <v/>
      </c>
    </row>
    <row r="118" hidden="1">
      <c r="A118" s="3">
        <f>'Production Plan'!B118</f>
        <v/>
      </c>
      <c r="B118" s="3">
        <f>VLOOKUP(A118,'Production Plan'!B:R,15,FALSE)</f>
        <v/>
      </c>
      <c r="C118" s="3">
        <f>VLOOKUP(A118,'Production Plan'!B:F,5,FALSE)</f>
        <v/>
      </c>
    </row>
    <row r="119" hidden="1">
      <c r="A119" s="3">
        <f>'Production Plan'!B119</f>
        <v/>
      </c>
      <c r="B119" s="3">
        <f>VLOOKUP(A119,'Production Plan'!B:R,15,FALSE)</f>
        <v/>
      </c>
      <c r="C119" s="3">
        <f>VLOOKUP(A119,'Production Plan'!B:F,5,FALSE)</f>
        <v/>
      </c>
    </row>
    <row r="120" hidden="1">
      <c r="A120" s="3">
        <f>'Production Plan'!B120</f>
        <v/>
      </c>
      <c r="B120" s="3">
        <f>VLOOKUP(A120,'Production Plan'!B:R,15,FALSE)</f>
        <v/>
      </c>
      <c r="C120" s="3">
        <f>VLOOKUP(A120,'Production Plan'!B:F,5,FALSE)</f>
        <v/>
      </c>
    </row>
    <row r="121" hidden="1">
      <c r="A121" s="3">
        <f>'Production Plan'!B121</f>
        <v/>
      </c>
      <c r="B121" s="3">
        <f>VLOOKUP(A121,'Production Plan'!B:R,15,FALSE)</f>
        <v/>
      </c>
      <c r="C121" s="3">
        <f>VLOOKUP(A121,'Production Plan'!B:F,5,FALSE)</f>
        <v/>
      </c>
    </row>
    <row r="122" hidden="1">
      <c r="A122" s="3">
        <f>'Production Plan'!B122</f>
        <v/>
      </c>
      <c r="B122" s="3">
        <f>VLOOKUP(A122,'Production Plan'!B:R,15,FALSE)</f>
        <v/>
      </c>
      <c r="C122" s="3">
        <f>VLOOKUP(A122,'Production Plan'!B:F,5,FALSE)</f>
        <v/>
      </c>
    </row>
    <row r="123" hidden="1">
      <c r="A123" s="3">
        <f>'Production Plan'!B123</f>
        <v/>
      </c>
      <c r="B123" s="3">
        <f>VLOOKUP(A123,'Production Plan'!B:R,15,FALSE)</f>
        <v/>
      </c>
      <c r="C123" s="3">
        <f>VLOOKUP(A123,'Production Plan'!B:F,5,FALSE)</f>
        <v/>
      </c>
    </row>
    <row r="124" hidden="1">
      <c r="A124" s="3">
        <f>'Production Plan'!B124</f>
        <v/>
      </c>
      <c r="B124" s="3">
        <f>VLOOKUP(A124,'Production Plan'!B:R,15,FALSE)</f>
        <v/>
      </c>
      <c r="C124" s="3">
        <f>VLOOKUP(A124,'Production Plan'!B:F,5,FALSE)</f>
        <v/>
      </c>
    </row>
    <row r="125" hidden="1">
      <c r="A125" s="3">
        <f>'Production Plan'!B125</f>
        <v/>
      </c>
      <c r="B125" s="3">
        <f>VLOOKUP(A125,'Production Plan'!B:R,15,FALSE)</f>
        <v/>
      </c>
      <c r="C125" s="3">
        <f>VLOOKUP(A125,'Production Plan'!B:F,5,FALSE)</f>
        <v/>
      </c>
    </row>
    <row r="126" hidden="1">
      <c r="A126" s="3">
        <f>'Production Plan'!B126</f>
        <v/>
      </c>
      <c r="B126" s="3">
        <f>VLOOKUP(A126,'Production Plan'!B:R,15,FALSE)</f>
        <v/>
      </c>
      <c r="C126" s="3">
        <f>VLOOKUP(A126,'Production Plan'!B:F,5,FALSE)</f>
        <v/>
      </c>
    </row>
    <row r="127" hidden="1">
      <c r="A127" s="3">
        <f>'Production Plan'!B127</f>
        <v/>
      </c>
      <c r="B127" s="3">
        <f>VLOOKUP(A127,'Production Plan'!B:R,15,FALSE)</f>
        <v/>
      </c>
      <c r="C127" s="3">
        <f>VLOOKUP(A127,'Production Plan'!B:F,5,FALSE)</f>
        <v/>
      </c>
    </row>
    <row r="128" hidden="1">
      <c r="A128" s="3">
        <f>'Production Plan'!B128</f>
        <v/>
      </c>
      <c r="B128" s="3">
        <f>VLOOKUP(A128,'Production Plan'!B:R,15,FALSE)</f>
        <v/>
      </c>
      <c r="C128" s="3">
        <f>VLOOKUP(A128,'Production Plan'!B:F,5,FALSE)</f>
        <v/>
      </c>
    </row>
    <row r="129" hidden="1">
      <c r="A129" s="3">
        <f>'Production Plan'!B129</f>
        <v/>
      </c>
      <c r="B129" s="3">
        <f>VLOOKUP(A129,'Production Plan'!B:R,15,FALSE)</f>
        <v/>
      </c>
      <c r="C129" s="3">
        <f>VLOOKUP(A129,'Production Plan'!B:F,5,FALSE)</f>
        <v/>
      </c>
    </row>
    <row r="130" hidden="1">
      <c r="A130" s="3">
        <f>'Production Plan'!B130</f>
        <v/>
      </c>
      <c r="B130" s="3">
        <f>VLOOKUP(A130,'Production Plan'!B:R,15,FALSE)</f>
        <v/>
      </c>
      <c r="C130" s="3">
        <f>VLOOKUP(A130,'Production Plan'!B:F,5,FALSE)</f>
        <v/>
      </c>
    </row>
    <row r="131" hidden="1">
      <c r="A131" s="3">
        <f>'Production Plan'!B131</f>
        <v/>
      </c>
      <c r="B131" s="3">
        <f>VLOOKUP(A131,'Production Plan'!B:R,15,FALSE)</f>
        <v/>
      </c>
      <c r="C131" s="3">
        <f>VLOOKUP(A131,'Production Plan'!B:F,5,FALSE)</f>
        <v/>
      </c>
    </row>
    <row r="132" hidden="1">
      <c r="A132" s="3">
        <f>'Production Plan'!B132</f>
        <v/>
      </c>
      <c r="B132" s="3">
        <f>VLOOKUP(A132,'Production Plan'!B:R,15,FALSE)</f>
        <v/>
      </c>
      <c r="C132" s="3">
        <f>VLOOKUP(A132,'Production Plan'!B:F,5,FALSE)</f>
        <v/>
      </c>
    </row>
    <row r="133" hidden="1">
      <c r="A133" s="3">
        <f>'Production Plan'!B133</f>
        <v/>
      </c>
      <c r="B133" s="3">
        <f>VLOOKUP(A133,'Production Plan'!B:R,15,FALSE)</f>
        <v/>
      </c>
      <c r="C133" s="3">
        <f>VLOOKUP(A133,'Production Plan'!B:F,5,FALSE)</f>
        <v/>
      </c>
    </row>
    <row r="134" hidden="1">
      <c r="A134" s="3">
        <f>'Production Plan'!B134</f>
        <v/>
      </c>
      <c r="B134" s="3">
        <f>VLOOKUP(A134,'Production Plan'!B:R,15,FALSE)</f>
        <v/>
      </c>
      <c r="C134" s="3">
        <f>VLOOKUP(A134,'Production Plan'!B:F,5,FALSE)</f>
        <v/>
      </c>
    </row>
    <row r="135" hidden="1">
      <c r="A135" s="3">
        <f>'Production Plan'!B135</f>
        <v/>
      </c>
      <c r="B135" s="3">
        <f>VLOOKUP(A135,'Production Plan'!B:R,15,FALSE)</f>
        <v/>
      </c>
      <c r="C135" s="3">
        <f>VLOOKUP(A135,'Production Plan'!B:F,5,FALSE)</f>
        <v/>
      </c>
    </row>
    <row r="136" hidden="1">
      <c r="A136" s="3">
        <f>'Production Plan'!B136</f>
        <v/>
      </c>
      <c r="B136" s="3">
        <f>VLOOKUP(A136,'Production Plan'!B:R,15,FALSE)</f>
        <v/>
      </c>
      <c r="C136" s="3">
        <f>VLOOKUP(A136,'Production Plan'!B:F,5,FALSE)</f>
        <v/>
      </c>
    </row>
    <row r="137" hidden="1">
      <c r="A137" s="3">
        <f>'Production Plan'!B137</f>
        <v/>
      </c>
      <c r="B137" s="3">
        <f>VLOOKUP(A137,'Production Plan'!B:R,15,FALSE)</f>
        <v/>
      </c>
      <c r="C137" s="3">
        <f>VLOOKUP(A137,'Production Plan'!B:F,5,FALSE)</f>
        <v/>
      </c>
    </row>
    <row r="138" hidden="1">
      <c r="A138" s="3">
        <f>'Production Plan'!B138</f>
        <v/>
      </c>
      <c r="B138" s="3">
        <f>VLOOKUP(A138,'Production Plan'!B:R,15,FALSE)</f>
        <v/>
      </c>
      <c r="C138" s="3">
        <f>VLOOKUP(A138,'Production Plan'!B:F,5,FALSE)</f>
        <v/>
      </c>
    </row>
    <row r="139" hidden="1">
      <c r="A139" s="3">
        <f>'Production Plan'!B139</f>
        <v/>
      </c>
      <c r="B139" s="3">
        <f>VLOOKUP(A139,'Production Plan'!B:R,15,FALSE)</f>
        <v/>
      </c>
      <c r="C139" s="3">
        <f>VLOOKUP(A139,'Production Plan'!B:F,5,FALSE)</f>
        <v/>
      </c>
    </row>
    <row r="140" hidden="1">
      <c r="A140" s="3">
        <f>'Production Plan'!B140</f>
        <v/>
      </c>
      <c r="B140" s="3">
        <f>VLOOKUP(A140,'Production Plan'!B:R,15,FALSE)</f>
        <v/>
      </c>
      <c r="C140" s="3">
        <f>VLOOKUP(A140,'Production Plan'!B:F,5,FALSE)</f>
        <v/>
      </c>
    </row>
    <row r="141" hidden="1">
      <c r="A141" s="3">
        <f>'Production Plan'!B141</f>
        <v/>
      </c>
      <c r="B141" s="3">
        <f>VLOOKUP(A141,'Production Plan'!B:R,15,FALSE)</f>
        <v/>
      </c>
      <c r="C141" s="3">
        <f>VLOOKUP(A141,'Production Plan'!B:F,5,FALSE)</f>
        <v/>
      </c>
    </row>
    <row r="142" hidden="1">
      <c r="A142" s="3">
        <f>'Production Plan'!B142</f>
        <v/>
      </c>
      <c r="B142" s="3">
        <f>VLOOKUP(A142,'Production Plan'!B:R,15,FALSE)</f>
        <v/>
      </c>
      <c r="C142" s="3">
        <f>VLOOKUP(A142,'Production Plan'!B:F,5,FALSE)</f>
        <v/>
      </c>
    </row>
    <row r="143" hidden="1">
      <c r="A143" s="3">
        <f>'Production Plan'!B143</f>
        <v/>
      </c>
      <c r="B143" s="3">
        <f>VLOOKUP(A143,'Production Plan'!B:R,15,FALSE)</f>
        <v/>
      </c>
      <c r="C143" s="3">
        <f>VLOOKUP(A143,'Production Plan'!B:F,5,FALSE)</f>
        <v/>
      </c>
    </row>
    <row r="144" hidden="1">
      <c r="A144" s="3">
        <f>'Production Plan'!B144</f>
        <v/>
      </c>
      <c r="B144" s="3">
        <f>VLOOKUP(A144,'Production Plan'!B:R,15,FALSE)</f>
        <v/>
      </c>
      <c r="C144" s="3">
        <f>VLOOKUP(A144,'Production Plan'!B:F,5,FALSE)</f>
        <v/>
      </c>
    </row>
    <row r="145" hidden="1">
      <c r="A145" s="3">
        <f>'Production Plan'!B145</f>
        <v/>
      </c>
      <c r="B145" s="3">
        <f>VLOOKUP(A145,'Production Plan'!B:R,15,FALSE)</f>
        <v/>
      </c>
      <c r="C145" s="3">
        <f>VLOOKUP(A145,'Production Plan'!B:F,5,FALSE)</f>
        <v/>
      </c>
    </row>
    <row r="146" hidden="1">
      <c r="A146" s="3">
        <f>'Production Plan'!B146</f>
        <v/>
      </c>
      <c r="B146" s="3">
        <f>VLOOKUP(A146,'Production Plan'!B:R,15,FALSE)</f>
        <v/>
      </c>
      <c r="C146" s="3">
        <f>VLOOKUP(A146,'Production Plan'!B:F,5,FALSE)</f>
        <v/>
      </c>
    </row>
    <row r="147" hidden="1">
      <c r="A147" s="3">
        <f>'Production Plan'!B147</f>
        <v/>
      </c>
      <c r="B147" s="3">
        <f>VLOOKUP(A147,'Production Plan'!B:R,15,FALSE)</f>
        <v/>
      </c>
      <c r="C147" s="3">
        <f>VLOOKUP(A147,'Production Plan'!B:F,5,FALSE)</f>
        <v/>
      </c>
    </row>
    <row r="148" hidden="1">
      <c r="A148" s="3">
        <f>'Production Plan'!B148</f>
        <v/>
      </c>
      <c r="B148" s="3">
        <f>VLOOKUP(A148,'Production Plan'!B:R,15,FALSE)</f>
        <v/>
      </c>
      <c r="C148" s="3">
        <f>VLOOKUP(A148,'Production Plan'!B:F,5,FALSE)</f>
        <v/>
      </c>
    </row>
    <row r="149" hidden="1">
      <c r="A149" s="3">
        <f>'Production Plan'!B149</f>
        <v/>
      </c>
      <c r="B149" s="3">
        <f>VLOOKUP(A149,'Production Plan'!B:R,15,FALSE)</f>
        <v/>
      </c>
      <c r="C149" s="3">
        <f>VLOOKUP(A149,'Production Plan'!B:F,5,FALSE)</f>
        <v/>
      </c>
    </row>
    <row r="150" hidden="1">
      <c r="A150" s="3">
        <f>'Production Plan'!B150</f>
        <v/>
      </c>
      <c r="B150" s="3">
        <f>VLOOKUP(A150,'Production Plan'!B:R,15,FALSE)</f>
        <v/>
      </c>
      <c r="C150" s="3">
        <f>VLOOKUP(A150,'Production Plan'!B:F,5,FALSE)</f>
        <v/>
      </c>
    </row>
    <row r="151" hidden="1">
      <c r="A151" s="3">
        <f>'Production Plan'!B151</f>
        <v/>
      </c>
      <c r="B151" s="3">
        <f>VLOOKUP(A151,'Production Plan'!B:R,15,FALSE)</f>
        <v/>
      </c>
      <c r="C151" s="3">
        <f>VLOOKUP(A151,'Production Plan'!B:F,5,FALSE)</f>
        <v/>
      </c>
    </row>
    <row r="152" hidden="1">
      <c r="A152" s="3">
        <f>'Production Plan'!B152</f>
        <v/>
      </c>
      <c r="B152" s="3">
        <f>VLOOKUP(A152,'Production Plan'!B:R,15,FALSE)</f>
        <v/>
      </c>
      <c r="C152" s="3">
        <f>VLOOKUP(A152,'Production Plan'!B:F,5,FALSE)</f>
        <v/>
      </c>
    </row>
    <row r="153" hidden="1">
      <c r="A153" s="3">
        <f>'Production Plan'!B153</f>
        <v/>
      </c>
      <c r="B153" s="3">
        <f>VLOOKUP(A153,'Production Plan'!B:R,15,FALSE)</f>
        <v/>
      </c>
      <c r="C153" s="3">
        <f>VLOOKUP(A153,'Production Plan'!B:F,5,FALSE)</f>
        <v/>
      </c>
    </row>
    <row r="154" hidden="1">
      <c r="A154" s="3">
        <f>'Production Plan'!B154</f>
        <v/>
      </c>
      <c r="B154" s="3">
        <f>VLOOKUP(A154,'Production Plan'!B:R,15,FALSE)</f>
        <v/>
      </c>
      <c r="C154" s="3">
        <f>VLOOKUP(A154,'Production Plan'!B:F,5,FALSE)</f>
        <v/>
      </c>
    </row>
    <row r="155" hidden="1">
      <c r="A155" s="3">
        <f>'Production Plan'!B155</f>
        <v/>
      </c>
      <c r="B155" s="3">
        <f>VLOOKUP(A155,'Production Plan'!B:R,15,FALSE)</f>
        <v/>
      </c>
      <c r="C155" s="3">
        <f>VLOOKUP(A155,'Production Plan'!B:F,5,FALSE)</f>
        <v/>
      </c>
    </row>
    <row r="156" hidden="1">
      <c r="A156" s="3">
        <f>'Production Plan'!B156</f>
        <v/>
      </c>
      <c r="B156" s="3">
        <f>VLOOKUP(A156,'Production Plan'!B:R,15,FALSE)</f>
        <v/>
      </c>
      <c r="C156" s="3">
        <f>VLOOKUP(A156,'Production Plan'!B:F,5,FALSE)</f>
        <v/>
      </c>
    </row>
    <row r="157" hidden="1">
      <c r="A157" s="3">
        <f>'Production Plan'!B157</f>
        <v/>
      </c>
      <c r="B157" s="3">
        <f>VLOOKUP(A157,'Production Plan'!B:R,15,FALSE)</f>
        <v/>
      </c>
      <c r="C157" s="3">
        <f>VLOOKUP(A157,'Production Plan'!B:F,5,FALSE)</f>
        <v/>
      </c>
    </row>
    <row r="158" hidden="1">
      <c r="A158" s="3">
        <f>'Production Plan'!B158</f>
        <v/>
      </c>
      <c r="B158" s="3">
        <f>VLOOKUP(A158,'Production Plan'!B:R,15,FALSE)</f>
        <v/>
      </c>
      <c r="C158" s="3">
        <f>VLOOKUP(A158,'Production Plan'!B:F,5,FALSE)</f>
        <v/>
      </c>
    </row>
    <row r="159" hidden="1">
      <c r="A159" s="3">
        <f>'Production Plan'!B159</f>
        <v/>
      </c>
      <c r="B159" s="3">
        <f>VLOOKUP(A159,'Production Plan'!B:R,15,FALSE)</f>
        <v/>
      </c>
      <c r="C159" s="3">
        <f>VLOOKUP(A159,'Production Plan'!B:F,5,FALSE)</f>
        <v/>
      </c>
    </row>
    <row r="160" hidden="1">
      <c r="A160" s="3">
        <f>'Production Plan'!B160</f>
        <v/>
      </c>
      <c r="B160" s="3">
        <f>VLOOKUP(A160,'Production Plan'!B:R,15,FALSE)</f>
        <v/>
      </c>
      <c r="C160" s="3">
        <f>VLOOKUP(A160,'Production Plan'!B:F,5,FALSE)</f>
        <v/>
      </c>
    </row>
    <row r="161" hidden="1">
      <c r="A161" s="3">
        <f>'Production Plan'!B161</f>
        <v/>
      </c>
      <c r="B161" s="3">
        <f>VLOOKUP(A161,'Production Plan'!B:R,15,FALSE)</f>
        <v/>
      </c>
      <c r="C161" s="3">
        <f>VLOOKUP(A161,'Production Plan'!B:F,5,FALSE)</f>
        <v/>
      </c>
    </row>
    <row r="162" hidden="1">
      <c r="A162" s="3">
        <f>'Production Plan'!B162</f>
        <v/>
      </c>
      <c r="B162" s="3">
        <f>VLOOKUP(A162,'Production Plan'!B:R,15,FALSE)</f>
        <v/>
      </c>
      <c r="C162" s="3">
        <f>VLOOKUP(A162,'Production Plan'!B:F,5,FALSE)</f>
        <v/>
      </c>
    </row>
    <row r="163" hidden="1">
      <c r="A163" s="3">
        <f>'Production Plan'!B163</f>
        <v/>
      </c>
      <c r="B163" s="3">
        <f>VLOOKUP(A163,'Production Plan'!B:R,15,FALSE)</f>
        <v/>
      </c>
      <c r="C163" s="3">
        <f>VLOOKUP(A163,'Production Plan'!B:F,5,FALSE)</f>
        <v/>
      </c>
    </row>
    <row r="164" hidden="1">
      <c r="A164" s="3">
        <f>'Production Plan'!B164</f>
        <v/>
      </c>
      <c r="B164" s="3">
        <f>VLOOKUP(A164,'Production Plan'!B:R,15,FALSE)</f>
        <v/>
      </c>
      <c r="C164" s="3">
        <f>VLOOKUP(A164,'Production Plan'!B:F,5,FALSE)</f>
        <v/>
      </c>
    </row>
    <row r="165" hidden="1">
      <c r="A165" s="3">
        <f>'Production Plan'!B165</f>
        <v/>
      </c>
      <c r="B165" s="3">
        <f>VLOOKUP(A165,'Production Plan'!B:R,15,FALSE)</f>
        <v/>
      </c>
      <c r="C165" s="3">
        <f>VLOOKUP(A165,'Production Plan'!B:F,5,FALSE)</f>
        <v/>
      </c>
    </row>
    <row r="166" hidden="1">
      <c r="A166" s="3">
        <f>'Production Plan'!B166</f>
        <v/>
      </c>
      <c r="B166" s="3">
        <f>VLOOKUP(A166,'Production Plan'!B:R,15,FALSE)</f>
        <v/>
      </c>
      <c r="C166" s="3">
        <f>VLOOKUP(A166,'Production Plan'!B:F,5,FALSE)</f>
        <v/>
      </c>
    </row>
    <row r="167" hidden="1">
      <c r="A167" s="3">
        <f>'Production Plan'!B167</f>
        <v/>
      </c>
      <c r="B167" s="3">
        <f>VLOOKUP(A167,'Production Plan'!B:R,15,FALSE)</f>
        <v/>
      </c>
      <c r="C167" s="3">
        <f>VLOOKUP(A167,'Production Plan'!B:F,5,FALSE)</f>
        <v/>
      </c>
    </row>
    <row r="168" hidden="1">
      <c r="A168" s="3">
        <f>'Production Plan'!B168</f>
        <v/>
      </c>
      <c r="B168" s="3">
        <f>VLOOKUP(A168,'Production Plan'!B:R,15,FALSE)</f>
        <v/>
      </c>
      <c r="C168" s="3">
        <f>VLOOKUP(A168,'Production Plan'!B:F,5,FALSE)</f>
        <v/>
      </c>
    </row>
    <row r="169" hidden="1">
      <c r="A169" s="3">
        <f>'Production Plan'!B169</f>
        <v/>
      </c>
      <c r="B169" s="3">
        <f>VLOOKUP(A169,'Production Plan'!B:R,15,FALSE)</f>
        <v/>
      </c>
      <c r="C169" s="3">
        <f>VLOOKUP(A169,'Production Plan'!B:F,5,FALSE)</f>
        <v/>
      </c>
    </row>
    <row r="170" hidden="1">
      <c r="A170" s="3">
        <f>'Production Plan'!B170</f>
        <v/>
      </c>
      <c r="B170" s="3">
        <f>VLOOKUP(A170,'Production Plan'!B:R,15,FALSE)</f>
        <v/>
      </c>
      <c r="C170" s="3">
        <f>VLOOKUP(A170,'Production Plan'!B:F,5,FALSE)</f>
        <v/>
      </c>
    </row>
    <row r="171" hidden="1">
      <c r="A171" s="3">
        <f>'Production Plan'!B171</f>
        <v/>
      </c>
      <c r="B171" s="3">
        <f>VLOOKUP(A171,'Production Plan'!B:R,15,FALSE)</f>
        <v/>
      </c>
      <c r="C171" s="3">
        <f>VLOOKUP(A171,'Production Plan'!B:F,5,FALSE)</f>
        <v/>
      </c>
    </row>
    <row r="172" hidden="1">
      <c r="A172" s="3">
        <f>'Production Plan'!B172</f>
        <v/>
      </c>
      <c r="B172" s="3">
        <f>VLOOKUP(A172,'Production Plan'!B:R,15,FALSE)</f>
        <v/>
      </c>
      <c r="C172" s="3">
        <f>VLOOKUP(A172,'Production Plan'!B:F,5,FALSE)</f>
        <v/>
      </c>
    </row>
    <row r="173" hidden="1">
      <c r="A173" s="3">
        <f>'Production Plan'!B173</f>
        <v/>
      </c>
      <c r="B173" s="3">
        <f>VLOOKUP(A173,'Production Plan'!B:R,15,FALSE)</f>
        <v/>
      </c>
      <c r="C173" s="3">
        <f>VLOOKUP(A173,'Production Plan'!B:F,5,FALSE)</f>
        <v/>
      </c>
    </row>
    <row r="174" hidden="1">
      <c r="A174" s="3">
        <f>'Production Plan'!B174</f>
        <v/>
      </c>
      <c r="B174" s="3">
        <f>VLOOKUP(A174,'Production Plan'!B:R,15,FALSE)</f>
        <v/>
      </c>
      <c r="C174" s="3">
        <f>VLOOKUP(A174,'Production Plan'!B:F,5,FALSE)</f>
        <v/>
      </c>
    </row>
    <row r="175" hidden="1">
      <c r="A175" s="3">
        <f>'Production Plan'!B175</f>
        <v/>
      </c>
      <c r="B175" s="3">
        <f>VLOOKUP(A175,'Production Plan'!B:R,15,FALSE)</f>
        <v/>
      </c>
      <c r="C175" s="3">
        <f>VLOOKUP(A175,'Production Plan'!B:F,5,FALSE)</f>
        <v/>
      </c>
    </row>
    <row r="176" hidden="1">
      <c r="A176" s="3">
        <f>'Production Plan'!B176</f>
        <v/>
      </c>
      <c r="B176" s="3">
        <f>VLOOKUP(A176,'Production Plan'!B:R,15,FALSE)</f>
        <v/>
      </c>
      <c r="C176" s="3">
        <f>VLOOKUP(A176,'Production Plan'!B:F,5,FALSE)</f>
        <v/>
      </c>
    </row>
    <row r="177" hidden="1">
      <c r="A177" s="3">
        <f>'Production Plan'!B177</f>
        <v/>
      </c>
      <c r="B177" s="3">
        <f>VLOOKUP(A177,'Production Plan'!B:R,15,FALSE)</f>
        <v/>
      </c>
      <c r="C177" s="3">
        <f>VLOOKUP(A177,'Production Plan'!B:F,5,FALSE)</f>
        <v/>
      </c>
    </row>
    <row r="178" hidden="1">
      <c r="A178" s="3">
        <f>'Production Plan'!B178</f>
        <v/>
      </c>
      <c r="B178" s="3">
        <f>VLOOKUP(A178,'Production Plan'!B:R,15,FALSE)</f>
        <v/>
      </c>
      <c r="C178" s="3">
        <f>VLOOKUP(A178,'Production Plan'!B:F,5,FALSE)</f>
        <v/>
      </c>
    </row>
    <row r="179" hidden="1">
      <c r="A179" s="3">
        <f>'Production Plan'!B179</f>
        <v/>
      </c>
      <c r="B179" s="3">
        <f>VLOOKUP(A179,'Production Plan'!B:R,15,FALSE)</f>
        <v/>
      </c>
      <c r="C179" s="3">
        <f>VLOOKUP(A179,'Production Plan'!B:F,5,FALSE)</f>
        <v/>
      </c>
    </row>
    <row r="180" hidden="1">
      <c r="A180" s="3">
        <f>'Production Plan'!B180</f>
        <v/>
      </c>
      <c r="B180" s="3">
        <f>VLOOKUP(A180,'Production Plan'!B:R,15,FALSE)</f>
        <v/>
      </c>
      <c r="C180" s="3">
        <f>VLOOKUP(A180,'Production Plan'!B:F,5,FALSE)</f>
        <v/>
      </c>
    </row>
    <row r="181" hidden="1">
      <c r="A181" s="3">
        <f>'Production Plan'!B181</f>
        <v/>
      </c>
      <c r="B181" s="3">
        <f>VLOOKUP(A181,'Production Plan'!B:R,15,FALSE)</f>
        <v/>
      </c>
      <c r="C181" s="3">
        <f>VLOOKUP(A181,'Production Plan'!B:F,5,FALSE)</f>
        <v/>
      </c>
    </row>
    <row r="182" hidden="1">
      <c r="A182" s="3">
        <f>'Production Plan'!B182</f>
        <v/>
      </c>
      <c r="B182" s="3">
        <f>VLOOKUP(A182,'Production Plan'!B:R,15,FALSE)</f>
        <v/>
      </c>
      <c r="C182" s="3">
        <f>VLOOKUP(A182,'Production Plan'!B:F,5,FALSE)</f>
        <v/>
      </c>
    </row>
    <row r="183" hidden="1">
      <c r="A183" s="3">
        <f>'Production Plan'!B183</f>
        <v/>
      </c>
      <c r="B183" s="3">
        <f>VLOOKUP(A183,'Production Plan'!B:R,15,FALSE)</f>
        <v/>
      </c>
      <c r="C183" s="3">
        <f>VLOOKUP(A183,'Production Plan'!B:F,5,FALSE)</f>
        <v/>
      </c>
    </row>
    <row r="184" hidden="1">
      <c r="A184" s="3">
        <f>'Production Plan'!B184</f>
        <v/>
      </c>
      <c r="B184" s="3">
        <f>VLOOKUP(A184,'Production Plan'!B:R,15,FALSE)</f>
        <v/>
      </c>
      <c r="C184" s="3">
        <f>VLOOKUP(A184,'Production Plan'!B:F,5,FALSE)</f>
        <v/>
      </c>
    </row>
    <row r="185" hidden="1">
      <c r="A185" s="3">
        <f>'Production Plan'!B185</f>
        <v/>
      </c>
      <c r="B185" s="3">
        <f>VLOOKUP(A185,'Production Plan'!B:R,15,FALSE)</f>
        <v/>
      </c>
      <c r="C185" s="3">
        <f>VLOOKUP(A185,'Production Plan'!B:F,5,FALSE)</f>
        <v/>
      </c>
    </row>
    <row r="186" hidden="1">
      <c r="A186" s="3">
        <f>'Production Plan'!B186</f>
        <v/>
      </c>
      <c r="B186" s="3">
        <f>VLOOKUP(A186,'Production Plan'!B:R,15,FALSE)</f>
        <v/>
      </c>
      <c r="C186" s="3">
        <f>VLOOKUP(A186,'Production Plan'!B:F,5,FALSE)</f>
        <v/>
      </c>
    </row>
    <row r="187" hidden="1">
      <c r="A187" s="3">
        <f>'Production Plan'!B187</f>
        <v/>
      </c>
      <c r="B187" s="3">
        <f>VLOOKUP(A187,'Production Plan'!B:R,15,FALSE)</f>
        <v/>
      </c>
      <c r="C187" s="3">
        <f>VLOOKUP(A187,'Production Plan'!B:F,5,FALSE)</f>
        <v/>
      </c>
    </row>
    <row r="188" hidden="1">
      <c r="A188" s="3">
        <f>'Production Plan'!B188</f>
        <v/>
      </c>
      <c r="B188" s="3">
        <f>VLOOKUP(A188,'Production Plan'!B:R,15,FALSE)</f>
        <v/>
      </c>
      <c r="C188" s="3">
        <f>VLOOKUP(A188,'Production Plan'!B:F,5,FALSE)</f>
        <v/>
      </c>
    </row>
    <row r="189" hidden="1">
      <c r="A189" s="3">
        <f>'Production Plan'!B189</f>
        <v/>
      </c>
      <c r="B189" s="3">
        <f>VLOOKUP(A189,'Production Plan'!B:R,15,FALSE)</f>
        <v/>
      </c>
      <c r="C189" s="3">
        <f>VLOOKUP(A189,'Production Plan'!B:F,5,FALSE)</f>
        <v/>
      </c>
    </row>
    <row r="190" hidden="1">
      <c r="A190" s="3">
        <f>'Production Plan'!B190</f>
        <v/>
      </c>
      <c r="B190" s="3">
        <f>VLOOKUP(A190,'Production Plan'!B:R,15,FALSE)</f>
        <v/>
      </c>
      <c r="C190" s="3">
        <f>VLOOKUP(A190,'Production Plan'!B:F,5,FALSE)</f>
        <v/>
      </c>
    </row>
    <row r="191" hidden="1">
      <c r="A191" s="3">
        <f>'Production Plan'!B191</f>
        <v/>
      </c>
      <c r="B191" s="3">
        <f>VLOOKUP(A191,'Production Plan'!B:R,15,FALSE)</f>
        <v/>
      </c>
      <c r="C191" s="3">
        <f>VLOOKUP(A191,'Production Plan'!B:F,5,FALSE)</f>
        <v/>
      </c>
    </row>
    <row r="192" hidden="1">
      <c r="A192" s="3">
        <f>'Production Plan'!B192</f>
        <v/>
      </c>
      <c r="B192" s="3">
        <f>VLOOKUP(A192,'Production Plan'!B:R,15,FALSE)</f>
        <v/>
      </c>
      <c r="C192" s="3">
        <f>VLOOKUP(A192,'Production Plan'!B:F,5,FALSE)</f>
        <v/>
      </c>
    </row>
    <row r="193" hidden="1">
      <c r="A193" s="3">
        <f>'Production Plan'!B193</f>
        <v/>
      </c>
      <c r="B193" s="3">
        <f>VLOOKUP(A193,'Production Plan'!B:R,15,FALSE)</f>
        <v/>
      </c>
      <c r="C193" s="3">
        <f>VLOOKUP(A193,'Production Plan'!B:F,5,FALSE)</f>
        <v/>
      </c>
    </row>
    <row r="194" hidden="1">
      <c r="A194" s="3">
        <f>'Production Plan'!B194</f>
        <v/>
      </c>
      <c r="B194" s="3">
        <f>VLOOKUP(A194,'Production Plan'!B:R,15,FALSE)</f>
        <v/>
      </c>
      <c r="C194" s="3">
        <f>VLOOKUP(A194,'Production Plan'!B:F,5,FALSE)</f>
        <v/>
      </c>
    </row>
    <row r="195" hidden="1">
      <c r="A195" s="3">
        <f>'Production Plan'!B195</f>
        <v/>
      </c>
      <c r="B195" s="3">
        <f>VLOOKUP(A195,'Production Plan'!B:R,15,FALSE)</f>
        <v/>
      </c>
      <c r="C195" s="3">
        <f>VLOOKUP(A195,'Production Plan'!B:F,5,FALSE)</f>
        <v/>
      </c>
    </row>
    <row r="196" hidden="1">
      <c r="A196" s="3">
        <f>'Production Plan'!B196</f>
        <v/>
      </c>
      <c r="B196" s="3">
        <f>VLOOKUP(A196,'Production Plan'!B:R,15,FALSE)</f>
        <v/>
      </c>
      <c r="C196" s="3">
        <f>VLOOKUP(A196,'Production Plan'!B:F,5,FALSE)</f>
        <v/>
      </c>
    </row>
    <row r="197" hidden="1">
      <c r="A197" s="3">
        <f>'Production Plan'!B197</f>
        <v/>
      </c>
      <c r="B197" s="3">
        <f>VLOOKUP(A197,'Production Plan'!B:R,15,FALSE)</f>
        <v/>
      </c>
      <c r="C197" s="3">
        <f>VLOOKUP(A197,'Production Plan'!B:F,5,FALSE)</f>
        <v/>
      </c>
    </row>
    <row r="198" hidden="1">
      <c r="A198" s="3">
        <f>'Production Plan'!B198</f>
        <v/>
      </c>
      <c r="B198" s="3">
        <f>VLOOKUP(A198,'Production Plan'!B:R,15,FALSE)</f>
        <v/>
      </c>
      <c r="C198" s="3">
        <f>VLOOKUP(A198,'Production Plan'!B:F,5,FALSE)</f>
        <v/>
      </c>
    </row>
    <row r="199" hidden="1">
      <c r="A199" s="3">
        <f>'Production Plan'!B199</f>
        <v/>
      </c>
      <c r="B199" s="3">
        <f>VLOOKUP(A199,'Production Plan'!B:R,15,FALSE)</f>
        <v/>
      </c>
      <c r="C199" s="3">
        <f>VLOOKUP(A199,'Production Plan'!B:F,5,FALSE)</f>
        <v/>
      </c>
    </row>
    <row r="200" hidden="1">
      <c r="A200" s="3">
        <f>'Production Plan'!B200</f>
        <v/>
      </c>
      <c r="B200" s="3">
        <f>VLOOKUP(A200,'Production Plan'!B:R,15,FALSE)</f>
        <v/>
      </c>
      <c r="C200" s="3">
        <f>VLOOKUP(A200,'Production Plan'!B:F,5,FALSE)</f>
        <v/>
      </c>
    </row>
    <row r="201" hidden="1">
      <c r="A201" s="3">
        <f>'Production Plan'!B201</f>
        <v/>
      </c>
      <c r="B201" s="3">
        <f>VLOOKUP(A201,'Production Plan'!B:R,15,FALSE)</f>
        <v/>
      </c>
      <c r="C201" s="3">
        <f>VLOOKUP(A201,'Production Plan'!B:F,5,FALSE)</f>
        <v/>
      </c>
    </row>
    <row r="202" hidden="1">
      <c r="A202" s="3">
        <f>'Production Plan'!B202</f>
        <v/>
      </c>
      <c r="B202" s="3">
        <f>VLOOKUP(A202,'Production Plan'!B:R,15,FALSE)</f>
        <v/>
      </c>
      <c r="C202" s="3">
        <f>VLOOKUP(A202,'Production Plan'!B:F,5,FALSE)</f>
        <v/>
      </c>
    </row>
    <row r="203" hidden="1">
      <c r="A203" s="3">
        <f>'Production Plan'!B203</f>
        <v/>
      </c>
      <c r="B203" s="3">
        <f>VLOOKUP(A203,'Production Plan'!B:R,15,FALSE)</f>
        <v/>
      </c>
      <c r="C203" s="3">
        <f>VLOOKUP(A203,'Production Plan'!B:F,5,FALSE)</f>
        <v/>
      </c>
    </row>
    <row r="204" hidden="1">
      <c r="A204" s="3">
        <f>'Production Plan'!B204</f>
        <v/>
      </c>
      <c r="B204" s="3">
        <f>VLOOKUP(A204,'Production Plan'!B:R,15,FALSE)</f>
        <v/>
      </c>
      <c r="C204" s="3">
        <f>VLOOKUP(A204,'Production Plan'!B:F,5,FALSE)</f>
        <v/>
      </c>
    </row>
    <row r="205" hidden="1">
      <c r="A205" s="3">
        <f>'Production Plan'!B205</f>
        <v/>
      </c>
      <c r="B205" s="3">
        <f>VLOOKUP(A205,'Production Plan'!B:R,15,FALSE)</f>
        <v/>
      </c>
      <c r="C205" s="3">
        <f>VLOOKUP(A205,'Production Plan'!B:F,5,FALSE)</f>
        <v/>
      </c>
    </row>
    <row r="206" hidden="1">
      <c r="A206" s="3">
        <f>'Production Plan'!B206</f>
        <v/>
      </c>
      <c r="B206" s="3">
        <f>VLOOKUP(A206,'Production Plan'!B:R,15,FALSE)</f>
        <v/>
      </c>
      <c r="C206" s="3">
        <f>VLOOKUP(A206,'Production Plan'!B:F,5,FALSE)</f>
        <v/>
      </c>
    </row>
    <row r="207" hidden="1">
      <c r="A207" s="3">
        <f>'Production Plan'!B207</f>
        <v/>
      </c>
      <c r="B207" s="3">
        <f>VLOOKUP(A207,'Production Plan'!B:R,15,FALSE)</f>
        <v/>
      </c>
      <c r="C207" s="3">
        <f>VLOOKUP(A207,'Production Plan'!B:F,5,FALSE)</f>
        <v/>
      </c>
    </row>
    <row r="208" hidden="1">
      <c r="A208" s="3">
        <f>'Production Plan'!B208</f>
        <v/>
      </c>
      <c r="B208" s="3">
        <f>VLOOKUP(A208,'Production Plan'!B:R,15,FALSE)</f>
        <v/>
      </c>
      <c r="C208" s="3">
        <f>VLOOKUP(A208,'Production Plan'!B:F,5,FALSE)</f>
        <v/>
      </c>
    </row>
    <row r="209" hidden="1">
      <c r="A209" s="3">
        <f>'Production Plan'!B209</f>
        <v/>
      </c>
      <c r="B209" s="3">
        <f>VLOOKUP(A209,'Production Plan'!B:R,15,FALSE)</f>
        <v/>
      </c>
      <c r="C209" s="3">
        <f>VLOOKUP(A209,'Production Plan'!B:F,5,FALSE)</f>
        <v/>
      </c>
    </row>
    <row r="210" hidden="1">
      <c r="A210" s="3">
        <f>'Production Plan'!B210</f>
        <v/>
      </c>
      <c r="B210" s="3">
        <f>VLOOKUP(A210,'Production Plan'!B:R,15,FALSE)</f>
        <v/>
      </c>
      <c r="C210" s="3">
        <f>VLOOKUP(A210,'Production Plan'!B:F,5,FALSE)</f>
        <v/>
      </c>
    </row>
    <row r="211" hidden="1">
      <c r="A211" s="3">
        <f>'Production Plan'!B211</f>
        <v/>
      </c>
      <c r="B211" s="3">
        <f>VLOOKUP(A211,'Production Plan'!B:R,15,FALSE)</f>
        <v/>
      </c>
      <c r="C211" s="3">
        <f>VLOOKUP(A211,'Production Plan'!B:F,5,FALSE)</f>
        <v/>
      </c>
    </row>
    <row r="212" hidden="1">
      <c r="A212" s="3">
        <f>'Production Plan'!B212</f>
        <v/>
      </c>
      <c r="B212" s="3">
        <f>VLOOKUP(A212,'Production Plan'!B:R,15,FALSE)</f>
        <v/>
      </c>
      <c r="C212" s="3">
        <f>VLOOKUP(A212,'Production Plan'!B:F,5,FALSE)</f>
        <v/>
      </c>
    </row>
    <row r="213" hidden="1">
      <c r="A213" s="3">
        <f>'Production Plan'!B213</f>
        <v/>
      </c>
      <c r="B213" s="3">
        <f>VLOOKUP(A213,'Production Plan'!B:R,15,FALSE)</f>
        <v/>
      </c>
      <c r="C213" s="3">
        <f>VLOOKUP(A213,'Production Plan'!B:F,5,FALSE)</f>
        <v/>
      </c>
    </row>
    <row r="214" hidden="1">
      <c r="A214" s="3">
        <f>'Production Plan'!B214</f>
        <v/>
      </c>
      <c r="B214" s="3">
        <f>VLOOKUP(A214,'Production Plan'!B:R,15,FALSE)</f>
        <v/>
      </c>
      <c r="C214" s="3">
        <f>VLOOKUP(A214,'Production Plan'!B:F,5,FALSE)</f>
        <v/>
      </c>
    </row>
    <row r="215" hidden="1">
      <c r="A215" s="3">
        <f>'Production Plan'!B215</f>
        <v/>
      </c>
      <c r="B215" s="3">
        <f>VLOOKUP(A215,'Production Plan'!B:R,15,FALSE)</f>
        <v/>
      </c>
      <c r="C215" s="3">
        <f>VLOOKUP(A215,'Production Plan'!B:F,5,FALSE)</f>
        <v/>
      </c>
    </row>
    <row r="216" hidden="1">
      <c r="A216" s="3">
        <f>'Production Plan'!B216</f>
        <v/>
      </c>
      <c r="B216" s="3">
        <f>VLOOKUP(A216,'Production Plan'!B:R,15,FALSE)</f>
        <v/>
      </c>
      <c r="C216" s="3">
        <f>VLOOKUP(A216,'Production Plan'!B:F,5,FALSE)</f>
        <v/>
      </c>
    </row>
    <row r="217" hidden="1">
      <c r="A217" s="3">
        <f>'Production Plan'!B217</f>
        <v/>
      </c>
      <c r="B217" s="3">
        <f>VLOOKUP(A217,'Production Plan'!B:R,15,FALSE)</f>
        <v/>
      </c>
      <c r="C217" s="3">
        <f>VLOOKUP(A217,'Production Plan'!B:F,5,FALSE)</f>
        <v/>
      </c>
    </row>
    <row r="218" hidden="1">
      <c r="A218" s="3">
        <f>'Production Plan'!B218</f>
        <v/>
      </c>
      <c r="B218" s="3">
        <f>VLOOKUP(A218,'Production Plan'!B:R,15,FALSE)</f>
        <v/>
      </c>
      <c r="C218" s="3">
        <f>VLOOKUP(A218,'Production Plan'!B:F,5,FALSE)</f>
        <v/>
      </c>
    </row>
    <row r="219" hidden="1">
      <c r="A219" s="3">
        <f>'Production Plan'!B219</f>
        <v/>
      </c>
      <c r="B219" s="3">
        <f>VLOOKUP(A219,'Production Plan'!B:R,15,FALSE)</f>
        <v/>
      </c>
      <c r="C219" s="3">
        <f>VLOOKUP(A219,'Production Plan'!B:F,5,FALSE)</f>
        <v/>
      </c>
    </row>
    <row r="220" hidden="1">
      <c r="A220" s="3">
        <f>'Production Plan'!B220</f>
        <v/>
      </c>
      <c r="B220" s="3">
        <f>VLOOKUP(A220,'Production Plan'!B:R,15,FALSE)</f>
        <v/>
      </c>
      <c r="C220" s="3">
        <f>VLOOKUP(A220,'Production Plan'!B:F,5,FALSE)</f>
        <v/>
      </c>
    </row>
    <row r="221" hidden="1">
      <c r="A221" s="3">
        <f>'Production Plan'!B221</f>
        <v/>
      </c>
      <c r="B221" s="3">
        <f>VLOOKUP(A221,'Production Plan'!B:R,15,FALSE)</f>
        <v/>
      </c>
      <c r="C221" s="3">
        <f>VLOOKUP(A221,'Production Plan'!B:F,5,FALSE)</f>
        <v/>
      </c>
    </row>
    <row r="222" hidden="1">
      <c r="A222" s="3">
        <f>'Production Plan'!B222</f>
        <v/>
      </c>
      <c r="B222" s="3">
        <f>VLOOKUP(A222,'Production Plan'!B:R,15,FALSE)</f>
        <v/>
      </c>
      <c r="C222" s="3">
        <f>VLOOKUP(A222,'Production Plan'!B:F,5,FALSE)</f>
        <v/>
      </c>
    </row>
    <row r="223" hidden="1">
      <c r="A223" s="3">
        <f>'Production Plan'!B223</f>
        <v/>
      </c>
      <c r="B223" s="3">
        <f>VLOOKUP(A223,'Production Plan'!B:R,15,FALSE)</f>
        <v/>
      </c>
      <c r="C223" s="3">
        <f>VLOOKUP(A223,'Production Plan'!B:F,5,FALSE)</f>
        <v/>
      </c>
    </row>
    <row r="224" hidden="1">
      <c r="A224" s="3">
        <f>'Production Plan'!B224</f>
        <v/>
      </c>
      <c r="B224" s="3">
        <f>VLOOKUP(A224,'Production Plan'!B:R,15,FALSE)</f>
        <v/>
      </c>
      <c r="C224" s="3">
        <f>VLOOKUP(A224,'Production Plan'!B:F,5,FALSE)</f>
        <v/>
      </c>
    </row>
    <row r="225" hidden="1">
      <c r="A225" s="3">
        <f>'Production Plan'!B225</f>
        <v/>
      </c>
      <c r="B225" s="3">
        <f>VLOOKUP(A225,'Production Plan'!B:R,15,FALSE)</f>
        <v/>
      </c>
      <c r="C225" s="3">
        <f>VLOOKUP(A225,'Production Plan'!B:F,5,FALSE)</f>
        <v/>
      </c>
    </row>
    <row r="226" hidden="1">
      <c r="A226" s="3">
        <f>'Production Plan'!B226</f>
        <v/>
      </c>
      <c r="B226" s="3">
        <f>VLOOKUP(A226,'Production Plan'!B:R,15,FALSE)</f>
        <v/>
      </c>
      <c r="C226" s="3">
        <f>VLOOKUP(A226,'Production Plan'!B:F,5,FALSE)</f>
        <v/>
      </c>
    </row>
    <row r="227" hidden="1">
      <c r="A227" s="3">
        <f>'Production Plan'!B227</f>
        <v/>
      </c>
      <c r="B227" s="3">
        <f>VLOOKUP(A227,'Production Plan'!B:R,15,FALSE)</f>
        <v/>
      </c>
      <c r="C227" s="3">
        <f>VLOOKUP(A227,'Production Plan'!B:F,5,FALSE)</f>
        <v/>
      </c>
    </row>
    <row r="228" hidden="1">
      <c r="A228" s="3">
        <f>'Production Plan'!B228</f>
        <v/>
      </c>
      <c r="B228" s="3">
        <f>VLOOKUP(A228,'Production Plan'!B:R,15,FALSE)</f>
        <v/>
      </c>
      <c r="C228" s="3">
        <f>VLOOKUP(A228,'Production Plan'!B:F,5,FALSE)</f>
        <v/>
      </c>
    </row>
    <row r="229" hidden="1">
      <c r="A229" s="3">
        <f>'Production Plan'!B229</f>
        <v/>
      </c>
      <c r="B229" s="3">
        <f>VLOOKUP(A229,'Production Plan'!B:R,15,FALSE)</f>
        <v/>
      </c>
      <c r="C229" s="3">
        <f>VLOOKUP(A229,'Production Plan'!B:F,5,FALSE)</f>
        <v/>
      </c>
    </row>
    <row r="230" hidden="1">
      <c r="A230" s="3">
        <f>'Production Plan'!B230</f>
        <v/>
      </c>
      <c r="B230" s="3">
        <f>VLOOKUP(A230,'Production Plan'!B:R,15,FALSE)</f>
        <v/>
      </c>
      <c r="C230" s="3">
        <f>VLOOKUP(A230,'Production Plan'!B:F,5,FALSE)</f>
        <v/>
      </c>
    </row>
    <row r="231" hidden="1">
      <c r="A231" s="3">
        <f>'Production Plan'!B231</f>
        <v/>
      </c>
      <c r="B231" s="3">
        <f>VLOOKUP(A231,'Production Plan'!B:R,15,FALSE)</f>
        <v/>
      </c>
      <c r="C231" s="3">
        <f>VLOOKUP(A231,'Production Plan'!B:F,5,FALSE)</f>
        <v/>
      </c>
    </row>
    <row r="232" hidden="1">
      <c r="A232" s="3">
        <f>'Production Plan'!B232</f>
        <v/>
      </c>
      <c r="B232" s="3">
        <f>VLOOKUP(A232,'Production Plan'!B:R,15,FALSE)</f>
        <v/>
      </c>
      <c r="C232" s="3">
        <f>VLOOKUP(A232,'Production Plan'!B:F,5,FALSE)</f>
        <v/>
      </c>
    </row>
    <row r="233" hidden="1">
      <c r="A233" s="3">
        <f>'Production Plan'!B233</f>
        <v/>
      </c>
      <c r="B233" s="3">
        <f>VLOOKUP(A233,'Production Plan'!B:R,15,FALSE)</f>
        <v/>
      </c>
      <c r="C233" s="3">
        <f>VLOOKUP(A233,'Production Plan'!B:F,5,FALSE)</f>
        <v/>
      </c>
    </row>
    <row r="234" hidden="1">
      <c r="A234" s="3">
        <f>'Production Plan'!B234</f>
        <v/>
      </c>
      <c r="B234" s="3">
        <f>VLOOKUP(A234,'Production Plan'!B:R,15,FALSE)</f>
        <v/>
      </c>
      <c r="C234" s="3">
        <f>VLOOKUP(A234,'Production Plan'!B:F,5,FALSE)</f>
        <v/>
      </c>
    </row>
    <row r="235" hidden="1">
      <c r="A235" s="3">
        <f>'Production Plan'!B235</f>
        <v/>
      </c>
      <c r="B235" s="3">
        <f>VLOOKUP(A235,'Production Plan'!B:R,15,FALSE)</f>
        <v/>
      </c>
      <c r="C235" s="3">
        <f>VLOOKUP(A235,'Production Plan'!B:F,5,FALSE)</f>
        <v/>
      </c>
    </row>
    <row r="236" hidden="1">
      <c r="A236" s="3">
        <f>'Production Plan'!B236</f>
        <v/>
      </c>
      <c r="B236" s="3">
        <f>VLOOKUP(A236,'Production Plan'!B:R,15,FALSE)</f>
        <v/>
      </c>
      <c r="C236" s="3">
        <f>VLOOKUP(A236,'Production Plan'!B:F,5,FALSE)</f>
        <v/>
      </c>
    </row>
    <row r="237" hidden="1">
      <c r="A237" s="3">
        <f>'Production Plan'!B237</f>
        <v/>
      </c>
      <c r="B237" s="3">
        <f>VLOOKUP(A237,'Production Plan'!B:R,15,FALSE)</f>
        <v/>
      </c>
      <c r="C237" s="3">
        <f>VLOOKUP(A237,'Production Plan'!B:F,5,FALSE)</f>
        <v/>
      </c>
    </row>
    <row r="238" hidden="1">
      <c r="A238" s="3">
        <f>'Production Plan'!B238</f>
        <v/>
      </c>
      <c r="B238" s="3">
        <f>VLOOKUP(A238,'Production Plan'!B:R,15,FALSE)</f>
        <v/>
      </c>
      <c r="C238" s="3">
        <f>VLOOKUP(A238,'Production Plan'!B:F,5,FALSE)</f>
        <v/>
      </c>
    </row>
    <row r="239" hidden="1">
      <c r="A239" s="3">
        <f>'Production Plan'!B239</f>
        <v/>
      </c>
      <c r="B239" s="3">
        <f>VLOOKUP(A239,'Production Plan'!B:R,15,FALSE)</f>
        <v/>
      </c>
      <c r="C239" s="3">
        <f>VLOOKUP(A239,'Production Plan'!B:F,5,FALSE)</f>
        <v/>
      </c>
    </row>
    <row r="240" hidden="1">
      <c r="A240" s="3">
        <f>'Production Plan'!B240</f>
        <v/>
      </c>
      <c r="B240" s="3">
        <f>VLOOKUP(A240,'Production Plan'!B:R,15,FALSE)</f>
        <v/>
      </c>
      <c r="C240" s="3">
        <f>VLOOKUP(A240,'Production Plan'!B:F,5,FALSE)</f>
        <v/>
      </c>
    </row>
    <row r="241" hidden="1">
      <c r="A241" s="3">
        <f>'Production Plan'!B241</f>
        <v/>
      </c>
      <c r="B241" s="3">
        <f>VLOOKUP(A241,'Production Plan'!B:R,15,FALSE)</f>
        <v/>
      </c>
      <c r="C241" s="3">
        <f>VLOOKUP(A241,'Production Plan'!B:F,5,FALSE)</f>
        <v/>
      </c>
    </row>
    <row r="242" hidden="1">
      <c r="A242" s="3">
        <f>'Production Plan'!B242</f>
        <v/>
      </c>
      <c r="B242" s="3">
        <f>VLOOKUP(A242,'Production Plan'!B:R,15,FALSE)</f>
        <v/>
      </c>
      <c r="C242" s="3">
        <f>VLOOKUP(A242,'Production Plan'!B:F,5,FALSE)</f>
        <v/>
      </c>
    </row>
    <row r="243" hidden="1">
      <c r="A243" s="3">
        <f>'Production Plan'!B243</f>
        <v/>
      </c>
      <c r="B243" s="3">
        <f>VLOOKUP(A243,'Production Plan'!B:R,15,FALSE)</f>
        <v/>
      </c>
      <c r="C243" s="3">
        <f>VLOOKUP(A243,'Production Plan'!B:F,5,FALSE)</f>
        <v/>
      </c>
    </row>
    <row r="244" hidden="1">
      <c r="A244" s="3">
        <f>'Production Plan'!B244</f>
        <v/>
      </c>
      <c r="B244" s="3">
        <f>VLOOKUP(A244,'Production Plan'!B:R,15,FALSE)</f>
        <v/>
      </c>
      <c r="C244" s="3">
        <f>VLOOKUP(A244,'Production Plan'!B:F,5,FALSE)</f>
        <v/>
      </c>
    </row>
    <row r="245" hidden="1">
      <c r="A245" s="3">
        <f>'Production Plan'!B245</f>
        <v/>
      </c>
      <c r="B245" s="3">
        <f>VLOOKUP(A245,'Production Plan'!B:R,15,FALSE)</f>
        <v/>
      </c>
      <c r="C245" s="3">
        <f>VLOOKUP(A245,'Production Plan'!B:F,5,FALSE)</f>
        <v/>
      </c>
    </row>
    <row r="246" hidden="1">
      <c r="A246" s="3">
        <f>'Production Plan'!B246</f>
        <v/>
      </c>
      <c r="B246" s="3">
        <f>VLOOKUP(A246,'Production Plan'!B:R,15,FALSE)</f>
        <v/>
      </c>
      <c r="C246" s="3">
        <f>VLOOKUP(A246,'Production Plan'!B:F,5,FALSE)</f>
        <v/>
      </c>
    </row>
    <row r="247" hidden="1">
      <c r="A247" s="3">
        <f>'Production Plan'!B247</f>
        <v/>
      </c>
      <c r="B247" s="3">
        <f>VLOOKUP(A247,'Production Plan'!B:R,15,FALSE)</f>
        <v/>
      </c>
      <c r="C247" s="3">
        <f>VLOOKUP(A247,'Production Plan'!B:F,5,FALSE)</f>
        <v/>
      </c>
    </row>
    <row r="248" hidden="1">
      <c r="A248" s="3">
        <f>'Production Plan'!B248</f>
        <v/>
      </c>
      <c r="B248" s="3">
        <f>VLOOKUP(A248,'Production Plan'!B:R,15,FALSE)</f>
        <v/>
      </c>
      <c r="C248" s="3">
        <f>VLOOKUP(A248,'Production Plan'!B:F,5,FALSE)</f>
        <v/>
      </c>
    </row>
    <row r="249" hidden="1">
      <c r="A249" s="3">
        <f>'Production Plan'!B249</f>
        <v/>
      </c>
      <c r="B249" s="3">
        <f>VLOOKUP(A249,'Production Plan'!B:R,15,FALSE)</f>
        <v/>
      </c>
      <c r="C249" s="3">
        <f>VLOOKUP(A249,'Production Plan'!B:F,5,FALSE)</f>
        <v/>
      </c>
    </row>
    <row r="250" hidden="1">
      <c r="A250" s="3">
        <f>'Production Plan'!B250</f>
        <v/>
      </c>
      <c r="B250" s="3">
        <f>VLOOKUP(A250,'Production Plan'!B:R,15,FALSE)</f>
        <v/>
      </c>
      <c r="C250" s="3">
        <f>VLOOKUP(A250,'Production Plan'!B:F,5,FALSE)</f>
        <v/>
      </c>
    </row>
    <row r="251" hidden="1">
      <c r="A251" s="3">
        <f>'Production Plan'!B251</f>
        <v/>
      </c>
      <c r="B251" s="3">
        <f>VLOOKUP(A251,'Production Plan'!B:R,15,FALSE)</f>
        <v/>
      </c>
      <c r="C251" s="3">
        <f>VLOOKUP(A251,'Production Plan'!B:F,5,FALSE)</f>
        <v/>
      </c>
    </row>
    <row r="252" hidden="1">
      <c r="A252" s="3">
        <f>'Production Plan'!B252</f>
        <v/>
      </c>
      <c r="B252" s="3">
        <f>VLOOKUP(A252,'Production Plan'!B:R,15,FALSE)</f>
        <v/>
      </c>
      <c r="C252" s="3">
        <f>VLOOKUP(A252,'Production Plan'!B:F,5,FALSE)</f>
        <v/>
      </c>
    </row>
    <row r="253" hidden="1">
      <c r="A253" s="3">
        <f>'Production Plan'!B253</f>
        <v/>
      </c>
      <c r="B253" s="3">
        <f>VLOOKUP(A253,'Production Plan'!B:R,15,FALSE)</f>
        <v/>
      </c>
      <c r="C253" s="3">
        <f>VLOOKUP(A253,'Production Plan'!B:F,5,FALSE)</f>
        <v/>
      </c>
    </row>
    <row r="254" hidden="1">
      <c r="A254" s="3">
        <f>'Production Plan'!B254</f>
        <v/>
      </c>
      <c r="B254" s="3">
        <f>VLOOKUP(A254,'Production Plan'!B:R,15,FALSE)</f>
        <v/>
      </c>
      <c r="C254" s="3">
        <f>VLOOKUP(A254,'Production Plan'!B:F,5,FALSE)</f>
        <v/>
      </c>
    </row>
    <row r="255" hidden="1">
      <c r="A255" s="3">
        <f>'Production Plan'!B255</f>
        <v/>
      </c>
      <c r="B255" s="3">
        <f>VLOOKUP(A255,'Production Plan'!B:R,15,FALSE)</f>
        <v/>
      </c>
      <c r="C255" s="3">
        <f>VLOOKUP(A255,'Production Plan'!B:F,5,FALSE)</f>
        <v/>
      </c>
    </row>
    <row r="256" hidden="1">
      <c r="A256" s="3">
        <f>'Production Plan'!B256</f>
        <v/>
      </c>
      <c r="B256" s="3">
        <f>VLOOKUP(A256,'Production Plan'!B:R,15,FALSE)</f>
        <v/>
      </c>
      <c r="C256" s="3">
        <f>VLOOKUP(A256,'Production Plan'!B:F,5,FALSE)</f>
        <v/>
      </c>
    </row>
    <row r="257" hidden="1">
      <c r="A257" s="3">
        <f>'Production Plan'!B257</f>
        <v/>
      </c>
      <c r="B257" s="3">
        <f>VLOOKUP(A257,'Production Plan'!B:R,15,FALSE)</f>
        <v/>
      </c>
      <c r="C257" s="3">
        <f>VLOOKUP(A257,'Production Plan'!B:F,5,FALSE)</f>
        <v/>
      </c>
    </row>
    <row r="258" hidden="1">
      <c r="A258" s="3">
        <f>'Production Plan'!B258</f>
        <v/>
      </c>
      <c r="B258" s="3">
        <f>VLOOKUP(A258,'Production Plan'!B:R,15,FALSE)</f>
        <v/>
      </c>
      <c r="C258" s="3">
        <f>VLOOKUP(A258,'Production Plan'!B:F,5,FALSE)</f>
        <v/>
      </c>
    </row>
    <row r="259" hidden="1">
      <c r="A259" s="3">
        <f>'Production Plan'!B259</f>
        <v/>
      </c>
      <c r="B259" s="3">
        <f>VLOOKUP(A259,'Production Plan'!B:R,15,FALSE)</f>
        <v/>
      </c>
      <c r="C259" s="3">
        <f>VLOOKUP(A259,'Production Plan'!B:F,5,FALSE)</f>
        <v/>
      </c>
    </row>
    <row r="260" hidden="1">
      <c r="A260" s="3">
        <f>'Production Plan'!B260</f>
        <v/>
      </c>
      <c r="B260" s="3">
        <f>VLOOKUP(A260,'Production Plan'!B:R,15,FALSE)</f>
        <v/>
      </c>
      <c r="C260" s="3">
        <f>VLOOKUP(A260,'Production Plan'!B:F,5,FALSE)</f>
        <v/>
      </c>
    </row>
    <row r="261" hidden="1">
      <c r="A261" s="3">
        <f>'Production Plan'!B261</f>
        <v/>
      </c>
      <c r="B261" s="3">
        <f>VLOOKUP(A261,'Production Plan'!B:R,15,FALSE)</f>
        <v/>
      </c>
      <c r="C261" s="3">
        <f>VLOOKUP(A261,'Production Plan'!B:F,5,FALSE)</f>
        <v/>
      </c>
    </row>
    <row r="262" hidden="1">
      <c r="A262" s="3">
        <f>'Production Plan'!B262</f>
        <v/>
      </c>
      <c r="B262" s="3">
        <f>VLOOKUP(A262,'Production Plan'!B:R,15,FALSE)</f>
        <v/>
      </c>
      <c r="C262" s="3">
        <f>VLOOKUP(A262,'Production Plan'!B:F,5,FALSE)</f>
        <v/>
      </c>
    </row>
    <row r="263" hidden="1">
      <c r="A263" s="3">
        <f>'Production Plan'!B263</f>
        <v/>
      </c>
      <c r="B263" s="3">
        <f>VLOOKUP(A263,'Production Plan'!B:R,15,FALSE)</f>
        <v/>
      </c>
      <c r="C263" s="3">
        <f>VLOOKUP(A263,'Production Plan'!B:F,5,FALSE)</f>
        <v/>
      </c>
    </row>
    <row r="264" hidden="1">
      <c r="A264" s="3">
        <f>'Production Plan'!B264</f>
        <v/>
      </c>
      <c r="B264" s="3">
        <f>VLOOKUP(A264,'Production Plan'!B:R,15,FALSE)</f>
        <v/>
      </c>
      <c r="C264" s="3">
        <f>VLOOKUP(A264,'Production Plan'!B:F,5,FALSE)</f>
        <v/>
      </c>
    </row>
    <row r="265" hidden="1">
      <c r="A265" s="3">
        <f>'Production Plan'!B265</f>
        <v/>
      </c>
      <c r="B265" s="3">
        <f>VLOOKUP(A265,'Production Plan'!B:R,15,FALSE)</f>
        <v/>
      </c>
      <c r="C265" s="3">
        <f>VLOOKUP(A265,'Production Plan'!B:F,5,FALSE)</f>
        <v/>
      </c>
    </row>
    <row r="266" hidden="1">
      <c r="A266" s="3">
        <f>'Production Plan'!B266</f>
        <v/>
      </c>
      <c r="B266" s="3">
        <f>VLOOKUP(A266,'Production Plan'!B:R,15,FALSE)</f>
        <v/>
      </c>
      <c r="C266" s="3">
        <f>VLOOKUP(A266,'Production Plan'!B:F,5,FALSE)</f>
        <v/>
      </c>
    </row>
    <row r="267" hidden="1">
      <c r="A267" s="3">
        <f>'Production Plan'!B267</f>
        <v/>
      </c>
      <c r="B267" s="3">
        <f>VLOOKUP(A267,'Production Plan'!B:R,15,FALSE)</f>
        <v/>
      </c>
      <c r="C267" s="3">
        <f>VLOOKUP(A267,'Production Plan'!B:F,5,FALSE)</f>
        <v/>
      </c>
    </row>
    <row r="268" hidden="1">
      <c r="A268" s="3">
        <f>'Production Plan'!B268</f>
        <v/>
      </c>
      <c r="B268" s="3">
        <f>VLOOKUP(A268,'Production Plan'!B:R,15,FALSE)</f>
        <v/>
      </c>
      <c r="C268" s="3">
        <f>VLOOKUP(A268,'Production Plan'!B:F,5,FALSE)</f>
        <v/>
      </c>
    </row>
    <row r="269" hidden="1">
      <c r="A269" s="3">
        <f>'Production Plan'!B269</f>
        <v/>
      </c>
      <c r="B269" s="3">
        <f>VLOOKUP(A269,'Production Plan'!B:R,15,FALSE)</f>
        <v/>
      </c>
      <c r="C269" s="3">
        <f>VLOOKUP(A269,'Production Plan'!B:F,5,FALSE)</f>
        <v/>
      </c>
    </row>
    <row r="270" hidden="1">
      <c r="A270" s="3">
        <f>'Production Plan'!B270</f>
        <v/>
      </c>
      <c r="B270" s="3">
        <f>VLOOKUP(A270,'Production Plan'!B:R,15,FALSE)</f>
        <v/>
      </c>
      <c r="C270" s="3">
        <f>VLOOKUP(A270,'Production Plan'!B:F,5,FALSE)</f>
        <v/>
      </c>
    </row>
    <row r="271" hidden="1">
      <c r="A271" s="3">
        <f>'Production Plan'!B271</f>
        <v/>
      </c>
      <c r="B271" s="3">
        <f>VLOOKUP(A271,'Production Plan'!B:R,15,FALSE)</f>
        <v/>
      </c>
      <c r="C271" s="3">
        <f>VLOOKUP(A271,'Production Plan'!B:F,5,FALSE)</f>
        <v/>
      </c>
    </row>
    <row r="272" hidden="1">
      <c r="A272" s="3">
        <f>'Production Plan'!B272</f>
        <v/>
      </c>
      <c r="B272" s="3">
        <f>VLOOKUP(A272,'Production Plan'!B:R,15,FALSE)</f>
        <v/>
      </c>
      <c r="C272" s="3">
        <f>VLOOKUP(A272,'Production Plan'!B:F,5,FALSE)</f>
        <v/>
      </c>
    </row>
    <row r="273" hidden="1">
      <c r="A273" s="3">
        <f>'Production Plan'!B273</f>
        <v/>
      </c>
      <c r="B273" s="3">
        <f>VLOOKUP(A273,'Production Plan'!B:R,15,FALSE)</f>
        <v/>
      </c>
      <c r="C273" s="3">
        <f>VLOOKUP(A273,'Production Plan'!B:F,5,FALSE)</f>
        <v/>
      </c>
    </row>
    <row r="274" hidden="1">
      <c r="A274" s="3">
        <f>'Production Plan'!B274</f>
        <v/>
      </c>
      <c r="B274" s="3">
        <f>VLOOKUP(A274,'Production Plan'!B:R,15,FALSE)</f>
        <v/>
      </c>
      <c r="C274" s="3">
        <f>VLOOKUP(A274,'Production Plan'!B:F,5,FALSE)</f>
        <v/>
      </c>
    </row>
    <row r="275" hidden="1">
      <c r="A275" s="3">
        <f>'Production Plan'!B275</f>
        <v/>
      </c>
      <c r="B275" s="3">
        <f>VLOOKUP(A275,'Production Plan'!B:R,15,FALSE)</f>
        <v/>
      </c>
      <c r="C275" s="3">
        <f>VLOOKUP(A275,'Production Plan'!B:F,5,FALSE)</f>
        <v/>
      </c>
    </row>
    <row r="276" hidden="1">
      <c r="A276" s="3">
        <f>'Production Plan'!B276</f>
        <v/>
      </c>
      <c r="B276" s="3">
        <f>VLOOKUP(A276,'Production Plan'!B:R,15,FALSE)</f>
        <v/>
      </c>
      <c r="C276" s="3">
        <f>VLOOKUP(A276,'Production Plan'!B:F,5,FALSE)</f>
        <v/>
      </c>
    </row>
    <row r="277" hidden="1">
      <c r="A277" s="3">
        <f>'Production Plan'!B277</f>
        <v/>
      </c>
      <c r="B277" s="3">
        <f>VLOOKUP(A277,'Production Plan'!B:R,15,FALSE)</f>
        <v/>
      </c>
      <c r="C277" s="3">
        <f>VLOOKUP(A277,'Production Plan'!B:F,5,FALSE)</f>
        <v/>
      </c>
    </row>
    <row r="278" hidden="1">
      <c r="A278" s="3">
        <f>'Production Plan'!B278</f>
        <v/>
      </c>
      <c r="B278" s="3">
        <f>VLOOKUP(A278,'Production Plan'!B:R,15,FALSE)</f>
        <v/>
      </c>
      <c r="C278" s="3">
        <f>VLOOKUP(A278,'Production Plan'!B:F,5,FALSE)</f>
        <v/>
      </c>
    </row>
    <row r="279" hidden="1">
      <c r="A279" s="3">
        <f>'Production Plan'!B279</f>
        <v/>
      </c>
      <c r="B279" s="3">
        <f>VLOOKUP(A279,'Production Plan'!B:R,15,FALSE)</f>
        <v/>
      </c>
      <c r="C279" s="3">
        <f>VLOOKUP(A279,'Production Plan'!B:F,5,FALSE)</f>
        <v/>
      </c>
    </row>
    <row r="280" hidden="1">
      <c r="A280" s="3">
        <f>'Production Plan'!B280</f>
        <v/>
      </c>
      <c r="B280" s="3">
        <f>VLOOKUP(A280,'Production Plan'!B:R,15,FALSE)</f>
        <v/>
      </c>
      <c r="C280" s="3">
        <f>VLOOKUP(A280,'Production Plan'!B:F,5,FALSE)</f>
        <v/>
      </c>
    </row>
    <row r="281" hidden="1">
      <c r="A281" s="3">
        <f>'Production Plan'!B281</f>
        <v/>
      </c>
      <c r="B281" s="3">
        <f>VLOOKUP(A281,'Production Plan'!B:R,15,FALSE)</f>
        <v/>
      </c>
      <c r="C281" s="3">
        <f>VLOOKUP(A281,'Production Plan'!B:F,5,FALSE)</f>
        <v/>
      </c>
    </row>
    <row r="282" hidden="1">
      <c r="A282" s="3">
        <f>'Production Plan'!B282</f>
        <v/>
      </c>
      <c r="B282" s="3">
        <f>VLOOKUP(A282,'Production Plan'!B:R,15,FALSE)</f>
        <v/>
      </c>
      <c r="C282" s="3">
        <f>VLOOKUP(A282,'Production Plan'!B:F,5,FALSE)</f>
        <v/>
      </c>
    </row>
    <row r="283" hidden="1">
      <c r="A283" s="3">
        <f>'Production Plan'!B283</f>
        <v/>
      </c>
      <c r="B283" s="3">
        <f>VLOOKUP(A283,'Production Plan'!B:R,15,FALSE)</f>
        <v/>
      </c>
      <c r="C283" s="3">
        <f>VLOOKUP(A283,'Production Plan'!B:F,5,FALSE)</f>
        <v/>
      </c>
    </row>
    <row r="284" hidden="1">
      <c r="A284" s="3">
        <f>'Production Plan'!B284</f>
        <v/>
      </c>
      <c r="B284" s="3">
        <f>VLOOKUP(A284,'Production Plan'!B:R,15,FALSE)</f>
        <v/>
      </c>
      <c r="C284" s="3">
        <f>VLOOKUP(A284,'Production Plan'!B:F,5,FALSE)</f>
        <v/>
      </c>
    </row>
    <row r="285" hidden="1">
      <c r="A285" s="3">
        <f>'Production Plan'!B285</f>
        <v/>
      </c>
      <c r="B285" s="3">
        <f>VLOOKUP(A285,'Production Plan'!B:R,15,FALSE)</f>
        <v/>
      </c>
      <c r="C285" s="3">
        <f>VLOOKUP(A285,'Production Plan'!B:F,5,FALSE)</f>
        <v/>
      </c>
    </row>
    <row r="286" hidden="1">
      <c r="A286" s="3">
        <f>'Production Plan'!B286</f>
        <v/>
      </c>
      <c r="B286" s="3">
        <f>VLOOKUP(A286,'Production Plan'!B:R,15,FALSE)</f>
        <v/>
      </c>
      <c r="C286" s="3">
        <f>VLOOKUP(A286,'Production Plan'!B:F,5,FALSE)</f>
        <v/>
      </c>
    </row>
    <row r="287" hidden="1">
      <c r="A287" s="3">
        <f>'Production Plan'!B287</f>
        <v/>
      </c>
      <c r="B287" s="3">
        <f>VLOOKUP(A287,'Production Plan'!B:R,15,FALSE)</f>
        <v/>
      </c>
      <c r="C287" s="3">
        <f>VLOOKUP(A287,'Production Plan'!B:F,5,FALSE)</f>
        <v/>
      </c>
    </row>
    <row r="288" hidden="1">
      <c r="A288" s="3">
        <f>'Production Plan'!B288</f>
        <v/>
      </c>
      <c r="B288" s="3">
        <f>VLOOKUP(A288,'Production Plan'!B:R,15,FALSE)</f>
        <v/>
      </c>
      <c r="C288" s="3">
        <f>VLOOKUP(A288,'Production Plan'!B:F,5,FALSE)</f>
        <v/>
      </c>
    </row>
    <row r="289" hidden="1">
      <c r="A289" s="3">
        <f>'Production Plan'!B289</f>
        <v/>
      </c>
      <c r="B289" s="3">
        <f>VLOOKUP(A289,'Production Plan'!B:R,15,FALSE)</f>
        <v/>
      </c>
      <c r="C289" s="3">
        <f>VLOOKUP(A289,'Production Plan'!B:F,5,FALSE)</f>
        <v/>
      </c>
    </row>
    <row r="290" hidden="1">
      <c r="A290" s="3">
        <f>'Production Plan'!B290</f>
        <v/>
      </c>
      <c r="B290" s="3">
        <f>VLOOKUP(A290,'Production Plan'!B:R,15,FALSE)</f>
        <v/>
      </c>
      <c r="C290" s="3">
        <f>VLOOKUP(A290,'Production Plan'!B:F,5,FALSE)</f>
        <v/>
      </c>
    </row>
    <row r="291" hidden="1">
      <c r="A291" s="3">
        <f>'Production Plan'!B291</f>
        <v/>
      </c>
      <c r="B291" s="3">
        <f>VLOOKUP(A291,'Production Plan'!B:R,15,FALSE)</f>
        <v/>
      </c>
      <c r="C291" s="3">
        <f>VLOOKUP(A291,'Production Plan'!B:F,5,FALSE)</f>
        <v/>
      </c>
    </row>
    <row r="292" hidden="1">
      <c r="A292" s="3">
        <f>'Production Plan'!B292</f>
        <v/>
      </c>
      <c r="B292" s="3">
        <f>VLOOKUP(A292,'Production Plan'!B:R,15,FALSE)</f>
        <v/>
      </c>
      <c r="C292" s="3">
        <f>VLOOKUP(A292,'Production Plan'!B:F,5,FALSE)</f>
        <v/>
      </c>
    </row>
    <row r="293" hidden="1">
      <c r="A293" s="3">
        <f>'Production Plan'!B293</f>
        <v/>
      </c>
      <c r="B293" s="3">
        <f>VLOOKUP(A293,'Production Plan'!B:R,15,FALSE)</f>
        <v/>
      </c>
      <c r="C293" s="3">
        <f>VLOOKUP(A293,'Production Plan'!B:F,5,FALSE)</f>
        <v/>
      </c>
    </row>
    <row r="294" hidden="1">
      <c r="A294" s="3">
        <f>'Production Plan'!B294</f>
        <v/>
      </c>
      <c r="B294" s="3">
        <f>VLOOKUP(A294,'Production Plan'!B:R,15,FALSE)</f>
        <v/>
      </c>
      <c r="C294" s="3">
        <f>VLOOKUP(A294,'Production Plan'!B:F,5,FALSE)</f>
        <v/>
      </c>
    </row>
    <row r="295" hidden="1">
      <c r="A295" s="3">
        <f>'Production Plan'!B295</f>
        <v/>
      </c>
      <c r="B295" s="3">
        <f>VLOOKUP(A295,'Production Plan'!B:R,15,FALSE)</f>
        <v/>
      </c>
      <c r="C295" s="3">
        <f>VLOOKUP(A295,'Production Plan'!B:F,5,FALSE)</f>
        <v/>
      </c>
    </row>
    <row r="296" hidden="1">
      <c r="A296" s="3">
        <f>'Production Plan'!B296</f>
        <v/>
      </c>
      <c r="B296" s="3">
        <f>VLOOKUP(A296,'Production Plan'!B:R,15,FALSE)</f>
        <v/>
      </c>
      <c r="C296" s="3">
        <f>VLOOKUP(A296,'Production Plan'!B:F,5,FALSE)</f>
        <v/>
      </c>
    </row>
    <row r="297" hidden="1">
      <c r="A297" s="3">
        <f>'Production Plan'!B297</f>
        <v/>
      </c>
      <c r="B297" s="3">
        <f>VLOOKUP(A297,'Production Plan'!B:R,15,FALSE)</f>
        <v/>
      </c>
      <c r="C297" s="3">
        <f>VLOOKUP(A297,'Production Plan'!B:F,5,FALSE)</f>
        <v/>
      </c>
    </row>
    <row r="298" hidden="1">
      <c r="A298" s="3">
        <f>'Production Plan'!B298</f>
        <v/>
      </c>
      <c r="B298" s="3">
        <f>VLOOKUP(A298,'Production Plan'!B:R,15,FALSE)</f>
        <v/>
      </c>
      <c r="C298" s="3">
        <f>VLOOKUP(A298,'Production Plan'!B:F,5,FALSE)</f>
        <v/>
      </c>
    </row>
    <row r="299" hidden="1">
      <c r="A299" s="3">
        <f>'Production Plan'!B299</f>
        <v/>
      </c>
      <c r="B299" s="3">
        <f>VLOOKUP(A299,'Production Plan'!B:R,15,FALSE)</f>
        <v/>
      </c>
      <c r="C299" s="3">
        <f>VLOOKUP(A299,'Production Plan'!B:F,5,FALSE)</f>
        <v/>
      </c>
    </row>
    <row r="300" hidden="1">
      <c r="A300" s="3">
        <f>'Production Plan'!B300</f>
        <v/>
      </c>
      <c r="B300" s="3">
        <f>VLOOKUP(A300,'Production Plan'!B:R,15,FALSE)</f>
        <v/>
      </c>
      <c r="C300" s="3">
        <f>VLOOKUP(A300,'Production Plan'!B:F,5,FALSE)</f>
        <v/>
      </c>
    </row>
    <row r="301" hidden="1">
      <c r="A301" s="3">
        <f>'Production Plan'!B301</f>
        <v/>
      </c>
      <c r="B301" s="3">
        <f>VLOOKUP(A301,'Production Plan'!B:R,15,FALSE)</f>
        <v/>
      </c>
      <c r="C301" s="3">
        <f>VLOOKUP(A301,'Production Plan'!B:F,5,FALSE)</f>
        <v/>
      </c>
    </row>
    <row r="302" hidden="1">
      <c r="A302" s="3">
        <f>'Production Plan'!B302</f>
        <v/>
      </c>
      <c r="B302" s="3">
        <f>VLOOKUP(A302,'Production Plan'!B:R,15,FALSE)</f>
        <v/>
      </c>
      <c r="C302" s="3">
        <f>VLOOKUP(A302,'Production Plan'!B:F,5,FALSE)</f>
        <v/>
      </c>
    </row>
    <row r="303" hidden="1">
      <c r="A303" s="3">
        <f>'Production Plan'!B303</f>
        <v/>
      </c>
      <c r="B303" s="3">
        <f>VLOOKUP(A303,'Production Plan'!B:R,15,FALSE)</f>
        <v/>
      </c>
      <c r="C303" s="3">
        <f>VLOOKUP(A303,'Production Plan'!B:F,5,FALSE)</f>
        <v/>
      </c>
    </row>
    <row r="304" hidden="1">
      <c r="A304" s="3">
        <f>'Production Plan'!B304</f>
        <v/>
      </c>
      <c r="B304" s="3">
        <f>VLOOKUP(A304,'Production Plan'!B:R,15,FALSE)</f>
        <v/>
      </c>
      <c r="C304" s="3">
        <f>VLOOKUP(A304,'Production Plan'!B:F,5,FALSE)</f>
        <v/>
      </c>
    </row>
    <row r="305" hidden="1">
      <c r="A305" s="3">
        <f>'Production Plan'!B305</f>
        <v/>
      </c>
      <c r="B305" s="3">
        <f>VLOOKUP(A305,'Production Plan'!B:R,15,FALSE)</f>
        <v/>
      </c>
      <c r="C305" s="3">
        <f>VLOOKUP(A305,'Production Plan'!B:F,5,FALSE)</f>
        <v/>
      </c>
    </row>
    <row r="306" hidden="1">
      <c r="A306" s="3">
        <f>'Production Plan'!B306</f>
        <v/>
      </c>
      <c r="B306" s="3">
        <f>VLOOKUP(A306,'Production Plan'!B:R,15,FALSE)</f>
        <v/>
      </c>
      <c r="C306" s="3">
        <f>VLOOKUP(A306,'Production Plan'!B:F,5,FALSE)</f>
        <v/>
      </c>
    </row>
    <row r="307" hidden="1">
      <c r="A307" s="3">
        <f>'Production Plan'!B307</f>
        <v/>
      </c>
      <c r="B307" s="3">
        <f>VLOOKUP(A307,'Production Plan'!B:R,15,FALSE)</f>
        <v/>
      </c>
      <c r="C307" s="3">
        <f>VLOOKUP(A307,'Production Plan'!B:F,5,FALSE)</f>
        <v/>
      </c>
    </row>
    <row r="308" hidden="1">
      <c r="A308" s="3">
        <f>'Production Plan'!B308</f>
        <v/>
      </c>
      <c r="B308" s="3">
        <f>VLOOKUP(A308,'Production Plan'!B:R,15,FALSE)</f>
        <v/>
      </c>
      <c r="C308" s="3">
        <f>VLOOKUP(A308,'Production Plan'!B:F,5,FALSE)</f>
        <v/>
      </c>
    </row>
    <row r="309" hidden="1">
      <c r="A309" s="3">
        <f>'Production Plan'!B309</f>
        <v/>
      </c>
      <c r="B309" s="3">
        <f>VLOOKUP(A309,'Production Plan'!B:R,15,FALSE)</f>
        <v/>
      </c>
      <c r="C309" s="3">
        <f>VLOOKUP(A309,'Production Plan'!B:F,5,FALSE)</f>
        <v/>
      </c>
    </row>
    <row r="310" hidden="1">
      <c r="A310" s="3">
        <f>'Production Plan'!B310</f>
        <v/>
      </c>
      <c r="B310" s="3">
        <f>VLOOKUP(A310,'Production Plan'!B:R,15,FALSE)</f>
        <v/>
      </c>
      <c r="C310" s="3">
        <f>VLOOKUP(A310,'Production Plan'!B:F,5,FALSE)</f>
        <v/>
      </c>
    </row>
    <row r="311" hidden="1">
      <c r="A311" s="3">
        <f>'Production Plan'!B311</f>
        <v/>
      </c>
      <c r="B311" s="3">
        <f>VLOOKUP(A311,'Production Plan'!B:R,15,FALSE)</f>
        <v/>
      </c>
      <c r="C311" s="3">
        <f>VLOOKUP(A311,'Production Plan'!B:F,5,FALSE)</f>
        <v/>
      </c>
    </row>
    <row r="312" hidden="1">
      <c r="A312" s="3">
        <f>'Production Plan'!B312</f>
        <v/>
      </c>
      <c r="B312" s="3">
        <f>VLOOKUP(A312,'Production Plan'!B:R,15,FALSE)</f>
        <v/>
      </c>
      <c r="C312" s="3">
        <f>VLOOKUP(A312,'Production Plan'!B:F,5,FALSE)</f>
        <v/>
      </c>
    </row>
    <row r="313" hidden="1">
      <c r="A313" s="3">
        <f>'Production Plan'!B313</f>
        <v/>
      </c>
      <c r="B313" s="3">
        <f>VLOOKUP(A313,'Production Plan'!B:R,15,FALSE)</f>
        <v/>
      </c>
      <c r="C313" s="3">
        <f>VLOOKUP(A313,'Production Plan'!B:F,5,FALSE)</f>
        <v/>
      </c>
    </row>
    <row r="314" hidden="1">
      <c r="A314" s="3">
        <f>'Production Plan'!B314</f>
        <v/>
      </c>
      <c r="B314" s="3">
        <f>VLOOKUP(A314,'Production Plan'!B:R,15,FALSE)</f>
        <v/>
      </c>
      <c r="C314" s="3">
        <f>VLOOKUP(A314,'Production Plan'!B:F,5,FALSE)</f>
        <v/>
      </c>
    </row>
    <row r="315" hidden="1">
      <c r="A315" s="3">
        <f>'Production Plan'!B315</f>
        <v/>
      </c>
      <c r="B315" s="3">
        <f>VLOOKUP(A315,'Production Plan'!B:R,15,FALSE)</f>
        <v/>
      </c>
      <c r="C315" s="3">
        <f>VLOOKUP(A315,'Production Plan'!B:F,5,FALSE)</f>
        <v/>
      </c>
    </row>
    <row r="316" hidden="1">
      <c r="A316" s="3">
        <f>'Production Plan'!B316</f>
        <v/>
      </c>
      <c r="B316" s="3">
        <f>VLOOKUP(A316,'Production Plan'!B:R,15,FALSE)</f>
        <v/>
      </c>
      <c r="C316" s="3">
        <f>VLOOKUP(A316,'Production Plan'!B:F,5,FALSE)</f>
        <v/>
      </c>
    </row>
    <row r="317" hidden="1">
      <c r="A317" s="3">
        <f>'Production Plan'!B317</f>
        <v/>
      </c>
      <c r="B317" s="3">
        <f>VLOOKUP(A317,'Production Plan'!B:R,15,FALSE)</f>
        <v/>
      </c>
      <c r="C317" s="3">
        <f>VLOOKUP(A317,'Production Plan'!B:F,5,FALSE)</f>
        <v/>
      </c>
    </row>
    <row r="318" hidden="1">
      <c r="A318" s="3">
        <f>'Production Plan'!B318</f>
        <v/>
      </c>
      <c r="B318" s="3">
        <f>VLOOKUP(A318,'Production Plan'!B:R,15,FALSE)</f>
        <v/>
      </c>
      <c r="C318" s="3">
        <f>VLOOKUP(A318,'Production Plan'!B:F,5,FALSE)</f>
        <v/>
      </c>
    </row>
    <row r="319" hidden="1">
      <c r="A319" s="3">
        <f>'Production Plan'!B319</f>
        <v/>
      </c>
      <c r="B319" s="3">
        <f>VLOOKUP(A319,'Production Plan'!B:R,15,FALSE)</f>
        <v/>
      </c>
      <c r="C319" s="3">
        <f>VLOOKUP(A319,'Production Plan'!B:F,5,FALSE)</f>
        <v/>
      </c>
    </row>
    <row r="320" hidden="1">
      <c r="A320" s="3">
        <f>'Production Plan'!B320</f>
        <v/>
      </c>
      <c r="B320" s="3">
        <f>VLOOKUP(A320,'Production Plan'!B:R,15,FALSE)</f>
        <v/>
      </c>
      <c r="C320" s="3">
        <f>VLOOKUP(A320,'Production Plan'!B:F,5,FALSE)</f>
        <v/>
      </c>
    </row>
    <row r="321" hidden="1">
      <c r="A321" s="3">
        <f>'Production Plan'!B321</f>
        <v/>
      </c>
      <c r="B321" s="3">
        <f>VLOOKUP(A321,'Production Plan'!B:R,15,FALSE)</f>
        <v/>
      </c>
      <c r="C321" s="3">
        <f>VLOOKUP(A321,'Production Plan'!B:F,5,FALSE)</f>
        <v/>
      </c>
    </row>
    <row r="322" hidden="1">
      <c r="A322" s="3">
        <f>'Production Plan'!B322</f>
        <v/>
      </c>
      <c r="B322" s="3">
        <f>VLOOKUP(A322,'Production Plan'!B:R,15,FALSE)</f>
        <v/>
      </c>
      <c r="C322" s="3">
        <f>VLOOKUP(A322,'Production Plan'!B:F,5,FALSE)</f>
        <v/>
      </c>
    </row>
    <row r="323" hidden="1">
      <c r="A323" s="3">
        <f>'Production Plan'!#REF!</f>
        <v/>
      </c>
      <c r="B323" s="3">
        <f>VLOOKUP(A323,'Production Plan'!B:R,15,FALSE)</f>
        <v/>
      </c>
      <c r="C323" s="3">
        <f>VLOOKUP(A323,'Production Plan'!B:F,5,FALSE)</f>
        <v/>
      </c>
    </row>
    <row r="324" hidden="1">
      <c r="A324" s="3">
        <f>'Production Plan'!B323</f>
        <v/>
      </c>
      <c r="B324" s="3">
        <f>VLOOKUP(A324,'Production Plan'!B:R,15,FALSE)</f>
        <v/>
      </c>
      <c r="C324" s="3">
        <f>VLOOKUP(A324,'Production Plan'!B:F,5,FALSE)</f>
        <v/>
      </c>
    </row>
    <row r="325" hidden="1">
      <c r="A325" s="3">
        <f>'Production Plan'!B324</f>
        <v/>
      </c>
      <c r="B325" s="3">
        <f>VLOOKUP(A325,'Production Plan'!B:R,15,FALSE)</f>
        <v/>
      </c>
      <c r="C325" s="3">
        <f>VLOOKUP(A325,'Production Plan'!B:F,5,FALSE)</f>
        <v/>
      </c>
    </row>
    <row r="326" hidden="1">
      <c r="A326" s="3">
        <f>'Production Plan'!B325</f>
        <v/>
      </c>
      <c r="B326" s="3">
        <f>VLOOKUP(A326,'Production Plan'!B:R,15,FALSE)</f>
        <v/>
      </c>
      <c r="C326" s="3">
        <f>VLOOKUP(A326,'Production Plan'!B:F,5,FALSE)</f>
        <v/>
      </c>
    </row>
    <row r="327" hidden="1">
      <c r="A327" s="3">
        <f>'Production Plan'!B326</f>
        <v/>
      </c>
      <c r="B327" s="3">
        <f>VLOOKUP(A327,'Production Plan'!B:R,15,FALSE)</f>
        <v/>
      </c>
      <c r="C327" s="3">
        <f>VLOOKUP(A327,'Production Plan'!B:F,5,FALSE)</f>
        <v/>
      </c>
    </row>
    <row r="328" hidden="1">
      <c r="A328" s="3">
        <f>'Production Plan'!B327</f>
        <v/>
      </c>
      <c r="B328" s="3">
        <f>VLOOKUP(A328,'Production Plan'!B:R,15,FALSE)</f>
        <v/>
      </c>
      <c r="C328" s="3">
        <f>VLOOKUP(A328,'Production Plan'!B:F,5,FALSE)</f>
        <v/>
      </c>
    </row>
    <row r="329" hidden="1">
      <c r="A329" s="3">
        <f>'Production Plan'!B328</f>
        <v/>
      </c>
      <c r="B329" s="3">
        <f>VLOOKUP(A329,'Production Plan'!B:R,15,FALSE)</f>
        <v/>
      </c>
      <c r="C329" s="3">
        <f>VLOOKUP(A329,'Production Plan'!B:F,5,FALSE)</f>
        <v/>
      </c>
    </row>
    <row r="330" hidden="1">
      <c r="A330" s="3">
        <f>'Production Plan'!B329</f>
        <v/>
      </c>
      <c r="B330" s="3">
        <f>VLOOKUP(A330,'Production Plan'!B:R,15,FALSE)</f>
        <v/>
      </c>
      <c r="C330" s="3">
        <f>VLOOKUP(A330,'Production Plan'!B:F,5,FALSE)</f>
        <v/>
      </c>
    </row>
    <row r="331" hidden="1">
      <c r="A331" s="3">
        <f>'Production Plan'!B330</f>
        <v/>
      </c>
      <c r="B331" s="3">
        <f>VLOOKUP(A331,'Production Plan'!B:R,15,FALSE)</f>
        <v/>
      </c>
      <c r="C331" s="3">
        <f>VLOOKUP(A331,'Production Plan'!B:F,5,FALSE)</f>
        <v/>
      </c>
    </row>
    <row r="332" hidden="1">
      <c r="A332" s="3">
        <f>'Production Plan'!B331</f>
        <v/>
      </c>
      <c r="B332" s="3">
        <f>VLOOKUP(A332,'Production Plan'!B:R,15,FALSE)</f>
        <v/>
      </c>
      <c r="C332" s="3">
        <f>VLOOKUP(A332,'Production Plan'!B:F,5,FALSE)</f>
        <v/>
      </c>
    </row>
    <row r="333" hidden="1">
      <c r="A333" s="3">
        <f>'Production Plan'!B332</f>
        <v/>
      </c>
      <c r="B333" s="3">
        <f>VLOOKUP(A333,'Production Plan'!B:R,15,FALSE)</f>
        <v/>
      </c>
      <c r="C333" s="3">
        <f>VLOOKUP(A333,'Production Plan'!B:F,5,FALSE)</f>
        <v/>
      </c>
    </row>
    <row r="334" hidden="1">
      <c r="A334" s="3">
        <f>'Production Plan'!B333</f>
        <v/>
      </c>
      <c r="B334" s="3">
        <f>VLOOKUP(A334,'Production Plan'!B:R,15,FALSE)</f>
        <v/>
      </c>
      <c r="C334" s="3">
        <f>VLOOKUP(A334,'Production Plan'!B:F,5,FALSE)</f>
        <v/>
      </c>
    </row>
    <row r="335" hidden="1">
      <c r="A335" s="3">
        <f>'Production Plan'!B334</f>
        <v/>
      </c>
      <c r="B335" s="3">
        <f>VLOOKUP(A335,'Production Plan'!B:R,15,FALSE)</f>
        <v/>
      </c>
      <c r="C335" s="3">
        <f>VLOOKUP(A335,'Production Plan'!B:F,5,FALSE)</f>
        <v/>
      </c>
    </row>
    <row r="336" hidden="1">
      <c r="A336" s="3">
        <f>'Production Plan'!B335</f>
        <v/>
      </c>
      <c r="B336" s="3">
        <f>VLOOKUP(A336,'Production Plan'!B:R,15,FALSE)</f>
        <v/>
      </c>
      <c r="C336" s="3">
        <f>VLOOKUP(A336,'Production Plan'!B:F,5,FALSE)</f>
        <v/>
      </c>
    </row>
    <row r="337" hidden="1">
      <c r="A337" s="3">
        <f>'Production Plan'!B336</f>
        <v/>
      </c>
      <c r="B337" s="3">
        <f>VLOOKUP(A337,'Production Plan'!B:R,15,FALSE)</f>
        <v/>
      </c>
      <c r="C337" s="3">
        <f>VLOOKUP(A337,'Production Plan'!B:F,5,FALSE)</f>
        <v/>
      </c>
    </row>
    <row r="338" hidden="1">
      <c r="A338" s="3">
        <f>'Production Plan'!B337</f>
        <v/>
      </c>
      <c r="B338" s="3">
        <f>VLOOKUP(A338,'Production Plan'!B:R,15,FALSE)</f>
        <v/>
      </c>
      <c r="C338" s="3">
        <f>VLOOKUP(A338,'Production Plan'!B:F,5,FALSE)</f>
        <v/>
      </c>
    </row>
    <row r="339" hidden="1">
      <c r="A339" s="3">
        <f>'Production Plan'!B338</f>
        <v/>
      </c>
      <c r="B339" s="3">
        <f>VLOOKUP(A339,'Production Plan'!B:R,15,FALSE)</f>
        <v/>
      </c>
      <c r="C339" s="3">
        <f>VLOOKUP(A339,'Production Plan'!B:F,5,FALSE)</f>
        <v/>
      </c>
    </row>
    <row r="340" hidden="1">
      <c r="A340" s="3">
        <f>'Production Plan'!B339</f>
        <v/>
      </c>
      <c r="B340" s="3">
        <f>VLOOKUP(A340,'Production Plan'!B:R,15,FALSE)</f>
        <v/>
      </c>
      <c r="C340" s="3">
        <f>VLOOKUP(A340,'Production Plan'!B:F,5,FALSE)</f>
        <v/>
      </c>
    </row>
    <row r="341" hidden="1">
      <c r="A341" s="3">
        <f>'Production Plan'!B340</f>
        <v/>
      </c>
      <c r="B341" s="3">
        <f>VLOOKUP(A341,'Production Plan'!B:R,15,FALSE)</f>
        <v/>
      </c>
      <c r="C341" s="3">
        <f>VLOOKUP(A341,'Production Plan'!B:F,5,FALSE)</f>
        <v/>
      </c>
    </row>
    <row r="342" hidden="1">
      <c r="A342" s="3">
        <f>'Production Plan'!B341</f>
        <v/>
      </c>
      <c r="B342" s="3">
        <f>VLOOKUP(A342,'Production Plan'!B:R,15,FALSE)</f>
        <v/>
      </c>
      <c r="C342" s="3">
        <f>VLOOKUP(A342,'Production Plan'!B:F,5,FALSE)</f>
        <v/>
      </c>
    </row>
    <row r="343" hidden="1">
      <c r="A343" s="3">
        <f>'Production Plan'!B342</f>
        <v/>
      </c>
      <c r="B343" s="3">
        <f>VLOOKUP(A343,'Production Plan'!B:R,15,FALSE)</f>
        <v/>
      </c>
      <c r="C343" s="3">
        <f>VLOOKUP(A343,'Production Plan'!B:F,5,FALSE)</f>
        <v/>
      </c>
    </row>
    <row r="344" hidden="1">
      <c r="A344" s="3">
        <f>'Production Plan'!B343</f>
        <v/>
      </c>
      <c r="B344" s="3">
        <f>VLOOKUP(A344,'Production Plan'!B:R,15,FALSE)</f>
        <v/>
      </c>
      <c r="C344" s="3">
        <f>VLOOKUP(A344,'Production Plan'!B:F,5,FALSE)</f>
        <v/>
      </c>
    </row>
    <row r="345" hidden="1">
      <c r="A345" s="3">
        <f>'Production Plan'!B344</f>
        <v/>
      </c>
      <c r="B345" s="3">
        <f>VLOOKUP(A345,'Production Plan'!B:R,15,FALSE)</f>
        <v/>
      </c>
      <c r="C345" s="3">
        <f>VLOOKUP(A345,'Production Plan'!B:F,5,FALSE)</f>
        <v/>
      </c>
    </row>
    <row r="346" hidden="1">
      <c r="A346" s="3">
        <f>'Production Plan'!B345</f>
        <v/>
      </c>
      <c r="B346" s="3">
        <f>VLOOKUP(A346,'Production Plan'!B:R,15,FALSE)</f>
        <v/>
      </c>
      <c r="C346" s="3">
        <f>VLOOKUP(A346,'Production Plan'!B:F,5,FALSE)</f>
        <v/>
      </c>
    </row>
    <row r="347" hidden="1">
      <c r="A347" s="3">
        <f>'Production Plan'!B346</f>
        <v/>
      </c>
      <c r="B347" s="3">
        <f>VLOOKUP(A347,'Production Plan'!B:R,15,FALSE)</f>
        <v/>
      </c>
      <c r="C347" s="3">
        <f>VLOOKUP(A347,'Production Plan'!B:F,5,FALSE)</f>
        <v/>
      </c>
    </row>
    <row r="348" hidden="1">
      <c r="A348" s="3">
        <f>'Production Plan'!B347</f>
        <v/>
      </c>
      <c r="B348" s="3">
        <f>VLOOKUP(A348,'Production Plan'!B:R,15,FALSE)</f>
        <v/>
      </c>
      <c r="C348" s="3">
        <f>VLOOKUP(A348,'Production Plan'!B:F,5,FALSE)</f>
        <v/>
      </c>
    </row>
    <row r="349" hidden="1">
      <c r="A349" s="3">
        <f>'Production Plan'!B348</f>
        <v/>
      </c>
      <c r="B349" s="3">
        <f>VLOOKUP(A349,'Production Plan'!B:R,15,FALSE)</f>
        <v/>
      </c>
      <c r="C349" s="3">
        <f>VLOOKUP(A349,'Production Plan'!B:F,5,FALSE)</f>
        <v/>
      </c>
    </row>
    <row r="350" hidden="1">
      <c r="A350" s="3">
        <f>'Production Plan'!B349</f>
        <v/>
      </c>
      <c r="B350" s="3">
        <f>VLOOKUP(A350,'Production Plan'!B:R,15,FALSE)</f>
        <v/>
      </c>
      <c r="C350" s="3">
        <f>VLOOKUP(A350,'Production Plan'!B:F,5,FALSE)</f>
        <v/>
      </c>
    </row>
    <row r="351" hidden="1">
      <c r="A351" s="3">
        <f>'Production Plan'!B350</f>
        <v/>
      </c>
      <c r="B351" s="3">
        <f>VLOOKUP(A351,'Production Plan'!B:R,15,FALSE)</f>
        <v/>
      </c>
      <c r="C351" s="3">
        <f>VLOOKUP(A351,'Production Plan'!B:F,5,FALSE)</f>
        <v/>
      </c>
    </row>
    <row r="352" hidden="1">
      <c r="A352" s="3">
        <f>'Production Plan'!B351</f>
        <v/>
      </c>
      <c r="B352" s="3">
        <f>VLOOKUP(A352,'Production Plan'!B:R,15,FALSE)</f>
        <v/>
      </c>
      <c r="C352" s="3">
        <f>VLOOKUP(A352,'Production Plan'!B:F,5,FALSE)</f>
        <v/>
      </c>
    </row>
    <row r="353" hidden="1">
      <c r="A353" s="3">
        <f>'Production Plan'!B352</f>
        <v/>
      </c>
      <c r="B353" s="3">
        <f>VLOOKUP(A353,'Production Plan'!B:R,15,FALSE)</f>
        <v/>
      </c>
      <c r="C353" s="3">
        <f>VLOOKUP(A353,'Production Plan'!B:F,5,FALSE)</f>
        <v/>
      </c>
    </row>
    <row r="354" hidden="1">
      <c r="A354" s="3">
        <f>'Production Plan'!B353</f>
        <v/>
      </c>
      <c r="B354" s="3">
        <f>VLOOKUP(A354,'Production Plan'!B:R,15,FALSE)</f>
        <v/>
      </c>
      <c r="C354" s="3">
        <f>VLOOKUP(A354,'Production Plan'!B:F,5,FALSE)</f>
        <v/>
      </c>
    </row>
    <row r="355" hidden="1">
      <c r="A355" s="3">
        <f>'Production Plan'!B354</f>
        <v/>
      </c>
      <c r="B355" s="3">
        <f>VLOOKUP(A355,'Production Plan'!B:R,15,FALSE)</f>
        <v/>
      </c>
      <c r="C355" s="3">
        <f>VLOOKUP(A355,'Production Plan'!B:F,5,FALSE)</f>
        <v/>
      </c>
    </row>
    <row r="356" hidden="1">
      <c r="A356" s="3">
        <f>'Production Plan'!B355</f>
        <v/>
      </c>
      <c r="B356" s="3">
        <f>VLOOKUP(A356,'Production Plan'!B:R,15,FALSE)</f>
        <v/>
      </c>
      <c r="C356" s="3">
        <f>VLOOKUP(A356,'Production Plan'!B:F,5,FALSE)</f>
        <v/>
      </c>
    </row>
    <row r="357" hidden="1">
      <c r="A357" s="3">
        <f>'Production Plan'!B356</f>
        <v/>
      </c>
      <c r="B357" s="3">
        <f>VLOOKUP(A357,'Production Plan'!B:R,15,FALSE)</f>
        <v/>
      </c>
      <c r="C357" s="3">
        <f>VLOOKUP(A357,'Production Plan'!B:F,5,FALSE)</f>
        <v/>
      </c>
    </row>
    <row r="358" hidden="1">
      <c r="A358" s="3">
        <f>'Production Plan'!B357</f>
        <v/>
      </c>
      <c r="B358" s="3">
        <f>VLOOKUP(A358,'Production Plan'!B:R,15,FALSE)</f>
        <v/>
      </c>
      <c r="C358" s="3">
        <f>VLOOKUP(A358,'Production Plan'!B:F,5,FALSE)</f>
        <v/>
      </c>
    </row>
    <row r="359" hidden="1">
      <c r="A359" s="3">
        <f>'Production Plan'!#REF!</f>
        <v/>
      </c>
      <c r="B359" s="3">
        <f>VLOOKUP(A359,'Production Plan'!B:R,15,FALSE)</f>
        <v/>
      </c>
      <c r="C359" s="3">
        <f>VLOOKUP(A359,'Production Plan'!B:F,5,FALSE)</f>
        <v/>
      </c>
    </row>
    <row r="360" hidden="1">
      <c r="A360" s="3">
        <f>'Production Plan'!#REF!</f>
        <v/>
      </c>
      <c r="B360" s="3">
        <f>VLOOKUP(A360,'Production Plan'!B:R,15,FALSE)</f>
        <v/>
      </c>
      <c r="C360" s="3">
        <f>VLOOKUP(A360,'Production Plan'!B:F,5,FALSE)</f>
        <v/>
      </c>
    </row>
    <row r="361" hidden="1">
      <c r="A361" s="3">
        <f>'Production Plan'!#REF!</f>
        <v/>
      </c>
      <c r="B361" s="3">
        <f>VLOOKUP(A361,'Production Plan'!B:R,15,FALSE)</f>
        <v/>
      </c>
      <c r="C361" s="3">
        <f>VLOOKUP(A361,'Production Plan'!B:F,5,FALSE)</f>
        <v/>
      </c>
    </row>
    <row r="362" hidden="1">
      <c r="A362" s="3">
        <f>'Production Plan'!#REF!</f>
        <v/>
      </c>
      <c r="B362" s="3">
        <f>VLOOKUP(A362,'Production Plan'!B:R,15,FALSE)</f>
        <v/>
      </c>
      <c r="C362" s="3">
        <f>VLOOKUP(A362,'Production Plan'!B:F,5,FALSE)</f>
        <v/>
      </c>
    </row>
    <row r="363" hidden="1">
      <c r="A363" s="3">
        <f>'Production Plan'!#REF!</f>
        <v/>
      </c>
      <c r="B363" s="3">
        <f>VLOOKUP(A363,'Production Plan'!B:R,15,FALSE)</f>
        <v/>
      </c>
      <c r="C363" s="3">
        <f>VLOOKUP(A363,'Production Plan'!B:F,5,FALSE)</f>
        <v/>
      </c>
    </row>
    <row r="364" hidden="1">
      <c r="A364" s="3">
        <f>'Production Plan'!#REF!</f>
        <v/>
      </c>
      <c r="B364" s="3">
        <f>VLOOKUP(A364,'Production Plan'!B:R,15,FALSE)</f>
        <v/>
      </c>
      <c r="C364" s="3">
        <f>VLOOKUP(A364,'Production Plan'!B:F,5,FALSE)</f>
        <v/>
      </c>
    </row>
    <row r="365" hidden="1">
      <c r="A365" s="3">
        <f>'Production Plan'!#REF!</f>
        <v/>
      </c>
      <c r="B365" s="3">
        <f>VLOOKUP(A365,'Production Plan'!B:R,15,FALSE)</f>
        <v/>
      </c>
      <c r="C365" s="3">
        <f>VLOOKUP(A365,'Production Plan'!B:F,5,FALSE)</f>
        <v/>
      </c>
    </row>
    <row r="366" hidden="1">
      <c r="A366" s="3">
        <f>'Production Plan'!#REF!</f>
        <v/>
      </c>
      <c r="B366" s="3">
        <f>VLOOKUP(A366,'Production Plan'!B:R,15,FALSE)</f>
        <v/>
      </c>
      <c r="C366" s="3">
        <f>VLOOKUP(A366,'Production Plan'!B:F,5,FALSE)</f>
        <v/>
      </c>
    </row>
    <row r="367" hidden="1">
      <c r="A367" s="3">
        <f>'Production Plan'!#REF!</f>
        <v/>
      </c>
      <c r="B367" s="3">
        <f>VLOOKUP(A367,'Production Plan'!B:R,15,FALSE)</f>
        <v/>
      </c>
      <c r="C367" s="3">
        <f>VLOOKUP(A367,'Production Plan'!B:F,5,FALSE)</f>
        <v/>
      </c>
    </row>
    <row r="368" hidden="1">
      <c r="A368" s="3">
        <f>'Production Plan'!#REF!</f>
        <v/>
      </c>
      <c r="B368" s="3">
        <f>VLOOKUP(A368,'Production Plan'!B:R,15,FALSE)</f>
        <v/>
      </c>
      <c r="C368" s="3">
        <f>VLOOKUP(A368,'Production Plan'!B:F,5,FALSE)</f>
        <v/>
      </c>
    </row>
    <row r="369" hidden="1">
      <c r="A369" s="3">
        <f>'Production Plan'!#REF!</f>
        <v/>
      </c>
      <c r="B369" s="3">
        <f>VLOOKUP(A369,'Production Plan'!B:R,15,FALSE)</f>
        <v/>
      </c>
      <c r="C369" s="3">
        <f>VLOOKUP(A369,'Production Plan'!B:F,5,FALSE)</f>
        <v/>
      </c>
    </row>
    <row r="370" hidden="1">
      <c r="A370" s="3">
        <f>'Production Plan'!B358</f>
        <v/>
      </c>
      <c r="B370" s="3">
        <f>VLOOKUP(A370,'Production Plan'!B:R,15,FALSE)</f>
        <v/>
      </c>
      <c r="C370" s="3">
        <f>VLOOKUP(A370,'Production Plan'!B:F,5,FALSE)</f>
        <v/>
      </c>
    </row>
    <row r="371" hidden="1">
      <c r="A371" s="3">
        <f>'Production Plan'!B359</f>
        <v/>
      </c>
      <c r="B371" s="3">
        <f>VLOOKUP(A371,'Production Plan'!B:R,15,FALSE)</f>
        <v/>
      </c>
      <c r="C371" s="3">
        <f>VLOOKUP(A371,'Production Plan'!B:F,5,FALSE)</f>
        <v/>
      </c>
    </row>
    <row r="372" hidden="1">
      <c r="A372" s="3">
        <f>'Production Plan'!B360</f>
        <v/>
      </c>
      <c r="B372" s="3">
        <f>VLOOKUP(A372,'Production Plan'!B:R,15,FALSE)</f>
        <v/>
      </c>
      <c r="C372" s="3">
        <f>VLOOKUP(A372,'Production Plan'!B:F,5,FALSE)</f>
        <v/>
      </c>
    </row>
    <row r="373" hidden="1">
      <c r="A373" s="3">
        <f>'Production Plan'!B361</f>
        <v/>
      </c>
      <c r="B373" s="3">
        <f>VLOOKUP(A373,'Production Plan'!B:R,15,FALSE)</f>
        <v/>
      </c>
      <c r="C373" s="3">
        <f>VLOOKUP(A373,'Production Plan'!B:F,5,FALSE)</f>
        <v/>
      </c>
    </row>
    <row r="374" hidden="1">
      <c r="A374" s="3">
        <f>'Production Plan'!B362</f>
        <v/>
      </c>
      <c r="B374" s="3">
        <f>VLOOKUP(A374,'Production Plan'!B:R,15,FALSE)</f>
        <v/>
      </c>
      <c r="C374" s="3">
        <f>VLOOKUP(A374,'Production Plan'!B:F,5,FALSE)</f>
        <v/>
      </c>
    </row>
    <row r="375" hidden="1">
      <c r="A375" s="3">
        <f>'Production Plan'!B363</f>
        <v/>
      </c>
      <c r="B375" s="3">
        <f>VLOOKUP(A375,'Production Plan'!B:R,15,FALSE)</f>
        <v/>
      </c>
      <c r="C375" s="3">
        <f>VLOOKUP(A375,'Production Plan'!B:F,5,FALSE)</f>
        <v/>
      </c>
    </row>
    <row r="376" hidden="1">
      <c r="A376" s="3">
        <f>'Production Plan'!B364</f>
        <v/>
      </c>
      <c r="B376" s="3">
        <f>VLOOKUP(A376,'Production Plan'!B:R,15,FALSE)</f>
        <v/>
      </c>
      <c r="C376" s="3">
        <f>VLOOKUP(A376,'Production Plan'!B:F,5,FALSE)</f>
        <v/>
      </c>
    </row>
    <row r="377" hidden="1">
      <c r="A377" s="3">
        <f>'Production Plan'!B365</f>
        <v/>
      </c>
      <c r="B377" s="3">
        <f>VLOOKUP(A377,'Production Plan'!B:R,15,FALSE)</f>
        <v/>
      </c>
      <c r="C377" s="3">
        <f>VLOOKUP(A377,'Production Plan'!B:F,5,FALSE)</f>
        <v/>
      </c>
    </row>
    <row r="378" hidden="1">
      <c r="A378" s="3">
        <f>'Production Plan'!B366</f>
        <v/>
      </c>
      <c r="B378" s="3">
        <f>VLOOKUP(A378,'Production Plan'!B:R,15,FALSE)</f>
        <v/>
      </c>
      <c r="C378" s="3">
        <f>VLOOKUP(A378,'Production Plan'!B:F,5,FALSE)</f>
        <v/>
      </c>
    </row>
    <row r="379" hidden="1">
      <c r="A379" s="3">
        <f>'Production Plan'!B367</f>
        <v/>
      </c>
      <c r="B379" s="3">
        <f>VLOOKUP(A379,'Production Plan'!B:R,15,FALSE)</f>
        <v/>
      </c>
      <c r="C379" s="3">
        <f>VLOOKUP(A379,'Production Plan'!B:F,5,FALSE)</f>
        <v/>
      </c>
    </row>
    <row r="380" hidden="1">
      <c r="A380" s="3">
        <f>'Production Plan'!B368</f>
        <v/>
      </c>
      <c r="B380" s="3">
        <f>VLOOKUP(A380,'Production Plan'!B:R,15,FALSE)</f>
        <v/>
      </c>
      <c r="C380" s="3">
        <f>VLOOKUP(A380,'Production Plan'!B:F,5,FALSE)</f>
        <v/>
      </c>
    </row>
    <row r="381" hidden="1">
      <c r="A381" s="3">
        <f>'Production Plan'!B369</f>
        <v/>
      </c>
      <c r="B381" s="3">
        <f>VLOOKUP(A381,'Production Plan'!B:R,15,FALSE)</f>
        <v/>
      </c>
      <c r="C381" s="3">
        <f>VLOOKUP(A381,'Production Plan'!B:F,5,FALSE)</f>
        <v/>
      </c>
    </row>
    <row r="382" hidden="1">
      <c r="A382" s="3">
        <f>'Production Plan'!B370</f>
        <v/>
      </c>
      <c r="B382" s="3">
        <f>VLOOKUP(A382,'Production Plan'!B:R,15,FALSE)</f>
        <v/>
      </c>
      <c r="C382" s="3">
        <f>VLOOKUP(A382,'Production Plan'!B:F,5,FALSE)</f>
        <v/>
      </c>
    </row>
    <row r="383" hidden="1">
      <c r="A383" s="3">
        <f>'Production Plan'!B371</f>
        <v/>
      </c>
      <c r="B383" s="3">
        <f>VLOOKUP(A383,'Production Plan'!B:R,15,FALSE)</f>
        <v/>
      </c>
      <c r="C383" s="3">
        <f>VLOOKUP(A383,'Production Plan'!B:F,5,FALSE)</f>
        <v/>
      </c>
    </row>
    <row r="384" hidden="1">
      <c r="A384" s="3">
        <f>'Production Plan'!B372</f>
        <v/>
      </c>
      <c r="B384" s="3">
        <f>VLOOKUP(A384,'Production Plan'!B:R,15,FALSE)</f>
        <v/>
      </c>
      <c r="C384" s="3">
        <f>VLOOKUP(A384,'Production Plan'!B:F,5,FALSE)</f>
        <v/>
      </c>
    </row>
    <row r="385" hidden="1">
      <c r="A385" s="3">
        <f>'Production Plan'!B373</f>
        <v/>
      </c>
      <c r="B385" s="3">
        <f>VLOOKUP(A385,'Production Plan'!B:R,15,FALSE)</f>
        <v/>
      </c>
      <c r="C385" s="3">
        <f>VLOOKUP(A385,'Production Plan'!B:F,5,FALSE)</f>
        <v/>
      </c>
    </row>
    <row r="386" hidden="1">
      <c r="A386" s="3">
        <f>'Production Plan'!B374</f>
        <v/>
      </c>
      <c r="B386" s="3">
        <f>VLOOKUP(A386,'Production Plan'!B:R,15,FALSE)</f>
        <v/>
      </c>
      <c r="C386" s="3">
        <f>VLOOKUP(A386,'Production Plan'!B:F,5,FALSE)</f>
        <v/>
      </c>
    </row>
    <row r="387" hidden="1">
      <c r="A387" s="3">
        <f>'Production Plan'!B375</f>
        <v/>
      </c>
      <c r="B387" s="3">
        <f>VLOOKUP(A387,'Production Plan'!B:R,15,FALSE)</f>
        <v/>
      </c>
      <c r="C387" s="3">
        <f>VLOOKUP(A387,'Production Plan'!B:F,5,FALSE)</f>
        <v/>
      </c>
    </row>
    <row r="388" hidden="1">
      <c r="A388" s="3">
        <f>'Production Plan'!B376</f>
        <v/>
      </c>
      <c r="B388" s="3">
        <f>VLOOKUP(A388,'Production Plan'!B:R,15,FALSE)</f>
        <v/>
      </c>
      <c r="C388" s="3">
        <f>VLOOKUP(A388,'Production Plan'!B:F,5,FALSE)</f>
        <v/>
      </c>
    </row>
    <row r="389" hidden="1">
      <c r="A389" s="3">
        <f>'Production Plan'!B377</f>
        <v/>
      </c>
      <c r="B389" s="3">
        <f>VLOOKUP(A389,'Production Plan'!B:R,15,FALSE)</f>
        <v/>
      </c>
      <c r="C389" s="3">
        <f>VLOOKUP(A389,'Production Plan'!B:F,5,FALSE)</f>
        <v/>
      </c>
    </row>
    <row r="390" hidden="1">
      <c r="A390" s="3">
        <f>'Production Plan'!B378</f>
        <v/>
      </c>
      <c r="B390" s="3">
        <f>VLOOKUP(A390,'Production Plan'!B:R,15,FALSE)</f>
        <v/>
      </c>
      <c r="C390" s="3">
        <f>VLOOKUP(A390,'Production Plan'!B:F,5,FALSE)</f>
        <v/>
      </c>
    </row>
    <row r="391" hidden="1">
      <c r="A391" s="3">
        <f>'Production Plan'!B379</f>
        <v/>
      </c>
      <c r="B391" s="3">
        <f>VLOOKUP(A391,'Production Plan'!B:R,15,FALSE)</f>
        <v/>
      </c>
      <c r="C391" s="3">
        <f>VLOOKUP(A391,'Production Plan'!B:F,5,FALSE)</f>
        <v/>
      </c>
    </row>
    <row r="392" hidden="1">
      <c r="A392" s="3">
        <f>'Production Plan'!B380</f>
        <v/>
      </c>
      <c r="B392" s="3">
        <f>VLOOKUP(A392,'Production Plan'!B:R,15,FALSE)</f>
        <v/>
      </c>
      <c r="C392" s="3">
        <f>VLOOKUP(A392,'Production Plan'!B:F,5,FALSE)</f>
        <v/>
      </c>
    </row>
    <row r="393" hidden="1">
      <c r="A393" s="3">
        <f>'Production Plan'!B381</f>
        <v/>
      </c>
      <c r="B393" s="3">
        <f>VLOOKUP(A393,'Production Plan'!B:R,15,FALSE)</f>
        <v/>
      </c>
      <c r="C393" s="3">
        <f>VLOOKUP(A393,'Production Plan'!B:F,5,FALSE)</f>
        <v/>
      </c>
    </row>
    <row r="394" hidden="1">
      <c r="A394" s="3">
        <f>'Production Plan'!B382</f>
        <v/>
      </c>
      <c r="B394" s="3">
        <f>VLOOKUP(A394,'Production Plan'!B:R,15,FALSE)</f>
        <v/>
      </c>
      <c r="C394" s="3">
        <f>VLOOKUP(A394,'Production Plan'!B:F,5,FALSE)</f>
        <v/>
      </c>
    </row>
    <row r="395" hidden="1">
      <c r="A395" s="3">
        <f>'Production Plan'!B383</f>
        <v/>
      </c>
      <c r="B395" s="3">
        <f>VLOOKUP(A395,'Production Plan'!B:R,15,FALSE)</f>
        <v/>
      </c>
      <c r="C395" s="3">
        <f>VLOOKUP(A395,'Production Plan'!B:F,5,FALSE)</f>
        <v/>
      </c>
    </row>
    <row r="396" hidden="1">
      <c r="A396" s="3">
        <f>'Production Plan'!B384</f>
        <v/>
      </c>
      <c r="B396" s="3">
        <f>VLOOKUP(A396,'Production Plan'!B:R,15,FALSE)</f>
        <v/>
      </c>
      <c r="C396" s="3">
        <f>VLOOKUP(A396,'Production Plan'!B:F,5,FALSE)</f>
        <v/>
      </c>
    </row>
    <row r="397" hidden="1">
      <c r="A397" s="3">
        <f>'Production Plan'!B385</f>
        <v/>
      </c>
      <c r="B397" s="3">
        <f>VLOOKUP(A397,'Production Plan'!B:R,15,FALSE)</f>
        <v/>
      </c>
      <c r="C397" s="3">
        <f>VLOOKUP(A397,'Production Plan'!B:F,5,FALSE)</f>
        <v/>
      </c>
    </row>
    <row r="398" hidden="1">
      <c r="A398" s="3">
        <f>'Production Plan'!B386</f>
        <v/>
      </c>
      <c r="B398" s="3">
        <f>VLOOKUP(A398,'Production Plan'!B:R,15,FALSE)</f>
        <v/>
      </c>
      <c r="C398" s="3">
        <f>VLOOKUP(A398,'Production Plan'!B:F,5,FALSE)</f>
        <v/>
      </c>
    </row>
    <row r="399" hidden="1">
      <c r="A399" s="3">
        <f>'Production Plan'!B387</f>
        <v/>
      </c>
      <c r="B399" s="3">
        <f>VLOOKUP(A399,'Production Plan'!B:R,15,FALSE)</f>
        <v/>
      </c>
      <c r="C399" s="3">
        <f>VLOOKUP(A399,'Production Plan'!B:F,5,FALSE)</f>
        <v/>
      </c>
    </row>
    <row r="400" hidden="1">
      <c r="A400" s="3">
        <f>'Production Plan'!B388</f>
        <v/>
      </c>
      <c r="B400" s="3">
        <f>VLOOKUP(A400,'Production Plan'!B:R,15,FALSE)</f>
        <v/>
      </c>
      <c r="C400" s="3">
        <f>VLOOKUP(A400,'Production Plan'!B:F,5,FALSE)</f>
        <v/>
      </c>
    </row>
    <row r="401" hidden="1">
      <c r="A401" s="3">
        <f>'Production Plan'!B389</f>
        <v/>
      </c>
      <c r="B401" s="3">
        <f>VLOOKUP(A401,'Production Plan'!B:R,15,FALSE)</f>
        <v/>
      </c>
      <c r="C401" s="3">
        <f>VLOOKUP(A401,'Production Plan'!B:F,5,FALSE)</f>
        <v/>
      </c>
    </row>
    <row r="402" hidden="1">
      <c r="A402" s="3">
        <f>'Production Plan'!B390</f>
        <v/>
      </c>
      <c r="B402" s="3">
        <f>VLOOKUP(A402,'Production Plan'!B:R,15,FALSE)</f>
        <v/>
      </c>
      <c r="C402" s="3">
        <f>VLOOKUP(A402,'Production Plan'!B:F,5,FALSE)</f>
        <v/>
      </c>
    </row>
    <row r="403" hidden="1">
      <c r="A403" s="3">
        <f>'Production Plan'!B391</f>
        <v/>
      </c>
      <c r="B403" s="3">
        <f>VLOOKUP(A403,'Production Plan'!B:R,15,FALSE)</f>
        <v/>
      </c>
      <c r="C403" s="3">
        <f>VLOOKUP(A403,'Production Plan'!B:F,5,FALSE)</f>
        <v/>
      </c>
    </row>
    <row r="404" hidden="1">
      <c r="A404" s="3">
        <f>'Production Plan'!B392</f>
        <v/>
      </c>
      <c r="B404" s="3">
        <f>VLOOKUP(A404,'Production Plan'!B:R,15,FALSE)</f>
        <v/>
      </c>
      <c r="C404" s="3">
        <f>VLOOKUP(A404,'Production Plan'!B:F,5,FALSE)</f>
        <v/>
      </c>
    </row>
    <row r="405" hidden="1">
      <c r="A405" s="3">
        <f>'Production Plan'!B393</f>
        <v/>
      </c>
      <c r="B405" s="3">
        <f>VLOOKUP(A405,'Production Plan'!B:R,15,FALSE)</f>
        <v/>
      </c>
      <c r="C405" s="3">
        <f>VLOOKUP(A405,'Production Plan'!B:F,5,FALSE)</f>
        <v/>
      </c>
    </row>
    <row r="406" hidden="1">
      <c r="A406" s="3">
        <f>'Production Plan'!B394</f>
        <v/>
      </c>
      <c r="B406" s="3">
        <f>VLOOKUP(A406,'Production Plan'!B:R,15,FALSE)</f>
        <v/>
      </c>
      <c r="C406" s="3">
        <f>VLOOKUP(A406,'Production Plan'!B:F,5,FALSE)</f>
        <v/>
      </c>
    </row>
    <row r="407" hidden="1">
      <c r="A407" s="3">
        <f>'Production Plan'!B395</f>
        <v/>
      </c>
      <c r="B407" s="3">
        <f>VLOOKUP(A407,'Production Plan'!B:R,15,FALSE)</f>
        <v/>
      </c>
      <c r="C407" s="3">
        <f>VLOOKUP(A407,'Production Plan'!B:F,5,FALSE)</f>
        <v/>
      </c>
    </row>
    <row r="408" hidden="1">
      <c r="A408" s="3">
        <f>'Production Plan'!B396</f>
        <v/>
      </c>
      <c r="B408" s="3">
        <f>VLOOKUP(A408,'Production Plan'!B:R,15,FALSE)</f>
        <v/>
      </c>
      <c r="C408" s="3">
        <f>VLOOKUP(A408,'Production Plan'!B:F,5,FALSE)</f>
        <v/>
      </c>
    </row>
    <row r="409" hidden="1">
      <c r="A409" s="3">
        <f>'Production Plan'!B397</f>
        <v/>
      </c>
      <c r="B409" s="3">
        <f>VLOOKUP(A409,'Production Plan'!B:R,15,FALSE)</f>
        <v/>
      </c>
      <c r="C409" s="3">
        <f>VLOOKUP(A409,'Production Plan'!B:F,5,FALSE)</f>
        <v/>
      </c>
    </row>
    <row r="410" hidden="1">
      <c r="A410" s="3">
        <f>'Production Plan'!B398</f>
        <v/>
      </c>
      <c r="B410" s="3">
        <f>VLOOKUP(A410,'Production Plan'!B:R,15,FALSE)</f>
        <v/>
      </c>
      <c r="C410" s="3">
        <f>VLOOKUP(A410,'Production Plan'!B:F,5,FALSE)</f>
        <v/>
      </c>
    </row>
    <row r="411" hidden="1">
      <c r="A411" s="3">
        <f>'Production Plan'!B399</f>
        <v/>
      </c>
      <c r="B411" s="3">
        <f>VLOOKUP(A411,'Production Plan'!B:R,15,FALSE)</f>
        <v/>
      </c>
      <c r="C411" s="3">
        <f>VLOOKUP(A411,'Production Plan'!B:F,5,FALSE)</f>
        <v/>
      </c>
    </row>
    <row r="412" hidden="1">
      <c r="A412" s="3">
        <f>'Production Plan'!B400</f>
        <v/>
      </c>
      <c r="B412" s="3">
        <f>VLOOKUP(A412,'Production Plan'!B:R,15,FALSE)</f>
        <v/>
      </c>
      <c r="C412" s="3">
        <f>VLOOKUP(A412,'Production Plan'!B:F,5,FALSE)</f>
        <v/>
      </c>
    </row>
    <row r="413" hidden="1">
      <c r="A413" s="3">
        <f>'Production Plan'!B401</f>
        <v/>
      </c>
      <c r="B413" s="3">
        <f>VLOOKUP(A413,'Production Plan'!B:R,15,FALSE)</f>
        <v/>
      </c>
      <c r="C413" s="3">
        <f>VLOOKUP(A413,'Production Plan'!B:F,5,FALSE)</f>
        <v/>
      </c>
    </row>
    <row r="414" hidden="1">
      <c r="A414" s="3">
        <f>'Production Plan'!B402</f>
        <v/>
      </c>
      <c r="B414" s="3">
        <f>VLOOKUP(A414,'Production Plan'!B:R,15,FALSE)</f>
        <v/>
      </c>
      <c r="C414" s="3">
        <f>VLOOKUP(A414,'Production Plan'!B:F,5,FALSE)</f>
        <v/>
      </c>
    </row>
    <row r="415" hidden="1">
      <c r="A415" s="3">
        <f>'Production Plan'!B403</f>
        <v/>
      </c>
      <c r="B415" s="3">
        <f>VLOOKUP(A415,'Production Plan'!B:R,15,FALSE)</f>
        <v/>
      </c>
      <c r="C415" s="3">
        <f>VLOOKUP(A415,'Production Plan'!B:F,5,FALSE)</f>
        <v/>
      </c>
    </row>
    <row r="416" hidden="1">
      <c r="A416" s="3">
        <f>'Production Plan'!B404</f>
        <v/>
      </c>
      <c r="B416" s="3">
        <f>VLOOKUP(A416,'Production Plan'!B:R,15,FALSE)</f>
        <v/>
      </c>
      <c r="C416" s="3">
        <f>VLOOKUP(A416,'Production Plan'!B:F,5,FALSE)</f>
        <v/>
      </c>
    </row>
    <row r="417" hidden="1">
      <c r="A417" s="3">
        <f>'Production Plan'!B405</f>
        <v/>
      </c>
      <c r="B417" s="3">
        <f>VLOOKUP(A417,'Production Plan'!B:R,15,FALSE)</f>
        <v/>
      </c>
      <c r="C417" s="3">
        <f>VLOOKUP(A417,'Production Plan'!B:F,5,FALSE)</f>
        <v/>
      </c>
    </row>
    <row r="418" hidden="1">
      <c r="A418" s="3">
        <f>'Production Plan'!B406</f>
        <v/>
      </c>
      <c r="B418" s="3">
        <f>VLOOKUP(A418,'Production Plan'!B:R,15,FALSE)</f>
        <v/>
      </c>
      <c r="C418" s="3">
        <f>VLOOKUP(A418,'Production Plan'!B:F,5,FALSE)</f>
        <v/>
      </c>
    </row>
    <row r="419" hidden="1">
      <c r="A419" s="3">
        <f>'Production Plan'!B407</f>
        <v/>
      </c>
      <c r="B419" s="3">
        <f>VLOOKUP(A419,'Production Plan'!B:R,15,FALSE)</f>
        <v/>
      </c>
      <c r="C419" s="3">
        <f>VLOOKUP(A419,'Production Plan'!B:F,5,FALSE)</f>
        <v/>
      </c>
    </row>
    <row r="420" hidden="1">
      <c r="A420" s="3">
        <f>'Production Plan'!B408</f>
        <v/>
      </c>
      <c r="B420" s="3">
        <f>VLOOKUP(A420,'Production Plan'!B:R,15,FALSE)</f>
        <v/>
      </c>
      <c r="C420" s="3">
        <f>VLOOKUP(A420,'Production Plan'!B:F,5,FALSE)</f>
        <v/>
      </c>
    </row>
    <row r="421" hidden="1">
      <c r="A421" s="3">
        <f>'Production Plan'!B409</f>
        <v/>
      </c>
      <c r="B421" s="3">
        <f>VLOOKUP(A421,'Production Plan'!B:R,15,FALSE)</f>
        <v/>
      </c>
      <c r="C421" s="3">
        <f>VLOOKUP(A421,'Production Plan'!B:F,5,FALSE)</f>
        <v/>
      </c>
    </row>
    <row r="422" hidden="1">
      <c r="A422" s="3">
        <f>'Production Plan'!B410</f>
        <v/>
      </c>
      <c r="B422" s="3">
        <f>VLOOKUP(A422,'Production Plan'!B:R,15,FALSE)</f>
        <v/>
      </c>
      <c r="C422" s="3">
        <f>VLOOKUP(A422,'Production Plan'!B:F,5,FALSE)</f>
        <v/>
      </c>
    </row>
    <row r="423" hidden="1">
      <c r="A423" s="3">
        <f>'Production Plan'!B411</f>
        <v/>
      </c>
      <c r="B423" s="3">
        <f>VLOOKUP(A423,'Production Plan'!B:R,15,FALSE)</f>
        <v/>
      </c>
      <c r="C423" s="3">
        <f>VLOOKUP(A423,'Production Plan'!B:F,5,FALSE)</f>
        <v/>
      </c>
    </row>
    <row r="424" hidden="1">
      <c r="A424" s="3">
        <f>'Production Plan'!B412</f>
        <v/>
      </c>
      <c r="B424" s="3">
        <f>VLOOKUP(A424,'Production Plan'!B:R,15,FALSE)</f>
        <v/>
      </c>
      <c r="C424" s="3">
        <f>VLOOKUP(A424,'Production Plan'!B:F,5,FALSE)</f>
        <v/>
      </c>
    </row>
    <row r="425" hidden="1">
      <c r="A425" s="3">
        <f>'Production Plan'!B413</f>
        <v/>
      </c>
      <c r="B425" s="3">
        <f>VLOOKUP(A425,'Production Plan'!B:R,15,FALSE)</f>
        <v/>
      </c>
      <c r="C425" s="3">
        <f>VLOOKUP(A425,'Production Plan'!B:F,5,FALSE)</f>
        <v/>
      </c>
    </row>
    <row r="426" hidden="1">
      <c r="A426" s="3">
        <f>'Production Plan'!B414</f>
        <v/>
      </c>
      <c r="B426" s="3">
        <f>VLOOKUP(A426,'Production Plan'!B:R,15,FALSE)</f>
        <v/>
      </c>
      <c r="C426" s="3">
        <f>VLOOKUP(A426,'Production Plan'!B:F,5,FALSE)</f>
        <v/>
      </c>
    </row>
    <row r="427" hidden="1">
      <c r="A427" s="3">
        <f>'Production Plan'!B415</f>
        <v/>
      </c>
      <c r="B427" s="3">
        <f>VLOOKUP(A427,'Production Plan'!B:R,15,FALSE)</f>
        <v/>
      </c>
      <c r="C427" s="3">
        <f>VLOOKUP(A427,'Production Plan'!B:F,5,FALSE)</f>
        <v/>
      </c>
    </row>
    <row r="428" hidden="1">
      <c r="A428" s="3">
        <f>'Production Plan'!B416</f>
        <v/>
      </c>
      <c r="B428" s="3">
        <f>VLOOKUP(A428,'Production Plan'!B:R,15,FALSE)</f>
        <v/>
      </c>
      <c r="C428" s="3">
        <f>VLOOKUP(A428,'Production Plan'!B:F,5,FALSE)</f>
        <v/>
      </c>
    </row>
    <row r="429" hidden="1">
      <c r="A429" s="3">
        <f>'Production Plan'!B417</f>
        <v/>
      </c>
      <c r="B429" s="3">
        <f>VLOOKUP(A429,'Production Plan'!B:R,15,FALSE)</f>
        <v/>
      </c>
      <c r="C429" s="3">
        <f>VLOOKUP(A429,'Production Plan'!B:F,5,FALSE)</f>
        <v/>
      </c>
    </row>
    <row r="430" hidden="1">
      <c r="A430" s="3">
        <f>'Production Plan'!B418</f>
        <v/>
      </c>
      <c r="B430" s="3">
        <f>VLOOKUP(A430,'Production Plan'!B:R,15,FALSE)</f>
        <v/>
      </c>
      <c r="C430" s="3">
        <f>VLOOKUP(A430,'Production Plan'!B:F,5,FALSE)</f>
        <v/>
      </c>
    </row>
    <row r="431" hidden="1">
      <c r="A431" s="3">
        <f>'Production Plan'!B419</f>
        <v/>
      </c>
      <c r="B431" s="3">
        <f>VLOOKUP(A431,'Production Plan'!B:R,15,FALSE)</f>
        <v/>
      </c>
      <c r="C431" s="3">
        <f>VLOOKUP(A431,'Production Plan'!B:F,5,FALSE)</f>
        <v/>
      </c>
    </row>
    <row r="432" hidden="1">
      <c r="A432" s="3">
        <f>'Production Plan'!B420</f>
        <v/>
      </c>
      <c r="B432" s="3">
        <f>VLOOKUP(A432,'Production Plan'!B:R,15,FALSE)</f>
        <v/>
      </c>
      <c r="C432" s="3">
        <f>VLOOKUP(A432,'Production Plan'!B:F,5,FALSE)</f>
        <v/>
      </c>
    </row>
    <row r="433" hidden="1">
      <c r="A433" s="3">
        <f>'Production Plan'!B421</f>
        <v/>
      </c>
      <c r="B433" s="3">
        <f>VLOOKUP(A433,'Production Plan'!B:R,15,FALSE)</f>
        <v/>
      </c>
      <c r="C433" s="3">
        <f>VLOOKUP(A433,'Production Plan'!B:F,5,FALSE)</f>
        <v/>
      </c>
    </row>
    <row r="434" hidden="1">
      <c r="A434" s="3">
        <f>'Production Plan'!B422</f>
        <v/>
      </c>
      <c r="B434" s="3">
        <f>VLOOKUP(A434,'Production Plan'!B:R,15,FALSE)</f>
        <v/>
      </c>
      <c r="C434" s="3">
        <f>VLOOKUP(A434,'Production Plan'!B:F,5,FALSE)</f>
        <v/>
      </c>
    </row>
    <row r="435" hidden="1">
      <c r="A435" s="3">
        <f>'Production Plan'!B423</f>
        <v/>
      </c>
      <c r="B435" s="3">
        <f>VLOOKUP(A435,'Production Plan'!B:R,15,FALSE)</f>
        <v/>
      </c>
      <c r="C435" s="3">
        <f>VLOOKUP(A435,'Production Plan'!B:F,5,FALSE)</f>
        <v/>
      </c>
    </row>
    <row r="436" hidden="1">
      <c r="A436" s="3">
        <f>'Production Plan'!B424</f>
        <v/>
      </c>
      <c r="B436" s="3">
        <f>VLOOKUP(A436,'Production Plan'!B:R,15,FALSE)</f>
        <v/>
      </c>
      <c r="C436" s="3">
        <f>VLOOKUP(A436,'Production Plan'!B:F,5,FALSE)</f>
        <v/>
      </c>
    </row>
    <row r="437" hidden="1">
      <c r="A437" s="3">
        <f>'Production Plan'!B425</f>
        <v/>
      </c>
      <c r="B437" s="3">
        <f>VLOOKUP(A437,'Production Plan'!B:R,15,FALSE)</f>
        <v/>
      </c>
      <c r="C437" s="3">
        <f>VLOOKUP(A437,'Production Plan'!B:F,5,FALSE)</f>
        <v/>
      </c>
    </row>
    <row r="438" hidden="1">
      <c r="A438" s="3">
        <f>'Production Plan'!B426</f>
        <v/>
      </c>
      <c r="B438" s="3">
        <f>VLOOKUP(A438,'Production Plan'!B:R,15,FALSE)</f>
        <v/>
      </c>
      <c r="C438" s="3">
        <f>VLOOKUP(A438,'Production Plan'!B:F,5,FALSE)</f>
        <v/>
      </c>
    </row>
    <row r="439" hidden="1">
      <c r="A439" s="3">
        <f>'Production Plan'!B427</f>
        <v/>
      </c>
      <c r="B439" s="3">
        <f>VLOOKUP(A439,'Production Plan'!B:R,15,FALSE)</f>
        <v/>
      </c>
      <c r="C439" s="3">
        <f>VLOOKUP(A439,'Production Plan'!B:F,5,FALSE)</f>
        <v/>
      </c>
    </row>
    <row r="440" hidden="1">
      <c r="A440" s="3">
        <f>'Production Plan'!B428</f>
        <v/>
      </c>
      <c r="B440" s="3">
        <f>VLOOKUP(A440,'Production Plan'!B:R,15,FALSE)</f>
        <v/>
      </c>
      <c r="C440" s="3">
        <f>VLOOKUP(A440,'Production Plan'!B:F,5,FALSE)</f>
        <v/>
      </c>
    </row>
    <row r="441" hidden="1">
      <c r="A441" s="3">
        <f>'Production Plan'!B429</f>
        <v/>
      </c>
      <c r="B441" s="3">
        <f>VLOOKUP(A441,'Production Plan'!B:R,15,FALSE)</f>
        <v/>
      </c>
      <c r="C441" s="3">
        <f>VLOOKUP(A441,'Production Plan'!B:F,5,FALSE)</f>
        <v/>
      </c>
    </row>
    <row r="442" hidden="1">
      <c r="A442" s="3">
        <f>'Production Plan'!B430</f>
        <v/>
      </c>
      <c r="B442" s="3">
        <f>VLOOKUP(A442,'Production Plan'!B:R,15,FALSE)</f>
        <v/>
      </c>
      <c r="C442" s="3">
        <f>VLOOKUP(A442,'Production Plan'!B:F,5,FALSE)</f>
        <v/>
      </c>
    </row>
    <row r="443" hidden="1">
      <c r="A443" s="3">
        <f>'Production Plan'!B431</f>
        <v/>
      </c>
      <c r="B443" s="3">
        <f>VLOOKUP(A443,'Production Plan'!B:R,15,FALSE)</f>
        <v/>
      </c>
      <c r="C443" s="3">
        <f>VLOOKUP(A443,'Production Plan'!B:F,5,FALSE)</f>
        <v/>
      </c>
    </row>
    <row r="444" hidden="1">
      <c r="A444" s="3">
        <f>'Production Plan'!B432</f>
        <v/>
      </c>
      <c r="B444" s="3">
        <f>VLOOKUP(A444,'Production Plan'!B:R,15,FALSE)</f>
        <v/>
      </c>
      <c r="C444" s="3">
        <f>VLOOKUP(A444,'Production Plan'!B:F,5,FALSE)</f>
        <v/>
      </c>
    </row>
    <row r="445" hidden="1">
      <c r="A445" s="3">
        <f>'Production Plan'!B433</f>
        <v/>
      </c>
      <c r="B445" s="3">
        <f>VLOOKUP(A445,'Production Plan'!B:R,15,FALSE)</f>
        <v/>
      </c>
      <c r="C445" s="3">
        <f>VLOOKUP(A445,'Production Plan'!B:F,5,FALSE)</f>
        <v/>
      </c>
    </row>
    <row r="446" hidden="1">
      <c r="A446" s="3">
        <f>'Production Plan'!B434</f>
        <v/>
      </c>
      <c r="B446" s="3">
        <f>VLOOKUP(A446,'Production Plan'!B:R,15,FALSE)</f>
        <v/>
      </c>
      <c r="C446" s="3">
        <f>VLOOKUP(A446,'Production Plan'!B:F,5,FALSE)</f>
        <v/>
      </c>
    </row>
    <row r="447" hidden="1">
      <c r="A447" s="3">
        <f>'Production Plan'!B435</f>
        <v/>
      </c>
      <c r="B447" s="3">
        <f>VLOOKUP(A447,'Production Plan'!B:R,15,FALSE)</f>
        <v/>
      </c>
      <c r="C447" s="3">
        <f>VLOOKUP(A447,'Production Plan'!B:F,5,FALSE)</f>
        <v/>
      </c>
    </row>
    <row r="448" hidden="1">
      <c r="A448" s="3">
        <f>'Production Plan'!B436</f>
        <v/>
      </c>
      <c r="B448" s="3">
        <f>VLOOKUP(A448,'Production Plan'!B:R,15,FALSE)</f>
        <v/>
      </c>
      <c r="C448" s="3">
        <f>VLOOKUP(A448,'Production Plan'!B:F,5,FALSE)</f>
        <v/>
      </c>
    </row>
    <row r="449" hidden="1">
      <c r="A449" s="3">
        <f>'Production Plan'!B437</f>
        <v/>
      </c>
      <c r="B449" s="3">
        <f>VLOOKUP(A449,'Production Plan'!B:R,15,FALSE)</f>
        <v/>
      </c>
      <c r="C449" s="3">
        <f>VLOOKUP(A449,'Production Plan'!B:F,5,FALSE)</f>
        <v/>
      </c>
    </row>
    <row r="450" hidden="1">
      <c r="A450" s="3">
        <f>'Production Plan'!B438</f>
        <v/>
      </c>
      <c r="B450" s="3">
        <f>VLOOKUP(A450,'Production Plan'!B:R,15,FALSE)</f>
        <v/>
      </c>
      <c r="C450" s="3">
        <f>VLOOKUP(A450,'Production Plan'!B:F,5,FALSE)</f>
        <v/>
      </c>
    </row>
    <row r="451" hidden="1">
      <c r="A451" s="3">
        <f>'Production Plan'!B439</f>
        <v/>
      </c>
      <c r="B451" s="3">
        <f>VLOOKUP(A451,'Production Plan'!B:R,15,FALSE)</f>
        <v/>
      </c>
      <c r="C451" s="3">
        <f>VLOOKUP(A451,'Production Plan'!B:F,5,FALSE)</f>
        <v/>
      </c>
    </row>
    <row r="452" hidden="1">
      <c r="A452" s="3">
        <f>'Production Plan'!B440</f>
        <v/>
      </c>
      <c r="B452" s="3">
        <f>VLOOKUP(A452,'Production Plan'!B:R,15,FALSE)</f>
        <v/>
      </c>
      <c r="C452" s="3">
        <f>VLOOKUP(A452,'Production Plan'!B:F,5,FALSE)</f>
        <v/>
      </c>
    </row>
    <row r="453" hidden="1">
      <c r="A453" s="3">
        <f>'Production Plan'!B441</f>
        <v/>
      </c>
      <c r="B453" s="3">
        <f>VLOOKUP(A453,'Production Plan'!B:R,15,FALSE)</f>
        <v/>
      </c>
      <c r="C453" s="3">
        <f>VLOOKUP(A453,'Production Plan'!B:F,5,FALSE)</f>
        <v/>
      </c>
    </row>
  </sheetData>
  <autoFilter ref="A1:N453">
    <filterColumn colId="1" hiddenButton="0" showButton="1">
      <filters>
        <filter val="Yes"/>
      </filters>
    </filterColumn>
  </autoFilter>
  <conditionalFormatting sqref="E2:E1048576">
    <cfRule type="expression" priority="1" dxfId="2">
      <formula>E2="Low"</formula>
    </cfRule>
    <cfRule type="expression" priority="2" dxfId="1">
      <formula>E2="Medium"</formula>
    </cfRule>
    <cfRule type="expression" priority="3" dxfId="0">
      <formula>E2="High"</formula>
    </cfRule>
  </conditionalFormatting>
  <dataValidations count="2">
    <dataValidation sqref="E2:E1048576" showDropDown="0" showInputMessage="1" showErrorMessage="1" allowBlank="1" type="list">
      <formula1>"High,Medium,Low"</formula1>
    </dataValidation>
    <dataValidation sqref="I2:I3 I5:I1048576" showDropDown="0" showInputMessage="1" showErrorMessage="1" allowBlank="1" type="list">
      <formula1>"Go ahead - disregard risk,Go ahead - attempt to mitigate,Go-ahead - dependent upon mitigation,No bid"</formula1>
    </dataValidation>
  </dataValidations>
  <pageMargins left="0.7" right="0.7" top="0.75" bottom="0.75" header="0.3" footer="0.3"/>
</worksheet>
</file>

<file path=xl/worksheets/sheet8.xml><?xml version="1.0" encoding="utf-8"?>
<worksheet xmlns="http://schemas.openxmlformats.org/spreadsheetml/2006/main">
  <sheetPr filterMode="1">
    <outlinePr summaryBelow="1" summaryRight="1"/>
    <pageSetUpPr/>
  </sheetPr>
  <dimension ref="A1:I1078"/>
  <sheetViews>
    <sheetView workbookViewId="0">
      <selection activeCell="H7" sqref="H7"/>
    </sheetView>
  </sheetViews>
  <sheetFormatPr baseColWidth="8" defaultRowHeight="16"/>
  <cols>
    <col width="44.765625" customWidth="1" min="3" max="3"/>
    <col width="42.69140625" customWidth="1" min="4" max="4"/>
    <col width="34.84375" customWidth="1" style="33" min="6" max="6"/>
    <col width="14.3046875" bestFit="1" customWidth="1" style="7" min="8" max="8"/>
    <col width="16.3046875" bestFit="1" customWidth="1" min="9" max="9"/>
  </cols>
  <sheetData>
    <row r="1">
      <c r="A1" s="4" t="inlineStr">
        <is>
          <t>Req ID</t>
        </is>
      </c>
      <c r="B1" s="4" t="inlineStr">
        <is>
          <t>Included</t>
        </is>
      </c>
      <c r="C1" s="4" t="inlineStr">
        <is>
          <t>Requirement</t>
        </is>
      </c>
      <c r="D1" s="4" t="inlineStr">
        <is>
          <t>Reason for increased cost</t>
        </is>
      </c>
      <c r="E1" s="4" t="inlineStr">
        <is>
          <t>Severity</t>
        </is>
      </c>
      <c r="F1" s="34" t="inlineStr">
        <is>
          <t>Estimated increase in cost</t>
        </is>
      </c>
      <c r="G1" s="4" t="inlineStr">
        <is>
          <t>Estimator</t>
        </is>
      </c>
      <c r="H1" s="4" t="inlineStr">
        <is>
          <t>Estimation date</t>
        </is>
      </c>
      <c r="I1" s="4" t="inlineStr">
        <is>
          <t>Included in pricing</t>
        </is>
      </c>
    </row>
    <row r="2" ht="32" customHeight="1">
      <c r="A2" s="3">
        <f>'Production Plan'!B2</f>
        <v/>
      </c>
      <c r="B2" s="3">
        <f>VLOOKUP(A2,'Production Plan'!B:S,16,FALSE)</f>
        <v/>
      </c>
      <c r="C2" s="3">
        <f>VLOOKUP(A2,'Production Plan'!B:F,5,FALSE)</f>
        <v/>
      </c>
      <c r="D2" s="3" t="inlineStr">
        <is>
          <t>Describe</t>
        </is>
      </c>
      <c r="E2" s="3" t="inlineStr">
        <is>
          <t>Low</t>
        </is>
      </c>
      <c r="F2" s="35" t="inlineStr">
        <is>
          <t>Estimation - DKK or EUR value and/or ressource use.</t>
        </is>
      </c>
      <c r="G2" s="3" t="inlineStr">
        <is>
          <t>Name</t>
        </is>
      </c>
      <c r="H2" s="8" t="n">
        <v>46023</v>
      </c>
      <c r="I2" s="3" t="inlineStr">
        <is>
          <t>Yes</t>
        </is>
      </c>
    </row>
    <row r="3" ht="32" customHeight="1">
      <c r="A3" s="3">
        <f>'Production Plan'!B3</f>
        <v/>
      </c>
      <c r="B3" s="3">
        <f>VLOOKUP(A3,'Production Plan'!B:S,16,FALSE)</f>
        <v/>
      </c>
      <c r="C3" s="3">
        <f>VLOOKUP(A3,'Production Plan'!B:F,5,FALSE)</f>
        <v/>
      </c>
      <c r="D3" s="3" t="inlineStr">
        <is>
          <t>Describe</t>
        </is>
      </c>
      <c r="E3" s="3" t="inlineStr">
        <is>
          <t>Medium</t>
        </is>
      </c>
      <c r="F3" s="35" t="inlineStr">
        <is>
          <t>Estimation - DKK or EUR value and/or ressource use.</t>
        </is>
      </c>
      <c r="G3" s="3" t="inlineStr">
        <is>
          <t>Name</t>
        </is>
      </c>
      <c r="H3" s="8" t="n">
        <v>46023</v>
      </c>
      <c r="I3" s="3" t="inlineStr">
        <is>
          <t>Yes</t>
        </is>
      </c>
    </row>
    <row r="4" hidden="1">
      <c r="A4" s="3">
        <f>'Production Plan'!B4</f>
        <v/>
      </c>
      <c r="B4" s="3">
        <f>VLOOKUP(A4,'Production Plan'!B:S,16,FALSE)</f>
        <v/>
      </c>
      <c r="C4" s="3">
        <f>VLOOKUP(A4,'Production Plan'!B:F,5,FALSE)</f>
        <v/>
      </c>
      <c r="D4" s="3" t="n"/>
      <c r="E4" s="3" t="n"/>
      <c r="F4" s="3" t="n"/>
      <c r="G4" s="3" t="n"/>
      <c r="H4" s="8" t="n"/>
      <c r="I4" s="3" t="n"/>
    </row>
    <row r="5" hidden="1">
      <c r="A5" s="3">
        <f>'Production Plan'!B5</f>
        <v/>
      </c>
      <c r="B5" s="3">
        <f>VLOOKUP(A5,'Production Plan'!B:S,16,FALSE)</f>
        <v/>
      </c>
      <c r="C5" s="3">
        <f>VLOOKUP(A5,'Production Plan'!B:F,5,FALSE)</f>
        <v/>
      </c>
      <c r="D5" s="3" t="n"/>
      <c r="E5" s="3" t="n"/>
      <c r="F5" s="3" t="n"/>
      <c r="G5" s="3" t="n"/>
      <c r="H5" s="8" t="n"/>
      <c r="I5" s="3" t="n"/>
    </row>
    <row r="6" hidden="1">
      <c r="A6" s="3">
        <f>'Production Plan'!B6</f>
        <v/>
      </c>
      <c r="B6" s="3">
        <f>VLOOKUP(A6,'Production Plan'!B:S,16,FALSE)</f>
        <v/>
      </c>
      <c r="C6" s="3">
        <f>VLOOKUP(A6,'Production Plan'!B:F,5,FALSE)</f>
        <v/>
      </c>
      <c r="D6" s="3" t="n"/>
      <c r="E6" s="3" t="n"/>
      <c r="F6" s="3" t="n"/>
      <c r="G6" s="3" t="n"/>
      <c r="H6" s="8" t="n"/>
      <c r="I6" s="3" t="n"/>
    </row>
    <row r="7" ht="32" customHeight="1">
      <c r="A7" s="3">
        <f>'Production Plan'!B7</f>
        <v/>
      </c>
      <c r="B7" s="3">
        <f>VLOOKUP(A7,'Production Plan'!B:S,16,FALSE)</f>
        <v/>
      </c>
      <c r="C7" s="3">
        <f>VLOOKUP(A7,'Production Plan'!B:F,5,FALSE)</f>
        <v/>
      </c>
      <c r="D7" s="3" t="inlineStr">
        <is>
          <t>Describe</t>
        </is>
      </c>
      <c r="E7" s="3" t="inlineStr">
        <is>
          <t>High</t>
        </is>
      </c>
      <c r="F7" s="35" t="inlineStr">
        <is>
          <t>Estimation - DKK or EUR value and/or ressource use.</t>
        </is>
      </c>
      <c r="G7" s="3" t="inlineStr">
        <is>
          <t>Name</t>
        </is>
      </c>
      <c r="H7" s="8" t="n">
        <v>46023</v>
      </c>
      <c r="I7" s="3" t="inlineStr">
        <is>
          <t>Yes</t>
        </is>
      </c>
    </row>
    <row r="8" hidden="1">
      <c r="A8" s="3">
        <f>'Production Plan'!B8</f>
        <v/>
      </c>
      <c r="B8" s="3">
        <f>VLOOKUP(A8,'Production Plan'!B:S,16,FALSE)</f>
        <v/>
      </c>
      <c r="C8" s="3">
        <f>VLOOKUP(A8,'Production Plan'!B:F,5,FALSE)</f>
        <v/>
      </c>
      <c r="D8" s="3" t="n"/>
      <c r="E8" s="3" t="n"/>
      <c r="F8" s="3" t="n"/>
      <c r="G8" s="3" t="n"/>
      <c r="H8" s="8" t="n"/>
      <c r="I8" s="3" t="n"/>
    </row>
    <row r="9" hidden="1">
      <c r="A9" s="3">
        <f>'Production Plan'!B9</f>
        <v/>
      </c>
      <c r="B9" s="3">
        <f>VLOOKUP(A9,'Production Plan'!B:S,16,FALSE)</f>
        <v/>
      </c>
      <c r="C9" s="3">
        <f>VLOOKUP(A9,'Production Plan'!B:F,5,FALSE)</f>
        <v/>
      </c>
      <c r="D9" s="3" t="n"/>
      <c r="E9" s="3" t="n"/>
      <c r="F9" s="3" t="n"/>
      <c r="G9" s="3" t="n"/>
      <c r="H9" s="8" t="n"/>
      <c r="I9" s="3" t="n"/>
    </row>
    <row r="10" hidden="1">
      <c r="A10" s="3">
        <f>'Production Plan'!B10</f>
        <v/>
      </c>
      <c r="B10" s="3">
        <f>VLOOKUP(A10,'Production Plan'!B:S,16,FALSE)</f>
        <v/>
      </c>
      <c r="C10" s="3">
        <f>VLOOKUP(A10,'Production Plan'!B:F,5,FALSE)</f>
        <v/>
      </c>
      <c r="D10" s="3" t="n"/>
      <c r="E10" s="3" t="n"/>
      <c r="F10" s="3" t="n"/>
      <c r="G10" s="3" t="n"/>
      <c r="H10" s="8" t="n"/>
      <c r="I10" s="3" t="n"/>
    </row>
    <row r="11" hidden="1">
      <c r="A11" s="3">
        <f>'Production Plan'!B11</f>
        <v/>
      </c>
      <c r="B11" s="3">
        <f>VLOOKUP(A11,'Production Plan'!B:S,16,FALSE)</f>
        <v/>
      </c>
      <c r="C11" s="3">
        <f>VLOOKUP(A11,'Production Plan'!B:F,5,FALSE)</f>
        <v/>
      </c>
      <c r="D11" s="3" t="n"/>
      <c r="E11" s="3" t="n"/>
      <c r="F11" s="3" t="n"/>
      <c r="G11" s="3" t="n"/>
      <c r="H11" s="8" t="n"/>
      <c r="I11" s="3" t="n"/>
    </row>
    <row r="12" hidden="1">
      <c r="A12" s="3">
        <f>'Production Plan'!B12</f>
        <v/>
      </c>
      <c r="B12" s="3">
        <f>VLOOKUP(A12,'Production Plan'!B:S,16,FALSE)</f>
        <v/>
      </c>
      <c r="C12" s="3">
        <f>VLOOKUP(A12,'Production Plan'!B:F,5,FALSE)</f>
        <v/>
      </c>
      <c r="D12" s="3" t="n"/>
      <c r="E12" s="3" t="n"/>
      <c r="F12" s="3" t="n"/>
      <c r="G12" s="3" t="n"/>
      <c r="H12" s="8" t="n"/>
      <c r="I12" s="3" t="n"/>
    </row>
    <row r="13" hidden="1">
      <c r="A13" s="3">
        <f>'Production Plan'!B13</f>
        <v/>
      </c>
      <c r="B13" s="3">
        <f>VLOOKUP(A13,'Production Plan'!B:S,16,FALSE)</f>
        <v/>
      </c>
      <c r="C13" s="3">
        <f>VLOOKUP(A13,'Production Plan'!B:F,5,FALSE)</f>
        <v/>
      </c>
      <c r="D13" s="3" t="n"/>
      <c r="E13" s="3" t="n"/>
      <c r="F13" s="3" t="n"/>
      <c r="G13" s="3" t="n"/>
      <c r="H13" s="8" t="n"/>
      <c r="I13" s="3" t="n"/>
    </row>
    <row r="14" hidden="1">
      <c r="A14" s="3">
        <f>'Production Plan'!B14</f>
        <v/>
      </c>
      <c r="B14" s="3">
        <f>VLOOKUP(A14,'Production Plan'!B:S,16,FALSE)</f>
        <v/>
      </c>
      <c r="C14" s="3">
        <f>VLOOKUP(A14,'Production Plan'!B:F,5,FALSE)</f>
        <v/>
      </c>
      <c r="D14" s="3" t="n"/>
      <c r="E14" s="3" t="n"/>
      <c r="F14" s="3" t="n"/>
      <c r="G14" s="3" t="n"/>
      <c r="H14" s="8" t="n"/>
      <c r="I14" s="3" t="n"/>
    </row>
    <row r="15" hidden="1">
      <c r="A15" s="3">
        <f>'Production Plan'!B15</f>
        <v/>
      </c>
      <c r="B15" s="3">
        <f>VLOOKUP(A15,'Production Plan'!B:S,16,FALSE)</f>
        <v/>
      </c>
      <c r="C15" s="3">
        <f>VLOOKUP(A15,'Production Plan'!B:F,5,FALSE)</f>
        <v/>
      </c>
      <c r="D15" s="3" t="n"/>
      <c r="E15" s="3" t="n"/>
      <c r="F15" s="3" t="n"/>
      <c r="G15" s="3" t="n"/>
      <c r="H15" s="8" t="n"/>
      <c r="I15" s="3" t="n"/>
    </row>
    <row r="16" hidden="1">
      <c r="A16" s="3">
        <f>'Production Plan'!B16</f>
        <v/>
      </c>
      <c r="B16" s="3">
        <f>VLOOKUP(A16,'Production Plan'!B:S,16,FALSE)</f>
        <v/>
      </c>
      <c r="C16" s="3">
        <f>VLOOKUP(A16,'Production Plan'!B:F,5,FALSE)</f>
        <v/>
      </c>
      <c r="D16" s="3" t="n"/>
      <c r="E16" s="3" t="n"/>
      <c r="F16" s="3" t="n"/>
      <c r="G16" s="3" t="n"/>
      <c r="H16" s="8" t="n"/>
      <c r="I16" s="3" t="n"/>
    </row>
    <row r="17" hidden="1">
      <c r="A17" s="3">
        <f>'Production Plan'!B17</f>
        <v/>
      </c>
      <c r="B17" s="3">
        <f>VLOOKUP(A17,'Production Plan'!B:S,16,FALSE)</f>
        <v/>
      </c>
      <c r="C17" s="3">
        <f>VLOOKUP(A17,'Production Plan'!B:F,5,FALSE)</f>
        <v/>
      </c>
      <c r="D17" s="3" t="n"/>
      <c r="E17" s="3" t="n"/>
      <c r="F17" s="3" t="n"/>
      <c r="G17" s="3" t="n"/>
      <c r="H17" s="8" t="n"/>
      <c r="I17" s="3" t="n"/>
    </row>
    <row r="18" hidden="1">
      <c r="A18" s="3">
        <f>'Production Plan'!B18</f>
        <v/>
      </c>
      <c r="B18" s="3">
        <f>VLOOKUP(A18,'Production Plan'!B:S,16,FALSE)</f>
        <v/>
      </c>
      <c r="C18" s="3">
        <f>VLOOKUP(A18,'Production Plan'!B:F,5,FALSE)</f>
        <v/>
      </c>
      <c r="D18" s="3" t="n"/>
      <c r="E18" s="3" t="n"/>
      <c r="F18" s="3" t="n"/>
      <c r="G18" s="3" t="n"/>
      <c r="H18" s="8" t="n"/>
      <c r="I18" s="3" t="n"/>
    </row>
    <row r="19" hidden="1">
      <c r="A19" s="3">
        <f>'Production Plan'!B19</f>
        <v/>
      </c>
      <c r="B19" s="3">
        <f>VLOOKUP(A19,'Production Plan'!B:S,16,FALSE)</f>
        <v/>
      </c>
      <c r="C19" s="3">
        <f>VLOOKUP(A19,'Production Plan'!B:F,5,FALSE)</f>
        <v/>
      </c>
      <c r="D19" s="3" t="n"/>
      <c r="E19" s="3" t="n"/>
      <c r="F19" s="3" t="n"/>
      <c r="G19" s="3" t="n"/>
      <c r="H19" s="8" t="n"/>
      <c r="I19" s="3" t="n"/>
    </row>
    <row r="20" hidden="1">
      <c r="A20" s="3">
        <f>'Production Plan'!B20</f>
        <v/>
      </c>
      <c r="B20" s="3">
        <f>VLOOKUP(A20,'Production Plan'!B:S,16,FALSE)</f>
        <v/>
      </c>
      <c r="C20" s="3">
        <f>VLOOKUP(A20,'Production Plan'!B:F,5,FALSE)</f>
        <v/>
      </c>
      <c r="D20" s="3" t="n"/>
      <c r="E20" s="3" t="n"/>
      <c r="F20" s="3" t="n"/>
      <c r="G20" s="3" t="n"/>
      <c r="H20" s="8" t="n"/>
      <c r="I20" s="3" t="n"/>
    </row>
    <row r="21" hidden="1">
      <c r="A21" s="3">
        <f>'Production Plan'!B21</f>
        <v/>
      </c>
      <c r="B21" s="3">
        <f>VLOOKUP(A21,'Production Plan'!B:S,16,FALSE)</f>
        <v/>
      </c>
      <c r="C21" s="3">
        <f>VLOOKUP(A21,'Production Plan'!B:F,5,FALSE)</f>
        <v/>
      </c>
      <c r="D21" s="3" t="n"/>
      <c r="E21" s="3" t="n"/>
      <c r="F21" s="3" t="n"/>
      <c r="G21" s="3" t="n"/>
      <c r="H21" s="8" t="n"/>
      <c r="I21" s="3" t="n"/>
    </row>
    <row r="22" hidden="1">
      <c r="A22" s="3">
        <f>'Production Plan'!B22</f>
        <v/>
      </c>
      <c r="B22" s="3">
        <f>VLOOKUP(A22,'Production Plan'!B:S,16,FALSE)</f>
        <v/>
      </c>
      <c r="C22" s="3">
        <f>VLOOKUP(A22,'Production Plan'!B:F,5,FALSE)</f>
        <v/>
      </c>
      <c r="D22" s="3" t="n"/>
      <c r="E22" s="3" t="n"/>
      <c r="F22" s="3" t="n"/>
      <c r="G22" s="3" t="n"/>
      <c r="H22" s="8" t="n"/>
      <c r="I22" s="3" t="n"/>
    </row>
    <row r="23" hidden="1">
      <c r="A23" s="3">
        <f>'Production Plan'!B23</f>
        <v/>
      </c>
      <c r="B23" s="3">
        <f>VLOOKUP(A23,'Production Plan'!B:S,16,FALSE)</f>
        <v/>
      </c>
      <c r="C23" s="3">
        <f>VLOOKUP(A23,'Production Plan'!B:F,5,FALSE)</f>
        <v/>
      </c>
      <c r="D23" s="3" t="n"/>
      <c r="E23" s="3" t="n"/>
      <c r="F23" s="3" t="n"/>
      <c r="G23" s="3" t="n"/>
      <c r="H23" s="8" t="n"/>
      <c r="I23" s="3" t="n"/>
    </row>
    <row r="24" hidden="1">
      <c r="A24" s="3">
        <f>'Production Plan'!B24</f>
        <v/>
      </c>
      <c r="B24" s="3">
        <f>VLOOKUP(A24,'Production Plan'!B:S,16,FALSE)</f>
        <v/>
      </c>
      <c r="C24" s="3">
        <f>VLOOKUP(A24,'Production Plan'!B:F,5,FALSE)</f>
        <v/>
      </c>
      <c r="D24" s="3" t="n"/>
      <c r="E24" s="3" t="n"/>
      <c r="F24" s="3" t="n"/>
      <c r="G24" s="3" t="n"/>
      <c r="H24" s="8" t="n"/>
      <c r="I24" s="3" t="n"/>
    </row>
    <row r="25" hidden="1">
      <c r="A25" s="3">
        <f>'Production Plan'!B25</f>
        <v/>
      </c>
      <c r="B25" s="3">
        <f>VLOOKUP(A25,'Production Plan'!B:S,16,FALSE)</f>
        <v/>
      </c>
      <c r="C25" s="3">
        <f>VLOOKUP(A25,'Production Plan'!B:F,5,FALSE)</f>
        <v/>
      </c>
      <c r="D25" s="3" t="n"/>
      <c r="E25" s="3" t="n"/>
      <c r="F25" s="3" t="n"/>
      <c r="G25" s="3" t="n"/>
      <c r="H25" s="8" t="n"/>
      <c r="I25" s="3" t="n"/>
    </row>
    <row r="26" hidden="1">
      <c r="A26" s="3">
        <f>'Production Plan'!B26</f>
        <v/>
      </c>
      <c r="B26" s="3">
        <f>VLOOKUP(A26,'Production Plan'!B:S,16,FALSE)</f>
        <v/>
      </c>
      <c r="C26" s="3">
        <f>VLOOKUP(A26,'Production Plan'!B:F,5,FALSE)</f>
        <v/>
      </c>
      <c r="D26" s="3" t="n"/>
      <c r="E26" s="3" t="n"/>
      <c r="F26" s="3" t="n"/>
      <c r="G26" s="3" t="n"/>
      <c r="H26" s="8" t="n"/>
      <c r="I26" s="3" t="n"/>
    </row>
    <row r="27" hidden="1">
      <c r="A27" s="3">
        <f>'Production Plan'!B27</f>
        <v/>
      </c>
      <c r="B27" s="3">
        <f>VLOOKUP(A27,'Production Plan'!B:S,16,FALSE)</f>
        <v/>
      </c>
      <c r="C27" s="3">
        <f>VLOOKUP(A27,'Production Plan'!B:F,5,FALSE)</f>
        <v/>
      </c>
      <c r="D27" s="3" t="n"/>
      <c r="E27" s="3" t="n"/>
      <c r="F27" s="3" t="n"/>
      <c r="G27" s="3" t="n"/>
      <c r="H27" s="8" t="n"/>
      <c r="I27" s="3" t="n"/>
    </row>
    <row r="28" hidden="1">
      <c r="A28" s="3">
        <f>'Production Plan'!B28</f>
        <v/>
      </c>
      <c r="B28" s="3">
        <f>VLOOKUP(A28,'Production Plan'!B:S,16,FALSE)</f>
        <v/>
      </c>
      <c r="C28" s="3">
        <f>VLOOKUP(A28,'Production Plan'!B:F,5,FALSE)</f>
        <v/>
      </c>
      <c r="D28" s="3" t="n"/>
      <c r="E28" s="3" t="n"/>
      <c r="F28" s="3" t="n"/>
      <c r="G28" s="3" t="n"/>
      <c r="H28" s="8" t="n"/>
      <c r="I28" s="3" t="n"/>
    </row>
    <row r="29" hidden="1">
      <c r="A29" s="3">
        <f>'Production Plan'!B29</f>
        <v/>
      </c>
      <c r="B29" s="3">
        <f>VLOOKUP(A29,'Production Plan'!B:S,16,FALSE)</f>
        <v/>
      </c>
      <c r="C29" s="3">
        <f>VLOOKUP(A29,'Production Plan'!B:F,5,FALSE)</f>
        <v/>
      </c>
      <c r="D29" s="3" t="n"/>
      <c r="E29" s="3" t="n"/>
      <c r="F29" s="3" t="n"/>
      <c r="G29" s="3" t="n"/>
      <c r="H29" s="8" t="n"/>
      <c r="I29" s="3" t="n"/>
    </row>
    <row r="30" hidden="1">
      <c r="A30" s="3">
        <f>'Production Plan'!B30</f>
        <v/>
      </c>
      <c r="B30" s="3">
        <f>VLOOKUP(A30,'Production Plan'!B:S,16,FALSE)</f>
        <v/>
      </c>
      <c r="C30" s="3">
        <f>VLOOKUP(A30,'Production Plan'!B:F,5,FALSE)</f>
        <v/>
      </c>
      <c r="D30" s="3" t="n"/>
      <c r="E30" s="3" t="n"/>
      <c r="F30" s="3" t="n"/>
      <c r="G30" s="3" t="n"/>
      <c r="H30" s="8" t="n"/>
      <c r="I30" s="3" t="n"/>
    </row>
    <row r="31" hidden="1">
      <c r="A31" s="3">
        <f>'Production Plan'!B31</f>
        <v/>
      </c>
      <c r="B31" s="3">
        <f>VLOOKUP(A31,'Production Plan'!B:S,16,FALSE)</f>
        <v/>
      </c>
      <c r="C31" s="3">
        <f>VLOOKUP(A31,'Production Plan'!B:F,5,FALSE)</f>
        <v/>
      </c>
      <c r="D31" s="3" t="n"/>
      <c r="E31" s="3" t="n"/>
      <c r="F31" s="3" t="n"/>
      <c r="G31" s="3" t="n"/>
      <c r="H31" s="8" t="n"/>
      <c r="I31" s="3" t="n"/>
    </row>
    <row r="32" hidden="1">
      <c r="A32" s="3">
        <f>'Production Plan'!B32</f>
        <v/>
      </c>
      <c r="B32" s="3">
        <f>VLOOKUP(A32,'Production Plan'!B:S,16,FALSE)</f>
        <v/>
      </c>
      <c r="C32" s="3">
        <f>VLOOKUP(A32,'Production Plan'!B:F,5,FALSE)</f>
        <v/>
      </c>
      <c r="D32" s="3" t="n"/>
      <c r="E32" s="3" t="n"/>
      <c r="F32" s="3" t="n"/>
      <c r="G32" s="3" t="n"/>
      <c r="H32" s="8" t="n"/>
      <c r="I32" s="3" t="n"/>
    </row>
    <row r="33" hidden="1">
      <c r="A33" s="3">
        <f>'Production Plan'!B33</f>
        <v/>
      </c>
      <c r="B33" s="3">
        <f>VLOOKUP(A33,'Production Plan'!B:S,16,FALSE)</f>
        <v/>
      </c>
      <c r="C33" s="3">
        <f>VLOOKUP(A33,'Production Plan'!B:F,5,FALSE)</f>
        <v/>
      </c>
      <c r="D33" s="3" t="n"/>
      <c r="E33" s="3" t="n"/>
      <c r="F33" s="3" t="n"/>
      <c r="G33" s="3" t="n"/>
      <c r="H33" s="8" t="n"/>
      <c r="I33" s="3" t="n"/>
    </row>
    <row r="34" hidden="1">
      <c r="A34" s="3">
        <f>'Production Plan'!B34</f>
        <v/>
      </c>
      <c r="B34" s="3">
        <f>VLOOKUP(A34,'Production Plan'!B:S,16,FALSE)</f>
        <v/>
      </c>
      <c r="C34" s="3">
        <f>VLOOKUP(A34,'Production Plan'!B:F,5,FALSE)</f>
        <v/>
      </c>
      <c r="D34" s="3" t="n"/>
      <c r="E34" s="3" t="n"/>
      <c r="F34" s="3" t="n"/>
      <c r="G34" s="3" t="n"/>
      <c r="H34" s="8" t="n"/>
      <c r="I34" s="3" t="n"/>
    </row>
    <row r="35" hidden="1">
      <c r="A35" s="3">
        <f>'Production Plan'!B35</f>
        <v/>
      </c>
      <c r="B35" s="3">
        <f>VLOOKUP(A35,'Production Plan'!B:S,16,FALSE)</f>
        <v/>
      </c>
      <c r="C35" s="3">
        <f>VLOOKUP(A35,'Production Plan'!B:F,5,FALSE)</f>
        <v/>
      </c>
      <c r="D35" s="3" t="n"/>
      <c r="E35" s="3" t="n"/>
      <c r="F35" s="3" t="n"/>
      <c r="G35" s="3" t="n"/>
      <c r="H35" s="8" t="n"/>
      <c r="I35" s="3" t="n"/>
    </row>
    <row r="36" hidden="1">
      <c r="A36" s="3">
        <f>'Production Plan'!B36</f>
        <v/>
      </c>
      <c r="B36" s="3">
        <f>VLOOKUP(A36,'Production Plan'!B:S,16,FALSE)</f>
        <v/>
      </c>
      <c r="C36" s="3">
        <f>VLOOKUP(A36,'Production Plan'!B:F,5,FALSE)</f>
        <v/>
      </c>
      <c r="D36" s="3" t="n"/>
      <c r="E36" s="3" t="n"/>
      <c r="F36" s="3" t="n"/>
      <c r="G36" s="3" t="n"/>
      <c r="H36" s="8" t="n"/>
      <c r="I36" s="3" t="n"/>
    </row>
    <row r="37" hidden="1">
      <c r="A37" s="3">
        <f>'Production Plan'!B37</f>
        <v/>
      </c>
      <c r="B37" s="3">
        <f>VLOOKUP(A37,'Production Plan'!B:S,16,FALSE)</f>
        <v/>
      </c>
      <c r="C37" s="3">
        <f>VLOOKUP(A37,'Production Plan'!B:F,5,FALSE)</f>
        <v/>
      </c>
      <c r="D37" s="3" t="n"/>
      <c r="E37" s="3" t="n"/>
      <c r="F37" s="3" t="n"/>
      <c r="G37" s="3" t="n"/>
      <c r="H37" s="8" t="n"/>
      <c r="I37" s="3" t="n"/>
    </row>
    <row r="38" hidden="1">
      <c r="A38" s="3">
        <f>'Production Plan'!B38</f>
        <v/>
      </c>
      <c r="B38" s="3">
        <f>VLOOKUP(A38,'Production Plan'!B:S,16,FALSE)</f>
        <v/>
      </c>
      <c r="C38" s="3">
        <f>VLOOKUP(A38,'Production Plan'!B:F,5,FALSE)</f>
        <v/>
      </c>
      <c r="D38" s="3" t="n"/>
      <c r="E38" s="3" t="n"/>
      <c r="F38" s="3" t="n"/>
      <c r="G38" s="3" t="n"/>
      <c r="H38" s="8" t="n"/>
      <c r="I38" s="3" t="n"/>
    </row>
    <row r="39" hidden="1">
      <c r="A39" s="3">
        <f>'Production Plan'!B39</f>
        <v/>
      </c>
      <c r="B39" s="3">
        <f>VLOOKUP(A39,'Production Plan'!B:S,16,FALSE)</f>
        <v/>
      </c>
      <c r="C39" s="3">
        <f>VLOOKUP(A39,'Production Plan'!B:F,5,FALSE)</f>
        <v/>
      </c>
      <c r="D39" s="3" t="n"/>
      <c r="E39" s="3" t="n"/>
      <c r="F39" s="3" t="n"/>
      <c r="G39" s="3" t="n"/>
      <c r="H39" s="8" t="n"/>
      <c r="I39" s="3" t="n"/>
    </row>
    <row r="40" hidden="1">
      <c r="A40" s="3">
        <f>'Production Plan'!B40</f>
        <v/>
      </c>
      <c r="B40" s="3">
        <f>VLOOKUP(A40,'Production Plan'!B:S,16,FALSE)</f>
        <v/>
      </c>
      <c r="C40" s="3">
        <f>VLOOKUP(A40,'Production Plan'!B:F,5,FALSE)</f>
        <v/>
      </c>
      <c r="D40" s="3" t="n"/>
      <c r="E40" s="3" t="n"/>
      <c r="F40" s="3" t="n"/>
      <c r="G40" s="3" t="n"/>
      <c r="H40" s="8" t="n"/>
      <c r="I40" s="3" t="n"/>
    </row>
    <row r="41" hidden="1">
      <c r="A41" s="3">
        <f>'Production Plan'!B41</f>
        <v/>
      </c>
      <c r="B41" s="3">
        <f>VLOOKUP(A41,'Production Plan'!B:S,16,FALSE)</f>
        <v/>
      </c>
      <c r="C41" s="3">
        <f>VLOOKUP(A41,'Production Plan'!B:F,5,FALSE)</f>
        <v/>
      </c>
      <c r="D41" s="3" t="n"/>
      <c r="E41" s="3" t="n"/>
      <c r="F41" s="3" t="n"/>
      <c r="G41" s="3" t="n"/>
      <c r="H41" s="8" t="n"/>
      <c r="I41" s="3" t="n"/>
    </row>
    <row r="42" hidden="1">
      <c r="A42">
        <f>'Production Plan'!B42</f>
        <v/>
      </c>
      <c r="B42">
        <f>VLOOKUP(A42,'Production Plan'!B:S,16,FALSE)</f>
        <v/>
      </c>
      <c r="C42">
        <f>VLOOKUP(A42,'Production Plan'!B:F,5,FALSE)</f>
        <v/>
      </c>
    </row>
    <row r="43" hidden="1">
      <c r="A43">
        <f>'Production Plan'!B43</f>
        <v/>
      </c>
      <c r="B43">
        <f>VLOOKUP(A43,'Production Plan'!B:S,16,FALSE)</f>
        <v/>
      </c>
      <c r="C43">
        <f>VLOOKUP(A43,'Production Plan'!B:F,5,FALSE)</f>
        <v/>
      </c>
    </row>
    <row r="44" hidden="1">
      <c r="A44">
        <f>'Production Plan'!B44</f>
        <v/>
      </c>
      <c r="B44">
        <f>VLOOKUP(A44,'Production Plan'!B:S,16,FALSE)</f>
        <v/>
      </c>
      <c r="C44">
        <f>VLOOKUP(A44,'Production Plan'!B:F,5,FALSE)</f>
        <v/>
      </c>
    </row>
    <row r="45" hidden="1">
      <c r="A45">
        <f>'Production Plan'!B45</f>
        <v/>
      </c>
      <c r="B45">
        <f>VLOOKUP(A45,'Production Plan'!B:S,16,FALSE)</f>
        <v/>
      </c>
      <c r="C45">
        <f>VLOOKUP(A45,'Production Plan'!B:F,5,FALSE)</f>
        <v/>
      </c>
    </row>
    <row r="46" hidden="1">
      <c r="A46">
        <f>'Production Plan'!B46</f>
        <v/>
      </c>
      <c r="B46">
        <f>VLOOKUP(A46,'Production Plan'!B:S,16,FALSE)</f>
        <v/>
      </c>
      <c r="C46">
        <f>VLOOKUP(A46,'Production Plan'!B:F,5,FALSE)</f>
        <v/>
      </c>
    </row>
    <row r="47" hidden="1">
      <c r="A47">
        <f>'Production Plan'!B47</f>
        <v/>
      </c>
      <c r="B47">
        <f>VLOOKUP(A47,'Production Plan'!B:S,16,FALSE)</f>
        <v/>
      </c>
      <c r="C47">
        <f>VLOOKUP(A47,'Production Plan'!B:F,5,FALSE)</f>
        <v/>
      </c>
    </row>
    <row r="48" hidden="1">
      <c r="A48">
        <f>'Production Plan'!B48</f>
        <v/>
      </c>
      <c r="B48">
        <f>VLOOKUP(A48,'Production Plan'!B:S,16,FALSE)</f>
        <v/>
      </c>
      <c r="C48">
        <f>VLOOKUP(A48,'Production Plan'!B:F,5,FALSE)</f>
        <v/>
      </c>
    </row>
    <row r="49" hidden="1">
      <c r="A49">
        <f>'Production Plan'!B49</f>
        <v/>
      </c>
      <c r="B49">
        <f>VLOOKUP(A49,'Production Plan'!B:S,16,FALSE)</f>
        <v/>
      </c>
      <c r="C49">
        <f>VLOOKUP(A49,'Production Plan'!B:F,5,FALSE)</f>
        <v/>
      </c>
    </row>
    <row r="50" hidden="1">
      <c r="A50">
        <f>'Production Plan'!B50</f>
        <v/>
      </c>
      <c r="B50">
        <f>VLOOKUP(A50,'Production Plan'!B:S,16,FALSE)</f>
        <v/>
      </c>
      <c r="C50">
        <f>VLOOKUP(A50,'Production Plan'!B:F,5,FALSE)</f>
        <v/>
      </c>
    </row>
    <row r="51" hidden="1">
      <c r="A51">
        <f>'Production Plan'!B51</f>
        <v/>
      </c>
      <c r="B51">
        <f>VLOOKUP(A51,'Production Plan'!B:S,16,FALSE)</f>
        <v/>
      </c>
      <c r="C51">
        <f>VLOOKUP(A51,'Production Plan'!B:F,5,FALSE)</f>
        <v/>
      </c>
    </row>
    <row r="52" hidden="1">
      <c r="A52">
        <f>'Production Plan'!B52</f>
        <v/>
      </c>
      <c r="B52">
        <f>VLOOKUP(A52,'Production Plan'!B:S,16,FALSE)</f>
        <v/>
      </c>
      <c r="C52">
        <f>VLOOKUP(A52,'Production Plan'!B:F,5,FALSE)</f>
        <v/>
      </c>
    </row>
    <row r="53" hidden="1">
      <c r="A53">
        <f>'Production Plan'!B53</f>
        <v/>
      </c>
      <c r="B53">
        <f>VLOOKUP(A53,'Production Plan'!B:S,16,FALSE)</f>
        <v/>
      </c>
      <c r="C53">
        <f>VLOOKUP(A53,'Production Plan'!B:F,5,FALSE)</f>
        <v/>
      </c>
    </row>
    <row r="54" hidden="1">
      <c r="A54">
        <f>'Production Plan'!B54</f>
        <v/>
      </c>
      <c r="B54">
        <f>VLOOKUP(A54,'Production Plan'!B:S,16,FALSE)</f>
        <v/>
      </c>
      <c r="C54">
        <f>VLOOKUP(A54,'Production Plan'!B:F,5,FALSE)</f>
        <v/>
      </c>
    </row>
    <row r="55" hidden="1">
      <c r="A55">
        <f>'Production Plan'!B55</f>
        <v/>
      </c>
      <c r="B55">
        <f>VLOOKUP(A55,'Production Plan'!B:S,16,FALSE)</f>
        <v/>
      </c>
      <c r="C55">
        <f>VLOOKUP(A55,'Production Plan'!B:F,5,FALSE)</f>
        <v/>
      </c>
    </row>
    <row r="56" hidden="1">
      <c r="A56">
        <f>'Production Plan'!B56</f>
        <v/>
      </c>
      <c r="B56">
        <f>VLOOKUP(A56,'Production Plan'!B:S,16,FALSE)</f>
        <v/>
      </c>
      <c r="C56">
        <f>VLOOKUP(A56,'Production Plan'!B:F,5,FALSE)</f>
        <v/>
      </c>
    </row>
    <row r="57" hidden="1">
      <c r="A57">
        <f>'Production Plan'!B57</f>
        <v/>
      </c>
      <c r="B57">
        <f>VLOOKUP(A57,'Production Plan'!B:S,16,FALSE)</f>
        <v/>
      </c>
      <c r="C57">
        <f>VLOOKUP(A57,'Production Plan'!B:F,5,FALSE)</f>
        <v/>
      </c>
    </row>
    <row r="58" hidden="1">
      <c r="A58">
        <f>'Production Plan'!B58</f>
        <v/>
      </c>
      <c r="B58">
        <f>VLOOKUP(A58,'Production Plan'!B:S,16,FALSE)</f>
        <v/>
      </c>
      <c r="C58">
        <f>VLOOKUP(A58,'Production Plan'!B:F,5,FALSE)</f>
        <v/>
      </c>
    </row>
    <row r="59" hidden="1">
      <c r="A59">
        <f>'Production Plan'!B59</f>
        <v/>
      </c>
      <c r="B59">
        <f>VLOOKUP(A59,'Production Plan'!B:S,16,FALSE)</f>
        <v/>
      </c>
      <c r="C59">
        <f>VLOOKUP(A59,'Production Plan'!B:F,5,FALSE)</f>
        <v/>
      </c>
    </row>
    <row r="60" hidden="1">
      <c r="A60">
        <f>'Production Plan'!B60</f>
        <v/>
      </c>
      <c r="B60">
        <f>VLOOKUP(A60,'Production Plan'!B:S,16,FALSE)</f>
        <v/>
      </c>
      <c r="C60">
        <f>VLOOKUP(A60,'Production Plan'!B:F,5,FALSE)</f>
        <v/>
      </c>
    </row>
    <row r="61" hidden="1">
      <c r="A61">
        <f>'Production Plan'!B61</f>
        <v/>
      </c>
      <c r="B61">
        <f>VLOOKUP(A61,'Production Plan'!B:S,16,FALSE)</f>
        <v/>
      </c>
      <c r="C61">
        <f>VLOOKUP(A61,'Production Plan'!B:F,5,FALSE)</f>
        <v/>
      </c>
    </row>
    <row r="62" hidden="1">
      <c r="A62">
        <f>'Production Plan'!B62</f>
        <v/>
      </c>
      <c r="B62">
        <f>VLOOKUP(A62,'Production Plan'!B:S,16,FALSE)</f>
        <v/>
      </c>
      <c r="C62">
        <f>VLOOKUP(A62,'Production Plan'!B:F,5,FALSE)</f>
        <v/>
      </c>
    </row>
    <row r="63" hidden="1">
      <c r="A63">
        <f>'Production Plan'!B63</f>
        <v/>
      </c>
      <c r="B63">
        <f>VLOOKUP(A63,'Production Plan'!B:S,16,FALSE)</f>
        <v/>
      </c>
      <c r="C63">
        <f>VLOOKUP(A63,'Production Plan'!B:F,5,FALSE)</f>
        <v/>
      </c>
    </row>
    <row r="64" hidden="1">
      <c r="A64">
        <f>'Production Plan'!B64</f>
        <v/>
      </c>
      <c r="B64">
        <f>VLOOKUP(A64,'Production Plan'!B:S,16,FALSE)</f>
        <v/>
      </c>
      <c r="C64">
        <f>VLOOKUP(A64,'Production Plan'!B:F,5,FALSE)</f>
        <v/>
      </c>
    </row>
    <row r="65" hidden="1">
      <c r="A65">
        <f>'Production Plan'!B65</f>
        <v/>
      </c>
      <c r="B65">
        <f>VLOOKUP(A65,'Production Plan'!B:S,16,FALSE)</f>
        <v/>
      </c>
      <c r="C65">
        <f>VLOOKUP(A65,'Production Plan'!B:F,5,FALSE)</f>
        <v/>
      </c>
    </row>
    <row r="66" hidden="1">
      <c r="A66">
        <f>'Production Plan'!B66</f>
        <v/>
      </c>
      <c r="B66">
        <f>VLOOKUP(A66,'Production Plan'!B:S,16,FALSE)</f>
        <v/>
      </c>
      <c r="C66">
        <f>VLOOKUP(A66,'Production Plan'!B:F,5,FALSE)</f>
        <v/>
      </c>
    </row>
    <row r="67" hidden="1">
      <c r="A67">
        <f>'Production Plan'!B67</f>
        <v/>
      </c>
      <c r="B67">
        <f>VLOOKUP(A67,'Production Plan'!B:S,16,FALSE)</f>
        <v/>
      </c>
      <c r="C67">
        <f>VLOOKUP(A67,'Production Plan'!B:F,5,FALSE)</f>
        <v/>
      </c>
    </row>
    <row r="68" hidden="1">
      <c r="A68">
        <f>'Production Plan'!B68</f>
        <v/>
      </c>
      <c r="B68">
        <f>VLOOKUP(A68,'Production Plan'!B:S,16,FALSE)</f>
        <v/>
      </c>
      <c r="C68">
        <f>VLOOKUP(A68,'Production Plan'!B:F,5,FALSE)</f>
        <v/>
      </c>
    </row>
    <row r="69" hidden="1">
      <c r="A69">
        <f>'Production Plan'!B69</f>
        <v/>
      </c>
      <c r="B69">
        <f>VLOOKUP(A69,'Production Plan'!B:S,16,FALSE)</f>
        <v/>
      </c>
      <c r="C69">
        <f>VLOOKUP(A69,'Production Plan'!B:F,5,FALSE)</f>
        <v/>
      </c>
    </row>
    <row r="70" hidden="1">
      <c r="A70">
        <f>'Production Plan'!B70</f>
        <v/>
      </c>
      <c r="B70">
        <f>VLOOKUP(A70,'Production Plan'!B:S,16,FALSE)</f>
        <v/>
      </c>
      <c r="C70">
        <f>VLOOKUP(A70,'Production Plan'!B:F,5,FALSE)</f>
        <v/>
      </c>
    </row>
    <row r="71" hidden="1">
      <c r="A71">
        <f>'Production Plan'!B71</f>
        <v/>
      </c>
      <c r="B71">
        <f>VLOOKUP(A71,'Production Plan'!B:S,16,FALSE)</f>
        <v/>
      </c>
      <c r="C71">
        <f>VLOOKUP(A71,'Production Plan'!B:F,5,FALSE)</f>
        <v/>
      </c>
    </row>
    <row r="72" hidden="1">
      <c r="A72">
        <f>'Production Plan'!B72</f>
        <v/>
      </c>
      <c r="B72">
        <f>VLOOKUP(A72,'Production Plan'!B:S,16,FALSE)</f>
        <v/>
      </c>
      <c r="C72">
        <f>VLOOKUP(A72,'Production Plan'!B:F,5,FALSE)</f>
        <v/>
      </c>
    </row>
    <row r="73" hidden="1">
      <c r="A73">
        <f>'Production Plan'!B73</f>
        <v/>
      </c>
      <c r="B73">
        <f>VLOOKUP(A73,'Production Plan'!B:S,16,FALSE)</f>
        <v/>
      </c>
      <c r="C73">
        <f>VLOOKUP(A73,'Production Plan'!B:F,5,FALSE)</f>
        <v/>
      </c>
    </row>
    <row r="74" hidden="1">
      <c r="A74">
        <f>'Production Plan'!B74</f>
        <v/>
      </c>
      <c r="B74">
        <f>VLOOKUP(A74,'Production Plan'!B:S,16,FALSE)</f>
        <v/>
      </c>
      <c r="C74">
        <f>VLOOKUP(A74,'Production Plan'!B:F,5,FALSE)</f>
        <v/>
      </c>
    </row>
    <row r="75" hidden="1">
      <c r="A75">
        <f>'Production Plan'!B75</f>
        <v/>
      </c>
      <c r="B75">
        <f>VLOOKUP(A75,'Production Plan'!B:S,16,FALSE)</f>
        <v/>
      </c>
      <c r="C75">
        <f>VLOOKUP(A75,'Production Plan'!B:F,5,FALSE)</f>
        <v/>
      </c>
    </row>
    <row r="76" hidden="1">
      <c r="A76">
        <f>'Production Plan'!B76</f>
        <v/>
      </c>
      <c r="B76">
        <f>VLOOKUP(A76,'Production Plan'!B:S,16,FALSE)</f>
        <v/>
      </c>
      <c r="C76">
        <f>VLOOKUP(A76,'Production Plan'!B:F,5,FALSE)</f>
        <v/>
      </c>
    </row>
    <row r="77" hidden="1">
      <c r="A77">
        <f>'Production Plan'!B77</f>
        <v/>
      </c>
      <c r="B77">
        <f>VLOOKUP(A77,'Production Plan'!B:S,16,FALSE)</f>
        <v/>
      </c>
      <c r="C77">
        <f>VLOOKUP(A77,'Production Plan'!B:F,5,FALSE)</f>
        <v/>
      </c>
    </row>
    <row r="78" hidden="1">
      <c r="A78">
        <f>'Production Plan'!B78</f>
        <v/>
      </c>
      <c r="B78">
        <f>VLOOKUP(A78,'Production Plan'!B:S,16,FALSE)</f>
        <v/>
      </c>
      <c r="C78">
        <f>VLOOKUP(A78,'Production Plan'!B:F,5,FALSE)</f>
        <v/>
      </c>
    </row>
    <row r="79" hidden="1">
      <c r="A79">
        <f>'Production Plan'!B79</f>
        <v/>
      </c>
      <c r="B79">
        <f>VLOOKUP(A79,'Production Plan'!B:S,16,FALSE)</f>
        <v/>
      </c>
      <c r="C79">
        <f>VLOOKUP(A79,'Production Plan'!B:F,5,FALSE)</f>
        <v/>
      </c>
    </row>
    <row r="80" hidden="1">
      <c r="A80">
        <f>'Production Plan'!B80</f>
        <v/>
      </c>
      <c r="B80">
        <f>VLOOKUP(A80,'Production Plan'!B:S,16,FALSE)</f>
        <v/>
      </c>
      <c r="C80">
        <f>VLOOKUP(A80,'Production Plan'!B:F,5,FALSE)</f>
        <v/>
      </c>
    </row>
    <row r="81" hidden="1">
      <c r="A81">
        <f>'Production Plan'!B81</f>
        <v/>
      </c>
      <c r="B81">
        <f>VLOOKUP(A81,'Production Plan'!B:S,16,FALSE)</f>
        <v/>
      </c>
      <c r="C81">
        <f>VLOOKUP(A81,'Production Plan'!B:F,5,FALSE)</f>
        <v/>
      </c>
    </row>
    <row r="82" hidden="1">
      <c r="A82">
        <f>'Production Plan'!B82</f>
        <v/>
      </c>
      <c r="B82">
        <f>VLOOKUP(A82,'Production Plan'!B:S,16,FALSE)</f>
        <v/>
      </c>
      <c r="C82">
        <f>VLOOKUP(A82,'Production Plan'!B:F,5,FALSE)</f>
        <v/>
      </c>
    </row>
    <row r="83" hidden="1">
      <c r="A83">
        <f>'Production Plan'!B83</f>
        <v/>
      </c>
      <c r="B83">
        <f>VLOOKUP(A83,'Production Plan'!B:S,16,FALSE)</f>
        <v/>
      </c>
      <c r="C83">
        <f>VLOOKUP(A83,'Production Plan'!B:F,5,FALSE)</f>
        <v/>
      </c>
    </row>
    <row r="84" hidden="1">
      <c r="A84">
        <f>'Production Plan'!B84</f>
        <v/>
      </c>
      <c r="B84">
        <f>VLOOKUP(A84,'Production Plan'!B:S,16,FALSE)</f>
        <v/>
      </c>
      <c r="C84">
        <f>VLOOKUP(A84,'Production Plan'!B:F,5,FALSE)</f>
        <v/>
      </c>
    </row>
    <row r="85" hidden="1">
      <c r="A85">
        <f>'Production Plan'!B85</f>
        <v/>
      </c>
      <c r="B85">
        <f>VLOOKUP(A85,'Production Plan'!B:S,16,FALSE)</f>
        <v/>
      </c>
      <c r="C85">
        <f>VLOOKUP(A85,'Production Plan'!B:F,5,FALSE)</f>
        <v/>
      </c>
    </row>
    <row r="86" hidden="1">
      <c r="A86">
        <f>'Production Plan'!B86</f>
        <v/>
      </c>
      <c r="B86">
        <f>VLOOKUP(A86,'Production Plan'!B:S,16,FALSE)</f>
        <v/>
      </c>
      <c r="C86">
        <f>VLOOKUP(A86,'Production Plan'!B:F,5,FALSE)</f>
        <v/>
      </c>
    </row>
    <row r="87" hidden="1">
      <c r="A87">
        <f>'Production Plan'!B87</f>
        <v/>
      </c>
      <c r="B87">
        <f>VLOOKUP(A87,'Production Plan'!B:S,16,FALSE)</f>
        <v/>
      </c>
      <c r="C87">
        <f>VLOOKUP(A87,'Production Plan'!B:F,5,FALSE)</f>
        <v/>
      </c>
    </row>
    <row r="88" hidden="1">
      <c r="A88">
        <f>'Production Plan'!B88</f>
        <v/>
      </c>
      <c r="B88">
        <f>VLOOKUP(A88,'Production Plan'!B:S,16,FALSE)</f>
        <v/>
      </c>
      <c r="C88">
        <f>VLOOKUP(A88,'Production Plan'!B:F,5,FALSE)</f>
        <v/>
      </c>
    </row>
    <row r="89" hidden="1">
      <c r="A89">
        <f>'Production Plan'!B89</f>
        <v/>
      </c>
      <c r="B89">
        <f>VLOOKUP(A89,'Production Plan'!B:S,16,FALSE)</f>
        <v/>
      </c>
      <c r="C89">
        <f>VLOOKUP(A89,'Production Plan'!B:F,5,FALSE)</f>
        <v/>
      </c>
    </row>
    <row r="90" hidden="1">
      <c r="A90">
        <f>'Production Plan'!B90</f>
        <v/>
      </c>
      <c r="B90">
        <f>VLOOKUP(A90,'Production Plan'!B:S,16,FALSE)</f>
        <v/>
      </c>
      <c r="C90">
        <f>VLOOKUP(A90,'Production Plan'!B:F,5,FALSE)</f>
        <v/>
      </c>
    </row>
    <row r="91" hidden="1">
      <c r="A91">
        <f>'Production Plan'!B91</f>
        <v/>
      </c>
      <c r="B91">
        <f>VLOOKUP(A91,'Production Plan'!B:S,16,FALSE)</f>
        <v/>
      </c>
      <c r="C91">
        <f>VLOOKUP(A91,'Production Plan'!B:F,5,FALSE)</f>
        <v/>
      </c>
    </row>
    <row r="92" hidden="1">
      <c r="A92">
        <f>'Production Plan'!B92</f>
        <v/>
      </c>
      <c r="B92">
        <f>VLOOKUP(A92,'Production Plan'!B:S,16,FALSE)</f>
        <v/>
      </c>
      <c r="C92">
        <f>VLOOKUP(A92,'Production Plan'!B:F,5,FALSE)</f>
        <v/>
      </c>
    </row>
    <row r="93" hidden="1">
      <c r="A93">
        <f>'Production Plan'!B93</f>
        <v/>
      </c>
      <c r="B93">
        <f>VLOOKUP(A93,'Production Plan'!B:S,16,FALSE)</f>
        <v/>
      </c>
      <c r="C93">
        <f>VLOOKUP(A93,'Production Plan'!B:F,5,FALSE)</f>
        <v/>
      </c>
    </row>
    <row r="94" hidden="1">
      <c r="A94">
        <f>'Production Plan'!B94</f>
        <v/>
      </c>
      <c r="B94">
        <f>VLOOKUP(A94,'Production Plan'!B:S,16,FALSE)</f>
        <v/>
      </c>
      <c r="C94">
        <f>VLOOKUP(A94,'Production Plan'!B:F,5,FALSE)</f>
        <v/>
      </c>
    </row>
    <row r="95" hidden="1">
      <c r="A95">
        <f>'Production Plan'!B95</f>
        <v/>
      </c>
      <c r="B95">
        <f>VLOOKUP(A95,'Production Plan'!B:S,16,FALSE)</f>
        <v/>
      </c>
      <c r="C95">
        <f>VLOOKUP(A95,'Production Plan'!B:F,5,FALSE)</f>
        <v/>
      </c>
    </row>
    <row r="96" hidden="1">
      <c r="A96">
        <f>'Production Plan'!B96</f>
        <v/>
      </c>
      <c r="B96">
        <f>VLOOKUP(A96,'Production Plan'!B:S,16,FALSE)</f>
        <v/>
      </c>
      <c r="C96">
        <f>VLOOKUP(A96,'Production Plan'!B:F,5,FALSE)</f>
        <v/>
      </c>
    </row>
    <row r="97" hidden="1">
      <c r="A97">
        <f>'Production Plan'!B97</f>
        <v/>
      </c>
      <c r="B97">
        <f>VLOOKUP(A97,'Production Plan'!B:S,16,FALSE)</f>
        <v/>
      </c>
      <c r="C97">
        <f>VLOOKUP(A97,'Production Plan'!B:F,5,FALSE)</f>
        <v/>
      </c>
    </row>
    <row r="98" hidden="1">
      <c r="A98">
        <f>'Production Plan'!B98</f>
        <v/>
      </c>
      <c r="B98">
        <f>VLOOKUP(A98,'Production Plan'!B:S,16,FALSE)</f>
        <v/>
      </c>
      <c r="C98">
        <f>VLOOKUP(A98,'Production Plan'!B:F,5,FALSE)</f>
        <v/>
      </c>
    </row>
    <row r="99" hidden="1">
      <c r="A99">
        <f>'Production Plan'!B99</f>
        <v/>
      </c>
      <c r="B99">
        <f>VLOOKUP(A99,'Production Plan'!B:S,16,FALSE)</f>
        <v/>
      </c>
      <c r="C99">
        <f>VLOOKUP(A99,'Production Plan'!B:F,5,FALSE)</f>
        <v/>
      </c>
    </row>
    <row r="100" hidden="1">
      <c r="A100">
        <f>'Production Plan'!B100</f>
        <v/>
      </c>
      <c r="B100">
        <f>VLOOKUP(A100,'Production Plan'!B:S,16,FALSE)</f>
        <v/>
      </c>
      <c r="C100">
        <f>VLOOKUP(A100,'Production Plan'!B:F,5,FALSE)</f>
        <v/>
      </c>
    </row>
    <row r="101" hidden="1">
      <c r="A101">
        <f>'Production Plan'!B101</f>
        <v/>
      </c>
      <c r="B101">
        <f>VLOOKUP(A101,'Production Plan'!B:S,16,FALSE)</f>
        <v/>
      </c>
      <c r="C101">
        <f>VLOOKUP(A101,'Production Plan'!B:F,5,FALSE)</f>
        <v/>
      </c>
    </row>
    <row r="102" hidden="1">
      <c r="A102">
        <f>'Production Plan'!B102</f>
        <v/>
      </c>
      <c r="B102">
        <f>VLOOKUP(A102,'Production Plan'!B:S,16,FALSE)</f>
        <v/>
      </c>
      <c r="C102">
        <f>VLOOKUP(A102,'Production Plan'!B:F,5,FALSE)</f>
        <v/>
      </c>
    </row>
    <row r="103" hidden="1">
      <c r="A103">
        <f>'Production Plan'!B103</f>
        <v/>
      </c>
      <c r="B103">
        <f>VLOOKUP(A103,'Production Plan'!B:S,16,FALSE)</f>
        <v/>
      </c>
      <c r="C103">
        <f>VLOOKUP(A103,'Production Plan'!B:F,5,FALSE)</f>
        <v/>
      </c>
    </row>
    <row r="104" hidden="1">
      <c r="A104">
        <f>'Production Plan'!B104</f>
        <v/>
      </c>
      <c r="B104">
        <f>VLOOKUP(A104,'Production Plan'!B:S,16,FALSE)</f>
        <v/>
      </c>
      <c r="C104">
        <f>VLOOKUP(A104,'Production Plan'!B:F,5,FALSE)</f>
        <v/>
      </c>
    </row>
    <row r="105" hidden="1">
      <c r="A105">
        <f>'Production Plan'!B105</f>
        <v/>
      </c>
      <c r="B105">
        <f>VLOOKUP(A105,'Production Plan'!B:S,16,FALSE)</f>
        <v/>
      </c>
      <c r="C105">
        <f>VLOOKUP(A105,'Production Plan'!B:F,5,FALSE)</f>
        <v/>
      </c>
    </row>
    <row r="106" hidden="1">
      <c r="A106">
        <f>'Production Plan'!B106</f>
        <v/>
      </c>
      <c r="B106">
        <f>VLOOKUP(A106,'Production Plan'!B:S,16,FALSE)</f>
        <v/>
      </c>
      <c r="C106">
        <f>VLOOKUP(A106,'Production Plan'!B:F,5,FALSE)</f>
        <v/>
      </c>
    </row>
    <row r="107" hidden="1">
      <c r="A107">
        <f>'Production Plan'!B107</f>
        <v/>
      </c>
      <c r="B107">
        <f>VLOOKUP(A107,'Production Plan'!B:S,16,FALSE)</f>
        <v/>
      </c>
      <c r="C107">
        <f>VLOOKUP(A107,'Production Plan'!B:F,5,FALSE)</f>
        <v/>
      </c>
    </row>
    <row r="108" hidden="1">
      <c r="A108">
        <f>'Production Plan'!B108</f>
        <v/>
      </c>
      <c r="B108">
        <f>VLOOKUP(A108,'Production Plan'!B:S,16,FALSE)</f>
        <v/>
      </c>
      <c r="C108">
        <f>VLOOKUP(A108,'Production Plan'!B:F,5,FALSE)</f>
        <v/>
      </c>
    </row>
    <row r="109" hidden="1">
      <c r="A109">
        <f>'Production Plan'!B109</f>
        <v/>
      </c>
      <c r="B109">
        <f>VLOOKUP(A109,'Production Plan'!B:S,16,FALSE)</f>
        <v/>
      </c>
      <c r="C109">
        <f>VLOOKUP(A109,'Production Plan'!B:F,5,FALSE)</f>
        <v/>
      </c>
    </row>
    <row r="110" hidden="1">
      <c r="A110">
        <f>'Production Plan'!B110</f>
        <v/>
      </c>
      <c r="B110">
        <f>VLOOKUP(A110,'Production Plan'!B:S,16,FALSE)</f>
        <v/>
      </c>
      <c r="C110">
        <f>VLOOKUP(A110,'Production Plan'!B:F,5,FALSE)</f>
        <v/>
      </c>
    </row>
    <row r="111" hidden="1">
      <c r="A111">
        <f>'Production Plan'!B111</f>
        <v/>
      </c>
      <c r="B111">
        <f>VLOOKUP(A111,'Production Plan'!B:S,16,FALSE)</f>
        <v/>
      </c>
      <c r="C111">
        <f>VLOOKUP(A111,'Production Plan'!B:F,5,FALSE)</f>
        <v/>
      </c>
    </row>
    <row r="112" hidden="1">
      <c r="A112">
        <f>'Production Plan'!B112</f>
        <v/>
      </c>
      <c r="B112">
        <f>VLOOKUP(A112,'Production Plan'!B:S,16,FALSE)</f>
        <v/>
      </c>
      <c r="C112">
        <f>VLOOKUP(A112,'Production Plan'!B:F,5,FALSE)</f>
        <v/>
      </c>
    </row>
    <row r="113" hidden="1">
      <c r="A113">
        <f>'Production Plan'!B113</f>
        <v/>
      </c>
      <c r="B113">
        <f>VLOOKUP(A113,'Production Plan'!B:S,16,FALSE)</f>
        <v/>
      </c>
      <c r="C113">
        <f>VLOOKUP(A113,'Production Plan'!B:F,5,FALSE)</f>
        <v/>
      </c>
    </row>
    <row r="114" hidden="1">
      <c r="A114">
        <f>'Production Plan'!B114</f>
        <v/>
      </c>
      <c r="B114">
        <f>VLOOKUP(A114,'Production Plan'!B:S,16,FALSE)</f>
        <v/>
      </c>
      <c r="C114">
        <f>VLOOKUP(A114,'Production Plan'!B:F,5,FALSE)</f>
        <v/>
      </c>
    </row>
    <row r="115" hidden="1">
      <c r="A115">
        <f>'Production Plan'!B115</f>
        <v/>
      </c>
      <c r="B115">
        <f>VLOOKUP(A115,'Production Plan'!B:S,16,FALSE)</f>
        <v/>
      </c>
      <c r="C115">
        <f>VLOOKUP(A115,'Production Plan'!B:F,5,FALSE)</f>
        <v/>
      </c>
    </row>
    <row r="116" hidden="1">
      <c r="A116">
        <f>'Production Plan'!B116</f>
        <v/>
      </c>
      <c r="B116">
        <f>VLOOKUP(A116,'Production Plan'!B:S,16,FALSE)</f>
        <v/>
      </c>
      <c r="C116">
        <f>VLOOKUP(A116,'Production Plan'!B:F,5,FALSE)</f>
        <v/>
      </c>
    </row>
    <row r="117" hidden="1">
      <c r="A117">
        <f>'Production Plan'!B117</f>
        <v/>
      </c>
      <c r="B117">
        <f>VLOOKUP(A117,'Production Plan'!B:S,16,FALSE)</f>
        <v/>
      </c>
      <c r="C117">
        <f>VLOOKUP(A117,'Production Plan'!B:F,5,FALSE)</f>
        <v/>
      </c>
    </row>
    <row r="118" hidden="1">
      <c r="A118">
        <f>'Production Plan'!B118</f>
        <v/>
      </c>
      <c r="B118">
        <f>VLOOKUP(A118,'Production Plan'!B:S,16,FALSE)</f>
        <v/>
      </c>
      <c r="C118">
        <f>VLOOKUP(A118,'Production Plan'!B:F,5,FALSE)</f>
        <v/>
      </c>
    </row>
    <row r="119" hidden="1">
      <c r="A119">
        <f>'Production Plan'!B119</f>
        <v/>
      </c>
      <c r="B119">
        <f>VLOOKUP(A119,'Production Plan'!B:S,16,FALSE)</f>
        <v/>
      </c>
      <c r="C119">
        <f>VLOOKUP(A119,'Production Plan'!B:F,5,FALSE)</f>
        <v/>
      </c>
    </row>
    <row r="120" hidden="1">
      <c r="A120">
        <f>'Production Plan'!B120</f>
        <v/>
      </c>
      <c r="B120">
        <f>VLOOKUP(A120,'Production Plan'!B:S,16,FALSE)</f>
        <v/>
      </c>
      <c r="C120">
        <f>VLOOKUP(A120,'Production Plan'!B:F,5,FALSE)</f>
        <v/>
      </c>
    </row>
    <row r="121" hidden="1">
      <c r="A121">
        <f>'Production Plan'!B121</f>
        <v/>
      </c>
      <c r="B121">
        <f>VLOOKUP(A121,'Production Plan'!B:S,16,FALSE)</f>
        <v/>
      </c>
      <c r="C121">
        <f>VLOOKUP(A121,'Production Plan'!B:F,5,FALSE)</f>
        <v/>
      </c>
    </row>
    <row r="122" hidden="1">
      <c r="A122">
        <f>'Production Plan'!B122</f>
        <v/>
      </c>
      <c r="B122">
        <f>VLOOKUP(A122,'Production Plan'!B:S,16,FALSE)</f>
        <v/>
      </c>
      <c r="C122">
        <f>VLOOKUP(A122,'Production Plan'!B:F,5,FALSE)</f>
        <v/>
      </c>
    </row>
    <row r="123" hidden="1">
      <c r="A123">
        <f>'Production Plan'!B123</f>
        <v/>
      </c>
      <c r="B123">
        <f>VLOOKUP(A123,'Production Plan'!B:S,16,FALSE)</f>
        <v/>
      </c>
      <c r="C123">
        <f>VLOOKUP(A123,'Production Plan'!B:F,5,FALSE)</f>
        <v/>
      </c>
    </row>
    <row r="124" hidden="1">
      <c r="A124">
        <f>'Production Plan'!B124</f>
        <v/>
      </c>
      <c r="B124">
        <f>VLOOKUP(A124,'Production Plan'!B:S,16,FALSE)</f>
        <v/>
      </c>
      <c r="C124">
        <f>VLOOKUP(A124,'Production Plan'!B:F,5,FALSE)</f>
        <v/>
      </c>
    </row>
    <row r="125" hidden="1">
      <c r="A125">
        <f>'Production Plan'!B125</f>
        <v/>
      </c>
      <c r="B125">
        <f>VLOOKUP(A125,'Production Plan'!B:S,16,FALSE)</f>
        <v/>
      </c>
      <c r="C125">
        <f>VLOOKUP(A125,'Production Plan'!B:F,5,FALSE)</f>
        <v/>
      </c>
    </row>
    <row r="126" hidden="1">
      <c r="A126">
        <f>'Production Plan'!B126</f>
        <v/>
      </c>
      <c r="B126">
        <f>VLOOKUP(A126,'Production Plan'!B:S,16,FALSE)</f>
        <v/>
      </c>
      <c r="C126">
        <f>VLOOKUP(A126,'Production Plan'!B:F,5,FALSE)</f>
        <v/>
      </c>
    </row>
    <row r="127" hidden="1">
      <c r="A127">
        <f>'Production Plan'!B127</f>
        <v/>
      </c>
      <c r="B127">
        <f>VLOOKUP(A127,'Production Plan'!B:S,16,FALSE)</f>
        <v/>
      </c>
      <c r="C127">
        <f>VLOOKUP(A127,'Production Plan'!B:F,5,FALSE)</f>
        <v/>
      </c>
    </row>
    <row r="128" hidden="1">
      <c r="A128">
        <f>'Production Plan'!B128</f>
        <v/>
      </c>
      <c r="B128">
        <f>VLOOKUP(A128,'Production Plan'!B:S,16,FALSE)</f>
        <v/>
      </c>
      <c r="C128">
        <f>VLOOKUP(A128,'Production Plan'!B:F,5,FALSE)</f>
        <v/>
      </c>
    </row>
    <row r="129" hidden="1">
      <c r="A129">
        <f>'Production Plan'!B129</f>
        <v/>
      </c>
      <c r="B129">
        <f>VLOOKUP(A129,'Production Plan'!B:S,16,FALSE)</f>
        <v/>
      </c>
      <c r="C129">
        <f>VLOOKUP(A129,'Production Plan'!B:F,5,FALSE)</f>
        <v/>
      </c>
    </row>
    <row r="130" hidden="1">
      <c r="A130">
        <f>'Production Plan'!B130</f>
        <v/>
      </c>
      <c r="B130">
        <f>VLOOKUP(A130,'Production Plan'!B:S,16,FALSE)</f>
        <v/>
      </c>
      <c r="C130">
        <f>VLOOKUP(A130,'Production Plan'!B:F,5,FALSE)</f>
        <v/>
      </c>
    </row>
    <row r="131" hidden="1">
      <c r="A131">
        <f>'Production Plan'!B131</f>
        <v/>
      </c>
      <c r="B131">
        <f>VLOOKUP(A131,'Production Plan'!B:S,16,FALSE)</f>
        <v/>
      </c>
      <c r="C131">
        <f>VLOOKUP(A131,'Production Plan'!B:F,5,FALSE)</f>
        <v/>
      </c>
    </row>
    <row r="132" hidden="1">
      <c r="A132">
        <f>'Production Plan'!B132</f>
        <v/>
      </c>
      <c r="B132">
        <f>VLOOKUP(A132,'Production Plan'!B:S,16,FALSE)</f>
        <v/>
      </c>
      <c r="C132">
        <f>VLOOKUP(A132,'Production Plan'!B:F,5,FALSE)</f>
        <v/>
      </c>
    </row>
    <row r="133" hidden="1">
      <c r="A133">
        <f>'Production Plan'!B133</f>
        <v/>
      </c>
      <c r="B133">
        <f>VLOOKUP(A133,'Production Plan'!B:S,16,FALSE)</f>
        <v/>
      </c>
      <c r="C133">
        <f>VLOOKUP(A133,'Production Plan'!B:F,5,FALSE)</f>
        <v/>
      </c>
    </row>
    <row r="134" hidden="1">
      <c r="A134">
        <f>'Production Plan'!B134</f>
        <v/>
      </c>
      <c r="B134">
        <f>VLOOKUP(A134,'Production Plan'!B:S,16,FALSE)</f>
        <v/>
      </c>
      <c r="C134">
        <f>VLOOKUP(A134,'Production Plan'!B:F,5,FALSE)</f>
        <v/>
      </c>
    </row>
    <row r="135" hidden="1">
      <c r="A135">
        <f>'Production Plan'!B135</f>
        <v/>
      </c>
      <c r="B135">
        <f>VLOOKUP(A135,'Production Plan'!B:S,16,FALSE)</f>
        <v/>
      </c>
      <c r="C135">
        <f>VLOOKUP(A135,'Production Plan'!B:F,5,FALSE)</f>
        <v/>
      </c>
    </row>
    <row r="136" hidden="1">
      <c r="A136">
        <f>'Production Plan'!B136</f>
        <v/>
      </c>
      <c r="B136">
        <f>VLOOKUP(A136,'Production Plan'!B:S,16,FALSE)</f>
        <v/>
      </c>
      <c r="C136">
        <f>VLOOKUP(A136,'Production Plan'!B:F,5,FALSE)</f>
        <v/>
      </c>
    </row>
    <row r="137" hidden="1">
      <c r="A137">
        <f>'Production Plan'!B137</f>
        <v/>
      </c>
      <c r="B137">
        <f>VLOOKUP(A137,'Production Plan'!B:S,16,FALSE)</f>
        <v/>
      </c>
      <c r="C137">
        <f>VLOOKUP(A137,'Production Plan'!B:F,5,FALSE)</f>
        <v/>
      </c>
    </row>
    <row r="138" hidden="1">
      <c r="A138">
        <f>'Production Plan'!B138</f>
        <v/>
      </c>
      <c r="B138">
        <f>VLOOKUP(A138,'Production Plan'!B:S,16,FALSE)</f>
        <v/>
      </c>
      <c r="C138">
        <f>VLOOKUP(A138,'Production Plan'!B:F,5,FALSE)</f>
        <v/>
      </c>
    </row>
    <row r="139" hidden="1">
      <c r="A139">
        <f>'Production Plan'!B139</f>
        <v/>
      </c>
      <c r="B139">
        <f>VLOOKUP(A139,'Production Plan'!B:S,16,FALSE)</f>
        <v/>
      </c>
      <c r="C139">
        <f>VLOOKUP(A139,'Production Plan'!B:F,5,FALSE)</f>
        <v/>
      </c>
    </row>
    <row r="140" hidden="1">
      <c r="A140">
        <f>'Production Plan'!B140</f>
        <v/>
      </c>
      <c r="B140">
        <f>VLOOKUP(A140,'Production Plan'!B:S,16,FALSE)</f>
        <v/>
      </c>
      <c r="C140">
        <f>VLOOKUP(A140,'Production Plan'!B:F,5,FALSE)</f>
        <v/>
      </c>
    </row>
    <row r="141" hidden="1">
      <c r="A141">
        <f>'Production Plan'!B141</f>
        <v/>
      </c>
      <c r="B141">
        <f>VLOOKUP(A141,'Production Plan'!B:S,16,FALSE)</f>
        <v/>
      </c>
      <c r="C141">
        <f>VLOOKUP(A141,'Production Plan'!B:F,5,FALSE)</f>
        <v/>
      </c>
    </row>
    <row r="142" hidden="1">
      <c r="A142">
        <f>'Production Plan'!B142</f>
        <v/>
      </c>
      <c r="B142">
        <f>VLOOKUP(A142,'Production Plan'!B:S,16,FALSE)</f>
        <v/>
      </c>
      <c r="C142">
        <f>VLOOKUP(A142,'Production Plan'!B:F,5,FALSE)</f>
        <v/>
      </c>
    </row>
    <row r="143" hidden="1">
      <c r="A143">
        <f>'Production Plan'!B143</f>
        <v/>
      </c>
      <c r="B143">
        <f>VLOOKUP(A143,'Production Plan'!B:S,16,FALSE)</f>
        <v/>
      </c>
      <c r="C143">
        <f>VLOOKUP(A143,'Production Plan'!B:F,5,FALSE)</f>
        <v/>
      </c>
    </row>
    <row r="144" hidden="1">
      <c r="A144">
        <f>'Production Plan'!B144</f>
        <v/>
      </c>
      <c r="B144">
        <f>VLOOKUP(A144,'Production Plan'!B:S,16,FALSE)</f>
        <v/>
      </c>
      <c r="C144">
        <f>VLOOKUP(A144,'Production Plan'!B:F,5,FALSE)</f>
        <v/>
      </c>
    </row>
    <row r="145" hidden="1">
      <c r="A145">
        <f>'Production Plan'!B145</f>
        <v/>
      </c>
      <c r="B145">
        <f>VLOOKUP(A145,'Production Plan'!B:S,16,FALSE)</f>
        <v/>
      </c>
      <c r="C145">
        <f>VLOOKUP(A145,'Production Plan'!B:F,5,FALSE)</f>
        <v/>
      </c>
    </row>
    <row r="146" hidden="1">
      <c r="A146">
        <f>'Production Plan'!B146</f>
        <v/>
      </c>
      <c r="B146">
        <f>VLOOKUP(A146,'Production Plan'!B:S,16,FALSE)</f>
        <v/>
      </c>
      <c r="C146">
        <f>VLOOKUP(A146,'Production Plan'!B:F,5,FALSE)</f>
        <v/>
      </c>
    </row>
    <row r="147" hidden="1">
      <c r="A147">
        <f>'Production Plan'!B147</f>
        <v/>
      </c>
      <c r="B147">
        <f>VLOOKUP(A147,'Production Plan'!B:S,16,FALSE)</f>
        <v/>
      </c>
      <c r="C147">
        <f>VLOOKUP(A147,'Production Plan'!B:F,5,FALSE)</f>
        <v/>
      </c>
    </row>
    <row r="148" hidden="1">
      <c r="A148">
        <f>'Production Plan'!B148</f>
        <v/>
      </c>
      <c r="B148">
        <f>VLOOKUP(A148,'Production Plan'!B:S,16,FALSE)</f>
        <v/>
      </c>
      <c r="C148">
        <f>VLOOKUP(A148,'Production Plan'!B:F,5,FALSE)</f>
        <v/>
      </c>
    </row>
    <row r="149" hidden="1">
      <c r="A149">
        <f>'Production Plan'!B149</f>
        <v/>
      </c>
      <c r="B149">
        <f>VLOOKUP(A149,'Production Plan'!B:S,16,FALSE)</f>
        <v/>
      </c>
      <c r="C149">
        <f>VLOOKUP(A149,'Production Plan'!B:F,5,FALSE)</f>
        <v/>
      </c>
    </row>
    <row r="150" hidden="1">
      <c r="A150">
        <f>'Production Plan'!B150</f>
        <v/>
      </c>
      <c r="B150">
        <f>VLOOKUP(A150,'Production Plan'!B:S,16,FALSE)</f>
        <v/>
      </c>
      <c r="C150">
        <f>VLOOKUP(A150,'Production Plan'!B:F,5,FALSE)</f>
        <v/>
      </c>
    </row>
    <row r="151" hidden="1">
      <c r="A151">
        <f>'Production Plan'!B151</f>
        <v/>
      </c>
      <c r="B151">
        <f>VLOOKUP(A151,'Production Plan'!B:S,16,FALSE)</f>
        <v/>
      </c>
      <c r="C151">
        <f>VLOOKUP(A151,'Production Plan'!B:F,5,FALSE)</f>
        <v/>
      </c>
    </row>
    <row r="152" hidden="1">
      <c r="A152">
        <f>'Production Plan'!B152</f>
        <v/>
      </c>
      <c r="B152">
        <f>VLOOKUP(A152,'Production Plan'!B:S,16,FALSE)</f>
        <v/>
      </c>
      <c r="C152">
        <f>VLOOKUP(A152,'Production Plan'!B:F,5,FALSE)</f>
        <v/>
      </c>
    </row>
    <row r="153" hidden="1">
      <c r="A153">
        <f>'Production Plan'!B153</f>
        <v/>
      </c>
      <c r="B153">
        <f>VLOOKUP(A153,'Production Plan'!B:S,16,FALSE)</f>
        <v/>
      </c>
      <c r="C153">
        <f>VLOOKUP(A153,'Production Plan'!B:F,5,FALSE)</f>
        <v/>
      </c>
    </row>
    <row r="154" hidden="1">
      <c r="A154">
        <f>'Production Plan'!B154</f>
        <v/>
      </c>
      <c r="B154">
        <f>VLOOKUP(A154,'Production Plan'!B:S,16,FALSE)</f>
        <v/>
      </c>
      <c r="C154">
        <f>VLOOKUP(A154,'Production Plan'!B:F,5,FALSE)</f>
        <v/>
      </c>
    </row>
    <row r="155" hidden="1">
      <c r="A155">
        <f>'Production Plan'!B155</f>
        <v/>
      </c>
      <c r="B155">
        <f>VLOOKUP(A155,'Production Plan'!B:S,16,FALSE)</f>
        <v/>
      </c>
      <c r="C155">
        <f>VLOOKUP(A155,'Production Plan'!B:F,5,FALSE)</f>
        <v/>
      </c>
    </row>
    <row r="156" hidden="1">
      <c r="A156">
        <f>'Production Plan'!B156</f>
        <v/>
      </c>
      <c r="B156">
        <f>VLOOKUP(A156,'Production Plan'!B:S,16,FALSE)</f>
        <v/>
      </c>
      <c r="C156">
        <f>VLOOKUP(A156,'Production Plan'!B:F,5,FALSE)</f>
        <v/>
      </c>
    </row>
    <row r="157" hidden="1">
      <c r="A157">
        <f>'Production Plan'!B157</f>
        <v/>
      </c>
      <c r="B157">
        <f>VLOOKUP(A157,'Production Plan'!B:S,16,FALSE)</f>
        <v/>
      </c>
      <c r="C157">
        <f>VLOOKUP(A157,'Production Plan'!B:F,5,FALSE)</f>
        <v/>
      </c>
    </row>
    <row r="158" hidden="1">
      <c r="A158">
        <f>'Production Plan'!B158</f>
        <v/>
      </c>
      <c r="B158">
        <f>VLOOKUP(A158,'Production Plan'!B:S,16,FALSE)</f>
        <v/>
      </c>
      <c r="C158">
        <f>VLOOKUP(A158,'Production Plan'!B:F,5,FALSE)</f>
        <v/>
      </c>
    </row>
    <row r="159" hidden="1">
      <c r="A159">
        <f>'Production Plan'!B159</f>
        <v/>
      </c>
      <c r="B159">
        <f>VLOOKUP(A159,'Production Plan'!B:S,16,FALSE)</f>
        <v/>
      </c>
      <c r="C159">
        <f>VLOOKUP(A159,'Production Plan'!B:F,5,FALSE)</f>
        <v/>
      </c>
    </row>
    <row r="160" hidden="1">
      <c r="A160">
        <f>'Production Plan'!B160</f>
        <v/>
      </c>
      <c r="B160">
        <f>VLOOKUP(A160,'Production Plan'!B:S,16,FALSE)</f>
        <v/>
      </c>
      <c r="C160">
        <f>VLOOKUP(A160,'Production Plan'!B:F,5,FALSE)</f>
        <v/>
      </c>
    </row>
    <row r="161" hidden="1">
      <c r="A161">
        <f>'Production Plan'!B161</f>
        <v/>
      </c>
      <c r="B161">
        <f>VLOOKUP(A161,'Production Plan'!B:S,16,FALSE)</f>
        <v/>
      </c>
      <c r="C161">
        <f>VLOOKUP(A161,'Production Plan'!B:F,5,FALSE)</f>
        <v/>
      </c>
    </row>
    <row r="162" hidden="1">
      <c r="A162">
        <f>'Production Plan'!B162</f>
        <v/>
      </c>
      <c r="B162">
        <f>VLOOKUP(A162,'Production Plan'!B:S,16,FALSE)</f>
        <v/>
      </c>
      <c r="C162">
        <f>VLOOKUP(A162,'Production Plan'!B:F,5,FALSE)</f>
        <v/>
      </c>
    </row>
    <row r="163" hidden="1">
      <c r="A163">
        <f>'Production Plan'!B163</f>
        <v/>
      </c>
      <c r="B163">
        <f>VLOOKUP(A163,'Production Plan'!B:S,16,FALSE)</f>
        <v/>
      </c>
      <c r="C163">
        <f>VLOOKUP(A163,'Production Plan'!B:F,5,FALSE)</f>
        <v/>
      </c>
    </row>
    <row r="164" hidden="1">
      <c r="A164">
        <f>'Production Plan'!B164</f>
        <v/>
      </c>
      <c r="B164">
        <f>VLOOKUP(A164,'Production Plan'!B:S,16,FALSE)</f>
        <v/>
      </c>
      <c r="C164">
        <f>VLOOKUP(A164,'Production Plan'!B:F,5,FALSE)</f>
        <v/>
      </c>
    </row>
    <row r="165" hidden="1">
      <c r="A165">
        <f>'Production Plan'!B165</f>
        <v/>
      </c>
      <c r="B165">
        <f>VLOOKUP(A165,'Production Plan'!B:S,16,FALSE)</f>
        <v/>
      </c>
      <c r="C165">
        <f>VLOOKUP(A165,'Production Plan'!B:F,5,FALSE)</f>
        <v/>
      </c>
    </row>
    <row r="166" hidden="1">
      <c r="A166">
        <f>'Production Plan'!B166</f>
        <v/>
      </c>
      <c r="B166">
        <f>VLOOKUP(A166,'Production Plan'!B:S,16,FALSE)</f>
        <v/>
      </c>
      <c r="C166">
        <f>VLOOKUP(A166,'Production Plan'!B:F,5,FALSE)</f>
        <v/>
      </c>
    </row>
    <row r="167" hidden="1">
      <c r="A167">
        <f>'Production Plan'!B167</f>
        <v/>
      </c>
      <c r="B167">
        <f>VLOOKUP(A167,'Production Plan'!B:S,16,FALSE)</f>
        <v/>
      </c>
      <c r="C167">
        <f>VLOOKUP(A167,'Production Plan'!B:F,5,FALSE)</f>
        <v/>
      </c>
    </row>
    <row r="168" hidden="1">
      <c r="A168">
        <f>'Production Plan'!B168</f>
        <v/>
      </c>
      <c r="B168">
        <f>VLOOKUP(A168,'Production Plan'!B:S,16,FALSE)</f>
        <v/>
      </c>
      <c r="C168">
        <f>VLOOKUP(A168,'Production Plan'!B:F,5,FALSE)</f>
        <v/>
      </c>
    </row>
    <row r="169" hidden="1">
      <c r="A169">
        <f>'Production Plan'!B169</f>
        <v/>
      </c>
      <c r="B169">
        <f>VLOOKUP(A169,'Production Plan'!B:S,16,FALSE)</f>
        <v/>
      </c>
      <c r="C169">
        <f>VLOOKUP(A169,'Production Plan'!B:F,5,FALSE)</f>
        <v/>
      </c>
    </row>
    <row r="170" hidden="1">
      <c r="A170">
        <f>'Production Plan'!B170</f>
        <v/>
      </c>
      <c r="B170">
        <f>VLOOKUP(A170,'Production Plan'!B:S,16,FALSE)</f>
        <v/>
      </c>
      <c r="C170">
        <f>VLOOKUP(A170,'Production Plan'!B:F,5,FALSE)</f>
        <v/>
      </c>
    </row>
    <row r="171" hidden="1">
      <c r="A171">
        <f>'Production Plan'!B171</f>
        <v/>
      </c>
      <c r="B171">
        <f>VLOOKUP(A171,'Production Plan'!B:S,16,FALSE)</f>
        <v/>
      </c>
      <c r="C171">
        <f>VLOOKUP(A171,'Production Plan'!B:F,5,FALSE)</f>
        <v/>
      </c>
    </row>
    <row r="172" hidden="1">
      <c r="A172">
        <f>'Production Plan'!B172</f>
        <v/>
      </c>
      <c r="B172">
        <f>VLOOKUP(A172,'Production Plan'!B:S,16,FALSE)</f>
        <v/>
      </c>
      <c r="C172">
        <f>VLOOKUP(A172,'Production Plan'!B:F,5,FALSE)</f>
        <v/>
      </c>
    </row>
    <row r="173" hidden="1">
      <c r="A173">
        <f>'Production Plan'!B173</f>
        <v/>
      </c>
      <c r="B173">
        <f>VLOOKUP(A173,'Production Plan'!B:S,16,FALSE)</f>
        <v/>
      </c>
      <c r="C173">
        <f>VLOOKUP(A173,'Production Plan'!B:F,5,FALSE)</f>
        <v/>
      </c>
    </row>
    <row r="174" hidden="1">
      <c r="A174">
        <f>'Production Plan'!B174</f>
        <v/>
      </c>
      <c r="B174">
        <f>VLOOKUP(A174,'Production Plan'!B:S,16,FALSE)</f>
        <v/>
      </c>
      <c r="C174">
        <f>VLOOKUP(A174,'Production Plan'!B:F,5,FALSE)</f>
        <v/>
      </c>
    </row>
    <row r="175" hidden="1">
      <c r="A175">
        <f>'Production Plan'!B175</f>
        <v/>
      </c>
      <c r="B175">
        <f>VLOOKUP(A175,'Production Plan'!B:S,16,FALSE)</f>
        <v/>
      </c>
      <c r="C175">
        <f>VLOOKUP(A175,'Production Plan'!B:F,5,FALSE)</f>
        <v/>
      </c>
    </row>
    <row r="176" hidden="1">
      <c r="A176">
        <f>'Production Plan'!B176</f>
        <v/>
      </c>
      <c r="B176">
        <f>VLOOKUP(A176,'Production Plan'!B:S,16,FALSE)</f>
        <v/>
      </c>
      <c r="C176">
        <f>VLOOKUP(A176,'Production Plan'!B:F,5,FALSE)</f>
        <v/>
      </c>
    </row>
    <row r="177" hidden="1">
      <c r="A177">
        <f>'Production Plan'!B177</f>
        <v/>
      </c>
      <c r="B177">
        <f>VLOOKUP(A177,'Production Plan'!B:S,16,FALSE)</f>
        <v/>
      </c>
      <c r="C177">
        <f>VLOOKUP(A177,'Production Plan'!B:F,5,FALSE)</f>
        <v/>
      </c>
    </row>
    <row r="178" hidden="1">
      <c r="A178">
        <f>'Production Plan'!B178</f>
        <v/>
      </c>
      <c r="B178">
        <f>VLOOKUP(A178,'Production Plan'!B:S,16,FALSE)</f>
        <v/>
      </c>
      <c r="C178">
        <f>VLOOKUP(A178,'Production Plan'!B:F,5,FALSE)</f>
        <v/>
      </c>
    </row>
    <row r="179" hidden="1">
      <c r="A179">
        <f>'Production Plan'!B179</f>
        <v/>
      </c>
      <c r="B179">
        <f>VLOOKUP(A179,'Production Plan'!B:S,16,FALSE)</f>
        <v/>
      </c>
      <c r="C179">
        <f>VLOOKUP(A179,'Production Plan'!B:F,5,FALSE)</f>
        <v/>
      </c>
    </row>
    <row r="180" hidden="1">
      <c r="A180">
        <f>'Production Plan'!B180</f>
        <v/>
      </c>
      <c r="B180">
        <f>VLOOKUP(A180,'Production Plan'!B:S,16,FALSE)</f>
        <v/>
      </c>
      <c r="C180">
        <f>VLOOKUP(A180,'Production Plan'!B:F,5,FALSE)</f>
        <v/>
      </c>
    </row>
    <row r="181" hidden="1">
      <c r="A181">
        <f>'Production Plan'!B181</f>
        <v/>
      </c>
      <c r="B181">
        <f>VLOOKUP(A181,'Production Plan'!B:S,16,FALSE)</f>
        <v/>
      </c>
      <c r="C181">
        <f>VLOOKUP(A181,'Production Plan'!B:F,5,FALSE)</f>
        <v/>
      </c>
    </row>
    <row r="182" hidden="1">
      <c r="A182">
        <f>'Production Plan'!B182</f>
        <v/>
      </c>
      <c r="B182">
        <f>VLOOKUP(A182,'Production Plan'!B:S,16,FALSE)</f>
        <v/>
      </c>
      <c r="C182">
        <f>VLOOKUP(A182,'Production Plan'!B:F,5,FALSE)</f>
        <v/>
      </c>
    </row>
    <row r="183" hidden="1">
      <c r="A183">
        <f>'Production Plan'!B183</f>
        <v/>
      </c>
      <c r="B183">
        <f>VLOOKUP(A183,'Production Plan'!B:S,16,FALSE)</f>
        <v/>
      </c>
      <c r="C183">
        <f>VLOOKUP(A183,'Production Plan'!B:F,5,FALSE)</f>
        <v/>
      </c>
    </row>
    <row r="184" hidden="1">
      <c r="A184">
        <f>'Production Plan'!B184</f>
        <v/>
      </c>
      <c r="B184">
        <f>VLOOKUP(A184,'Production Plan'!B:S,16,FALSE)</f>
        <v/>
      </c>
      <c r="C184">
        <f>VLOOKUP(A184,'Production Plan'!B:F,5,FALSE)</f>
        <v/>
      </c>
    </row>
    <row r="185" hidden="1">
      <c r="A185">
        <f>'Production Plan'!B185</f>
        <v/>
      </c>
      <c r="B185">
        <f>VLOOKUP(A185,'Production Plan'!B:S,16,FALSE)</f>
        <v/>
      </c>
      <c r="C185">
        <f>VLOOKUP(A185,'Production Plan'!B:F,5,FALSE)</f>
        <v/>
      </c>
    </row>
    <row r="186" hidden="1">
      <c r="A186">
        <f>'Production Plan'!B186</f>
        <v/>
      </c>
      <c r="B186">
        <f>VLOOKUP(A186,'Production Plan'!B:S,16,FALSE)</f>
        <v/>
      </c>
      <c r="C186">
        <f>VLOOKUP(A186,'Production Plan'!B:F,5,FALSE)</f>
        <v/>
      </c>
    </row>
    <row r="187" hidden="1">
      <c r="A187">
        <f>'Production Plan'!B187</f>
        <v/>
      </c>
      <c r="B187">
        <f>VLOOKUP(A187,'Production Plan'!B:S,16,FALSE)</f>
        <v/>
      </c>
      <c r="C187">
        <f>VLOOKUP(A187,'Production Plan'!B:F,5,FALSE)</f>
        <v/>
      </c>
    </row>
    <row r="188" hidden="1">
      <c r="A188">
        <f>'Production Plan'!B188</f>
        <v/>
      </c>
      <c r="B188">
        <f>VLOOKUP(A188,'Production Plan'!B:S,16,FALSE)</f>
        <v/>
      </c>
      <c r="C188">
        <f>VLOOKUP(A188,'Production Plan'!B:F,5,FALSE)</f>
        <v/>
      </c>
    </row>
    <row r="189" hidden="1">
      <c r="A189">
        <f>'Production Plan'!B189</f>
        <v/>
      </c>
      <c r="B189">
        <f>VLOOKUP(A189,'Production Plan'!B:S,16,FALSE)</f>
        <v/>
      </c>
      <c r="C189">
        <f>VLOOKUP(A189,'Production Plan'!B:F,5,FALSE)</f>
        <v/>
      </c>
    </row>
    <row r="190" hidden="1">
      <c r="A190">
        <f>'Production Plan'!B190</f>
        <v/>
      </c>
      <c r="B190">
        <f>VLOOKUP(A190,'Production Plan'!B:S,16,FALSE)</f>
        <v/>
      </c>
      <c r="C190">
        <f>VLOOKUP(A190,'Production Plan'!B:F,5,FALSE)</f>
        <v/>
      </c>
    </row>
    <row r="191" hidden="1">
      <c r="A191">
        <f>'Production Plan'!B191</f>
        <v/>
      </c>
      <c r="B191">
        <f>VLOOKUP(A191,'Production Plan'!B:S,16,FALSE)</f>
        <v/>
      </c>
      <c r="C191">
        <f>VLOOKUP(A191,'Production Plan'!B:F,5,FALSE)</f>
        <v/>
      </c>
    </row>
    <row r="192" hidden="1">
      <c r="A192">
        <f>'Production Plan'!B192</f>
        <v/>
      </c>
      <c r="B192">
        <f>VLOOKUP(A192,'Production Plan'!B:S,16,FALSE)</f>
        <v/>
      </c>
      <c r="C192">
        <f>VLOOKUP(A192,'Production Plan'!B:F,5,FALSE)</f>
        <v/>
      </c>
    </row>
    <row r="193" hidden="1">
      <c r="A193">
        <f>'Production Plan'!B193</f>
        <v/>
      </c>
      <c r="B193">
        <f>VLOOKUP(A193,'Production Plan'!B:S,16,FALSE)</f>
        <v/>
      </c>
      <c r="C193">
        <f>VLOOKUP(A193,'Production Plan'!B:F,5,FALSE)</f>
        <v/>
      </c>
    </row>
    <row r="194" hidden="1">
      <c r="A194">
        <f>'Production Plan'!B194</f>
        <v/>
      </c>
      <c r="B194">
        <f>VLOOKUP(A194,'Production Plan'!B:S,16,FALSE)</f>
        <v/>
      </c>
      <c r="C194">
        <f>VLOOKUP(A194,'Production Plan'!B:F,5,FALSE)</f>
        <v/>
      </c>
    </row>
    <row r="195" hidden="1">
      <c r="A195">
        <f>'Production Plan'!B195</f>
        <v/>
      </c>
      <c r="B195">
        <f>VLOOKUP(A195,'Production Plan'!B:S,16,FALSE)</f>
        <v/>
      </c>
      <c r="C195">
        <f>VLOOKUP(A195,'Production Plan'!B:F,5,FALSE)</f>
        <v/>
      </c>
    </row>
    <row r="196" hidden="1">
      <c r="A196">
        <f>'Production Plan'!B196</f>
        <v/>
      </c>
      <c r="B196">
        <f>VLOOKUP(A196,'Production Plan'!B:S,16,FALSE)</f>
        <v/>
      </c>
      <c r="C196">
        <f>VLOOKUP(A196,'Production Plan'!B:F,5,FALSE)</f>
        <v/>
      </c>
    </row>
    <row r="197" hidden="1">
      <c r="A197">
        <f>'Production Plan'!B197</f>
        <v/>
      </c>
      <c r="B197">
        <f>VLOOKUP(A197,'Production Plan'!B:S,16,FALSE)</f>
        <v/>
      </c>
      <c r="C197">
        <f>VLOOKUP(A197,'Production Plan'!B:F,5,FALSE)</f>
        <v/>
      </c>
    </row>
    <row r="198" hidden="1">
      <c r="A198">
        <f>'Production Plan'!B198</f>
        <v/>
      </c>
      <c r="B198">
        <f>VLOOKUP(A198,'Production Plan'!B:S,16,FALSE)</f>
        <v/>
      </c>
      <c r="C198">
        <f>VLOOKUP(A198,'Production Plan'!B:F,5,FALSE)</f>
        <v/>
      </c>
    </row>
    <row r="199" hidden="1">
      <c r="A199">
        <f>'Production Plan'!B199</f>
        <v/>
      </c>
      <c r="B199">
        <f>VLOOKUP(A199,'Production Plan'!B:S,16,FALSE)</f>
        <v/>
      </c>
      <c r="C199">
        <f>VLOOKUP(A199,'Production Plan'!B:F,5,FALSE)</f>
        <v/>
      </c>
    </row>
    <row r="200" hidden="1">
      <c r="A200">
        <f>'Production Plan'!B200</f>
        <v/>
      </c>
      <c r="B200">
        <f>VLOOKUP(A200,'Production Plan'!B:S,16,FALSE)</f>
        <v/>
      </c>
      <c r="C200">
        <f>VLOOKUP(A200,'Production Plan'!B:F,5,FALSE)</f>
        <v/>
      </c>
    </row>
    <row r="201" hidden="1">
      <c r="A201">
        <f>'Production Plan'!B201</f>
        <v/>
      </c>
      <c r="B201">
        <f>VLOOKUP(A201,'Production Plan'!B:S,16,FALSE)</f>
        <v/>
      </c>
      <c r="C201">
        <f>VLOOKUP(A201,'Production Plan'!B:F,5,FALSE)</f>
        <v/>
      </c>
    </row>
    <row r="202" hidden="1">
      <c r="A202">
        <f>'Production Plan'!B202</f>
        <v/>
      </c>
      <c r="B202">
        <f>VLOOKUP(A202,'Production Plan'!B:S,16,FALSE)</f>
        <v/>
      </c>
      <c r="C202">
        <f>VLOOKUP(A202,'Production Plan'!B:F,5,FALSE)</f>
        <v/>
      </c>
    </row>
    <row r="203" hidden="1">
      <c r="A203">
        <f>'Production Plan'!B203</f>
        <v/>
      </c>
      <c r="B203">
        <f>VLOOKUP(A203,'Production Plan'!B:S,16,FALSE)</f>
        <v/>
      </c>
      <c r="C203">
        <f>VLOOKUP(A203,'Production Plan'!B:F,5,FALSE)</f>
        <v/>
      </c>
    </row>
    <row r="204" hidden="1">
      <c r="A204">
        <f>'Production Plan'!B204</f>
        <v/>
      </c>
      <c r="B204">
        <f>VLOOKUP(A204,'Production Plan'!B:S,16,FALSE)</f>
        <v/>
      </c>
      <c r="C204">
        <f>VLOOKUP(A204,'Production Plan'!B:F,5,FALSE)</f>
        <v/>
      </c>
    </row>
    <row r="205" hidden="1">
      <c r="A205">
        <f>'Production Plan'!B205</f>
        <v/>
      </c>
      <c r="B205">
        <f>VLOOKUP(A205,'Production Plan'!B:S,16,FALSE)</f>
        <v/>
      </c>
      <c r="C205">
        <f>VLOOKUP(A205,'Production Plan'!B:F,5,FALSE)</f>
        <v/>
      </c>
    </row>
    <row r="206" hidden="1">
      <c r="A206">
        <f>'Production Plan'!B206</f>
        <v/>
      </c>
      <c r="B206">
        <f>VLOOKUP(A206,'Production Plan'!B:S,16,FALSE)</f>
        <v/>
      </c>
      <c r="C206">
        <f>VLOOKUP(A206,'Production Plan'!B:F,5,FALSE)</f>
        <v/>
      </c>
    </row>
    <row r="207" hidden="1">
      <c r="A207">
        <f>'Production Plan'!B207</f>
        <v/>
      </c>
      <c r="B207">
        <f>VLOOKUP(A207,'Production Plan'!B:S,16,FALSE)</f>
        <v/>
      </c>
      <c r="C207">
        <f>VLOOKUP(A207,'Production Plan'!B:F,5,FALSE)</f>
        <v/>
      </c>
    </row>
    <row r="208" hidden="1">
      <c r="A208">
        <f>'Production Plan'!B208</f>
        <v/>
      </c>
      <c r="B208">
        <f>VLOOKUP(A208,'Production Plan'!B:S,16,FALSE)</f>
        <v/>
      </c>
      <c r="C208">
        <f>VLOOKUP(A208,'Production Plan'!B:F,5,FALSE)</f>
        <v/>
      </c>
    </row>
    <row r="209" hidden="1">
      <c r="A209">
        <f>'Production Plan'!B209</f>
        <v/>
      </c>
      <c r="B209">
        <f>VLOOKUP(A209,'Production Plan'!B:S,16,FALSE)</f>
        <v/>
      </c>
      <c r="C209">
        <f>VLOOKUP(A209,'Production Plan'!B:F,5,FALSE)</f>
        <v/>
      </c>
    </row>
    <row r="210" hidden="1">
      <c r="A210">
        <f>'Production Plan'!B210</f>
        <v/>
      </c>
      <c r="B210">
        <f>VLOOKUP(A210,'Production Plan'!B:S,16,FALSE)</f>
        <v/>
      </c>
      <c r="C210">
        <f>VLOOKUP(A210,'Production Plan'!B:F,5,FALSE)</f>
        <v/>
      </c>
    </row>
    <row r="211" hidden="1">
      <c r="A211">
        <f>'Production Plan'!B211</f>
        <v/>
      </c>
      <c r="B211">
        <f>VLOOKUP(A211,'Production Plan'!B:S,16,FALSE)</f>
        <v/>
      </c>
      <c r="C211">
        <f>VLOOKUP(A211,'Production Plan'!B:F,5,FALSE)</f>
        <v/>
      </c>
    </row>
    <row r="212" hidden="1">
      <c r="A212">
        <f>'Production Plan'!B212</f>
        <v/>
      </c>
      <c r="B212">
        <f>VLOOKUP(A212,'Production Plan'!B:S,16,FALSE)</f>
        <v/>
      </c>
      <c r="C212">
        <f>VLOOKUP(A212,'Production Plan'!B:F,5,FALSE)</f>
        <v/>
      </c>
    </row>
    <row r="213" hidden="1">
      <c r="A213">
        <f>'Production Plan'!B213</f>
        <v/>
      </c>
      <c r="B213">
        <f>VLOOKUP(A213,'Production Plan'!B:S,16,FALSE)</f>
        <v/>
      </c>
      <c r="C213">
        <f>VLOOKUP(A213,'Production Plan'!B:F,5,FALSE)</f>
        <v/>
      </c>
    </row>
    <row r="214" hidden="1">
      <c r="A214">
        <f>'Production Plan'!B214</f>
        <v/>
      </c>
      <c r="B214">
        <f>VLOOKUP(A214,'Production Plan'!B:S,16,FALSE)</f>
        <v/>
      </c>
      <c r="C214">
        <f>VLOOKUP(A214,'Production Plan'!B:F,5,FALSE)</f>
        <v/>
      </c>
    </row>
    <row r="215" hidden="1">
      <c r="A215">
        <f>'Production Plan'!B215</f>
        <v/>
      </c>
      <c r="B215">
        <f>VLOOKUP(A215,'Production Plan'!B:S,16,FALSE)</f>
        <v/>
      </c>
      <c r="C215">
        <f>VLOOKUP(A215,'Production Plan'!B:F,5,FALSE)</f>
        <v/>
      </c>
    </row>
    <row r="216" hidden="1">
      <c r="A216">
        <f>'Production Plan'!B216</f>
        <v/>
      </c>
      <c r="B216">
        <f>VLOOKUP(A216,'Production Plan'!B:S,16,FALSE)</f>
        <v/>
      </c>
      <c r="C216">
        <f>VLOOKUP(A216,'Production Plan'!B:F,5,FALSE)</f>
        <v/>
      </c>
    </row>
    <row r="217" hidden="1">
      <c r="A217">
        <f>'Production Plan'!B217</f>
        <v/>
      </c>
      <c r="B217">
        <f>VLOOKUP(A217,'Production Plan'!B:S,16,FALSE)</f>
        <v/>
      </c>
      <c r="C217">
        <f>VLOOKUP(A217,'Production Plan'!B:F,5,FALSE)</f>
        <v/>
      </c>
    </row>
    <row r="218" hidden="1">
      <c r="A218">
        <f>'Production Plan'!B218</f>
        <v/>
      </c>
      <c r="B218">
        <f>VLOOKUP(A218,'Production Plan'!B:S,16,FALSE)</f>
        <v/>
      </c>
      <c r="C218">
        <f>VLOOKUP(A218,'Production Plan'!B:F,5,FALSE)</f>
        <v/>
      </c>
    </row>
    <row r="219" hidden="1">
      <c r="A219">
        <f>'Production Plan'!B219</f>
        <v/>
      </c>
      <c r="B219">
        <f>VLOOKUP(A219,'Production Plan'!B:S,16,FALSE)</f>
        <v/>
      </c>
      <c r="C219">
        <f>VLOOKUP(A219,'Production Plan'!B:F,5,FALSE)</f>
        <v/>
      </c>
    </row>
    <row r="220" hidden="1">
      <c r="A220">
        <f>'Production Plan'!B220</f>
        <v/>
      </c>
      <c r="B220">
        <f>VLOOKUP(A220,'Production Plan'!B:S,16,FALSE)</f>
        <v/>
      </c>
      <c r="C220">
        <f>VLOOKUP(A220,'Production Plan'!B:F,5,FALSE)</f>
        <v/>
      </c>
    </row>
    <row r="221" hidden="1">
      <c r="A221">
        <f>'Production Plan'!B221</f>
        <v/>
      </c>
      <c r="B221">
        <f>VLOOKUP(A221,'Production Plan'!B:S,16,FALSE)</f>
        <v/>
      </c>
      <c r="C221">
        <f>VLOOKUP(A221,'Production Plan'!B:F,5,FALSE)</f>
        <v/>
      </c>
    </row>
    <row r="222" hidden="1">
      <c r="A222">
        <f>'Production Plan'!B222</f>
        <v/>
      </c>
      <c r="B222">
        <f>VLOOKUP(A222,'Production Plan'!B:S,16,FALSE)</f>
        <v/>
      </c>
      <c r="C222">
        <f>VLOOKUP(A222,'Production Plan'!B:F,5,FALSE)</f>
        <v/>
      </c>
    </row>
    <row r="223" hidden="1">
      <c r="A223">
        <f>'Production Plan'!B223</f>
        <v/>
      </c>
      <c r="B223">
        <f>VLOOKUP(A223,'Production Plan'!B:S,16,FALSE)</f>
        <v/>
      </c>
      <c r="C223">
        <f>VLOOKUP(A223,'Production Plan'!B:F,5,FALSE)</f>
        <v/>
      </c>
    </row>
    <row r="224" hidden="1">
      <c r="A224">
        <f>'Production Plan'!B224</f>
        <v/>
      </c>
      <c r="B224">
        <f>VLOOKUP(A224,'Production Plan'!B:S,16,FALSE)</f>
        <v/>
      </c>
      <c r="C224">
        <f>VLOOKUP(A224,'Production Plan'!B:F,5,FALSE)</f>
        <v/>
      </c>
    </row>
    <row r="225" hidden="1">
      <c r="A225">
        <f>'Production Plan'!B225</f>
        <v/>
      </c>
      <c r="B225">
        <f>VLOOKUP(A225,'Production Plan'!B:S,16,FALSE)</f>
        <v/>
      </c>
      <c r="C225">
        <f>VLOOKUP(A225,'Production Plan'!B:F,5,FALSE)</f>
        <v/>
      </c>
    </row>
    <row r="226" hidden="1">
      <c r="A226">
        <f>'Production Plan'!B226</f>
        <v/>
      </c>
      <c r="B226">
        <f>VLOOKUP(A226,'Production Plan'!B:S,16,FALSE)</f>
        <v/>
      </c>
      <c r="C226">
        <f>VLOOKUP(A226,'Production Plan'!B:F,5,FALSE)</f>
        <v/>
      </c>
    </row>
    <row r="227" hidden="1">
      <c r="A227">
        <f>'Production Plan'!B227</f>
        <v/>
      </c>
      <c r="B227">
        <f>VLOOKUP(A227,'Production Plan'!B:S,16,FALSE)</f>
        <v/>
      </c>
      <c r="C227">
        <f>VLOOKUP(A227,'Production Plan'!B:F,5,FALSE)</f>
        <v/>
      </c>
    </row>
    <row r="228" hidden="1">
      <c r="A228">
        <f>'Production Plan'!B228</f>
        <v/>
      </c>
      <c r="B228">
        <f>VLOOKUP(A228,'Production Plan'!B:S,16,FALSE)</f>
        <v/>
      </c>
      <c r="C228">
        <f>VLOOKUP(A228,'Production Plan'!B:F,5,FALSE)</f>
        <v/>
      </c>
    </row>
    <row r="229" hidden="1">
      <c r="A229">
        <f>'Production Plan'!B229</f>
        <v/>
      </c>
      <c r="B229">
        <f>VLOOKUP(A229,'Production Plan'!B:S,16,FALSE)</f>
        <v/>
      </c>
      <c r="C229">
        <f>VLOOKUP(A229,'Production Plan'!B:F,5,FALSE)</f>
        <v/>
      </c>
    </row>
    <row r="230" hidden="1">
      <c r="A230">
        <f>'Production Plan'!B230</f>
        <v/>
      </c>
      <c r="B230">
        <f>VLOOKUP(A230,'Production Plan'!B:S,16,FALSE)</f>
        <v/>
      </c>
      <c r="C230">
        <f>VLOOKUP(A230,'Production Plan'!B:F,5,FALSE)</f>
        <v/>
      </c>
    </row>
    <row r="231" hidden="1">
      <c r="A231">
        <f>'Production Plan'!B231</f>
        <v/>
      </c>
      <c r="B231">
        <f>VLOOKUP(A231,'Production Plan'!B:S,16,FALSE)</f>
        <v/>
      </c>
      <c r="C231">
        <f>VLOOKUP(A231,'Production Plan'!B:F,5,FALSE)</f>
        <v/>
      </c>
    </row>
    <row r="232" hidden="1">
      <c r="A232">
        <f>'Production Plan'!B232</f>
        <v/>
      </c>
      <c r="B232">
        <f>VLOOKUP(A232,'Production Plan'!B:S,16,FALSE)</f>
        <v/>
      </c>
      <c r="C232">
        <f>VLOOKUP(A232,'Production Plan'!B:F,5,FALSE)</f>
        <v/>
      </c>
    </row>
    <row r="233" hidden="1">
      <c r="A233">
        <f>'Production Plan'!B233</f>
        <v/>
      </c>
      <c r="B233">
        <f>VLOOKUP(A233,'Production Plan'!B:S,16,FALSE)</f>
        <v/>
      </c>
      <c r="C233">
        <f>VLOOKUP(A233,'Production Plan'!B:F,5,FALSE)</f>
        <v/>
      </c>
    </row>
    <row r="234" hidden="1">
      <c r="A234">
        <f>'Production Plan'!B234</f>
        <v/>
      </c>
      <c r="B234">
        <f>VLOOKUP(A234,'Production Plan'!B:S,16,FALSE)</f>
        <v/>
      </c>
      <c r="C234">
        <f>VLOOKUP(A234,'Production Plan'!B:F,5,FALSE)</f>
        <v/>
      </c>
    </row>
    <row r="235" hidden="1">
      <c r="A235">
        <f>'Production Plan'!B235</f>
        <v/>
      </c>
      <c r="B235">
        <f>VLOOKUP(A235,'Production Plan'!B:S,16,FALSE)</f>
        <v/>
      </c>
      <c r="C235">
        <f>VLOOKUP(A235,'Production Plan'!B:F,5,FALSE)</f>
        <v/>
      </c>
    </row>
    <row r="236" hidden="1">
      <c r="A236">
        <f>'Production Plan'!B236</f>
        <v/>
      </c>
      <c r="B236">
        <f>VLOOKUP(A236,'Production Plan'!B:S,16,FALSE)</f>
        <v/>
      </c>
      <c r="C236">
        <f>VLOOKUP(A236,'Production Plan'!B:F,5,FALSE)</f>
        <v/>
      </c>
    </row>
    <row r="237" hidden="1">
      <c r="A237">
        <f>'Production Plan'!B237</f>
        <v/>
      </c>
      <c r="B237">
        <f>VLOOKUP(A237,'Production Plan'!B:S,16,FALSE)</f>
        <v/>
      </c>
      <c r="C237">
        <f>VLOOKUP(A237,'Production Plan'!B:F,5,FALSE)</f>
        <v/>
      </c>
    </row>
    <row r="238" hidden="1">
      <c r="A238">
        <f>'Production Plan'!B238</f>
        <v/>
      </c>
      <c r="B238">
        <f>VLOOKUP(A238,'Production Plan'!B:S,16,FALSE)</f>
        <v/>
      </c>
      <c r="C238">
        <f>VLOOKUP(A238,'Production Plan'!B:F,5,FALSE)</f>
        <v/>
      </c>
    </row>
    <row r="239" hidden="1">
      <c r="A239">
        <f>'Production Plan'!B239</f>
        <v/>
      </c>
      <c r="B239">
        <f>VLOOKUP(A239,'Production Plan'!B:S,16,FALSE)</f>
        <v/>
      </c>
      <c r="C239">
        <f>VLOOKUP(A239,'Production Plan'!B:F,5,FALSE)</f>
        <v/>
      </c>
    </row>
    <row r="240" hidden="1">
      <c r="A240">
        <f>'Production Plan'!B240</f>
        <v/>
      </c>
      <c r="B240">
        <f>VLOOKUP(A240,'Production Plan'!B:S,16,FALSE)</f>
        <v/>
      </c>
      <c r="C240">
        <f>VLOOKUP(A240,'Production Plan'!B:F,5,FALSE)</f>
        <v/>
      </c>
    </row>
    <row r="241" hidden="1">
      <c r="A241">
        <f>'Production Plan'!B241</f>
        <v/>
      </c>
      <c r="B241">
        <f>VLOOKUP(A241,'Production Plan'!B:S,16,FALSE)</f>
        <v/>
      </c>
      <c r="C241">
        <f>VLOOKUP(A241,'Production Plan'!B:F,5,FALSE)</f>
        <v/>
      </c>
    </row>
    <row r="242" hidden="1">
      <c r="A242">
        <f>'Production Plan'!B242</f>
        <v/>
      </c>
      <c r="B242">
        <f>VLOOKUP(A242,'Production Plan'!B:S,16,FALSE)</f>
        <v/>
      </c>
      <c r="C242">
        <f>VLOOKUP(A242,'Production Plan'!B:F,5,FALSE)</f>
        <v/>
      </c>
    </row>
    <row r="243" hidden="1">
      <c r="A243">
        <f>'Production Plan'!B243</f>
        <v/>
      </c>
      <c r="B243">
        <f>VLOOKUP(A243,'Production Plan'!B:S,16,FALSE)</f>
        <v/>
      </c>
      <c r="C243">
        <f>VLOOKUP(A243,'Production Plan'!B:F,5,FALSE)</f>
        <v/>
      </c>
    </row>
    <row r="244" hidden="1">
      <c r="A244">
        <f>'Production Plan'!B244</f>
        <v/>
      </c>
      <c r="B244">
        <f>VLOOKUP(A244,'Production Plan'!B:S,16,FALSE)</f>
        <v/>
      </c>
      <c r="C244">
        <f>VLOOKUP(A244,'Production Plan'!B:F,5,FALSE)</f>
        <v/>
      </c>
    </row>
    <row r="245" hidden="1">
      <c r="A245">
        <f>'Production Plan'!B245</f>
        <v/>
      </c>
      <c r="B245">
        <f>VLOOKUP(A245,'Production Plan'!B:S,16,FALSE)</f>
        <v/>
      </c>
      <c r="C245">
        <f>VLOOKUP(A245,'Production Plan'!B:F,5,FALSE)</f>
        <v/>
      </c>
    </row>
    <row r="246" hidden="1">
      <c r="A246">
        <f>'Production Plan'!B246</f>
        <v/>
      </c>
      <c r="B246">
        <f>VLOOKUP(A246,'Production Plan'!B:S,16,FALSE)</f>
        <v/>
      </c>
      <c r="C246">
        <f>VLOOKUP(A246,'Production Plan'!B:F,5,FALSE)</f>
        <v/>
      </c>
    </row>
    <row r="247" hidden="1">
      <c r="A247">
        <f>'Production Plan'!B247</f>
        <v/>
      </c>
      <c r="B247">
        <f>VLOOKUP(A247,'Production Plan'!B:S,16,FALSE)</f>
        <v/>
      </c>
      <c r="C247">
        <f>VLOOKUP(A247,'Production Plan'!B:F,5,FALSE)</f>
        <v/>
      </c>
    </row>
    <row r="248" hidden="1">
      <c r="A248">
        <f>'Production Plan'!B248</f>
        <v/>
      </c>
      <c r="B248">
        <f>VLOOKUP(A248,'Production Plan'!B:S,16,FALSE)</f>
        <v/>
      </c>
      <c r="C248">
        <f>VLOOKUP(A248,'Production Plan'!B:F,5,FALSE)</f>
        <v/>
      </c>
    </row>
    <row r="249" hidden="1">
      <c r="A249">
        <f>'Production Plan'!B249</f>
        <v/>
      </c>
      <c r="B249">
        <f>VLOOKUP(A249,'Production Plan'!B:S,16,FALSE)</f>
        <v/>
      </c>
      <c r="C249">
        <f>VLOOKUP(A249,'Production Plan'!B:F,5,FALSE)</f>
        <v/>
      </c>
    </row>
    <row r="250" hidden="1">
      <c r="A250">
        <f>'Production Plan'!B250</f>
        <v/>
      </c>
      <c r="B250">
        <f>VLOOKUP(A250,'Production Plan'!B:S,16,FALSE)</f>
        <v/>
      </c>
      <c r="C250">
        <f>VLOOKUP(A250,'Production Plan'!B:F,5,FALSE)</f>
        <v/>
      </c>
    </row>
    <row r="251" hidden="1">
      <c r="A251">
        <f>'Production Plan'!B251</f>
        <v/>
      </c>
      <c r="B251">
        <f>VLOOKUP(A251,'Production Plan'!B:S,16,FALSE)</f>
        <v/>
      </c>
      <c r="C251">
        <f>VLOOKUP(A251,'Production Plan'!B:F,5,FALSE)</f>
        <v/>
      </c>
    </row>
    <row r="252" hidden="1">
      <c r="A252">
        <f>'Production Plan'!B252</f>
        <v/>
      </c>
      <c r="B252">
        <f>VLOOKUP(A252,'Production Plan'!B:S,16,FALSE)</f>
        <v/>
      </c>
      <c r="C252">
        <f>VLOOKUP(A252,'Production Plan'!B:F,5,FALSE)</f>
        <v/>
      </c>
    </row>
    <row r="253" hidden="1">
      <c r="A253">
        <f>'Production Plan'!B253</f>
        <v/>
      </c>
      <c r="B253">
        <f>VLOOKUP(A253,'Production Plan'!B:S,16,FALSE)</f>
        <v/>
      </c>
      <c r="C253">
        <f>VLOOKUP(A253,'Production Plan'!B:F,5,FALSE)</f>
        <v/>
      </c>
    </row>
    <row r="254" hidden="1">
      <c r="A254">
        <f>'Production Plan'!B254</f>
        <v/>
      </c>
      <c r="B254">
        <f>VLOOKUP(A254,'Production Plan'!B:S,16,FALSE)</f>
        <v/>
      </c>
      <c r="C254">
        <f>VLOOKUP(A254,'Production Plan'!B:F,5,FALSE)</f>
        <v/>
      </c>
    </row>
    <row r="255" hidden="1">
      <c r="A255">
        <f>'Production Plan'!B255</f>
        <v/>
      </c>
      <c r="B255">
        <f>VLOOKUP(A255,'Production Plan'!B:S,16,FALSE)</f>
        <v/>
      </c>
      <c r="C255">
        <f>VLOOKUP(A255,'Production Plan'!B:F,5,FALSE)</f>
        <v/>
      </c>
    </row>
    <row r="256" hidden="1">
      <c r="A256">
        <f>'Production Plan'!B256</f>
        <v/>
      </c>
      <c r="B256">
        <f>VLOOKUP(A256,'Production Plan'!B:S,16,FALSE)</f>
        <v/>
      </c>
      <c r="C256">
        <f>VLOOKUP(A256,'Production Plan'!B:F,5,FALSE)</f>
        <v/>
      </c>
    </row>
    <row r="257" hidden="1">
      <c r="A257">
        <f>'Production Plan'!B257</f>
        <v/>
      </c>
      <c r="B257">
        <f>VLOOKUP(A257,'Production Plan'!B:S,16,FALSE)</f>
        <v/>
      </c>
      <c r="C257">
        <f>VLOOKUP(A257,'Production Plan'!B:F,5,FALSE)</f>
        <v/>
      </c>
    </row>
    <row r="258" hidden="1">
      <c r="A258">
        <f>'Production Plan'!B258</f>
        <v/>
      </c>
      <c r="B258">
        <f>VLOOKUP(A258,'Production Plan'!B:S,16,FALSE)</f>
        <v/>
      </c>
      <c r="C258">
        <f>VLOOKUP(A258,'Production Plan'!B:F,5,FALSE)</f>
        <v/>
      </c>
    </row>
    <row r="259" hidden="1">
      <c r="A259">
        <f>'Production Plan'!B259</f>
        <v/>
      </c>
      <c r="B259">
        <f>VLOOKUP(A259,'Production Plan'!B:S,16,FALSE)</f>
        <v/>
      </c>
      <c r="C259">
        <f>VLOOKUP(A259,'Production Plan'!B:F,5,FALSE)</f>
        <v/>
      </c>
    </row>
    <row r="260" hidden="1">
      <c r="A260">
        <f>'Production Plan'!B260</f>
        <v/>
      </c>
      <c r="B260">
        <f>VLOOKUP(A260,'Production Plan'!B:S,16,FALSE)</f>
        <v/>
      </c>
      <c r="C260">
        <f>VLOOKUP(A260,'Production Plan'!B:F,5,FALSE)</f>
        <v/>
      </c>
    </row>
    <row r="261" hidden="1">
      <c r="A261">
        <f>'Production Plan'!B261</f>
        <v/>
      </c>
      <c r="B261">
        <f>VLOOKUP(A261,'Production Plan'!B:S,16,FALSE)</f>
        <v/>
      </c>
      <c r="C261">
        <f>VLOOKUP(A261,'Production Plan'!B:F,5,FALSE)</f>
        <v/>
      </c>
    </row>
    <row r="262" hidden="1">
      <c r="A262">
        <f>'Production Plan'!B262</f>
        <v/>
      </c>
      <c r="B262">
        <f>VLOOKUP(A262,'Production Plan'!B:S,16,FALSE)</f>
        <v/>
      </c>
      <c r="C262">
        <f>VLOOKUP(A262,'Production Plan'!B:F,5,FALSE)</f>
        <v/>
      </c>
    </row>
    <row r="263" hidden="1">
      <c r="A263">
        <f>'Production Plan'!B263</f>
        <v/>
      </c>
      <c r="B263">
        <f>VLOOKUP(A263,'Production Plan'!B:S,16,FALSE)</f>
        <v/>
      </c>
      <c r="C263">
        <f>VLOOKUP(A263,'Production Plan'!B:F,5,FALSE)</f>
        <v/>
      </c>
    </row>
    <row r="264" hidden="1">
      <c r="A264">
        <f>'Production Plan'!B264</f>
        <v/>
      </c>
      <c r="B264">
        <f>VLOOKUP(A264,'Production Plan'!B:S,16,FALSE)</f>
        <v/>
      </c>
      <c r="C264">
        <f>VLOOKUP(A264,'Production Plan'!B:F,5,FALSE)</f>
        <v/>
      </c>
    </row>
    <row r="265" hidden="1">
      <c r="A265">
        <f>'Production Plan'!B265</f>
        <v/>
      </c>
      <c r="B265">
        <f>VLOOKUP(A265,'Production Plan'!B:S,16,FALSE)</f>
        <v/>
      </c>
      <c r="C265">
        <f>VLOOKUP(A265,'Production Plan'!B:F,5,FALSE)</f>
        <v/>
      </c>
    </row>
    <row r="266" hidden="1">
      <c r="A266">
        <f>'Production Plan'!B266</f>
        <v/>
      </c>
      <c r="B266">
        <f>VLOOKUP(A266,'Production Plan'!B:S,16,FALSE)</f>
        <v/>
      </c>
      <c r="C266">
        <f>VLOOKUP(A266,'Production Plan'!B:F,5,FALSE)</f>
        <v/>
      </c>
    </row>
    <row r="267" hidden="1">
      <c r="A267">
        <f>'Production Plan'!B267</f>
        <v/>
      </c>
      <c r="B267">
        <f>VLOOKUP(A267,'Production Plan'!B:S,16,FALSE)</f>
        <v/>
      </c>
      <c r="C267">
        <f>VLOOKUP(A267,'Production Plan'!B:F,5,FALSE)</f>
        <v/>
      </c>
    </row>
    <row r="268" hidden="1">
      <c r="A268">
        <f>'Production Plan'!B268</f>
        <v/>
      </c>
      <c r="B268">
        <f>VLOOKUP(A268,'Production Plan'!B:S,16,FALSE)</f>
        <v/>
      </c>
      <c r="C268">
        <f>VLOOKUP(A268,'Production Plan'!B:F,5,FALSE)</f>
        <v/>
      </c>
    </row>
    <row r="269" hidden="1">
      <c r="A269">
        <f>'Production Plan'!B269</f>
        <v/>
      </c>
      <c r="B269">
        <f>VLOOKUP(A269,'Production Plan'!B:S,16,FALSE)</f>
        <v/>
      </c>
      <c r="C269">
        <f>VLOOKUP(A269,'Production Plan'!B:F,5,FALSE)</f>
        <v/>
      </c>
    </row>
    <row r="270" hidden="1">
      <c r="A270">
        <f>'Production Plan'!B270</f>
        <v/>
      </c>
      <c r="B270">
        <f>VLOOKUP(A270,'Production Plan'!B:S,16,FALSE)</f>
        <v/>
      </c>
      <c r="C270">
        <f>VLOOKUP(A270,'Production Plan'!B:F,5,FALSE)</f>
        <v/>
      </c>
    </row>
    <row r="271" hidden="1">
      <c r="A271">
        <f>'Production Plan'!B271</f>
        <v/>
      </c>
      <c r="B271">
        <f>VLOOKUP(A271,'Production Plan'!B:S,16,FALSE)</f>
        <v/>
      </c>
      <c r="C271">
        <f>VLOOKUP(A271,'Production Plan'!B:F,5,FALSE)</f>
        <v/>
      </c>
    </row>
    <row r="272" hidden="1">
      <c r="A272">
        <f>'Production Plan'!B272</f>
        <v/>
      </c>
      <c r="B272">
        <f>VLOOKUP(A272,'Production Plan'!B:S,16,FALSE)</f>
        <v/>
      </c>
      <c r="C272">
        <f>VLOOKUP(A272,'Production Plan'!B:F,5,FALSE)</f>
        <v/>
      </c>
    </row>
    <row r="273" hidden="1">
      <c r="A273">
        <f>'Production Plan'!B273</f>
        <v/>
      </c>
      <c r="B273">
        <f>VLOOKUP(A273,'Production Plan'!B:S,16,FALSE)</f>
        <v/>
      </c>
      <c r="C273">
        <f>VLOOKUP(A273,'Production Plan'!B:F,5,FALSE)</f>
        <v/>
      </c>
    </row>
    <row r="274" hidden="1">
      <c r="A274">
        <f>'Production Plan'!B274</f>
        <v/>
      </c>
      <c r="B274">
        <f>VLOOKUP(A274,'Production Plan'!B:S,16,FALSE)</f>
        <v/>
      </c>
      <c r="C274">
        <f>VLOOKUP(A274,'Production Plan'!B:F,5,FALSE)</f>
        <v/>
      </c>
    </row>
    <row r="275" hidden="1">
      <c r="A275">
        <f>'Production Plan'!B275</f>
        <v/>
      </c>
      <c r="B275">
        <f>VLOOKUP(A275,'Production Plan'!B:S,16,FALSE)</f>
        <v/>
      </c>
      <c r="C275">
        <f>VLOOKUP(A275,'Production Plan'!B:F,5,FALSE)</f>
        <v/>
      </c>
    </row>
    <row r="276" hidden="1">
      <c r="A276">
        <f>'Production Plan'!B276</f>
        <v/>
      </c>
      <c r="B276">
        <f>VLOOKUP(A276,'Production Plan'!B:S,16,FALSE)</f>
        <v/>
      </c>
      <c r="C276">
        <f>VLOOKUP(A276,'Production Plan'!B:F,5,FALSE)</f>
        <v/>
      </c>
    </row>
    <row r="277" hidden="1">
      <c r="A277">
        <f>'Production Plan'!B277</f>
        <v/>
      </c>
      <c r="B277">
        <f>VLOOKUP(A277,'Production Plan'!B:S,16,FALSE)</f>
        <v/>
      </c>
      <c r="C277">
        <f>VLOOKUP(A277,'Production Plan'!B:F,5,FALSE)</f>
        <v/>
      </c>
    </row>
    <row r="278" hidden="1">
      <c r="A278">
        <f>'Production Plan'!B278</f>
        <v/>
      </c>
      <c r="B278">
        <f>VLOOKUP(A278,'Production Plan'!B:S,16,FALSE)</f>
        <v/>
      </c>
      <c r="C278">
        <f>VLOOKUP(A278,'Production Plan'!B:F,5,FALSE)</f>
        <v/>
      </c>
    </row>
    <row r="279" hidden="1">
      <c r="A279">
        <f>'Production Plan'!B279</f>
        <v/>
      </c>
      <c r="B279">
        <f>VLOOKUP(A279,'Production Plan'!B:S,16,FALSE)</f>
        <v/>
      </c>
      <c r="C279">
        <f>VLOOKUP(A279,'Production Plan'!B:F,5,FALSE)</f>
        <v/>
      </c>
    </row>
    <row r="280" hidden="1">
      <c r="A280">
        <f>'Production Plan'!B280</f>
        <v/>
      </c>
      <c r="B280">
        <f>VLOOKUP(A280,'Production Plan'!B:S,16,FALSE)</f>
        <v/>
      </c>
      <c r="C280">
        <f>VLOOKUP(A280,'Production Plan'!B:F,5,FALSE)</f>
        <v/>
      </c>
    </row>
    <row r="281" hidden="1">
      <c r="A281">
        <f>'Production Plan'!B281</f>
        <v/>
      </c>
      <c r="B281">
        <f>VLOOKUP(A281,'Production Plan'!B:S,16,FALSE)</f>
        <v/>
      </c>
      <c r="C281">
        <f>VLOOKUP(A281,'Production Plan'!B:F,5,FALSE)</f>
        <v/>
      </c>
    </row>
    <row r="282" hidden="1">
      <c r="A282">
        <f>'Production Plan'!B282</f>
        <v/>
      </c>
      <c r="B282">
        <f>VLOOKUP(A282,'Production Plan'!B:S,16,FALSE)</f>
        <v/>
      </c>
      <c r="C282">
        <f>VLOOKUP(A282,'Production Plan'!B:F,5,FALSE)</f>
        <v/>
      </c>
    </row>
    <row r="283" hidden="1">
      <c r="A283">
        <f>'Production Plan'!B283</f>
        <v/>
      </c>
      <c r="B283">
        <f>VLOOKUP(A283,'Production Plan'!B:S,16,FALSE)</f>
        <v/>
      </c>
      <c r="C283">
        <f>VLOOKUP(A283,'Production Plan'!B:F,5,FALSE)</f>
        <v/>
      </c>
    </row>
    <row r="284" hidden="1">
      <c r="A284">
        <f>'Production Plan'!B284</f>
        <v/>
      </c>
      <c r="B284">
        <f>VLOOKUP(A284,'Production Plan'!B:S,16,FALSE)</f>
        <v/>
      </c>
      <c r="C284">
        <f>VLOOKUP(A284,'Production Plan'!B:F,5,FALSE)</f>
        <v/>
      </c>
    </row>
    <row r="285" hidden="1">
      <c r="A285">
        <f>'Production Plan'!B285</f>
        <v/>
      </c>
      <c r="B285">
        <f>VLOOKUP(A285,'Production Plan'!B:S,16,FALSE)</f>
        <v/>
      </c>
      <c r="C285">
        <f>VLOOKUP(A285,'Production Plan'!B:F,5,FALSE)</f>
        <v/>
      </c>
    </row>
    <row r="286" hidden="1">
      <c r="A286">
        <f>'Production Plan'!B286</f>
        <v/>
      </c>
      <c r="B286">
        <f>VLOOKUP(A286,'Production Plan'!B:S,16,FALSE)</f>
        <v/>
      </c>
      <c r="C286">
        <f>VLOOKUP(A286,'Production Plan'!B:F,5,FALSE)</f>
        <v/>
      </c>
    </row>
    <row r="287" hidden="1">
      <c r="A287">
        <f>'Production Plan'!B287</f>
        <v/>
      </c>
      <c r="B287">
        <f>VLOOKUP(A287,'Production Plan'!B:S,16,FALSE)</f>
        <v/>
      </c>
      <c r="C287">
        <f>VLOOKUP(A287,'Production Plan'!B:F,5,FALSE)</f>
        <v/>
      </c>
    </row>
    <row r="288" hidden="1">
      <c r="A288">
        <f>'Production Plan'!B288</f>
        <v/>
      </c>
      <c r="B288">
        <f>VLOOKUP(A288,'Production Plan'!B:S,16,FALSE)</f>
        <v/>
      </c>
      <c r="C288">
        <f>VLOOKUP(A288,'Production Plan'!B:F,5,FALSE)</f>
        <v/>
      </c>
    </row>
    <row r="289" hidden="1">
      <c r="A289">
        <f>'Production Plan'!B289</f>
        <v/>
      </c>
      <c r="B289">
        <f>VLOOKUP(A289,'Production Plan'!B:S,16,FALSE)</f>
        <v/>
      </c>
      <c r="C289">
        <f>VLOOKUP(A289,'Production Plan'!B:F,5,FALSE)</f>
        <v/>
      </c>
    </row>
    <row r="290" hidden="1">
      <c r="A290">
        <f>'Production Plan'!B290</f>
        <v/>
      </c>
      <c r="B290">
        <f>VLOOKUP(A290,'Production Plan'!B:S,16,FALSE)</f>
        <v/>
      </c>
      <c r="C290">
        <f>VLOOKUP(A290,'Production Plan'!B:F,5,FALSE)</f>
        <v/>
      </c>
    </row>
    <row r="291" hidden="1">
      <c r="A291">
        <f>'Production Plan'!B291</f>
        <v/>
      </c>
      <c r="B291">
        <f>VLOOKUP(A291,'Production Plan'!B:S,16,FALSE)</f>
        <v/>
      </c>
      <c r="C291">
        <f>VLOOKUP(A291,'Production Plan'!B:F,5,FALSE)</f>
        <v/>
      </c>
    </row>
    <row r="292" hidden="1">
      <c r="A292">
        <f>'Production Plan'!B292</f>
        <v/>
      </c>
      <c r="B292">
        <f>VLOOKUP(A292,'Production Plan'!B:S,16,FALSE)</f>
        <v/>
      </c>
      <c r="C292">
        <f>VLOOKUP(A292,'Production Plan'!B:F,5,FALSE)</f>
        <v/>
      </c>
    </row>
    <row r="293" hidden="1">
      <c r="A293">
        <f>'Production Plan'!B293</f>
        <v/>
      </c>
      <c r="B293">
        <f>VLOOKUP(A293,'Production Plan'!B:S,16,FALSE)</f>
        <v/>
      </c>
      <c r="C293">
        <f>VLOOKUP(A293,'Production Plan'!B:F,5,FALSE)</f>
        <v/>
      </c>
    </row>
    <row r="294" hidden="1">
      <c r="A294">
        <f>'Production Plan'!B294</f>
        <v/>
      </c>
      <c r="B294">
        <f>VLOOKUP(A294,'Production Plan'!B:S,16,FALSE)</f>
        <v/>
      </c>
      <c r="C294">
        <f>VLOOKUP(A294,'Production Plan'!B:F,5,FALSE)</f>
        <v/>
      </c>
    </row>
    <row r="295" hidden="1">
      <c r="A295">
        <f>'Production Plan'!B295</f>
        <v/>
      </c>
      <c r="B295">
        <f>VLOOKUP(A295,'Production Plan'!B:S,16,FALSE)</f>
        <v/>
      </c>
      <c r="C295">
        <f>VLOOKUP(A295,'Production Plan'!B:F,5,FALSE)</f>
        <v/>
      </c>
    </row>
    <row r="296" hidden="1">
      <c r="A296">
        <f>'Production Plan'!B296</f>
        <v/>
      </c>
      <c r="B296">
        <f>VLOOKUP(A296,'Production Plan'!B:S,16,FALSE)</f>
        <v/>
      </c>
      <c r="C296">
        <f>VLOOKUP(A296,'Production Plan'!B:F,5,FALSE)</f>
        <v/>
      </c>
    </row>
    <row r="297" hidden="1">
      <c r="A297">
        <f>'Production Plan'!B297</f>
        <v/>
      </c>
      <c r="B297">
        <f>VLOOKUP(A297,'Production Plan'!B:S,16,FALSE)</f>
        <v/>
      </c>
      <c r="C297">
        <f>VLOOKUP(A297,'Production Plan'!B:F,5,FALSE)</f>
        <v/>
      </c>
    </row>
    <row r="298" hidden="1">
      <c r="A298">
        <f>'Production Plan'!B298</f>
        <v/>
      </c>
      <c r="B298">
        <f>VLOOKUP(A298,'Production Plan'!B:S,16,FALSE)</f>
        <v/>
      </c>
      <c r="C298">
        <f>VLOOKUP(A298,'Production Plan'!B:F,5,FALSE)</f>
        <v/>
      </c>
    </row>
    <row r="299" hidden="1">
      <c r="A299">
        <f>'Production Plan'!B299</f>
        <v/>
      </c>
      <c r="B299">
        <f>VLOOKUP(A299,'Production Plan'!B:S,16,FALSE)</f>
        <v/>
      </c>
      <c r="C299">
        <f>VLOOKUP(A299,'Production Plan'!B:F,5,FALSE)</f>
        <v/>
      </c>
    </row>
    <row r="300" hidden="1">
      <c r="A300">
        <f>'Production Plan'!B300</f>
        <v/>
      </c>
      <c r="B300">
        <f>VLOOKUP(A300,'Production Plan'!B:S,16,FALSE)</f>
        <v/>
      </c>
      <c r="C300">
        <f>VLOOKUP(A300,'Production Plan'!B:F,5,FALSE)</f>
        <v/>
      </c>
    </row>
    <row r="301" hidden="1">
      <c r="A301">
        <f>'Production Plan'!B301</f>
        <v/>
      </c>
      <c r="B301">
        <f>VLOOKUP(A301,'Production Plan'!B:S,16,FALSE)</f>
        <v/>
      </c>
      <c r="C301">
        <f>VLOOKUP(A301,'Production Plan'!B:F,5,FALSE)</f>
        <v/>
      </c>
    </row>
    <row r="302" hidden="1">
      <c r="A302">
        <f>'Production Plan'!B302</f>
        <v/>
      </c>
      <c r="B302">
        <f>VLOOKUP(A302,'Production Plan'!B:S,16,FALSE)</f>
        <v/>
      </c>
      <c r="C302">
        <f>VLOOKUP(A302,'Production Plan'!B:F,5,FALSE)</f>
        <v/>
      </c>
    </row>
    <row r="303" hidden="1">
      <c r="A303">
        <f>'Production Plan'!B303</f>
        <v/>
      </c>
      <c r="B303">
        <f>VLOOKUP(A303,'Production Plan'!B:S,16,FALSE)</f>
        <v/>
      </c>
      <c r="C303">
        <f>VLOOKUP(A303,'Production Plan'!B:F,5,FALSE)</f>
        <v/>
      </c>
    </row>
    <row r="304" hidden="1">
      <c r="A304">
        <f>'Production Plan'!B304</f>
        <v/>
      </c>
      <c r="B304">
        <f>VLOOKUP(A304,'Production Plan'!B:S,16,FALSE)</f>
        <v/>
      </c>
      <c r="C304">
        <f>VLOOKUP(A304,'Production Plan'!B:F,5,FALSE)</f>
        <v/>
      </c>
    </row>
    <row r="305" hidden="1">
      <c r="A305">
        <f>'Production Plan'!B305</f>
        <v/>
      </c>
      <c r="B305">
        <f>VLOOKUP(A305,'Production Plan'!B:S,16,FALSE)</f>
        <v/>
      </c>
      <c r="C305">
        <f>VLOOKUP(A305,'Production Plan'!B:F,5,FALSE)</f>
        <v/>
      </c>
    </row>
    <row r="306" hidden="1">
      <c r="A306">
        <f>'Production Plan'!B306</f>
        <v/>
      </c>
      <c r="B306">
        <f>VLOOKUP(A306,'Production Plan'!B:S,16,FALSE)</f>
        <v/>
      </c>
      <c r="C306">
        <f>VLOOKUP(A306,'Production Plan'!B:F,5,FALSE)</f>
        <v/>
      </c>
    </row>
    <row r="307" hidden="1">
      <c r="A307">
        <f>'Production Plan'!B307</f>
        <v/>
      </c>
      <c r="B307">
        <f>VLOOKUP(A307,'Production Plan'!B:S,16,FALSE)</f>
        <v/>
      </c>
      <c r="C307">
        <f>VLOOKUP(A307,'Production Plan'!B:F,5,FALSE)</f>
        <v/>
      </c>
    </row>
    <row r="308" hidden="1">
      <c r="A308">
        <f>'Production Plan'!B308</f>
        <v/>
      </c>
      <c r="B308">
        <f>VLOOKUP(A308,'Production Plan'!B:S,16,FALSE)</f>
        <v/>
      </c>
      <c r="C308">
        <f>VLOOKUP(A308,'Production Plan'!B:F,5,FALSE)</f>
        <v/>
      </c>
    </row>
    <row r="309" hidden="1">
      <c r="A309">
        <f>'Production Plan'!B309</f>
        <v/>
      </c>
      <c r="B309">
        <f>VLOOKUP(A309,'Production Plan'!B:S,16,FALSE)</f>
        <v/>
      </c>
      <c r="C309">
        <f>VLOOKUP(A309,'Production Plan'!B:F,5,FALSE)</f>
        <v/>
      </c>
    </row>
    <row r="310" hidden="1">
      <c r="A310">
        <f>'Production Plan'!B310</f>
        <v/>
      </c>
      <c r="B310">
        <f>VLOOKUP(A310,'Production Plan'!B:S,16,FALSE)</f>
        <v/>
      </c>
      <c r="C310">
        <f>VLOOKUP(A310,'Production Plan'!B:F,5,FALSE)</f>
        <v/>
      </c>
    </row>
    <row r="311" hidden="1">
      <c r="A311">
        <f>'Production Plan'!B311</f>
        <v/>
      </c>
      <c r="B311">
        <f>VLOOKUP(A311,'Production Plan'!B:S,16,FALSE)</f>
        <v/>
      </c>
      <c r="C311">
        <f>VLOOKUP(A311,'Production Plan'!B:F,5,FALSE)</f>
        <v/>
      </c>
    </row>
    <row r="312" hidden="1">
      <c r="A312">
        <f>'Production Plan'!B312</f>
        <v/>
      </c>
      <c r="B312">
        <f>VLOOKUP(A312,'Production Plan'!B:S,16,FALSE)</f>
        <v/>
      </c>
      <c r="C312">
        <f>VLOOKUP(A312,'Production Plan'!B:F,5,FALSE)</f>
        <v/>
      </c>
    </row>
    <row r="313" hidden="1">
      <c r="A313">
        <f>'Production Plan'!B313</f>
        <v/>
      </c>
      <c r="B313">
        <f>VLOOKUP(A313,'Production Plan'!B:S,16,FALSE)</f>
        <v/>
      </c>
      <c r="C313">
        <f>VLOOKUP(A313,'Production Plan'!B:F,5,FALSE)</f>
        <v/>
      </c>
    </row>
    <row r="314" hidden="1">
      <c r="A314">
        <f>'Production Plan'!B314</f>
        <v/>
      </c>
      <c r="B314">
        <f>VLOOKUP(A314,'Production Plan'!B:S,16,FALSE)</f>
        <v/>
      </c>
      <c r="C314">
        <f>VLOOKUP(A314,'Production Plan'!B:F,5,FALSE)</f>
        <v/>
      </c>
    </row>
    <row r="315" hidden="1">
      <c r="A315">
        <f>'Production Plan'!B315</f>
        <v/>
      </c>
      <c r="B315">
        <f>VLOOKUP(A315,'Production Plan'!B:S,16,FALSE)</f>
        <v/>
      </c>
      <c r="C315">
        <f>VLOOKUP(A315,'Production Plan'!B:F,5,FALSE)</f>
        <v/>
      </c>
    </row>
    <row r="316" hidden="1">
      <c r="A316">
        <f>'Production Plan'!B316</f>
        <v/>
      </c>
      <c r="B316">
        <f>VLOOKUP(A316,'Production Plan'!B:S,16,FALSE)</f>
        <v/>
      </c>
      <c r="C316">
        <f>VLOOKUP(A316,'Production Plan'!B:F,5,FALSE)</f>
        <v/>
      </c>
    </row>
    <row r="317" hidden="1">
      <c r="A317">
        <f>'Production Plan'!B317</f>
        <v/>
      </c>
      <c r="B317">
        <f>VLOOKUP(A317,'Production Plan'!B:S,16,FALSE)</f>
        <v/>
      </c>
      <c r="C317">
        <f>VLOOKUP(A317,'Production Plan'!B:F,5,FALSE)</f>
        <v/>
      </c>
    </row>
    <row r="318" hidden="1">
      <c r="A318">
        <f>'Production Plan'!B318</f>
        <v/>
      </c>
      <c r="B318">
        <f>VLOOKUP(A318,'Production Plan'!B:S,16,FALSE)</f>
        <v/>
      </c>
      <c r="C318">
        <f>VLOOKUP(A318,'Production Plan'!B:F,5,FALSE)</f>
        <v/>
      </c>
    </row>
    <row r="319" hidden="1">
      <c r="A319">
        <f>'Production Plan'!B319</f>
        <v/>
      </c>
      <c r="B319">
        <f>VLOOKUP(A319,'Production Plan'!B:S,16,FALSE)</f>
        <v/>
      </c>
      <c r="C319">
        <f>VLOOKUP(A319,'Production Plan'!B:F,5,FALSE)</f>
        <v/>
      </c>
    </row>
    <row r="320" hidden="1">
      <c r="A320">
        <f>'Production Plan'!B320</f>
        <v/>
      </c>
      <c r="B320">
        <f>VLOOKUP(A320,'Production Plan'!B:S,16,FALSE)</f>
        <v/>
      </c>
      <c r="C320">
        <f>VLOOKUP(A320,'Production Plan'!B:F,5,FALSE)</f>
        <v/>
      </c>
    </row>
    <row r="321" hidden="1">
      <c r="A321">
        <f>'Production Plan'!B321</f>
        <v/>
      </c>
      <c r="B321">
        <f>VLOOKUP(A321,'Production Plan'!B:S,16,FALSE)</f>
        <v/>
      </c>
      <c r="C321">
        <f>VLOOKUP(A321,'Production Plan'!B:F,5,FALSE)</f>
        <v/>
      </c>
    </row>
    <row r="322" hidden="1">
      <c r="A322">
        <f>'Production Plan'!B322</f>
        <v/>
      </c>
      <c r="B322">
        <f>VLOOKUP(A322,'Production Plan'!B:S,16,FALSE)</f>
        <v/>
      </c>
      <c r="C322">
        <f>VLOOKUP(A322,'Production Plan'!B:F,5,FALSE)</f>
        <v/>
      </c>
    </row>
    <row r="323" hidden="1">
      <c r="A323">
        <f>'Production Plan'!#REF!</f>
        <v/>
      </c>
      <c r="B323">
        <f>VLOOKUP(A323,'Production Plan'!B:S,16,FALSE)</f>
        <v/>
      </c>
      <c r="C323">
        <f>VLOOKUP(A323,'Production Plan'!B:F,5,FALSE)</f>
        <v/>
      </c>
    </row>
    <row r="324" hidden="1">
      <c r="A324">
        <f>'Production Plan'!B323</f>
        <v/>
      </c>
      <c r="B324">
        <f>VLOOKUP(A324,'Production Plan'!B:S,16,FALSE)</f>
        <v/>
      </c>
      <c r="C324">
        <f>VLOOKUP(A324,'Production Plan'!B:F,5,FALSE)</f>
        <v/>
      </c>
    </row>
    <row r="325" hidden="1">
      <c r="A325">
        <f>'Production Plan'!B324</f>
        <v/>
      </c>
      <c r="B325">
        <f>VLOOKUP(A325,'Production Plan'!B:S,16,FALSE)</f>
        <v/>
      </c>
      <c r="C325">
        <f>VLOOKUP(A325,'Production Plan'!B:F,5,FALSE)</f>
        <v/>
      </c>
    </row>
    <row r="326" hidden="1">
      <c r="A326">
        <f>'Production Plan'!B325</f>
        <v/>
      </c>
      <c r="B326">
        <f>VLOOKUP(A326,'Production Plan'!B:S,16,FALSE)</f>
        <v/>
      </c>
      <c r="C326">
        <f>VLOOKUP(A326,'Production Plan'!B:F,5,FALSE)</f>
        <v/>
      </c>
    </row>
    <row r="327" hidden="1">
      <c r="A327">
        <f>'Production Plan'!B326</f>
        <v/>
      </c>
      <c r="B327">
        <f>VLOOKUP(A327,'Production Plan'!B:S,16,FALSE)</f>
        <v/>
      </c>
      <c r="C327">
        <f>VLOOKUP(A327,'Production Plan'!B:F,5,FALSE)</f>
        <v/>
      </c>
    </row>
    <row r="328" hidden="1">
      <c r="A328">
        <f>'Production Plan'!B327</f>
        <v/>
      </c>
      <c r="B328">
        <f>VLOOKUP(A328,'Production Plan'!B:S,16,FALSE)</f>
        <v/>
      </c>
      <c r="C328">
        <f>VLOOKUP(A328,'Production Plan'!B:F,5,FALSE)</f>
        <v/>
      </c>
    </row>
    <row r="329" hidden="1">
      <c r="A329">
        <f>'Production Plan'!B328</f>
        <v/>
      </c>
      <c r="B329">
        <f>VLOOKUP(A329,'Production Plan'!B:S,16,FALSE)</f>
        <v/>
      </c>
      <c r="C329">
        <f>VLOOKUP(A329,'Production Plan'!B:F,5,FALSE)</f>
        <v/>
      </c>
    </row>
    <row r="330" hidden="1">
      <c r="A330">
        <f>'Production Plan'!B329</f>
        <v/>
      </c>
      <c r="B330">
        <f>VLOOKUP(A330,'Production Plan'!B:S,16,FALSE)</f>
        <v/>
      </c>
      <c r="C330">
        <f>VLOOKUP(A330,'Production Plan'!B:F,5,FALSE)</f>
        <v/>
      </c>
    </row>
    <row r="331" hidden="1">
      <c r="A331">
        <f>'Production Plan'!B330</f>
        <v/>
      </c>
      <c r="B331">
        <f>VLOOKUP(A331,'Production Plan'!B:S,16,FALSE)</f>
        <v/>
      </c>
      <c r="C331">
        <f>VLOOKUP(A331,'Production Plan'!B:F,5,FALSE)</f>
        <v/>
      </c>
    </row>
    <row r="332" hidden="1">
      <c r="A332">
        <f>'Production Plan'!B331</f>
        <v/>
      </c>
      <c r="B332">
        <f>VLOOKUP(A332,'Production Plan'!B:S,16,FALSE)</f>
        <v/>
      </c>
      <c r="C332">
        <f>VLOOKUP(A332,'Production Plan'!B:F,5,FALSE)</f>
        <v/>
      </c>
    </row>
    <row r="333" hidden="1">
      <c r="A333">
        <f>'Production Plan'!B332</f>
        <v/>
      </c>
      <c r="B333">
        <f>VLOOKUP(A333,'Production Plan'!B:S,16,FALSE)</f>
        <v/>
      </c>
      <c r="C333">
        <f>VLOOKUP(A333,'Production Plan'!B:F,5,FALSE)</f>
        <v/>
      </c>
    </row>
    <row r="334" hidden="1">
      <c r="A334">
        <f>'Production Plan'!B333</f>
        <v/>
      </c>
      <c r="B334">
        <f>VLOOKUP(A334,'Production Plan'!B:S,16,FALSE)</f>
        <v/>
      </c>
      <c r="C334">
        <f>VLOOKUP(A334,'Production Plan'!B:F,5,FALSE)</f>
        <v/>
      </c>
    </row>
    <row r="335" hidden="1">
      <c r="A335">
        <f>'Production Plan'!B334</f>
        <v/>
      </c>
      <c r="B335">
        <f>VLOOKUP(A335,'Production Plan'!B:S,16,FALSE)</f>
        <v/>
      </c>
      <c r="C335">
        <f>VLOOKUP(A335,'Production Plan'!B:F,5,FALSE)</f>
        <v/>
      </c>
    </row>
    <row r="336" hidden="1">
      <c r="A336">
        <f>'Production Plan'!B335</f>
        <v/>
      </c>
      <c r="B336">
        <f>VLOOKUP(A336,'Production Plan'!B:S,16,FALSE)</f>
        <v/>
      </c>
      <c r="C336">
        <f>VLOOKUP(A336,'Production Plan'!B:F,5,FALSE)</f>
        <v/>
      </c>
    </row>
    <row r="337" hidden="1">
      <c r="A337">
        <f>'Production Plan'!B336</f>
        <v/>
      </c>
      <c r="B337">
        <f>VLOOKUP(A337,'Production Plan'!B:S,16,FALSE)</f>
        <v/>
      </c>
      <c r="C337">
        <f>VLOOKUP(A337,'Production Plan'!B:F,5,FALSE)</f>
        <v/>
      </c>
    </row>
    <row r="338" hidden="1">
      <c r="A338">
        <f>'Production Plan'!B337</f>
        <v/>
      </c>
      <c r="B338">
        <f>VLOOKUP(A338,'Production Plan'!B:S,16,FALSE)</f>
        <v/>
      </c>
      <c r="C338">
        <f>VLOOKUP(A338,'Production Plan'!B:F,5,FALSE)</f>
        <v/>
      </c>
    </row>
    <row r="339" hidden="1">
      <c r="A339">
        <f>'Production Plan'!B338</f>
        <v/>
      </c>
      <c r="B339">
        <f>VLOOKUP(A339,'Production Plan'!B:S,16,FALSE)</f>
        <v/>
      </c>
      <c r="C339">
        <f>VLOOKUP(A339,'Production Plan'!B:F,5,FALSE)</f>
        <v/>
      </c>
    </row>
    <row r="340" hidden="1">
      <c r="A340">
        <f>'Production Plan'!B339</f>
        <v/>
      </c>
      <c r="B340">
        <f>VLOOKUP(A340,'Production Plan'!B:S,16,FALSE)</f>
        <v/>
      </c>
      <c r="C340">
        <f>VLOOKUP(A340,'Production Plan'!B:F,5,FALSE)</f>
        <v/>
      </c>
    </row>
    <row r="341" hidden="1">
      <c r="A341">
        <f>'Production Plan'!B340</f>
        <v/>
      </c>
      <c r="B341">
        <f>VLOOKUP(A341,'Production Plan'!B:S,16,FALSE)</f>
        <v/>
      </c>
      <c r="C341">
        <f>VLOOKUP(A341,'Production Plan'!B:F,5,FALSE)</f>
        <v/>
      </c>
    </row>
    <row r="342" hidden="1">
      <c r="A342">
        <f>'Production Plan'!B341</f>
        <v/>
      </c>
      <c r="B342">
        <f>VLOOKUP(A342,'Production Plan'!B:S,16,FALSE)</f>
        <v/>
      </c>
      <c r="C342">
        <f>VLOOKUP(A342,'Production Plan'!B:F,5,FALSE)</f>
        <v/>
      </c>
    </row>
    <row r="343" hidden="1">
      <c r="A343">
        <f>'Production Plan'!B342</f>
        <v/>
      </c>
      <c r="B343">
        <f>VLOOKUP(A343,'Production Plan'!B:S,16,FALSE)</f>
        <v/>
      </c>
      <c r="C343">
        <f>VLOOKUP(A343,'Production Plan'!B:F,5,FALSE)</f>
        <v/>
      </c>
    </row>
    <row r="344" hidden="1">
      <c r="A344">
        <f>'Production Plan'!B343</f>
        <v/>
      </c>
      <c r="B344">
        <f>VLOOKUP(A344,'Production Plan'!B:S,16,FALSE)</f>
        <v/>
      </c>
      <c r="C344">
        <f>VLOOKUP(A344,'Production Plan'!B:F,5,FALSE)</f>
        <v/>
      </c>
    </row>
    <row r="345" hidden="1">
      <c r="A345">
        <f>'Production Plan'!B344</f>
        <v/>
      </c>
      <c r="B345">
        <f>VLOOKUP(A345,'Production Plan'!B:S,16,FALSE)</f>
        <v/>
      </c>
      <c r="C345">
        <f>VLOOKUP(A345,'Production Plan'!B:F,5,FALSE)</f>
        <v/>
      </c>
    </row>
    <row r="346" hidden="1">
      <c r="A346">
        <f>'Production Plan'!B345</f>
        <v/>
      </c>
      <c r="B346">
        <f>VLOOKUP(A346,'Production Plan'!B:S,16,FALSE)</f>
        <v/>
      </c>
      <c r="C346">
        <f>VLOOKUP(A346,'Production Plan'!B:F,5,FALSE)</f>
        <v/>
      </c>
    </row>
    <row r="347" hidden="1">
      <c r="A347">
        <f>'Production Plan'!B346</f>
        <v/>
      </c>
      <c r="B347">
        <f>VLOOKUP(A347,'Production Plan'!B:S,16,FALSE)</f>
        <v/>
      </c>
      <c r="C347">
        <f>VLOOKUP(A347,'Production Plan'!B:F,5,FALSE)</f>
        <v/>
      </c>
    </row>
    <row r="348" hidden="1">
      <c r="A348">
        <f>'Production Plan'!B347</f>
        <v/>
      </c>
      <c r="B348">
        <f>VLOOKUP(A348,'Production Plan'!B:S,16,FALSE)</f>
        <v/>
      </c>
      <c r="C348">
        <f>VLOOKUP(A348,'Production Plan'!B:F,5,FALSE)</f>
        <v/>
      </c>
    </row>
    <row r="349" hidden="1">
      <c r="A349">
        <f>'Production Plan'!B348</f>
        <v/>
      </c>
      <c r="B349">
        <f>VLOOKUP(A349,'Production Plan'!B:S,16,FALSE)</f>
        <v/>
      </c>
      <c r="C349">
        <f>VLOOKUP(A349,'Production Plan'!B:F,5,FALSE)</f>
        <v/>
      </c>
    </row>
    <row r="350" hidden="1">
      <c r="A350">
        <f>'Production Plan'!B349</f>
        <v/>
      </c>
      <c r="B350">
        <f>VLOOKUP(A350,'Production Plan'!B:S,16,FALSE)</f>
        <v/>
      </c>
      <c r="C350">
        <f>VLOOKUP(A350,'Production Plan'!B:F,5,FALSE)</f>
        <v/>
      </c>
    </row>
    <row r="351" hidden="1">
      <c r="A351">
        <f>'Production Plan'!B350</f>
        <v/>
      </c>
      <c r="B351">
        <f>VLOOKUP(A351,'Production Plan'!B:S,16,FALSE)</f>
        <v/>
      </c>
      <c r="C351">
        <f>VLOOKUP(A351,'Production Plan'!B:F,5,FALSE)</f>
        <v/>
      </c>
    </row>
    <row r="352" hidden="1">
      <c r="A352">
        <f>'Production Plan'!B351</f>
        <v/>
      </c>
      <c r="B352">
        <f>VLOOKUP(A352,'Production Plan'!B:S,16,FALSE)</f>
        <v/>
      </c>
      <c r="C352">
        <f>VLOOKUP(A352,'Production Plan'!B:F,5,FALSE)</f>
        <v/>
      </c>
    </row>
    <row r="353" hidden="1">
      <c r="A353">
        <f>'Production Plan'!B352</f>
        <v/>
      </c>
      <c r="B353">
        <f>VLOOKUP(A353,'Production Plan'!B:S,16,FALSE)</f>
        <v/>
      </c>
      <c r="C353">
        <f>VLOOKUP(A353,'Production Plan'!B:F,5,FALSE)</f>
        <v/>
      </c>
    </row>
    <row r="354" hidden="1">
      <c r="A354">
        <f>'Production Plan'!B353</f>
        <v/>
      </c>
      <c r="B354">
        <f>VLOOKUP(A354,'Production Plan'!B:S,16,FALSE)</f>
        <v/>
      </c>
      <c r="C354">
        <f>VLOOKUP(A354,'Production Plan'!B:F,5,FALSE)</f>
        <v/>
      </c>
    </row>
    <row r="355" hidden="1">
      <c r="A355">
        <f>'Production Plan'!B354</f>
        <v/>
      </c>
      <c r="B355">
        <f>VLOOKUP(A355,'Production Plan'!B:S,16,FALSE)</f>
        <v/>
      </c>
      <c r="C355">
        <f>VLOOKUP(A355,'Production Plan'!B:F,5,FALSE)</f>
        <v/>
      </c>
    </row>
    <row r="356" hidden="1">
      <c r="A356">
        <f>'Production Plan'!B355</f>
        <v/>
      </c>
      <c r="B356">
        <f>VLOOKUP(A356,'Production Plan'!B:S,16,FALSE)</f>
        <v/>
      </c>
      <c r="C356">
        <f>VLOOKUP(A356,'Production Plan'!B:F,5,FALSE)</f>
        <v/>
      </c>
    </row>
    <row r="357" hidden="1">
      <c r="A357">
        <f>'Production Plan'!B356</f>
        <v/>
      </c>
      <c r="B357">
        <f>VLOOKUP(A357,'Production Plan'!B:S,16,FALSE)</f>
        <v/>
      </c>
      <c r="C357">
        <f>VLOOKUP(A357,'Production Plan'!B:F,5,FALSE)</f>
        <v/>
      </c>
    </row>
    <row r="358" hidden="1">
      <c r="A358">
        <f>'Production Plan'!B357</f>
        <v/>
      </c>
      <c r="B358">
        <f>VLOOKUP(A358,'Production Plan'!B:S,16,FALSE)</f>
        <v/>
      </c>
      <c r="C358">
        <f>VLOOKUP(A358,'Production Plan'!B:F,5,FALSE)</f>
        <v/>
      </c>
    </row>
    <row r="359" hidden="1">
      <c r="A359">
        <f>'Production Plan'!#REF!</f>
        <v/>
      </c>
      <c r="B359">
        <f>VLOOKUP(A359,'Production Plan'!B:S,16,FALSE)</f>
        <v/>
      </c>
      <c r="C359">
        <f>VLOOKUP(A359,'Production Plan'!B:F,5,FALSE)</f>
        <v/>
      </c>
    </row>
    <row r="360" hidden="1">
      <c r="A360">
        <f>'Production Plan'!#REF!</f>
        <v/>
      </c>
      <c r="B360">
        <f>VLOOKUP(A360,'Production Plan'!B:S,16,FALSE)</f>
        <v/>
      </c>
      <c r="C360">
        <f>VLOOKUP(A360,'Production Plan'!B:F,5,FALSE)</f>
        <v/>
      </c>
    </row>
    <row r="361" hidden="1">
      <c r="A361">
        <f>'Production Plan'!#REF!</f>
        <v/>
      </c>
      <c r="B361">
        <f>VLOOKUP(A361,'Production Plan'!B:S,16,FALSE)</f>
        <v/>
      </c>
      <c r="C361">
        <f>VLOOKUP(A361,'Production Plan'!B:F,5,FALSE)</f>
        <v/>
      </c>
    </row>
    <row r="362" hidden="1">
      <c r="A362">
        <f>'Production Plan'!#REF!</f>
        <v/>
      </c>
      <c r="B362">
        <f>VLOOKUP(A362,'Production Plan'!B:S,16,FALSE)</f>
        <v/>
      </c>
      <c r="C362">
        <f>VLOOKUP(A362,'Production Plan'!B:F,5,FALSE)</f>
        <v/>
      </c>
    </row>
    <row r="363" hidden="1">
      <c r="A363">
        <f>'Production Plan'!#REF!</f>
        <v/>
      </c>
      <c r="B363">
        <f>VLOOKUP(A363,'Production Plan'!B:S,16,FALSE)</f>
        <v/>
      </c>
      <c r="C363">
        <f>VLOOKUP(A363,'Production Plan'!B:F,5,FALSE)</f>
        <v/>
      </c>
    </row>
    <row r="364" hidden="1">
      <c r="A364">
        <f>'Production Plan'!#REF!</f>
        <v/>
      </c>
      <c r="B364">
        <f>VLOOKUP(A364,'Production Plan'!B:S,16,FALSE)</f>
        <v/>
      </c>
      <c r="C364">
        <f>VLOOKUP(A364,'Production Plan'!B:F,5,FALSE)</f>
        <v/>
      </c>
    </row>
    <row r="365" hidden="1">
      <c r="A365">
        <f>'Production Plan'!#REF!</f>
        <v/>
      </c>
      <c r="B365">
        <f>VLOOKUP(A365,'Production Plan'!B:S,16,FALSE)</f>
        <v/>
      </c>
      <c r="C365">
        <f>VLOOKUP(A365,'Production Plan'!B:F,5,FALSE)</f>
        <v/>
      </c>
    </row>
    <row r="366" hidden="1">
      <c r="A366">
        <f>'Production Plan'!#REF!</f>
        <v/>
      </c>
      <c r="B366">
        <f>VLOOKUP(A366,'Production Plan'!B:S,16,FALSE)</f>
        <v/>
      </c>
      <c r="C366">
        <f>VLOOKUP(A366,'Production Plan'!B:F,5,FALSE)</f>
        <v/>
      </c>
    </row>
    <row r="367" hidden="1">
      <c r="A367">
        <f>'Production Plan'!#REF!</f>
        <v/>
      </c>
      <c r="B367">
        <f>VLOOKUP(A367,'Production Plan'!B:S,16,FALSE)</f>
        <v/>
      </c>
      <c r="C367">
        <f>VLOOKUP(A367,'Production Plan'!B:F,5,FALSE)</f>
        <v/>
      </c>
    </row>
    <row r="368" hidden="1">
      <c r="A368">
        <f>'Production Plan'!#REF!</f>
        <v/>
      </c>
      <c r="B368">
        <f>VLOOKUP(A368,'Production Plan'!B:S,16,FALSE)</f>
        <v/>
      </c>
      <c r="C368">
        <f>VLOOKUP(A368,'Production Plan'!B:F,5,FALSE)</f>
        <v/>
      </c>
    </row>
    <row r="369" hidden="1">
      <c r="A369">
        <f>'Production Plan'!#REF!</f>
        <v/>
      </c>
      <c r="B369">
        <f>VLOOKUP(A369,'Production Plan'!B:S,16,FALSE)</f>
        <v/>
      </c>
      <c r="C369">
        <f>VLOOKUP(A369,'Production Plan'!B:F,5,FALSE)</f>
        <v/>
      </c>
    </row>
    <row r="370" hidden="1">
      <c r="A370">
        <f>'Production Plan'!B358</f>
        <v/>
      </c>
      <c r="B370">
        <f>VLOOKUP(A370,'Production Plan'!B:S,16,FALSE)</f>
        <v/>
      </c>
      <c r="C370">
        <f>VLOOKUP(A370,'Production Plan'!B:F,5,FALSE)</f>
        <v/>
      </c>
    </row>
    <row r="371" hidden="1">
      <c r="A371">
        <f>'Production Plan'!B359</f>
        <v/>
      </c>
      <c r="B371">
        <f>VLOOKUP(A371,'Production Plan'!B:S,16,FALSE)</f>
        <v/>
      </c>
      <c r="C371">
        <f>VLOOKUP(A371,'Production Plan'!B:F,5,FALSE)</f>
        <v/>
      </c>
    </row>
    <row r="372" hidden="1">
      <c r="A372">
        <f>'Production Plan'!B360</f>
        <v/>
      </c>
      <c r="B372">
        <f>VLOOKUP(A372,'Production Plan'!B:S,16,FALSE)</f>
        <v/>
      </c>
      <c r="C372">
        <f>VLOOKUP(A372,'Production Plan'!B:F,5,FALSE)</f>
        <v/>
      </c>
    </row>
    <row r="373" hidden="1">
      <c r="A373">
        <f>'Production Plan'!B361</f>
        <v/>
      </c>
      <c r="B373">
        <f>VLOOKUP(A373,'Production Plan'!B:S,16,FALSE)</f>
        <v/>
      </c>
      <c r="C373">
        <f>VLOOKUP(A373,'Production Plan'!B:F,5,FALSE)</f>
        <v/>
      </c>
    </row>
    <row r="374" hidden="1">
      <c r="A374">
        <f>'Production Plan'!B362</f>
        <v/>
      </c>
      <c r="B374">
        <f>VLOOKUP(A374,'Production Plan'!B:S,16,FALSE)</f>
        <v/>
      </c>
      <c r="C374">
        <f>VLOOKUP(A374,'Production Plan'!B:F,5,FALSE)</f>
        <v/>
      </c>
    </row>
    <row r="375" hidden="1">
      <c r="A375">
        <f>'Production Plan'!B363</f>
        <v/>
      </c>
      <c r="B375">
        <f>VLOOKUP(A375,'Production Plan'!B:S,16,FALSE)</f>
        <v/>
      </c>
      <c r="C375">
        <f>VLOOKUP(A375,'Production Plan'!B:F,5,FALSE)</f>
        <v/>
      </c>
    </row>
    <row r="376" hidden="1">
      <c r="A376">
        <f>'Production Plan'!B364</f>
        <v/>
      </c>
      <c r="B376">
        <f>VLOOKUP(A376,'Production Plan'!B:S,16,FALSE)</f>
        <v/>
      </c>
      <c r="C376">
        <f>VLOOKUP(A376,'Production Plan'!B:F,5,FALSE)</f>
        <v/>
      </c>
    </row>
    <row r="377" hidden="1">
      <c r="A377">
        <f>'Production Plan'!B365</f>
        <v/>
      </c>
      <c r="B377">
        <f>VLOOKUP(A377,'Production Plan'!B:S,16,FALSE)</f>
        <v/>
      </c>
      <c r="C377">
        <f>VLOOKUP(A377,'Production Plan'!B:F,5,FALSE)</f>
        <v/>
      </c>
    </row>
    <row r="378" hidden="1">
      <c r="A378">
        <f>'Production Plan'!B366</f>
        <v/>
      </c>
      <c r="B378">
        <f>VLOOKUP(A378,'Production Plan'!B:S,16,FALSE)</f>
        <v/>
      </c>
      <c r="C378">
        <f>VLOOKUP(A378,'Production Plan'!B:F,5,FALSE)</f>
        <v/>
      </c>
    </row>
    <row r="379" hidden="1">
      <c r="A379">
        <f>'Production Plan'!B367</f>
        <v/>
      </c>
      <c r="B379">
        <f>VLOOKUP(A379,'Production Plan'!B:S,16,FALSE)</f>
        <v/>
      </c>
      <c r="C379">
        <f>VLOOKUP(A379,'Production Plan'!B:F,5,FALSE)</f>
        <v/>
      </c>
    </row>
    <row r="380" hidden="1">
      <c r="A380">
        <f>'Production Plan'!B368</f>
        <v/>
      </c>
      <c r="B380">
        <f>VLOOKUP(A380,'Production Plan'!B:S,16,FALSE)</f>
        <v/>
      </c>
      <c r="C380">
        <f>VLOOKUP(A380,'Production Plan'!B:F,5,FALSE)</f>
        <v/>
      </c>
    </row>
    <row r="381" hidden="1">
      <c r="A381">
        <f>'Production Plan'!B369</f>
        <v/>
      </c>
      <c r="B381">
        <f>VLOOKUP(A381,'Production Plan'!B:S,16,FALSE)</f>
        <v/>
      </c>
      <c r="C381">
        <f>VLOOKUP(A381,'Production Plan'!B:F,5,FALSE)</f>
        <v/>
      </c>
    </row>
    <row r="382" hidden="1">
      <c r="A382">
        <f>'Production Plan'!B370</f>
        <v/>
      </c>
      <c r="B382">
        <f>VLOOKUP(A382,'Production Plan'!B:S,16,FALSE)</f>
        <v/>
      </c>
      <c r="C382">
        <f>VLOOKUP(A382,'Production Plan'!B:F,5,FALSE)</f>
        <v/>
      </c>
    </row>
    <row r="383" hidden="1">
      <c r="A383">
        <f>'Production Plan'!B371</f>
        <v/>
      </c>
      <c r="B383">
        <f>VLOOKUP(A383,'Production Plan'!B:S,16,FALSE)</f>
        <v/>
      </c>
      <c r="C383">
        <f>VLOOKUP(A383,'Production Plan'!B:F,5,FALSE)</f>
        <v/>
      </c>
    </row>
    <row r="384" hidden="1">
      <c r="A384">
        <f>'Production Plan'!B372</f>
        <v/>
      </c>
      <c r="B384">
        <f>VLOOKUP(A384,'Production Plan'!B:S,16,FALSE)</f>
        <v/>
      </c>
      <c r="C384">
        <f>VLOOKUP(A384,'Production Plan'!B:F,5,FALSE)</f>
        <v/>
      </c>
    </row>
    <row r="385" hidden="1">
      <c r="A385">
        <f>'Production Plan'!B373</f>
        <v/>
      </c>
      <c r="B385">
        <f>VLOOKUP(A385,'Production Plan'!B:S,16,FALSE)</f>
        <v/>
      </c>
      <c r="C385">
        <f>VLOOKUP(A385,'Production Plan'!B:F,5,FALSE)</f>
        <v/>
      </c>
    </row>
    <row r="386" hidden="1">
      <c r="A386">
        <f>'Production Plan'!B374</f>
        <v/>
      </c>
      <c r="B386">
        <f>VLOOKUP(A386,'Production Plan'!B:S,16,FALSE)</f>
        <v/>
      </c>
      <c r="C386">
        <f>VLOOKUP(A386,'Production Plan'!B:F,5,FALSE)</f>
        <v/>
      </c>
    </row>
    <row r="387" hidden="1">
      <c r="A387">
        <f>'Production Plan'!B375</f>
        <v/>
      </c>
      <c r="B387">
        <f>VLOOKUP(A387,'Production Plan'!B:S,16,FALSE)</f>
        <v/>
      </c>
      <c r="C387">
        <f>VLOOKUP(A387,'Production Plan'!B:F,5,FALSE)</f>
        <v/>
      </c>
    </row>
    <row r="388" hidden="1">
      <c r="A388">
        <f>'Production Plan'!B376</f>
        <v/>
      </c>
      <c r="B388">
        <f>VLOOKUP(A388,'Production Plan'!B:S,16,FALSE)</f>
        <v/>
      </c>
      <c r="C388">
        <f>VLOOKUP(A388,'Production Plan'!B:F,5,FALSE)</f>
        <v/>
      </c>
    </row>
    <row r="389" hidden="1">
      <c r="A389">
        <f>'Production Plan'!B377</f>
        <v/>
      </c>
      <c r="B389">
        <f>VLOOKUP(A389,'Production Plan'!B:S,16,FALSE)</f>
        <v/>
      </c>
      <c r="C389">
        <f>VLOOKUP(A389,'Production Plan'!B:F,5,FALSE)</f>
        <v/>
      </c>
    </row>
    <row r="390" hidden="1">
      <c r="A390">
        <f>'Production Plan'!B378</f>
        <v/>
      </c>
      <c r="B390">
        <f>VLOOKUP(A390,'Production Plan'!B:S,16,FALSE)</f>
        <v/>
      </c>
      <c r="C390">
        <f>VLOOKUP(A390,'Production Plan'!B:F,5,FALSE)</f>
        <v/>
      </c>
    </row>
    <row r="391" hidden="1">
      <c r="A391">
        <f>'Production Plan'!B379</f>
        <v/>
      </c>
      <c r="B391">
        <f>VLOOKUP(A391,'Production Plan'!B:S,16,FALSE)</f>
        <v/>
      </c>
      <c r="C391">
        <f>VLOOKUP(A391,'Production Plan'!B:F,5,FALSE)</f>
        <v/>
      </c>
    </row>
    <row r="392" hidden="1">
      <c r="A392">
        <f>'Production Plan'!B380</f>
        <v/>
      </c>
      <c r="B392">
        <f>VLOOKUP(A392,'Production Plan'!B:S,16,FALSE)</f>
        <v/>
      </c>
      <c r="C392">
        <f>VLOOKUP(A392,'Production Plan'!B:F,5,FALSE)</f>
        <v/>
      </c>
    </row>
    <row r="393" hidden="1">
      <c r="A393">
        <f>'Production Plan'!B381</f>
        <v/>
      </c>
      <c r="B393">
        <f>VLOOKUP(A393,'Production Plan'!B:S,16,FALSE)</f>
        <v/>
      </c>
      <c r="C393">
        <f>VLOOKUP(A393,'Production Plan'!B:F,5,FALSE)</f>
        <v/>
      </c>
    </row>
    <row r="394" hidden="1">
      <c r="A394">
        <f>'Production Plan'!B382</f>
        <v/>
      </c>
      <c r="B394">
        <f>VLOOKUP(A394,'Production Plan'!B:S,16,FALSE)</f>
        <v/>
      </c>
      <c r="C394">
        <f>VLOOKUP(A394,'Production Plan'!B:F,5,FALSE)</f>
        <v/>
      </c>
    </row>
    <row r="395" hidden="1">
      <c r="A395">
        <f>'Production Plan'!B383</f>
        <v/>
      </c>
      <c r="B395">
        <f>VLOOKUP(A395,'Production Plan'!B:S,16,FALSE)</f>
        <v/>
      </c>
      <c r="C395">
        <f>VLOOKUP(A395,'Production Plan'!B:F,5,FALSE)</f>
        <v/>
      </c>
    </row>
    <row r="396" hidden="1">
      <c r="A396">
        <f>'Production Plan'!B384</f>
        <v/>
      </c>
      <c r="B396">
        <f>VLOOKUP(A396,'Production Plan'!B:S,16,FALSE)</f>
        <v/>
      </c>
      <c r="C396">
        <f>VLOOKUP(A396,'Production Plan'!B:F,5,FALSE)</f>
        <v/>
      </c>
    </row>
    <row r="397" hidden="1">
      <c r="A397">
        <f>'Production Plan'!B385</f>
        <v/>
      </c>
      <c r="B397">
        <f>VLOOKUP(A397,'Production Plan'!B:S,16,FALSE)</f>
        <v/>
      </c>
      <c r="C397">
        <f>VLOOKUP(A397,'Production Plan'!B:F,5,FALSE)</f>
        <v/>
      </c>
    </row>
    <row r="398" hidden="1">
      <c r="A398">
        <f>'Production Plan'!B386</f>
        <v/>
      </c>
      <c r="B398">
        <f>VLOOKUP(A398,'Production Plan'!B:S,16,FALSE)</f>
        <v/>
      </c>
      <c r="C398">
        <f>VLOOKUP(A398,'Production Plan'!B:F,5,FALSE)</f>
        <v/>
      </c>
    </row>
    <row r="399" hidden="1">
      <c r="A399">
        <f>'Production Plan'!B387</f>
        <v/>
      </c>
      <c r="B399">
        <f>VLOOKUP(A399,'Production Plan'!B:S,16,FALSE)</f>
        <v/>
      </c>
      <c r="C399">
        <f>VLOOKUP(A399,'Production Plan'!B:F,5,FALSE)</f>
        <v/>
      </c>
    </row>
    <row r="400" hidden="1">
      <c r="A400">
        <f>'Production Plan'!B388</f>
        <v/>
      </c>
      <c r="B400">
        <f>VLOOKUP(A400,'Production Plan'!B:S,16,FALSE)</f>
        <v/>
      </c>
      <c r="C400">
        <f>VLOOKUP(A400,'Production Plan'!B:F,5,FALSE)</f>
        <v/>
      </c>
    </row>
    <row r="401" hidden="1">
      <c r="A401">
        <f>'Production Plan'!B389</f>
        <v/>
      </c>
      <c r="B401">
        <f>VLOOKUP(A401,'Production Plan'!B:S,16,FALSE)</f>
        <v/>
      </c>
      <c r="C401">
        <f>VLOOKUP(A401,'Production Plan'!B:F,5,FALSE)</f>
        <v/>
      </c>
    </row>
    <row r="402" hidden="1">
      <c r="A402">
        <f>'Production Plan'!B390</f>
        <v/>
      </c>
      <c r="B402">
        <f>VLOOKUP(A402,'Production Plan'!B:S,16,FALSE)</f>
        <v/>
      </c>
      <c r="C402">
        <f>VLOOKUP(A402,'Production Plan'!B:F,5,FALSE)</f>
        <v/>
      </c>
    </row>
    <row r="403" hidden="1">
      <c r="A403">
        <f>'Production Plan'!B391</f>
        <v/>
      </c>
      <c r="B403">
        <f>VLOOKUP(A403,'Production Plan'!B:S,16,FALSE)</f>
        <v/>
      </c>
      <c r="C403">
        <f>VLOOKUP(A403,'Production Plan'!B:F,5,FALSE)</f>
        <v/>
      </c>
    </row>
    <row r="404" hidden="1">
      <c r="A404">
        <f>'Production Plan'!B392</f>
        <v/>
      </c>
      <c r="B404">
        <f>VLOOKUP(A404,'Production Plan'!B:S,16,FALSE)</f>
        <v/>
      </c>
      <c r="C404">
        <f>VLOOKUP(A404,'Production Plan'!B:F,5,FALSE)</f>
        <v/>
      </c>
    </row>
    <row r="405" hidden="1">
      <c r="A405">
        <f>'Production Plan'!B393</f>
        <v/>
      </c>
      <c r="B405">
        <f>VLOOKUP(A405,'Production Plan'!B:S,16,FALSE)</f>
        <v/>
      </c>
      <c r="C405">
        <f>VLOOKUP(A405,'Production Plan'!B:F,5,FALSE)</f>
        <v/>
      </c>
    </row>
    <row r="406" hidden="1">
      <c r="A406">
        <f>'Production Plan'!B394</f>
        <v/>
      </c>
      <c r="B406">
        <f>VLOOKUP(A406,'Production Plan'!B:S,16,FALSE)</f>
        <v/>
      </c>
      <c r="C406">
        <f>VLOOKUP(A406,'Production Plan'!B:F,5,FALSE)</f>
        <v/>
      </c>
    </row>
    <row r="407" hidden="1">
      <c r="A407">
        <f>'Production Plan'!B395</f>
        <v/>
      </c>
      <c r="B407">
        <f>VLOOKUP(A407,'Production Plan'!B:S,16,FALSE)</f>
        <v/>
      </c>
      <c r="C407">
        <f>VLOOKUP(A407,'Production Plan'!B:F,5,FALSE)</f>
        <v/>
      </c>
    </row>
    <row r="408" hidden="1">
      <c r="A408">
        <f>'Production Plan'!B396</f>
        <v/>
      </c>
      <c r="B408">
        <f>VLOOKUP(A408,'Production Plan'!B:S,16,FALSE)</f>
        <v/>
      </c>
      <c r="C408">
        <f>VLOOKUP(A408,'Production Plan'!B:F,5,FALSE)</f>
        <v/>
      </c>
    </row>
    <row r="409" hidden="1">
      <c r="A409">
        <f>'Production Plan'!B397</f>
        <v/>
      </c>
      <c r="B409">
        <f>VLOOKUP(A409,'Production Plan'!B:S,16,FALSE)</f>
        <v/>
      </c>
      <c r="C409">
        <f>VLOOKUP(A409,'Production Plan'!B:F,5,FALSE)</f>
        <v/>
      </c>
    </row>
    <row r="410" hidden="1">
      <c r="A410">
        <f>'Production Plan'!B398</f>
        <v/>
      </c>
      <c r="B410">
        <f>VLOOKUP(A410,'Production Plan'!B:S,16,FALSE)</f>
        <v/>
      </c>
      <c r="C410">
        <f>VLOOKUP(A410,'Production Plan'!B:F,5,FALSE)</f>
        <v/>
      </c>
    </row>
    <row r="411" hidden="1">
      <c r="A411">
        <f>'Production Plan'!B399</f>
        <v/>
      </c>
      <c r="B411">
        <f>VLOOKUP(A411,'Production Plan'!B:S,16,FALSE)</f>
        <v/>
      </c>
      <c r="C411">
        <f>VLOOKUP(A411,'Production Plan'!B:F,5,FALSE)</f>
        <v/>
      </c>
    </row>
    <row r="412" hidden="1">
      <c r="A412">
        <f>'Production Plan'!B400</f>
        <v/>
      </c>
      <c r="B412">
        <f>VLOOKUP(A412,'Production Plan'!B:S,16,FALSE)</f>
        <v/>
      </c>
      <c r="C412">
        <f>VLOOKUP(A412,'Production Plan'!B:F,5,FALSE)</f>
        <v/>
      </c>
    </row>
    <row r="413" hidden="1">
      <c r="A413">
        <f>'Production Plan'!B401</f>
        <v/>
      </c>
      <c r="B413">
        <f>VLOOKUP(A413,'Production Plan'!B:S,16,FALSE)</f>
        <v/>
      </c>
      <c r="C413">
        <f>VLOOKUP(A413,'Production Plan'!B:F,5,FALSE)</f>
        <v/>
      </c>
    </row>
    <row r="414" hidden="1">
      <c r="A414">
        <f>'Production Plan'!B402</f>
        <v/>
      </c>
      <c r="B414">
        <f>VLOOKUP(A414,'Production Plan'!B:S,16,FALSE)</f>
        <v/>
      </c>
      <c r="C414">
        <f>VLOOKUP(A414,'Production Plan'!B:F,5,FALSE)</f>
        <v/>
      </c>
    </row>
    <row r="415" hidden="1">
      <c r="A415">
        <f>'Production Plan'!B403</f>
        <v/>
      </c>
      <c r="B415">
        <f>VLOOKUP(A415,'Production Plan'!B:S,16,FALSE)</f>
        <v/>
      </c>
      <c r="C415">
        <f>VLOOKUP(A415,'Production Plan'!B:F,5,FALSE)</f>
        <v/>
      </c>
    </row>
    <row r="416" hidden="1">
      <c r="A416">
        <f>'Production Plan'!B404</f>
        <v/>
      </c>
      <c r="B416">
        <f>VLOOKUP(A416,'Production Plan'!B:S,16,FALSE)</f>
        <v/>
      </c>
      <c r="C416">
        <f>VLOOKUP(A416,'Production Plan'!B:F,5,FALSE)</f>
        <v/>
      </c>
    </row>
    <row r="417" hidden="1">
      <c r="A417">
        <f>'Production Plan'!B405</f>
        <v/>
      </c>
      <c r="B417">
        <f>VLOOKUP(A417,'Production Plan'!B:S,16,FALSE)</f>
        <v/>
      </c>
      <c r="C417">
        <f>VLOOKUP(A417,'Production Plan'!B:F,5,FALSE)</f>
        <v/>
      </c>
    </row>
    <row r="418" hidden="1">
      <c r="A418">
        <f>'Production Plan'!B406</f>
        <v/>
      </c>
      <c r="B418">
        <f>VLOOKUP(A418,'Production Plan'!B:S,16,FALSE)</f>
        <v/>
      </c>
      <c r="C418">
        <f>VLOOKUP(A418,'Production Plan'!B:F,5,FALSE)</f>
        <v/>
      </c>
    </row>
    <row r="419" hidden="1">
      <c r="A419">
        <f>'Production Plan'!B407</f>
        <v/>
      </c>
      <c r="B419">
        <f>VLOOKUP(A419,'Production Plan'!B:S,16,FALSE)</f>
        <v/>
      </c>
      <c r="C419">
        <f>VLOOKUP(A419,'Production Plan'!B:F,5,FALSE)</f>
        <v/>
      </c>
    </row>
    <row r="420" hidden="1">
      <c r="A420">
        <f>'Production Plan'!B408</f>
        <v/>
      </c>
      <c r="B420">
        <f>VLOOKUP(A420,'Production Plan'!B:S,16,FALSE)</f>
        <v/>
      </c>
      <c r="C420">
        <f>VLOOKUP(A420,'Production Plan'!B:F,5,FALSE)</f>
        <v/>
      </c>
    </row>
    <row r="421" hidden="1">
      <c r="A421">
        <f>'Production Plan'!B409</f>
        <v/>
      </c>
      <c r="B421">
        <f>VLOOKUP(A421,'Production Plan'!B:S,16,FALSE)</f>
        <v/>
      </c>
      <c r="C421">
        <f>VLOOKUP(A421,'Production Plan'!B:F,5,FALSE)</f>
        <v/>
      </c>
    </row>
    <row r="422" hidden="1">
      <c r="A422">
        <f>'Production Plan'!B410</f>
        <v/>
      </c>
      <c r="B422">
        <f>VLOOKUP(A422,'Production Plan'!B:S,16,FALSE)</f>
        <v/>
      </c>
      <c r="C422">
        <f>VLOOKUP(A422,'Production Plan'!B:F,5,FALSE)</f>
        <v/>
      </c>
    </row>
    <row r="423" hidden="1">
      <c r="A423">
        <f>'Production Plan'!B411</f>
        <v/>
      </c>
      <c r="B423">
        <f>VLOOKUP(A423,'Production Plan'!B:S,16,FALSE)</f>
        <v/>
      </c>
      <c r="C423">
        <f>VLOOKUP(A423,'Production Plan'!B:F,5,FALSE)</f>
        <v/>
      </c>
    </row>
    <row r="424" hidden="1">
      <c r="A424">
        <f>'Production Plan'!B412</f>
        <v/>
      </c>
      <c r="B424">
        <f>VLOOKUP(A424,'Production Plan'!B:S,16,FALSE)</f>
        <v/>
      </c>
      <c r="C424">
        <f>VLOOKUP(A424,'Production Plan'!B:F,5,FALSE)</f>
        <v/>
      </c>
    </row>
    <row r="425" hidden="1">
      <c r="A425">
        <f>'Production Plan'!B413</f>
        <v/>
      </c>
      <c r="B425">
        <f>VLOOKUP(A425,'Production Plan'!B:S,16,FALSE)</f>
        <v/>
      </c>
      <c r="C425">
        <f>VLOOKUP(A425,'Production Plan'!B:F,5,FALSE)</f>
        <v/>
      </c>
    </row>
    <row r="426" hidden="1">
      <c r="A426">
        <f>'Production Plan'!B414</f>
        <v/>
      </c>
      <c r="B426">
        <f>VLOOKUP(A426,'Production Plan'!B:S,16,FALSE)</f>
        <v/>
      </c>
      <c r="C426">
        <f>VLOOKUP(A426,'Production Plan'!B:F,5,FALSE)</f>
        <v/>
      </c>
    </row>
    <row r="427" hidden="1">
      <c r="A427">
        <f>'Production Plan'!B415</f>
        <v/>
      </c>
      <c r="B427">
        <f>VLOOKUP(A427,'Production Plan'!B:S,16,FALSE)</f>
        <v/>
      </c>
      <c r="C427">
        <f>VLOOKUP(A427,'Production Plan'!B:F,5,FALSE)</f>
        <v/>
      </c>
    </row>
    <row r="428" hidden="1">
      <c r="A428">
        <f>'Production Plan'!B416</f>
        <v/>
      </c>
      <c r="B428">
        <f>VLOOKUP(A428,'Production Plan'!B:S,16,FALSE)</f>
        <v/>
      </c>
      <c r="C428">
        <f>VLOOKUP(A428,'Production Plan'!B:F,5,FALSE)</f>
        <v/>
      </c>
    </row>
    <row r="429" hidden="1">
      <c r="A429">
        <f>'Production Plan'!B417</f>
        <v/>
      </c>
      <c r="B429">
        <f>VLOOKUP(A429,'Production Plan'!B:S,16,FALSE)</f>
        <v/>
      </c>
      <c r="C429">
        <f>VLOOKUP(A429,'Production Plan'!B:F,5,FALSE)</f>
        <v/>
      </c>
    </row>
    <row r="430" hidden="1">
      <c r="A430">
        <f>'Production Plan'!B418</f>
        <v/>
      </c>
      <c r="B430">
        <f>VLOOKUP(A430,'Production Plan'!B:S,16,FALSE)</f>
        <v/>
      </c>
      <c r="C430">
        <f>VLOOKUP(A430,'Production Plan'!B:F,5,FALSE)</f>
        <v/>
      </c>
    </row>
    <row r="431" hidden="1">
      <c r="A431">
        <f>'Production Plan'!B419</f>
        <v/>
      </c>
      <c r="B431">
        <f>VLOOKUP(A431,'Production Plan'!B:S,16,FALSE)</f>
        <v/>
      </c>
      <c r="C431">
        <f>VLOOKUP(A431,'Production Plan'!B:F,5,FALSE)</f>
        <v/>
      </c>
    </row>
    <row r="432" hidden="1">
      <c r="A432">
        <f>'Production Plan'!B420</f>
        <v/>
      </c>
      <c r="B432">
        <f>VLOOKUP(A432,'Production Plan'!B:S,16,FALSE)</f>
        <v/>
      </c>
      <c r="C432">
        <f>VLOOKUP(A432,'Production Plan'!B:F,5,FALSE)</f>
        <v/>
      </c>
    </row>
    <row r="433" hidden="1">
      <c r="A433">
        <f>'Production Plan'!B421</f>
        <v/>
      </c>
      <c r="B433">
        <f>VLOOKUP(A433,'Production Plan'!B:S,16,FALSE)</f>
        <v/>
      </c>
      <c r="C433">
        <f>VLOOKUP(A433,'Production Plan'!B:F,5,FALSE)</f>
        <v/>
      </c>
    </row>
    <row r="434" hidden="1">
      <c r="A434">
        <f>'Production Plan'!B422</f>
        <v/>
      </c>
      <c r="B434">
        <f>VLOOKUP(A434,'Production Plan'!B:S,16,FALSE)</f>
        <v/>
      </c>
      <c r="C434">
        <f>VLOOKUP(A434,'Production Plan'!B:F,5,FALSE)</f>
        <v/>
      </c>
    </row>
    <row r="435" hidden="1">
      <c r="A435">
        <f>'Production Plan'!B423</f>
        <v/>
      </c>
      <c r="B435">
        <f>VLOOKUP(A435,'Production Plan'!B:S,16,FALSE)</f>
        <v/>
      </c>
      <c r="C435">
        <f>VLOOKUP(A435,'Production Plan'!B:F,5,FALSE)</f>
        <v/>
      </c>
    </row>
    <row r="436" hidden="1">
      <c r="A436">
        <f>'Production Plan'!B424</f>
        <v/>
      </c>
      <c r="B436">
        <f>VLOOKUP(A436,'Production Plan'!B:S,16,FALSE)</f>
        <v/>
      </c>
      <c r="C436">
        <f>VLOOKUP(A436,'Production Plan'!B:F,5,FALSE)</f>
        <v/>
      </c>
    </row>
    <row r="437" hidden="1">
      <c r="A437">
        <f>'Production Plan'!B425</f>
        <v/>
      </c>
      <c r="B437">
        <f>VLOOKUP(A437,'Production Plan'!B:S,16,FALSE)</f>
        <v/>
      </c>
      <c r="C437">
        <f>VLOOKUP(A437,'Production Plan'!B:F,5,FALSE)</f>
        <v/>
      </c>
    </row>
    <row r="438" hidden="1">
      <c r="A438">
        <f>'Production Plan'!B426</f>
        <v/>
      </c>
      <c r="B438">
        <f>VLOOKUP(A438,'Production Plan'!B:S,16,FALSE)</f>
        <v/>
      </c>
      <c r="C438">
        <f>VLOOKUP(A438,'Production Plan'!B:F,5,FALSE)</f>
        <v/>
      </c>
    </row>
    <row r="439" hidden="1">
      <c r="A439">
        <f>'Production Plan'!B427</f>
        <v/>
      </c>
      <c r="B439">
        <f>VLOOKUP(A439,'Production Plan'!B:S,16,FALSE)</f>
        <v/>
      </c>
      <c r="C439">
        <f>VLOOKUP(A439,'Production Plan'!B:F,5,FALSE)</f>
        <v/>
      </c>
    </row>
    <row r="440" hidden="1">
      <c r="A440">
        <f>'Production Plan'!B428</f>
        <v/>
      </c>
      <c r="B440">
        <f>VLOOKUP(A440,'Production Plan'!B:S,16,FALSE)</f>
        <v/>
      </c>
      <c r="C440">
        <f>VLOOKUP(A440,'Production Plan'!B:F,5,FALSE)</f>
        <v/>
      </c>
    </row>
    <row r="441" hidden="1">
      <c r="A441">
        <f>'Production Plan'!B429</f>
        <v/>
      </c>
      <c r="B441">
        <f>VLOOKUP(A441,'Production Plan'!B:S,16,FALSE)</f>
        <v/>
      </c>
      <c r="C441">
        <f>VLOOKUP(A441,'Production Plan'!B:F,5,FALSE)</f>
        <v/>
      </c>
    </row>
    <row r="442" hidden="1">
      <c r="A442">
        <f>'Production Plan'!B430</f>
        <v/>
      </c>
      <c r="B442">
        <f>VLOOKUP(A442,'Production Plan'!B:S,16,FALSE)</f>
        <v/>
      </c>
      <c r="C442">
        <f>VLOOKUP(A442,'Production Plan'!B:F,5,FALSE)</f>
        <v/>
      </c>
    </row>
    <row r="443" hidden="1">
      <c r="A443">
        <f>'Production Plan'!B431</f>
        <v/>
      </c>
      <c r="B443">
        <f>VLOOKUP(A443,'Production Plan'!B:S,16,FALSE)</f>
        <v/>
      </c>
      <c r="C443">
        <f>VLOOKUP(A443,'Production Plan'!B:F,5,FALSE)</f>
        <v/>
      </c>
    </row>
    <row r="444" hidden="1">
      <c r="A444">
        <f>'Production Plan'!B432</f>
        <v/>
      </c>
      <c r="B444">
        <f>VLOOKUP(A444,'Production Plan'!B:S,16,FALSE)</f>
        <v/>
      </c>
      <c r="C444">
        <f>VLOOKUP(A444,'Production Plan'!B:F,5,FALSE)</f>
        <v/>
      </c>
    </row>
    <row r="445" hidden="1">
      <c r="A445">
        <f>'Production Plan'!B433</f>
        <v/>
      </c>
      <c r="B445">
        <f>VLOOKUP(A445,'Production Plan'!B:S,16,FALSE)</f>
        <v/>
      </c>
      <c r="C445">
        <f>VLOOKUP(A445,'Production Plan'!B:F,5,FALSE)</f>
        <v/>
      </c>
    </row>
    <row r="446" hidden="1">
      <c r="A446">
        <f>'Production Plan'!B434</f>
        <v/>
      </c>
      <c r="B446">
        <f>VLOOKUP(A446,'Production Plan'!B:S,16,FALSE)</f>
        <v/>
      </c>
      <c r="C446">
        <f>VLOOKUP(A446,'Production Plan'!B:F,5,FALSE)</f>
        <v/>
      </c>
    </row>
    <row r="447" hidden="1">
      <c r="A447">
        <f>'Production Plan'!B435</f>
        <v/>
      </c>
      <c r="B447">
        <f>VLOOKUP(A447,'Production Plan'!B:S,16,FALSE)</f>
        <v/>
      </c>
      <c r="C447">
        <f>VLOOKUP(A447,'Production Plan'!B:F,5,FALSE)</f>
        <v/>
      </c>
    </row>
    <row r="448" hidden="1">
      <c r="A448">
        <f>'Production Plan'!B436</f>
        <v/>
      </c>
      <c r="B448">
        <f>VLOOKUP(A448,'Production Plan'!B:S,16,FALSE)</f>
        <v/>
      </c>
      <c r="C448">
        <f>VLOOKUP(A448,'Production Plan'!B:F,5,FALSE)</f>
        <v/>
      </c>
    </row>
    <row r="449" hidden="1">
      <c r="A449">
        <f>'Production Plan'!B437</f>
        <v/>
      </c>
      <c r="B449">
        <f>VLOOKUP(A449,'Production Plan'!B:S,16,FALSE)</f>
        <v/>
      </c>
      <c r="C449">
        <f>VLOOKUP(A449,'Production Plan'!B:F,5,FALSE)</f>
        <v/>
      </c>
    </row>
    <row r="450" hidden="1">
      <c r="A450">
        <f>'Production Plan'!B438</f>
        <v/>
      </c>
      <c r="B450">
        <f>VLOOKUP(A450,'Production Plan'!B:S,16,FALSE)</f>
        <v/>
      </c>
      <c r="C450">
        <f>VLOOKUP(A450,'Production Plan'!B:F,5,FALSE)</f>
        <v/>
      </c>
    </row>
    <row r="451" hidden="1">
      <c r="A451">
        <f>'Production Plan'!B439</f>
        <v/>
      </c>
      <c r="B451">
        <f>VLOOKUP(A451,'Production Plan'!B:S,16,FALSE)</f>
        <v/>
      </c>
      <c r="C451">
        <f>VLOOKUP(A451,'Production Plan'!B:F,5,FALSE)</f>
        <v/>
      </c>
    </row>
    <row r="452" hidden="1">
      <c r="A452">
        <f>'Production Plan'!B440</f>
        <v/>
      </c>
      <c r="B452">
        <f>VLOOKUP(A452,'Production Plan'!B:S,16,FALSE)</f>
        <v/>
      </c>
      <c r="C452">
        <f>VLOOKUP(A452,'Production Plan'!B:F,5,FALSE)</f>
        <v/>
      </c>
    </row>
    <row r="453" hidden="1">
      <c r="A453">
        <f>'Production Plan'!B441</f>
        <v/>
      </c>
      <c r="B453">
        <f>VLOOKUP(A453,'Production Plan'!B:S,16,FALSE)</f>
        <v/>
      </c>
      <c r="C453">
        <f>VLOOKUP(A453,'Production Plan'!B:F,5,FALSE)</f>
        <v/>
      </c>
    </row>
    <row r="454" hidden="1">
      <c r="A454">
        <f>'Production Plan'!B442</f>
        <v/>
      </c>
      <c r="B454">
        <f>VLOOKUP(A454,'Production Plan'!B:S,16,FALSE)</f>
        <v/>
      </c>
      <c r="C454">
        <f>VLOOKUP(A454,'Production Plan'!B:F,5,FALSE)</f>
        <v/>
      </c>
    </row>
    <row r="455" hidden="1">
      <c r="A455">
        <f>'Production Plan'!B443</f>
        <v/>
      </c>
      <c r="B455">
        <f>VLOOKUP(A455,'Production Plan'!B:S,16,FALSE)</f>
        <v/>
      </c>
      <c r="C455">
        <f>VLOOKUP(A455,'Production Plan'!B:F,5,FALSE)</f>
        <v/>
      </c>
    </row>
    <row r="456" hidden="1">
      <c r="A456">
        <f>'Production Plan'!B444</f>
        <v/>
      </c>
      <c r="B456">
        <f>VLOOKUP(A456,'Production Plan'!B:S,16,FALSE)</f>
        <v/>
      </c>
      <c r="C456">
        <f>VLOOKUP(A456,'Production Plan'!B:F,5,FALSE)</f>
        <v/>
      </c>
    </row>
    <row r="457" hidden="1">
      <c r="A457">
        <f>'Production Plan'!B445</f>
        <v/>
      </c>
      <c r="B457">
        <f>VLOOKUP(A457,'Production Plan'!B:S,16,FALSE)</f>
        <v/>
      </c>
      <c r="C457">
        <f>VLOOKUP(A457,'Production Plan'!B:F,5,FALSE)</f>
        <v/>
      </c>
    </row>
    <row r="458" hidden="1">
      <c r="A458">
        <f>'Production Plan'!B446</f>
        <v/>
      </c>
      <c r="B458">
        <f>VLOOKUP(A458,'Production Plan'!B:S,16,FALSE)</f>
        <v/>
      </c>
      <c r="C458">
        <f>VLOOKUP(A458,'Production Plan'!B:F,5,FALSE)</f>
        <v/>
      </c>
    </row>
    <row r="459" hidden="1">
      <c r="A459">
        <f>'Production Plan'!B447</f>
        <v/>
      </c>
      <c r="B459">
        <f>VLOOKUP(A459,'Production Plan'!B:S,16,FALSE)</f>
        <v/>
      </c>
      <c r="C459">
        <f>VLOOKUP(A459,'Production Plan'!B:F,5,FALSE)</f>
        <v/>
      </c>
    </row>
    <row r="460" hidden="1">
      <c r="A460">
        <f>'Production Plan'!B448</f>
        <v/>
      </c>
      <c r="B460">
        <f>VLOOKUP(A460,'Production Plan'!B:S,16,FALSE)</f>
        <v/>
      </c>
      <c r="C460">
        <f>VLOOKUP(A460,'Production Plan'!B:F,5,FALSE)</f>
        <v/>
      </c>
    </row>
    <row r="461" hidden="1">
      <c r="A461">
        <f>'Production Plan'!B449</f>
        <v/>
      </c>
      <c r="B461">
        <f>VLOOKUP(A461,'Production Plan'!B:S,16,FALSE)</f>
        <v/>
      </c>
      <c r="C461">
        <f>VLOOKUP(A461,'Production Plan'!B:F,5,FALSE)</f>
        <v/>
      </c>
    </row>
    <row r="462" hidden="1">
      <c r="A462">
        <f>'Production Plan'!B450</f>
        <v/>
      </c>
      <c r="B462">
        <f>VLOOKUP(A462,'Production Plan'!B:S,16,FALSE)</f>
        <v/>
      </c>
      <c r="C462">
        <f>VLOOKUP(A462,'Production Plan'!B:F,5,FALSE)</f>
        <v/>
      </c>
    </row>
    <row r="463" hidden="1">
      <c r="A463">
        <f>'Production Plan'!B451</f>
        <v/>
      </c>
      <c r="B463">
        <f>VLOOKUP(A463,'Production Plan'!B:S,16,FALSE)</f>
        <v/>
      </c>
      <c r="C463">
        <f>VLOOKUP(A463,'Production Plan'!B:F,5,FALSE)</f>
        <v/>
      </c>
    </row>
    <row r="464" hidden="1">
      <c r="A464">
        <f>'Production Plan'!B452</f>
        <v/>
      </c>
      <c r="B464">
        <f>VLOOKUP(A464,'Production Plan'!B:S,16,FALSE)</f>
        <v/>
      </c>
      <c r="C464">
        <f>VLOOKUP(A464,'Production Plan'!B:F,5,FALSE)</f>
        <v/>
      </c>
    </row>
    <row r="465" hidden="1">
      <c r="A465">
        <f>'Production Plan'!B453</f>
        <v/>
      </c>
      <c r="B465">
        <f>VLOOKUP(A465,'Production Plan'!B:S,16,FALSE)</f>
        <v/>
      </c>
      <c r="C465">
        <f>VLOOKUP(A465,'Production Plan'!B:F,5,FALSE)</f>
        <v/>
      </c>
    </row>
    <row r="466" hidden="1">
      <c r="A466">
        <f>'Production Plan'!B454</f>
        <v/>
      </c>
      <c r="B466">
        <f>VLOOKUP(A466,'Production Plan'!B:S,16,FALSE)</f>
        <v/>
      </c>
      <c r="C466">
        <f>VLOOKUP(A466,'Production Plan'!B:F,5,FALSE)</f>
        <v/>
      </c>
    </row>
    <row r="467" hidden="1">
      <c r="A467">
        <f>'Production Plan'!B455</f>
        <v/>
      </c>
      <c r="B467">
        <f>VLOOKUP(A467,'Production Plan'!B:S,16,FALSE)</f>
        <v/>
      </c>
      <c r="C467">
        <f>VLOOKUP(A467,'Production Plan'!B:F,5,FALSE)</f>
        <v/>
      </c>
    </row>
    <row r="468" hidden="1">
      <c r="A468">
        <f>'Production Plan'!B456</f>
        <v/>
      </c>
      <c r="B468">
        <f>VLOOKUP(A468,'Production Plan'!B:S,16,FALSE)</f>
        <v/>
      </c>
      <c r="C468">
        <f>VLOOKUP(A468,'Production Plan'!B:F,5,FALSE)</f>
        <v/>
      </c>
    </row>
    <row r="469" hidden="1">
      <c r="A469">
        <f>'Production Plan'!B457</f>
        <v/>
      </c>
      <c r="B469">
        <f>VLOOKUP(A469,'Production Plan'!B:S,16,FALSE)</f>
        <v/>
      </c>
      <c r="C469">
        <f>VLOOKUP(A469,'Production Plan'!B:F,5,FALSE)</f>
        <v/>
      </c>
    </row>
    <row r="470" hidden="1">
      <c r="A470">
        <f>'Production Plan'!B458</f>
        <v/>
      </c>
      <c r="B470">
        <f>VLOOKUP(A470,'Production Plan'!B:S,16,FALSE)</f>
        <v/>
      </c>
      <c r="C470">
        <f>VLOOKUP(A470,'Production Plan'!B:F,5,FALSE)</f>
        <v/>
      </c>
    </row>
    <row r="471" hidden="1">
      <c r="A471">
        <f>'Production Plan'!B459</f>
        <v/>
      </c>
      <c r="B471">
        <f>VLOOKUP(A471,'Production Plan'!B:S,16,FALSE)</f>
        <v/>
      </c>
      <c r="C471">
        <f>VLOOKUP(A471,'Production Plan'!B:F,5,FALSE)</f>
        <v/>
      </c>
    </row>
    <row r="472" hidden="1">
      <c r="A472">
        <f>'Production Plan'!B460</f>
        <v/>
      </c>
      <c r="B472">
        <f>VLOOKUP(A472,'Production Plan'!B:S,16,FALSE)</f>
        <v/>
      </c>
      <c r="C472">
        <f>VLOOKUP(A472,'Production Plan'!B:F,5,FALSE)</f>
        <v/>
      </c>
    </row>
    <row r="473" hidden="1">
      <c r="A473">
        <f>'Production Plan'!B461</f>
        <v/>
      </c>
      <c r="B473">
        <f>VLOOKUP(A473,'Production Plan'!B:S,16,FALSE)</f>
        <v/>
      </c>
      <c r="C473">
        <f>VLOOKUP(A473,'Production Plan'!B:F,5,FALSE)</f>
        <v/>
      </c>
    </row>
    <row r="474" hidden="1">
      <c r="A474">
        <f>'Production Plan'!B462</f>
        <v/>
      </c>
      <c r="B474">
        <f>VLOOKUP(A474,'Production Plan'!B:S,16,FALSE)</f>
        <v/>
      </c>
      <c r="C474">
        <f>VLOOKUP(A474,'Production Plan'!B:F,5,FALSE)</f>
        <v/>
      </c>
    </row>
    <row r="475" hidden="1">
      <c r="A475">
        <f>'Production Plan'!B463</f>
        <v/>
      </c>
      <c r="B475">
        <f>VLOOKUP(A475,'Production Plan'!B:S,16,FALSE)</f>
        <v/>
      </c>
      <c r="C475">
        <f>VLOOKUP(A475,'Production Plan'!B:F,5,FALSE)</f>
        <v/>
      </c>
    </row>
    <row r="476" hidden="1">
      <c r="A476">
        <f>'Production Plan'!B464</f>
        <v/>
      </c>
      <c r="B476">
        <f>VLOOKUP(A476,'Production Plan'!B:S,16,FALSE)</f>
        <v/>
      </c>
      <c r="C476">
        <f>VLOOKUP(A476,'Production Plan'!B:F,5,FALSE)</f>
        <v/>
      </c>
    </row>
    <row r="477" hidden="1">
      <c r="A477">
        <f>'Production Plan'!B465</f>
        <v/>
      </c>
      <c r="B477">
        <f>VLOOKUP(A477,'Production Plan'!B:S,16,FALSE)</f>
        <v/>
      </c>
      <c r="C477">
        <f>VLOOKUP(A477,'Production Plan'!B:F,5,FALSE)</f>
        <v/>
      </c>
    </row>
    <row r="478" hidden="1">
      <c r="A478">
        <f>'Production Plan'!B466</f>
        <v/>
      </c>
      <c r="B478">
        <f>VLOOKUP(A478,'Production Plan'!B:S,16,FALSE)</f>
        <v/>
      </c>
      <c r="C478">
        <f>VLOOKUP(A478,'Production Plan'!B:F,5,FALSE)</f>
        <v/>
      </c>
    </row>
    <row r="479" hidden="1">
      <c r="A479">
        <f>'Production Plan'!B467</f>
        <v/>
      </c>
      <c r="B479">
        <f>VLOOKUP(A479,'Production Plan'!B:S,16,FALSE)</f>
        <v/>
      </c>
      <c r="C479">
        <f>VLOOKUP(A479,'Production Plan'!B:F,5,FALSE)</f>
        <v/>
      </c>
    </row>
    <row r="480" hidden="1">
      <c r="A480">
        <f>'Production Plan'!B468</f>
        <v/>
      </c>
      <c r="B480">
        <f>VLOOKUP(A480,'Production Plan'!B:S,16,FALSE)</f>
        <v/>
      </c>
      <c r="C480">
        <f>VLOOKUP(A480,'Production Plan'!B:F,5,FALSE)</f>
        <v/>
      </c>
    </row>
    <row r="481" hidden="1">
      <c r="A481">
        <f>'Production Plan'!B469</f>
        <v/>
      </c>
      <c r="B481">
        <f>VLOOKUP(A481,'Production Plan'!B:S,16,FALSE)</f>
        <v/>
      </c>
      <c r="C481">
        <f>VLOOKUP(A481,'Production Plan'!B:F,5,FALSE)</f>
        <v/>
      </c>
    </row>
    <row r="482" hidden="1">
      <c r="A482">
        <f>'Production Plan'!B470</f>
        <v/>
      </c>
      <c r="B482">
        <f>VLOOKUP(A482,'Production Plan'!B:S,16,FALSE)</f>
        <v/>
      </c>
      <c r="C482">
        <f>VLOOKUP(A482,'Production Plan'!B:F,5,FALSE)</f>
        <v/>
      </c>
    </row>
    <row r="483" hidden="1">
      <c r="A483">
        <f>'Production Plan'!B471</f>
        <v/>
      </c>
      <c r="B483">
        <f>VLOOKUP(A483,'Production Plan'!B:S,16,FALSE)</f>
        <v/>
      </c>
      <c r="C483">
        <f>VLOOKUP(A483,'Production Plan'!B:F,5,FALSE)</f>
        <v/>
      </c>
    </row>
    <row r="484" hidden="1">
      <c r="A484">
        <f>'Production Plan'!B472</f>
        <v/>
      </c>
      <c r="B484">
        <f>VLOOKUP(A484,'Production Plan'!B:S,16,FALSE)</f>
        <v/>
      </c>
      <c r="C484">
        <f>VLOOKUP(A484,'Production Plan'!B:F,5,FALSE)</f>
        <v/>
      </c>
    </row>
    <row r="485" hidden="1">
      <c r="A485">
        <f>'Production Plan'!B473</f>
        <v/>
      </c>
      <c r="B485">
        <f>VLOOKUP(A485,'Production Plan'!B:S,16,FALSE)</f>
        <v/>
      </c>
      <c r="C485">
        <f>VLOOKUP(A485,'Production Plan'!B:F,5,FALSE)</f>
        <v/>
      </c>
    </row>
    <row r="486" hidden="1">
      <c r="A486">
        <f>'Production Plan'!B474</f>
        <v/>
      </c>
      <c r="B486">
        <f>VLOOKUP(A486,'Production Plan'!B:S,16,FALSE)</f>
        <v/>
      </c>
      <c r="C486">
        <f>VLOOKUP(A486,'Production Plan'!B:F,5,FALSE)</f>
        <v/>
      </c>
    </row>
    <row r="487" hidden="1">
      <c r="A487">
        <f>'Production Plan'!B475</f>
        <v/>
      </c>
      <c r="B487">
        <f>VLOOKUP(A487,'Production Plan'!B:S,16,FALSE)</f>
        <v/>
      </c>
      <c r="C487">
        <f>VLOOKUP(A487,'Production Plan'!B:F,5,FALSE)</f>
        <v/>
      </c>
    </row>
    <row r="488" hidden="1">
      <c r="A488">
        <f>'Production Plan'!B476</f>
        <v/>
      </c>
      <c r="B488">
        <f>VLOOKUP(A488,'Production Plan'!B:S,16,FALSE)</f>
        <v/>
      </c>
      <c r="C488">
        <f>VLOOKUP(A488,'Production Plan'!B:F,5,FALSE)</f>
        <v/>
      </c>
    </row>
    <row r="489" hidden="1">
      <c r="A489">
        <f>'Production Plan'!B477</f>
        <v/>
      </c>
      <c r="B489">
        <f>VLOOKUP(A489,'Production Plan'!B:S,16,FALSE)</f>
        <v/>
      </c>
      <c r="C489">
        <f>VLOOKUP(A489,'Production Plan'!B:F,5,FALSE)</f>
        <v/>
      </c>
    </row>
    <row r="490" hidden="1">
      <c r="A490">
        <f>'Production Plan'!B478</f>
        <v/>
      </c>
      <c r="B490">
        <f>VLOOKUP(A490,'Production Plan'!B:S,16,FALSE)</f>
        <v/>
      </c>
      <c r="C490">
        <f>VLOOKUP(A490,'Production Plan'!B:F,5,FALSE)</f>
        <v/>
      </c>
    </row>
    <row r="491" hidden="1">
      <c r="A491">
        <f>'Production Plan'!B479</f>
        <v/>
      </c>
      <c r="B491">
        <f>VLOOKUP(A491,'Production Plan'!B:S,16,FALSE)</f>
        <v/>
      </c>
      <c r="C491">
        <f>VLOOKUP(A491,'Production Plan'!B:F,5,FALSE)</f>
        <v/>
      </c>
    </row>
    <row r="492" hidden="1">
      <c r="A492">
        <f>'Production Plan'!B480</f>
        <v/>
      </c>
      <c r="B492">
        <f>VLOOKUP(A492,'Production Plan'!B:S,16,FALSE)</f>
        <v/>
      </c>
      <c r="C492">
        <f>VLOOKUP(A492,'Production Plan'!B:F,5,FALSE)</f>
        <v/>
      </c>
    </row>
    <row r="493" hidden="1">
      <c r="A493">
        <f>'Production Plan'!B481</f>
        <v/>
      </c>
      <c r="B493">
        <f>VLOOKUP(A493,'Production Plan'!B:S,16,FALSE)</f>
        <v/>
      </c>
      <c r="C493">
        <f>VLOOKUP(A493,'Production Plan'!B:F,5,FALSE)</f>
        <v/>
      </c>
    </row>
    <row r="494" hidden="1">
      <c r="A494">
        <f>'Production Plan'!B482</f>
        <v/>
      </c>
      <c r="B494">
        <f>VLOOKUP(A494,'Production Plan'!B:S,16,FALSE)</f>
        <v/>
      </c>
      <c r="C494">
        <f>VLOOKUP(A494,'Production Plan'!B:F,5,FALSE)</f>
        <v/>
      </c>
    </row>
    <row r="495" hidden="1">
      <c r="A495">
        <f>'Production Plan'!B483</f>
        <v/>
      </c>
      <c r="B495">
        <f>VLOOKUP(A495,'Production Plan'!B:S,16,FALSE)</f>
        <v/>
      </c>
      <c r="C495">
        <f>VLOOKUP(A495,'Production Plan'!B:F,5,FALSE)</f>
        <v/>
      </c>
    </row>
    <row r="496" hidden="1">
      <c r="A496">
        <f>'Production Plan'!B484</f>
        <v/>
      </c>
      <c r="B496">
        <f>VLOOKUP(A496,'Production Plan'!B:S,16,FALSE)</f>
        <v/>
      </c>
      <c r="C496">
        <f>VLOOKUP(A496,'Production Plan'!B:F,5,FALSE)</f>
        <v/>
      </c>
    </row>
    <row r="497" hidden="1">
      <c r="A497">
        <f>'Production Plan'!B485</f>
        <v/>
      </c>
      <c r="B497">
        <f>VLOOKUP(A497,'Production Plan'!B:S,16,FALSE)</f>
        <v/>
      </c>
      <c r="C497">
        <f>VLOOKUP(A497,'Production Plan'!B:F,5,FALSE)</f>
        <v/>
      </c>
    </row>
    <row r="498" hidden="1">
      <c r="A498">
        <f>'Production Plan'!B486</f>
        <v/>
      </c>
      <c r="B498">
        <f>VLOOKUP(A498,'Production Plan'!B:S,16,FALSE)</f>
        <v/>
      </c>
      <c r="C498">
        <f>VLOOKUP(A498,'Production Plan'!B:F,5,FALSE)</f>
        <v/>
      </c>
    </row>
    <row r="499" hidden="1">
      <c r="A499">
        <f>'Production Plan'!B487</f>
        <v/>
      </c>
      <c r="B499">
        <f>VLOOKUP(A499,'Production Plan'!B:S,16,FALSE)</f>
        <v/>
      </c>
      <c r="C499">
        <f>VLOOKUP(A499,'Production Plan'!B:F,5,FALSE)</f>
        <v/>
      </c>
    </row>
    <row r="500" hidden="1">
      <c r="A500">
        <f>'Production Plan'!B488</f>
        <v/>
      </c>
      <c r="B500">
        <f>VLOOKUP(A500,'Production Plan'!B:S,16,FALSE)</f>
        <v/>
      </c>
      <c r="C500">
        <f>VLOOKUP(A500,'Production Plan'!B:F,5,FALSE)</f>
        <v/>
      </c>
    </row>
    <row r="501" hidden="1">
      <c r="A501">
        <f>'Production Plan'!B489</f>
        <v/>
      </c>
      <c r="B501">
        <f>VLOOKUP(A501,'Production Plan'!B:S,16,FALSE)</f>
        <v/>
      </c>
      <c r="C501">
        <f>VLOOKUP(A501,'Production Plan'!B:F,5,FALSE)</f>
        <v/>
      </c>
    </row>
    <row r="502" hidden="1">
      <c r="A502">
        <f>'Production Plan'!B490</f>
        <v/>
      </c>
      <c r="B502">
        <f>VLOOKUP(A502,'Production Plan'!B:S,16,FALSE)</f>
        <v/>
      </c>
      <c r="C502">
        <f>VLOOKUP(A502,'Production Plan'!B:F,5,FALSE)</f>
        <v/>
      </c>
    </row>
    <row r="503" hidden="1">
      <c r="A503">
        <f>'Production Plan'!B491</f>
        <v/>
      </c>
      <c r="B503">
        <f>VLOOKUP(A503,'Production Plan'!B:S,16,FALSE)</f>
        <v/>
      </c>
      <c r="C503">
        <f>VLOOKUP(A503,'Production Plan'!B:F,5,FALSE)</f>
        <v/>
      </c>
    </row>
    <row r="504" hidden="1">
      <c r="A504">
        <f>'Production Plan'!B492</f>
        <v/>
      </c>
      <c r="B504">
        <f>VLOOKUP(A504,'Production Plan'!B:S,16,FALSE)</f>
        <v/>
      </c>
      <c r="C504">
        <f>VLOOKUP(A504,'Production Plan'!B:F,5,FALSE)</f>
        <v/>
      </c>
    </row>
    <row r="505" hidden="1">
      <c r="A505">
        <f>'Production Plan'!B493</f>
        <v/>
      </c>
      <c r="B505">
        <f>VLOOKUP(A505,'Production Plan'!B:S,16,FALSE)</f>
        <v/>
      </c>
      <c r="C505">
        <f>VLOOKUP(A505,'Production Plan'!B:F,5,FALSE)</f>
        <v/>
      </c>
    </row>
    <row r="506" hidden="1">
      <c r="A506">
        <f>'Production Plan'!B494</f>
        <v/>
      </c>
      <c r="B506">
        <f>VLOOKUP(A506,'Production Plan'!B:S,16,FALSE)</f>
        <v/>
      </c>
      <c r="C506">
        <f>VLOOKUP(A506,'Production Plan'!B:F,5,FALSE)</f>
        <v/>
      </c>
    </row>
    <row r="507" hidden="1">
      <c r="A507">
        <f>'Production Plan'!B495</f>
        <v/>
      </c>
      <c r="B507">
        <f>VLOOKUP(A507,'Production Plan'!B:S,16,FALSE)</f>
        <v/>
      </c>
      <c r="C507">
        <f>VLOOKUP(A507,'Production Plan'!B:F,5,FALSE)</f>
        <v/>
      </c>
    </row>
    <row r="508" hidden="1">
      <c r="A508">
        <f>'Production Plan'!B496</f>
        <v/>
      </c>
      <c r="B508">
        <f>VLOOKUP(A508,'Production Plan'!B:S,16,FALSE)</f>
        <v/>
      </c>
      <c r="C508">
        <f>VLOOKUP(A508,'Production Plan'!B:F,5,FALSE)</f>
        <v/>
      </c>
    </row>
    <row r="509" hidden="1">
      <c r="A509">
        <f>'Production Plan'!B497</f>
        <v/>
      </c>
      <c r="B509">
        <f>VLOOKUP(A509,'Production Plan'!B:S,16,FALSE)</f>
        <v/>
      </c>
      <c r="C509">
        <f>VLOOKUP(A509,'Production Plan'!B:F,5,FALSE)</f>
        <v/>
      </c>
    </row>
    <row r="510" hidden="1">
      <c r="A510">
        <f>'Production Plan'!B498</f>
        <v/>
      </c>
      <c r="B510">
        <f>VLOOKUP(A510,'Production Plan'!B:S,16,FALSE)</f>
        <v/>
      </c>
      <c r="C510">
        <f>VLOOKUP(A510,'Production Plan'!B:F,5,FALSE)</f>
        <v/>
      </c>
    </row>
    <row r="511" hidden="1">
      <c r="A511">
        <f>'Production Plan'!B499</f>
        <v/>
      </c>
      <c r="B511">
        <f>VLOOKUP(A511,'Production Plan'!B:S,16,FALSE)</f>
        <v/>
      </c>
      <c r="C511">
        <f>VLOOKUP(A511,'Production Plan'!B:F,5,FALSE)</f>
        <v/>
      </c>
    </row>
    <row r="512" hidden="1">
      <c r="A512">
        <f>'Production Plan'!B500</f>
        <v/>
      </c>
      <c r="B512">
        <f>VLOOKUP(A512,'Production Plan'!B:S,16,FALSE)</f>
        <v/>
      </c>
      <c r="C512">
        <f>VLOOKUP(A512,'Production Plan'!B:F,5,FALSE)</f>
        <v/>
      </c>
    </row>
    <row r="513" hidden="1">
      <c r="A513">
        <f>'Production Plan'!B501</f>
        <v/>
      </c>
      <c r="B513">
        <f>VLOOKUP(A513,'Production Plan'!B:S,16,FALSE)</f>
        <v/>
      </c>
      <c r="C513">
        <f>VLOOKUP(A513,'Production Plan'!B:F,5,FALSE)</f>
        <v/>
      </c>
    </row>
    <row r="514" hidden="1">
      <c r="A514">
        <f>'Production Plan'!B502</f>
        <v/>
      </c>
      <c r="B514">
        <f>VLOOKUP(A514,'Production Plan'!B:S,16,FALSE)</f>
        <v/>
      </c>
      <c r="C514">
        <f>VLOOKUP(A514,'Production Plan'!B:F,5,FALSE)</f>
        <v/>
      </c>
    </row>
    <row r="515" hidden="1">
      <c r="A515">
        <f>'Production Plan'!B503</f>
        <v/>
      </c>
      <c r="B515">
        <f>VLOOKUP(A515,'Production Plan'!B:S,16,FALSE)</f>
        <v/>
      </c>
      <c r="C515">
        <f>VLOOKUP(A515,'Production Plan'!B:F,5,FALSE)</f>
        <v/>
      </c>
    </row>
    <row r="516" hidden="1">
      <c r="A516">
        <f>'Production Plan'!B504</f>
        <v/>
      </c>
      <c r="B516">
        <f>VLOOKUP(A516,'Production Plan'!B:S,16,FALSE)</f>
        <v/>
      </c>
      <c r="C516">
        <f>VLOOKUP(A516,'Production Plan'!B:F,5,FALSE)</f>
        <v/>
      </c>
    </row>
    <row r="517" hidden="1">
      <c r="A517">
        <f>'Production Plan'!B505</f>
        <v/>
      </c>
      <c r="B517">
        <f>VLOOKUP(A517,'Production Plan'!B:S,16,FALSE)</f>
        <v/>
      </c>
      <c r="C517">
        <f>VLOOKUP(A517,'Production Plan'!B:F,5,FALSE)</f>
        <v/>
      </c>
    </row>
    <row r="518" hidden="1">
      <c r="A518">
        <f>'Production Plan'!B506</f>
        <v/>
      </c>
      <c r="B518">
        <f>VLOOKUP(A518,'Production Plan'!B:S,16,FALSE)</f>
        <v/>
      </c>
      <c r="C518">
        <f>VLOOKUP(A518,'Production Plan'!B:F,5,FALSE)</f>
        <v/>
      </c>
    </row>
    <row r="519" hidden="1">
      <c r="A519">
        <f>'Production Plan'!B507</f>
        <v/>
      </c>
      <c r="B519">
        <f>VLOOKUP(A519,'Production Plan'!B:S,16,FALSE)</f>
        <v/>
      </c>
      <c r="C519">
        <f>VLOOKUP(A519,'Production Plan'!B:F,5,FALSE)</f>
        <v/>
      </c>
    </row>
    <row r="520" hidden="1">
      <c r="A520">
        <f>'Production Plan'!B508</f>
        <v/>
      </c>
      <c r="B520">
        <f>VLOOKUP(A520,'Production Plan'!B:S,16,FALSE)</f>
        <v/>
      </c>
      <c r="C520">
        <f>VLOOKUP(A520,'Production Plan'!B:F,5,FALSE)</f>
        <v/>
      </c>
    </row>
    <row r="521" hidden="1">
      <c r="A521">
        <f>'Production Plan'!B509</f>
        <v/>
      </c>
      <c r="B521">
        <f>VLOOKUP(A521,'Production Plan'!B:S,16,FALSE)</f>
        <v/>
      </c>
      <c r="C521">
        <f>VLOOKUP(A521,'Production Plan'!B:F,5,FALSE)</f>
        <v/>
      </c>
    </row>
    <row r="522" hidden="1">
      <c r="A522">
        <f>'Production Plan'!B510</f>
        <v/>
      </c>
      <c r="B522">
        <f>VLOOKUP(A522,'Production Plan'!B:S,16,FALSE)</f>
        <v/>
      </c>
      <c r="C522">
        <f>VLOOKUP(A522,'Production Plan'!B:F,5,FALSE)</f>
        <v/>
      </c>
    </row>
    <row r="523" hidden="1">
      <c r="A523">
        <f>'Production Plan'!B511</f>
        <v/>
      </c>
      <c r="B523">
        <f>VLOOKUP(A523,'Production Plan'!B:S,16,FALSE)</f>
        <v/>
      </c>
      <c r="C523">
        <f>VLOOKUP(A523,'Production Plan'!B:F,5,FALSE)</f>
        <v/>
      </c>
    </row>
    <row r="524" hidden="1">
      <c r="A524">
        <f>'Production Plan'!B512</f>
        <v/>
      </c>
      <c r="B524">
        <f>VLOOKUP(A524,'Production Plan'!B:S,16,FALSE)</f>
        <v/>
      </c>
      <c r="C524">
        <f>VLOOKUP(A524,'Production Plan'!B:F,5,FALSE)</f>
        <v/>
      </c>
    </row>
    <row r="525" hidden="1">
      <c r="A525">
        <f>'Production Plan'!B513</f>
        <v/>
      </c>
      <c r="B525">
        <f>VLOOKUP(A525,'Production Plan'!B:S,16,FALSE)</f>
        <v/>
      </c>
      <c r="C525">
        <f>VLOOKUP(A525,'Production Plan'!B:F,5,FALSE)</f>
        <v/>
      </c>
    </row>
    <row r="526" hidden="1">
      <c r="A526">
        <f>'Production Plan'!B514</f>
        <v/>
      </c>
      <c r="B526">
        <f>VLOOKUP(A526,'Production Plan'!B:S,16,FALSE)</f>
        <v/>
      </c>
      <c r="C526">
        <f>VLOOKUP(A526,'Production Plan'!B:F,5,FALSE)</f>
        <v/>
      </c>
    </row>
    <row r="527" hidden="1">
      <c r="A527">
        <f>'Production Plan'!B515</f>
        <v/>
      </c>
      <c r="B527">
        <f>VLOOKUP(A527,'Production Plan'!B:S,16,FALSE)</f>
        <v/>
      </c>
      <c r="C527">
        <f>VLOOKUP(A527,'Production Plan'!B:F,5,FALSE)</f>
        <v/>
      </c>
    </row>
    <row r="528" hidden="1">
      <c r="A528">
        <f>'Production Plan'!B516</f>
        <v/>
      </c>
      <c r="B528">
        <f>VLOOKUP(A528,'Production Plan'!B:S,16,FALSE)</f>
        <v/>
      </c>
      <c r="C528">
        <f>VLOOKUP(A528,'Production Plan'!B:F,5,FALSE)</f>
        <v/>
      </c>
    </row>
    <row r="529" hidden="1">
      <c r="A529">
        <f>'Production Plan'!B517</f>
        <v/>
      </c>
      <c r="B529">
        <f>VLOOKUP(A529,'Production Plan'!B:S,16,FALSE)</f>
        <v/>
      </c>
      <c r="C529">
        <f>VLOOKUP(A529,'Production Plan'!B:F,5,FALSE)</f>
        <v/>
      </c>
    </row>
    <row r="530" hidden="1">
      <c r="A530">
        <f>'Production Plan'!B518</f>
        <v/>
      </c>
      <c r="B530">
        <f>VLOOKUP(A530,'Production Plan'!B:S,16,FALSE)</f>
        <v/>
      </c>
      <c r="C530">
        <f>VLOOKUP(A530,'Production Plan'!B:F,5,FALSE)</f>
        <v/>
      </c>
    </row>
    <row r="531" hidden="1">
      <c r="A531">
        <f>'Production Plan'!B519</f>
        <v/>
      </c>
      <c r="B531">
        <f>VLOOKUP(A531,'Production Plan'!B:S,16,FALSE)</f>
        <v/>
      </c>
      <c r="C531">
        <f>VLOOKUP(A531,'Production Plan'!B:F,5,FALSE)</f>
        <v/>
      </c>
    </row>
    <row r="532" hidden="1">
      <c r="A532">
        <f>'Production Plan'!B520</f>
        <v/>
      </c>
      <c r="B532">
        <f>VLOOKUP(A532,'Production Plan'!B:S,16,FALSE)</f>
        <v/>
      </c>
      <c r="C532">
        <f>VLOOKUP(A532,'Production Plan'!B:F,5,FALSE)</f>
        <v/>
      </c>
    </row>
    <row r="533" hidden="1">
      <c r="A533">
        <f>'Production Plan'!B521</f>
        <v/>
      </c>
      <c r="B533">
        <f>VLOOKUP(A533,'Production Plan'!B:S,16,FALSE)</f>
        <v/>
      </c>
      <c r="C533">
        <f>VLOOKUP(A533,'Production Plan'!B:F,5,FALSE)</f>
        <v/>
      </c>
    </row>
    <row r="534" hidden="1">
      <c r="A534">
        <f>'Production Plan'!B522</f>
        <v/>
      </c>
      <c r="B534">
        <f>VLOOKUP(A534,'Production Plan'!B:S,16,FALSE)</f>
        <v/>
      </c>
      <c r="C534">
        <f>VLOOKUP(A534,'Production Plan'!B:F,5,FALSE)</f>
        <v/>
      </c>
    </row>
    <row r="535" hidden="1">
      <c r="A535">
        <f>'Production Plan'!B523</f>
        <v/>
      </c>
      <c r="B535">
        <f>VLOOKUP(A535,'Production Plan'!B:S,16,FALSE)</f>
        <v/>
      </c>
      <c r="C535">
        <f>VLOOKUP(A535,'Production Plan'!B:F,5,FALSE)</f>
        <v/>
      </c>
    </row>
    <row r="536" hidden="1">
      <c r="A536">
        <f>'Production Plan'!B524</f>
        <v/>
      </c>
      <c r="B536">
        <f>VLOOKUP(A536,'Production Plan'!B:S,16,FALSE)</f>
        <v/>
      </c>
      <c r="C536">
        <f>VLOOKUP(A536,'Production Plan'!B:F,5,FALSE)</f>
        <v/>
      </c>
    </row>
    <row r="537" hidden="1">
      <c r="A537">
        <f>'Production Plan'!B525</f>
        <v/>
      </c>
      <c r="B537">
        <f>VLOOKUP(A537,'Production Plan'!B:S,16,FALSE)</f>
        <v/>
      </c>
      <c r="C537">
        <f>VLOOKUP(A537,'Production Plan'!B:F,5,FALSE)</f>
        <v/>
      </c>
    </row>
    <row r="538" hidden="1">
      <c r="A538">
        <f>'Production Plan'!B526</f>
        <v/>
      </c>
      <c r="B538">
        <f>VLOOKUP(A538,'Production Plan'!B:S,16,FALSE)</f>
        <v/>
      </c>
      <c r="C538">
        <f>VLOOKUP(A538,'Production Plan'!B:F,5,FALSE)</f>
        <v/>
      </c>
    </row>
    <row r="539" hidden="1">
      <c r="A539">
        <f>'Production Plan'!B527</f>
        <v/>
      </c>
      <c r="B539">
        <f>VLOOKUP(A539,'Production Plan'!B:S,16,FALSE)</f>
        <v/>
      </c>
      <c r="C539">
        <f>VLOOKUP(A539,'Production Plan'!B:F,5,FALSE)</f>
        <v/>
      </c>
    </row>
    <row r="540" hidden="1">
      <c r="A540">
        <f>'Production Plan'!B528</f>
        <v/>
      </c>
      <c r="B540">
        <f>VLOOKUP(A540,'Production Plan'!B:S,16,FALSE)</f>
        <v/>
      </c>
      <c r="C540">
        <f>VLOOKUP(A540,'Production Plan'!B:F,5,FALSE)</f>
        <v/>
      </c>
    </row>
    <row r="541" hidden="1">
      <c r="A541">
        <f>'Production Plan'!B529</f>
        <v/>
      </c>
      <c r="B541">
        <f>VLOOKUP(A541,'Production Plan'!B:S,16,FALSE)</f>
        <v/>
      </c>
      <c r="C541">
        <f>VLOOKUP(A541,'Production Plan'!B:F,5,FALSE)</f>
        <v/>
      </c>
    </row>
    <row r="542" hidden="1">
      <c r="A542">
        <f>'Production Plan'!B530</f>
        <v/>
      </c>
      <c r="B542">
        <f>VLOOKUP(A542,'Production Plan'!B:S,16,FALSE)</f>
        <v/>
      </c>
      <c r="C542">
        <f>VLOOKUP(A542,'Production Plan'!B:F,5,FALSE)</f>
        <v/>
      </c>
    </row>
    <row r="543" hidden="1">
      <c r="A543">
        <f>'Production Plan'!B531</f>
        <v/>
      </c>
      <c r="B543">
        <f>VLOOKUP(A543,'Production Plan'!B:S,16,FALSE)</f>
        <v/>
      </c>
      <c r="C543">
        <f>VLOOKUP(A543,'Production Plan'!B:F,5,FALSE)</f>
        <v/>
      </c>
    </row>
    <row r="544" hidden="1">
      <c r="A544">
        <f>'Production Plan'!B532</f>
        <v/>
      </c>
      <c r="B544">
        <f>VLOOKUP(A544,'Production Plan'!B:S,16,FALSE)</f>
        <v/>
      </c>
      <c r="C544">
        <f>VLOOKUP(A544,'Production Plan'!B:F,5,FALSE)</f>
        <v/>
      </c>
    </row>
    <row r="545" hidden="1">
      <c r="A545">
        <f>'Production Plan'!B533</f>
        <v/>
      </c>
      <c r="B545">
        <f>VLOOKUP(A545,'Production Plan'!B:S,16,FALSE)</f>
        <v/>
      </c>
      <c r="C545">
        <f>VLOOKUP(A545,'Production Plan'!B:F,5,FALSE)</f>
        <v/>
      </c>
    </row>
    <row r="546" hidden="1">
      <c r="A546">
        <f>'Production Plan'!B534</f>
        <v/>
      </c>
      <c r="B546">
        <f>VLOOKUP(A546,'Production Plan'!B:S,16,FALSE)</f>
        <v/>
      </c>
      <c r="C546">
        <f>VLOOKUP(A546,'Production Plan'!B:F,5,FALSE)</f>
        <v/>
      </c>
    </row>
    <row r="547" hidden="1">
      <c r="A547">
        <f>'Production Plan'!B535</f>
        <v/>
      </c>
      <c r="B547">
        <f>VLOOKUP(A547,'Production Plan'!B:S,16,FALSE)</f>
        <v/>
      </c>
      <c r="C547">
        <f>VLOOKUP(A547,'Production Plan'!B:F,5,FALSE)</f>
        <v/>
      </c>
    </row>
    <row r="548" hidden="1">
      <c r="A548">
        <f>'Production Plan'!B536</f>
        <v/>
      </c>
      <c r="B548">
        <f>VLOOKUP(A548,'Production Plan'!B:S,16,FALSE)</f>
        <v/>
      </c>
      <c r="C548">
        <f>VLOOKUP(A548,'Production Plan'!B:F,5,FALSE)</f>
        <v/>
      </c>
    </row>
    <row r="549" hidden="1">
      <c r="A549">
        <f>'Production Plan'!B537</f>
        <v/>
      </c>
      <c r="B549">
        <f>VLOOKUP(A549,'Production Plan'!B:S,16,FALSE)</f>
        <v/>
      </c>
      <c r="C549">
        <f>VLOOKUP(A549,'Production Plan'!B:F,5,FALSE)</f>
        <v/>
      </c>
    </row>
    <row r="550" hidden="1">
      <c r="A550">
        <f>'Production Plan'!B538</f>
        <v/>
      </c>
      <c r="B550">
        <f>VLOOKUP(A550,'Production Plan'!B:S,16,FALSE)</f>
        <v/>
      </c>
      <c r="C550">
        <f>VLOOKUP(A550,'Production Plan'!B:F,5,FALSE)</f>
        <v/>
      </c>
    </row>
    <row r="551" hidden="1">
      <c r="A551">
        <f>'Production Plan'!B539</f>
        <v/>
      </c>
      <c r="B551">
        <f>VLOOKUP(A551,'Production Plan'!B:S,16,FALSE)</f>
        <v/>
      </c>
      <c r="C551">
        <f>VLOOKUP(A551,'Production Plan'!B:F,5,FALSE)</f>
        <v/>
      </c>
    </row>
    <row r="552" hidden="1">
      <c r="A552">
        <f>'Production Plan'!B540</f>
        <v/>
      </c>
      <c r="B552">
        <f>VLOOKUP(A552,'Production Plan'!B:S,16,FALSE)</f>
        <v/>
      </c>
      <c r="C552">
        <f>VLOOKUP(A552,'Production Plan'!B:F,5,FALSE)</f>
        <v/>
      </c>
    </row>
    <row r="553" hidden="1">
      <c r="A553">
        <f>'Production Plan'!B541</f>
        <v/>
      </c>
      <c r="B553">
        <f>VLOOKUP(A553,'Production Plan'!B:S,16,FALSE)</f>
        <v/>
      </c>
      <c r="C553">
        <f>VLOOKUP(A553,'Production Plan'!B:F,5,FALSE)</f>
        <v/>
      </c>
    </row>
    <row r="554" hidden="1">
      <c r="A554">
        <f>'Production Plan'!B542</f>
        <v/>
      </c>
      <c r="B554">
        <f>VLOOKUP(A554,'Production Plan'!B:S,16,FALSE)</f>
        <v/>
      </c>
      <c r="C554">
        <f>VLOOKUP(A554,'Production Plan'!B:F,5,FALSE)</f>
        <v/>
      </c>
    </row>
    <row r="555" hidden="1">
      <c r="A555">
        <f>'Production Plan'!B543</f>
        <v/>
      </c>
      <c r="B555">
        <f>VLOOKUP(A555,'Production Plan'!B:S,16,FALSE)</f>
        <v/>
      </c>
      <c r="C555">
        <f>VLOOKUP(A555,'Production Plan'!B:F,5,FALSE)</f>
        <v/>
      </c>
    </row>
    <row r="556" hidden="1">
      <c r="A556">
        <f>'Production Plan'!B544</f>
        <v/>
      </c>
      <c r="B556">
        <f>VLOOKUP(A556,'Production Plan'!B:S,16,FALSE)</f>
        <v/>
      </c>
      <c r="C556">
        <f>VLOOKUP(A556,'Production Plan'!B:F,5,FALSE)</f>
        <v/>
      </c>
    </row>
    <row r="557" hidden="1">
      <c r="A557">
        <f>'Production Plan'!B545</f>
        <v/>
      </c>
      <c r="B557">
        <f>VLOOKUP(A557,'Production Plan'!B:S,16,FALSE)</f>
        <v/>
      </c>
      <c r="C557">
        <f>VLOOKUP(A557,'Production Plan'!B:F,5,FALSE)</f>
        <v/>
      </c>
    </row>
    <row r="558" hidden="1">
      <c r="A558">
        <f>'Production Plan'!B546</f>
        <v/>
      </c>
      <c r="B558">
        <f>VLOOKUP(A558,'Production Plan'!B:S,16,FALSE)</f>
        <v/>
      </c>
      <c r="C558">
        <f>VLOOKUP(A558,'Production Plan'!B:F,5,FALSE)</f>
        <v/>
      </c>
    </row>
    <row r="559" hidden="1">
      <c r="A559">
        <f>'Production Plan'!B547</f>
        <v/>
      </c>
      <c r="B559">
        <f>VLOOKUP(A559,'Production Plan'!B:S,16,FALSE)</f>
        <v/>
      </c>
      <c r="C559">
        <f>VLOOKUP(A559,'Production Plan'!B:F,5,FALSE)</f>
        <v/>
      </c>
    </row>
    <row r="560" hidden="1">
      <c r="A560">
        <f>'Production Plan'!B548</f>
        <v/>
      </c>
      <c r="B560">
        <f>VLOOKUP(A560,'Production Plan'!B:S,16,FALSE)</f>
        <v/>
      </c>
      <c r="C560">
        <f>VLOOKUP(A560,'Production Plan'!B:F,5,FALSE)</f>
        <v/>
      </c>
    </row>
    <row r="561" hidden="1">
      <c r="A561">
        <f>'Production Plan'!B549</f>
        <v/>
      </c>
      <c r="B561">
        <f>VLOOKUP(A561,'Production Plan'!B:S,16,FALSE)</f>
        <v/>
      </c>
      <c r="C561">
        <f>VLOOKUP(A561,'Production Plan'!B:F,5,FALSE)</f>
        <v/>
      </c>
    </row>
    <row r="562" hidden="1">
      <c r="A562">
        <f>'Production Plan'!B550</f>
        <v/>
      </c>
      <c r="B562">
        <f>VLOOKUP(A562,'Production Plan'!B:S,16,FALSE)</f>
        <v/>
      </c>
      <c r="C562">
        <f>VLOOKUP(A562,'Production Plan'!B:F,5,FALSE)</f>
        <v/>
      </c>
    </row>
    <row r="563" hidden="1">
      <c r="A563">
        <f>'Production Plan'!B551</f>
        <v/>
      </c>
      <c r="B563">
        <f>VLOOKUP(A563,'Production Plan'!B:S,16,FALSE)</f>
        <v/>
      </c>
      <c r="C563">
        <f>VLOOKUP(A563,'Production Plan'!B:F,5,FALSE)</f>
        <v/>
      </c>
    </row>
    <row r="564" hidden="1">
      <c r="A564">
        <f>'Production Plan'!B552</f>
        <v/>
      </c>
      <c r="B564">
        <f>VLOOKUP(A564,'Production Plan'!B:S,16,FALSE)</f>
        <v/>
      </c>
      <c r="C564">
        <f>VLOOKUP(A564,'Production Plan'!B:F,5,FALSE)</f>
        <v/>
      </c>
    </row>
    <row r="565" hidden="1">
      <c r="A565">
        <f>'Production Plan'!B553</f>
        <v/>
      </c>
      <c r="B565">
        <f>VLOOKUP(A565,'Production Plan'!B:S,16,FALSE)</f>
        <v/>
      </c>
      <c r="C565">
        <f>VLOOKUP(A565,'Production Plan'!B:F,5,FALSE)</f>
        <v/>
      </c>
    </row>
    <row r="566" hidden="1">
      <c r="A566">
        <f>'Production Plan'!B554</f>
        <v/>
      </c>
      <c r="B566">
        <f>VLOOKUP(A566,'Production Plan'!B:S,16,FALSE)</f>
        <v/>
      </c>
      <c r="C566">
        <f>VLOOKUP(A566,'Production Plan'!B:F,5,FALSE)</f>
        <v/>
      </c>
    </row>
    <row r="567" hidden="1">
      <c r="A567">
        <f>'Production Plan'!B555</f>
        <v/>
      </c>
      <c r="B567">
        <f>VLOOKUP(A567,'Production Plan'!B:S,16,FALSE)</f>
        <v/>
      </c>
      <c r="C567">
        <f>VLOOKUP(A567,'Production Plan'!B:F,5,FALSE)</f>
        <v/>
      </c>
    </row>
    <row r="568" hidden="1">
      <c r="A568">
        <f>'Production Plan'!B556</f>
        <v/>
      </c>
      <c r="B568">
        <f>VLOOKUP(A568,'Production Plan'!B:S,16,FALSE)</f>
        <v/>
      </c>
      <c r="C568">
        <f>VLOOKUP(A568,'Production Plan'!B:F,5,FALSE)</f>
        <v/>
      </c>
    </row>
    <row r="569" hidden="1">
      <c r="A569">
        <f>'Production Plan'!B557</f>
        <v/>
      </c>
      <c r="B569">
        <f>VLOOKUP(A569,'Production Plan'!B:S,16,FALSE)</f>
        <v/>
      </c>
      <c r="C569">
        <f>VLOOKUP(A569,'Production Plan'!B:F,5,FALSE)</f>
        <v/>
      </c>
    </row>
    <row r="570" hidden="1">
      <c r="A570">
        <f>'Production Plan'!B558</f>
        <v/>
      </c>
      <c r="B570">
        <f>VLOOKUP(A570,'Production Plan'!B:S,16,FALSE)</f>
        <v/>
      </c>
      <c r="C570">
        <f>VLOOKUP(A570,'Production Plan'!B:F,5,FALSE)</f>
        <v/>
      </c>
    </row>
    <row r="571" hidden="1">
      <c r="A571">
        <f>'Production Plan'!B559</f>
        <v/>
      </c>
      <c r="B571">
        <f>VLOOKUP(A571,'Production Plan'!B:S,16,FALSE)</f>
        <v/>
      </c>
      <c r="C571">
        <f>VLOOKUP(A571,'Production Plan'!B:F,5,FALSE)</f>
        <v/>
      </c>
    </row>
    <row r="572" hidden="1">
      <c r="A572">
        <f>'Production Plan'!B560</f>
        <v/>
      </c>
      <c r="B572">
        <f>VLOOKUP(A572,'Production Plan'!B:S,16,FALSE)</f>
        <v/>
      </c>
      <c r="C572">
        <f>VLOOKUP(A572,'Production Plan'!B:F,5,FALSE)</f>
        <v/>
      </c>
    </row>
    <row r="573" hidden="1">
      <c r="A573">
        <f>'Production Plan'!B561</f>
        <v/>
      </c>
      <c r="B573">
        <f>VLOOKUP(A573,'Production Plan'!B:S,16,FALSE)</f>
        <v/>
      </c>
      <c r="C573">
        <f>VLOOKUP(A573,'Production Plan'!B:F,5,FALSE)</f>
        <v/>
      </c>
    </row>
    <row r="574" hidden="1">
      <c r="A574">
        <f>'Production Plan'!B562</f>
        <v/>
      </c>
      <c r="B574">
        <f>VLOOKUP(A574,'Production Plan'!B:S,16,FALSE)</f>
        <v/>
      </c>
      <c r="C574">
        <f>VLOOKUP(A574,'Production Plan'!B:F,5,FALSE)</f>
        <v/>
      </c>
    </row>
    <row r="575" hidden="1">
      <c r="A575">
        <f>'Production Plan'!B563</f>
        <v/>
      </c>
      <c r="B575">
        <f>VLOOKUP(A575,'Production Plan'!B:S,16,FALSE)</f>
        <v/>
      </c>
      <c r="C575">
        <f>VLOOKUP(A575,'Production Plan'!B:F,5,FALSE)</f>
        <v/>
      </c>
    </row>
    <row r="576" hidden="1">
      <c r="A576">
        <f>'Production Plan'!B564</f>
        <v/>
      </c>
      <c r="B576">
        <f>VLOOKUP(A576,'Production Plan'!B:S,16,FALSE)</f>
        <v/>
      </c>
      <c r="C576">
        <f>VLOOKUP(A576,'Production Plan'!B:F,5,FALSE)</f>
        <v/>
      </c>
    </row>
    <row r="577" hidden="1">
      <c r="A577">
        <f>'Production Plan'!B565</f>
        <v/>
      </c>
      <c r="B577">
        <f>VLOOKUP(A577,'Production Plan'!B:S,16,FALSE)</f>
        <v/>
      </c>
      <c r="C577">
        <f>VLOOKUP(A577,'Production Plan'!B:F,5,FALSE)</f>
        <v/>
      </c>
    </row>
    <row r="578" hidden="1">
      <c r="A578">
        <f>'Production Plan'!B566</f>
        <v/>
      </c>
      <c r="B578">
        <f>VLOOKUP(A578,'Production Plan'!B:S,16,FALSE)</f>
        <v/>
      </c>
      <c r="C578">
        <f>VLOOKUP(A578,'Production Plan'!B:F,5,FALSE)</f>
        <v/>
      </c>
    </row>
    <row r="579" hidden="1">
      <c r="A579">
        <f>'Production Plan'!B567</f>
        <v/>
      </c>
      <c r="B579">
        <f>VLOOKUP(A579,'Production Plan'!B:S,16,FALSE)</f>
        <v/>
      </c>
      <c r="C579">
        <f>VLOOKUP(A579,'Production Plan'!B:F,5,FALSE)</f>
        <v/>
      </c>
    </row>
    <row r="580" hidden="1">
      <c r="A580">
        <f>'Production Plan'!B568</f>
        <v/>
      </c>
      <c r="B580">
        <f>VLOOKUP(A580,'Production Plan'!B:S,16,FALSE)</f>
        <v/>
      </c>
      <c r="C580">
        <f>VLOOKUP(A580,'Production Plan'!B:F,5,FALSE)</f>
        <v/>
      </c>
    </row>
    <row r="581" hidden="1">
      <c r="A581">
        <f>'Production Plan'!B569</f>
        <v/>
      </c>
      <c r="B581">
        <f>VLOOKUP(A581,'Production Plan'!B:S,16,FALSE)</f>
        <v/>
      </c>
      <c r="C581">
        <f>VLOOKUP(A581,'Production Plan'!B:F,5,FALSE)</f>
        <v/>
      </c>
    </row>
    <row r="582" hidden="1">
      <c r="A582">
        <f>'Production Plan'!B570</f>
        <v/>
      </c>
      <c r="B582">
        <f>VLOOKUP(A582,'Production Plan'!B:S,16,FALSE)</f>
        <v/>
      </c>
      <c r="C582">
        <f>VLOOKUP(A582,'Production Plan'!B:F,5,FALSE)</f>
        <v/>
      </c>
    </row>
    <row r="583" hidden="1">
      <c r="A583">
        <f>'Production Plan'!B571</f>
        <v/>
      </c>
      <c r="B583">
        <f>VLOOKUP(A583,'Production Plan'!B:S,16,FALSE)</f>
        <v/>
      </c>
      <c r="C583">
        <f>VLOOKUP(A583,'Production Plan'!B:F,5,FALSE)</f>
        <v/>
      </c>
    </row>
    <row r="584" hidden="1">
      <c r="A584">
        <f>'Production Plan'!B572</f>
        <v/>
      </c>
      <c r="B584">
        <f>VLOOKUP(A584,'Production Plan'!B:S,16,FALSE)</f>
        <v/>
      </c>
      <c r="C584">
        <f>VLOOKUP(A584,'Production Plan'!B:F,5,FALSE)</f>
        <v/>
      </c>
    </row>
    <row r="585" hidden="1">
      <c r="A585">
        <f>'Production Plan'!B573</f>
        <v/>
      </c>
      <c r="B585">
        <f>VLOOKUP(A585,'Production Plan'!B:S,16,FALSE)</f>
        <v/>
      </c>
      <c r="C585">
        <f>VLOOKUP(A585,'Production Plan'!B:F,5,FALSE)</f>
        <v/>
      </c>
    </row>
    <row r="586" hidden="1">
      <c r="A586">
        <f>'Production Plan'!B574</f>
        <v/>
      </c>
      <c r="B586">
        <f>VLOOKUP(A586,'Production Plan'!B:S,16,FALSE)</f>
        <v/>
      </c>
      <c r="C586">
        <f>VLOOKUP(A586,'Production Plan'!B:F,5,FALSE)</f>
        <v/>
      </c>
    </row>
    <row r="587" hidden="1">
      <c r="A587">
        <f>'Production Plan'!B575</f>
        <v/>
      </c>
      <c r="B587">
        <f>VLOOKUP(A587,'Production Plan'!B:S,16,FALSE)</f>
        <v/>
      </c>
      <c r="C587">
        <f>VLOOKUP(A587,'Production Plan'!B:F,5,FALSE)</f>
        <v/>
      </c>
    </row>
    <row r="588" hidden="1">
      <c r="A588">
        <f>'Production Plan'!B576</f>
        <v/>
      </c>
      <c r="B588">
        <f>VLOOKUP(A588,'Production Plan'!B:S,16,FALSE)</f>
        <v/>
      </c>
      <c r="C588">
        <f>VLOOKUP(A588,'Production Plan'!B:F,5,FALSE)</f>
        <v/>
      </c>
    </row>
    <row r="589" hidden="1">
      <c r="A589">
        <f>'Production Plan'!B577</f>
        <v/>
      </c>
      <c r="B589">
        <f>VLOOKUP(A589,'Production Plan'!B:S,16,FALSE)</f>
        <v/>
      </c>
      <c r="C589">
        <f>VLOOKUP(A589,'Production Plan'!B:F,5,FALSE)</f>
        <v/>
      </c>
    </row>
    <row r="590" hidden="1">
      <c r="A590">
        <f>'Production Plan'!B578</f>
        <v/>
      </c>
      <c r="B590">
        <f>VLOOKUP(A590,'Production Plan'!B:S,16,FALSE)</f>
        <v/>
      </c>
      <c r="C590">
        <f>VLOOKUP(A590,'Production Plan'!B:F,5,FALSE)</f>
        <v/>
      </c>
    </row>
    <row r="591" hidden="1">
      <c r="A591">
        <f>'Production Plan'!B579</f>
        <v/>
      </c>
      <c r="B591">
        <f>VLOOKUP(A591,'Production Plan'!B:S,16,FALSE)</f>
        <v/>
      </c>
      <c r="C591">
        <f>VLOOKUP(A591,'Production Plan'!B:F,5,FALSE)</f>
        <v/>
      </c>
    </row>
    <row r="592" hidden="1">
      <c r="A592">
        <f>'Production Plan'!B580</f>
        <v/>
      </c>
      <c r="B592">
        <f>VLOOKUP(A592,'Production Plan'!B:S,16,FALSE)</f>
        <v/>
      </c>
      <c r="C592">
        <f>VLOOKUP(A592,'Production Plan'!B:F,5,FALSE)</f>
        <v/>
      </c>
    </row>
    <row r="593" hidden="1">
      <c r="A593">
        <f>'Production Plan'!B581</f>
        <v/>
      </c>
      <c r="B593">
        <f>VLOOKUP(A593,'Production Plan'!B:S,16,FALSE)</f>
        <v/>
      </c>
      <c r="C593">
        <f>VLOOKUP(A593,'Production Plan'!B:F,5,FALSE)</f>
        <v/>
      </c>
    </row>
    <row r="594" hidden="1">
      <c r="A594">
        <f>'Production Plan'!B582</f>
        <v/>
      </c>
      <c r="B594">
        <f>VLOOKUP(A594,'Production Plan'!B:S,16,FALSE)</f>
        <v/>
      </c>
      <c r="C594">
        <f>VLOOKUP(A594,'Production Plan'!B:F,5,FALSE)</f>
        <v/>
      </c>
    </row>
    <row r="595" hidden="1">
      <c r="A595">
        <f>'Production Plan'!B583</f>
        <v/>
      </c>
      <c r="B595">
        <f>VLOOKUP(A595,'Production Plan'!B:S,16,FALSE)</f>
        <v/>
      </c>
      <c r="C595">
        <f>VLOOKUP(A595,'Production Plan'!B:F,5,FALSE)</f>
        <v/>
      </c>
    </row>
    <row r="596" hidden="1">
      <c r="A596">
        <f>'Production Plan'!B584</f>
        <v/>
      </c>
      <c r="B596">
        <f>VLOOKUP(A596,'Production Plan'!B:S,16,FALSE)</f>
        <v/>
      </c>
      <c r="C596">
        <f>VLOOKUP(A596,'Production Plan'!B:F,5,FALSE)</f>
        <v/>
      </c>
    </row>
    <row r="597" hidden="1">
      <c r="A597">
        <f>'Production Plan'!B585</f>
        <v/>
      </c>
      <c r="B597">
        <f>VLOOKUP(A597,'Production Plan'!B:S,16,FALSE)</f>
        <v/>
      </c>
      <c r="C597">
        <f>VLOOKUP(A597,'Production Plan'!B:F,5,FALSE)</f>
        <v/>
      </c>
    </row>
    <row r="598" hidden="1">
      <c r="A598">
        <f>'Production Plan'!B586</f>
        <v/>
      </c>
      <c r="B598">
        <f>VLOOKUP(A598,'Production Plan'!B:S,16,FALSE)</f>
        <v/>
      </c>
      <c r="C598">
        <f>VLOOKUP(A598,'Production Plan'!B:F,5,FALSE)</f>
        <v/>
      </c>
    </row>
    <row r="599" hidden="1">
      <c r="A599">
        <f>'Production Plan'!B587</f>
        <v/>
      </c>
      <c r="B599">
        <f>VLOOKUP(A599,'Production Plan'!B:S,16,FALSE)</f>
        <v/>
      </c>
      <c r="C599">
        <f>VLOOKUP(A599,'Production Plan'!B:F,5,FALSE)</f>
        <v/>
      </c>
    </row>
    <row r="600" hidden="1">
      <c r="A600">
        <f>'Production Plan'!B588</f>
        <v/>
      </c>
      <c r="B600">
        <f>VLOOKUP(A600,'Production Plan'!B:S,16,FALSE)</f>
        <v/>
      </c>
      <c r="C600">
        <f>VLOOKUP(A600,'Production Plan'!B:F,5,FALSE)</f>
        <v/>
      </c>
    </row>
    <row r="601" hidden="1">
      <c r="A601">
        <f>'Production Plan'!B589</f>
        <v/>
      </c>
      <c r="B601">
        <f>VLOOKUP(A601,'Production Plan'!B:S,16,FALSE)</f>
        <v/>
      </c>
      <c r="C601">
        <f>VLOOKUP(A601,'Production Plan'!B:F,5,FALSE)</f>
        <v/>
      </c>
    </row>
    <row r="602" hidden="1">
      <c r="A602">
        <f>'Production Plan'!B590</f>
        <v/>
      </c>
      <c r="B602">
        <f>VLOOKUP(A602,'Production Plan'!B:S,16,FALSE)</f>
        <v/>
      </c>
      <c r="C602">
        <f>VLOOKUP(A602,'Production Plan'!B:F,5,FALSE)</f>
        <v/>
      </c>
    </row>
    <row r="603" hidden="1">
      <c r="A603">
        <f>'Production Plan'!B591</f>
        <v/>
      </c>
      <c r="B603">
        <f>VLOOKUP(A603,'Production Plan'!B:S,16,FALSE)</f>
        <v/>
      </c>
      <c r="C603">
        <f>VLOOKUP(A603,'Production Plan'!B:F,5,FALSE)</f>
        <v/>
      </c>
    </row>
    <row r="604" hidden="1">
      <c r="A604">
        <f>'Production Plan'!B592</f>
        <v/>
      </c>
      <c r="B604">
        <f>VLOOKUP(A604,'Production Plan'!B:S,16,FALSE)</f>
        <v/>
      </c>
      <c r="C604">
        <f>VLOOKUP(A604,'Production Plan'!B:F,5,FALSE)</f>
        <v/>
      </c>
    </row>
    <row r="605" hidden="1">
      <c r="A605">
        <f>'Production Plan'!B593</f>
        <v/>
      </c>
      <c r="B605">
        <f>VLOOKUP(A605,'Production Plan'!B:S,16,FALSE)</f>
        <v/>
      </c>
      <c r="C605">
        <f>VLOOKUP(A605,'Production Plan'!B:F,5,FALSE)</f>
        <v/>
      </c>
    </row>
    <row r="606" hidden="1">
      <c r="A606">
        <f>'Production Plan'!B594</f>
        <v/>
      </c>
      <c r="B606">
        <f>VLOOKUP(A606,'Production Plan'!B:S,16,FALSE)</f>
        <v/>
      </c>
      <c r="C606">
        <f>VLOOKUP(A606,'Production Plan'!B:F,5,FALSE)</f>
        <v/>
      </c>
    </row>
    <row r="607" hidden="1">
      <c r="A607">
        <f>'Production Plan'!B595</f>
        <v/>
      </c>
      <c r="B607">
        <f>VLOOKUP(A607,'Production Plan'!B:S,16,FALSE)</f>
        <v/>
      </c>
      <c r="C607">
        <f>VLOOKUP(A607,'Production Plan'!B:F,5,FALSE)</f>
        <v/>
      </c>
    </row>
    <row r="608" hidden="1">
      <c r="A608">
        <f>'Production Plan'!B596</f>
        <v/>
      </c>
      <c r="B608">
        <f>VLOOKUP(A608,'Production Plan'!B:S,16,FALSE)</f>
        <v/>
      </c>
      <c r="C608">
        <f>VLOOKUP(A608,'Production Plan'!B:F,5,FALSE)</f>
        <v/>
      </c>
    </row>
    <row r="609" hidden="1">
      <c r="A609">
        <f>'Production Plan'!B597</f>
        <v/>
      </c>
      <c r="B609">
        <f>VLOOKUP(A609,'Production Plan'!B:S,16,FALSE)</f>
        <v/>
      </c>
      <c r="C609">
        <f>VLOOKUP(A609,'Production Plan'!B:F,5,FALSE)</f>
        <v/>
      </c>
    </row>
    <row r="610" hidden="1">
      <c r="A610">
        <f>'Production Plan'!B598</f>
        <v/>
      </c>
      <c r="B610">
        <f>VLOOKUP(A610,'Production Plan'!B:S,16,FALSE)</f>
        <v/>
      </c>
      <c r="C610">
        <f>VLOOKUP(A610,'Production Plan'!B:F,5,FALSE)</f>
        <v/>
      </c>
    </row>
    <row r="611" hidden="1">
      <c r="A611">
        <f>'Production Plan'!B599</f>
        <v/>
      </c>
      <c r="B611">
        <f>VLOOKUP(A611,'Production Plan'!B:S,16,FALSE)</f>
        <v/>
      </c>
      <c r="C611">
        <f>VLOOKUP(A611,'Production Plan'!B:F,5,FALSE)</f>
        <v/>
      </c>
    </row>
    <row r="612" hidden="1">
      <c r="A612">
        <f>'Production Plan'!B600</f>
        <v/>
      </c>
      <c r="B612">
        <f>VLOOKUP(A612,'Production Plan'!B:S,16,FALSE)</f>
        <v/>
      </c>
      <c r="C612">
        <f>VLOOKUP(A612,'Production Plan'!B:F,5,FALSE)</f>
        <v/>
      </c>
    </row>
    <row r="613" hidden="1">
      <c r="A613">
        <f>'Production Plan'!B601</f>
        <v/>
      </c>
      <c r="B613">
        <f>VLOOKUP(A613,'Production Plan'!B:S,16,FALSE)</f>
        <v/>
      </c>
      <c r="C613">
        <f>VLOOKUP(A613,'Production Plan'!B:F,5,FALSE)</f>
        <v/>
      </c>
    </row>
    <row r="614" hidden="1">
      <c r="A614">
        <f>'Production Plan'!B602</f>
        <v/>
      </c>
      <c r="B614">
        <f>VLOOKUP(A614,'Production Plan'!B:S,16,FALSE)</f>
        <v/>
      </c>
      <c r="C614">
        <f>VLOOKUP(A614,'Production Plan'!B:F,5,FALSE)</f>
        <v/>
      </c>
    </row>
    <row r="615" hidden="1">
      <c r="A615">
        <f>'Production Plan'!B603</f>
        <v/>
      </c>
      <c r="B615">
        <f>VLOOKUP(A615,'Production Plan'!B:S,16,FALSE)</f>
        <v/>
      </c>
      <c r="C615">
        <f>VLOOKUP(A615,'Production Plan'!B:F,5,FALSE)</f>
        <v/>
      </c>
    </row>
    <row r="616" hidden="1">
      <c r="A616">
        <f>'Production Plan'!B604</f>
        <v/>
      </c>
      <c r="B616">
        <f>VLOOKUP(A616,'Production Plan'!B:S,16,FALSE)</f>
        <v/>
      </c>
      <c r="C616">
        <f>VLOOKUP(A616,'Production Plan'!B:F,5,FALSE)</f>
        <v/>
      </c>
    </row>
    <row r="617" hidden="1">
      <c r="A617">
        <f>'Production Plan'!B605</f>
        <v/>
      </c>
      <c r="B617">
        <f>VLOOKUP(A617,'Production Plan'!B:S,16,FALSE)</f>
        <v/>
      </c>
      <c r="C617">
        <f>VLOOKUP(A617,'Production Plan'!B:F,5,FALSE)</f>
        <v/>
      </c>
    </row>
    <row r="618" hidden="1">
      <c r="A618">
        <f>'Production Plan'!B606</f>
        <v/>
      </c>
      <c r="B618">
        <f>VLOOKUP(A618,'Production Plan'!B:S,16,FALSE)</f>
        <v/>
      </c>
      <c r="C618">
        <f>VLOOKUP(A618,'Production Plan'!B:F,5,FALSE)</f>
        <v/>
      </c>
    </row>
    <row r="619" hidden="1">
      <c r="A619">
        <f>'Production Plan'!B607</f>
        <v/>
      </c>
      <c r="B619">
        <f>VLOOKUP(A619,'Production Plan'!B:S,16,FALSE)</f>
        <v/>
      </c>
      <c r="C619">
        <f>VLOOKUP(A619,'Production Plan'!B:F,5,FALSE)</f>
        <v/>
      </c>
    </row>
    <row r="620" hidden="1">
      <c r="A620">
        <f>'Production Plan'!B608</f>
        <v/>
      </c>
      <c r="B620">
        <f>VLOOKUP(A620,'Production Plan'!B:S,16,FALSE)</f>
        <v/>
      </c>
      <c r="C620">
        <f>VLOOKUP(A620,'Production Plan'!B:F,5,FALSE)</f>
        <v/>
      </c>
    </row>
    <row r="621" hidden="1">
      <c r="A621">
        <f>'Production Plan'!B609</f>
        <v/>
      </c>
      <c r="B621">
        <f>VLOOKUP(A621,'Production Plan'!B:S,16,FALSE)</f>
        <v/>
      </c>
      <c r="C621">
        <f>VLOOKUP(A621,'Production Plan'!B:F,5,FALSE)</f>
        <v/>
      </c>
    </row>
    <row r="622" hidden="1">
      <c r="A622">
        <f>'Production Plan'!B610</f>
        <v/>
      </c>
      <c r="B622">
        <f>VLOOKUP(A622,'Production Plan'!B:S,16,FALSE)</f>
        <v/>
      </c>
      <c r="C622">
        <f>VLOOKUP(A622,'Production Plan'!B:F,5,FALSE)</f>
        <v/>
      </c>
    </row>
    <row r="623" hidden="1">
      <c r="A623">
        <f>'Production Plan'!B611</f>
        <v/>
      </c>
      <c r="B623">
        <f>VLOOKUP(A623,'Production Plan'!B:S,16,FALSE)</f>
        <v/>
      </c>
      <c r="C623">
        <f>VLOOKUP(A623,'Production Plan'!B:F,5,FALSE)</f>
        <v/>
      </c>
    </row>
    <row r="624" hidden="1">
      <c r="A624">
        <f>'Production Plan'!B612</f>
        <v/>
      </c>
      <c r="B624">
        <f>VLOOKUP(A624,'Production Plan'!B:S,16,FALSE)</f>
        <v/>
      </c>
      <c r="C624">
        <f>VLOOKUP(A624,'Production Plan'!B:F,5,FALSE)</f>
        <v/>
      </c>
    </row>
    <row r="625" hidden="1">
      <c r="A625">
        <f>'Production Plan'!B613</f>
        <v/>
      </c>
      <c r="B625">
        <f>VLOOKUP(A625,'Production Plan'!B:S,16,FALSE)</f>
        <v/>
      </c>
      <c r="C625">
        <f>VLOOKUP(A625,'Production Plan'!B:F,5,FALSE)</f>
        <v/>
      </c>
    </row>
    <row r="626" hidden="1">
      <c r="A626">
        <f>'Production Plan'!B614</f>
        <v/>
      </c>
      <c r="B626">
        <f>VLOOKUP(A626,'Production Plan'!B:S,16,FALSE)</f>
        <v/>
      </c>
      <c r="C626">
        <f>VLOOKUP(A626,'Production Plan'!B:F,5,FALSE)</f>
        <v/>
      </c>
    </row>
    <row r="627" hidden="1">
      <c r="A627">
        <f>'Production Plan'!B615</f>
        <v/>
      </c>
      <c r="B627">
        <f>VLOOKUP(A627,'Production Plan'!B:S,16,FALSE)</f>
        <v/>
      </c>
      <c r="C627">
        <f>VLOOKUP(A627,'Production Plan'!B:F,5,FALSE)</f>
        <v/>
      </c>
    </row>
    <row r="628" hidden="1">
      <c r="A628">
        <f>'Production Plan'!B616</f>
        <v/>
      </c>
      <c r="B628">
        <f>VLOOKUP(A628,'Production Plan'!B:S,16,FALSE)</f>
        <v/>
      </c>
      <c r="C628">
        <f>VLOOKUP(A628,'Production Plan'!B:F,5,FALSE)</f>
        <v/>
      </c>
    </row>
    <row r="629" hidden="1">
      <c r="A629">
        <f>'Production Plan'!B617</f>
        <v/>
      </c>
      <c r="B629">
        <f>VLOOKUP(A629,'Production Plan'!B:S,16,FALSE)</f>
        <v/>
      </c>
      <c r="C629">
        <f>VLOOKUP(A629,'Production Plan'!B:F,5,FALSE)</f>
        <v/>
      </c>
    </row>
    <row r="630" hidden="1">
      <c r="A630">
        <f>'Production Plan'!B618</f>
        <v/>
      </c>
      <c r="B630">
        <f>VLOOKUP(A630,'Production Plan'!B:S,16,FALSE)</f>
        <v/>
      </c>
      <c r="C630">
        <f>VLOOKUP(A630,'Production Plan'!B:F,5,FALSE)</f>
        <v/>
      </c>
    </row>
    <row r="631" hidden="1">
      <c r="A631">
        <f>'Production Plan'!B619</f>
        <v/>
      </c>
      <c r="B631">
        <f>VLOOKUP(A631,'Production Plan'!B:S,16,FALSE)</f>
        <v/>
      </c>
      <c r="C631">
        <f>VLOOKUP(A631,'Production Plan'!B:F,5,FALSE)</f>
        <v/>
      </c>
    </row>
    <row r="632" hidden="1">
      <c r="A632">
        <f>'Production Plan'!B620</f>
        <v/>
      </c>
      <c r="B632">
        <f>VLOOKUP(A632,'Production Plan'!B:S,16,FALSE)</f>
        <v/>
      </c>
      <c r="C632">
        <f>VLOOKUP(A632,'Production Plan'!B:F,5,FALSE)</f>
        <v/>
      </c>
    </row>
    <row r="633" hidden="1">
      <c r="A633">
        <f>'Production Plan'!B621</f>
        <v/>
      </c>
      <c r="B633">
        <f>VLOOKUP(A633,'Production Plan'!B:S,16,FALSE)</f>
        <v/>
      </c>
      <c r="C633">
        <f>VLOOKUP(A633,'Production Plan'!B:F,5,FALSE)</f>
        <v/>
      </c>
    </row>
    <row r="634" hidden="1">
      <c r="A634">
        <f>'Production Plan'!B622</f>
        <v/>
      </c>
      <c r="B634">
        <f>VLOOKUP(A634,'Production Plan'!B:S,16,FALSE)</f>
        <v/>
      </c>
      <c r="C634">
        <f>VLOOKUP(A634,'Production Plan'!B:F,5,FALSE)</f>
        <v/>
      </c>
    </row>
    <row r="635" hidden="1">
      <c r="A635">
        <f>'Production Plan'!B623</f>
        <v/>
      </c>
      <c r="B635">
        <f>VLOOKUP(A635,'Production Plan'!B:S,16,FALSE)</f>
        <v/>
      </c>
      <c r="C635">
        <f>VLOOKUP(A635,'Production Plan'!B:F,5,FALSE)</f>
        <v/>
      </c>
    </row>
    <row r="636" hidden="1">
      <c r="A636">
        <f>'Production Plan'!B624</f>
        <v/>
      </c>
      <c r="B636">
        <f>VLOOKUP(A636,'Production Plan'!B:S,16,FALSE)</f>
        <v/>
      </c>
      <c r="C636">
        <f>VLOOKUP(A636,'Production Plan'!B:F,5,FALSE)</f>
        <v/>
      </c>
    </row>
    <row r="637" hidden="1">
      <c r="A637">
        <f>'Production Plan'!B625</f>
        <v/>
      </c>
      <c r="B637">
        <f>VLOOKUP(A637,'Production Plan'!B:S,16,FALSE)</f>
        <v/>
      </c>
      <c r="C637">
        <f>VLOOKUP(A637,'Production Plan'!B:F,5,FALSE)</f>
        <v/>
      </c>
    </row>
    <row r="638" hidden="1">
      <c r="A638">
        <f>'Production Plan'!B626</f>
        <v/>
      </c>
      <c r="B638">
        <f>VLOOKUP(A638,'Production Plan'!B:S,16,FALSE)</f>
        <v/>
      </c>
      <c r="C638">
        <f>VLOOKUP(A638,'Production Plan'!B:F,5,FALSE)</f>
        <v/>
      </c>
    </row>
    <row r="639" hidden="1">
      <c r="A639">
        <f>'Production Plan'!B627</f>
        <v/>
      </c>
      <c r="B639">
        <f>VLOOKUP(A639,'Production Plan'!B:S,16,FALSE)</f>
        <v/>
      </c>
      <c r="C639">
        <f>VLOOKUP(A639,'Production Plan'!B:F,5,FALSE)</f>
        <v/>
      </c>
    </row>
    <row r="640" hidden="1">
      <c r="A640">
        <f>'Production Plan'!B628</f>
        <v/>
      </c>
      <c r="B640">
        <f>VLOOKUP(A640,'Production Plan'!B:S,16,FALSE)</f>
        <v/>
      </c>
      <c r="C640">
        <f>VLOOKUP(A640,'Production Plan'!B:F,5,FALSE)</f>
        <v/>
      </c>
    </row>
    <row r="641" hidden="1">
      <c r="A641">
        <f>'Production Plan'!B629</f>
        <v/>
      </c>
      <c r="B641">
        <f>VLOOKUP(A641,'Production Plan'!B:S,16,FALSE)</f>
        <v/>
      </c>
      <c r="C641">
        <f>VLOOKUP(A641,'Production Plan'!B:F,5,FALSE)</f>
        <v/>
      </c>
    </row>
    <row r="642" hidden="1">
      <c r="A642">
        <f>'Production Plan'!B630</f>
        <v/>
      </c>
      <c r="B642">
        <f>VLOOKUP(A642,'Production Plan'!B:S,16,FALSE)</f>
        <v/>
      </c>
      <c r="C642">
        <f>VLOOKUP(A642,'Production Plan'!B:F,5,FALSE)</f>
        <v/>
      </c>
    </row>
    <row r="643" hidden="1">
      <c r="A643">
        <f>'Production Plan'!B631</f>
        <v/>
      </c>
      <c r="B643">
        <f>VLOOKUP(A643,'Production Plan'!B:S,16,FALSE)</f>
        <v/>
      </c>
      <c r="C643">
        <f>VLOOKUP(A643,'Production Plan'!B:F,5,FALSE)</f>
        <v/>
      </c>
    </row>
    <row r="644" hidden="1">
      <c r="A644">
        <f>'Production Plan'!B632</f>
        <v/>
      </c>
      <c r="B644">
        <f>VLOOKUP(A644,'Production Plan'!B:S,16,FALSE)</f>
        <v/>
      </c>
      <c r="C644">
        <f>VLOOKUP(A644,'Production Plan'!B:F,5,FALSE)</f>
        <v/>
      </c>
    </row>
    <row r="645" hidden="1">
      <c r="A645">
        <f>'Production Plan'!B633</f>
        <v/>
      </c>
      <c r="B645">
        <f>VLOOKUP(A645,'Production Plan'!B:S,16,FALSE)</f>
        <v/>
      </c>
      <c r="C645">
        <f>VLOOKUP(A645,'Production Plan'!B:F,5,FALSE)</f>
        <v/>
      </c>
    </row>
    <row r="646" hidden="1">
      <c r="A646">
        <f>'Production Plan'!B634</f>
        <v/>
      </c>
      <c r="B646">
        <f>VLOOKUP(A646,'Production Plan'!B:S,16,FALSE)</f>
        <v/>
      </c>
      <c r="C646">
        <f>VLOOKUP(A646,'Production Plan'!B:F,5,FALSE)</f>
        <v/>
      </c>
    </row>
    <row r="647" hidden="1">
      <c r="A647">
        <f>'Production Plan'!B635</f>
        <v/>
      </c>
      <c r="B647">
        <f>VLOOKUP(A647,'Production Plan'!B:S,16,FALSE)</f>
        <v/>
      </c>
      <c r="C647">
        <f>VLOOKUP(A647,'Production Plan'!B:F,5,FALSE)</f>
        <v/>
      </c>
    </row>
    <row r="648" hidden="1">
      <c r="A648">
        <f>'Production Plan'!B636</f>
        <v/>
      </c>
      <c r="B648">
        <f>VLOOKUP(A648,'Production Plan'!B:S,16,FALSE)</f>
        <v/>
      </c>
      <c r="C648">
        <f>VLOOKUP(A648,'Production Plan'!B:F,5,FALSE)</f>
        <v/>
      </c>
    </row>
    <row r="649" hidden="1">
      <c r="A649">
        <f>'Production Plan'!B637</f>
        <v/>
      </c>
      <c r="B649">
        <f>VLOOKUP(A649,'Production Plan'!B:S,16,FALSE)</f>
        <v/>
      </c>
      <c r="C649">
        <f>VLOOKUP(A649,'Production Plan'!B:F,5,FALSE)</f>
        <v/>
      </c>
    </row>
    <row r="650" hidden="1">
      <c r="A650">
        <f>'Production Plan'!B638</f>
        <v/>
      </c>
      <c r="B650">
        <f>VLOOKUP(A650,'Production Plan'!B:S,16,FALSE)</f>
        <v/>
      </c>
      <c r="C650">
        <f>VLOOKUP(A650,'Production Plan'!B:F,5,FALSE)</f>
        <v/>
      </c>
    </row>
    <row r="651" hidden="1">
      <c r="A651">
        <f>'Production Plan'!B639</f>
        <v/>
      </c>
      <c r="B651">
        <f>VLOOKUP(A651,'Production Plan'!B:S,16,FALSE)</f>
        <v/>
      </c>
      <c r="C651">
        <f>VLOOKUP(A651,'Production Plan'!B:F,5,FALSE)</f>
        <v/>
      </c>
    </row>
    <row r="652" hidden="1">
      <c r="A652">
        <f>'Production Plan'!B640</f>
        <v/>
      </c>
      <c r="B652">
        <f>VLOOKUP(A652,'Production Plan'!B:S,16,FALSE)</f>
        <v/>
      </c>
      <c r="C652">
        <f>VLOOKUP(A652,'Production Plan'!B:F,5,FALSE)</f>
        <v/>
      </c>
    </row>
    <row r="653" hidden="1">
      <c r="A653">
        <f>'Production Plan'!B641</f>
        <v/>
      </c>
      <c r="B653">
        <f>VLOOKUP(A653,'Production Plan'!B:S,16,FALSE)</f>
        <v/>
      </c>
      <c r="C653">
        <f>VLOOKUP(A653,'Production Plan'!B:F,5,FALSE)</f>
        <v/>
      </c>
    </row>
    <row r="654" hidden="1">
      <c r="A654">
        <f>'Production Plan'!B642</f>
        <v/>
      </c>
      <c r="B654">
        <f>VLOOKUP(A654,'Production Plan'!B:S,16,FALSE)</f>
        <v/>
      </c>
      <c r="C654">
        <f>VLOOKUP(A654,'Production Plan'!B:F,5,FALSE)</f>
        <v/>
      </c>
    </row>
    <row r="655" hidden="1">
      <c r="A655">
        <f>'Production Plan'!B643</f>
        <v/>
      </c>
      <c r="B655">
        <f>VLOOKUP(A655,'Production Plan'!B:S,16,FALSE)</f>
        <v/>
      </c>
      <c r="C655">
        <f>VLOOKUP(A655,'Production Plan'!B:F,5,FALSE)</f>
        <v/>
      </c>
    </row>
    <row r="656" hidden="1">
      <c r="A656">
        <f>'Production Plan'!B644</f>
        <v/>
      </c>
      <c r="B656">
        <f>VLOOKUP(A656,'Production Plan'!B:S,16,FALSE)</f>
        <v/>
      </c>
      <c r="C656">
        <f>VLOOKUP(A656,'Production Plan'!B:F,5,FALSE)</f>
        <v/>
      </c>
    </row>
    <row r="657" hidden="1">
      <c r="A657">
        <f>'Production Plan'!B645</f>
        <v/>
      </c>
      <c r="B657">
        <f>VLOOKUP(A657,'Production Plan'!B:S,16,FALSE)</f>
        <v/>
      </c>
      <c r="C657">
        <f>VLOOKUP(A657,'Production Plan'!B:F,5,FALSE)</f>
        <v/>
      </c>
    </row>
    <row r="658" hidden="1">
      <c r="A658">
        <f>'Production Plan'!B646</f>
        <v/>
      </c>
      <c r="B658">
        <f>VLOOKUP(A658,'Production Plan'!B:S,16,FALSE)</f>
        <v/>
      </c>
      <c r="C658">
        <f>VLOOKUP(A658,'Production Plan'!B:F,5,FALSE)</f>
        <v/>
      </c>
    </row>
    <row r="659" hidden="1">
      <c r="A659">
        <f>'Production Plan'!B647</f>
        <v/>
      </c>
      <c r="B659">
        <f>VLOOKUP(A659,'Production Plan'!B:S,16,FALSE)</f>
        <v/>
      </c>
      <c r="C659">
        <f>VLOOKUP(A659,'Production Plan'!B:F,5,FALSE)</f>
        <v/>
      </c>
    </row>
    <row r="660" hidden="1">
      <c r="A660">
        <f>'Production Plan'!B648</f>
        <v/>
      </c>
      <c r="B660">
        <f>VLOOKUP(A660,'Production Plan'!B:S,16,FALSE)</f>
        <v/>
      </c>
      <c r="C660">
        <f>VLOOKUP(A660,'Production Plan'!B:F,5,FALSE)</f>
        <v/>
      </c>
    </row>
    <row r="661" hidden="1">
      <c r="A661">
        <f>'Production Plan'!B649</f>
        <v/>
      </c>
      <c r="B661">
        <f>VLOOKUP(A661,'Production Plan'!B:S,16,FALSE)</f>
        <v/>
      </c>
      <c r="C661">
        <f>VLOOKUP(A661,'Production Plan'!B:F,5,FALSE)</f>
        <v/>
      </c>
    </row>
    <row r="662" hidden="1">
      <c r="A662">
        <f>'Production Plan'!B650</f>
        <v/>
      </c>
      <c r="B662">
        <f>VLOOKUP(A662,'Production Plan'!B:S,16,FALSE)</f>
        <v/>
      </c>
      <c r="C662">
        <f>VLOOKUP(A662,'Production Plan'!B:F,5,FALSE)</f>
        <v/>
      </c>
    </row>
    <row r="663" hidden="1">
      <c r="A663">
        <f>'Production Plan'!B651</f>
        <v/>
      </c>
      <c r="B663">
        <f>VLOOKUP(A663,'Production Plan'!B:S,16,FALSE)</f>
        <v/>
      </c>
      <c r="C663">
        <f>VLOOKUP(A663,'Production Plan'!B:F,5,FALSE)</f>
        <v/>
      </c>
    </row>
    <row r="664" hidden="1">
      <c r="A664">
        <f>'Production Plan'!B652</f>
        <v/>
      </c>
      <c r="B664">
        <f>VLOOKUP(A664,'Production Plan'!B:S,16,FALSE)</f>
        <v/>
      </c>
      <c r="C664">
        <f>VLOOKUP(A664,'Production Plan'!B:F,5,FALSE)</f>
        <v/>
      </c>
    </row>
    <row r="665" hidden="1">
      <c r="A665">
        <f>'Production Plan'!B653</f>
        <v/>
      </c>
      <c r="B665">
        <f>VLOOKUP(A665,'Production Plan'!B:S,16,FALSE)</f>
        <v/>
      </c>
      <c r="C665">
        <f>VLOOKUP(A665,'Production Plan'!B:F,5,FALSE)</f>
        <v/>
      </c>
    </row>
    <row r="666" hidden="1">
      <c r="A666">
        <f>'Production Plan'!B654</f>
        <v/>
      </c>
      <c r="B666">
        <f>VLOOKUP(A666,'Production Plan'!B:S,16,FALSE)</f>
        <v/>
      </c>
      <c r="C666">
        <f>VLOOKUP(A666,'Production Plan'!B:F,5,FALSE)</f>
        <v/>
      </c>
    </row>
    <row r="667" hidden="1">
      <c r="A667">
        <f>'Production Plan'!B655</f>
        <v/>
      </c>
      <c r="B667">
        <f>VLOOKUP(A667,'Production Plan'!B:S,16,FALSE)</f>
        <v/>
      </c>
      <c r="C667">
        <f>VLOOKUP(A667,'Production Plan'!B:F,5,FALSE)</f>
        <v/>
      </c>
    </row>
    <row r="668" hidden="1">
      <c r="A668">
        <f>'Production Plan'!B656</f>
        <v/>
      </c>
      <c r="B668">
        <f>VLOOKUP(A668,'Production Plan'!B:S,16,FALSE)</f>
        <v/>
      </c>
      <c r="C668">
        <f>VLOOKUP(A668,'Production Plan'!B:F,5,FALSE)</f>
        <v/>
      </c>
    </row>
    <row r="669" hidden="1">
      <c r="A669">
        <f>'Production Plan'!B657</f>
        <v/>
      </c>
      <c r="B669">
        <f>VLOOKUP(A669,'Production Plan'!B:S,16,FALSE)</f>
        <v/>
      </c>
      <c r="C669">
        <f>VLOOKUP(A669,'Production Plan'!B:F,5,FALSE)</f>
        <v/>
      </c>
    </row>
    <row r="670" hidden="1">
      <c r="A670">
        <f>'Production Plan'!B658</f>
        <v/>
      </c>
      <c r="B670">
        <f>VLOOKUP(A670,'Production Plan'!B:S,16,FALSE)</f>
        <v/>
      </c>
      <c r="C670">
        <f>VLOOKUP(A670,'Production Plan'!B:F,5,FALSE)</f>
        <v/>
      </c>
    </row>
    <row r="671" hidden="1">
      <c r="A671">
        <f>'Production Plan'!B659</f>
        <v/>
      </c>
      <c r="B671">
        <f>VLOOKUP(A671,'Production Plan'!B:S,16,FALSE)</f>
        <v/>
      </c>
      <c r="C671">
        <f>VLOOKUP(A671,'Production Plan'!B:F,5,FALSE)</f>
        <v/>
      </c>
    </row>
    <row r="672" hidden="1">
      <c r="A672">
        <f>'Production Plan'!B660</f>
        <v/>
      </c>
      <c r="B672">
        <f>VLOOKUP(A672,'Production Plan'!B:S,16,FALSE)</f>
        <v/>
      </c>
      <c r="C672">
        <f>VLOOKUP(A672,'Production Plan'!B:F,5,FALSE)</f>
        <v/>
      </c>
    </row>
    <row r="673" hidden="1">
      <c r="A673">
        <f>'Production Plan'!B661</f>
        <v/>
      </c>
      <c r="B673">
        <f>VLOOKUP(A673,'Production Plan'!B:S,16,FALSE)</f>
        <v/>
      </c>
      <c r="C673">
        <f>VLOOKUP(A673,'Production Plan'!B:F,5,FALSE)</f>
        <v/>
      </c>
    </row>
    <row r="674" hidden="1">
      <c r="A674">
        <f>'Production Plan'!B662</f>
        <v/>
      </c>
      <c r="B674">
        <f>VLOOKUP(A674,'Production Plan'!B:S,16,FALSE)</f>
        <v/>
      </c>
      <c r="C674">
        <f>VLOOKUP(A674,'Production Plan'!B:F,5,FALSE)</f>
        <v/>
      </c>
    </row>
    <row r="675" hidden="1">
      <c r="A675">
        <f>'Production Plan'!B663</f>
        <v/>
      </c>
      <c r="B675">
        <f>VLOOKUP(A675,'Production Plan'!B:S,16,FALSE)</f>
        <v/>
      </c>
      <c r="C675">
        <f>VLOOKUP(A675,'Production Plan'!B:F,5,FALSE)</f>
        <v/>
      </c>
    </row>
    <row r="676" hidden="1">
      <c r="A676">
        <f>'Production Plan'!B664</f>
        <v/>
      </c>
      <c r="B676">
        <f>VLOOKUP(A676,'Production Plan'!B:S,16,FALSE)</f>
        <v/>
      </c>
      <c r="C676">
        <f>VLOOKUP(A676,'Production Plan'!B:F,5,FALSE)</f>
        <v/>
      </c>
    </row>
    <row r="677" hidden="1">
      <c r="A677">
        <f>'Production Plan'!B665</f>
        <v/>
      </c>
      <c r="B677">
        <f>VLOOKUP(A677,'Production Plan'!B:S,16,FALSE)</f>
        <v/>
      </c>
      <c r="C677">
        <f>VLOOKUP(A677,'Production Plan'!B:F,5,FALSE)</f>
        <v/>
      </c>
    </row>
    <row r="678" hidden="1">
      <c r="A678">
        <f>'Production Plan'!B666</f>
        <v/>
      </c>
      <c r="B678">
        <f>VLOOKUP(A678,'Production Plan'!B:S,16,FALSE)</f>
        <v/>
      </c>
      <c r="C678">
        <f>VLOOKUP(A678,'Production Plan'!B:F,5,FALSE)</f>
        <v/>
      </c>
    </row>
    <row r="679" hidden="1">
      <c r="A679">
        <f>'Production Plan'!B667</f>
        <v/>
      </c>
      <c r="B679">
        <f>VLOOKUP(A679,'Production Plan'!B:S,16,FALSE)</f>
        <v/>
      </c>
      <c r="C679">
        <f>VLOOKUP(A679,'Production Plan'!B:F,5,FALSE)</f>
        <v/>
      </c>
    </row>
    <row r="680" hidden="1">
      <c r="A680">
        <f>'Production Plan'!B668</f>
        <v/>
      </c>
      <c r="B680">
        <f>VLOOKUP(A680,'Production Plan'!B:S,16,FALSE)</f>
        <v/>
      </c>
      <c r="C680">
        <f>VLOOKUP(A680,'Production Plan'!B:F,5,FALSE)</f>
        <v/>
      </c>
    </row>
    <row r="681" hidden="1">
      <c r="A681">
        <f>'Production Plan'!B669</f>
        <v/>
      </c>
      <c r="B681">
        <f>VLOOKUP(A681,'Production Plan'!B:S,16,FALSE)</f>
        <v/>
      </c>
      <c r="C681">
        <f>VLOOKUP(A681,'Production Plan'!B:F,5,FALSE)</f>
        <v/>
      </c>
    </row>
    <row r="682" hidden="1">
      <c r="A682">
        <f>'Production Plan'!B670</f>
        <v/>
      </c>
      <c r="B682">
        <f>VLOOKUP(A682,'Production Plan'!B:S,16,FALSE)</f>
        <v/>
      </c>
      <c r="C682">
        <f>VLOOKUP(A682,'Production Plan'!B:F,5,FALSE)</f>
        <v/>
      </c>
    </row>
    <row r="683" hidden="1">
      <c r="A683">
        <f>'Production Plan'!B671</f>
        <v/>
      </c>
      <c r="B683">
        <f>VLOOKUP(A683,'Production Plan'!B:S,16,FALSE)</f>
        <v/>
      </c>
      <c r="C683">
        <f>VLOOKUP(A683,'Production Plan'!B:F,5,FALSE)</f>
        <v/>
      </c>
    </row>
    <row r="684" hidden="1">
      <c r="A684">
        <f>'Production Plan'!B672</f>
        <v/>
      </c>
      <c r="B684">
        <f>VLOOKUP(A684,'Production Plan'!B:S,16,FALSE)</f>
        <v/>
      </c>
      <c r="C684">
        <f>VLOOKUP(A684,'Production Plan'!B:F,5,FALSE)</f>
        <v/>
      </c>
    </row>
    <row r="685" hidden="1">
      <c r="A685">
        <f>'Production Plan'!B673</f>
        <v/>
      </c>
      <c r="B685">
        <f>VLOOKUP(A685,'Production Plan'!B:S,16,FALSE)</f>
        <v/>
      </c>
      <c r="C685">
        <f>VLOOKUP(A685,'Production Plan'!B:F,5,FALSE)</f>
        <v/>
      </c>
    </row>
    <row r="686" hidden="1">
      <c r="A686">
        <f>'Production Plan'!B674</f>
        <v/>
      </c>
      <c r="B686">
        <f>VLOOKUP(A686,'Production Plan'!B:S,16,FALSE)</f>
        <v/>
      </c>
      <c r="C686">
        <f>VLOOKUP(A686,'Production Plan'!B:F,5,FALSE)</f>
        <v/>
      </c>
    </row>
    <row r="687" hidden="1">
      <c r="A687">
        <f>'Production Plan'!B675</f>
        <v/>
      </c>
      <c r="B687">
        <f>VLOOKUP(A687,'Production Plan'!B:S,16,FALSE)</f>
        <v/>
      </c>
      <c r="C687">
        <f>VLOOKUP(A687,'Production Plan'!B:F,5,FALSE)</f>
        <v/>
      </c>
    </row>
    <row r="688" hidden="1">
      <c r="A688">
        <f>'Production Plan'!B676</f>
        <v/>
      </c>
      <c r="B688">
        <f>VLOOKUP(A688,'Production Plan'!B:S,16,FALSE)</f>
        <v/>
      </c>
      <c r="C688">
        <f>VLOOKUP(A688,'Production Plan'!B:F,5,FALSE)</f>
        <v/>
      </c>
    </row>
    <row r="689" hidden="1">
      <c r="A689">
        <f>'Production Plan'!B677</f>
        <v/>
      </c>
      <c r="B689">
        <f>VLOOKUP(A689,'Production Plan'!B:S,16,FALSE)</f>
        <v/>
      </c>
      <c r="C689">
        <f>VLOOKUP(A689,'Production Plan'!B:F,5,FALSE)</f>
        <v/>
      </c>
    </row>
    <row r="690" hidden="1">
      <c r="A690">
        <f>'Production Plan'!B678</f>
        <v/>
      </c>
      <c r="B690">
        <f>VLOOKUP(A690,'Production Plan'!B:S,16,FALSE)</f>
        <v/>
      </c>
      <c r="C690">
        <f>VLOOKUP(A690,'Production Plan'!B:F,5,FALSE)</f>
        <v/>
      </c>
    </row>
    <row r="691" hidden="1">
      <c r="A691">
        <f>'Production Plan'!B679</f>
        <v/>
      </c>
      <c r="B691">
        <f>VLOOKUP(A691,'Production Plan'!B:S,16,FALSE)</f>
        <v/>
      </c>
      <c r="C691">
        <f>VLOOKUP(A691,'Production Plan'!B:F,5,FALSE)</f>
        <v/>
      </c>
    </row>
    <row r="692" hidden="1">
      <c r="A692">
        <f>'Production Plan'!B680</f>
        <v/>
      </c>
      <c r="B692">
        <f>VLOOKUP(A692,'Production Plan'!B:S,16,FALSE)</f>
        <v/>
      </c>
      <c r="C692">
        <f>VLOOKUP(A692,'Production Plan'!B:F,5,FALSE)</f>
        <v/>
      </c>
    </row>
    <row r="693" hidden="1">
      <c r="A693">
        <f>'Production Plan'!B681</f>
        <v/>
      </c>
      <c r="B693">
        <f>VLOOKUP(A693,'Production Plan'!B:S,16,FALSE)</f>
        <v/>
      </c>
      <c r="C693">
        <f>VLOOKUP(A693,'Production Plan'!B:F,5,FALSE)</f>
        <v/>
      </c>
    </row>
    <row r="694" hidden="1">
      <c r="A694">
        <f>'Production Plan'!B682</f>
        <v/>
      </c>
      <c r="B694">
        <f>VLOOKUP(A694,'Production Plan'!B:S,16,FALSE)</f>
        <v/>
      </c>
      <c r="C694">
        <f>VLOOKUP(A694,'Production Plan'!B:F,5,FALSE)</f>
        <v/>
      </c>
    </row>
    <row r="695" hidden="1">
      <c r="A695">
        <f>'Production Plan'!B683</f>
        <v/>
      </c>
      <c r="B695">
        <f>VLOOKUP(A695,'Production Plan'!B:S,16,FALSE)</f>
        <v/>
      </c>
      <c r="C695">
        <f>VLOOKUP(A695,'Production Plan'!B:F,5,FALSE)</f>
        <v/>
      </c>
    </row>
    <row r="696" hidden="1">
      <c r="A696">
        <f>'Production Plan'!B684</f>
        <v/>
      </c>
      <c r="B696">
        <f>VLOOKUP(A696,'Production Plan'!B:S,16,FALSE)</f>
        <v/>
      </c>
      <c r="C696">
        <f>VLOOKUP(A696,'Production Plan'!B:F,5,FALSE)</f>
        <v/>
      </c>
    </row>
    <row r="697" hidden="1">
      <c r="A697">
        <f>'Production Plan'!B685</f>
        <v/>
      </c>
      <c r="B697">
        <f>VLOOKUP(A697,'Production Plan'!B:S,16,FALSE)</f>
        <v/>
      </c>
      <c r="C697">
        <f>VLOOKUP(A697,'Production Plan'!B:F,5,FALSE)</f>
        <v/>
      </c>
    </row>
    <row r="698" hidden="1">
      <c r="A698">
        <f>'Production Plan'!B686</f>
        <v/>
      </c>
      <c r="B698">
        <f>VLOOKUP(A698,'Production Plan'!B:S,16,FALSE)</f>
        <v/>
      </c>
      <c r="C698">
        <f>VLOOKUP(A698,'Production Plan'!B:F,5,FALSE)</f>
        <v/>
      </c>
    </row>
    <row r="699" hidden="1">
      <c r="A699">
        <f>'Production Plan'!B687</f>
        <v/>
      </c>
      <c r="B699">
        <f>VLOOKUP(A699,'Production Plan'!B:S,16,FALSE)</f>
        <v/>
      </c>
      <c r="C699">
        <f>VLOOKUP(A699,'Production Plan'!B:F,5,FALSE)</f>
        <v/>
      </c>
    </row>
    <row r="700" hidden="1">
      <c r="A700">
        <f>'Production Plan'!B688</f>
        <v/>
      </c>
      <c r="B700">
        <f>VLOOKUP(A700,'Production Plan'!B:S,16,FALSE)</f>
        <v/>
      </c>
      <c r="C700">
        <f>VLOOKUP(A700,'Production Plan'!B:F,5,FALSE)</f>
        <v/>
      </c>
    </row>
    <row r="701" hidden="1">
      <c r="A701">
        <f>'Production Plan'!B689</f>
        <v/>
      </c>
      <c r="B701">
        <f>VLOOKUP(A701,'Production Plan'!B:S,16,FALSE)</f>
        <v/>
      </c>
      <c r="C701">
        <f>VLOOKUP(A701,'Production Plan'!B:F,5,FALSE)</f>
        <v/>
      </c>
    </row>
    <row r="702" hidden="1">
      <c r="A702">
        <f>'Production Plan'!B690</f>
        <v/>
      </c>
      <c r="B702">
        <f>VLOOKUP(A702,'Production Plan'!B:S,16,FALSE)</f>
        <v/>
      </c>
      <c r="C702">
        <f>VLOOKUP(A702,'Production Plan'!B:F,5,FALSE)</f>
        <v/>
      </c>
    </row>
    <row r="703" hidden="1">
      <c r="A703">
        <f>'Production Plan'!B691</f>
        <v/>
      </c>
      <c r="B703">
        <f>VLOOKUP(A703,'Production Plan'!B:S,16,FALSE)</f>
        <v/>
      </c>
      <c r="C703">
        <f>VLOOKUP(A703,'Production Plan'!B:F,5,FALSE)</f>
        <v/>
      </c>
    </row>
    <row r="704" hidden="1">
      <c r="A704">
        <f>'Production Plan'!B692</f>
        <v/>
      </c>
      <c r="B704">
        <f>VLOOKUP(A704,'Production Plan'!B:S,16,FALSE)</f>
        <v/>
      </c>
      <c r="C704">
        <f>VLOOKUP(A704,'Production Plan'!B:F,5,FALSE)</f>
        <v/>
      </c>
    </row>
    <row r="705" hidden="1">
      <c r="A705">
        <f>'Production Plan'!B693</f>
        <v/>
      </c>
      <c r="B705">
        <f>VLOOKUP(A705,'Production Plan'!B:S,16,FALSE)</f>
        <v/>
      </c>
      <c r="C705">
        <f>VLOOKUP(A705,'Production Plan'!B:F,5,FALSE)</f>
        <v/>
      </c>
    </row>
    <row r="706" hidden="1">
      <c r="A706">
        <f>'Production Plan'!B694</f>
        <v/>
      </c>
      <c r="B706">
        <f>VLOOKUP(A706,'Production Plan'!B:S,16,FALSE)</f>
        <v/>
      </c>
      <c r="C706">
        <f>VLOOKUP(A706,'Production Plan'!B:F,5,FALSE)</f>
        <v/>
      </c>
    </row>
    <row r="707" hidden="1">
      <c r="A707">
        <f>'Production Plan'!B695</f>
        <v/>
      </c>
      <c r="B707">
        <f>VLOOKUP(A707,'Production Plan'!B:S,16,FALSE)</f>
        <v/>
      </c>
      <c r="C707">
        <f>VLOOKUP(A707,'Production Plan'!B:F,5,FALSE)</f>
        <v/>
      </c>
    </row>
    <row r="708" hidden="1">
      <c r="A708">
        <f>'Production Plan'!B696</f>
        <v/>
      </c>
      <c r="B708">
        <f>VLOOKUP(A708,'Production Plan'!B:S,16,FALSE)</f>
        <v/>
      </c>
      <c r="C708">
        <f>VLOOKUP(A708,'Production Plan'!B:F,5,FALSE)</f>
        <v/>
      </c>
    </row>
    <row r="709" hidden="1">
      <c r="A709">
        <f>'Production Plan'!B697</f>
        <v/>
      </c>
      <c r="B709">
        <f>VLOOKUP(A709,'Production Plan'!B:S,16,FALSE)</f>
        <v/>
      </c>
      <c r="C709">
        <f>VLOOKUP(A709,'Production Plan'!B:F,5,FALSE)</f>
        <v/>
      </c>
    </row>
    <row r="710" hidden="1">
      <c r="A710">
        <f>'Production Plan'!B698</f>
        <v/>
      </c>
      <c r="B710">
        <f>VLOOKUP(A710,'Production Plan'!B:S,16,FALSE)</f>
        <v/>
      </c>
      <c r="C710">
        <f>VLOOKUP(A710,'Production Plan'!B:F,5,FALSE)</f>
        <v/>
      </c>
    </row>
    <row r="711" hidden="1">
      <c r="A711">
        <f>'Production Plan'!B699</f>
        <v/>
      </c>
      <c r="B711">
        <f>VLOOKUP(A711,'Production Plan'!B:S,16,FALSE)</f>
        <v/>
      </c>
      <c r="C711">
        <f>VLOOKUP(A711,'Production Plan'!B:F,5,FALSE)</f>
        <v/>
      </c>
    </row>
    <row r="712" hidden="1">
      <c r="A712">
        <f>'Production Plan'!B700</f>
        <v/>
      </c>
      <c r="B712">
        <f>VLOOKUP(A712,'Production Plan'!B:S,16,FALSE)</f>
        <v/>
      </c>
      <c r="C712">
        <f>VLOOKUP(A712,'Production Plan'!B:F,5,FALSE)</f>
        <v/>
      </c>
    </row>
    <row r="713" hidden="1">
      <c r="A713">
        <f>'Production Plan'!B701</f>
        <v/>
      </c>
      <c r="B713">
        <f>VLOOKUP(A713,'Production Plan'!B:S,16,FALSE)</f>
        <v/>
      </c>
      <c r="C713">
        <f>VLOOKUP(A713,'Production Plan'!B:F,5,FALSE)</f>
        <v/>
      </c>
    </row>
    <row r="714" hidden="1">
      <c r="A714">
        <f>'Production Plan'!B702</f>
        <v/>
      </c>
      <c r="B714">
        <f>VLOOKUP(A714,'Production Plan'!B:S,16,FALSE)</f>
        <v/>
      </c>
      <c r="C714">
        <f>VLOOKUP(A714,'Production Plan'!B:F,5,FALSE)</f>
        <v/>
      </c>
    </row>
    <row r="715" hidden="1">
      <c r="A715">
        <f>'Production Plan'!B703</f>
        <v/>
      </c>
      <c r="B715">
        <f>VLOOKUP(A715,'Production Plan'!B:S,16,FALSE)</f>
        <v/>
      </c>
      <c r="C715">
        <f>VLOOKUP(A715,'Production Plan'!B:F,5,FALSE)</f>
        <v/>
      </c>
    </row>
    <row r="716" hidden="1">
      <c r="A716">
        <f>'Production Plan'!B704</f>
        <v/>
      </c>
      <c r="B716">
        <f>VLOOKUP(A716,'Production Plan'!B:S,16,FALSE)</f>
        <v/>
      </c>
      <c r="C716">
        <f>VLOOKUP(A716,'Production Plan'!B:F,5,FALSE)</f>
        <v/>
      </c>
    </row>
    <row r="717" hidden="1">
      <c r="A717">
        <f>'Production Plan'!B705</f>
        <v/>
      </c>
      <c r="B717">
        <f>VLOOKUP(A717,'Production Plan'!B:S,16,FALSE)</f>
        <v/>
      </c>
      <c r="C717">
        <f>VLOOKUP(A717,'Production Plan'!B:F,5,FALSE)</f>
        <v/>
      </c>
    </row>
    <row r="718" hidden="1">
      <c r="A718">
        <f>'Production Plan'!B706</f>
        <v/>
      </c>
      <c r="B718">
        <f>VLOOKUP(A718,'Production Plan'!B:S,16,FALSE)</f>
        <v/>
      </c>
      <c r="C718">
        <f>VLOOKUP(A718,'Production Plan'!B:F,5,FALSE)</f>
        <v/>
      </c>
    </row>
    <row r="719" hidden="1">
      <c r="A719">
        <f>'Production Plan'!B707</f>
        <v/>
      </c>
      <c r="B719">
        <f>VLOOKUP(A719,'Production Plan'!B:S,16,FALSE)</f>
        <v/>
      </c>
      <c r="C719">
        <f>VLOOKUP(A719,'Production Plan'!B:F,5,FALSE)</f>
        <v/>
      </c>
    </row>
    <row r="720" hidden="1">
      <c r="A720">
        <f>'Production Plan'!B708</f>
        <v/>
      </c>
      <c r="B720">
        <f>VLOOKUP(A720,'Production Plan'!B:S,16,FALSE)</f>
        <v/>
      </c>
      <c r="C720">
        <f>VLOOKUP(A720,'Production Plan'!B:F,5,FALSE)</f>
        <v/>
      </c>
    </row>
    <row r="721" hidden="1">
      <c r="A721">
        <f>'Production Plan'!B709</f>
        <v/>
      </c>
      <c r="B721">
        <f>VLOOKUP(A721,'Production Plan'!B:S,16,FALSE)</f>
        <v/>
      </c>
      <c r="C721">
        <f>VLOOKUP(A721,'Production Plan'!B:F,5,FALSE)</f>
        <v/>
      </c>
    </row>
    <row r="722" hidden="1">
      <c r="A722">
        <f>'Production Plan'!B710</f>
        <v/>
      </c>
      <c r="B722">
        <f>VLOOKUP(A722,'Production Plan'!B:S,16,FALSE)</f>
        <v/>
      </c>
      <c r="C722">
        <f>VLOOKUP(A722,'Production Plan'!B:F,5,FALSE)</f>
        <v/>
      </c>
    </row>
    <row r="723" hidden="1">
      <c r="A723">
        <f>'Production Plan'!B711</f>
        <v/>
      </c>
      <c r="B723">
        <f>VLOOKUP(A723,'Production Plan'!B:S,16,FALSE)</f>
        <v/>
      </c>
      <c r="C723">
        <f>VLOOKUP(A723,'Production Plan'!B:F,5,FALSE)</f>
        <v/>
      </c>
    </row>
    <row r="724" hidden="1">
      <c r="A724">
        <f>'Production Plan'!B712</f>
        <v/>
      </c>
      <c r="B724">
        <f>VLOOKUP(A724,'Production Plan'!B:S,16,FALSE)</f>
        <v/>
      </c>
      <c r="C724">
        <f>VLOOKUP(A724,'Production Plan'!B:F,5,FALSE)</f>
        <v/>
      </c>
    </row>
    <row r="725" hidden="1">
      <c r="A725">
        <f>'Production Plan'!B713</f>
        <v/>
      </c>
      <c r="B725">
        <f>VLOOKUP(A725,'Production Plan'!B:S,16,FALSE)</f>
        <v/>
      </c>
      <c r="C725">
        <f>VLOOKUP(A725,'Production Plan'!B:F,5,FALSE)</f>
        <v/>
      </c>
    </row>
    <row r="726" hidden="1">
      <c r="A726">
        <f>'Production Plan'!B714</f>
        <v/>
      </c>
      <c r="B726">
        <f>VLOOKUP(A726,'Production Plan'!B:S,16,FALSE)</f>
        <v/>
      </c>
      <c r="C726">
        <f>VLOOKUP(A726,'Production Plan'!B:F,5,FALSE)</f>
        <v/>
      </c>
    </row>
    <row r="727" hidden="1">
      <c r="A727">
        <f>'Production Plan'!B715</f>
        <v/>
      </c>
      <c r="B727">
        <f>VLOOKUP(A727,'Production Plan'!B:S,16,FALSE)</f>
        <v/>
      </c>
      <c r="C727">
        <f>VLOOKUP(A727,'Production Plan'!B:F,5,FALSE)</f>
        <v/>
      </c>
    </row>
    <row r="728" hidden="1">
      <c r="A728">
        <f>'Production Plan'!B716</f>
        <v/>
      </c>
      <c r="B728">
        <f>VLOOKUP(A728,'Production Plan'!B:S,16,FALSE)</f>
        <v/>
      </c>
      <c r="C728">
        <f>VLOOKUP(A728,'Production Plan'!B:F,5,FALSE)</f>
        <v/>
      </c>
    </row>
    <row r="729" hidden="1">
      <c r="A729">
        <f>'Production Plan'!B717</f>
        <v/>
      </c>
      <c r="B729">
        <f>VLOOKUP(A729,'Production Plan'!B:S,16,FALSE)</f>
        <v/>
      </c>
      <c r="C729">
        <f>VLOOKUP(A729,'Production Plan'!B:F,5,FALSE)</f>
        <v/>
      </c>
    </row>
    <row r="730" hidden="1">
      <c r="A730">
        <f>'Production Plan'!B718</f>
        <v/>
      </c>
      <c r="B730">
        <f>VLOOKUP(A730,'Production Plan'!B:S,16,FALSE)</f>
        <v/>
      </c>
      <c r="C730">
        <f>VLOOKUP(A730,'Production Plan'!B:F,5,FALSE)</f>
        <v/>
      </c>
    </row>
    <row r="731" hidden="1">
      <c r="A731">
        <f>'Production Plan'!B719</f>
        <v/>
      </c>
      <c r="B731">
        <f>VLOOKUP(A731,'Production Plan'!B:S,16,FALSE)</f>
        <v/>
      </c>
      <c r="C731">
        <f>VLOOKUP(A731,'Production Plan'!B:F,5,FALSE)</f>
        <v/>
      </c>
    </row>
    <row r="732" hidden="1">
      <c r="A732">
        <f>'Production Plan'!B720</f>
        <v/>
      </c>
      <c r="B732">
        <f>VLOOKUP(A732,'Production Plan'!B:S,16,FALSE)</f>
        <v/>
      </c>
      <c r="C732">
        <f>VLOOKUP(A732,'Production Plan'!B:F,5,FALSE)</f>
        <v/>
      </c>
    </row>
    <row r="733" hidden="1">
      <c r="A733">
        <f>'Production Plan'!B721</f>
        <v/>
      </c>
      <c r="B733">
        <f>VLOOKUP(A733,'Production Plan'!B:S,16,FALSE)</f>
        <v/>
      </c>
      <c r="C733">
        <f>VLOOKUP(A733,'Production Plan'!B:F,5,FALSE)</f>
        <v/>
      </c>
    </row>
    <row r="734" hidden="1">
      <c r="A734">
        <f>'Production Plan'!B722</f>
        <v/>
      </c>
      <c r="B734">
        <f>VLOOKUP(A734,'Production Plan'!B:S,16,FALSE)</f>
        <v/>
      </c>
      <c r="C734">
        <f>VLOOKUP(A734,'Production Plan'!B:F,5,FALSE)</f>
        <v/>
      </c>
    </row>
    <row r="735" hidden="1">
      <c r="A735">
        <f>'Production Plan'!B723</f>
        <v/>
      </c>
      <c r="B735">
        <f>VLOOKUP(A735,'Production Plan'!B:S,16,FALSE)</f>
        <v/>
      </c>
      <c r="C735">
        <f>VLOOKUP(A735,'Production Plan'!B:F,5,FALSE)</f>
        <v/>
      </c>
    </row>
    <row r="736" hidden="1">
      <c r="A736">
        <f>'Production Plan'!B724</f>
        <v/>
      </c>
      <c r="B736">
        <f>VLOOKUP(A736,'Production Plan'!B:S,16,FALSE)</f>
        <v/>
      </c>
      <c r="C736">
        <f>VLOOKUP(A736,'Production Plan'!B:F,5,FALSE)</f>
        <v/>
      </c>
    </row>
    <row r="737" hidden="1">
      <c r="A737">
        <f>'Production Plan'!B725</f>
        <v/>
      </c>
      <c r="B737">
        <f>VLOOKUP(A737,'Production Plan'!B:S,16,FALSE)</f>
        <v/>
      </c>
      <c r="C737">
        <f>VLOOKUP(A737,'Production Plan'!B:F,5,FALSE)</f>
        <v/>
      </c>
    </row>
    <row r="738" hidden="1">
      <c r="A738">
        <f>'Production Plan'!B726</f>
        <v/>
      </c>
      <c r="B738">
        <f>VLOOKUP(A738,'Production Plan'!B:S,16,FALSE)</f>
        <v/>
      </c>
      <c r="C738">
        <f>VLOOKUP(A738,'Production Plan'!B:F,5,FALSE)</f>
        <v/>
      </c>
    </row>
    <row r="739" hidden="1">
      <c r="A739">
        <f>'Production Plan'!B727</f>
        <v/>
      </c>
      <c r="B739">
        <f>VLOOKUP(A739,'Production Plan'!B:S,16,FALSE)</f>
        <v/>
      </c>
      <c r="C739">
        <f>VLOOKUP(A739,'Production Plan'!B:F,5,FALSE)</f>
        <v/>
      </c>
    </row>
    <row r="740" hidden="1">
      <c r="A740">
        <f>'Production Plan'!B728</f>
        <v/>
      </c>
      <c r="B740">
        <f>VLOOKUP(A740,'Production Plan'!B:S,16,FALSE)</f>
        <v/>
      </c>
      <c r="C740">
        <f>VLOOKUP(A740,'Production Plan'!B:F,5,FALSE)</f>
        <v/>
      </c>
    </row>
    <row r="741" hidden="1">
      <c r="A741">
        <f>'Production Plan'!B729</f>
        <v/>
      </c>
      <c r="B741">
        <f>VLOOKUP(A741,'Production Plan'!B:S,16,FALSE)</f>
        <v/>
      </c>
      <c r="C741">
        <f>VLOOKUP(A741,'Production Plan'!B:F,5,FALSE)</f>
        <v/>
      </c>
    </row>
    <row r="742" hidden="1">
      <c r="A742">
        <f>'Production Plan'!B730</f>
        <v/>
      </c>
      <c r="B742">
        <f>VLOOKUP(A742,'Production Plan'!B:S,16,FALSE)</f>
        <v/>
      </c>
      <c r="C742">
        <f>VLOOKUP(A742,'Production Plan'!B:F,5,FALSE)</f>
        <v/>
      </c>
    </row>
    <row r="743" hidden="1">
      <c r="A743">
        <f>'Production Plan'!B731</f>
        <v/>
      </c>
      <c r="B743">
        <f>VLOOKUP(A743,'Production Plan'!B:S,16,FALSE)</f>
        <v/>
      </c>
      <c r="C743">
        <f>VLOOKUP(A743,'Production Plan'!B:F,5,FALSE)</f>
        <v/>
      </c>
    </row>
    <row r="744" hidden="1">
      <c r="A744">
        <f>'Production Plan'!B732</f>
        <v/>
      </c>
      <c r="B744">
        <f>VLOOKUP(A744,'Production Plan'!B:S,16,FALSE)</f>
        <v/>
      </c>
      <c r="C744">
        <f>VLOOKUP(A744,'Production Plan'!B:F,5,FALSE)</f>
        <v/>
      </c>
    </row>
    <row r="745" hidden="1">
      <c r="A745">
        <f>'Production Plan'!B733</f>
        <v/>
      </c>
      <c r="B745">
        <f>VLOOKUP(A745,'Production Plan'!B:S,16,FALSE)</f>
        <v/>
      </c>
      <c r="C745">
        <f>VLOOKUP(A745,'Production Plan'!B:F,5,FALSE)</f>
        <v/>
      </c>
    </row>
    <row r="746" hidden="1">
      <c r="A746">
        <f>'Production Plan'!B734</f>
        <v/>
      </c>
      <c r="B746">
        <f>VLOOKUP(A746,'Production Plan'!B:S,16,FALSE)</f>
        <v/>
      </c>
      <c r="C746">
        <f>VLOOKUP(A746,'Production Plan'!B:F,5,FALSE)</f>
        <v/>
      </c>
    </row>
    <row r="747" hidden="1">
      <c r="A747">
        <f>'Production Plan'!B735</f>
        <v/>
      </c>
      <c r="B747">
        <f>VLOOKUP(A747,'Production Plan'!B:S,16,FALSE)</f>
        <v/>
      </c>
      <c r="C747">
        <f>VLOOKUP(A747,'Production Plan'!B:F,5,FALSE)</f>
        <v/>
      </c>
    </row>
    <row r="748" hidden="1">
      <c r="A748">
        <f>'Production Plan'!B736</f>
        <v/>
      </c>
      <c r="B748">
        <f>VLOOKUP(A748,'Production Plan'!B:S,16,FALSE)</f>
        <v/>
      </c>
      <c r="C748">
        <f>VLOOKUP(A748,'Production Plan'!B:F,5,FALSE)</f>
        <v/>
      </c>
    </row>
    <row r="749" hidden="1">
      <c r="A749">
        <f>'Production Plan'!B737</f>
        <v/>
      </c>
      <c r="B749">
        <f>VLOOKUP(A749,'Production Plan'!B:S,16,FALSE)</f>
        <v/>
      </c>
      <c r="C749">
        <f>VLOOKUP(A749,'Production Plan'!B:F,5,FALSE)</f>
        <v/>
      </c>
    </row>
    <row r="750" hidden="1">
      <c r="A750">
        <f>'Production Plan'!B738</f>
        <v/>
      </c>
      <c r="B750">
        <f>VLOOKUP(A750,'Production Plan'!B:S,16,FALSE)</f>
        <v/>
      </c>
      <c r="C750">
        <f>VLOOKUP(A750,'Production Plan'!B:F,5,FALSE)</f>
        <v/>
      </c>
    </row>
    <row r="751" hidden="1">
      <c r="A751">
        <f>'Production Plan'!B739</f>
        <v/>
      </c>
      <c r="B751">
        <f>VLOOKUP(A751,'Production Plan'!B:S,16,FALSE)</f>
        <v/>
      </c>
      <c r="C751">
        <f>VLOOKUP(A751,'Production Plan'!B:F,5,FALSE)</f>
        <v/>
      </c>
    </row>
    <row r="752" hidden="1">
      <c r="A752">
        <f>'Production Plan'!B740</f>
        <v/>
      </c>
      <c r="B752">
        <f>VLOOKUP(A752,'Production Plan'!B:S,16,FALSE)</f>
        <v/>
      </c>
      <c r="C752">
        <f>VLOOKUP(A752,'Production Plan'!B:F,5,FALSE)</f>
        <v/>
      </c>
    </row>
    <row r="753" hidden="1">
      <c r="A753">
        <f>'Production Plan'!B741</f>
        <v/>
      </c>
      <c r="B753">
        <f>VLOOKUP(A753,'Production Plan'!B:S,16,FALSE)</f>
        <v/>
      </c>
      <c r="C753">
        <f>VLOOKUP(A753,'Production Plan'!B:F,5,FALSE)</f>
        <v/>
      </c>
    </row>
    <row r="754" hidden="1">
      <c r="A754">
        <f>'Production Plan'!B742</f>
        <v/>
      </c>
      <c r="B754">
        <f>VLOOKUP(A754,'Production Plan'!B:S,16,FALSE)</f>
        <v/>
      </c>
      <c r="C754">
        <f>VLOOKUP(A754,'Production Plan'!B:F,5,FALSE)</f>
        <v/>
      </c>
    </row>
    <row r="755" hidden="1">
      <c r="A755">
        <f>'Production Plan'!B743</f>
        <v/>
      </c>
      <c r="B755">
        <f>VLOOKUP(A755,'Production Plan'!B:S,16,FALSE)</f>
        <v/>
      </c>
      <c r="C755">
        <f>VLOOKUP(A755,'Production Plan'!B:F,5,FALSE)</f>
        <v/>
      </c>
    </row>
    <row r="756" hidden="1">
      <c r="A756">
        <f>'Production Plan'!B744</f>
        <v/>
      </c>
      <c r="B756">
        <f>VLOOKUP(A756,'Production Plan'!B:S,16,FALSE)</f>
        <v/>
      </c>
      <c r="C756">
        <f>VLOOKUP(A756,'Production Plan'!B:F,5,FALSE)</f>
        <v/>
      </c>
    </row>
    <row r="757" hidden="1">
      <c r="A757">
        <f>'Production Plan'!B745</f>
        <v/>
      </c>
      <c r="B757">
        <f>VLOOKUP(A757,'Production Plan'!B:S,16,FALSE)</f>
        <v/>
      </c>
      <c r="C757">
        <f>VLOOKUP(A757,'Production Plan'!B:F,5,FALSE)</f>
        <v/>
      </c>
    </row>
    <row r="758" hidden="1">
      <c r="A758">
        <f>'Production Plan'!B746</f>
        <v/>
      </c>
      <c r="B758">
        <f>VLOOKUP(A758,'Production Plan'!B:S,16,FALSE)</f>
        <v/>
      </c>
      <c r="C758">
        <f>VLOOKUP(A758,'Production Plan'!B:F,5,FALSE)</f>
        <v/>
      </c>
    </row>
    <row r="759" hidden="1">
      <c r="A759">
        <f>'Production Plan'!B747</f>
        <v/>
      </c>
      <c r="B759">
        <f>VLOOKUP(A759,'Production Plan'!B:S,16,FALSE)</f>
        <v/>
      </c>
      <c r="C759">
        <f>VLOOKUP(A759,'Production Plan'!B:F,5,FALSE)</f>
        <v/>
      </c>
    </row>
    <row r="760" hidden="1">
      <c r="A760">
        <f>'Production Plan'!B748</f>
        <v/>
      </c>
      <c r="B760">
        <f>VLOOKUP(A760,'Production Plan'!B:S,16,FALSE)</f>
        <v/>
      </c>
      <c r="C760">
        <f>VLOOKUP(A760,'Production Plan'!B:F,5,FALSE)</f>
        <v/>
      </c>
    </row>
    <row r="761" hidden="1">
      <c r="A761">
        <f>'Production Plan'!B749</f>
        <v/>
      </c>
      <c r="B761">
        <f>VLOOKUP(A761,'Production Plan'!B:S,16,FALSE)</f>
        <v/>
      </c>
      <c r="C761">
        <f>VLOOKUP(A761,'Production Plan'!B:F,5,FALSE)</f>
        <v/>
      </c>
    </row>
    <row r="762" hidden="1">
      <c r="A762">
        <f>'Production Plan'!B750</f>
        <v/>
      </c>
      <c r="B762">
        <f>VLOOKUP(A762,'Production Plan'!B:S,16,FALSE)</f>
        <v/>
      </c>
      <c r="C762">
        <f>VLOOKUP(A762,'Production Plan'!B:F,5,FALSE)</f>
        <v/>
      </c>
    </row>
    <row r="763" hidden="1">
      <c r="A763">
        <f>'Production Plan'!B751</f>
        <v/>
      </c>
      <c r="B763">
        <f>VLOOKUP(A763,'Production Plan'!B:S,16,FALSE)</f>
        <v/>
      </c>
      <c r="C763">
        <f>VLOOKUP(A763,'Production Plan'!B:F,5,FALSE)</f>
        <v/>
      </c>
    </row>
    <row r="764" hidden="1">
      <c r="A764">
        <f>'Production Plan'!B752</f>
        <v/>
      </c>
      <c r="B764">
        <f>VLOOKUP(A764,'Production Plan'!B:S,16,FALSE)</f>
        <v/>
      </c>
      <c r="C764">
        <f>VLOOKUP(A764,'Production Plan'!B:F,5,FALSE)</f>
        <v/>
      </c>
    </row>
    <row r="765" hidden="1">
      <c r="A765">
        <f>'Production Plan'!B753</f>
        <v/>
      </c>
      <c r="B765">
        <f>VLOOKUP(A765,'Production Plan'!B:S,16,FALSE)</f>
        <v/>
      </c>
      <c r="C765">
        <f>VLOOKUP(A765,'Production Plan'!B:F,5,FALSE)</f>
        <v/>
      </c>
    </row>
    <row r="766" hidden="1">
      <c r="A766">
        <f>'Production Plan'!B754</f>
        <v/>
      </c>
      <c r="B766">
        <f>VLOOKUP(A766,'Production Plan'!B:S,16,FALSE)</f>
        <v/>
      </c>
      <c r="C766">
        <f>VLOOKUP(A766,'Production Plan'!B:F,5,FALSE)</f>
        <v/>
      </c>
    </row>
    <row r="767" hidden="1">
      <c r="A767">
        <f>'Production Plan'!B755</f>
        <v/>
      </c>
      <c r="B767">
        <f>VLOOKUP(A767,'Production Plan'!B:S,16,FALSE)</f>
        <v/>
      </c>
      <c r="C767">
        <f>VLOOKUP(A767,'Production Plan'!B:F,5,FALSE)</f>
        <v/>
      </c>
    </row>
    <row r="768" hidden="1">
      <c r="A768">
        <f>'Production Plan'!B756</f>
        <v/>
      </c>
      <c r="B768">
        <f>VLOOKUP(A768,'Production Plan'!B:S,16,FALSE)</f>
        <v/>
      </c>
      <c r="C768">
        <f>VLOOKUP(A768,'Production Plan'!B:F,5,FALSE)</f>
        <v/>
      </c>
    </row>
    <row r="769" hidden="1">
      <c r="A769">
        <f>'Production Plan'!B757</f>
        <v/>
      </c>
      <c r="B769">
        <f>VLOOKUP(A769,'Production Plan'!B:S,16,FALSE)</f>
        <v/>
      </c>
      <c r="C769">
        <f>VLOOKUP(A769,'Production Plan'!B:F,5,FALSE)</f>
        <v/>
      </c>
    </row>
    <row r="770" hidden="1">
      <c r="A770">
        <f>'Production Plan'!B758</f>
        <v/>
      </c>
      <c r="B770">
        <f>VLOOKUP(A770,'Production Plan'!B:S,16,FALSE)</f>
        <v/>
      </c>
      <c r="C770">
        <f>VLOOKUP(A770,'Production Plan'!B:F,5,FALSE)</f>
        <v/>
      </c>
    </row>
    <row r="771" hidden="1">
      <c r="A771">
        <f>'Production Plan'!B759</f>
        <v/>
      </c>
      <c r="B771">
        <f>VLOOKUP(A771,'Production Plan'!B:S,16,FALSE)</f>
        <v/>
      </c>
      <c r="C771">
        <f>VLOOKUP(A771,'Production Plan'!B:F,5,FALSE)</f>
        <v/>
      </c>
    </row>
    <row r="772" hidden="1">
      <c r="A772">
        <f>'Production Plan'!B760</f>
        <v/>
      </c>
      <c r="B772">
        <f>VLOOKUP(A772,'Production Plan'!B:S,16,FALSE)</f>
        <v/>
      </c>
      <c r="C772">
        <f>VLOOKUP(A772,'Production Plan'!B:F,5,FALSE)</f>
        <v/>
      </c>
    </row>
    <row r="773" hidden="1">
      <c r="A773">
        <f>'Production Plan'!B761</f>
        <v/>
      </c>
      <c r="B773">
        <f>VLOOKUP(A773,'Production Plan'!B:S,16,FALSE)</f>
        <v/>
      </c>
      <c r="C773">
        <f>VLOOKUP(A773,'Production Plan'!B:F,5,FALSE)</f>
        <v/>
      </c>
    </row>
    <row r="774" hidden="1">
      <c r="A774">
        <f>'Production Plan'!B762</f>
        <v/>
      </c>
      <c r="B774">
        <f>VLOOKUP(A774,'Production Plan'!B:S,16,FALSE)</f>
        <v/>
      </c>
      <c r="C774">
        <f>VLOOKUP(A774,'Production Plan'!B:F,5,FALSE)</f>
        <v/>
      </c>
    </row>
    <row r="775" hidden="1">
      <c r="A775">
        <f>'Production Plan'!B763</f>
        <v/>
      </c>
      <c r="B775">
        <f>VLOOKUP(A775,'Production Plan'!B:S,16,FALSE)</f>
        <v/>
      </c>
      <c r="C775">
        <f>VLOOKUP(A775,'Production Plan'!B:F,5,FALSE)</f>
        <v/>
      </c>
    </row>
    <row r="776" hidden="1">
      <c r="A776">
        <f>'Production Plan'!B764</f>
        <v/>
      </c>
      <c r="B776">
        <f>VLOOKUP(A776,'Production Plan'!B:S,16,FALSE)</f>
        <v/>
      </c>
      <c r="C776">
        <f>VLOOKUP(A776,'Production Plan'!B:F,5,FALSE)</f>
        <v/>
      </c>
    </row>
    <row r="777" hidden="1">
      <c r="A777">
        <f>'Production Plan'!B765</f>
        <v/>
      </c>
      <c r="B777">
        <f>VLOOKUP(A777,'Production Plan'!B:S,16,FALSE)</f>
        <v/>
      </c>
      <c r="C777">
        <f>VLOOKUP(A777,'Production Plan'!B:F,5,FALSE)</f>
        <v/>
      </c>
    </row>
    <row r="778" hidden="1">
      <c r="A778">
        <f>'Production Plan'!B766</f>
        <v/>
      </c>
      <c r="B778">
        <f>VLOOKUP(A778,'Production Plan'!B:S,16,FALSE)</f>
        <v/>
      </c>
      <c r="C778">
        <f>VLOOKUP(A778,'Production Plan'!B:F,5,FALSE)</f>
        <v/>
      </c>
    </row>
    <row r="779" hidden="1">
      <c r="A779">
        <f>'Production Plan'!B767</f>
        <v/>
      </c>
      <c r="B779">
        <f>VLOOKUP(A779,'Production Plan'!B:S,16,FALSE)</f>
        <v/>
      </c>
      <c r="C779">
        <f>VLOOKUP(A779,'Production Plan'!B:F,5,FALSE)</f>
        <v/>
      </c>
    </row>
    <row r="780" hidden="1">
      <c r="A780">
        <f>'Production Plan'!B768</f>
        <v/>
      </c>
      <c r="B780">
        <f>VLOOKUP(A780,'Production Plan'!B:S,16,FALSE)</f>
        <v/>
      </c>
      <c r="C780">
        <f>VLOOKUP(A780,'Production Plan'!B:F,5,FALSE)</f>
        <v/>
      </c>
    </row>
    <row r="781" hidden="1">
      <c r="A781">
        <f>'Production Plan'!B769</f>
        <v/>
      </c>
      <c r="B781">
        <f>VLOOKUP(A781,'Production Plan'!B:S,16,FALSE)</f>
        <v/>
      </c>
      <c r="C781">
        <f>VLOOKUP(A781,'Production Plan'!B:F,5,FALSE)</f>
        <v/>
      </c>
    </row>
    <row r="782" hidden="1">
      <c r="A782">
        <f>'Production Plan'!B770</f>
        <v/>
      </c>
      <c r="B782">
        <f>VLOOKUP(A782,'Production Plan'!B:S,16,FALSE)</f>
        <v/>
      </c>
      <c r="C782">
        <f>VLOOKUP(A782,'Production Plan'!B:F,5,FALSE)</f>
        <v/>
      </c>
    </row>
    <row r="783" hidden="1">
      <c r="A783">
        <f>'Production Plan'!B771</f>
        <v/>
      </c>
      <c r="B783">
        <f>VLOOKUP(A783,'Production Plan'!B:S,16,FALSE)</f>
        <v/>
      </c>
      <c r="C783">
        <f>VLOOKUP(A783,'Production Plan'!B:F,5,FALSE)</f>
        <v/>
      </c>
    </row>
    <row r="784" hidden="1">
      <c r="A784">
        <f>'Production Plan'!B772</f>
        <v/>
      </c>
      <c r="B784">
        <f>VLOOKUP(A784,'Production Plan'!B:S,16,FALSE)</f>
        <v/>
      </c>
      <c r="C784">
        <f>VLOOKUP(A784,'Production Plan'!B:F,5,FALSE)</f>
        <v/>
      </c>
    </row>
    <row r="785" hidden="1">
      <c r="A785">
        <f>'Production Plan'!B773</f>
        <v/>
      </c>
      <c r="B785">
        <f>VLOOKUP(A785,'Production Plan'!B:S,16,FALSE)</f>
        <v/>
      </c>
      <c r="C785">
        <f>VLOOKUP(A785,'Production Plan'!B:F,5,FALSE)</f>
        <v/>
      </c>
    </row>
    <row r="786" hidden="1">
      <c r="A786">
        <f>'Production Plan'!B774</f>
        <v/>
      </c>
      <c r="B786">
        <f>VLOOKUP(A786,'Production Plan'!B:S,16,FALSE)</f>
        <v/>
      </c>
      <c r="C786">
        <f>VLOOKUP(A786,'Production Plan'!B:F,5,FALSE)</f>
        <v/>
      </c>
    </row>
    <row r="787" hidden="1">
      <c r="A787">
        <f>'Production Plan'!B775</f>
        <v/>
      </c>
      <c r="B787">
        <f>VLOOKUP(A787,'Production Plan'!B:S,16,FALSE)</f>
        <v/>
      </c>
      <c r="C787">
        <f>VLOOKUP(A787,'Production Plan'!B:F,5,FALSE)</f>
        <v/>
      </c>
    </row>
    <row r="788" hidden="1">
      <c r="A788">
        <f>'Production Plan'!B776</f>
        <v/>
      </c>
      <c r="B788">
        <f>VLOOKUP(A788,'Production Plan'!B:S,16,FALSE)</f>
        <v/>
      </c>
      <c r="C788">
        <f>VLOOKUP(A788,'Production Plan'!B:F,5,FALSE)</f>
        <v/>
      </c>
    </row>
    <row r="789" hidden="1">
      <c r="A789">
        <f>'Production Plan'!B777</f>
        <v/>
      </c>
      <c r="B789">
        <f>VLOOKUP(A789,'Production Plan'!B:S,16,FALSE)</f>
        <v/>
      </c>
      <c r="C789">
        <f>VLOOKUP(A789,'Production Plan'!B:F,5,FALSE)</f>
        <v/>
      </c>
    </row>
    <row r="790" hidden="1">
      <c r="A790">
        <f>'Production Plan'!B778</f>
        <v/>
      </c>
      <c r="B790">
        <f>VLOOKUP(A790,'Production Plan'!B:S,16,FALSE)</f>
        <v/>
      </c>
      <c r="C790">
        <f>VLOOKUP(A790,'Production Plan'!B:F,5,FALSE)</f>
        <v/>
      </c>
    </row>
    <row r="791" hidden="1">
      <c r="A791">
        <f>'Production Plan'!B779</f>
        <v/>
      </c>
      <c r="B791">
        <f>VLOOKUP(A791,'Production Plan'!B:S,16,FALSE)</f>
        <v/>
      </c>
      <c r="C791">
        <f>VLOOKUP(A791,'Production Plan'!B:F,5,FALSE)</f>
        <v/>
      </c>
    </row>
    <row r="792" hidden="1">
      <c r="A792">
        <f>'Production Plan'!B780</f>
        <v/>
      </c>
      <c r="B792">
        <f>VLOOKUP(A792,'Production Plan'!B:S,16,FALSE)</f>
        <v/>
      </c>
      <c r="C792">
        <f>VLOOKUP(A792,'Production Plan'!B:F,5,FALSE)</f>
        <v/>
      </c>
    </row>
    <row r="793" hidden="1">
      <c r="A793">
        <f>'Production Plan'!B781</f>
        <v/>
      </c>
      <c r="B793">
        <f>VLOOKUP(A793,'Production Plan'!B:S,16,FALSE)</f>
        <v/>
      </c>
      <c r="C793">
        <f>VLOOKUP(A793,'Production Plan'!B:F,5,FALSE)</f>
        <v/>
      </c>
    </row>
    <row r="794" hidden="1">
      <c r="A794">
        <f>'Production Plan'!B782</f>
        <v/>
      </c>
      <c r="B794">
        <f>VLOOKUP(A794,'Production Plan'!B:S,16,FALSE)</f>
        <v/>
      </c>
      <c r="C794">
        <f>VLOOKUP(A794,'Production Plan'!B:F,5,FALSE)</f>
        <v/>
      </c>
    </row>
    <row r="795" hidden="1">
      <c r="A795">
        <f>'Production Plan'!B783</f>
        <v/>
      </c>
      <c r="B795">
        <f>VLOOKUP(A795,'Production Plan'!B:S,16,FALSE)</f>
        <v/>
      </c>
      <c r="C795">
        <f>VLOOKUP(A795,'Production Plan'!B:F,5,FALSE)</f>
        <v/>
      </c>
    </row>
    <row r="796" hidden="1">
      <c r="A796">
        <f>'Production Plan'!B784</f>
        <v/>
      </c>
      <c r="B796">
        <f>VLOOKUP(A796,'Production Plan'!B:S,16,FALSE)</f>
        <v/>
      </c>
      <c r="C796">
        <f>VLOOKUP(A796,'Production Plan'!B:F,5,FALSE)</f>
        <v/>
      </c>
    </row>
    <row r="797" hidden="1">
      <c r="A797">
        <f>'Production Plan'!B785</f>
        <v/>
      </c>
      <c r="B797">
        <f>VLOOKUP(A797,'Production Plan'!B:S,16,FALSE)</f>
        <v/>
      </c>
      <c r="C797">
        <f>VLOOKUP(A797,'Production Plan'!B:F,5,FALSE)</f>
        <v/>
      </c>
    </row>
    <row r="798" hidden="1">
      <c r="A798">
        <f>'Production Plan'!B786</f>
        <v/>
      </c>
      <c r="B798">
        <f>VLOOKUP(A798,'Production Plan'!B:S,16,FALSE)</f>
        <v/>
      </c>
      <c r="C798">
        <f>VLOOKUP(A798,'Production Plan'!B:F,5,FALSE)</f>
        <v/>
      </c>
    </row>
    <row r="799" hidden="1">
      <c r="A799">
        <f>'Production Plan'!B787</f>
        <v/>
      </c>
      <c r="B799">
        <f>VLOOKUP(A799,'Production Plan'!B:S,16,FALSE)</f>
        <v/>
      </c>
      <c r="C799">
        <f>VLOOKUP(A799,'Production Plan'!B:F,5,FALSE)</f>
        <v/>
      </c>
    </row>
    <row r="800" hidden="1">
      <c r="A800">
        <f>'Production Plan'!B788</f>
        <v/>
      </c>
      <c r="B800">
        <f>VLOOKUP(A800,'Production Plan'!B:S,16,FALSE)</f>
        <v/>
      </c>
      <c r="C800">
        <f>VLOOKUP(A800,'Production Plan'!B:F,5,FALSE)</f>
        <v/>
      </c>
    </row>
    <row r="801" hidden="1">
      <c r="A801">
        <f>'Production Plan'!B789</f>
        <v/>
      </c>
      <c r="B801">
        <f>VLOOKUP(A801,'Production Plan'!B:S,16,FALSE)</f>
        <v/>
      </c>
      <c r="C801">
        <f>VLOOKUP(A801,'Production Plan'!B:F,5,FALSE)</f>
        <v/>
      </c>
    </row>
    <row r="802" hidden="1">
      <c r="A802">
        <f>'Production Plan'!B790</f>
        <v/>
      </c>
      <c r="B802">
        <f>VLOOKUP(A802,'Production Plan'!B:S,16,FALSE)</f>
        <v/>
      </c>
      <c r="C802">
        <f>VLOOKUP(A802,'Production Plan'!B:F,5,FALSE)</f>
        <v/>
      </c>
    </row>
    <row r="803" hidden="1">
      <c r="A803">
        <f>'Production Plan'!B791</f>
        <v/>
      </c>
      <c r="B803">
        <f>VLOOKUP(A803,'Production Plan'!B:S,16,FALSE)</f>
        <v/>
      </c>
      <c r="C803">
        <f>VLOOKUP(A803,'Production Plan'!B:F,5,FALSE)</f>
        <v/>
      </c>
    </row>
    <row r="804" hidden="1">
      <c r="A804">
        <f>'Production Plan'!B792</f>
        <v/>
      </c>
      <c r="B804">
        <f>VLOOKUP(A804,'Production Plan'!B:S,16,FALSE)</f>
        <v/>
      </c>
      <c r="C804">
        <f>VLOOKUP(A804,'Production Plan'!B:F,5,FALSE)</f>
        <v/>
      </c>
    </row>
    <row r="805" hidden="1">
      <c r="A805">
        <f>'Production Plan'!B793</f>
        <v/>
      </c>
      <c r="B805">
        <f>VLOOKUP(A805,'Production Plan'!B:S,16,FALSE)</f>
        <v/>
      </c>
      <c r="C805">
        <f>VLOOKUP(A805,'Production Plan'!B:F,5,FALSE)</f>
        <v/>
      </c>
    </row>
    <row r="806" hidden="1">
      <c r="A806">
        <f>'Production Plan'!B794</f>
        <v/>
      </c>
      <c r="B806">
        <f>VLOOKUP(A806,'Production Plan'!B:S,16,FALSE)</f>
        <v/>
      </c>
      <c r="C806">
        <f>VLOOKUP(A806,'Production Plan'!B:F,5,FALSE)</f>
        <v/>
      </c>
    </row>
    <row r="807" hidden="1">
      <c r="A807">
        <f>'Production Plan'!B795</f>
        <v/>
      </c>
      <c r="B807">
        <f>VLOOKUP(A807,'Production Plan'!B:S,16,FALSE)</f>
        <v/>
      </c>
      <c r="C807">
        <f>VLOOKUP(A807,'Production Plan'!B:F,5,FALSE)</f>
        <v/>
      </c>
    </row>
    <row r="808" hidden="1">
      <c r="A808">
        <f>'Production Plan'!B796</f>
        <v/>
      </c>
      <c r="B808">
        <f>VLOOKUP(A808,'Production Plan'!B:S,16,FALSE)</f>
        <v/>
      </c>
      <c r="C808">
        <f>VLOOKUP(A808,'Production Plan'!B:F,5,FALSE)</f>
        <v/>
      </c>
    </row>
    <row r="809" hidden="1">
      <c r="A809">
        <f>'Production Plan'!B797</f>
        <v/>
      </c>
      <c r="B809">
        <f>VLOOKUP(A809,'Production Plan'!B:S,16,FALSE)</f>
        <v/>
      </c>
      <c r="C809">
        <f>VLOOKUP(A809,'Production Plan'!B:F,5,FALSE)</f>
        <v/>
      </c>
    </row>
    <row r="810" hidden="1">
      <c r="A810">
        <f>'Production Plan'!B798</f>
        <v/>
      </c>
      <c r="B810">
        <f>VLOOKUP(A810,'Production Plan'!B:S,16,FALSE)</f>
        <v/>
      </c>
      <c r="C810">
        <f>VLOOKUP(A810,'Production Plan'!B:F,5,FALSE)</f>
        <v/>
      </c>
    </row>
    <row r="811" hidden="1">
      <c r="A811">
        <f>'Production Plan'!B799</f>
        <v/>
      </c>
      <c r="B811">
        <f>VLOOKUP(A811,'Production Plan'!B:S,16,FALSE)</f>
        <v/>
      </c>
      <c r="C811">
        <f>VLOOKUP(A811,'Production Plan'!B:F,5,FALSE)</f>
        <v/>
      </c>
    </row>
    <row r="812" hidden="1">
      <c r="A812">
        <f>'Production Plan'!B800</f>
        <v/>
      </c>
      <c r="B812">
        <f>VLOOKUP(A812,'Production Plan'!B:S,16,FALSE)</f>
        <v/>
      </c>
      <c r="C812">
        <f>VLOOKUP(A812,'Production Plan'!B:F,5,FALSE)</f>
        <v/>
      </c>
    </row>
    <row r="813" hidden="1">
      <c r="A813">
        <f>'Production Plan'!B801</f>
        <v/>
      </c>
      <c r="B813">
        <f>VLOOKUP(A813,'Production Plan'!B:S,16,FALSE)</f>
        <v/>
      </c>
      <c r="C813">
        <f>VLOOKUP(A813,'Production Plan'!B:F,5,FALSE)</f>
        <v/>
      </c>
    </row>
    <row r="814" hidden="1">
      <c r="A814">
        <f>'Production Plan'!B802</f>
        <v/>
      </c>
      <c r="B814">
        <f>VLOOKUP(A814,'Production Plan'!B:S,16,FALSE)</f>
        <v/>
      </c>
      <c r="C814">
        <f>VLOOKUP(A814,'Production Plan'!B:F,5,FALSE)</f>
        <v/>
      </c>
    </row>
    <row r="815" hidden="1">
      <c r="A815">
        <f>'Production Plan'!B803</f>
        <v/>
      </c>
      <c r="B815">
        <f>VLOOKUP(A815,'Production Plan'!B:S,16,FALSE)</f>
        <v/>
      </c>
      <c r="C815">
        <f>VLOOKUP(A815,'Production Plan'!B:F,5,FALSE)</f>
        <v/>
      </c>
    </row>
    <row r="816" hidden="1">
      <c r="A816">
        <f>'Production Plan'!B804</f>
        <v/>
      </c>
      <c r="B816">
        <f>VLOOKUP(A816,'Production Plan'!B:S,16,FALSE)</f>
        <v/>
      </c>
      <c r="C816">
        <f>VLOOKUP(A816,'Production Plan'!B:F,5,FALSE)</f>
        <v/>
      </c>
    </row>
    <row r="817" hidden="1">
      <c r="A817">
        <f>'Production Plan'!B805</f>
        <v/>
      </c>
      <c r="B817">
        <f>VLOOKUP(A817,'Production Plan'!B:S,16,FALSE)</f>
        <v/>
      </c>
      <c r="C817">
        <f>VLOOKUP(A817,'Production Plan'!B:F,5,FALSE)</f>
        <v/>
      </c>
    </row>
    <row r="818" hidden="1">
      <c r="A818">
        <f>'Production Plan'!B806</f>
        <v/>
      </c>
      <c r="B818">
        <f>VLOOKUP(A818,'Production Plan'!B:S,16,FALSE)</f>
        <v/>
      </c>
      <c r="C818">
        <f>VLOOKUP(A818,'Production Plan'!B:F,5,FALSE)</f>
        <v/>
      </c>
    </row>
    <row r="819" hidden="1">
      <c r="A819">
        <f>'Production Plan'!B807</f>
        <v/>
      </c>
      <c r="B819">
        <f>VLOOKUP(A819,'Production Plan'!B:S,16,FALSE)</f>
        <v/>
      </c>
      <c r="C819">
        <f>VLOOKUP(A819,'Production Plan'!B:F,5,FALSE)</f>
        <v/>
      </c>
    </row>
    <row r="820" hidden="1">
      <c r="A820">
        <f>'Production Plan'!B808</f>
        <v/>
      </c>
      <c r="B820">
        <f>VLOOKUP(A820,'Production Plan'!B:S,16,FALSE)</f>
        <v/>
      </c>
      <c r="C820">
        <f>VLOOKUP(A820,'Production Plan'!B:F,5,FALSE)</f>
        <v/>
      </c>
    </row>
    <row r="821" hidden="1">
      <c r="A821">
        <f>'Production Plan'!B809</f>
        <v/>
      </c>
      <c r="B821">
        <f>VLOOKUP(A821,'Production Plan'!B:S,16,FALSE)</f>
        <v/>
      </c>
      <c r="C821">
        <f>VLOOKUP(A821,'Production Plan'!B:F,5,FALSE)</f>
        <v/>
      </c>
    </row>
    <row r="822" hidden="1">
      <c r="A822">
        <f>'Production Plan'!B810</f>
        <v/>
      </c>
      <c r="B822">
        <f>VLOOKUP(A822,'Production Plan'!B:S,16,FALSE)</f>
        <v/>
      </c>
      <c r="C822">
        <f>VLOOKUP(A822,'Production Plan'!B:F,5,FALSE)</f>
        <v/>
      </c>
    </row>
    <row r="823" hidden="1">
      <c r="A823">
        <f>'Production Plan'!B811</f>
        <v/>
      </c>
      <c r="B823">
        <f>VLOOKUP(A823,'Production Plan'!B:S,16,FALSE)</f>
        <v/>
      </c>
      <c r="C823">
        <f>VLOOKUP(A823,'Production Plan'!B:F,5,FALSE)</f>
        <v/>
      </c>
    </row>
    <row r="824" hidden="1">
      <c r="A824">
        <f>'Production Plan'!B812</f>
        <v/>
      </c>
      <c r="B824">
        <f>VLOOKUP(A824,'Production Plan'!B:S,16,FALSE)</f>
        <v/>
      </c>
      <c r="C824">
        <f>VLOOKUP(A824,'Production Plan'!B:F,5,FALSE)</f>
        <v/>
      </c>
    </row>
    <row r="825" hidden="1">
      <c r="A825">
        <f>'Production Plan'!B813</f>
        <v/>
      </c>
      <c r="B825">
        <f>VLOOKUP(A825,'Production Plan'!B:S,16,FALSE)</f>
        <v/>
      </c>
      <c r="C825">
        <f>VLOOKUP(A825,'Production Plan'!B:F,5,FALSE)</f>
        <v/>
      </c>
    </row>
    <row r="826" hidden="1">
      <c r="A826">
        <f>'Production Plan'!B814</f>
        <v/>
      </c>
      <c r="B826">
        <f>VLOOKUP(A826,'Production Plan'!B:S,16,FALSE)</f>
        <v/>
      </c>
      <c r="C826">
        <f>VLOOKUP(A826,'Production Plan'!B:F,5,FALSE)</f>
        <v/>
      </c>
    </row>
    <row r="827" hidden="1">
      <c r="A827">
        <f>'Production Plan'!B815</f>
        <v/>
      </c>
      <c r="B827">
        <f>VLOOKUP(A827,'Production Plan'!B:S,16,FALSE)</f>
        <v/>
      </c>
      <c r="C827">
        <f>VLOOKUP(A827,'Production Plan'!B:F,5,FALSE)</f>
        <v/>
      </c>
    </row>
    <row r="828" hidden="1">
      <c r="A828">
        <f>'Production Plan'!B816</f>
        <v/>
      </c>
      <c r="B828">
        <f>VLOOKUP(A828,'Production Plan'!B:S,16,FALSE)</f>
        <v/>
      </c>
      <c r="C828">
        <f>VLOOKUP(A828,'Production Plan'!B:F,5,FALSE)</f>
        <v/>
      </c>
    </row>
    <row r="829" hidden="1">
      <c r="A829">
        <f>'Production Plan'!B817</f>
        <v/>
      </c>
      <c r="B829">
        <f>VLOOKUP(A829,'Production Plan'!B:S,16,FALSE)</f>
        <v/>
      </c>
      <c r="C829">
        <f>VLOOKUP(A829,'Production Plan'!B:F,5,FALSE)</f>
        <v/>
      </c>
    </row>
    <row r="830" hidden="1">
      <c r="A830">
        <f>'Production Plan'!B818</f>
        <v/>
      </c>
      <c r="B830">
        <f>VLOOKUP(A830,'Production Plan'!B:S,16,FALSE)</f>
        <v/>
      </c>
      <c r="C830">
        <f>VLOOKUP(A830,'Production Plan'!B:F,5,FALSE)</f>
        <v/>
      </c>
    </row>
    <row r="831" hidden="1">
      <c r="A831">
        <f>'Production Plan'!B819</f>
        <v/>
      </c>
      <c r="B831">
        <f>VLOOKUP(A831,'Production Plan'!B:S,16,FALSE)</f>
        <v/>
      </c>
      <c r="C831">
        <f>VLOOKUP(A831,'Production Plan'!B:F,5,FALSE)</f>
        <v/>
      </c>
    </row>
    <row r="832" hidden="1">
      <c r="A832">
        <f>'Production Plan'!B820</f>
        <v/>
      </c>
      <c r="B832">
        <f>VLOOKUP(A832,'Production Plan'!B:S,16,FALSE)</f>
        <v/>
      </c>
      <c r="C832">
        <f>VLOOKUP(A832,'Production Plan'!B:F,5,FALSE)</f>
        <v/>
      </c>
    </row>
    <row r="833" hidden="1">
      <c r="A833">
        <f>'Production Plan'!B821</f>
        <v/>
      </c>
      <c r="B833">
        <f>VLOOKUP(A833,'Production Plan'!B:S,16,FALSE)</f>
        <v/>
      </c>
      <c r="C833">
        <f>VLOOKUP(A833,'Production Plan'!B:F,5,FALSE)</f>
        <v/>
      </c>
    </row>
    <row r="834" hidden="1">
      <c r="A834">
        <f>'Production Plan'!B822</f>
        <v/>
      </c>
      <c r="B834">
        <f>VLOOKUP(A834,'Production Plan'!B:S,16,FALSE)</f>
        <v/>
      </c>
      <c r="C834">
        <f>VLOOKUP(A834,'Production Plan'!B:F,5,FALSE)</f>
        <v/>
      </c>
    </row>
    <row r="835" hidden="1">
      <c r="A835">
        <f>'Production Plan'!B823</f>
        <v/>
      </c>
      <c r="B835">
        <f>VLOOKUP(A835,'Production Plan'!B:S,16,FALSE)</f>
        <v/>
      </c>
      <c r="C835">
        <f>VLOOKUP(A835,'Production Plan'!B:F,5,FALSE)</f>
        <v/>
      </c>
    </row>
    <row r="836" hidden="1">
      <c r="A836">
        <f>'Production Plan'!B824</f>
        <v/>
      </c>
      <c r="B836">
        <f>VLOOKUP(A836,'Production Plan'!B:S,16,FALSE)</f>
        <v/>
      </c>
      <c r="C836">
        <f>VLOOKUP(A836,'Production Plan'!B:F,5,FALSE)</f>
        <v/>
      </c>
    </row>
    <row r="837" hidden="1">
      <c r="A837">
        <f>'Production Plan'!B825</f>
        <v/>
      </c>
      <c r="B837">
        <f>VLOOKUP(A837,'Production Plan'!B:S,16,FALSE)</f>
        <v/>
      </c>
      <c r="C837">
        <f>VLOOKUP(A837,'Production Plan'!B:F,5,FALSE)</f>
        <v/>
      </c>
    </row>
    <row r="838" hidden="1">
      <c r="A838">
        <f>'Production Plan'!B826</f>
        <v/>
      </c>
      <c r="B838">
        <f>VLOOKUP(A838,'Production Plan'!B:S,16,FALSE)</f>
        <v/>
      </c>
      <c r="C838">
        <f>VLOOKUP(A838,'Production Plan'!B:F,5,FALSE)</f>
        <v/>
      </c>
    </row>
    <row r="839" hidden="1">
      <c r="A839">
        <f>'Production Plan'!B827</f>
        <v/>
      </c>
      <c r="B839">
        <f>VLOOKUP(A839,'Production Plan'!B:S,16,FALSE)</f>
        <v/>
      </c>
      <c r="C839">
        <f>VLOOKUP(A839,'Production Plan'!B:F,5,FALSE)</f>
        <v/>
      </c>
    </row>
    <row r="840" hidden="1">
      <c r="A840">
        <f>'Production Plan'!B828</f>
        <v/>
      </c>
      <c r="B840">
        <f>VLOOKUP(A840,'Production Plan'!B:S,16,FALSE)</f>
        <v/>
      </c>
      <c r="C840">
        <f>VLOOKUP(A840,'Production Plan'!B:F,5,FALSE)</f>
        <v/>
      </c>
    </row>
    <row r="841" hidden="1">
      <c r="A841">
        <f>'Production Plan'!B829</f>
        <v/>
      </c>
      <c r="B841">
        <f>VLOOKUP(A841,'Production Plan'!B:S,16,FALSE)</f>
        <v/>
      </c>
      <c r="C841">
        <f>VLOOKUP(A841,'Production Plan'!B:F,5,FALSE)</f>
        <v/>
      </c>
    </row>
    <row r="842" hidden="1">
      <c r="A842">
        <f>'Production Plan'!B830</f>
        <v/>
      </c>
      <c r="B842">
        <f>VLOOKUP(A842,'Production Plan'!B:S,16,FALSE)</f>
        <v/>
      </c>
      <c r="C842">
        <f>VLOOKUP(A842,'Production Plan'!B:F,5,FALSE)</f>
        <v/>
      </c>
    </row>
    <row r="843" hidden="1">
      <c r="A843">
        <f>'Production Plan'!B831</f>
        <v/>
      </c>
      <c r="B843">
        <f>VLOOKUP(A843,'Production Plan'!B:S,16,FALSE)</f>
        <v/>
      </c>
      <c r="C843">
        <f>VLOOKUP(A843,'Production Plan'!B:F,5,FALSE)</f>
        <v/>
      </c>
    </row>
    <row r="844" hidden="1">
      <c r="A844">
        <f>'Production Plan'!B832</f>
        <v/>
      </c>
      <c r="B844">
        <f>VLOOKUP(A844,'Production Plan'!B:S,16,FALSE)</f>
        <v/>
      </c>
      <c r="C844">
        <f>VLOOKUP(A844,'Production Plan'!B:F,5,FALSE)</f>
        <v/>
      </c>
    </row>
    <row r="845" hidden="1">
      <c r="A845">
        <f>'Production Plan'!B833</f>
        <v/>
      </c>
      <c r="B845">
        <f>VLOOKUP(A845,'Production Plan'!B:S,16,FALSE)</f>
        <v/>
      </c>
      <c r="C845">
        <f>VLOOKUP(A845,'Production Plan'!B:F,5,FALSE)</f>
        <v/>
      </c>
    </row>
    <row r="846" hidden="1">
      <c r="A846">
        <f>'Production Plan'!B834</f>
        <v/>
      </c>
      <c r="B846">
        <f>VLOOKUP(A846,'Production Plan'!B:S,16,FALSE)</f>
        <v/>
      </c>
      <c r="C846">
        <f>VLOOKUP(A846,'Production Plan'!B:F,5,FALSE)</f>
        <v/>
      </c>
    </row>
    <row r="847" hidden="1">
      <c r="A847">
        <f>'Production Plan'!B835</f>
        <v/>
      </c>
      <c r="B847">
        <f>VLOOKUP(A847,'Production Plan'!B:S,16,FALSE)</f>
        <v/>
      </c>
      <c r="C847">
        <f>VLOOKUP(A847,'Production Plan'!B:F,5,FALSE)</f>
        <v/>
      </c>
    </row>
    <row r="848" hidden="1">
      <c r="A848">
        <f>'Production Plan'!B836</f>
        <v/>
      </c>
      <c r="B848">
        <f>VLOOKUP(A848,'Production Plan'!B:S,16,FALSE)</f>
        <v/>
      </c>
      <c r="C848">
        <f>VLOOKUP(A848,'Production Plan'!B:F,5,FALSE)</f>
        <v/>
      </c>
    </row>
    <row r="849" hidden="1">
      <c r="A849">
        <f>'Production Plan'!B837</f>
        <v/>
      </c>
      <c r="B849">
        <f>VLOOKUP(A849,'Production Plan'!B:S,16,FALSE)</f>
        <v/>
      </c>
      <c r="C849">
        <f>VLOOKUP(A849,'Production Plan'!B:F,5,FALSE)</f>
        <v/>
      </c>
    </row>
    <row r="850" hidden="1">
      <c r="A850">
        <f>'Production Plan'!B838</f>
        <v/>
      </c>
      <c r="B850">
        <f>VLOOKUP(A850,'Production Plan'!B:S,16,FALSE)</f>
        <v/>
      </c>
      <c r="C850">
        <f>VLOOKUP(A850,'Production Plan'!B:F,5,FALSE)</f>
        <v/>
      </c>
    </row>
    <row r="851" hidden="1">
      <c r="A851">
        <f>'Production Plan'!B839</f>
        <v/>
      </c>
      <c r="B851">
        <f>VLOOKUP(A851,'Production Plan'!B:S,16,FALSE)</f>
        <v/>
      </c>
      <c r="C851">
        <f>VLOOKUP(A851,'Production Plan'!B:F,5,FALSE)</f>
        <v/>
      </c>
    </row>
    <row r="852" hidden="1">
      <c r="A852">
        <f>'Production Plan'!B840</f>
        <v/>
      </c>
      <c r="B852">
        <f>VLOOKUP(A852,'Production Plan'!B:S,16,FALSE)</f>
        <v/>
      </c>
      <c r="C852">
        <f>VLOOKUP(A852,'Production Plan'!B:F,5,FALSE)</f>
        <v/>
      </c>
    </row>
    <row r="853" hidden="1">
      <c r="A853">
        <f>'Production Plan'!B841</f>
        <v/>
      </c>
      <c r="B853">
        <f>VLOOKUP(A853,'Production Plan'!B:S,16,FALSE)</f>
        <v/>
      </c>
      <c r="C853">
        <f>VLOOKUP(A853,'Production Plan'!B:F,5,FALSE)</f>
        <v/>
      </c>
    </row>
    <row r="854" hidden="1">
      <c r="A854">
        <f>'Production Plan'!B842</f>
        <v/>
      </c>
      <c r="B854">
        <f>VLOOKUP(A854,'Production Plan'!B:S,16,FALSE)</f>
        <v/>
      </c>
      <c r="C854">
        <f>VLOOKUP(A854,'Production Plan'!B:F,5,FALSE)</f>
        <v/>
      </c>
    </row>
    <row r="855" hidden="1">
      <c r="A855">
        <f>'Production Plan'!B843</f>
        <v/>
      </c>
      <c r="B855">
        <f>VLOOKUP(A855,'Production Plan'!B:S,16,FALSE)</f>
        <v/>
      </c>
      <c r="C855">
        <f>VLOOKUP(A855,'Production Plan'!B:F,5,FALSE)</f>
        <v/>
      </c>
    </row>
    <row r="856" hidden="1">
      <c r="A856">
        <f>'Production Plan'!B844</f>
        <v/>
      </c>
      <c r="B856">
        <f>VLOOKUP(A856,'Production Plan'!B:S,16,FALSE)</f>
        <v/>
      </c>
      <c r="C856">
        <f>VLOOKUP(A856,'Production Plan'!B:F,5,FALSE)</f>
        <v/>
      </c>
    </row>
    <row r="857" hidden="1">
      <c r="A857">
        <f>'Production Plan'!B845</f>
        <v/>
      </c>
      <c r="B857">
        <f>VLOOKUP(A857,'Production Plan'!B:S,16,FALSE)</f>
        <v/>
      </c>
      <c r="C857">
        <f>VLOOKUP(A857,'Production Plan'!B:F,5,FALSE)</f>
        <v/>
      </c>
    </row>
    <row r="858" hidden="1">
      <c r="A858">
        <f>'Production Plan'!B846</f>
        <v/>
      </c>
      <c r="B858">
        <f>VLOOKUP(A858,'Production Plan'!B:S,16,FALSE)</f>
        <v/>
      </c>
      <c r="C858">
        <f>VLOOKUP(A858,'Production Plan'!B:F,5,FALSE)</f>
        <v/>
      </c>
    </row>
    <row r="859" hidden="1">
      <c r="A859">
        <f>'Production Plan'!B847</f>
        <v/>
      </c>
      <c r="B859">
        <f>VLOOKUP(A859,'Production Plan'!B:S,16,FALSE)</f>
        <v/>
      </c>
      <c r="C859">
        <f>VLOOKUP(A859,'Production Plan'!B:F,5,FALSE)</f>
        <v/>
      </c>
    </row>
    <row r="860" hidden="1">
      <c r="A860">
        <f>'Production Plan'!B848</f>
        <v/>
      </c>
      <c r="B860">
        <f>VLOOKUP(A860,'Production Plan'!B:S,16,FALSE)</f>
        <v/>
      </c>
      <c r="C860">
        <f>VLOOKUP(A860,'Production Plan'!B:F,5,FALSE)</f>
        <v/>
      </c>
    </row>
    <row r="861" hidden="1">
      <c r="A861">
        <f>'Production Plan'!B849</f>
        <v/>
      </c>
      <c r="B861">
        <f>VLOOKUP(A861,'Production Plan'!B:S,16,FALSE)</f>
        <v/>
      </c>
      <c r="C861">
        <f>VLOOKUP(A861,'Production Plan'!B:F,5,FALSE)</f>
        <v/>
      </c>
    </row>
    <row r="862" hidden="1">
      <c r="A862">
        <f>'Production Plan'!B850</f>
        <v/>
      </c>
      <c r="B862">
        <f>VLOOKUP(A862,'Production Plan'!B:S,16,FALSE)</f>
        <v/>
      </c>
      <c r="C862">
        <f>VLOOKUP(A862,'Production Plan'!B:F,5,FALSE)</f>
        <v/>
      </c>
    </row>
    <row r="863" hidden="1">
      <c r="A863">
        <f>'Production Plan'!B851</f>
        <v/>
      </c>
      <c r="B863">
        <f>VLOOKUP(A863,'Production Plan'!B:S,16,FALSE)</f>
        <v/>
      </c>
      <c r="C863">
        <f>VLOOKUP(A863,'Production Plan'!B:F,5,FALSE)</f>
        <v/>
      </c>
    </row>
    <row r="864" hidden="1">
      <c r="A864">
        <f>'Production Plan'!B852</f>
        <v/>
      </c>
      <c r="B864">
        <f>VLOOKUP(A864,'Production Plan'!B:S,16,FALSE)</f>
        <v/>
      </c>
      <c r="C864">
        <f>VLOOKUP(A864,'Production Plan'!B:F,5,FALSE)</f>
        <v/>
      </c>
    </row>
    <row r="865" hidden="1">
      <c r="A865">
        <f>'Production Plan'!B853</f>
        <v/>
      </c>
      <c r="B865">
        <f>VLOOKUP(A865,'Production Plan'!B:S,16,FALSE)</f>
        <v/>
      </c>
      <c r="C865">
        <f>VLOOKUP(A865,'Production Plan'!B:F,5,FALSE)</f>
        <v/>
      </c>
    </row>
    <row r="866" hidden="1">
      <c r="A866">
        <f>'Production Plan'!B854</f>
        <v/>
      </c>
      <c r="B866">
        <f>VLOOKUP(A866,'Production Plan'!B:S,16,FALSE)</f>
        <v/>
      </c>
      <c r="C866">
        <f>VLOOKUP(A866,'Production Plan'!B:F,5,FALSE)</f>
        <v/>
      </c>
    </row>
    <row r="867" hidden="1">
      <c r="A867">
        <f>'Production Plan'!B855</f>
        <v/>
      </c>
      <c r="B867">
        <f>VLOOKUP(A867,'Production Plan'!B:S,16,FALSE)</f>
        <v/>
      </c>
      <c r="C867">
        <f>VLOOKUP(A867,'Production Plan'!B:F,5,FALSE)</f>
        <v/>
      </c>
    </row>
    <row r="868" hidden="1">
      <c r="A868">
        <f>'Production Plan'!B856</f>
        <v/>
      </c>
      <c r="B868">
        <f>VLOOKUP(A868,'Production Plan'!B:S,16,FALSE)</f>
        <v/>
      </c>
      <c r="C868">
        <f>VLOOKUP(A868,'Production Plan'!B:F,5,FALSE)</f>
        <v/>
      </c>
    </row>
    <row r="869" hidden="1">
      <c r="A869">
        <f>'Production Plan'!B857</f>
        <v/>
      </c>
      <c r="B869">
        <f>VLOOKUP(A869,'Production Plan'!B:S,16,FALSE)</f>
        <v/>
      </c>
      <c r="C869">
        <f>VLOOKUP(A869,'Production Plan'!B:F,5,FALSE)</f>
        <v/>
      </c>
    </row>
    <row r="870" hidden="1">
      <c r="A870">
        <f>'Production Plan'!B858</f>
        <v/>
      </c>
      <c r="B870">
        <f>VLOOKUP(A870,'Production Plan'!B:S,16,FALSE)</f>
        <v/>
      </c>
      <c r="C870">
        <f>VLOOKUP(A870,'Production Plan'!B:F,5,FALSE)</f>
        <v/>
      </c>
    </row>
    <row r="871" hidden="1">
      <c r="A871">
        <f>'Production Plan'!B859</f>
        <v/>
      </c>
      <c r="B871">
        <f>VLOOKUP(A871,'Production Plan'!B:S,16,FALSE)</f>
        <v/>
      </c>
      <c r="C871">
        <f>VLOOKUP(A871,'Production Plan'!B:F,5,FALSE)</f>
        <v/>
      </c>
    </row>
    <row r="872" hidden="1">
      <c r="A872">
        <f>'Production Plan'!B860</f>
        <v/>
      </c>
      <c r="B872">
        <f>VLOOKUP(A872,'Production Plan'!B:S,16,FALSE)</f>
        <v/>
      </c>
      <c r="C872">
        <f>VLOOKUP(A872,'Production Plan'!B:F,5,FALSE)</f>
        <v/>
      </c>
    </row>
    <row r="873" hidden="1">
      <c r="A873">
        <f>'Production Plan'!B861</f>
        <v/>
      </c>
      <c r="B873">
        <f>VLOOKUP(A873,'Production Plan'!B:S,16,FALSE)</f>
        <v/>
      </c>
      <c r="C873">
        <f>VLOOKUP(A873,'Production Plan'!B:F,5,FALSE)</f>
        <v/>
      </c>
    </row>
    <row r="874" hidden="1">
      <c r="A874">
        <f>'Production Plan'!B862</f>
        <v/>
      </c>
      <c r="B874">
        <f>VLOOKUP(A874,'Production Plan'!B:S,16,FALSE)</f>
        <v/>
      </c>
      <c r="C874">
        <f>VLOOKUP(A874,'Production Plan'!B:F,5,FALSE)</f>
        <v/>
      </c>
    </row>
    <row r="875" hidden="1">
      <c r="A875">
        <f>'Production Plan'!B863</f>
        <v/>
      </c>
      <c r="B875">
        <f>VLOOKUP(A875,'Production Plan'!B:S,16,FALSE)</f>
        <v/>
      </c>
      <c r="C875">
        <f>VLOOKUP(A875,'Production Plan'!B:F,5,FALSE)</f>
        <v/>
      </c>
    </row>
    <row r="876" hidden="1">
      <c r="A876">
        <f>'Production Plan'!B864</f>
        <v/>
      </c>
      <c r="B876">
        <f>VLOOKUP(A876,'Production Plan'!B:S,16,FALSE)</f>
        <v/>
      </c>
      <c r="C876">
        <f>VLOOKUP(A876,'Production Plan'!B:F,5,FALSE)</f>
        <v/>
      </c>
    </row>
    <row r="877" hidden="1">
      <c r="A877">
        <f>'Production Plan'!B865</f>
        <v/>
      </c>
      <c r="B877">
        <f>VLOOKUP(A877,'Production Plan'!B:S,16,FALSE)</f>
        <v/>
      </c>
      <c r="C877">
        <f>VLOOKUP(A877,'Production Plan'!B:F,5,FALSE)</f>
        <v/>
      </c>
    </row>
    <row r="878" hidden="1">
      <c r="A878">
        <f>'Production Plan'!B866</f>
        <v/>
      </c>
      <c r="B878">
        <f>VLOOKUP(A878,'Production Plan'!B:S,16,FALSE)</f>
        <v/>
      </c>
      <c r="C878">
        <f>VLOOKUP(A878,'Production Plan'!B:F,5,FALSE)</f>
        <v/>
      </c>
    </row>
    <row r="879" hidden="1">
      <c r="A879">
        <f>'Production Plan'!B867</f>
        <v/>
      </c>
      <c r="B879">
        <f>VLOOKUP(A879,'Production Plan'!B:S,16,FALSE)</f>
        <v/>
      </c>
      <c r="C879">
        <f>VLOOKUP(A879,'Production Plan'!B:F,5,FALSE)</f>
        <v/>
      </c>
    </row>
    <row r="880" hidden="1">
      <c r="A880">
        <f>'Production Plan'!B868</f>
        <v/>
      </c>
      <c r="B880">
        <f>VLOOKUP(A880,'Production Plan'!B:S,16,FALSE)</f>
        <v/>
      </c>
      <c r="C880">
        <f>VLOOKUP(A880,'Production Plan'!B:F,5,FALSE)</f>
        <v/>
      </c>
    </row>
    <row r="881" hidden="1">
      <c r="A881">
        <f>'Production Plan'!B869</f>
        <v/>
      </c>
      <c r="B881">
        <f>VLOOKUP(A881,'Production Plan'!B:S,16,FALSE)</f>
        <v/>
      </c>
      <c r="C881">
        <f>VLOOKUP(A881,'Production Plan'!B:F,5,FALSE)</f>
        <v/>
      </c>
    </row>
    <row r="882" hidden="1">
      <c r="A882">
        <f>'Production Plan'!B870</f>
        <v/>
      </c>
      <c r="B882">
        <f>VLOOKUP(A882,'Production Plan'!B:S,16,FALSE)</f>
        <v/>
      </c>
      <c r="C882">
        <f>VLOOKUP(A882,'Production Plan'!B:F,5,FALSE)</f>
        <v/>
      </c>
    </row>
    <row r="883" hidden="1">
      <c r="A883">
        <f>'Production Plan'!B871</f>
        <v/>
      </c>
      <c r="B883">
        <f>VLOOKUP(A883,'Production Plan'!B:S,16,FALSE)</f>
        <v/>
      </c>
      <c r="C883">
        <f>VLOOKUP(A883,'Production Plan'!B:F,5,FALSE)</f>
        <v/>
      </c>
    </row>
    <row r="884" hidden="1">
      <c r="A884">
        <f>'Production Plan'!B872</f>
        <v/>
      </c>
      <c r="B884">
        <f>VLOOKUP(A884,'Production Plan'!B:S,16,FALSE)</f>
        <v/>
      </c>
      <c r="C884">
        <f>VLOOKUP(A884,'Production Plan'!B:F,5,FALSE)</f>
        <v/>
      </c>
    </row>
    <row r="885" hidden="1">
      <c r="A885">
        <f>'Production Plan'!B873</f>
        <v/>
      </c>
      <c r="B885">
        <f>VLOOKUP(A885,'Production Plan'!B:S,16,FALSE)</f>
        <v/>
      </c>
      <c r="C885">
        <f>VLOOKUP(A885,'Production Plan'!B:F,5,FALSE)</f>
        <v/>
      </c>
    </row>
    <row r="886" hidden="1">
      <c r="A886">
        <f>'Production Plan'!B874</f>
        <v/>
      </c>
      <c r="B886">
        <f>VLOOKUP(A886,'Production Plan'!B:S,16,FALSE)</f>
        <v/>
      </c>
      <c r="C886">
        <f>VLOOKUP(A886,'Production Plan'!B:F,5,FALSE)</f>
        <v/>
      </c>
    </row>
    <row r="887" hidden="1">
      <c r="A887">
        <f>'Production Plan'!B875</f>
        <v/>
      </c>
      <c r="B887">
        <f>VLOOKUP(A887,'Production Plan'!B:S,16,FALSE)</f>
        <v/>
      </c>
      <c r="C887">
        <f>VLOOKUP(A887,'Production Plan'!B:F,5,FALSE)</f>
        <v/>
      </c>
    </row>
    <row r="888" hidden="1">
      <c r="A888">
        <f>'Production Plan'!B876</f>
        <v/>
      </c>
      <c r="B888">
        <f>VLOOKUP(A888,'Production Plan'!B:S,16,FALSE)</f>
        <v/>
      </c>
      <c r="C888">
        <f>VLOOKUP(A888,'Production Plan'!B:F,5,FALSE)</f>
        <v/>
      </c>
    </row>
    <row r="889" hidden="1">
      <c r="A889">
        <f>'Production Plan'!B877</f>
        <v/>
      </c>
      <c r="B889">
        <f>VLOOKUP(A889,'Production Plan'!B:S,16,FALSE)</f>
        <v/>
      </c>
      <c r="C889">
        <f>VLOOKUP(A889,'Production Plan'!B:F,5,FALSE)</f>
        <v/>
      </c>
    </row>
    <row r="890" hidden="1">
      <c r="A890">
        <f>'Production Plan'!B878</f>
        <v/>
      </c>
      <c r="B890">
        <f>VLOOKUP(A890,'Production Plan'!B:S,16,FALSE)</f>
        <v/>
      </c>
      <c r="C890">
        <f>VLOOKUP(A890,'Production Plan'!B:F,5,FALSE)</f>
        <v/>
      </c>
    </row>
    <row r="891" hidden="1">
      <c r="A891">
        <f>'Production Plan'!B879</f>
        <v/>
      </c>
      <c r="B891">
        <f>VLOOKUP(A891,'Production Plan'!B:S,16,FALSE)</f>
        <v/>
      </c>
      <c r="C891">
        <f>VLOOKUP(A891,'Production Plan'!B:F,5,FALSE)</f>
        <v/>
      </c>
    </row>
    <row r="892" hidden="1">
      <c r="A892">
        <f>'Production Plan'!B880</f>
        <v/>
      </c>
      <c r="B892">
        <f>VLOOKUP(A892,'Production Plan'!B:S,16,FALSE)</f>
        <v/>
      </c>
      <c r="C892">
        <f>VLOOKUP(A892,'Production Plan'!B:F,5,FALSE)</f>
        <v/>
      </c>
    </row>
    <row r="893" hidden="1">
      <c r="A893">
        <f>'Production Plan'!B881</f>
        <v/>
      </c>
      <c r="B893">
        <f>VLOOKUP(A893,'Production Plan'!B:S,16,FALSE)</f>
        <v/>
      </c>
      <c r="C893">
        <f>VLOOKUP(A893,'Production Plan'!B:F,5,FALSE)</f>
        <v/>
      </c>
    </row>
    <row r="894" hidden="1">
      <c r="A894">
        <f>'Production Plan'!B882</f>
        <v/>
      </c>
      <c r="B894">
        <f>VLOOKUP(A894,'Production Plan'!B:S,16,FALSE)</f>
        <v/>
      </c>
      <c r="C894">
        <f>VLOOKUP(A894,'Production Plan'!B:F,5,FALSE)</f>
        <v/>
      </c>
    </row>
    <row r="895" hidden="1">
      <c r="A895">
        <f>'Production Plan'!B883</f>
        <v/>
      </c>
      <c r="B895">
        <f>VLOOKUP(A895,'Production Plan'!B:S,16,FALSE)</f>
        <v/>
      </c>
      <c r="C895">
        <f>VLOOKUP(A895,'Production Plan'!B:F,5,FALSE)</f>
        <v/>
      </c>
    </row>
    <row r="896" hidden="1">
      <c r="A896">
        <f>'Production Plan'!B884</f>
        <v/>
      </c>
      <c r="B896">
        <f>VLOOKUP(A896,'Production Plan'!B:S,16,FALSE)</f>
        <v/>
      </c>
      <c r="C896">
        <f>VLOOKUP(A896,'Production Plan'!B:F,5,FALSE)</f>
        <v/>
      </c>
    </row>
    <row r="897" hidden="1">
      <c r="A897">
        <f>'Production Plan'!B885</f>
        <v/>
      </c>
      <c r="B897">
        <f>VLOOKUP(A897,'Production Plan'!B:S,16,FALSE)</f>
        <v/>
      </c>
      <c r="C897">
        <f>VLOOKUP(A897,'Production Plan'!B:F,5,FALSE)</f>
        <v/>
      </c>
    </row>
    <row r="898" hidden="1">
      <c r="A898">
        <f>'Production Plan'!B886</f>
        <v/>
      </c>
      <c r="B898">
        <f>VLOOKUP(A898,'Production Plan'!B:S,16,FALSE)</f>
        <v/>
      </c>
      <c r="C898">
        <f>VLOOKUP(A898,'Production Plan'!B:F,5,FALSE)</f>
        <v/>
      </c>
    </row>
    <row r="899" hidden="1">
      <c r="A899">
        <f>'Production Plan'!B887</f>
        <v/>
      </c>
      <c r="B899">
        <f>VLOOKUP(A899,'Production Plan'!B:S,16,FALSE)</f>
        <v/>
      </c>
      <c r="C899">
        <f>VLOOKUP(A899,'Production Plan'!B:F,5,FALSE)</f>
        <v/>
      </c>
    </row>
    <row r="900" hidden="1">
      <c r="A900">
        <f>'Production Plan'!B888</f>
        <v/>
      </c>
      <c r="B900">
        <f>VLOOKUP(A900,'Production Plan'!B:S,16,FALSE)</f>
        <v/>
      </c>
      <c r="C900">
        <f>VLOOKUP(A900,'Production Plan'!B:F,5,FALSE)</f>
        <v/>
      </c>
    </row>
    <row r="901" hidden="1">
      <c r="A901">
        <f>'Production Plan'!B889</f>
        <v/>
      </c>
      <c r="B901">
        <f>VLOOKUP(A901,'Production Plan'!B:S,16,FALSE)</f>
        <v/>
      </c>
      <c r="C901">
        <f>VLOOKUP(A901,'Production Plan'!B:F,5,FALSE)</f>
        <v/>
      </c>
    </row>
    <row r="902" hidden="1">
      <c r="A902">
        <f>'Production Plan'!B890</f>
        <v/>
      </c>
      <c r="B902">
        <f>VLOOKUP(A902,'Production Plan'!B:S,16,FALSE)</f>
        <v/>
      </c>
      <c r="C902">
        <f>VLOOKUP(A902,'Production Plan'!B:F,5,FALSE)</f>
        <v/>
      </c>
    </row>
    <row r="903" hidden="1">
      <c r="A903">
        <f>'Production Plan'!B891</f>
        <v/>
      </c>
      <c r="B903">
        <f>VLOOKUP(A903,'Production Plan'!B:S,16,FALSE)</f>
        <v/>
      </c>
      <c r="C903">
        <f>VLOOKUP(A903,'Production Plan'!B:F,5,FALSE)</f>
        <v/>
      </c>
    </row>
    <row r="904" hidden="1">
      <c r="A904">
        <f>'Production Plan'!B892</f>
        <v/>
      </c>
      <c r="B904">
        <f>VLOOKUP(A904,'Production Plan'!B:S,16,FALSE)</f>
        <v/>
      </c>
      <c r="C904">
        <f>VLOOKUP(A904,'Production Plan'!B:F,5,FALSE)</f>
        <v/>
      </c>
    </row>
    <row r="905" hidden="1">
      <c r="A905">
        <f>'Production Plan'!B893</f>
        <v/>
      </c>
      <c r="B905">
        <f>VLOOKUP(A905,'Production Plan'!B:S,16,FALSE)</f>
        <v/>
      </c>
      <c r="C905">
        <f>VLOOKUP(A905,'Production Plan'!B:F,5,FALSE)</f>
        <v/>
      </c>
    </row>
    <row r="906" hidden="1">
      <c r="A906">
        <f>'Production Plan'!B894</f>
        <v/>
      </c>
      <c r="B906">
        <f>VLOOKUP(A906,'Production Plan'!B:S,16,FALSE)</f>
        <v/>
      </c>
      <c r="C906">
        <f>VLOOKUP(A906,'Production Plan'!B:F,5,FALSE)</f>
        <v/>
      </c>
    </row>
    <row r="907" hidden="1">
      <c r="A907">
        <f>'Production Plan'!B895</f>
        <v/>
      </c>
      <c r="B907">
        <f>VLOOKUP(A907,'Production Plan'!B:S,16,FALSE)</f>
        <v/>
      </c>
      <c r="C907">
        <f>VLOOKUP(A907,'Production Plan'!B:F,5,FALSE)</f>
        <v/>
      </c>
    </row>
    <row r="908" hidden="1">
      <c r="A908">
        <f>'Production Plan'!B896</f>
        <v/>
      </c>
      <c r="B908">
        <f>VLOOKUP(A908,'Production Plan'!B:S,16,FALSE)</f>
        <v/>
      </c>
      <c r="C908">
        <f>VLOOKUP(A908,'Production Plan'!B:F,5,FALSE)</f>
        <v/>
      </c>
    </row>
    <row r="909" hidden="1">
      <c r="A909">
        <f>'Production Plan'!B897</f>
        <v/>
      </c>
      <c r="B909">
        <f>VLOOKUP(A909,'Production Plan'!B:S,16,FALSE)</f>
        <v/>
      </c>
      <c r="C909">
        <f>VLOOKUP(A909,'Production Plan'!B:F,5,FALSE)</f>
        <v/>
      </c>
    </row>
    <row r="910" hidden="1">
      <c r="A910">
        <f>'Production Plan'!B898</f>
        <v/>
      </c>
      <c r="B910">
        <f>VLOOKUP(A910,'Production Plan'!B:S,16,FALSE)</f>
        <v/>
      </c>
      <c r="C910">
        <f>VLOOKUP(A910,'Production Plan'!B:F,5,FALSE)</f>
        <v/>
      </c>
    </row>
    <row r="911" hidden="1">
      <c r="A911">
        <f>'Production Plan'!B899</f>
        <v/>
      </c>
      <c r="B911">
        <f>VLOOKUP(A911,'Production Plan'!B:S,16,FALSE)</f>
        <v/>
      </c>
      <c r="C911">
        <f>VLOOKUP(A911,'Production Plan'!B:F,5,FALSE)</f>
        <v/>
      </c>
    </row>
    <row r="912" hidden="1">
      <c r="A912">
        <f>'Production Plan'!B900</f>
        <v/>
      </c>
      <c r="B912">
        <f>VLOOKUP(A912,'Production Plan'!B:S,16,FALSE)</f>
        <v/>
      </c>
      <c r="C912">
        <f>VLOOKUP(A912,'Production Plan'!B:F,5,FALSE)</f>
        <v/>
      </c>
    </row>
    <row r="913" hidden="1">
      <c r="A913">
        <f>'Production Plan'!B901</f>
        <v/>
      </c>
      <c r="B913">
        <f>VLOOKUP(A913,'Production Plan'!B:S,16,FALSE)</f>
        <v/>
      </c>
      <c r="C913">
        <f>VLOOKUP(A913,'Production Plan'!B:F,5,FALSE)</f>
        <v/>
      </c>
    </row>
    <row r="914" hidden="1">
      <c r="A914">
        <f>'Production Plan'!B902</f>
        <v/>
      </c>
      <c r="B914">
        <f>VLOOKUP(A914,'Production Plan'!B:S,16,FALSE)</f>
        <v/>
      </c>
      <c r="C914">
        <f>VLOOKUP(A914,'Production Plan'!B:F,5,FALSE)</f>
        <v/>
      </c>
    </row>
    <row r="915" hidden="1">
      <c r="A915">
        <f>'Production Plan'!B903</f>
        <v/>
      </c>
      <c r="B915">
        <f>VLOOKUP(A915,'Production Plan'!B:S,16,FALSE)</f>
        <v/>
      </c>
      <c r="C915">
        <f>VLOOKUP(A915,'Production Plan'!B:F,5,FALSE)</f>
        <v/>
      </c>
    </row>
    <row r="916" hidden="1">
      <c r="A916">
        <f>'Production Plan'!B904</f>
        <v/>
      </c>
      <c r="B916">
        <f>VLOOKUP(A916,'Production Plan'!B:S,16,FALSE)</f>
        <v/>
      </c>
      <c r="C916">
        <f>VLOOKUP(A916,'Production Plan'!B:F,5,FALSE)</f>
        <v/>
      </c>
    </row>
    <row r="917" hidden="1">
      <c r="A917">
        <f>'Production Plan'!B905</f>
        <v/>
      </c>
      <c r="B917">
        <f>VLOOKUP(A917,'Production Plan'!B:S,16,FALSE)</f>
        <v/>
      </c>
      <c r="C917">
        <f>VLOOKUP(A917,'Production Plan'!B:F,5,FALSE)</f>
        <v/>
      </c>
    </row>
    <row r="918" hidden="1">
      <c r="A918">
        <f>'Production Plan'!B906</f>
        <v/>
      </c>
      <c r="B918">
        <f>VLOOKUP(A918,'Production Plan'!B:S,16,FALSE)</f>
        <v/>
      </c>
      <c r="C918">
        <f>VLOOKUP(A918,'Production Plan'!B:F,5,FALSE)</f>
        <v/>
      </c>
    </row>
    <row r="919" hidden="1">
      <c r="A919">
        <f>'Production Plan'!B907</f>
        <v/>
      </c>
      <c r="B919">
        <f>VLOOKUP(A919,'Production Plan'!B:S,16,FALSE)</f>
        <v/>
      </c>
      <c r="C919">
        <f>VLOOKUP(A919,'Production Plan'!B:F,5,FALSE)</f>
        <v/>
      </c>
    </row>
    <row r="920" hidden="1">
      <c r="A920">
        <f>'Production Plan'!B908</f>
        <v/>
      </c>
      <c r="B920">
        <f>VLOOKUP(A920,'Production Plan'!B:S,16,FALSE)</f>
        <v/>
      </c>
      <c r="C920">
        <f>VLOOKUP(A920,'Production Plan'!B:F,5,FALSE)</f>
        <v/>
      </c>
    </row>
    <row r="921" hidden="1">
      <c r="A921">
        <f>'Production Plan'!B909</f>
        <v/>
      </c>
      <c r="B921">
        <f>VLOOKUP(A921,'Production Plan'!B:S,16,FALSE)</f>
        <v/>
      </c>
      <c r="C921">
        <f>VLOOKUP(A921,'Production Plan'!B:F,5,FALSE)</f>
        <v/>
      </c>
    </row>
    <row r="922" hidden="1">
      <c r="A922">
        <f>'Production Plan'!B910</f>
        <v/>
      </c>
      <c r="B922">
        <f>VLOOKUP(A922,'Production Plan'!B:S,16,FALSE)</f>
        <v/>
      </c>
      <c r="C922">
        <f>VLOOKUP(A922,'Production Plan'!B:F,5,FALSE)</f>
        <v/>
      </c>
    </row>
    <row r="923" hidden="1">
      <c r="A923">
        <f>'Production Plan'!B911</f>
        <v/>
      </c>
      <c r="B923">
        <f>VLOOKUP(A923,'Production Plan'!B:S,16,FALSE)</f>
        <v/>
      </c>
      <c r="C923">
        <f>VLOOKUP(A923,'Production Plan'!B:F,5,FALSE)</f>
        <v/>
      </c>
    </row>
    <row r="924" hidden="1">
      <c r="A924">
        <f>'Production Plan'!B912</f>
        <v/>
      </c>
      <c r="B924">
        <f>VLOOKUP(A924,'Production Plan'!B:S,16,FALSE)</f>
        <v/>
      </c>
      <c r="C924">
        <f>VLOOKUP(A924,'Production Plan'!B:F,5,FALSE)</f>
        <v/>
      </c>
    </row>
    <row r="925" hidden="1">
      <c r="A925">
        <f>'Production Plan'!B913</f>
        <v/>
      </c>
      <c r="B925">
        <f>VLOOKUP(A925,'Production Plan'!B:S,16,FALSE)</f>
        <v/>
      </c>
      <c r="C925">
        <f>VLOOKUP(A925,'Production Plan'!B:F,5,FALSE)</f>
        <v/>
      </c>
    </row>
    <row r="926" hidden="1">
      <c r="A926">
        <f>'Production Plan'!B914</f>
        <v/>
      </c>
      <c r="B926">
        <f>VLOOKUP(A926,'Production Plan'!B:S,16,FALSE)</f>
        <v/>
      </c>
      <c r="C926">
        <f>VLOOKUP(A926,'Production Plan'!B:F,5,FALSE)</f>
        <v/>
      </c>
    </row>
    <row r="927" hidden="1">
      <c r="A927">
        <f>'Production Plan'!B915</f>
        <v/>
      </c>
      <c r="B927">
        <f>VLOOKUP(A927,'Production Plan'!B:S,16,FALSE)</f>
        <v/>
      </c>
      <c r="C927">
        <f>VLOOKUP(A927,'Production Plan'!B:F,5,FALSE)</f>
        <v/>
      </c>
    </row>
    <row r="928" hidden="1">
      <c r="A928">
        <f>'Production Plan'!B916</f>
        <v/>
      </c>
      <c r="B928">
        <f>VLOOKUP(A928,'Production Plan'!B:S,16,FALSE)</f>
        <v/>
      </c>
      <c r="C928">
        <f>VLOOKUP(A928,'Production Plan'!B:F,5,FALSE)</f>
        <v/>
      </c>
    </row>
    <row r="929" hidden="1">
      <c r="A929">
        <f>'Production Plan'!B917</f>
        <v/>
      </c>
      <c r="B929">
        <f>VLOOKUP(A929,'Production Plan'!B:S,16,FALSE)</f>
        <v/>
      </c>
      <c r="C929">
        <f>VLOOKUP(A929,'Production Plan'!B:F,5,FALSE)</f>
        <v/>
      </c>
    </row>
    <row r="930" hidden="1">
      <c r="A930">
        <f>'Production Plan'!B918</f>
        <v/>
      </c>
      <c r="B930">
        <f>VLOOKUP(A930,'Production Plan'!B:S,16,FALSE)</f>
        <v/>
      </c>
      <c r="C930">
        <f>VLOOKUP(A930,'Production Plan'!B:F,5,FALSE)</f>
        <v/>
      </c>
    </row>
    <row r="931" hidden="1">
      <c r="A931">
        <f>'Production Plan'!B919</f>
        <v/>
      </c>
      <c r="B931">
        <f>VLOOKUP(A931,'Production Plan'!B:S,16,FALSE)</f>
        <v/>
      </c>
      <c r="C931">
        <f>VLOOKUP(A931,'Production Plan'!B:F,5,FALSE)</f>
        <v/>
      </c>
    </row>
    <row r="932" hidden="1">
      <c r="A932">
        <f>'Production Plan'!B920</f>
        <v/>
      </c>
      <c r="B932">
        <f>VLOOKUP(A932,'Production Plan'!B:S,16,FALSE)</f>
        <v/>
      </c>
      <c r="C932">
        <f>VLOOKUP(A932,'Production Plan'!B:F,5,FALSE)</f>
        <v/>
      </c>
    </row>
    <row r="933" hidden="1">
      <c r="A933">
        <f>'Production Plan'!B921</f>
        <v/>
      </c>
      <c r="B933">
        <f>VLOOKUP(A933,'Production Plan'!B:S,16,FALSE)</f>
        <v/>
      </c>
      <c r="C933">
        <f>VLOOKUP(A933,'Production Plan'!B:F,5,FALSE)</f>
        <v/>
      </c>
    </row>
    <row r="934" hidden="1">
      <c r="A934">
        <f>'Production Plan'!B922</f>
        <v/>
      </c>
      <c r="B934">
        <f>VLOOKUP(A934,'Production Plan'!B:S,16,FALSE)</f>
        <v/>
      </c>
      <c r="C934">
        <f>VLOOKUP(A934,'Production Plan'!B:F,5,FALSE)</f>
        <v/>
      </c>
    </row>
    <row r="935" hidden="1">
      <c r="A935">
        <f>'Production Plan'!B923</f>
        <v/>
      </c>
      <c r="B935">
        <f>VLOOKUP(A935,'Production Plan'!B:S,16,FALSE)</f>
        <v/>
      </c>
      <c r="C935">
        <f>VLOOKUP(A935,'Production Plan'!B:F,5,FALSE)</f>
        <v/>
      </c>
    </row>
    <row r="936" hidden="1">
      <c r="A936">
        <f>'Production Plan'!B924</f>
        <v/>
      </c>
      <c r="B936">
        <f>VLOOKUP(A936,'Production Plan'!B:S,16,FALSE)</f>
        <v/>
      </c>
      <c r="C936">
        <f>VLOOKUP(A936,'Production Plan'!B:F,5,FALSE)</f>
        <v/>
      </c>
    </row>
    <row r="937" hidden="1">
      <c r="A937">
        <f>'Production Plan'!B925</f>
        <v/>
      </c>
      <c r="B937">
        <f>VLOOKUP(A937,'Production Plan'!B:S,16,FALSE)</f>
        <v/>
      </c>
      <c r="C937">
        <f>VLOOKUP(A937,'Production Plan'!B:F,5,FALSE)</f>
        <v/>
      </c>
    </row>
    <row r="938" hidden="1">
      <c r="A938">
        <f>'Production Plan'!B926</f>
        <v/>
      </c>
      <c r="B938">
        <f>VLOOKUP(A938,'Production Plan'!B:S,16,FALSE)</f>
        <v/>
      </c>
      <c r="C938">
        <f>VLOOKUP(A938,'Production Plan'!B:F,5,FALSE)</f>
        <v/>
      </c>
    </row>
    <row r="939" hidden="1">
      <c r="A939">
        <f>'Production Plan'!B927</f>
        <v/>
      </c>
      <c r="B939">
        <f>VLOOKUP(A939,'Production Plan'!B:S,16,FALSE)</f>
        <v/>
      </c>
      <c r="C939">
        <f>VLOOKUP(A939,'Production Plan'!B:F,5,FALSE)</f>
        <v/>
      </c>
    </row>
    <row r="940" hidden="1">
      <c r="A940">
        <f>'Production Plan'!B928</f>
        <v/>
      </c>
      <c r="B940">
        <f>VLOOKUP(A940,'Production Plan'!B:S,16,FALSE)</f>
        <v/>
      </c>
      <c r="C940">
        <f>VLOOKUP(A940,'Production Plan'!B:F,5,FALSE)</f>
        <v/>
      </c>
    </row>
    <row r="941" hidden="1">
      <c r="A941">
        <f>'Production Plan'!B929</f>
        <v/>
      </c>
      <c r="B941">
        <f>VLOOKUP(A941,'Production Plan'!B:S,16,FALSE)</f>
        <v/>
      </c>
      <c r="C941">
        <f>VLOOKUP(A941,'Production Plan'!B:F,5,FALSE)</f>
        <v/>
      </c>
    </row>
    <row r="942" hidden="1">
      <c r="A942">
        <f>'Production Plan'!B930</f>
        <v/>
      </c>
      <c r="B942">
        <f>VLOOKUP(A942,'Production Plan'!B:S,16,FALSE)</f>
        <v/>
      </c>
      <c r="C942">
        <f>VLOOKUP(A942,'Production Plan'!B:F,5,FALSE)</f>
        <v/>
      </c>
    </row>
    <row r="943" hidden="1">
      <c r="A943">
        <f>'Production Plan'!B931</f>
        <v/>
      </c>
      <c r="B943">
        <f>VLOOKUP(A943,'Production Plan'!B:S,16,FALSE)</f>
        <v/>
      </c>
      <c r="C943">
        <f>VLOOKUP(A943,'Production Plan'!B:F,5,FALSE)</f>
        <v/>
      </c>
    </row>
    <row r="944" hidden="1">
      <c r="A944">
        <f>'Production Plan'!B932</f>
        <v/>
      </c>
      <c r="B944">
        <f>VLOOKUP(A944,'Production Plan'!B:S,16,FALSE)</f>
        <v/>
      </c>
      <c r="C944">
        <f>VLOOKUP(A944,'Production Plan'!B:F,5,FALSE)</f>
        <v/>
      </c>
    </row>
    <row r="945" hidden="1">
      <c r="A945">
        <f>'Production Plan'!B933</f>
        <v/>
      </c>
      <c r="B945">
        <f>VLOOKUP(A945,'Production Plan'!B:S,16,FALSE)</f>
        <v/>
      </c>
      <c r="C945">
        <f>VLOOKUP(A945,'Production Plan'!B:F,5,FALSE)</f>
        <v/>
      </c>
    </row>
    <row r="946" hidden="1">
      <c r="A946">
        <f>'Production Plan'!B934</f>
        <v/>
      </c>
      <c r="B946">
        <f>VLOOKUP(A946,'Production Plan'!B:S,16,FALSE)</f>
        <v/>
      </c>
      <c r="C946">
        <f>VLOOKUP(A946,'Production Plan'!B:F,5,FALSE)</f>
        <v/>
      </c>
    </row>
    <row r="947" hidden="1">
      <c r="A947">
        <f>'Production Plan'!B935</f>
        <v/>
      </c>
      <c r="B947">
        <f>VLOOKUP(A947,'Production Plan'!B:S,16,FALSE)</f>
        <v/>
      </c>
      <c r="C947">
        <f>VLOOKUP(A947,'Production Plan'!B:F,5,FALSE)</f>
        <v/>
      </c>
    </row>
    <row r="948" hidden="1">
      <c r="A948">
        <f>'Production Plan'!B936</f>
        <v/>
      </c>
      <c r="B948">
        <f>VLOOKUP(A948,'Production Plan'!B:S,16,FALSE)</f>
        <v/>
      </c>
      <c r="C948">
        <f>VLOOKUP(A948,'Production Plan'!B:F,5,FALSE)</f>
        <v/>
      </c>
    </row>
    <row r="949" hidden="1">
      <c r="A949">
        <f>'Production Plan'!B937</f>
        <v/>
      </c>
      <c r="B949">
        <f>VLOOKUP(A949,'Production Plan'!B:S,16,FALSE)</f>
        <v/>
      </c>
      <c r="C949">
        <f>VLOOKUP(A949,'Production Plan'!B:F,5,FALSE)</f>
        <v/>
      </c>
    </row>
    <row r="950" hidden="1">
      <c r="A950">
        <f>'Production Plan'!B938</f>
        <v/>
      </c>
      <c r="B950">
        <f>VLOOKUP(A950,'Production Plan'!B:S,16,FALSE)</f>
        <v/>
      </c>
      <c r="C950">
        <f>VLOOKUP(A950,'Production Plan'!B:F,5,FALSE)</f>
        <v/>
      </c>
    </row>
    <row r="951" hidden="1">
      <c r="A951">
        <f>'Production Plan'!B939</f>
        <v/>
      </c>
      <c r="B951">
        <f>VLOOKUP(A951,'Production Plan'!B:S,16,FALSE)</f>
        <v/>
      </c>
      <c r="C951">
        <f>VLOOKUP(A951,'Production Plan'!B:F,5,FALSE)</f>
        <v/>
      </c>
    </row>
    <row r="952" hidden="1">
      <c r="A952">
        <f>'Production Plan'!B940</f>
        <v/>
      </c>
      <c r="B952">
        <f>VLOOKUP(A952,'Production Plan'!B:S,16,FALSE)</f>
        <v/>
      </c>
      <c r="C952">
        <f>VLOOKUP(A952,'Production Plan'!B:F,5,FALSE)</f>
        <v/>
      </c>
    </row>
    <row r="953" hidden="1">
      <c r="A953">
        <f>'Production Plan'!B941</f>
        <v/>
      </c>
      <c r="B953">
        <f>VLOOKUP(A953,'Production Plan'!B:S,16,FALSE)</f>
        <v/>
      </c>
      <c r="C953">
        <f>VLOOKUP(A953,'Production Plan'!B:F,5,FALSE)</f>
        <v/>
      </c>
    </row>
    <row r="954" hidden="1">
      <c r="A954">
        <f>'Production Plan'!B942</f>
        <v/>
      </c>
      <c r="B954">
        <f>VLOOKUP(A954,'Production Plan'!B:S,16,FALSE)</f>
        <v/>
      </c>
      <c r="C954">
        <f>VLOOKUP(A954,'Production Plan'!B:F,5,FALSE)</f>
        <v/>
      </c>
    </row>
    <row r="955" hidden="1">
      <c r="A955">
        <f>'Production Plan'!B943</f>
        <v/>
      </c>
      <c r="B955">
        <f>VLOOKUP(A955,'Production Plan'!B:S,16,FALSE)</f>
        <v/>
      </c>
      <c r="C955">
        <f>VLOOKUP(A955,'Production Plan'!B:F,5,FALSE)</f>
        <v/>
      </c>
    </row>
    <row r="956" hidden="1">
      <c r="A956">
        <f>'Production Plan'!B944</f>
        <v/>
      </c>
      <c r="B956">
        <f>VLOOKUP(A956,'Production Plan'!B:S,16,FALSE)</f>
        <v/>
      </c>
      <c r="C956">
        <f>VLOOKUP(A956,'Production Plan'!B:F,5,FALSE)</f>
        <v/>
      </c>
    </row>
    <row r="957" hidden="1">
      <c r="A957">
        <f>'Production Plan'!B945</f>
        <v/>
      </c>
      <c r="B957">
        <f>VLOOKUP(A957,'Production Plan'!B:S,16,FALSE)</f>
        <v/>
      </c>
      <c r="C957">
        <f>VLOOKUP(A957,'Production Plan'!B:F,5,FALSE)</f>
        <v/>
      </c>
    </row>
    <row r="958" hidden="1">
      <c r="A958">
        <f>'Production Plan'!B946</f>
        <v/>
      </c>
      <c r="B958">
        <f>VLOOKUP(A958,'Production Plan'!B:S,16,FALSE)</f>
        <v/>
      </c>
      <c r="C958">
        <f>VLOOKUP(A958,'Production Plan'!B:F,5,FALSE)</f>
        <v/>
      </c>
    </row>
    <row r="959" hidden="1">
      <c r="A959">
        <f>'Production Plan'!B947</f>
        <v/>
      </c>
      <c r="B959">
        <f>VLOOKUP(A959,'Production Plan'!B:S,16,FALSE)</f>
        <v/>
      </c>
      <c r="C959">
        <f>VLOOKUP(A959,'Production Plan'!B:F,5,FALSE)</f>
        <v/>
      </c>
    </row>
    <row r="960" hidden="1">
      <c r="A960">
        <f>'Production Plan'!B948</f>
        <v/>
      </c>
      <c r="B960">
        <f>VLOOKUP(A960,'Production Plan'!B:S,16,FALSE)</f>
        <v/>
      </c>
      <c r="C960">
        <f>VLOOKUP(A960,'Production Plan'!B:F,5,FALSE)</f>
        <v/>
      </c>
    </row>
    <row r="961" hidden="1">
      <c r="A961">
        <f>'Production Plan'!B949</f>
        <v/>
      </c>
      <c r="B961">
        <f>VLOOKUP(A961,'Production Plan'!B:S,16,FALSE)</f>
        <v/>
      </c>
      <c r="C961">
        <f>VLOOKUP(A961,'Production Plan'!B:F,5,FALSE)</f>
        <v/>
      </c>
    </row>
    <row r="962" hidden="1">
      <c r="A962">
        <f>'Production Plan'!B950</f>
        <v/>
      </c>
      <c r="B962">
        <f>VLOOKUP(A962,'Production Plan'!B:S,16,FALSE)</f>
        <v/>
      </c>
      <c r="C962">
        <f>VLOOKUP(A962,'Production Plan'!B:F,5,FALSE)</f>
        <v/>
      </c>
    </row>
    <row r="963" hidden="1">
      <c r="A963">
        <f>'Production Plan'!B951</f>
        <v/>
      </c>
      <c r="B963">
        <f>VLOOKUP(A963,'Production Plan'!B:S,16,FALSE)</f>
        <v/>
      </c>
      <c r="C963">
        <f>VLOOKUP(A963,'Production Plan'!B:F,5,FALSE)</f>
        <v/>
      </c>
    </row>
    <row r="964" hidden="1">
      <c r="A964">
        <f>'Production Plan'!B952</f>
        <v/>
      </c>
      <c r="B964">
        <f>VLOOKUP(A964,'Production Plan'!B:S,16,FALSE)</f>
        <v/>
      </c>
      <c r="C964">
        <f>VLOOKUP(A964,'Production Plan'!B:F,5,FALSE)</f>
        <v/>
      </c>
    </row>
    <row r="965" hidden="1">
      <c r="A965">
        <f>'Production Plan'!B953</f>
        <v/>
      </c>
      <c r="B965">
        <f>VLOOKUP(A965,'Production Plan'!B:S,16,FALSE)</f>
        <v/>
      </c>
      <c r="C965">
        <f>VLOOKUP(A965,'Production Plan'!B:F,5,FALSE)</f>
        <v/>
      </c>
    </row>
    <row r="966" hidden="1">
      <c r="A966">
        <f>'Production Plan'!B954</f>
        <v/>
      </c>
      <c r="B966">
        <f>VLOOKUP(A966,'Production Plan'!B:S,16,FALSE)</f>
        <v/>
      </c>
      <c r="C966">
        <f>VLOOKUP(A966,'Production Plan'!B:F,5,FALSE)</f>
        <v/>
      </c>
    </row>
    <row r="967" hidden="1">
      <c r="A967">
        <f>'Production Plan'!B955</f>
        <v/>
      </c>
      <c r="B967">
        <f>VLOOKUP(A967,'Production Plan'!B:S,16,FALSE)</f>
        <v/>
      </c>
      <c r="C967">
        <f>VLOOKUP(A967,'Production Plan'!B:F,5,FALSE)</f>
        <v/>
      </c>
    </row>
    <row r="968" hidden="1">
      <c r="A968">
        <f>'Production Plan'!B956</f>
        <v/>
      </c>
      <c r="B968">
        <f>VLOOKUP(A968,'Production Plan'!B:S,16,FALSE)</f>
        <v/>
      </c>
      <c r="C968">
        <f>VLOOKUP(A968,'Production Plan'!B:F,5,FALSE)</f>
        <v/>
      </c>
    </row>
    <row r="969" hidden="1">
      <c r="A969">
        <f>'Production Plan'!B957</f>
        <v/>
      </c>
      <c r="B969">
        <f>VLOOKUP(A969,'Production Plan'!B:S,16,FALSE)</f>
        <v/>
      </c>
      <c r="C969">
        <f>VLOOKUP(A969,'Production Plan'!B:F,5,FALSE)</f>
        <v/>
      </c>
    </row>
    <row r="970" hidden="1">
      <c r="A970">
        <f>'Production Plan'!B958</f>
        <v/>
      </c>
      <c r="B970">
        <f>VLOOKUP(A970,'Production Plan'!B:S,16,FALSE)</f>
        <v/>
      </c>
      <c r="C970">
        <f>VLOOKUP(A970,'Production Plan'!B:F,5,FALSE)</f>
        <v/>
      </c>
    </row>
    <row r="971" hidden="1">
      <c r="A971">
        <f>'Production Plan'!B959</f>
        <v/>
      </c>
      <c r="B971">
        <f>VLOOKUP(A971,'Production Plan'!B:S,16,FALSE)</f>
        <v/>
      </c>
      <c r="C971">
        <f>VLOOKUP(A971,'Production Plan'!B:F,5,FALSE)</f>
        <v/>
      </c>
    </row>
    <row r="972" hidden="1">
      <c r="A972">
        <f>'Production Plan'!B960</f>
        <v/>
      </c>
      <c r="B972">
        <f>VLOOKUP(A972,'Production Plan'!B:S,16,FALSE)</f>
        <v/>
      </c>
      <c r="C972">
        <f>VLOOKUP(A972,'Production Plan'!B:F,5,FALSE)</f>
        <v/>
      </c>
    </row>
    <row r="973" hidden="1">
      <c r="A973">
        <f>'Production Plan'!B961</f>
        <v/>
      </c>
      <c r="B973">
        <f>VLOOKUP(A973,'Production Plan'!B:S,16,FALSE)</f>
        <v/>
      </c>
      <c r="C973">
        <f>VLOOKUP(A973,'Production Plan'!B:F,5,FALSE)</f>
        <v/>
      </c>
    </row>
    <row r="974" hidden="1">
      <c r="A974">
        <f>'Production Plan'!B962</f>
        <v/>
      </c>
      <c r="B974">
        <f>VLOOKUP(A974,'Production Plan'!B:S,16,FALSE)</f>
        <v/>
      </c>
      <c r="C974">
        <f>VLOOKUP(A974,'Production Plan'!B:F,5,FALSE)</f>
        <v/>
      </c>
    </row>
    <row r="975" hidden="1">
      <c r="A975">
        <f>'Production Plan'!B963</f>
        <v/>
      </c>
      <c r="B975">
        <f>VLOOKUP(A975,'Production Plan'!B:S,16,FALSE)</f>
        <v/>
      </c>
      <c r="C975">
        <f>VLOOKUP(A975,'Production Plan'!B:F,5,FALSE)</f>
        <v/>
      </c>
    </row>
    <row r="976" hidden="1">
      <c r="A976">
        <f>'Production Plan'!B964</f>
        <v/>
      </c>
      <c r="B976">
        <f>VLOOKUP(A976,'Production Plan'!B:S,16,FALSE)</f>
        <v/>
      </c>
      <c r="C976">
        <f>VLOOKUP(A976,'Production Plan'!B:F,5,FALSE)</f>
        <v/>
      </c>
    </row>
    <row r="977" hidden="1">
      <c r="A977">
        <f>'Production Plan'!B965</f>
        <v/>
      </c>
      <c r="B977">
        <f>VLOOKUP(A977,'Production Plan'!B:S,16,FALSE)</f>
        <v/>
      </c>
      <c r="C977">
        <f>VLOOKUP(A977,'Production Plan'!B:F,5,FALSE)</f>
        <v/>
      </c>
    </row>
    <row r="978" hidden="1">
      <c r="A978">
        <f>'Production Plan'!B966</f>
        <v/>
      </c>
      <c r="B978">
        <f>VLOOKUP(A978,'Production Plan'!B:S,16,FALSE)</f>
        <v/>
      </c>
      <c r="C978">
        <f>VLOOKUP(A978,'Production Plan'!B:F,5,FALSE)</f>
        <v/>
      </c>
    </row>
    <row r="979" hidden="1">
      <c r="A979">
        <f>'Production Plan'!B967</f>
        <v/>
      </c>
      <c r="B979">
        <f>VLOOKUP(A979,'Production Plan'!B:S,16,FALSE)</f>
        <v/>
      </c>
      <c r="C979">
        <f>VLOOKUP(A979,'Production Plan'!B:F,5,FALSE)</f>
        <v/>
      </c>
    </row>
    <row r="980" hidden="1">
      <c r="A980">
        <f>'Production Plan'!B968</f>
        <v/>
      </c>
      <c r="B980">
        <f>VLOOKUP(A980,'Production Plan'!B:S,16,FALSE)</f>
        <v/>
      </c>
      <c r="C980">
        <f>VLOOKUP(A980,'Production Plan'!B:F,5,FALSE)</f>
        <v/>
      </c>
    </row>
    <row r="981" hidden="1">
      <c r="A981">
        <f>'Production Plan'!B969</f>
        <v/>
      </c>
      <c r="B981">
        <f>VLOOKUP(A981,'Production Plan'!B:S,16,FALSE)</f>
        <v/>
      </c>
      <c r="C981">
        <f>VLOOKUP(A981,'Production Plan'!B:F,5,FALSE)</f>
        <v/>
      </c>
    </row>
    <row r="982" hidden="1">
      <c r="A982">
        <f>'Production Plan'!B970</f>
        <v/>
      </c>
      <c r="B982">
        <f>VLOOKUP(A982,'Production Plan'!B:S,16,FALSE)</f>
        <v/>
      </c>
      <c r="C982">
        <f>VLOOKUP(A982,'Production Plan'!B:F,5,FALSE)</f>
        <v/>
      </c>
    </row>
    <row r="983" hidden="1">
      <c r="A983">
        <f>'Production Plan'!B971</f>
        <v/>
      </c>
      <c r="B983">
        <f>VLOOKUP(A983,'Production Plan'!B:S,16,FALSE)</f>
        <v/>
      </c>
      <c r="C983">
        <f>VLOOKUP(A983,'Production Plan'!B:F,5,FALSE)</f>
        <v/>
      </c>
    </row>
    <row r="984" hidden="1">
      <c r="A984">
        <f>'Production Plan'!B972</f>
        <v/>
      </c>
      <c r="B984">
        <f>VLOOKUP(A984,'Production Plan'!B:S,16,FALSE)</f>
        <v/>
      </c>
      <c r="C984">
        <f>VLOOKUP(A984,'Production Plan'!B:F,5,FALSE)</f>
        <v/>
      </c>
    </row>
    <row r="985" hidden="1">
      <c r="A985">
        <f>'Production Plan'!B973</f>
        <v/>
      </c>
      <c r="B985">
        <f>VLOOKUP(A985,'Production Plan'!B:S,16,FALSE)</f>
        <v/>
      </c>
      <c r="C985">
        <f>VLOOKUP(A985,'Production Plan'!B:F,5,FALSE)</f>
        <v/>
      </c>
    </row>
    <row r="986" hidden="1">
      <c r="A986">
        <f>'Production Plan'!B974</f>
        <v/>
      </c>
      <c r="B986">
        <f>VLOOKUP(A986,'Production Plan'!B:S,16,FALSE)</f>
        <v/>
      </c>
      <c r="C986">
        <f>VLOOKUP(A986,'Production Plan'!B:F,5,FALSE)</f>
        <v/>
      </c>
    </row>
    <row r="987" hidden="1">
      <c r="A987">
        <f>'Production Plan'!B975</f>
        <v/>
      </c>
      <c r="B987">
        <f>VLOOKUP(A987,'Production Plan'!B:S,16,FALSE)</f>
        <v/>
      </c>
      <c r="C987">
        <f>VLOOKUP(A987,'Production Plan'!B:F,5,FALSE)</f>
        <v/>
      </c>
    </row>
    <row r="988" hidden="1">
      <c r="A988">
        <f>'Production Plan'!B976</f>
        <v/>
      </c>
      <c r="B988">
        <f>VLOOKUP(A988,'Production Plan'!B:S,16,FALSE)</f>
        <v/>
      </c>
      <c r="C988">
        <f>VLOOKUP(A988,'Production Plan'!B:F,5,FALSE)</f>
        <v/>
      </c>
    </row>
    <row r="989" hidden="1">
      <c r="A989">
        <f>'Production Plan'!B977</f>
        <v/>
      </c>
      <c r="B989">
        <f>VLOOKUP(A989,'Production Plan'!B:S,16,FALSE)</f>
        <v/>
      </c>
      <c r="C989">
        <f>VLOOKUP(A989,'Production Plan'!B:F,5,FALSE)</f>
        <v/>
      </c>
    </row>
    <row r="990" hidden="1">
      <c r="A990">
        <f>'Production Plan'!B978</f>
        <v/>
      </c>
      <c r="B990">
        <f>VLOOKUP(A990,'Production Plan'!B:S,16,FALSE)</f>
        <v/>
      </c>
      <c r="C990">
        <f>VLOOKUP(A990,'Production Plan'!B:F,5,FALSE)</f>
        <v/>
      </c>
    </row>
    <row r="991" hidden="1">
      <c r="A991">
        <f>'Production Plan'!B979</f>
        <v/>
      </c>
      <c r="B991">
        <f>VLOOKUP(A991,'Production Plan'!B:S,16,FALSE)</f>
        <v/>
      </c>
      <c r="C991">
        <f>VLOOKUP(A991,'Production Plan'!B:F,5,FALSE)</f>
        <v/>
      </c>
    </row>
    <row r="992" hidden="1">
      <c r="A992">
        <f>'Production Plan'!B980</f>
        <v/>
      </c>
      <c r="B992">
        <f>VLOOKUP(A992,'Production Plan'!B:S,16,FALSE)</f>
        <v/>
      </c>
      <c r="C992">
        <f>VLOOKUP(A992,'Production Plan'!B:F,5,FALSE)</f>
        <v/>
      </c>
    </row>
    <row r="993" hidden="1">
      <c r="A993">
        <f>'Production Plan'!B981</f>
        <v/>
      </c>
      <c r="B993">
        <f>VLOOKUP(A993,'Production Plan'!B:S,16,FALSE)</f>
        <v/>
      </c>
      <c r="C993">
        <f>VLOOKUP(A993,'Production Plan'!B:F,5,FALSE)</f>
        <v/>
      </c>
    </row>
    <row r="994" hidden="1">
      <c r="A994">
        <f>'Production Plan'!B982</f>
        <v/>
      </c>
      <c r="B994">
        <f>VLOOKUP(A994,'Production Plan'!B:S,16,FALSE)</f>
        <v/>
      </c>
      <c r="C994">
        <f>VLOOKUP(A994,'Production Plan'!B:F,5,FALSE)</f>
        <v/>
      </c>
    </row>
    <row r="995" hidden="1">
      <c r="A995">
        <f>'Production Plan'!B983</f>
        <v/>
      </c>
      <c r="B995">
        <f>VLOOKUP(A995,'Production Plan'!B:S,16,FALSE)</f>
        <v/>
      </c>
      <c r="C995">
        <f>VLOOKUP(A995,'Production Plan'!B:F,5,FALSE)</f>
        <v/>
      </c>
    </row>
    <row r="996" hidden="1">
      <c r="A996">
        <f>'Production Plan'!B984</f>
        <v/>
      </c>
      <c r="B996">
        <f>VLOOKUP(A996,'Production Plan'!B:S,16,FALSE)</f>
        <v/>
      </c>
      <c r="C996">
        <f>VLOOKUP(A996,'Production Plan'!B:F,5,FALSE)</f>
        <v/>
      </c>
    </row>
    <row r="997" hidden="1">
      <c r="A997">
        <f>'Production Plan'!B985</f>
        <v/>
      </c>
      <c r="B997">
        <f>VLOOKUP(A997,'Production Plan'!B:S,16,FALSE)</f>
        <v/>
      </c>
      <c r="C997">
        <f>VLOOKUP(A997,'Production Plan'!B:F,5,FALSE)</f>
        <v/>
      </c>
    </row>
    <row r="998" hidden="1">
      <c r="A998">
        <f>'Production Plan'!B986</f>
        <v/>
      </c>
      <c r="B998">
        <f>VLOOKUP(A998,'Production Plan'!B:S,16,FALSE)</f>
        <v/>
      </c>
      <c r="C998">
        <f>VLOOKUP(A998,'Production Plan'!B:F,5,FALSE)</f>
        <v/>
      </c>
    </row>
    <row r="999" hidden="1">
      <c r="A999">
        <f>'Production Plan'!B987</f>
        <v/>
      </c>
      <c r="B999">
        <f>VLOOKUP(A999,'Production Plan'!B:S,16,FALSE)</f>
        <v/>
      </c>
      <c r="C999">
        <f>VLOOKUP(A999,'Production Plan'!B:F,5,FALSE)</f>
        <v/>
      </c>
    </row>
    <row r="1000" hidden="1">
      <c r="A1000">
        <f>'Production Plan'!B988</f>
        <v/>
      </c>
      <c r="B1000">
        <f>VLOOKUP(A1000,'Production Plan'!B:S,16,FALSE)</f>
        <v/>
      </c>
      <c r="C1000">
        <f>VLOOKUP(A1000,'Production Plan'!B:F,5,FALSE)</f>
        <v/>
      </c>
    </row>
    <row r="1001" hidden="1">
      <c r="A1001">
        <f>'Production Plan'!B989</f>
        <v/>
      </c>
      <c r="B1001">
        <f>VLOOKUP(A1001,'Production Plan'!B:S,16,FALSE)</f>
        <v/>
      </c>
      <c r="C1001">
        <f>VLOOKUP(A1001,'Production Plan'!B:F,5,FALSE)</f>
        <v/>
      </c>
    </row>
    <row r="1002" hidden="1">
      <c r="A1002">
        <f>'Production Plan'!B990</f>
        <v/>
      </c>
      <c r="B1002">
        <f>VLOOKUP(A1002,'Production Plan'!B:S,16,FALSE)</f>
        <v/>
      </c>
      <c r="C1002">
        <f>VLOOKUP(A1002,'Production Plan'!B:F,5,FALSE)</f>
        <v/>
      </c>
    </row>
    <row r="1003" hidden="1">
      <c r="A1003">
        <f>'Production Plan'!B991</f>
        <v/>
      </c>
      <c r="B1003">
        <f>VLOOKUP(A1003,'Production Plan'!B:S,16,FALSE)</f>
        <v/>
      </c>
      <c r="C1003">
        <f>VLOOKUP(A1003,'Production Plan'!B:F,5,FALSE)</f>
        <v/>
      </c>
    </row>
    <row r="1004" hidden="1">
      <c r="A1004">
        <f>'Production Plan'!B992</f>
        <v/>
      </c>
      <c r="B1004">
        <f>VLOOKUP(A1004,'Production Plan'!B:S,16,FALSE)</f>
        <v/>
      </c>
      <c r="C1004">
        <f>VLOOKUP(A1004,'Production Plan'!B:F,5,FALSE)</f>
        <v/>
      </c>
    </row>
    <row r="1005" hidden="1">
      <c r="A1005">
        <f>'Production Plan'!B993</f>
        <v/>
      </c>
      <c r="B1005">
        <f>VLOOKUP(A1005,'Production Plan'!B:S,16,FALSE)</f>
        <v/>
      </c>
      <c r="C1005">
        <f>VLOOKUP(A1005,'Production Plan'!B:F,5,FALSE)</f>
        <v/>
      </c>
    </row>
    <row r="1006" hidden="1">
      <c r="A1006">
        <f>'Production Plan'!B994</f>
        <v/>
      </c>
      <c r="B1006">
        <f>VLOOKUP(A1006,'Production Plan'!B:S,16,FALSE)</f>
        <v/>
      </c>
      <c r="C1006">
        <f>VLOOKUP(A1006,'Production Plan'!B:F,5,FALSE)</f>
        <v/>
      </c>
    </row>
    <row r="1007" hidden="1">
      <c r="A1007">
        <f>'Production Plan'!B995</f>
        <v/>
      </c>
      <c r="B1007">
        <f>VLOOKUP(A1007,'Production Plan'!B:S,16,FALSE)</f>
        <v/>
      </c>
      <c r="C1007">
        <f>VLOOKUP(A1007,'Production Plan'!B:F,5,FALSE)</f>
        <v/>
      </c>
    </row>
    <row r="1008" hidden="1">
      <c r="A1008">
        <f>'Production Plan'!B996</f>
        <v/>
      </c>
      <c r="B1008">
        <f>VLOOKUP(A1008,'Production Plan'!B:S,16,FALSE)</f>
        <v/>
      </c>
      <c r="C1008">
        <f>VLOOKUP(A1008,'Production Plan'!B:F,5,FALSE)</f>
        <v/>
      </c>
    </row>
    <row r="1009" hidden="1">
      <c r="A1009">
        <f>'Production Plan'!B997</f>
        <v/>
      </c>
      <c r="B1009">
        <f>VLOOKUP(A1009,'Production Plan'!B:S,16,FALSE)</f>
        <v/>
      </c>
      <c r="C1009">
        <f>VLOOKUP(A1009,'Production Plan'!B:F,5,FALSE)</f>
        <v/>
      </c>
    </row>
    <row r="1010" hidden="1">
      <c r="A1010">
        <f>'Production Plan'!B998</f>
        <v/>
      </c>
      <c r="B1010">
        <f>VLOOKUP(A1010,'Production Plan'!B:S,16,FALSE)</f>
        <v/>
      </c>
      <c r="C1010">
        <f>VLOOKUP(A1010,'Production Plan'!B:F,5,FALSE)</f>
        <v/>
      </c>
    </row>
    <row r="1011" hidden="1">
      <c r="A1011">
        <f>'Production Plan'!B999</f>
        <v/>
      </c>
      <c r="B1011">
        <f>VLOOKUP(A1011,'Production Plan'!B:S,16,FALSE)</f>
        <v/>
      </c>
      <c r="C1011">
        <f>VLOOKUP(A1011,'Production Plan'!B:F,5,FALSE)</f>
        <v/>
      </c>
    </row>
    <row r="1012" hidden="1">
      <c r="A1012">
        <f>'Production Plan'!B1000</f>
        <v/>
      </c>
      <c r="B1012">
        <f>VLOOKUP(A1012,'Production Plan'!B:S,16,FALSE)</f>
        <v/>
      </c>
      <c r="C1012">
        <f>VLOOKUP(A1012,'Production Plan'!B:F,5,FALSE)</f>
        <v/>
      </c>
    </row>
    <row r="1013" hidden="1">
      <c r="A1013">
        <f>'Production Plan'!B1001</f>
        <v/>
      </c>
      <c r="B1013">
        <f>VLOOKUP(A1013,'Production Plan'!B:S,16,FALSE)</f>
        <v/>
      </c>
      <c r="C1013">
        <f>VLOOKUP(A1013,'Production Plan'!B:F,5,FALSE)</f>
        <v/>
      </c>
    </row>
    <row r="1014" hidden="1">
      <c r="A1014">
        <f>'Production Plan'!B1002</f>
        <v/>
      </c>
      <c r="B1014">
        <f>VLOOKUP(A1014,'Production Plan'!B:S,16,FALSE)</f>
        <v/>
      </c>
      <c r="C1014">
        <f>VLOOKUP(A1014,'Production Plan'!B:F,5,FALSE)</f>
        <v/>
      </c>
    </row>
    <row r="1015" hidden="1">
      <c r="A1015">
        <f>'Production Plan'!B1003</f>
        <v/>
      </c>
      <c r="B1015">
        <f>VLOOKUP(A1015,'Production Plan'!B:S,16,FALSE)</f>
        <v/>
      </c>
      <c r="C1015">
        <f>VLOOKUP(A1015,'Production Plan'!B:F,5,FALSE)</f>
        <v/>
      </c>
    </row>
    <row r="1016" hidden="1">
      <c r="A1016">
        <f>'Production Plan'!B1004</f>
        <v/>
      </c>
      <c r="B1016">
        <f>VLOOKUP(A1016,'Production Plan'!B:S,16,FALSE)</f>
        <v/>
      </c>
      <c r="C1016">
        <f>VLOOKUP(A1016,'Production Plan'!B:F,5,FALSE)</f>
        <v/>
      </c>
    </row>
    <row r="1017" hidden="1">
      <c r="A1017">
        <f>'Production Plan'!B1005</f>
        <v/>
      </c>
      <c r="B1017">
        <f>VLOOKUP(A1017,'Production Plan'!B:S,16,FALSE)</f>
        <v/>
      </c>
      <c r="C1017">
        <f>VLOOKUP(A1017,'Production Plan'!B:F,5,FALSE)</f>
        <v/>
      </c>
    </row>
    <row r="1018" hidden="1">
      <c r="A1018">
        <f>'Production Plan'!B1006</f>
        <v/>
      </c>
      <c r="B1018">
        <f>VLOOKUP(A1018,'Production Plan'!B:S,16,FALSE)</f>
        <v/>
      </c>
      <c r="C1018">
        <f>VLOOKUP(A1018,'Production Plan'!B:F,5,FALSE)</f>
        <v/>
      </c>
    </row>
    <row r="1019" hidden="1">
      <c r="A1019">
        <f>'Production Plan'!B1007</f>
        <v/>
      </c>
      <c r="B1019">
        <f>VLOOKUP(A1019,'Production Plan'!B:S,16,FALSE)</f>
        <v/>
      </c>
      <c r="C1019">
        <f>VLOOKUP(A1019,'Production Plan'!B:F,5,FALSE)</f>
        <v/>
      </c>
    </row>
    <row r="1020" hidden="1">
      <c r="A1020">
        <f>'Production Plan'!B1008</f>
        <v/>
      </c>
      <c r="B1020">
        <f>VLOOKUP(A1020,'Production Plan'!B:S,16,FALSE)</f>
        <v/>
      </c>
      <c r="C1020">
        <f>VLOOKUP(A1020,'Production Plan'!B:F,5,FALSE)</f>
        <v/>
      </c>
    </row>
    <row r="1021" hidden="1">
      <c r="A1021">
        <f>'Production Plan'!B1009</f>
        <v/>
      </c>
      <c r="B1021">
        <f>VLOOKUP(A1021,'Production Plan'!B:S,16,FALSE)</f>
        <v/>
      </c>
      <c r="C1021">
        <f>VLOOKUP(A1021,'Production Plan'!B:F,5,FALSE)</f>
        <v/>
      </c>
    </row>
    <row r="1022" hidden="1">
      <c r="A1022">
        <f>'Production Plan'!B1010</f>
        <v/>
      </c>
      <c r="B1022">
        <f>VLOOKUP(A1022,'Production Plan'!B:S,16,FALSE)</f>
        <v/>
      </c>
      <c r="C1022">
        <f>VLOOKUP(A1022,'Production Plan'!B:F,5,FALSE)</f>
        <v/>
      </c>
    </row>
    <row r="1023" hidden="1">
      <c r="A1023">
        <f>'Production Plan'!B1011</f>
        <v/>
      </c>
      <c r="B1023">
        <f>VLOOKUP(A1023,'Production Plan'!B:S,16,FALSE)</f>
        <v/>
      </c>
      <c r="C1023">
        <f>VLOOKUP(A1023,'Production Plan'!B:F,5,FALSE)</f>
        <v/>
      </c>
    </row>
    <row r="1024" hidden="1">
      <c r="A1024">
        <f>'Production Plan'!B1012</f>
        <v/>
      </c>
      <c r="B1024">
        <f>VLOOKUP(A1024,'Production Plan'!B:S,16,FALSE)</f>
        <v/>
      </c>
      <c r="C1024">
        <f>VLOOKUP(A1024,'Production Plan'!B:F,5,FALSE)</f>
        <v/>
      </c>
    </row>
    <row r="1025" hidden="1">
      <c r="A1025">
        <f>'Production Plan'!B1013</f>
        <v/>
      </c>
      <c r="B1025">
        <f>VLOOKUP(A1025,'Production Plan'!B:S,16,FALSE)</f>
        <v/>
      </c>
      <c r="C1025">
        <f>VLOOKUP(A1025,'Production Plan'!B:F,5,FALSE)</f>
        <v/>
      </c>
    </row>
    <row r="1026" hidden="1">
      <c r="A1026">
        <f>'Production Plan'!B1014</f>
        <v/>
      </c>
      <c r="B1026">
        <f>VLOOKUP(A1026,'Production Plan'!B:S,16,FALSE)</f>
        <v/>
      </c>
      <c r="C1026">
        <f>VLOOKUP(A1026,'Production Plan'!B:F,5,FALSE)</f>
        <v/>
      </c>
    </row>
    <row r="1027" hidden="1">
      <c r="A1027">
        <f>'Production Plan'!B1015</f>
        <v/>
      </c>
      <c r="B1027">
        <f>VLOOKUP(A1027,'Production Plan'!B:S,16,FALSE)</f>
        <v/>
      </c>
      <c r="C1027">
        <f>VLOOKUP(A1027,'Production Plan'!B:F,5,FALSE)</f>
        <v/>
      </c>
    </row>
    <row r="1028" hidden="1">
      <c r="A1028">
        <f>'Production Plan'!B1016</f>
        <v/>
      </c>
      <c r="B1028">
        <f>VLOOKUP(A1028,'Production Plan'!B:S,16,FALSE)</f>
        <v/>
      </c>
      <c r="C1028">
        <f>VLOOKUP(A1028,'Production Plan'!B:F,5,FALSE)</f>
        <v/>
      </c>
    </row>
    <row r="1029" hidden="1">
      <c r="A1029">
        <f>'Production Plan'!B1017</f>
        <v/>
      </c>
      <c r="B1029">
        <f>VLOOKUP(A1029,'Production Plan'!B:S,16,FALSE)</f>
        <v/>
      </c>
      <c r="C1029">
        <f>VLOOKUP(A1029,'Production Plan'!B:F,5,FALSE)</f>
        <v/>
      </c>
    </row>
    <row r="1030" hidden="1">
      <c r="A1030">
        <f>'Production Plan'!B1018</f>
        <v/>
      </c>
      <c r="B1030">
        <f>VLOOKUP(A1030,'Production Plan'!B:S,16,FALSE)</f>
        <v/>
      </c>
      <c r="C1030">
        <f>VLOOKUP(A1030,'Production Plan'!B:F,5,FALSE)</f>
        <v/>
      </c>
    </row>
    <row r="1031" hidden="1">
      <c r="A1031">
        <f>'Production Plan'!B1019</f>
        <v/>
      </c>
      <c r="B1031">
        <f>VLOOKUP(A1031,'Production Plan'!B:S,16,FALSE)</f>
        <v/>
      </c>
      <c r="C1031">
        <f>VLOOKUP(A1031,'Production Plan'!B:F,5,FALSE)</f>
        <v/>
      </c>
    </row>
    <row r="1032" hidden="1">
      <c r="A1032">
        <f>'Production Plan'!B1020</f>
        <v/>
      </c>
      <c r="B1032">
        <f>VLOOKUP(A1032,'Production Plan'!B:S,16,FALSE)</f>
        <v/>
      </c>
      <c r="C1032">
        <f>VLOOKUP(A1032,'Production Plan'!B:F,5,FALSE)</f>
        <v/>
      </c>
    </row>
    <row r="1033" hidden="1">
      <c r="A1033">
        <f>'Production Plan'!B1021</f>
        <v/>
      </c>
      <c r="B1033">
        <f>VLOOKUP(A1033,'Production Plan'!B:S,16,FALSE)</f>
        <v/>
      </c>
      <c r="C1033">
        <f>VLOOKUP(A1033,'Production Plan'!B:F,5,FALSE)</f>
        <v/>
      </c>
    </row>
    <row r="1034" hidden="1">
      <c r="A1034">
        <f>'Production Plan'!B1022</f>
        <v/>
      </c>
      <c r="B1034">
        <f>VLOOKUP(A1034,'Production Plan'!B:S,16,FALSE)</f>
        <v/>
      </c>
      <c r="C1034">
        <f>VLOOKUP(A1034,'Production Plan'!B:F,5,FALSE)</f>
        <v/>
      </c>
    </row>
    <row r="1035" hidden="1">
      <c r="A1035">
        <f>'Production Plan'!B1023</f>
        <v/>
      </c>
      <c r="B1035">
        <f>VLOOKUP(A1035,'Production Plan'!B:S,16,FALSE)</f>
        <v/>
      </c>
      <c r="C1035">
        <f>VLOOKUP(A1035,'Production Plan'!B:F,5,FALSE)</f>
        <v/>
      </c>
    </row>
    <row r="1036" hidden="1">
      <c r="A1036">
        <f>'Production Plan'!B1024</f>
        <v/>
      </c>
      <c r="B1036">
        <f>VLOOKUP(A1036,'Production Plan'!B:S,16,FALSE)</f>
        <v/>
      </c>
      <c r="C1036">
        <f>VLOOKUP(A1036,'Production Plan'!B:F,5,FALSE)</f>
        <v/>
      </c>
    </row>
    <row r="1037" hidden="1">
      <c r="A1037">
        <f>'Production Plan'!B1025</f>
        <v/>
      </c>
      <c r="B1037">
        <f>VLOOKUP(A1037,'Production Plan'!B:S,16,FALSE)</f>
        <v/>
      </c>
      <c r="C1037">
        <f>VLOOKUP(A1037,'Production Plan'!B:F,5,FALSE)</f>
        <v/>
      </c>
    </row>
    <row r="1038" hidden="1">
      <c r="A1038">
        <f>'Production Plan'!B1026</f>
        <v/>
      </c>
      <c r="B1038">
        <f>VLOOKUP(A1038,'Production Plan'!B:S,16,FALSE)</f>
        <v/>
      </c>
      <c r="C1038">
        <f>VLOOKUP(A1038,'Production Plan'!B:F,5,FALSE)</f>
        <v/>
      </c>
    </row>
    <row r="1039" hidden="1">
      <c r="A1039">
        <f>'Production Plan'!B1027</f>
        <v/>
      </c>
      <c r="B1039">
        <f>VLOOKUP(A1039,'Production Plan'!B:S,16,FALSE)</f>
        <v/>
      </c>
      <c r="C1039">
        <f>VLOOKUP(A1039,'Production Plan'!B:F,5,FALSE)</f>
        <v/>
      </c>
    </row>
    <row r="1040" hidden="1">
      <c r="A1040">
        <f>'Production Plan'!B1028</f>
        <v/>
      </c>
      <c r="B1040">
        <f>VLOOKUP(A1040,'Production Plan'!B:S,16,FALSE)</f>
        <v/>
      </c>
      <c r="C1040">
        <f>VLOOKUP(A1040,'Production Plan'!B:F,5,FALSE)</f>
        <v/>
      </c>
    </row>
    <row r="1041" hidden="1">
      <c r="A1041">
        <f>'Production Plan'!B1029</f>
        <v/>
      </c>
      <c r="B1041">
        <f>VLOOKUP(A1041,'Production Plan'!B:S,16,FALSE)</f>
        <v/>
      </c>
      <c r="C1041">
        <f>VLOOKUP(A1041,'Production Plan'!B:F,5,FALSE)</f>
        <v/>
      </c>
    </row>
    <row r="1042" hidden="1">
      <c r="A1042">
        <f>'Production Plan'!B1030</f>
        <v/>
      </c>
      <c r="B1042">
        <f>VLOOKUP(A1042,'Production Plan'!B:S,16,FALSE)</f>
        <v/>
      </c>
      <c r="C1042">
        <f>VLOOKUP(A1042,'Production Plan'!B:F,5,FALSE)</f>
        <v/>
      </c>
    </row>
    <row r="1043" hidden="1">
      <c r="A1043">
        <f>'Production Plan'!B1031</f>
        <v/>
      </c>
      <c r="B1043">
        <f>VLOOKUP(A1043,'Production Plan'!B:S,16,FALSE)</f>
        <v/>
      </c>
      <c r="C1043">
        <f>VLOOKUP(A1043,'Production Plan'!B:F,5,FALSE)</f>
        <v/>
      </c>
    </row>
    <row r="1044" hidden="1">
      <c r="A1044">
        <f>'Production Plan'!B1032</f>
        <v/>
      </c>
      <c r="B1044">
        <f>VLOOKUP(A1044,'Production Plan'!B:S,16,FALSE)</f>
        <v/>
      </c>
      <c r="C1044">
        <f>VLOOKUP(A1044,'Production Plan'!B:F,5,FALSE)</f>
        <v/>
      </c>
    </row>
    <row r="1045" hidden="1">
      <c r="A1045">
        <f>'Production Plan'!B1033</f>
        <v/>
      </c>
      <c r="B1045">
        <f>VLOOKUP(A1045,'Production Plan'!B:S,16,FALSE)</f>
        <v/>
      </c>
      <c r="C1045">
        <f>VLOOKUP(A1045,'Production Plan'!B:F,5,FALSE)</f>
        <v/>
      </c>
    </row>
    <row r="1046" hidden="1">
      <c r="A1046">
        <f>'Production Plan'!B1034</f>
        <v/>
      </c>
      <c r="B1046">
        <f>VLOOKUP(A1046,'Production Plan'!B:S,16,FALSE)</f>
        <v/>
      </c>
      <c r="C1046">
        <f>VLOOKUP(A1046,'Production Plan'!B:F,5,FALSE)</f>
        <v/>
      </c>
    </row>
    <row r="1047" hidden="1">
      <c r="A1047">
        <f>'Production Plan'!B1035</f>
        <v/>
      </c>
      <c r="B1047">
        <f>VLOOKUP(A1047,'Production Plan'!B:S,16,FALSE)</f>
        <v/>
      </c>
      <c r="C1047">
        <f>VLOOKUP(A1047,'Production Plan'!B:F,5,FALSE)</f>
        <v/>
      </c>
    </row>
    <row r="1048" hidden="1">
      <c r="A1048">
        <f>'Production Plan'!B1036</f>
        <v/>
      </c>
      <c r="B1048">
        <f>VLOOKUP(A1048,'Production Plan'!B:S,16,FALSE)</f>
        <v/>
      </c>
      <c r="C1048">
        <f>VLOOKUP(A1048,'Production Plan'!B:F,5,FALSE)</f>
        <v/>
      </c>
    </row>
    <row r="1049" hidden="1">
      <c r="A1049">
        <f>'Production Plan'!B1037</f>
        <v/>
      </c>
      <c r="B1049">
        <f>VLOOKUP(A1049,'Production Plan'!B:S,16,FALSE)</f>
        <v/>
      </c>
      <c r="C1049">
        <f>VLOOKUP(A1049,'Production Plan'!B:F,5,FALSE)</f>
        <v/>
      </c>
    </row>
    <row r="1050" hidden="1">
      <c r="A1050">
        <f>'Production Plan'!B1038</f>
        <v/>
      </c>
      <c r="B1050">
        <f>VLOOKUP(A1050,'Production Plan'!B:S,16,FALSE)</f>
        <v/>
      </c>
      <c r="C1050">
        <f>VLOOKUP(A1050,'Production Plan'!B:F,5,FALSE)</f>
        <v/>
      </c>
    </row>
    <row r="1051" hidden="1">
      <c r="A1051">
        <f>'Production Plan'!B1039</f>
        <v/>
      </c>
      <c r="B1051">
        <f>VLOOKUP(A1051,'Production Plan'!B:S,16,FALSE)</f>
        <v/>
      </c>
      <c r="C1051">
        <f>VLOOKUP(A1051,'Production Plan'!B:F,5,FALSE)</f>
        <v/>
      </c>
    </row>
    <row r="1052" hidden="1">
      <c r="A1052">
        <f>'Production Plan'!B1040</f>
        <v/>
      </c>
      <c r="B1052">
        <f>VLOOKUP(A1052,'Production Plan'!B:S,16,FALSE)</f>
        <v/>
      </c>
      <c r="C1052">
        <f>VLOOKUP(A1052,'Production Plan'!B:F,5,FALSE)</f>
        <v/>
      </c>
    </row>
    <row r="1053" hidden="1">
      <c r="A1053">
        <f>'Production Plan'!B1041</f>
        <v/>
      </c>
      <c r="B1053">
        <f>VLOOKUP(A1053,'Production Plan'!B:S,16,FALSE)</f>
        <v/>
      </c>
      <c r="C1053">
        <f>VLOOKUP(A1053,'Production Plan'!B:F,5,FALSE)</f>
        <v/>
      </c>
    </row>
    <row r="1054" hidden="1">
      <c r="A1054">
        <f>'Production Plan'!B1042</f>
        <v/>
      </c>
      <c r="B1054">
        <f>VLOOKUP(A1054,'Production Plan'!B:S,16,FALSE)</f>
        <v/>
      </c>
      <c r="C1054">
        <f>VLOOKUP(A1054,'Production Plan'!B:F,5,FALSE)</f>
        <v/>
      </c>
    </row>
    <row r="1055" hidden="1">
      <c r="A1055">
        <f>'Production Plan'!B1043</f>
        <v/>
      </c>
      <c r="B1055">
        <f>VLOOKUP(A1055,'Production Plan'!B:S,16,FALSE)</f>
        <v/>
      </c>
      <c r="C1055">
        <f>VLOOKUP(A1055,'Production Plan'!B:F,5,FALSE)</f>
        <v/>
      </c>
    </row>
    <row r="1056" hidden="1">
      <c r="A1056">
        <f>'Production Plan'!B1044</f>
        <v/>
      </c>
      <c r="B1056">
        <f>VLOOKUP(A1056,'Production Plan'!B:S,16,FALSE)</f>
        <v/>
      </c>
      <c r="C1056">
        <f>VLOOKUP(A1056,'Production Plan'!B:F,5,FALSE)</f>
        <v/>
      </c>
    </row>
    <row r="1057" hidden="1">
      <c r="A1057">
        <f>'Production Plan'!B1045</f>
        <v/>
      </c>
      <c r="B1057">
        <f>VLOOKUP(A1057,'Production Plan'!B:S,16,FALSE)</f>
        <v/>
      </c>
      <c r="C1057">
        <f>VLOOKUP(A1057,'Production Plan'!B:F,5,FALSE)</f>
        <v/>
      </c>
    </row>
    <row r="1058" hidden="1">
      <c r="A1058">
        <f>'Production Plan'!B1046</f>
        <v/>
      </c>
      <c r="B1058">
        <f>VLOOKUP(A1058,'Production Plan'!B:S,16,FALSE)</f>
        <v/>
      </c>
      <c r="C1058">
        <f>VLOOKUP(A1058,'Production Plan'!B:F,5,FALSE)</f>
        <v/>
      </c>
    </row>
    <row r="1059" hidden="1">
      <c r="A1059">
        <f>'Production Plan'!B1047</f>
        <v/>
      </c>
      <c r="B1059">
        <f>VLOOKUP(A1059,'Production Plan'!B:S,16,FALSE)</f>
        <v/>
      </c>
      <c r="C1059">
        <f>VLOOKUP(A1059,'Production Plan'!B:F,5,FALSE)</f>
        <v/>
      </c>
    </row>
    <row r="1060" hidden="1">
      <c r="A1060">
        <f>'Production Plan'!B1048</f>
        <v/>
      </c>
      <c r="B1060">
        <f>VLOOKUP(A1060,'Production Plan'!B:S,16,FALSE)</f>
        <v/>
      </c>
      <c r="C1060">
        <f>VLOOKUP(A1060,'Production Plan'!B:F,5,FALSE)</f>
        <v/>
      </c>
    </row>
    <row r="1061" hidden="1">
      <c r="A1061">
        <f>'Production Plan'!B1049</f>
        <v/>
      </c>
      <c r="B1061">
        <f>VLOOKUP(A1061,'Production Plan'!B:S,16,FALSE)</f>
        <v/>
      </c>
      <c r="C1061">
        <f>VLOOKUP(A1061,'Production Plan'!B:F,5,FALSE)</f>
        <v/>
      </c>
    </row>
    <row r="1062" hidden="1">
      <c r="A1062">
        <f>'Production Plan'!B1050</f>
        <v/>
      </c>
      <c r="B1062">
        <f>VLOOKUP(A1062,'Production Plan'!B:S,16,FALSE)</f>
        <v/>
      </c>
      <c r="C1062">
        <f>VLOOKUP(A1062,'Production Plan'!B:F,5,FALSE)</f>
        <v/>
      </c>
    </row>
    <row r="1063" hidden="1">
      <c r="A1063">
        <f>'Production Plan'!B1051</f>
        <v/>
      </c>
      <c r="B1063">
        <f>VLOOKUP(A1063,'Production Plan'!B:S,16,FALSE)</f>
        <v/>
      </c>
      <c r="C1063">
        <f>VLOOKUP(A1063,'Production Plan'!B:F,5,FALSE)</f>
        <v/>
      </c>
    </row>
    <row r="1064" hidden="1">
      <c r="A1064">
        <f>'Production Plan'!B1052</f>
        <v/>
      </c>
      <c r="B1064">
        <f>VLOOKUP(A1064,'Production Plan'!B:S,16,FALSE)</f>
        <v/>
      </c>
      <c r="C1064">
        <f>VLOOKUP(A1064,'Production Plan'!B:F,5,FALSE)</f>
        <v/>
      </c>
    </row>
    <row r="1065" hidden="1">
      <c r="A1065">
        <f>'Production Plan'!B1053</f>
        <v/>
      </c>
      <c r="B1065">
        <f>VLOOKUP(A1065,'Production Plan'!B:S,16,FALSE)</f>
        <v/>
      </c>
      <c r="C1065">
        <f>VLOOKUP(A1065,'Production Plan'!B:F,5,FALSE)</f>
        <v/>
      </c>
    </row>
    <row r="1066" hidden="1">
      <c r="A1066">
        <f>'Production Plan'!B1054</f>
        <v/>
      </c>
      <c r="B1066">
        <f>VLOOKUP(A1066,'Production Plan'!B:S,16,FALSE)</f>
        <v/>
      </c>
      <c r="C1066">
        <f>VLOOKUP(A1066,'Production Plan'!B:F,5,FALSE)</f>
        <v/>
      </c>
    </row>
    <row r="1067" hidden="1">
      <c r="A1067">
        <f>'Production Plan'!B1055</f>
        <v/>
      </c>
      <c r="B1067">
        <f>VLOOKUP(A1067,'Production Plan'!B:S,16,FALSE)</f>
        <v/>
      </c>
      <c r="C1067">
        <f>VLOOKUP(A1067,'Production Plan'!B:F,5,FALSE)</f>
        <v/>
      </c>
    </row>
    <row r="1068" hidden="1">
      <c r="A1068">
        <f>'Production Plan'!B1056</f>
        <v/>
      </c>
      <c r="B1068">
        <f>VLOOKUP(A1068,'Production Plan'!B:S,16,FALSE)</f>
        <v/>
      </c>
      <c r="C1068">
        <f>VLOOKUP(A1068,'Production Plan'!B:F,5,FALSE)</f>
        <v/>
      </c>
    </row>
    <row r="1069" hidden="1">
      <c r="A1069">
        <f>'Production Plan'!B1057</f>
        <v/>
      </c>
      <c r="B1069">
        <f>VLOOKUP(A1069,'Production Plan'!B:S,16,FALSE)</f>
        <v/>
      </c>
      <c r="C1069">
        <f>VLOOKUP(A1069,'Production Plan'!B:F,5,FALSE)</f>
        <v/>
      </c>
    </row>
    <row r="1070" hidden="1">
      <c r="A1070">
        <f>'Production Plan'!B1058</f>
        <v/>
      </c>
      <c r="B1070">
        <f>VLOOKUP(A1070,'Production Plan'!B:S,16,FALSE)</f>
        <v/>
      </c>
      <c r="C1070">
        <f>VLOOKUP(A1070,'Production Plan'!B:F,5,FALSE)</f>
        <v/>
      </c>
    </row>
    <row r="1071" hidden="1">
      <c r="A1071">
        <f>'Production Plan'!B1059</f>
        <v/>
      </c>
      <c r="B1071">
        <f>VLOOKUP(A1071,'Production Plan'!B:S,16,FALSE)</f>
        <v/>
      </c>
      <c r="C1071">
        <f>VLOOKUP(A1071,'Production Plan'!B:F,5,FALSE)</f>
        <v/>
      </c>
    </row>
    <row r="1072" hidden="1">
      <c r="A1072">
        <f>'Production Plan'!B1060</f>
        <v/>
      </c>
      <c r="B1072">
        <f>VLOOKUP(A1072,'Production Plan'!B:S,16,FALSE)</f>
        <v/>
      </c>
      <c r="C1072">
        <f>VLOOKUP(A1072,'Production Plan'!B:F,5,FALSE)</f>
        <v/>
      </c>
    </row>
    <row r="1073" hidden="1">
      <c r="A1073">
        <f>'Production Plan'!B1061</f>
        <v/>
      </c>
      <c r="B1073">
        <f>VLOOKUP(A1073,'Production Plan'!B:S,16,FALSE)</f>
        <v/>
      </c>
      <c r="C1073">
        <f>VLOOKUP(A1073,'Production Plan'!B:F,5,FALSE)</f>
        <v/>
      </c>
    </row>
    <row r="1074" hidden="1">
      <c r="A1074">
        <f>'Production Plan'!B1062</f>
        <v/>
      </c>
      <c r="B1074">
        <f>VLOOKUP(A1074,'Production Plan'!B:S,16,FALSE)</f>
        <v/>
      </c>
      <c r="C1074">
        <f>VLOOKUP(A1074,'Production Plan'!B:F,5,FALSE)</f>
        <v/>
      </c>
    </row>
    <row r="1075" hidden="1">
      <c r="A1075">
        <f>'Production Plan'!B1063</f>
        <v/>
      </c>
      <c r="B1075">
        <f>VLOOKUP(A1075,'Production Plan'!B:S,16,FALSE)</f>
        <v/>
      </c>
      <c r="C1075">
        <f>VLOOKUP(A1075,'Production Plan'!B:F,5,FALSE)</f>
        <v/>
      </c>
    </row>
    <row r="1076" hidden="1">
      <c r="A1076">
        <f>'Production Plan'!B1064</f>
        <v/>
      </c>
      <c r="B1076">
        <f>VLOOKUP(A1076,'Production Plan'!B:S,16,FALSE)</f>
        <v/>
      </c>
      <c r="C1076">
        <f>VLOOKUP(A1076,'Production Plan'!B:F,5,FALSE)</f>
        <v/>
      </c>
    </row>
    <row r="1077" hidden="1">
      <c r="A1077">
        <f>'Production Plan'!B1065</f>
        <v/>
      </c>
      <c r="B1077">
        <f>VLOOKUP(A1077,'Production Plan'!B:S,16,FALSE)</f>
        <v/>
      </c>
      <c r="C1077">
        <f>VLOOKUP(A1077,'Production Plan'!B:F,5,FALSE)</f>
        <v/>
      </c>
    </row>
    <row r="1078" hidden="1">
      <c r="A1078">
        <f>'Production Plan'!B1066</f>
        <v/>
      </c>
      <c r="B1078">
        <f>VLOOKUP(A1078,'Production Plan'!B:S,16,FALSE)</f>
        <v/>
      </c>
      <c r="C1078">
        <f>VLOOKUP(A1078,'Production Plan'!B:F,5,FALSE)</f>
        <v/>
      </c>
    </row>
  </sheetData>
  <autoFilter ref="A1:I1078">
    <filterColumn colId="1" hiddenButton="0" showButton="1">
      <filters>
        <filter val="Yes"/>
      </filters>
    </filterColumn>
  </autoFilter>
  <conditionalFormatting sqref="E2:E5">
    <cfRule type="expression" priority="4" dxfId="2">
      <formula>E2="Low"</formula>
    </cfRule>
    <cfRule type="expression" priority="5" dxfId="1">
      <formula>E2="Medium"</formula>
    </cfRule>
    <cfRule type="expression" priority="6" dxfId="0">
      <formula>E2="High"</formula>
    </cfRule>
  </conditionalFormatting>
  <conditionalFormatting sqref="E7">
    <cfRule type="expression" priority="1" dxfId="2">
      <formula>E7="Low"</formula>
    </cfRule>
    <cfRule type="expression" priority="2" dxfId="1">
      <formula>E7="Medium"</formula>
    </cfRule>
    <cfRule type="expression" priority="3" dxfId="0">
      <formula>E7="High"</formula>
    </cfRule>
  </conditionalFormatting>
  <dataValidations count="2">
    <dataValidation sqref="E2:E5 E7" showDropDown="0" showInputMessage="1" showErrorMessage="1" allowBlank="1" type="list">
      <formula1>"High,Medium,Low"</formula1>
    </dataValidation>
    <dataValidation sqref="I2:I1048576" showDropDown="0" showInputMessage="1" showErrorMessage="1" allowBlank="1" type="list">
      <formula1>"Yes,No"</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4:B7"/>
  <sheetViews>
    <sheetView workbookViewId="0">
      <selection activeCell="B5" sqref="B5"/>
    </sheetView>
  </sheetViews>
  <sheetFormatPr baseColWidth="8" defaultRowHeight="16"/>
  <cols>
    <col width="19.69140625" bestFit="1" customWidth="1" min="2" max="2"/>
  </cols>
  <sheetData>
    <row r="4">
      <c r="B4" s="1" t="inlineStr">
        <is>
          <t>Link to Price Model:</t>
        </is>
      </c>
    </row>
    <row r="5">
      <c r="B5" s="1" t="inlineStr">
        <is>
          <t>Modules total price:</t>
        </is>
      </c>
    </row>
    <row r="6">
      <c r="B6" s="1" t="n"/>
    </row>
    <row r="7">
      <c r="B7" s="1" t="inlineStr">
        <is>
          <t>Estimates for delivery:</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7"/>
  <sheetViews>
    <sheetView topLeftCell="A4" workbookViewId="0">
      <selection activeCell="H21" sqref="H21"/>
    </sheetView>
  </sheetViews>
  <sheetFormatPr baseColWidth="8" defaultRowHeight="16"/>
  <sheetData>
    <row r="1">
      <c r="B1" t="inlineStr">
        <is>
          <t>max point</t>
        </is>
      </c>
      <c r="C1" t="inlineStr">
        <is>
          <t>krav</t>
        </is>
      </c>
    </row>
    <row r="2" ht="409.5" customHeight="1">
      <c r="A2" t="inlineStr">
        <is>
          <t>Implementering/installa-tion og/eller konfigura-tion</t>
        </is>
      </c>
      <c r="B2" t="n">
        <v>40</v>
      </c>
      <c r="C2" s="33" t="inlineStr">
        <is>
          <t>•
EK-1 – Udlændingeoverblik
•
EK-3 – Brugergrænseflade
•
EK-5 – Administratormodul
•
EK-6 – Datamodel
•
EK-7 – Konfiguration af brugergrænseflade
•
EK-8 – Afgørelsesmodul</t>
        </is>
      </c>
    </row>
    <row r="3" ht="409.5" customHeight="1">
      <c r="A3" t="inlineStr">
        <is>
          <t>funktionalitet</t>
        </is>
      </c>
      <c r="B3" t="n">
        <v>40</v>
      </c>
      <c r="C3" s="33" t="inlineStr">
        <is>
          <t>EK-2 – Dashboards
•
EK-4 – Aktindsigt
•
EK-9 – Organisatoriske rolle/rettigheder
•
EK-10 – Brugerrettet logning og sagsgang i brugergrænsefladen
•
EK-11 – Outlook integration til journalisering
•
EK-12 – ESDH Standard API</t>
        </is>
      </c>
    </row>
    <row r="4">
      <c r="A4" t="inlineStr">
        <is>
          <t>brugsvilkår</t>
        </is>
      </c>
      <c r="B4" t="n">
        <v>20</v>
      </c>
      <c r="C4" t="inlineStr">
        <is>
          <t>K-Krav i Bilag 1.b Krav til standardsoftware og Bilag 1.e Krav til IT- og informationssikkerhed</t>
        </is>
      </c>
    </row>
    <row r="7">
      <c r="B7" t="inlineStr">
        <is>
          <t>10 point for k-krav ja, 1 point for k-krav nej</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0" customWidth="1" min="2" max="2"/>
  </cols>
  <sheetData>
    <row r="1">
      <c r="A1" s="54" t="inlineStr">
        <is>
          <t>Field</t>
        </is>
      </c>
      <c r="B1" s="54" t="inlineStr">
        <is>
          <t>Description</t>
        </is>
      </c>
    </row>
    <row r="2">
      <c r="A2" t="inlineStr">
        <is>
          <t>Purpose</t>
        </is>
      </c>
      <c r="B2" t="inlineStr">
        <is>
          <t>AI-generated draft compliance input. Not official bid text until reviewed.</t>
        </is>
      </c>
    </row>
    <row r="3">
      <c r="A3" t="inlineStr">
        <is>
          <t>Editable columns</t>
        </is>
      </c>
      <c r="B3" t="inlineStr">
        <is>
          <t>W–AG on Production Plan only. Columns A–V are human/tool fields.</t>
        </is>
      </c>
    </row>
    <row r="4">
      <c r="A4" t="inlineStr">
        <is>
          <t>Promotion</t>
        </is>
      </c>
      <c r="B4" t="inlineStr">
        <is>
          <t>Copy accepted values to O/P manually after setting Review status = Accepted.</t>
        </is>
      </c>
    </row>
    <row r="5">
      <c r="A5" t="inlineStr">
        <is>
          <t>Regeneration</t>
        </is>
      </c>
      <c r="B5" t="inlineStr">
        <is>
          <t>Re-running the script overwrites AI columns for matched ReqID rows only.</t>
        </is>
      </c>
    </row>
    <row r="6">
      <c r="A6" t="inlineStr">
        <is>
          <t>Disambiguation</t>
        </is>
      </c>
      <c r="B6" t="inlineStr">
        <is>
          <t>Use document (Bilag) in draft JSON when ReqID appears on multiple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Anita Odsbjerg Pedersen</dc:creator>
  <dcterms:created xsi:type="dcterms:W3CDTF">2026-02-11T08:54:15Z</dcterms:created>
  <dcterms:modified xsi:type="dcterms:W3CDTF">2026-07-07T15:07:36Z</dcterms:modified>
  <cp:lastModifiedBy>Morten Jensen</cp:lastModifiedBy>
</cp:coreProperties>
</file>

<file path=docProps/custom.xml><?xml version="1.0" encoding="utf-8"?>
<Properties xmlns:vt="http://schemas.openxmlformats.org/officeDocument/2006/docPropsVTypes" xmlns="http://schemas.openxmlformats.org/officeDocument/2006/custom-properties">
  <property name="TemplafyTenantId" fmtid="{D5CDD505-2E9C-101B-9397-08002B2CF9AE}" pid="2">
    <vt:lpwstr>tietoevry</vt:lpwstr>
  </property>
  <property name="TemplafyTemplateId" fmtid="{D5CDD505-2E9C-101B-9397-08002B2CF9AE}" pid="3">
    <vt:lpwstr>1370459459990324460</vt:lpwstr>
  </property>
  <property name="TemplafyUserProfileId" fmtid="{D5CDD505-2E9C-101B-9397-08002B2CF9AE}" pid="4">
    <vt:lpwstr>1378293969334304885</vt:lpwstr>
  </property>
  <property name="TemplafyLanguageCode" fmtid="{D5CDD505-2E9C-101B-9397-08002B2CF9AE}" pid="5">
    <vt:lpwstr>en-GB</vt:lpwstr>
  </property>
  <property name="TemplafyFromBlank" fmtid="{D5CDD505-2E9C-101B-9397-08002B2CF9AE}" pid="6">
    <vt:bool>1</vt:bool>
  </property>
  <property name="ContentTypeId" fmtid="{D5CDD505-2E9C-101B-9397-08002B2CF9AE}" pid="7">
    <vt:lpwstr>0x010100D9C1001A0C32584A94199C02B2639F76</vt:lpwstr>
  </property>
  <property name="Order" fmtid="{D5CDD505-2E9C-101B-9397-08002B2CF9AE}" pid="8">
    <vt:r8>600</vt:r8>
  </property>
  <property name="xd_Signature" fmtid="{D5CDD505-2E9C-101B-9397-08002B2CF9AE}" pid="9">
    <vt:bool>0</vt:bool>
  </property>
  <property name="xd_ProgID" fmtid="{D5CDD505-2E9C-101B-9397-08002B2CF9AE}" pid="10">
    <vt:lpwstr/>
  </property>
  <property name="ComplianceAssetId" fmtid="{D5CDD505-2E9C-101B-9397-08002B2CF9AE}" pid="11">
    <vt:lpwstr/>
  </property>
  <property name="TemplateUrl" fmtid="{D5CDD505-2E9C-101B-9397-08002B2CF9AE}" pid="12">
    <vt:lpwstr/>
  </property>
  <property name="_ExtendedDescription" fmtid="{D5CDD505-2E9C-101B-9397-08002B2CF9AE}" pid="13">
    <vt:lpwstr/>
  </property>
  <property name="TriggerFlowInfo" fmtid="{D5CDD505-2E9C-101B-9397-08002B2CF9AE}" pid="14">
    <vt:lpwstr/>
  </property>
  <property name="MediaServiceImageTags" fmtid="{D5CDD505-2E9C-101B-9397-08002B2CF9AE}" pid="15">
    <vt:lpwstr/>
  </property>
  <property name="MSIP_Label_3b623b29-abd1-4de3-a20c-27566d79b7c7_Enabled" fmtid="{D5CDD505-2E9C-101B-9397-08002B2CF9AE}" pid="16">
    <vt:lpwstr>true</vt:lpwstr>
  </property>
  <property name="MSIP_Label_3b623b29-abd1-4de3-a20c-27566d79b7c7_SetDate" fmtid="{D5CDD505-2E9C-101B-9397-08002B2CF9AE}" pid="17">
    <vt:lpwstr>2026-07-06T07:20:27Z</vt:lpwstr>
  </property>
  <property name="MSIP_Label_3b623b29-abd1-4de3-a20c-27566d79b7c7_Method" fmtid="{D5CDD505-2E9C-101B-9397-08002B2CF9AE}" pid="18">
    <vt:lpwstr>Standard</vt:lpwstr>
  </property>
  <property name="MSIP_Label_3b623b29-abd1-4de3-a20c-27566d79b7c7_Name" fmtid="{D5CDD505-2E9C-101B-9397-08002B2CF9AE}" pid="19">
    <vt:lpwstr>3b623b29-abd1-4de3-a20c-27566d79b7c7</vt:lpwstr>
  </property>
  <property name="MSIP_Label_3b623b29-abd1-4de3-a20c-27566d79b7c7_SiteId" fmtid="{D5CDD505-2E9C-101B-9397-08002B2CF9AE}" pid="20">
    <vt:lpwstr>cbede638-a3d9-459f-8f4e-24ced73b4e5e</vt:lpwstr>
  </property>
  <property name="MSIP_Label_3b623b29-abd1-4de3-a20c-27566d79b7c7_ActionId" fmtid="{D5CDD505-2E9C-101B-9397-08002B2CF9AE}" pid="21">
    <vt:lpwstr>aec4d5fd-9074-4876-a3ca-d5f69191fdaf</vt:lpwstr>
  </property>
  <property name="MSIP_Label_3b623b29-abd1-4de3-a20c-27566d79b7c7_ContentBits" fmtid="{D5CDD505-2E9C-101B-9397-08002B2CF9AE}" pid="22">
    <vt:lpwstr>0</vt:lpwstr>
  </property>
  <property name="MSIP_Label_3b623b29-abd1-4de3-a20c-27566d79b7c7_Tag" fmtid="{D5CDD505-2E9C-101B-9397-08002B2CF9AE}" pid="23">
    <vt:lpwstr>10, 3, 0, 2</vt:lpwstr>
  </property>
</Properties>
</file>