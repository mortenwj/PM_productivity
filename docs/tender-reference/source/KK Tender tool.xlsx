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ortenJensen\.cursor\projects\PM_productivity\docs\tender-reference\source\"/>
    </mc:Choice>
  </mc:AlternateContent>
  <xr:revisionPtr revIDLastSave="0" documentId="13_ncr:1_{28F33A57-E092-435C-ABC5-BD3647DA1B57}" xr6:coauthVersionLast="47" xr6:coauthVersionMax="47" xr10:uidLastSave="{00000000-0000-0000-0000-000000000000}"/>
  <bookViews>
    <workbookView xWindow="28680" yWindow="-120" windowWidth="51840" windowHeight="21120" xr2:uid="{FFF81B3A-8282-47DB-A667-445C54387296}"/>
  </bookViews>
  <sheets>
    <sheet name="Production Plan" sheetId="1" r:id="rId1"/>
    <sheet name="IK-krav" sheetId="9" state="hidden" r:id="rId2"/>
    <sheet name="Timeline" sheetId="8" r:id="rId3"/>
    <sheet name="Status" sheetId="5" r:id="rId4"/>
    <sheet name="Q&amp;A" sheetId="6" r:id="rId5"/>
    <sheet name="Commitment" sheetId="2" r:id="rId6"/>
    <sheet name="Risk Management" sheetId="3" r:id="rId7"/>
    <sheet name="Cost Drivers" sheetId="7" r:id="rId8"/>
    <sheet name="Pricing" sheetId="4" r:id="rId9"/>
    <sheet name="Bodsberegner" sheetId="11" r:id="rId10"/>
    <sheet name="Evalueringshieraki" sheetId="10" state="hidden" r:id="rId11"/>
  </sheets>
  <definedNames>
    <definedName name="_xlnm._FilterDatabase" localSheetId="5" hidden="1">Commitment!$A$1:$L$1000</definedName>
    <definedName name="_xlnm._FilterDatabase" localSheetId="7" hidden="1">'Cost Drivers'!$A$1:$I$1078</definedName>
    <definedName name="_xlnm._FilterDatabase" localSheetId="1" hidden="1">'IK-krav'!$A$1:$V$1</definedName>
    <definedName name="_xlnm._FilterDatabase" localSheetId="0" hidden="1">'Production Plan'!$A$1:$Y$219</definedName>
    <definedName name="_xlnm._FilterDatabase" localSheetId="6" hidden="1">'Risk Management'!$A$1:$N$453</definedName>
    <definedName name="_Toc233296974" localSheetId="10">Evalueringshieraki!$B$4</definedName>
    <definedName name="_Toc233296977" localSheetId="10">Evalueringshieraki!$B$5</definedName>
    <definedName name="_Toc233296984" localSheetId="0">'Production Plan'!$E$13</definedName>
    <definedName name="_Toc233296986" localSheetId="0">'Production Plan'!$E$19</definedName>
    <definedName name="_Toc233296997" localSheetId="0">'Production Plan'!$E$71</definedName>
    <definedName name="_Toc233297011" localSheetId="0">'Production Plan'!$D$173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3" i="1" l="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3" i="1"/>
  <c r="Y4" i="1"/>
  <c r="Y5" i="1"/>
  <c r="Y6" i="1"/>
  <c r="Y7" i="1"/>
  <c r="Y8" i="1"/>
  <c r="Y9" i="1"/>
  <c r="Y10" i="1"/>
  <c r="Y11" i="1"/>
  <c r="Y12" i="1"/>
  <c r="Y2" i="1"/>
  <c r="E34" i="5"/>
  <c r="E33" i="5"/>
  <c r="E39" i="5"/>
  <c r="G34" i="5" l="1"/>
  <c r="G33" i="5"/>
  <c r="G39" i="5"/>
  <c r="M158" i="1"/>
  <c r="M12" i="1"/>
  <c r="M4" i="1"/>
  <c r="M172" i="1"/>
  <c r="M169" i="1"/>
  <c r="M167" i="1"/>
  <c r="M162" i="1"/>
  <c r="M161" i="1"/>
  <c r="M159" i="1"/>
  <c r="M157" i="1"/>
  <c r="M152" i="1"/>
  <c r="M151" i="1"/>
  <c r="M149" i="1"/>
  <c r="M143" i="1"/>
  <c r="M135" i="1"/>
  <c r="M133" i="1"/>
  <c r="M132" i="1"/>
  <c r="M126" i="1"/>
  <c r="M125" i="1"/>
  <c r="M124" i="1"/>
  <c r="M115" i="1"/>
  <c r="M114" i="1"/>
  <c r="M113" i="1"/>
  <c r="M112" i="1"/>
  <c r="M111" i="1"/>
  <c r="M109" i="1"/>
  <c r="M108" i="1"/>
  <c r="M106" i="1"/>
  <c r="M105" i="1"/>
  <c r="M104" i="1"/>
  <c r="M103" i="1"/>
  <c r="M100" i="1"/>
  <c r="M95" i="1"/>
  <c r="M90" i="1"/>
  <c r="M88" i="1"/>
  <c r="M86" i="1"/>
  <c r="M85" i="1"/>
  <c r="M84" i="1"/>
  <c r="M83" i="1"/>
  <c r="M82" i="1"/>
  <c r="M80" i="1"/>
  <c r="M79" i="1"/>
  <c r="M78" i="1"/>
  <c r="M75" i="1"/>
  <c r="M74" i="1"/>
  <c r="M73" i="1"/>
  <c r="M72" i="1"/>
  <c r="M70" i="1"/>
  <c r="M69" i="1"/>
  <c r="M67" i="1"/>
  <c r="M66" i="1"/>
  <c r="M63" i="1"/>
  <c r="M62" i="1"/>
  <c r="M59" i="1"/>
  <c r="M58" i="1"/>
  <c r="M57" i="1"/>
  <c r="M55" i="1"/>
  <c r="M54" i="1"/>
  <c r="M53" i="1"/>
  <c r="M52" i="1"/>
  <c r="M51" i="1"/>
  <c r="M50" i="1"/>
  <c r="M49" i="1"/>
  <c r="M48" i="1"/>
  <c r="M44" i="1"/>
  <c r="M43" i="1"/>
  <c r="M42" i="1"/>
  <c r="M41" i="1"/>
  <c r="M40" i="1"/>
  <c r="M39" i="1"/>
  <c r="M38" i="1"/>
  <c r="M37" i="1"/>
  <c r="M36" i="1"/>
  <c r="M35" i="1"/>
  <c r="M34" i="1"/>
  <c r="M33" i="1"/>
  <c r="M32" i="1"/>
  <c r="M31" i="1"/>
  <c r="M30" i="1"/>
  <c r="M29" i="1"/>
  <c r="M28" i="1"/>
  <c r="M27" i="1"/>
  <c r="M26" i="1"/>
  <c r="M25" i="1"/>
  <c r="M24" i="1"/>
  <c r="M22" i="1"/>
  <c r="M21" i="1"/>
  <c r="M20" i="1"/>
  <c r="M19" i="1"/>
  <c r="M18" i="1"/>
  <c r="M17" i="1"/>
  <c r="M16" i="1"/>
  <c r="M15" i="1"/>
  <c r="M14" i="1"/>
  <c r="M13" i="1"/>
  <c r="M11" i="1"/>
  <c r="M10" i="1"/>
  <c r="M9" i="1"/>
  <c r="M8" i="1"/>
  <c r="M7" i="1"/>
  <c r="Q16" i="10"/>
  <c r="P16" i="10"/>
  <c r="O16" i="10"/>
  <c r="N16" i="10"/>
  <c r="E18" i="10"/>
  <c r="Q15" i="10"/>
  <c r="E44" i="5"/>
  <c r="G44" i="5" s="1"/>
  <c r="E40" i="5"/>
  <c r="G40" i="5" s="1"/>
  <c r="E41" i="5"/>
  <c r="G41" i="5" s="1"/>
  <c r="E42" i="5"/>
  <c r="G42" i="5" s="1"/>
  <c r="E37" i="5"/>
  <c r="E38" i="5"/>
  <c r="G38" i="5" s="1"/>
  <c r="J219" i="1"/>
  <c r="E43" i="5"/>
  <c r="E32" i="5"/>
  <c r="G32" i="5" s="1"/>
  <c r="E35" i="5"/>
  <c r="G35" i="5" s="1"/>
  <c r="E36" i="5"/>
  <c r="G36" i="5" s="1"/>
  <c r="G37" i="5" l="1"/>
  <c r="G43" i="5"/>
  <c r="O15" i="10" l="1"/>
  <c r="R15" i="10"/>
  <c r="N15" i="10"/>
  <c r="P15" i="10"/>
  <c r="N17" i="10"/>
  <c r="P17" i="10" s="1"/>
  <c r="R17" i="10" s="1"/>
  <c r="Q17" i="10"/>
  <c r="O17" i="10"/>
  <c r="M15" i="10"/>
  <c r="M17" i="10"/>
  <c r="K16" i="10"/>
  <c r="M16" i="10" s="1"/>
  <c r="L16" i="10"/>
  <c r="K17" i="10"/>
  <c r="L17" i="10"/>
  <c r="L15" i="10"/>
  <c r="K15" i="10"/>
  <c r="I16" i="10"/>
  <c r="J16" i="10"/>
  <c r="I17" i="10"/>
  <c r="J17" i="10"/>
  <c r="J15" i="10"/>
  <c r="I15" i="10"/>
  <c r="F16" i="10"/>
  <c r="F17" i="10"/>
  <c r="F15" i="10"/>
  <c r="V67" i="9"/>
  <c r="V66" i="9"/>
  <c r="V65" i="9"/>
  <c r="V64" i="9"/>
  <c r="V63" i="9"/>
  <c r="H8" i="5"/>
  <c r="G14" i="5"/>
  <c r="G15" i="5"/>
  <c r="G16" i="5"/>
  <c r="G17" i="5"/>
  <c r="G18" i="5"/>
  <c r="G13" i="5"/>
  <c r="G19" i="5" l="1"/>
  <c r="J65" i="1"/>
  <c r="J64" i="1"/>
  <c r="J61" i="1"/>
  <c r="J60" i="1"/>
  <c r="J56" i="1"/>
  <c r="J54" i="1"/>
  <c r="J46" i="1"/>
  <c r="J47" i="1"/>
  <c r="J48" i="1"/>
  <c r="J49" i="1"/>
  <c r="J50" i="1"/>
  <c r="J51" i="1"/>
  <c r="J52" i="1"/>
  <c r="J53" i="1"/>
  <c r="J55" i="1"/>
  <c r="J57" i="1"/>
  <c r="J58" i="1"/>
  <c r="J59" i="1"/>
  <c r="J62" i="1"/>
  <c r="J63"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45" i="1"/>
  <c r="J44" i="1"/>
  <c r="J23" i="1"/>
  <c r="J24" i="1"/>
  <c r="J18" i="1"/>
  <c r="J17" i="1"/>
  <c r="J15" i="1"/>
  <c r="J16" i="1"/>
  <c r="J4" i="1"/>
  <c r="J5" i="1"/>
  <c r="J6" i="1"/>
  <c r="J7" i="1"/>
  <c r="J8" i="1"/>
  <c r="J9" i="1"/>
  <c r="J10" i="1"/>
  <c r="J11" i="1"/>
  <c r="J12" i="1"/>
  <c r="J13" i="1"/>
  <c r="J14" i="1"/>
  <c r="J19" i="1"/>
  <c r="J20" i="1"/>
  <c r="J21" i="1"/>
  <c r="J22" i="1"/>
  <c r="J25" i="1"/>
  <c r="J26" i="1"/>
  <c r="J27" i="1"/>
  <c r="J28" i="1"/>
  <c r="J29" i="1"/>
  <c r="J30" i="1"/>
  <c r="J31" i="1"/>
  <c r="J32" i="1"/>
  <c r="J33" i="1"/>
  <c r="J34" i="1"/>
  <c r="J35" i="1"/>
  <c r="J36" i="1"/>
  <c r="J37" i="1"/>
  <c r="J38" i="1"/>
  <c r="J39" i="1"/>
  <c r="J40" i="1"/>
  <c r="J41" i="1"/>
  <c r="J42" i="1"/>
  <c r="J43" i="1"/>
  <c r="J3" i="1"/>
  <c r="J2" i="1"/>
  <c r="A5" i="7"/>
  <c r="B5" i="7" s="1"/>
  <c r="A6" i="7"/>
  <c r="B6" i="7" s="1"/>
  <c r="A7" i="7"/>
  <c r="C7" i="7" s="1"/>
  <c r="A8" i="7"/>
  <c r="B8" i="7" s="1"/>
  <c r="A9" i="7"/>
  <c r="C9" i="7" s="1"/>
  <c r="A10" i="7"/>
  <c r="A11" i="7"/>
  <c r="C11" i="7" s="1"/>
  <c r="A12" i="7"/>
  <c r="B12" i="7" s="1"/>
  <c r="A13" i="7"/>
  <c r="C13" i="7" s="1"/>
  <c r="A14" i="7"/>
  <c r="B14" i="7" s="1"/>
  <c r="A15" i="7"/>
  <c r="C15" i="7" s="1"/>
  <c r="A16" i="7"/>
  <c r="B16" i="7" s="1"/>
  <c r="A17" i="7"/>
  <c r="B17" i="7" s="1"/>
  <c r="A18" i="7"/>
  <c r="A19" i="7"/>
  <c r="C19" i="7" s="1"/>
  <c r="A20" i="7"/>
  <c r="C20" i="7" s="1"/>
  <c r="A21" i="7"/>
  <c r="A22" i="7"/>
  <c r="B22" i="7" s="1"/>
  <c r="A23" i="7"/>
  <c r="C23" i="7" s="1"/>
  <c r="A24" i="7"/>
  <c r="B24" i="7" s="1"/>
  <c r="A25" i="7"/>
  <c r="C25" i="7" s="1"/>
  <c r="A26" i="7"/>
  <c r="A27" i="7"/>
  <c r="C27" i="7" s="1"/>
  <c r="A28" i="7"/>
  <c r="B28" i="7" s="1"/>
  <c r="A29" i="7"/>
  <c r="A30" i="7"/>
  <c r="B30" i="7" s="1"/>
  <c r="A31" i="7"/>
  <c r="C31" i="7" s="1"/>
  <c r="A32" i="7"/>
  <c r="C32" i="7" s="1"/>
  <c r="A33" i="7"/>
  <c r="A34" i="7"/>
  <c r="A35" i="7"/>
  <c r="C35" i="7" s="1"/>
  <c r="A36" i="7"/>
  <c r="B36" i="7" s="1"/>
  <c r="A37" i="7"/>
  <c r="C37" i="7" s="1"/>
  <c r="A38" i="7"/>
  <c r="B38" i="7" s="1"/>
  <c r="A39" i="7"/>
  <c r="C39" i="7" s="1"/>
  <c r="A40" i="7"/>
  <c r="A41" i="7"/>
  <c r="B41" i="7" s="1"/>
  <c r="A42" i="7"/>
  <c r="A43" i="7"/>
  <c r="C43" i="7" s="1"/>
  <c r="A44" i="7"/>
  <c r="B44" i="7" s="1"/>
  <c r="A45" i="7"/>
  <c r="B45" i="7" s="1"/>
  <c r="A46" i="7"/>
  <c r="B46" i="7" s="1"/>
  <c r="A47" i="7"/>
  <c r="C47" i="7" s="1"/>
  <c r="A48" i="7"/>
  <c r="B48" i="7" s="1"/>
  <c r="A49" i="7"/>
  <c r="A50" i="7"/>
  <c r="A51" i="7"/>
  <c r="C51" i="7" s="1"/>
  <c r="A52" i="7"/>
  <c r="C52" i="7" s="1"/>
  <c r="A53" i="7"/>
  <c r="B53" i="7" s="1"/>
  <c r="A54" i="7"/>
  <c r="B54" i="7" s="1"/>
  <c r="A55" i="7"/>
  <c r="C55" i="7" s="1"/>
  <c r="A56" i="7"/>
  <c r="B56" i="7" s="1"/>
  <c r="A57" i="7"/>
  <c r="A58" i="7"/>
  <c r="A59" i="7"/>
  <c r="C59" i="7" s="1"/>
  <c r="A60" i="7"/>
  <c r="B60" i="7" s="1"/>
  <c r="A61" i="7"/>
  <c r="B61" i="7" s="1"/>
  <c r="A62" i="7"/>
  <c r="B62" i="7" s="1"/>
  <c r="A63" i="7"/>
  <c r="C63" i="7" s="1"/>
  <c r="A64" i="7"/>
  <c r="C64" i="7" s="1"/>
  <c r="A65" i="7"/>
  <c r="B65" i="7" s="1"/>
  <c r="A66" i="7"/>
  <c r="A67" i="7"/>
  <c r="C67" i="7" s="1"/>
  <c r="A68" i="7"/>
  <c r="B68" i="7" s="1"/>
  <c r="A69" i="7"/>
  <c r="B69" i="7" s="1"/>
  <c r="A70" i="7"/>
  <c r="B70" i="7" s="1"/>
  <c r="A71" i="7"/>
  <c r="C71" i="7" s="1"/>
  <c r="A72" i="7"/>
  <c r="B72" i="7" s="1"/>
  <c r="A73" i="7"/>
  <c r="A74" i="7"/>
  <c r="A75" i="7"/>
  <c r="C75" i="7" s="1"/>
  <c r="A76" i="7"/>
  <c r="B76" i="7" s="1"/>
  <c r="A77" i="7"/>
  <c r="B77" i="7" s="1"/>
  <c r="A78" i="7"/>
  <c r="A79" i="7"/>
  <c r="C79" i="7" s="1"/>
  <c r="A80" i="7"/>
  <c r="B80" i="7" s="1"/>
  <c r="A81" i="7"/>
  <c r="A82" i="7"/>
  <c r="B82" i="7" s="1"/>
  <c r="A83" i="7"/>
  <c r="C83" i="7" s="1"/>
  <c r="A84" i="7"/>
  <c r="B84" i="7" s="1"/>
  <c r="A85" i="7"/>
  <c r="B85" i="7" s="1"/>
  <c r="A86" i="7"/>
  <c r="B86" i="7" s="1"/>
  <c r="A87" i="7"/>
  <c r="C87" i="7" s="1"/>
  <c r="A88" i="7"/>
  <c r="C88" i="7" s="1"/>
  <c r="A89" i="7"/>
  <c r="B89" i="7" s="1"/>
  <c r="A90" i="7"/>
  <c r="B90" i="7" s="1"/>
  <c r="A91" i="7"/>
  <c r="C91" i="7" s="1"/>
  <c r="A92" i="7"/>
  <c r="A93" i="7"/>
  <c r="B93" i="7" s="1"/>
  <c r="A94" i="7"/>
  <c r="A95" i="7"/>
  <c r="C95" i="7" s="1"/>
  <c r="A96" i="7"/>
  <c r="A97" i="7"/>
  <c r="B97" i="7" s="1"/>
  <c r="A98" i="7"/>
  <c r="B98" i="7" s="1"/>
  <c r="A99" i="7"/>
  <c r="C99" i="7" s="1"/>
  <c r="A100" i="7"/>
  <c r="B100" i="7" s="1"/>
  <c r="A101" i="7"/>
  <c r="A102" i="7"/>
  <c r="B102" i="7" s="1"/>
  <c r="A103" i="7"/>
  <c r="C103" i="7" s="1"/>
  <c r="A104" i="7"/>
  <c r="A105" i="7"/>
  <c r="A106" i="7"/>
  <c r="B106" i="7" s="1"/>
  <c r="A107" i="7"/>
  <c r="C107" i="7" s="1"/>
  <c r="A108" i="7"/>
  <c r="A109" i="7"/>
  <c r="C109" i="7" s="1"/>
  <c r="A110" i="7"/>
  <c r="B110" i="7" s="1"/>
  <c r="A111" i="7"/>
  <c r="A112" i="7"/>
  <c r="A113" i="7"/>
  <c r="C113" i="7" s="1"/>
  <c r="A114" i="7"/>
  <c r="A115" i="7"/>
  <c r="C115" i="7" s="1"/>
  <c r="A116" i="7"/>
  <c r="B116" i="7" s="1"/>
  <c r="A117" i="7"/>
  <c r="A118" i="7"/>
  <c r="B118" i="7" s="1"/>
  <c r="A119" i="7"/>
  <c r="C119" i="7" s="1"/>
  <c r="A120" i="7"/>
  <c r="C120" i="7" s="1"/>
  <c r="A121" i="7"/>
  <c r="A122" i="7"/>
  <c r="B122" i="7" s="1"/>
  <c r="A123" i="7"/>
  <c r="C123" i="7" s="1"/>
  <c r="A124" i="7"/>
  <c r="A125" i="7"/>
  <c r="B125" i="7" s="1"/>
  <c r="A126" i="7"/>
  <c r="A127" i="7"/>
  <c r="A128" i="7"/>
  <c r="B128" i="7" s="1"/>
  <c r="A129" i="7"/>
  <c r="A130" i="7"/>
  <c r="A131" i="7"/>
  <c r="C131" i="7" s="1"/>
  <c r="A132" i="7"/>
  <c r="B132" i="7" s="1"/>
  <c r="A133" i="7"/>
  <c r="B133" i="7" s="1"/>
  <c r="A134" i="7"/>
  <c r="B134" i="7" s="1"/>
  <c r="A135" i="7"/>
  <c r="C135" i="7" s="1"/>
  <c r="A136" i="7"/>
  <c r="B136" i="7" s="1"/>
  <c r="A137" i="7"/>
  <c r="B137" i="7" s="1"/>
  <c r="A138" i="7"/>
  <c r="B138" i="7" s="1"/>
  <c r="A139" i="7"/>
  <c r="C139" i="7" s="1"/>
  <c r="A140" i="7"/>
  <c r="A141" i="7"/>
  <c r="A142" i="7"/>
  <c r="B142" i="7" s="1"/>
  <c r="A143" i="7"/>
  <c r="A144" i="7"/>
  <c r="B144" i="7" s="1"/>
  <c r="A145" i="7"/>
  <c r="A146" i="7"/>
  <c r="A147" i="7"/>
  <c r="C147" i="7" s="1"/>
  <c r="A148" i="7"/>
  <c r="B148" i="7" s="1"/>
  <c r="A149" i="7"/>
  <c r="A150" i="7"/>
  <c r="B150" i="7" s="1"/>
  <c r="A151" i="7"/>
  <c r="C151" i="7" s="1"/>
  <c r="A152" i="7"/>
  <c r="A153" i="7"/>
  <c r="C153" i="7" s="1"/>
  <c r="A154" i="7"/>
  <c r="B154" i="7" s="1"/>
  <c r="A155" i="7"/>
  <c r="C155" i="7" s="1"/>
  <c r="A156" i="7"/>
  <c r="A157" i="7"/>
  <c r="A158" i="7"/>
  <c r="A159" i="7"/>
  <c r="A160" i="7"/>
  <c r="B160" i="7" s="1"/>
  <c r="A161" i="7"/>
  <c r="B161" i="7" s="1"/>
  <c r="A162" i="7"/>
  <c r="A163" i="7"/>
  <c r="C163" i="7" s="1"/>
  <c r="A164" i="7"/>
  <c r="B164" i="7" s="1"/>
  <c r="A165" i="7"/>
  <c r="C165" i="7" s="1"/>
  <c r="A166" i="7"/>
  <c r="B166" i="7" s="1"/>
  <c r="A167" i="7"/>
  <c r="C167" i="7" s="1"/>
  <c r="A168" i="7"/>
  <c r="B168" i="7" s="1"/>
  <c r="A169" i="7"/>
  <c r="B169" i="7" s="1"/>
  <c r="A170" i="7"/>
  <c r="B170" i="7" s="1"/>
  <c r="A171" i="7"/>
  <c r="A172" i="7"/>
  <c r="C172" i="7" s="1"/>
  <c r="A173" i="7"/>
  <c r="B173" i="7" s="1"/>
  <c r="A174" i="7"/>
  <c r="B174" i="7" s="1"/>
  <c r="A175" i="7"/>
  <c r="C175" i="7" s="1"/>
  <c r="A176" i="7"/>
  <c r="B176" i="7" s="1"/>
  <c r="A177" i="7"/>
  <c r="B177" i="7" s="1"/>
  <c r="A178" i="7"/>
  <c r="A179" i="7"/>
  <c r="C179" i="7" s="1"/>
  <c r="A180" i="7"/>
  <c r="A181" i="7"/>
  <c r="A182" i="7"/>
  <c r="B182" i="7" s="1"/>
  <c r="A183" i="7"/>
  <c r="A184" i="7"/>
  <c r="C184" i="7" s="1"/>
  <c r="A185" i="7"/>
  <c r="B185" i="7" s="1"/>
  <c r="A186" i="7"/>
  <c r="B186" i="7" s="1"/>
  <c r="A187" i="7"/>
  <c r="A188" i="7"/>
  <c r="C188" i="7" s="1"/>
  <c r="A189" i="7"/>
  <c r="B189" i="7" s="1"/>
  <c r="A190" i="7"/>
  <c r="A191" i="7"/>
  <c r="A192" i="7"/>
  <c r="B192" i="7" s="1"/>
  <c r="A193" i="7"/>
  <c r="A194" i="7"/>
  <c r="B194" i="7" s="1"/>
  <c r="A195" i="7"/>
  <c r="C195" i="7" s="1"/>
  <c r="A196" i="7"/>
  <c r="A197" i="7"/>
  <c r="B197" i="7" s="1"/>
  <c r="A198" i="7"/>
  <c r="B198" i="7" s="1"/>
  <c r="A199" i="7"/>
  <c r="A200" i="7"/>
  <c r="A201" i="7"/>
  <c r="B201" i="7" s="1"/>
  <c r="A202" i="7"/>
  <c r="A203" i="7"/>
  <c r="A204" i="7"/>
  <c r="A205" i="7"/>
  <c r="B205" i="7" s="1"/>
  <c r="A206" i="7"/>
  <c r="B206" i="7" s="1"/>
  <c r="A207" i="7"/>
  <c r="C207" i="7" s="1"/>
  <c r="A208" i="7"/>
  <c r="A209" i="7"/>
  <c r="B209" i="7" s="1"/>
  <c r="A210" i="7"/>
  <c r="A211" i="7"/>
  <c r="C211" i="7" s="1"/>
  <c r="A212" i="7"/>
  <c r="A213" i="7"/>
  <c r="B213" i="7" s="1"/>
  <c r="A214" i="7"/>
  <c r="B214" i="7" s="1"/>
  <c r="A215" i="7"/>
  <c r="A216" i="7"/>
  <c r="A217" i="7"/>
  <c r="B217" i="7" s="1"/>
  <c r="A218" i="7"/>
  <c r="A219" i="7"/>
  <c r="A220" i="7"/>
  <c r="A221" i="7"/>
  <c r="B221" i="7" s="1"/>
  <c r="A222" i="7"/>
  <c r="B222" i="7" s="1"/>
  <c r="A223" i="7"/>
  <c r="A224" i="7"/>
  <c r="A225" i="7"/>
  <c r="B225" i="7" s="1"/>
  <c r="A226" i="7"/>
  <c r="B226" i="7" s="1"/>
  <c r="A227" i="7"/>
  <c r="C227" i="7" s="1"/>
  <c r="A228" i="7"/>
  <c r="A229" i="7"/>
  <c r="B229" i="7" s="1"/>
  <c r="A230" i="7"/>
  <c r="B230" i="7" s="1"/>
  <c r="A231" i="7"/>
  <c r="A232" i="7"/>
  <c r="A233" i="7"/>
  <c r="B233" i="7" s="1"/>
  <c r="A234" i="7"/>
  <c r="A235" i="7"/>
  <c r="A236" i="7"/>
  <c r="C236" i="7" s="1"/>
  <c r="A237" i="7"/>
  <c r="B237" i="7" s="1"/>
  <c r="A238" i="7"/>
  <c r="A239" i="7"/>
  <c r="C239" i="7" s="1"/>
  <c r="A240" i="7"/>
  <c r="A241" i="7"/>
  <c r="B241" i="7" s="1"/>
  <c r="A242" i="7"/>
  <c r="A243" i="7"/>
  <c r="C243" i="7" s="1"/>
  <c r="A244" i="7"/>
  <c r="B244" i="7" s="1"/>
  <c r="A245" i="7"/>
  <c r="B245" i="7" s="1"/>
  <c r="A246" i="7"/>
  <c r="B246" i="7" s="1"/>
  <c r="A247" i="7"/>
  <c r="C247" i="7" s="1"/>
  <c r="A248" i="7"/>
  <c r="A249" i="7"/>
  <c r="B249" i="7" s="1"/>
  <c r="A250" i="7"/>
  <c r="B250" i="7" s="1"/>
  <c r="A251" i="7"/>
  <c r="C251" i="7" s="1"/>
  <c r="A252" i="7"/>
  <c r="A253" i="7"/>
  <c r="B253" i="7" s="1"/>
  <c r="A254" i="7"/>
  <c r="A255" i="7"/>
  <c r="A256" i="7"/>
  <c r="B256" i="7" s="1"/>
  <c r="A257" i="7"/>
  <c r="B257" i="7" s="1"/>
  <c r="A258" i="7"/>
  <c r="A259" i="7"/>
  <c r="C259" i="7" s="1"/>
  <c r="A260" i="7"/>
  <c r="C260" i="7" s="1"/>
  <c r="A261" i="7"/>
  <c r="C261" i="7" s="1"/>
  <c r="A262" i="7"/>
  <c r="B262" i="7" s="1"/>
  <c r="A263" i="7"/>
  <c r="C263" i="7" s="1"/>
  <c r="A264" i="7"/>
  <c r="A265" i="7"/>
  <c r="B265" i="7" s="1"/>
  <c r="A266" i="7"/>
  <c r="B266" i="7" s="1"/>
  <c r="A267" i="7"/>
  <c r="A268" i="7"/>
  <c r="A269" i="7"/>
  <c r="B269" i="7" s="1"/>
  <c r="A270" i="7"/>
  <c r="B270" i="7" s="1"/>
  <c r="A271" i="7"/>
  <c r="C271" i="7" s="1"/>
  <c r="A272" i="7"/>
  <c r="B272" i="7" s="1"/>
  <c r="A273" i="7"/>
  <c r="B273" i="7" s="1"/>
  <c r="A274" i="7"/>
  <c r="A275" i="7"/>
  <c r="C275" i="7" s="1"/>
  <c r="A276" i="7"/>
  <c r="C276" i="7" s="1"/>
  <c r="A277" i="7"/>
  <c r="B277" i="7" s="1"/>
  <c r="A278" i="7"/>
  <c r="B278" i="7" s="1"/>
  <c r="A279" i="7"/>
  <c r="C279" i="7" s="1"/>
  <c r="A280" i="7"/>
  <c r="C280" i="7" s="1"/>
  <c r="A281" i="7"/>
  <c r="B281" i="7" s="1"/>
  <c r="A282" i="7"/>
  <c r="B282" i="7" s="1"/>
  <c r="A283" i="7"/>
  <c r="C283" i="7" s="1"/>
  <c r="A284" i="7"/>
  <c r="C284" i="7" s="1"/>
  <c r="A285" i="7"/>
  <c r="B285" i="7" s="1"/>
  <c r="A286" i="7"/>
  <c r="A287" i="7"/>
  <c r="A288" i="7"/>
  <c r="B288" i="7" s="1"/>
  <c r="A289" i="7"/>
  <c r="B289" i="7" s="1"/>
  <c r="A290" i="7"/>
  <c r="A291" i="7"/>
  <c r="C291" i="7" s="1"/>
  <c r="A292" i="7"/>
  <c r="A293" i="7"/>
  <c r="B293" i="7" s="1"/>
  <c r="A294" i="7"/>
  <c r="B294" i="7" s="1"/>
  <c r="A295" i="7"/>
  <c r="C295" i="7" s="1"/>
  <c r="A296" i="7"/>
  <c r="A297" i="7"/>
  <c r="B297" i="7" s="1"/>
  <c r="A298" i="7"/>
  <c r="B298" i="7" s="1"/>
  <c r="A299" i="7"/>
  <c r="A300" i="7"/>
  <c r="A301" i="7"/>
  <c r="B301" i="7" s="1"/>
  <c r="A302" i="7"/>
  <c r="A303" i="7"/>
  <c r="A304" i="7"/>
  <c r="B304" i="7" s="1"/>
  <c r="A305" i="7"/>
  <c r="C305" i="7" s="1"/>
  <c r="A306" i="7"/>
  <c r="A307" i="7"/>
  <c r="C307" i="7" s="1"/>
  <c r="A308" i="7"/>
  <c r="C308" i="7" s="1"/>
  <c r="A309" i="7"/>
  <c r="A310" i="7"/>
  <c r="B310" i="7" s="1"/>
  <c r="A311" i="7"/>
  <c r="A312" i="7"/>
  <c r="C312" i="7" s="1"/>
  <c r="A313" i="7"/>
  <c r="C313" i="7" s="1"/>
  <c r="A314" i="7"/>
  <c r="B314" i="7" s="1"/>
  <c r="A315" i="7"/>
  <c r="A316" i="7"/>
  <c r="C316" i="7" s="1"/>
  <c r="A317" i="7"/>
  <c r="C317" i="7" s="1"/>
  <c r="A318" i="7"/>
  <c r="B318" i="7" s="1"/>
  <c r="A319" i="7"/>
  <c r="A320" i="7"/>
  <c r="B320" i="7" s="1"/>
  <c r="A321" i="7"/>
  <c r="B321" i="7" s="1"/>
  <c r="A322" i="7"/>
  <c r="A323" i="7"/>
  <c r="C323" i="7" s="1"/>
  <c r="A324" i="7"/>
  <c r="C324" i="7" s="1"/>
  <c r="A325" i="7"/>
  <c r="B325" i="7" s="1"/>
  <c r="A326" i="7"/>
  <c r="B326" i="7" s="1"/>
  <c r="A327" i="7"/>
  <c r="C327" i="7" s="1"/>
  <c r="A328" i="7"/>
  <c r="A329" i="7"/>
  <c r="C329" i="7" s="1"/>
  <c r="A330" i="7"/>
  <c r="A331" i="7"/>
  <c r="A332" i="7"/>
  <c r="A333" i="7"/>
  <c r="A334" i="7"/>
  <c r="B334" i="7" s="1"/>
  <c r="A335" i="7"/>
  <c r="A336" i="7"/>
  <c r="B336" i="7" s="1"/>
  <c r="A337" i="7"/>
  <c r="B337" i="7" s="1"/>
  <c r="A338" i="7"/>
  <c r="A339" i="7"/>
  <c r="C339" i="7" s="1"/>
  <c r="A340" i="7"/>
  <c r="A341" i="7"/>
  <c r="B341" i="7" s="1"/>
  <c r="A342" i="7"/>
  <c r="B342" i="7" s="1"/>
  <c r="A343" i="7"/>
  <c r="A344" i="7"/>
  <c r="A345" i="7"/>
  <c r="A346" i="7"/>
  <c r="A347" i="7"/>
  <c r="C347" i="7" s="1"/>
  <c r="A348" i="7"/>
  <c r="B348" i="7" s="1"/>
  <c r="A349" i="7"/>
  <c r="A350" i="7"/>
  <c r="C350" i="7" s="1"/>
  <c r="A351" i="7"/>
  <c r="A352" i="7"/>
  <c r="A353" i="7"/>
  <c r="A354" i="7"/>
  <c r="A355" i="7"/>
  <c r="A356" i="7"/>
  <c r="B356" i="7" s="1"/>
  <c r="A357" i="7"/>
  <c r="A358" i="7"/>
  <c r="A359" i="7"/>
  <c r="A360" i="7"/>
  <c r="C360" i="7" s="1"/>
  <c r="A361" i="7"/>
  <c r="A362" i="7"/>
  <c r="A363" i="7"/>
  <c r="A364" i="7"/>
  <c r="B364" i="7" s="1"/>
  <c r="A365" i="7"/>
  <c r="A366" i="7"/>
  <c r="C366" i="7" s="1"/>
  <c r="A367" i="7"/>
  <c r="B367" i="7" s="1"/>
  <c r="A368" i="7"/>
  <c r="A369" i="7"/>
  <c r="A370" i="7"/>
  <c r="C370" i="7" s="1"/>
  <c r="A371" i="7"/>
  <c r="A372" i="7"/>
  <c r="B372" i="7" s="1"/>
  <c r="A373" i="7"/>
  <c r="C373" i="7" s="1"/>
  <c r="A374" i="7"/>
  <c r="C374" i="7" s="1"/>
  <c r="A375" i="7"/>
  <c r="C375" i="7" s="1"/>
  <c r="A376" i="7"/>
  <c r="C376" i="7" s="1"/>
  <c r="A377" i="7"/>
  <c r="A378" i="7"/>
  <c r="A379" i="7"/>
  <c r="C379" i="7" s="1"/>
  <c r="A380" i="7"/>
  <c r="A381" i="7"/>
  <c r="A382" i="7"/>
  <c r="C382" i="7" s="1"/>
  <c r="A383" i="7"/>
  <c r="A384" i="7"/>
  <c r="A385" i="7"/>
  <c r="A386" i="7"/>
  <c r="C386" i="7" s="1"/>
  <c r="A387" i="7"/>
  <c r="C387" i="7" s="1"/>
  <c r="A388" i="7"/>
  <c r="A389" i="7"/>
  <c r="A390" i="7"/>
  <c r="C390" i="7" s="1"/>
  <c r="A391" i="7"/>
  <c r="C391" i="7" s="1"/>
  <c r="A392" i="7"/>
  <c r="C392" i="7" s="1"/>
  <c r="A393" i="7"/>
  <c r="A394" i="7"/>
  <c r="A395" i="7"/>
  <c r="B395" i="7" s="1"/>
  <c r="A396" i="7"/>
  <c r="B396" i="7" s="1"/>
  <c r="A397" i="7"/>
  <c r="A398" i="7"/>
  <c r="C398" i="7" s="1"/>
  <c r="A399" i="7"/>
  <c r="C399" i="7" s="1"/>
  <c r="A400" i="7"/>
  <c r="A401" i="7"/>
  <c r="A402" i="7"/>
  <c r="A403" i="7"/>
  <c r="C403" i="7" s="1"/>
  <c r="A404" i="7"/>
  <c r="B404" i="7" s="1"/>
  <c r="A405" i="7"/>
  <c r="A406" i="7"/>
  <c r="A407" i="7"/>
  <c r="A408" i="7"/>
  <c r="C408" i="7" s="1"/>
  <c r="A409" i="7"/>
  <c r="A410" i="7"/>
  <c r="A411" i="7"/>
  <c r="C411" i="7" s="1"/>
  <c r="A412" i="7"/>
  <c r="A413" i="7"/>
  <c r="A414" i="7"/>
  <c r="C414" i="7" s="1"/>
  <c r="A415" i="7"/>
  <c r="A416" i="7"/>
  <c r="A417" i="7"/>
  <c r="A418" i="7"/>
  <c r="A419" i="7"/>
  <c r="A420" i="7"/>
  <c r="B420" i="7" s="1"/>
  <c r="A421" i="7"/>
  <c r="A422" i="7"/>
  <c r="A423" i="7"/>
  <c r="C423" i="7" s="1"/>
  <c r="A424" i="7"/>
  <c r="C424" i="7" s="1"/>
  <c r="A425" i="7"/>
  <c r="A426" i="7"/>
  <c r="A427" i="7"/>
  <c r="C427" i="7" s="1"/>
  <c r="A428" i="7"/>
  <c r="B428" i="7" s="1"/>
  <c r="A429" i="7"/>
  <c r="A430" i="7"/>
  <c r="C430" i="7" s="1"/>
  <c r="A431" i="7"/>
  <c r="B431" i="7" s="1"/>
  <c r="A432" i="7"/>
  <c r="A433" i="7"/>
  <c r="A434" i="7"/>
  <c r="C434" i="7" s="1"/>
  <c r="A435" i="7"/>
  <c r="A436" i="7"/>
  <c r="B436" i="7" s="1"/>
  <c r="A437" i="7"/>
  <c r="A438" i="7"/>
  <c r="C438" i="7" s="1"/>
  <c r="A439" i="7"/>
  <c r="A440" i="7"/>
  <c r="A441" i="7"/>
  <c r="A442" i="7"/>
  <c r="A443" i="7"/>
  <c r="C443" i="7" s="1"/>
  <c r="A444" i="7"/>
  <c r="B444" i="7" s="1"/>
  <c r="A445" i="7"/>
  <c r="A446" i="7"/>
  <c r="A447" i="7"/>
  <c r="B447" i="7" s="1"/>
  <c r="A448" i="7"/>
  <c r="A449" i="7"/>
  <c r="A450" i="7"/>
  <c r="A451" i="7"/>
  <c r="C451" i="7" s="1"/>
  <c r="A452" i="7"/>
  <c r="B452" i="7" s="1"/>
  <c r="A453" i="7"/>
  <c r="A454" i="7"/>
  <c r="C454" i="7" s="1"/>
  <c r="A455" i="7"/>
  <c r="A456" i="7"/>
  <c r="C456" i="7" s="1"/>
  <c r="A457" i="7"/>
  <c r="C457" i="7" s="1"/>
  <c r="A458" i="7"/>
  <c r="B458" i="7" s="1"/>
  <c r="A459" i="7"/>
  <c r="A460" i="7"/>
  <c r="A461" i="7"/>
  <c r="C461" i="7" s="1"/>
  <c r="A462" i="7"/>
  <c r="C462" i="7" s="1"/>
  <c r="A463" i="7"/>
  <c r="A464" i="7"/>
  <c r="C464" i="7" s="1"/>
  <c r="A465" i="7"/>
  <c r="A466" i="7"/>
  <c r="A467" i="7"/>
  <c r="B467" i="7" s="1"/>
  <c r="A468" i="7"/>
  <c r="A469" i="7"/>
  <c r="A470" i="7"/>
  <c r="B470" i="7" s="1"/>
  <c r="A471" i="7"/>
  <c r="B471" i="7" s="1"/>
  <c r="A472" i="7"/>
  <c r="B472" i="7" s="1"/>
  <c r="A473" i="7"/>
  <c r="A474" i="7"/>
  <c r="A475" i="7"/>
  <c r="C475" i="7" s="1"/>
  <c r="A476" i="7"/>
  <c r="A477" i="7"/>
  <c r="A478" i="7"/>
  <c r="C478" i="7" s="1"/>
  <c r="A479" i="7"/>
  <c r="B479" i="7" s="1"/>
  <c r="A480" i="7"/>
  <c r="B480" i="7" s="1"/>
  <c r="A481" i="7"/>
  <c r="A482" i="7"/>
  <c r="C482" i="7" s="1"/>
  <c r="A483" i="7"/>
  <c r="C483" i="7" s="1"/>
  <c r="A484" i="7"/>
  <c r="A485" i="7"/>
  <c r="A486" i="7"/>
  <c r="B486" i="7" s="1"/>
  <c r="A487" i="7"/>
  <c r="B487" i="7" s="1"/>
  <c r="A488" i="7"/>
  <c r="A489" i="7"/>
  <c r="A490" i="7"/>
  <c r="C490" i="7" s="1"/>
  <c r="A491" i="7"/>
  <c r="B491" i="7" s="1"/>
  <c r="A492" i="7"/>
  <c r="B492" i="7" s="1"/>
  <c r="A493" i="7"/>
  <c r="A494" i="7"/>
  <c r="C494" i="7" s="1"/>
  <c r="A495" i="7"/>
  <c r="C495" i="7" s="1"/>
  <c r="A496" i="7"/>
  <c r="C496" i="7" s="1"/>
  <c r="A497" i="7"/>
  <c r="A498" i="7"/>
  <c r="C498" i="7" s="1"/>
  <c r="A499" i="7"/>
  <c r="B499" i="7" s="1"/>
  <c r="A500" i="7"/>
  <c r="A501" i="7"/>
  <c r="A502" i="7"/>
  <c r="C502" i="7" s="1"/>
  <c r="A503" i="7"/>
  <c r="C503" i="7" s="1"/>
  <c r="A504" i="7"/>
  <c r="A505" i="7"/>
  <c r="C505" i="7" s="1"/>
  <c r="A506" i="7"/>
  <c r="C506" i="7" s="1"/>
  <c r="A507" i="7"/>
  <c r="C507" i="7" s="1"/>
  <c r="A508" i="7"/>
  <c r="B508" i="7" s="1"/>
  <c r="A509" i="7"/>
  <c r="A510" i="7"/>
  <c r="C510" i="7" s="1"/>
  <c r="A511" i="7"/>
  <c r="C511" i="7" s="1"/>
  <c r="A512" i="7"/>
  <c r="B512" i="7" s="1"/>
  <c r="A513" i="7"/>
  <c r="A514" i="7"/>
  <c r="A515" i="7"/>
  <c r="C515" i="7" s="1"/>
  <c r="A516" i="7"/>
  <c r="B516" i="7" s="1"/>
  <c r="A517" i="7"/>
  <c r="A518" i="7"/>
  <c r="A519" i="7"/>
  <c r="B519" i="7" s="1"/>
  <c r="A520" i="7"/>
  <c r="B520" i="7" s="1"/>
  <c r="A521" i="7"/>
  <c r="C521" i="7" s="1"/>
  <c r="A522" i="7"/>
  <c r="C522" i="7" s="1"/>
  <c r="A523" i="7"/>
  <c r="C523" i="7" s="1"/>
  <c r="A524" i="7"/>
  <c r="A525" i="7"/>
  <c r="A526" i="7"/>
  <c r="A527" i="7"/>
  <c r="B527" i="7" s="1"/>
  <c r="A528" i="7"/>
  <c r="C528" i="7" s="1"/>
  <c r="A529" i="7"/>
  <c r="C529" i="7" s="1"/>
  <c r="A530" i="7"/>
  <c r="A531" i="7"/>
  <c r="B531" i="7" s="1"/>
  <c r="A532" i="7"/>
  <c r="B532" i="7" s="1"/>
  <c r="A533" i="7"/>
  <c r="A534" i="7"/>
  <c r="B534" i="7" s="1"/>
  <c r="A535" i="7"/>
  <c r="C535" i="7" s="1"/>
  <c r="A536" i="7"/>
  <c r="B536" i="7" s="1"/>
  <c r="A537" i="7"/>
  <c r="C537" i="7" s="1"/>
  <c r="A538" i="7"/>
  <c r="A539" i="7"/>
  <c r="C539" i="7" s="1"/>
  <c r="A540" i="7"/>
  <c r="A541" i="7"/>
  <c r="A542" i="7"/>
  <c r="C542" i="7" s="1"/>
  <c r="A543" i="7"/>
  <c r="A544" i="7"/>
  <c r="B544" i="7" s="1"/>
  <c r="A545" i="7"/>
  <c r="A546" i="7"/>
  <c r="A547" i="7"/>
  <c r="C547" i="7" s="1"/>
  <c r="A548" i="7"/>
  <c r="B548" i="7" s="1"/>
  <c r="A549" i="7"/>
  <c r="A550" i="7"/>
  <c r="A551" i="7"/>
  <c r="C551" i="7" s="1"/>
  <c r="A552" i="7"/>
  <c r="B552" i="7" s="1"/>
  <c r="A553" i="7"/>
  <c r="C553" i="7" s="1"/>
  <c r="A554" i="7"/>
  <c r="A555" i="7"/>
  <c r="B555" i="7" s="1"/>
  <c r="A556" i="7"/>
  <c r="B556" i="7" s="1"/>
  <c r="A557" i="7"/>
  <c r="A558" i="7"/>
  <c r="A559" i="7"/>
  <c r="B559" i="7" s="1"/>
  <c r="A560" i="7"/>
  <c r="C560" i="7" s="1"/>
  <c r="A561" i="7"/>
  <c r="A562" i="7"/>
  <c r="C562" i="7" s="1"/>
  <c r="A563" i="7"/>
  <c r="B563" i="7" s="1"/>
  <c r="A564" i="7"/>
  <c r="B564" i="7" s="1"/>
  <c r="A565" i="7"/>
  <c r="A566" i="7"/>
  <c r="C566" i="7" s="1"/>
  <c r="A567" i="7"/>
  <c r="B567" i="7" s="1"/>
  <c r="A568" i="7"/>
  <c r="C568" i="7" s="1"/>
  <c r="A569" i="7"/>
  <c r="A570" i="7"/>
  <c r="C570" i="7" s="1"/>
  <c r="A571" i="7"/>
  <c r="C571" i="7" s="1"/>
  <c r="A572" i="7"/>
  <c r="A573" i="7"/>
  <c r="A574" i="7"/>
  <c r="C574" i="7" s="1"/>
  <c r="A575" i="7"/>
  <c r="B575" i="7" s="1"/>
  <c r="A576" i="7"/>
  <c r="C576" i="7" s="1"/>
  <c r="A577" i="7"/>
  <c r="A578" i="7"/>
  <c r="A579" i="7"/>
  <c r="B579" i="7" s="1"/>
  <c r="A580" i="7"/>
  <c r="B580" i="7" s="1"/>
  <c r="A581" i="7"/>
  <c r="A582" i="7"/>
  <c r="A583" i="7"/>
  <c r="B583" i="7" s="1"/>
  <c r="A584" i="7"/>
  <c r="B584" i="7" s="1"/>
  <c r="A585" i="7"/>
  <c r="A586" i="7"/>
  <c r="C586" i="7" s="1"/>
  <c r="A587" i="7"/>
  <c r="B587" i="7" s="1"/>
  <c r="A588" i="7"/>
  <c r="A589" i="7"/>
  <c r="A590" i="7"/>
  <c r="B590" i="7" s="1"/>
  <c r="A591" i="7"/>
  <c r="C591" i="7" s="1"/>
  <c r="A592" i="7"/>
  <c r="C592" i="7" s="1"/>
  <c r="A593" i="7"/>
  <c r="C593" i="7" s="1"/>
  <c r="A594" i="7"/>
  <c r="A595" i="7"/>
  <c r="A596" i="7"/>
  <c r="B596" i="7" s="1"/>
  <c r="A597" i="7"/>
  <c r="A598" i="7"/>
  <c r="B598" i="7" s="1"/>
  <c r="A599" i="7"/>
  <c r="B599" i="7" s="1"/>
  <c r="A600" i="7"/>
  <c r="B600" i="7" s="1"/>
  <c r="A601" i="7"/>
  <c r="C601" i="7" s="1"/>
  <c r="A602" i="7"/>
  <c r="A603" i="7"/>
  <c r="C603" i="7" s="1"/>
  <c r="A604" i="7"/>
  <c r="A605" i="7"/>
  <c r="A606" i="7"/>
  <c r="C606" i="7" s="1"/>
  <c r="A607" i="7"/>
  <c r="A608" i="7"/>
  <c r="C608" i="7" s="1"/>
  <c r="A609" i="7"/>
  <c r="A610" i="7"/>
  <c r="C610" i="7" s="1"/>
  <c r="A611" i="7"/>
  <c r="B611" i="7" s="1"/>
  <c r="A612" i="7"/>
  <c r="B612" i="7" s="1"/>
  <c r="A613" i="7"/>
  <c r="A614" i="7"/>
  <c r="C614" i="7" s="1"/>
  <c r="A615" i="7"/>
  <c r="C615" i="7" s="1"/>
  <c r="A616" i="7"/>
  <c r="B616" i="7" s="1"/>
  <c r="A617" i="7"/>
  <c r="A618" i="7"/>
  <c r="C618" i="7" s="1"/>
  <c r="A619" i="7"/>
  <c r="C619" i="7" s="1"/>
  <c r="A620" i="7"/>
  <c r="B620" i="7" s="1"/>
  <c r="A621" i="7"/>
  <c r="A622" i="7"/>
  <c r="A623" i="7"/>
  <c r="C623" i="7" s="1"/>
  <c r="A624" i="7"/>
  <c r="A625" i="7"/>
  <c r="A626" i="7"/>
  <c r="C626" i="7" s="1"/>
  <c r="A627" i="7"/>
  <c r="B627" i="7" s="1"/>
  <c r="A628" i="7"/>
  <c r="B628" i="7" s="1"/>
  <c r="A629" i="7"/>
  <c r="A630" i="7"/>
  <c r="A631" i="7"/>
  <c r="C631" i="7" s="1"/>
  <c r="A632" i="7"/>
  <c r="A633" i="7"/>
  <c r="C633" i="7" s="1"/>
  <c r="A634" i="7"/>
  <c r="A635" i="7"/>
  <c r="A636" i="7"/>
  <c r="B636" i="7" s="1"/>
  <c r="A637" i="7"/>
  <c r="B637" i="7" s="1"/>
  <c r="A638" i="7"/>
  <c r="C638" i="7" s="1"/>
  <c r="A639" i="7"/>
  <c r="B639" i="7" s="1"/>
  <c r="A640" i="7"/>
  <c r="B640" i="7" s="1"/>
  <c r="A641" i="7"/>
  <c r="A642" i="7"/>
  <c r="A643" i="7"/>
  <c r="B643" i="7" s="1"/>
  <c r="A644" i="7"/>
  <c r="B644" i="7" s="1"/>
  <c r="A645" i="7"/>
  <c r="A646" i="7"/>
  <c r="B646" i="7" s="1"/>
  <c r="A647" i="7"/>
  <c r="B647" i="7" s="1"/>
  <c r="A648" i="7"/>
  <c r="C648" i="7" s="1"/>
  <c r="A649" i="7"/>
  <c r="C649" i="7" s="1"/>
  <c r="A650" i="7"/>
  <c r="A651" i="7"/>
  <c r="A652" i="7"/>
  <c r="B652" i="7" s="1"/>
  <c r="A653" i="7"/>
  <c r="A654" i="7"/>
  <c r="A655" i="7"/>
  <c r="C655" i="7" s="1"/>
  <c r="A656" i="7"/>
  <c r="A657" i="7"/>
  <c r="A658" i="7"/>
  <c r="C658" i="7" s="1"/>
  <c r="A659" i="7"/>
  <c r="B659" i="7" s="1"/>
  <c r="A660" i="7"/>
  <c r="A661" i="7"/>
  <c r="A662" i="7"/>
  <c r="C662" i="7" s="1"/>
  <c r="A663" i="7"/>
  <c r="A664" i="7"/>
  <c r="A665" i="7"/>
  <c r="C665" i="7" s="1"/>
  <c r="A666" i="7"/>
  <c r="A667" i="7"/>
  <c r="B667" i="7" s="1"/>
  <c r="A668" i="7"/>
  <c r="B668" i="7" s="1"/>
  <c r="A669" i="7"/>
  <c r="A670" i="7"/>
  <c r="B670" i="7" s="1"/>
  <c r="A671" i="7"/>
  <c r="C671" i="7" s="1"/>
  <c r="A672" i="7"/>
  <c r="C672" i="7" s="1"/>
  <c r="A673" i="7"/>
  <c r="C673" i="7" s="1"/>
  <c r="A674" i="7"/>
  <c r="A675" i="7"/>
  <c r="C675" i="7" s="1"/>
  <c r="A676" i="7"/>
  <c r="B676" i="7" s="1"/>
  <c r="A677" i="7"/>
  <c r="B677" i="7" s="1"/>
  <c r="A678" i="7"/>
  <c r="C678" i="7" s="1"/>
  <c r="A679" i="7"/>
  <c r="C679" i="7" s="1"/>
  <c r="A680" i="7"/>
  <c r="B680" i="7" s="1"/>
  <c r="A681" i="7"/>
  <c r="A682" i="7"/>
  <c r="A683" i="7"/>
  <c r="B683" i="7" s="1"/>
  <c r="A684" i="7"/>
  <c r="B684" i="7" s="1"/>
  <c r="A685" i="7"/>
  <c r="A686" i="7"/>
  <c r="B686" i="7" s="1"/>
  <c r="A687" i="7"/>
  <c r="A688" i="7"/>
  <c r="B688" i="7" s="1"/>
  <c r="A689" i="7"/>
  <c r="C689" i="7" s="1"/>
  <c r="A690" i="7"/>
  <c r="A691" i="7"/>
  <c r="B691" i="7" s="1"/>
  <c r="A692" i="7"/>
  <c r="B692" i="7" s="1"/>
  <c r="A693" i="7"/>
  <c r="C693" i="7" s="1"/>
  <c r="A694" i="7"/>
  <c r="B694" i="7" s="1"/>
  <c r="A695" i="7"/>
  <c r="C695" i="7" s="1"/>
  <c r="A696" i="7"/>
  <c r="C696" i="7" s="1"/>
  <c r="A697" i="7"/>
  <c r="A698" i="7"/>
  <c r="A699" i="7"/>
  <c r="B699" i="7" s="1"/>
  <c r="A700" i="7"/>
  <c r="A701" i="7"/>
  <c r="B701" i="7" s="1"/>
  <c r="A702" i="7"/>
  <c r="B702" i="7" s="1"/>
  <c r="A703" i="7"/>
  <c r="A704" i="7"/>
  <c r="B704" i="7" s="1"/>
  <c r="A705" i="7"/>
  <c r="C705" i="7" s="1"/>
  <c r="A706" i="7"/>
  <c r="A707" i="7"/>
  <c r="C707" i="7" s="1"/>
  <c r="A708" i="7"/>
  <c r="B708" i="7" s="1"/>
  <c r="A709" i="7"/>
  <c r="C709" i="7" s="1"/>
  <c r="A710" i="7"/>
  <c r="C710" i="7" s="1"/>
  <c r="A711" i="7"/>
  <c r="C711" i="7" s="1"/>
  <c r="A712" i="7"/>
  <c r="B712" i="7" s="1"/>
  <c r="A713" i="7"/>
  <c r="C713" i="7" s="1"/>
  <c r="A714" i="7"/>
  <c r="A715" i="7"/>
  <c r="A716" i="7"/>
  <c r="B716" i="7" s="1"/>
  <c r="A717" i="7"/>
  <c r="C717" i="7" s="1"/>
  <c r="A718" i="7"/>
  <c r="B718" i="7" s="1"/>
  <c r="A719" i="7"/>
  <c r="A720" i="7"/>
  <c r="B720" i="7" s="1"/>
  <c r="A721" i="7"/>
  <c r="C721" i="7" s="1"/>
  <c r="A722" i="7"/>
  <c r="A723" i="7"/>
  <c r="B723" i="7" s="1"/>
  <c r="A724" i="7"/>
  <c r="B724" i="7" s="1"/>
  <c r="A725" i="7"/>
  <c r="B725" i="7" s="1"/>
  <c r="A726" i="7"/>
  <c r="B726" i="7" s="1"/>
  <c r="A727" i="7"/>
  <c r="C727" i="7" s="1"/>
  <c r="A728" i="7"/>
  <c r="B728" i="7" s="1"/>
  <c r="A729" i="7"/>
  <c r="C729" i="7" s="1"/>
  <c r="A730" i="7"/>
  <c r="A731" i="7"/>
  <c r="B731" i="7" s="1"/>
  <c r="A732" i="7"/>
  <c r="B732" i="7" s="1"/>
  <c r="A733" i="7"/>
  <c r="B733" i="7" s="1"/>
  <c r="A734" i="7"/>
  <c r="B734" i="7" s="1"/>
  <c r="A735" i="7"/>
  <c r="C735" i="7" s="1"/>
  <c r="A736" i="7"/>
  <c r="B736" i="7" s="1"/>
  <c r="A737" i="7"/>
  <c r="C737" i="7" s="1"/>
  <c r="A738" i="7"/>
  <c r="A739" i="7"/>
  <c r="B739" i="7" s="1"/>
  <c r="A740" i="7"/>
  <c r="B740" i="7" s="1"/>
  <c r="A741" i="7"/>
  <c r="C741" i="7" s="1"/>
  <c r="A742" i="7"/>
  <c r="B742" i="7" s="1"/>
  <c r="A743" i="7"/>
  <c r="C743" i="7" s="1"/>
  <c r="A744" i="7"/>
  <c r="C744" i="7" s="1"/>
  <c r="A745" i="7"/>
  <c r="C745" i="7" s="1"/>
  <c r="A746" i="7"/>
  <c r="A747" i="7"/>
  <c r="B747" i="7" s="1"/>
  <c r="A748" i="7"/>
  <c r="B748" i="7" s="1"/>
  <c r="A749" i="7"/>
  <c r="C749" i="7" s="1"/>
  <c r="A750" i="7"/>
  <c r="B750" i="7" s="1"/>
  <c r="A751" i="7"/>
  <c r="A752" i="7"/>
  <c r="B752" i="7" s="1"/>
  <c r="A753" i="7"/>
  <c r="C753" i="7" s="1"/>
  <c r="A754" i="7"/>
  <c r="A755" i="7"/>
  <c r="B755" i="7" s="1"/>
  <c r="A756" i="7"/>
  <c r="A757" i="7"/>
  <c r="B757" i="7" s="1"/>
  <c r="A758" i="7"/>
  <c r="B758" i="7" s="1"/>
  <c r="A759" i="7"/>
  <c r="A760" i="7"/>
  <c r="B760" i="7" s="1"/>
  <c r="A761" i="7"/>
  <c r="C761" i="7" s="1"/>
  <c r="A762" i="7"/>
  <c r="A763" i="7"/>
  <c r="B763" i="7" s="1"/>
  <c r="A764" i="7"/>
  <c r="B764" i="7" s="1"/>
  <c r="A765" i="7"/>
  <c r="B765" i="7" s="1"/>
  <c r="A766" i="7"/>
  <c r="B766" i="7" s="1"/>
  <c r="A767" i="7"/>
  <c r="A768" i="7"/>
  <c r="B768" i="7" s="1"/>
  <c r="A769" i="7"/>
  <c r="C769" i="7" s="1"/>
  <c r="A770" i="7"/>
  <c r="A771" i="7"/>
  <c r="C771" i="7" s="1"/>
  <c r="A772" i="7"/>
  <c r="A773" i="7"/>
  <c r="C773" i="7" s="1"/>
  <c r="A774" i="7"/>
  <c r="A775" i="7"/>
  <c r="C775" i="7" s="1"/>
  <c r="A776" i="7"/>
  <c r="C776" i="7" s="1"/>
  <c r="A777" i="7"/>
  <c r="C777" i="7" s="1"/>
  <c r="A778" i="7"/>
  <c r="A779" i="7"/>
  <c r="C779" i="7" s="1"/>
  <c r="A780" i="7"/>
  <c r="B780" i="7" s="1"/>
  <c r="A781" i="7"/>
  <c r="B781" i="7" s="1"/>
  <c r="A782" i="7"/>
  <c r="C782" i="7" s="1"/>
  <c r="A783" i="7"/>
  <c r="A784" i="7"/>
  <c r="B784" i="7" s="1"/>
  <c r="A785" i="7"/>
  <c r="C785" i="7" s="1"/>
  <c r="A786" i="7"/>
  <c r="A787" i="7"/>
  <c r="A788" i="7"/>
  <c r="B788" i="7" s="1"/>
  <c r="A789" i="7"/>
  <c r="C789" i="7" s="1"/>
  <c r="A790" i="7"/>
  <c r="A791" i="7"/>
  <c r="C791" i="7" s="1"/>
  <c r="A792" i="7"/>
  <c r="B792" i="7" s="1"/>
  <c r="A793" i="7"/>
  <c r="C793" i="7" s="1"/>
  <c r="A794" i="7"/>
  <c r="A795" i="7"/>
  <c r="B795" i="7" s="1"/>
  <c r="A796" i="7"/>
  <c r="B796" i="7" s="1"/>
  <c r="A797" i="7"/>
  <c r="C797" i="7" s="1"/>
  <c r="A798" i="7"/>
  <c r="B798" i="7" s="1"/>
  <c r="A799" i="7"/>
  <c r="C799" i="7" s="1"/>
  <c r="A800" i="7"/>
  <c r="C800" i="7" s="1"/>
  <c r="A801" i="7"/>
  <c r="C801" i="7" s="1"/>
  <c r="A802" i="7"/>
  <c r="A803" i="7"/>
  <c r="A804" i="7"/>
  <c r="B804" i="7" s="1"/>
  <c r="A805" i="7"/>
  <c r="C805" i="7" s="1"/>
  <c r="A806" i="7"/>
  <c r="C806" i="7" s="1"/>
  <c r="A807" i="7"/>
  <c r="A808" i="7"/>
  <c r="B808" i="7" s="1"/>
  <c r="A809" i="7"/>
  <c r="C809" i="7" s="1"/>
  <c r="A810" i="7"/>
  <c r="A811" i="7"/>
  <c r="B811" i="7" s="1"/>
  <c r="A812" i="7"/>
  <c r="B812" i="7" s="1"/>
  <c r="A813" i="7"/>
  <c r="B813" i="7" s="1"/>
  <c r="A814" i="7"/>
  <c r="A815" i="7"/>
  <c r="C815" i="7" s="1"/>
  <c r="A816" i="7"/>
  <c r="C816" i="7" s="1"/>
  <c r="A817" i="7"/>
  <c r="C817" i="7" s="1"/>
  <c r="A818" i="7"/>
  <c r="A819" i="7"/>
  <c r="A820" i="7"/>
  <c r="B820" i="7" s="1"/>
  <c r="A821" i="7"/>
  <c r="C821" i="7" s="1"/>
  <c r="A822" i="7"/>
  <c r="C822" i="7" s="1"/>
  <c r="A823" i="7"/>
  <c r="C823" i="7" s="1"/>
  <c r="A824" i="7"/>
  <c r="B824" i="7" s="1"/>
  <c r="A825" i="7"/>
  <c r="C825" i="7" s="1"/>
  <c r="A826" i="7"/>
  <c r="A827" i="7"/>
  <c r="B827" i="7" s="1"/>
  <c r="A828" i="7"/>
  <c r="B828" i="7" s="1"/>
  <c r="A829" i="7"/>
  <c r="C829" i="7" s="1"/>
  <c r="A830" i="7"/>
  <c r="B830" i="7" s="1"/>
  <c r="A831" i="7"/>
  <c r="C831" i="7" s="1"/>
  <c r="A832" i="7"/>
  <c r="B832" i="7" s="1"/>
  <c r="A833" i="7"/>
  <c r="C833" i="7" s="1"/>
  <c r="A834" i="7"/>
  <c r="A835" i="7"/>
  <c r="C835" i="7" s="1"/>
  <c r="A836" i="7"/>
  <c r="B836" i="7" s="1"/>
  <c r="A837" i="7"/>
  <c r="C837" i="7" s="1"/>
  <c r="A838" i="7"/>
  <c r="C838" i="7" s="1"/>
  <c r="A839" i="7"/>
  <c r="C839" i="7" s="1"/>
  <c r="A840" i="7"/>
  <c r="B840" i="7" s="1"/>
  <c r="A841" i="7"/>
  <c r="A842" i="7"/>
  <c r="A843" i="7"/>
  <c r="B843" i="7" s="1"/>
  <c r="A844" i="7"/>
  <c r="B844" i="7" s="1"/>
  <c r="A845" i="7"/>
  <c r="A846" i="7"/>
  <c r="C846" i="7" s="1"/>
  <c r="A847" i="7"/>
  <c r="C847" i="7" s="1"/>
  <c r="A848" i="7"/>
  <c r="B848" i="7" s="1"/>
  <c r="A849" i="7"/>
  <c r="A850" i="7"/>
  <c r="A851" i="7"/>
  <c r="C851" i="7" s="1"/>
  <c r="A852" i="7"/>
  <c r="B852" i="7" s="1"/>
  <c r="A853" i="7"/>
  <c r="B853" i="7" s="1"/>
  <c r="A854" i="7"/>
  <c r="C854" i="7" s="1"/>
  <c r="A855" i="7"/>
  <c r="C855" i="7" s="1"/>
  <c r="A856" i="7"/>
  <c r="B856" i="7" s="1"/>
  <c r="A857" i="7"/>
  <c r="C857" i="7" s="1"/>
  <c r="A858" i="7"/>
  <c r="A859" i="7"/>
  <c r="B859" i="7" s="1"/>
  <c r="A860" i="7"/>
  <c r="B860" i="7" s="1"/>
  <c r="A861" i="7"/>
  <c r="B861" i="7" s="1"/>
  <c r="A862" i="7"/>
  <c r="B862" i="7" s="1"/>
  <c r="A863" i="7"/>
  <c r="A864" i="7"/>
  <c r="C864" i="7" s="1"/>
  <c r="A865" i="7"/>
  <c r="C865" i="7" s="1"/>
  <c r="A866" i="7"/>
  <c r="A867" i="7"/>
  <c r="B867" i="7" s="1"/>
  <c r="A868" i="7"/>
  <c r="B868" i="7" s="1"/>
  <c r="A869" i="7"/>
  <c r="B869" i="7" s="1"/>
  <c r="A870" i="7"/>
  <c r="B870" i="7" s="1"/>
  <c r="A871" i="7"/>
  <c r="C871" i="7" s="1"/>
  <c r="A872" i="7"/>
  <c r="B872" i="7" s="1"/>
  <c r="A873" i="7"/>
  <c r="C873" i="7" s="1"/>
  <c r="A874" i="7"/>
  <c r="A875" i="7"/>
  <c r="B875" i="7" s="1"/>
  <c r="A876" i="7"/>
  <c r="A877" i="7"/>
  <c r="B877" i="7" s="1"/>
  <c r="A878" i="7"/>
  <c r="B878" i="7" s="1"/>
  <c r="A879" i="7"/>
  <c r="C879" i="7" s="1"/>
  <c r="A880" i="7"/>
  <c r="B880" i="7" s="1"/>
  <c r="A881" i="7"/>
  <c r="C881" i="7" s="1"/>
  <c r="A882" i="7"/>
  <c r="A883" i="7"/>
  <c r="C883" i="7" s="1"/>
  <c r="A884" i="7"/>
  <c r="A885" i="7"/>
  <c r="C885" i="7" s="1"/>
  <c r="A886" i="7"/>
  <c r="B886" i="7" s="1"/>
  <c r="A887" i="7"/>
  <c r="C887" i="7" s="1"/>
  <c r="A888" i="7"/>
  <c r="C888" i="7" s="1"/>
  <c r="A889" i="7"/>
  <c r="B889" i="7" s="1"/>
  <c r="A890" i="7"/>
  <c r="A891" i="7"/>
  <c r="C891" i="7" s="1"/>
  <c r="A892" i="7"/>
  <c r="C892" i="7" s="1"/>
  <c r="A893" i="7"/>
  <c r="C893" i="7" s="1"/>
  <c r="A894" i="7"/>
  <c r="B894" i="7" s="1"/>
  <c r="A895" i="7"/>
  <c r="A896" i="7"/>
  <c r="C896" i="7" s="1"/>
  <c r="A897" i="7"/>
  <c r="B897" i="7" s="1"/>
  <c r="A898" i="7"/>
  <c r="A899" i="7"/>
  <c r="C899" i="7" s="1"/>
  <c r="A900" i="7"/>
  <c r="B900" i="7" s="1"/>
  <c r="A901" i="7"/>
  <c r="C901" i="7" s="1"/>
  <c r="A902" i="7"/>
  <c r="A903" i="7"/>
  <c r="C903" i="7" s="1"/>
  <c r="A904" i="7"/>
  <c r="C904" i="7" s="1"/>
  <c r="A905" i="7"/>
  <c r="B905" i="7" s="1"/>
  <c r="A906" i="7"/>
  <c r="A907" i="7"/>
  <c r="B907" i="7" s="1"/>
  <c r="A908" i="7"/>
  <c r="B908" i="7" s="1"/>
  <c r="A909" i="7"/>
  <c r="B909" i="7" s="1"/>
  <c r="A910" i="7"/>
  <c r="B910" i="7" s="1"/>
  <c r="A911" i="7"/>
  <c r="C911" i="7" s="1"/>
  <c r="A912" i="7"/>
  <c r="C912" i="7" s="1"/>
  <c r="A913" i="7"/>
  <c r="B913" i="7" s="1"/>
  <c r="A914" i="7"/>
  <c r="B914" i="7" s="1"/>
  <c r="A915" i="7"/>
  <c r="B915" i="7" s="1"/>
  <c r="A916" i="7"/>
  <c r="B916" i="7" s="1"/>
  <c r="A917" i="7"/>
  <c r="A918" i="7"/>
  <c r="B918" i="7" s="1"/>
  <c r="A919" i="7"/>
  <c r="C919" i="7" s="1"/>
  <c r="A920" i="7"/>
  <c r="A921" i="7"/>
  <c r="C921" i="7" s="1"/>
  <c r="A922" i="7"/>
  <c r="A923" i="7"/>
  <c r="C923" i="7" s="1"/>
  <c r="A924" i="7"/>
  <c r="B924" i="7" s="1"/>
  <c r="A925" i="7"/>
  <c r="B925" i="7" s="1"/>
  <c r="A926" i="7"/>
  <c r="B926" i="7" s="1"/>
  <c r="A927" i="7"/>
  <c r="A928" i="7"/>
  <c r="C928" i="7" s="1"/>
  <c r="A929" i="7"/>
  <c r="B929" i="7" s="1"/>
  <c r="A930" i="7"/>
  <c r="B930" i="7" s="1"/>
  <c r="A931" i="7"/>
  <c r="C931" i="7" s="1"/>
  <c r="A932" i="7"/>
  <c r="B932" i="7" s="1"/>
  <c r="A933" i="7"/>
  <c r="C933" i="7" s="1"/>
  <c r="A934" i="7"/>
  <c r="B934" i="7" s="1"/>
  <c r="A935" i="7"/>
  <c r="C935" i="7" s="1"/>
  <c r="A936" i="7"/>
  <c r="C936" i="7" s="1"/>
  <c r="A937" i="7"/>
  <c r="B937" i="7" s="1"/>
  <c r="A938" i="7"/>
  <c r="B938" i="7" s="1"/>
  <c r="A939" i="7"/>
  <c r="B939" i="7" s="1"/>
  <c r="A940" i="7"/>
  <c r="B940" i="7" s="1"/>
  <c r="A941" i="7"/>
  <c r="B941" i="7" s="1"/>
  <c r="A942" i="7"/>
  <c r="B942" i="7" s="1"/>
  <c r="A943" i="7"/>
  <c r="C943" i="7" s="1"/>
  <c r="A944" i="7"/>
  <c r="B944" i="7" s="1"/>
  <c r="A945" i="7"/>
  <c r="B945" i="7" s="1"/>
  <c r="A946" i="7"/>
  <c r="A947" i="7"/>
  <c r="B947" i="7" s="1"/>
  <c r="A948" i="7"/>
  <c r="B948" i="7" s="1"/>
  <c r="A949" i="7"/>
  <c r="B949" i="7" s="1"/>
  <c r="A950" i="7"/>
  <c r="B950" i="7" s="1"/>
  <c r="A951" i="7"/>
  <c r="C951" i="7" s="1"/>
  <c r="A952" i="7"/>
  <c r="C952" i="7" s="1"/>
  <c r="A953" i="7"/>
  <c r="C953" i="7" s="1"/>
  <c r="A954" i="7"/>
  <c r="B954" i="7" s="1"/>
  <c r="A955" i="7"/>
  <c r="A956" i="7"/>
  <c r="C956" i="7" s="1"/>
  <c r="A957" i="7"/>
  <c r="B957" i="7" s="1"/>
  <c r="A958" i="7"/>
  <c r="B958" i="7" s="1"/>
  <c r="A959" i="7"/>
  <c r="A960" i="7"/>
  <c r="C960" i="7" s="1"/>
  <c r="A961" i="7"/>
  <c r="B961" i="7" s="1"/>
  <c r="A962" i="7"/>
  <c r="A963" i="7"/>
  <c r="C963" i="7" s="1"/>
  <c r="A964" i="7"/>
  <c r="B964" i="7" s="1"/>
  <c r="A965" i="7"/>
  <c r="C965" i="7" s="1"/>
  <c r="A966" i="7"/>
  <c r="B966" i="7" s="1"/>
  <c r="A967" i="7"/>
  <c r="A968" i="7"/>
  <c r="B968" i="7" s="1"/>
  <c r="A969" i="7"/>
  <c r="A970" i="7"/>
  <c r="B970" i="7" s="1"/>
  <c r="A971" i="7"/>
  <c r="C971" i="7" s="1"/>
  <c r="A972" i="7"/>
  <c r="B972" i="7" s="1"/>
  <c r="A973" i="7"/>
  <c r="B973" i="7" s="1"/>
  <c r="A974" i="7"/>
  <c r="B974" i="7" s="1"/>
  <c r="A975" i="7"/>
  <c r="B975" i="7" s="1"/>
  <c r="A976" i="7"/>
  <c r="B976" i="7" s="1"/>
  <c r="A977" i="7"/>
  <c r="C977" i="7" s="1"/>
  <c r="A978" i="7"/>
  <c r="B978" i="7" s="1"/>
  <c r="A979" i="7"/>
  <c r="C979" i="7" s="1"/>
  <c r="A980" i="7"/>
  <c r="B980" i="7" s="1"/>
  <c r="A981" i="7"/>
  <c r="C981" i="7" s="1"/>
  <c r="A982" i="7"/>
  <c r="B982" i="7" s="1"/>
  <c r="A983" i="7"/>
  <c r="A984" i="7"/>
  <c r="B984" i="7" s="1"/>
  <c r="A985" i="7"/>
  <c r="C985" i="7" s="1"/>
  <c r="A986" i="7"/>
  <c r="B986" i="7" s="1"/>
  <c r="A987" i="7"/>
  <c r="C987" i="7" s="1"/>
  <c r="A988" i="7"/>
  <c r="B988" i="7" s="1"/>
  <c r="A989" i="7"/>
  <c r="B989" i="7" s="1"/>
  <c r="A990" i="7"/>
  <c r="B990" i="7" s="1"/>
  <c r="A991" i="7"/>
  <c r="C991" i="7" s="1"/>
  <c r="A992" i="7"/>
  <c r="B992" i="7" s="1"/>
  <c r="A993" i="7"/>
  <c r="C993" i="7" s="1"/>
  <c r="A994" i="7"/>
  <c r="B994" i="7" s="1"/>
  <c r="A995" i="7"/>
  <c r="A996" i="7"/>
  <c r="B996" i="7" s="1"/>
  <c r="A997" i="7"/>
  <c r="C997" i="7" s="1"/>
  <c r="A998" i="7"/>
  <c r="A999" i="7"/>
  <c r="B999" i="7" s="1"/>
  <c r="A1000" i="7"/>
  <c r="B1000" i="7" s="1"/>
  <c r="A1001" i="7"/>
  <c r="C1001" i="7" s="1"/>
  <c r="A1002" i="7"/>
  <c r="B1002" i="7" s="1"/>
  <c r="A1003" i="7"/>
  <c r="C1003" i="7" s="1"/>
  <c r="A1004" i="7"/>
  <c r="B1004" i="7" s="1"/>
  <c r="A1005" i="7"/>
  <c r="B1005" i="7" s="1"/>
  <c r="A1006" i="7"/>
  <c r="B1006" i="7" s="1"/>
  <c r="A1007" i="7"/>
  <c r="C1007" i="7" s="1"/>
  <c r="A1008" i="7"/>
  <c r="B1008" i="7" s="1"/>
  <c r="A1009" i="7"/>
  <c r="C1009" i="7" s="1"/>
  <c r="A1010" i="7"/>
  <c r="B1010" i="7" s="1"/>
  <c r="A1011" i="7"/>
  <c r="C1011" i="7" s="1"/>
  <c r="A1012" i="7"/>
  <c r="B1012" i="7" s="1"/>
  <c r="A1013" i="7"/>
  <c r="B1013" i="7" s="1"/>
  <c r="A1014" i="7"/>
  <c r="B1014" i="7" s="1"/>
  <c r="A1015" i="7"/>
  <c r="B1015" i="7" s="1"/>
  <c r="A1016" i="7"/>
  <c r="B1016" i="7" s="1"/>
  <c r="A1017" i="7"/>
  <c r="A1018" i="7"/>
  <c r="B1018" i="7" s="1"/>
  <c r="A1019" i="7"/>
  <c r="A1020" i="7"/>
  <c r="B1020" i="7" s="1"/>
  <c r="A1021" i="7"/>
  <c r="C1021" i="7" s="1"/>
  <c r="A1022" i="7"/>
  <c r="B1022" i="7" s="1"/>
  <c r="A1023" i="7"/>
  <c r="A1024" i="7"/>
  <c r="B1024" i="7" s="1"/>
  <c r="A1025" i="7"/>
  <c r="C1025" i="7" s="1"/>
  <c r="A1026" i="7"/>
  <c r="C1026" i="7" s="1"/>
  <c r="A1027" i="7"/>
  <c r="C1027" i="7" s="1"/>
  <c r="A1028" i="7"/>
  <c r="B1028" i="7" s="1"/>
  <c r="A1029" i="7"/>
  <c r="B1029" i="7" s="1"/>
  <c r="A1030" i="7"/>
  <c r="B1030" i="7" s="1"/>
  <c r="A1031" i="7"/>
  <c r="B1031" i="7" s="1"/>
  <c r="A1032" i="7"/>
  <c r="B1032" i="7" s="1"/>
  <c r="A1033" i="7"/>
  <c r="C1033" i="7" s="1"/>
  <c r="A1034" i="7"/>
  <c r="B1034" i="7" s="1"/>
  <c r="A1035" i="7"/>
  <c r="C1035" i="7" s="1"/>
  <c r="A1036" i="7"/>
  <c r="B1036" i="7" s="1"/>
  <c r="A1037" i="7"/>
  <c r="B1037" i="7" s="1"/>
  <c r="A1038" i="7"/>
  <c r="B1038" i="7" s="1"/>
  <c r="A1039" i="7"/>
  <c r="B1039" i="7" s="1"/>
  <c r="A1040" i="7"/>
  <c r="B1040" i="7" s="1"/>
  <c r="A1041" i="7"/>
  <c r="C1041" i="7" s="1"/>
  <c r="A1042" i="7"/>
  <c r="C1042" i="7" s="1"/>
  <c r="A1043" i="7"/>
  <c r="C1043" i="7" s="1"/>
  <c r="A1044" i="7"/>
  <c r="B1044" i="7" s="1"/>
  <c r="A1045" i="7"/>
  <c r="B1045" i="7" s="1"/>
  <c r="A1046" i="7"/>
  <c r="B1046" i="7" s="1"/>
  <c r="A1047" i="7"/>
  <c r="B1047" i="7" s="1"/>
  <c r="A1048" i="7"/>
  <c r="B1048" i="7" s="1"/>
  <c r="A1049" i="7"/>
  <c r="A1050" i="7"/>
  <c r="B1050" i="7" s="1"/>
  <c r="A1051" i="7"/>
  <c r="C1051" i="7" s="1"/>
  <c r="A1052" i="7"/>
  <c r="B1052" i="7" s="1"/>
  <c r="A1053" i="7"/>
  <c r="C1053" i="7" s="1"/>
  <c r="A1054" i="7"/>
  <c r="B1054" i="7" s="1"/>
  <c r="A1055" i="7"/>
  <c r="B1055" i="7" s="1"/>
  <c r="A1056" i="7"/>
  <c r="B1056" i="7" s="1"/>
  <c r="A1057" i="7"/>
  <c r="C1057" i="7" s="1"/>
  <c r="A1058" i="7"/>
  <c r="B1058" i="7" s="1"/>
  <c r="A1059" i="7"/>
  <c r="C1059" i="7" s="1"/>
  <c r="A1060" i="7"/>
  <c r="B1060" i="7" s="1"/>
  <c r="A1061" i="7"/>
  <c r="C1061" i="7" s="1"/>
  <c r="A1062" i="7"/>
  <c r="B1062" i="7" s="1"/>
  <c r="A1063" i="7"/>
  <c r="B1063" i="7" s="1"/>
  <c r="A1064" i="7"/>
  <c r="B1064" i="7" s="1"/>
  <c r="A1065" i="7"/>
  <c r="C1065" i="7" s="1"/>
  <c r="A1066" i="7"/>
  <c r="B1066" i="7" s="1"/>
  <c r="A1067" i="7"/>
  <c r="C1067" i="7" s="1"/>
  <c r="A1068" i="7"/>
  <c r="B1068" i="7" s="1"/>
  <c r="A1069" i="7"/>
  <c r="B1069" i="7" s="1"/>
  <c r="A1070" i="7"/>
  <c r="B1070" i="7" s="1"/>
  <c r="A1071" i="7"/>
  <c r="B1071" i="7" s="1"/>
  <c r="A1072" i="7"/>
  <c r="B1072" i="7" s="1"/>
  <c r="A1073" i="7"/>
  <c r="A1074" i="7"/>
  <c r="C1074" i="7" s="1"/>
  <c r="A1075" i="7"/>
  <c r="C1075" i="7" s="1"/>
  <c r="A1076" i="7"/>
  <c r="B1076" i="7" s="1"/>
  <c r="A1077" i="7"/>
  <c r="C1077" i="7" s="1"/>
  <c r="A1078" i="7"/>
  <c r="B1078" i="7" s="1"/>
  <c r="A3" i="7"/>
  <c r="B3" i="7" s="1"/>
  <c r="A4" i="7"/>
  <c r="B4" i="7" s="1"/>
  <c r="A2" i="7"/>
  <c r="C2" i="7" s="1"/>
  <c r="A12" i="3"/>
  <c r="C12" i="3" s="1"/>
  <c r="A13" i="3"/>
  <c r="B13" i="3" s="1"/>
  <c r="A14" i="3"/>
  <c r="B14" i="3" s="1"/>
  <c r="A15" i="3"/>
  <c r="C15" i="3" s="1"/>
  <c r="A16" i="3"/>
  <c r="B16" i="3" s="1"/>
  <c r="A17" i="3"/>
  <c r="A18" i="3"/>
  <c r="B18" i="3" s="1"/>
  <c r="A19" i="3"/>
  <c r="C19" i="3" s="1"/>
  <c r="A20" i="3"/>
  <c r="B20" i="3" s="1"/>
  <c r="A21" i="3"/>
  <c r="C21" i="3" s="1"/>
  <c r="A22" i="3"/>
  <c r="C22" i="3" s="1"/>
  <c r="A23" i="3"/>
  <c r="C23" i="3" s="1"/>
  <c r="A24" i="3"/>
  <c r="C24" i="3" s="1"/>
  <c r="A25" i="3"/>
  <c r="A26" i="3"/>
  <c r="A27" i="3"/>
  <c r="C27" i="3" s="1"/>
  <c r="A28" i="3"/>
  <c r="B28" i="3" s="1"/>
  <c r="A29" i="3"/>
  <c r="C29" i="3" s="1"/>
  <c r="A30" i="3"/>
  <c r="C30" i="3" s="1"/>
  <c r="A31" i="3"/>
  <c r="C31" i="3" s="1"/>
  <c r="A32" i="3"/>
  <c r="B32" i="3" s="1"/>
  <c r="A33" i="3"/>
  <c r="A34" i="3"/>
  <c r="A35" i="3"/>
  <c r="A36" i="3"/>
  <c r="B36" i="3" s="1"/>
  <c r="A37" i="3"/>
  <c r="B37" i="3" s="1"/>
  <c r="A38" i="3"/>
  <c r="B38" i="3" s="1"/>
  <c r="A39" i="3"/>
  <c r="C39" i="3" s="1"/>
  <c r="A40" i="3"/>
  <c r="B40" i="3" s="1"/>
  <c r="A41" i="3"/>
  <c r="A42" i="3"/>
  <c r="A43" i="3"/>
  <c r="C43" i="3" s="1"/>
  <c r="A44" i="3"/>
  <c r="C44" i="3" s="1"/>
  <c r="A45" i="3"/>
  <c r="C45" i="3" s="1"/>
  <c r="A46" i="3"/>
  <c r="B46" i="3" s="1"/>
  <c r="A47" i="3"/>
  <c r="C47" i="3" s="1"/>
  <c r="A48" i="3"/>
  <c r="C48" i="3" s="1"/>
  <c r="A49" i="3"/>
  <c r="A50" i="3"/>
  <c r="C50" i="3" s="1"/>
  <c r="A51" i="3"/>
  <c r="C51" i="3" s="1"/>
  <c r="A52" i="3"/>
  <c r="B52" i="3" s="1"/>
  <c r="A53" i="3"/>
  <c r="C53" i="3" s="1"/>
  <c r="A54" i="3"/>
  <c r="B54" i="3" s="1"/>
  <c r="A55" i="3"/>
  <c r="C55" i="3" s="1"/>
  <c r="A56" i="3"/>
  <c r="B56" i="3" s="1"/>
  <c r="A57" i="3"/>
  <c r="A58" i="3"/>
  <c r="A59" i="3"/>
  <c r="C59" i="3" s="1"/>
  <c r="A60" i="3"/>
  <c r="B60" i="3" s="1"/>
  <c r="A61" i="3"/>
  <c r="B61" i="3" s="1"/>
  <c r="A62" i="3"/>
  <c r="C62" i="3" s="1"/>
  <c r="A63" i="3"/>
  <c r="C63" i="3" s="1"/>
  <c r="A64" i="3"/>
  <c r="C64" i="3" s="1"/>
  <c r="A65" i="3"/>
  <c r="B65" i="3" s="1"/>
  <c r="A66" i="3"/>
  <c r="A67" i="3"/>
  <c r="A68" i="3"/>
  <c r="B68" i="3" s="1"/>
  <c r="A69" i="3"/>
  <c r="B69" i="3" s="1"/>
  <c r="A70" i="3"/>
  <c r="C70" i="3" s="1"/>
  <c r="A71" i="3"/>
  <c r="C71" i="3" s="1"/>
  <c r="A72" i="3"/>
  <c r="B72" i="3" s="1"/>
  <c r="A73" i="3"/>
  <c r="A74" i="3"/>
  <c r="A75" i="3"/>
  <c r="C75" i="3" s="1"/>
  <c r="A76" i="3"/>
  <c r="C76" i="3" s="1"/>
  <c r="A77" i="3"/>
  <c r="B77" i="3" s="1"/>
  <c r="A78" i="3"/>
  <c r="B78" i="3" s="1"/>
  <c r="A79" i="3"/>
  <c r="C79" i="3" s="1"/>
  <c r="A80" i="3"/>
  <c r="B80" i="3" s="1"/>
  <c r="A81" i="3"/>
  <c r="B81" i="3" s="1"/>
  <c r="A82" i="3"/>
  <c r="A83" i="3"/>
  <c r="C83" i="3" s="1"/>
  <c r="A84" i="3"/>
  <c r="B84" i="3" s="1"/>
  <c r="A85" i="3"/>
  <c r="C85" i="3" s="1"/>
  <c r="A86" i="3"/>
  <c r="B86" i="3" s="1"/>
  <c r="A87" i="3"/>
  <c r="C87" i="3" s="1"/>
  <c r="A88" i="3"/>
  <c r="B88" i="3" s="1"/>
  <c r="A89" i="3"/>
  <c r="A90" i="3"/>
  <c r="A91" i="3"/>
  <c r="C91" i="3" s="1"/>
  <c r="A92" i="3"/>
  <c r="C92" i="3" s="1"/>
  <c r="A93" i="3"/>
  <c r="B93" i="3" s="1"/>
  <c r="A94" i="3"/>
  <c r="C94" i="3" s="1"/>
  <c r="A95" i="3"/>
  <c r="C95" i="3" s="1"/>
  <c r="A96" i="3"/>
  <c r="B96" i="3" s="1"/>
  <c r="A97" i="3"/>
  <c r="C97" i="3" s="1"/>
  <c r="A98" i="3"/>
  <c r="A99" i="3"/>
  <c r="A100" i="3"/>
  <c r="C100" i="3" s="1"/>
  <c r="A101" i="3"/>
  <c r="B101" i="3" s="1"/>
  <c r="A102" i="3"/>
  <c r="C102" i="3" s="1"/>
  <c r="A103" i="3"/>
  <c r="C103" i="3" s="1"/>
  <c r="A104" i="3"/>
  <c r="B104" i="3" s="1"/>
  <c r="A105" i="3"/>
  <c r="A106" i="3"/>
  <c r="A107" i="3"/>
  <c r="C107" i="3" s="1"/>
  <c r="A108" i="3"/>
  <c r="C108" i="3" s="1"/>
  <c r="A109" i="3"/>
  <c r="B109" i="3" s="1"/>
  <c r="A110" i="3"/>
  <c r="B110" i="3" s="1"/>
  <c r="A111" i="3"/>
  <c r="C111" i="3" s="1"/>
  <c r="A112" i="3"/>
  <c r="B112" i="3" s="1"/>
  <c r="A113" i="3"/>
  <c r="A114" i="3"/>
  <c r="A115" i="3"/>
  <c r="C115" i="3" s="1"/>
  <c r="A116" i="3"/>
  <c r="B116" i="3" s="1"/>
  <c r="A117" i="3"/>
  <c r="C117" i="3" s="1"/>
  <c r="A118" i="3"/>
  <c r="C118" i="3" s="1"/>
  <c r="A119" i="3"/>
  <c r="C119" i="3" s="1"/>
  <c r="A120" i="3"/>
  <c r="B120" i="3" s="1"/>
  <c r="A121" i="3"/>
  <c r="A122" i="3"/>
  <c r="A123" i="3"/>
  <c r="C123" i="3" s="1"/>
  <c r="A124" i="3"/>
  <c r="B124" i="3" s="1"/>
  <c r="A125" i="3"/>
  <c r="B125" i="3" s="1"/>
  <c r="A126" i="3"/>
  <c r="C126" i="3" s="1"/>
  <c r="A127" i="3"/>
  <c r="C127" i="3" s="1"/>
  <c r="A128" i="3"/>
  <c r="C128" i="3" s="1"/>
  <c r="A129" i="3"/>
  <c r="A130" i="3"/>
  <c r="A131" i="3"/>
  <c r="A132" i="3"/>
  <c r="B132" i="3" s="1"/>
  <c r="A133" i="3"/>
  <c r="B133" i="3" s="1"/>
  <c r="A134" i="3"/>
  <c r="B134" i="3" s="1"/>
  <c r="A135" i="3"/>
  <c r="C135" i="3" s="1"/>
  <c r="A136" i="3"/>
  <c r="B136" i="3" s="1"/>
  <c r="A137" i="3"/>
  <c r="A138" i="3"/>
  <c r="B138" i="3" s="1"/>
  <c r="A139" i="3"/>
  <c r="C139" i="3" s="1"/>
  <c r="A140" i="3"/>
  <c r="C140" i="3" s="1"/>
  <c r="A141" i="3"/>
  <c r="B141" i="3" s="1"/>
  <c r="A142" i="3"/>
  <c r="B142" i="3" s="1"/>
  <c r="A143" i="3"/>
  <c r="C143" i="3" s="1"/>
  <c r="A144" i="3"/>
  <c r="C144" i="3" s="1"/>
  <c r="A145" i="3"/>
  <c r="A146" i="3"/>
  <c r="A147" i="3"/>
  <c r="C147" i="3" s="1"/>
  <c r="A148" i="3"/>
  <c r="B148" i="3" s="1"/>
  <c r="A149" i="3"/>
  <c r="C149" i="3" s="1"/>
  <c r="A150" i="3"/>
  <c r="B150" i="3" s="1"/>
  <c r="A151" i="3"/>
  <c r="C151" i="3" s="1"/>
  <c r="A152" i="3"/>
  <c r="B152" i="3" s="1"/>
  <c r="A153" i="3"/>
  <c r="A154" i="3"/>
  <c r="B154" i="3" s="1"/>
  <c r="A155" i="3"/>
  <c r="C155" i="3" s="1"/>
  <c r="A156" i="3"/>
  <c r="B156" i="3" s="1"/>
  <c r="A157" i="3"/>
  <c r="B157" i="3" s="1"/>
  <c r="A158" i="3"/>
  <c r="C158" i="3" s="1"/>
  <c r="A159" i="3"/>
  <c r="C159" i="3" s="1"/>
  <c r="A160" i="3"/>
  <c r="C160" i="3" s="1"/>
  <c r="A161" i="3"/>
  <c r="A162" i="3"/>
  <c r="A163" i="3"/>
  <c r="A164" i="3"/>
  <c r="B164" i="3" s="1"/>
  <c r="A165" i="3"/>
  <c r="C165" i="3" s="1"/>
  <c r="A166" i="3"/>
  <c r="B166" i="3" s="1"/>
  <c r="A167" i="3"/>
  <c r="C167" i="3" s="1"/>
  <c r="A168" i="3"/>
  <c r="B168" i="3" s="1"/>
  <c r="A169" i="3"/>
  <c r="A170" i="3"/>
  <c r="C170" i="3" s="1"/>
  <c r="A171" i="3"/>
  <c r="C171" i="3" s="1"/>
  <c r="A172" i="3"/>
  <c r="C172" i="3" s="1"/>
  <c r="A173" i="3"/>
  <c r="B173" i="3" s="1"/>
  <c r="A174" i="3"/>
  <c r="B174" i="3" s="1"/>
  <c r="A175" i="3"/>
  <c r="C175" i="3" s="1"/>
  <c r="A176" i="3"/>
  <c r="B176" i="3" s="1"/>
  <c r="A177" i="3"/>
  <c r="A178" i="3"/>
  <c r="A179" i="3"/>
  <c r="C179" i="3" s="1"/>
  <c r="A180" i="3"/>
  <c r="B180" i="3" s="1"/>
  <c r="A181" i="3"/>
  <c r="C181" i="3" s="1"/>
  <c r="A182" i="3"/>
  <c r="B182" i="3" s="1"/>
  <c r="A183" i="3"/>
  <c r="C183" i="3" s="1"/>
  <c r="A184" i="3"/>
  <c r="C184" i="3" s="1"/>
  <c r="A185" i="3"/>
  <c r="B185" i="3" s="1"/>
  <c r="A186" i="3"/>
  <c r="A187" i="3"/>
  <c r="C187" i="3" s="1"/>
  <c r="A188" i="3"/>
  <c r="C188" i="3" s="1"/>
  <c r="A189" i="3"/>
  <c r="B189" i="3" s="1"/>
  <c r="A190" i="3"/>
  <c r="C190" i="3" s="1"/>
  <c r="A191" i="3"/>
  <c r="C191" i="3" s="1"/>
  <c r="A192" i="3"/>
  <c r="B192" i="3" s="1"/>
  <c r="A193" i="3"/>
  <c r="A194" i="3"/>
  <c r="A195" i="3"/>
  <c r="A196" i="3"/>
  <c r="B196" i="3" s="1"/>
  <c r="A197" i="3"/>
  <c r="B197" i="3" s="1"/>
  <c r="A198" i="3"/>
  <c r="B198" i="3" s="1"/>
  <c r="A199" i="3"/>
  <c r="C199" i="3" s="1"/>
  <c r="A200" i="3"/>
  <c r="B200" i="3" s="1"/>
  <c r="A201" i="3"/>
  <c r="B201" i="3" s="1"/>
  <c r="A202" i="3"/>
  <c r="A203" i="3"/>
  <c r="C203" i="3" s="1"/>
  <c r="A204" i="3"/>
  <c r="C204" i="3" s="1"/>
  <c r="A205" i="3"/>
  <c r="B205" i="3" s="1"/>
  <c r="A206" i="3"/>
  <c r="B206" i="3" s="1"/>
  <c r="A207" i="3"/>
  <c r="C207" i="3" s="1"/>
  <c r="A208" i="3"/>
  <c r="B208" i="3" s="1"/>
  <c r="A209" i="3"/>
  <c r="A210" i="3"/>
  <c r="A211" i="3"/>
  <c r="C211" i="3" s="1"/>
  <c r="A212" i="3"/>
  <c r="C212" i="3" s="1"/>
  <c r="A213" i="3"/>
  <c r="C213" i="3" s="1"/>
  <c r="A214" i="3"/>
  <c r="B214" i="3" s="1"/>
  <c r="A215" i="3"/>
  <c r="C215" i="3" s="1"/>
  <c r="A216" i="3"/>
  <c r="B216" i="3" s="1"/>
  <c r="A217" i="3"/>
  <c r="C217" i="3" s="1"/>
  <c r="A218" i="3"/>
  <c r="A219" i="3"/>
  <c r="C219" i="3" s="1"/>
  <c r="A220" i="3"/>
  <c r="B220" i="3" s="1"/>
  <c r="A221" i="3"/>
  <c r="B221" i="3" s="1"/>
  <c r="A222" i="3"/>
  <c r="C222" i="3" s="1"/>
  <c r="A223" i="3"/>
  <c r="C223" i="3" s="1"/>
  <c r="A224" i="3"/>
  <c r="B224" i="3" s="1"/>
  <c r="A225" i="3"/>
  <c r="A226" i="3"/>
  <c r="B226" i="3" s="1"/>
  <c r="A227" i="3"/>
  <c r="A228" i="3"/>
  <c r="C228" i="3" s="1"/>
  <c r="A229" i="3"/>
  <c r="B229" i="3" s="1"/>
  <c r="A230" i="3"/>
  <c r="B230" i="3" s="1"/>
  <c r="A231" i="3"/>
  <c r="C231" i="3" s="1"/>
  <c r="A232" i="3"/>
  <c r="B232" i="3" s="1"/>
  <c r="A233" i="3"/>
  <c r="C233" i="3" s="1"/>
  <c r="A234" i="3"/>
  <c r="A235" i="3"/>
  <c r="C235" i="3" s="1"/>
  <c r="A236" i="3"/>
  <c r="C236" i="3" s="1"/>
  <c r="A237" i="3"/>
  <c r="B237" i="3" s="1"/>
  <c r="A238" i="3"/>
  <c r="C238" i="3" s="1"/>
  <c r="A239" i="3"/>
  <c r="C239" i="3" s="1"/>
  <c r="A240" i="3"/>
  <c r="B240" i="3" s="1"/>
  <c r="A241" i="3"/>
  <c r="A242" i="3"/>
  <c r="B242" i="3" s="1"/>
  <c r="A243" i="3"/>
  <c r="C243" i="3" s="1"/>
  <c r="A244" i="3"/>
  <c r="B244" i="3" s="1"/>
  <c r="A245" i="3"/>
  <c r="C245" i="3" s="1"/>
  <c r="A246" i="3"/>
  <c r="B246" i="3" s="1"/>
  <c r="A247" i="3"/>
  <c r="C247" i="3" s="1"/>
  <c r="A248" i="3"/>
  <c r="B248" i="3" s="1"/>
  <c r="A249" i="3"/>
  <c r="A250" i="3"/>
  <c r="A251" i="3"/>
  <c r="C251" i="3" s="1"/>
  <c r="A252" i="3"/>
  <c r="B252" i="3" s="1"/>
  <c r="A253" i="3"/>
  <c r="B253" i="3" s="1"/>
  <c r="A254" i="3"/>
  <c r="C254" i="3" s="1"/>
  <c r="A255" i="3"/>
  <c r="C255" i="3" s="1"/>
  <c r="A256" i="3"/>
  <c r="B256" i="3" s="1"/>
  <c r="A257" i="3"/>
  <c r="A258" i="3"/>
  <c r="B258" i="3" s="1"/>
  <c r="A259" i="3"/>
  <c r="A260" i="3"/>
  <c r="B260" i="3" s="1"/>
  <c r="A261" i="3"/>
  <c r="B261" i="3" s="1"/>
  <c r="A262" i="3"/>
  <c r="B262" i="3" s="1"/>
  <c r="A263" i="3"/>
  <c r="C263" i="3" s="1"/>
  <c r="A264" i="3"/>
  <c r="B264" i="3" s="1"/>
  <c r="A265" i="3"/>
  <c r="A266" i="3"/>
  <c r="A267" i="3"/>
  <c r="C267" i="3" s="1"/>
  <c r="A268" i="3"/>
  <c r="C268" i="3" s="1"/>
  <c r="A269" i="3"/>
  <c r="B269" i="3" s="1"/>
  <c r="A270" i="3"/>
  <c r="B270" i="3" s="1"/>
  <c r="A271" i="3"/>
  <c r="C271" i="3" s="1"/>
  <c r="A272" i="3"/>
  <c r="C272" i="3" s="1"/>
  <c r="A273" i="3"/>
  <c r="A274" i="3"/>
  <c r="B274" i="3" s="1"/>
  <c r="A275" i="3"/>
  <c r="C275" i="3" s="1"/>
  <c r="A276" i="3"/>
  <c r="B276" i="3" s="1"/>
  <c r="A277" i="3"/>
  <c r="C277" i="3" s="1"/>
  <c r="A278" i="3"/>
  <c r="B278" i="3" s="1"/>
  <c r="A279" i="3"/>
  <c r="C279" i="3" s="1"/>
  <c r="A280" i="3"/>
  <c r="C280" i="3" s="1"/>
  <c r="A281" i="3"/>
  <c r="A282" i="3"/>
  <c r="A283" i="3"/>
  <c r="C283" i="3" s="1"/>
  <c r="A284" i="3"/>
  <c r="B284" i="3" s="1"/>
  <c r="A285" i="3"/>
  <c r="C285" i="3" s="1"/>
  <c r="A286" i="3"/>
  <c r="C286" i="3" s="1"/>
  <c r="A287" i="3"/>
  <c r="C287" i="3" s="1"/>
  <c r="A288" i="3"/>
  <c r="C288" i="3" s="1"/>
  <c r="A289" i="3"/>
  <c r="B289" i="3" s="1"/>
  <c r="A290" i="3"/>
  <c r="C290" i="3" s="1"/>
  <c r="A291" i="3"/>
  <c r="A292" i="3"/>
  <c r="B292" i="3" s="1"/>
  <c r="A293" i="3"/>
  <c r="B293" i="3" s="1"/>
  <c r="A294" i="3"/>
  <c r="B294" i="3" s="1"/>
  <c r="A295" i="3"/>
  <c r="C295" i="3" s="1"/>
  <c r="A296" i="3"/>
  <c r="B296" i="3" s="1"/>
  <c r="A297" i="3"/>
  <c r="A298" i="3"/>
  <c r="A299" i="3"/>
  <c r="C299" i="3" s="1"/>
  <c r="A300" i="3"/>
  <c r="C300" i="3" s="1"/>
  <c r="A301" i="3"/>
  <c r="C301" i="3" s="1"/>
  <c r="A302" i="3"/>
  <c r="B302" i="3" s="1"/>
  <c r="A303" i="3"/>
  <c r="C303" i="3" s="1"/>
  <c r="A304" i="3"/>
  <c r="B304" i="3" s="1"/>
  <c r="A305" i="3"/>
  <c r="B305" i="3" s="1"/>
  <c r="A306" i="3"/>
  <c r="C306" i="3" s="1"/>
  <c r="A307" i="3"/>
  <c r="C307" i="3" s="1"/>
  <c r="A308" i="3"/>
  <c r="B308" i="3" s="1"/>
  <c r="A309" i="3"/>
  <c r="C309" i="3" s="1"/>
  <c r="A310" i="3"/>
  <c r="B310" i="3" s="1"/>
  <c r="A311" i="3"/>
  <c r="C311" i="3" s="1"/>
  <c r="A312" i="3"/>
  <c r="B312" i="3" s="1"/>
  <c r="A313" i="3"/>
  <c r="A314" i="3"/>
  <c r="A315" i="3"/>
  <c r="C315" i="3" s="1"/>
  <c r="A316" i="3"/>
  <c r="B316" i="3" s="1"/>
  <c r="A317" i="3"/>
  <c r="B317" i="3" s="1"/>
  <c r="A318" i="3"/>
  <c r="C318" i="3" s="1"/>
  <c r="A319" i="3"/>
  <c r="C319" i="3" s="1"/>
  <c r="A320" i="3"/>
  <c r="B320" i="3" s="1"/>
  <c r="A321" i="3"/>
  <c r="B321" i="3" s="1"/>
  <c r="A322" i="3"/>
  <c r="A323" i="3"/>
  <c r="A324" i="3"/>
  <c r="B324" i="3" s="1"/>
  <c r="A325" i="3"/>
  <c r="B325" i="3" s="1"/>
  <c r="A326" i="3"/>
  <c r="B326" i="3" s="1"/>
  <c r="A327" i="3"/>
  <c r="C327" i="3" s="1"/>
  <c r="A328" i="3"/>
  <c r="B328" i="3" s="1"/>
  <c r="A329" i="3"/>
  <c r="A330" i="3"/>
  <c r="A331" i="3"/>
  <c r="C331" i="3" s="1"/>
  <c r="A332" i="3"/>
  <c r="C332" i="3" s="1"/>
  <c r="A333" i="3"/>
  <c r="B333" i="3" s="1"/>
  <c r="A334" i="3"/>
  <c r="B334" i="3" s="1"/>
  <c r="A335" i="3"/>
  <c r="C335" i="3" s="1"/>
  <c r="A336" i="3"/>
  <c r="B336" i="3" s="1"/>
  <c r="A337" i="3"/>
  <c r="B337" i="3" s="1"/>
  <c r="A338" i="3"/>
  <c r="A339" i="3"/>
  <c r="C339" i="3" s="1"/>
  <c r="A340" i="3"/>
  <c r="B340" i="3" s="1"/>
  <c r="A341" i="3"/>
  <c r="C341" i="3" s="1"/>
  <c r="A342" i="3"/>
  <c r="B342" i="3" s="1"/>
  <c r="A343" i="3"/>
  <c r="B343" i="3" s="1"/>
  <c r="A344" i="3"/>
  <c r="B344" i="3" s="1"/>
  <c r="A345" i="3"/>
  <c r="A346" i="3"/>
  <c r="B346" i="3" s="1"/>
  <c r="A347" i="3"/>
  <c r="C347" i="3" s="1"/>
  <c r="A348" i="3"/>
  <c r="B348" i="3" s="1"/>
  <c r="A349" i="3"/>
  <c r="C349" i="3" s="1"/>
  <c r="A350" i="3"/>
  <c r="B350" i="3" s="1"/>
  <c r="A351" i="3"/>
  <c r="B351" i="3" s="1"/>
  <c r="A352" i="3"/>
  <c r="B352" i="3" s="1"/>
  <c r="A353" i="3"/>
  <c r="A354" i="3"/>
  <c r="A355" i="3"/>
  <c r="B355" i="3" s="1"/>
  <c r="A356" i="3"/>
  <c r="C356" i="3" s="1"/>
  <c r="A357" i="3"/>
  <c r="C357" i="3" s="1"/>
  <c r="A358" i="3"/>
  <c r="B358" i="3" s="1"/>
  <c r="A359" i="3"/>
  <c r="B359" i="3" s="1"/>
  <c r="A360" i="3"/>
  <c r="B360" i="3" s="1"/>
  <c r="A361" i="3"/>
  <c r="A362" i="3"/>
  <c r="A363" i="3"/>
  <c r="B363" i="3" s="1"/>
  <c r="A364" i="3"/>
  <c r="B364" i="3" s="1"/>
  <c r="A365" i="3"/>
  <c r="C365" i="3" s="1"/>
  <c r="A366" i="3"/>
  <c r="B366" i="3" s="1"/>
  <c r="A367" i="3"/>
  <c r="B367" i="3" s="1"/>
  <c r="A368" i="3"/>
  <c r="B368" i="3" s="1"/>
  <c r="A369" i="3"/>
  <c r="C369" i="3" s="1"/>
  <c r="A370" i="3"/>
  <c r="C370" i="3" s="1"/>
  <c r="A371" i="3"/>
  <c r="B371" i="3" s="1"/>
  <c r="A372" i="3"/>
  <c r="C372" i="3" s="1"/>
  <c r="A373" i="3"/>
  <c r="C373" i="3" s="1"/>
  <c r="A374" i="3"/>
  <c r="B374" i="3" s="1"/>
  <c r="A375" i="3"/>
  <c r="B375" i="3" s="1"/>
  <c r="A376" i="3"/>
  <c r="B376" i="3" s="1"/>
  <c r="A377" i="3"/>
  <c r="A378" i="3"/>
  <c r="B378" i="3" s="1"/>
  <c r="A379" i="3"/>
  <c r="C379" i="3" s="1"/>
  <c r="A380" i="3"/>
  <c r="B380" i="3" s="1"/>
  <c r="A381" i="3"/>
  <c r="C381" i="3" s="1"/>
  <c r="A382" i="3"/>
  <c r="C382" i="3" s="1"/>
  <c r="A383" i="3"/>
  <c r="B383" i="3" s="1"/>
  <c r="A384" i="3"/>
  <c r="B384" i="3" s="1"/>
  <c r="A385" i="3"/>
  <c r="A386" i="3"/>
  <c r="A387" i="3"/>
  <c r="B387" i="3" s="1"/>
  <c r="A388" i="3"/>
  <c r="B388" i="3" s="1"/>
  <c r="A389" i="3"/>
  <c r="B389" i="3" s="1"/>
  <c r="A390" i="3"/>
  <c r="B390" i="3" s="1"/>
  <c r="A391" i="3"/>
  <c r="C391" i="3" s="1"/>
  <c r="A392" i="3"/>
  <c r="B392" i="3" s="1"/>
  <c r="A393" i="3"/>
  <c r="A394" i="3"/>
  <c r="A395" i="3"/>
  <c r="B395" i="3" s="1"/>
  <c r="A396" i="3"/>
  <c r="B396" i="3" s="1"/>
  <c r="A397" i="3"/>
  <c r="B397" i="3" s="1"/>
  <c r="A398" i="3"/>
  <c r="B398" i="3" s="1"/>
  <c r="A399" i="3"/>
  <c r="B399" i="3" s="1"/>
  <c r="A400" i="3"/>
  <c r="B400" i="3" s="1"/>
  <c r="A401" i="3"/>
  <c r="A402" i="3"/>
  <c r="A403" i="3"/>
  <c r="C403" i="3" s="1"/>
  <c r="A404" i="3"/>
  <c r="B404" i="3" s="1"/>
  <c r="A405" i="3"/>
  <c r="B405" i="3" s="1"/>
  <c r="A406" i="3"/>
  <c r="B406" i="3" s="1"/>
  <c r="A407" i="3"/>
  <c r="B407" i="3" s="1"/>
  <c r="A408" i="3"/>
  <c r="B408" i="3" s="1"/>
  <c r="A409" i="3"/>
  <c r="A410" i="3"/>
  <c r="A411" i="3"/>
  <c r="B411" i="3" s="1"/>
  <c r="A412" i="3"/>
  <c r="B412" i="3" s="1"/>
  <c r="A413" i="3"/>
  <c r="B413" i="3" s="1"/>
  <c r="A414" i="3"/>
  <c r="C414" i="3" s="1"/>
  <c r="A415" i="3"/>
  <c r="B415" i="3" s="1"/>
  <c r="A416" i="3"/>
  <c r="B416" i="3" s="1"/>
  <c r="A417" i="3"/>
  <c r="A418" i="3"/>
  <c r="A419" i="3"/>
  <c r="B419" i="3" s="1"/>
  <c r="A420" i="3"/>
  <c r="B420" i="3" s="1"/>
  <c r="A421" i="3"/>
  <c r="B421" i="3" s="1"/>
  <c r="A422" i="3"/>
  <c r="B422" i="3" s="1"/>
  <c r="A423" i="3"/>
  <c r="C423" i="3" s="1"/>
  <c r="A424" i="3"/>
  <c r="B424" i="3" s="1"/>
  <c r="A425" i="3"/>
  <c r="A426" i="3"/>
  <c r="A427" i="3"/>
  <c r="B427" i="3" s="1"/>
  <c r="A428" i="3"/>
  <c r="B428" i="3" s="1"/>
  <c r="A429" i="3"/>
  <c r="B429" i="3" s="1"/>
  <c r="A430" i="3"/>
  <c r="B430" i="3" s="1"/>
  <c r="A431" i="3"/>
  <c r="B431" i="3" s="1"/>
  <c r="A432" i="3"/>
  <c r="B432" i="3" s="1"/>
  <c r="A433" i="3"/>
  <c r="A434" i="3"/>
  <c r="A435" i="3"/>
  <c r="C435" i="3" s="1"/>
  <c r="A436" i="3"/>
  <c r="B436" i="3" s="1"/>
  <c r="A437" i="3"/>
  <c r="B437" i="3" s="1"/>
  <c r="A438" i="3"/>
  <c r="B438" i="3" s="1"/>
  <c r="A439" i="3"/>
  <c r="B439" i="3" s="1"/>
  <c r="A440" i="3"/>
  <c r="B440" i="3" s="1"/>
  <c r="A441" i="3"/>
  <c r="A442" i="3"/>
  <c r="A443" i="3"/>
  <c r="B443" i="3" s="1"/>
  <c r="A444" i="3"/>
  <c r="B444" i="3" s="1"/>
  <c r="A445" i="3"/>
  <c r="B445" i="3" s="1"/>
  <c r="A446" i="3"/>
  <c r="C446" i="3" s="1"/>
  <c r="A447" i="3"/>
  <c r="B447" i="3" s="1"/>
  <c r="A448" i="3"/>
  <c r="B448" i="3" s="1"/>
  <c r="A449" i="3"/>
  <c r="A450" i="3"/>
  <c r="A451" i="3"/>
  <c r="B451" i="3" s="1"/>
  <c r="A452" i="3"/>
  <c r="B452" i="3" s="1"/>
  <c r="A453" i="3"/>
  <c r="B453" i="3" s="1"/>
  <c r="A3" i="3"/>
  <c r="A4" i="3"/>
  <c r="B4" i="3" s="1"/>
  <c r="A5" i="3"/>
  <c r="B5" i="3" s="1"/>
  <c r="A6" i="3"/>
  <c r="A7" i="3"/>
  <c r="A8" i="3"/>
  <c r="B8" i="3" s="1"/>
  <c r="A9" i="3"/>
  <c r="B9" i="3" s="1"/>
  <c r="A10" i="3"/>
  <c r="B10" i="3" s="1"/>
  <c r="A11" i="3"/>
  <c r="C11" i="3" s="1"/>
  <c r="A2" i="3"/>
  <c r="A2" i="2"/>
  <c r="B2" i="2" s="1"/>
  <c r="A3" i="2"/>
  <c r="B3" i="2" s="1"/>
  <c r="A4" i="2"/>
  <c r="B4" i="2" s="1"/>
  <c r="A5" i="2"/>
  <c r="B5" i="2" s="1"/>
  <c r="A6" i="2"/>
  <c r="B6" i="2" s="1"/>
  <c r="A7" i="2"/>
  <c r="B7" i="2" s="1"/>
  <c r="A8" i="2"/>
  <c r="B8" i="2" s="1"/>
  <c r="A9" i="2"/>
  <c r="B9" i="2" s="1"/>
  <c r="A10" i="2"/>
  <c r="B10" i="2" s="1"/>
  <c r="A11" i="2"/>
  <c r="B11" i="2" s="1"/>
  <c r="A12" i="2"/>
  <c r="B12" i="2" s="1"/>
  <c r="A13" i="2"/>
  <c r="B13" i="2" s="1"/>
  <c r="A14" i="2"/>
  <c r="B14" i="2" s="1"/>
  <c r="A15" i="2"/>
  <c r="B15" i="2" s="1"/>
  <c r="A16" i="2"/>
  <c r="B16" i="2" s="1"/>
  <c r="A17" i="2"/>
  <c r="B17" i="2" s="1"/>
  <c r="A18" i="2"/>
  <c r="B18" i="2" s="1"/>
  <c r="A19" i="2"/>
  <c r="B19" i="2" s="1"/>
  <c r="A20" i="2"/>
  <c r="B20" i="2" s="1"/>
  <c r="A21" i="2"/>
  <c r="B21" i="2" s="1"/>
  <c r="A22" i="2"/>
  <c r="B22" i="2" s="1"/>
  <c r="A23" i="2"/>
  <c r="B23" i="2" s="1"/>
  <c r="A24" i="2"/>
  <c r="B24" i="2" s="1"/>
  <c r="A25" i="2"/>
  <c r="B25" i="2" s="1"/>
  <c r="A26" i="2"/>
  <c r="B26" i="2" s="1"/>
  <c r="A27" i="2"/>
  <c r="B27" i="2" s="1"/>
  <c r="A28" i="2"/>
  <c r="B28" i="2" s="1"/>
  <c r="A29" i="2"/>
  <c r="B29" i="2" s="1"/>
  <c r="A30" i="2"/>
  <c r="B30" i="2" s="1"/>
  <c r="A31" i="2"/>
  <c r="B31" i="2" s="1"/>
  <c r="A32" i="2"/>
  <c r="B32" i="2" s="1"/>
  <c r="A33" i="2"/>
  <c r="B33" i="2" s="1"/>
  <c r="A34" i="2"/>
  <c r="B34" i="2" s="1"/>
  <c r="A35" i="2"/>
  <c r="B35" i="2" s="1"/>
  <c r="A36" i="2"/>
  <c r="B36" i="2" s="1"/>
  <c r="A37" i="2"/>
  <c r="B37" i="2" s="1"/>
  <c r="A38" i="2"/>
  <c r="B38" i="2" s="1"/>
  <c r="A39" i="2"/>
  <c r="B39" i="2" s="1"/>
  <c r="A40" i="2"/>
  <c r="B40" i="2" s="1"/>
  <c r="A41" i="2"/>
  <c r="B41" i="2" s="1"/>
  <c r="A42" i="2"/>
  <c r="B42" i="2" s="1"/>
  <c r="A43" i="2"/>
  <c r="B43" i="2" s="1"/>
  <c r="A44" i="2"/>
  <c r="B44" i="2" s="1"/>
  <c r="A45" i="2"/>
  <c r="B45" i="2" s="1"/>
  <c r="A46" i="2"/>
  <c r="B46" i="2" s="1"/>
  <c r="A47" i="2"/>
  <c r="B47" i="2" s="1"/>
  <c r="A48" i="2"/>
  <c r="B48" i="2" s="1"/>
  <c r="A49" i="2"/>
  <c r="B49" i="2" s="1"/>
  <c r="A50" i="2"/>
  <c r="B50" i="2" s="1"/>
  <c r="A51" i="2"/>
  <c r="B51" i="2" s="1"/>
  <c r="A52" i="2"/>
  <c r="B52" i="2" s="1"/>
  <c r="A53" i="2"/>
  <c r="B53" i="2" s="1"/>
  <c r="A54" i="2"/>
  <c r="B54" i="2" s="1"/>
  <c r="A55" i="2"/>
  <c r="B55" i="2" s="1"/>
  <c r="A56" i="2"/>
  <c r="B56" i="2" s="1"/>
  <c r="A57" i="2"/>
  <c r="B57" i="2" s="1"/>
  <c r="A58" i="2"/>
  <c r="B58" i="2" s="1"/>
  <c r="A59" i="2"/>
  <c r="B59" i="2" s="1"/>
  <c r="A60" i="2"/>
  <c r="B60" i="2" s="1"/>
  <c r="A61" i="2"/>
  <c r="B61" i="2" s="1"/>
  <c r="A62" i="2"/>
  <c r="B62" i="2" s="1"/>
  <c r="A63" i="2"/>
  <c r="B63" i="2" s="1"/>
  <c r="A64" i="2"/>
  <c r="B64" i="2" s="1"/>
  <c r="A65" i="2"/>
  <c r="B65" i="2" s="1"/>
  <c r="A66" i="2"/>
  <c r="B66" i="2" s="1"/>
  <c r="A67" i="2"/>
  <c r="B67" i="2" s="1"/>
  <c r="A68" i="2"/>
  <c r="B68" i="2" s="1"/>
  <c r="A69" i="2"/>
  <c r="B69" i="2" s="1"/>
  <c r="A70" i="2"/>
  <c r="B70" i="2" s="1"/>
  <c r="A71" i="2"/>
  <c r="B71" i="2" s="1"/>
  <c r="A72" i="2"/>
  <c r="B72" i="2" s="1"/>
  <c r="A73" i="2"/>
  <c r="B73" i="2" s="1"/>
  <c r="A74" i="2"/>
  <c r="B74" i="2" s="1"/>
  <c r="A75" i="2"/>
  <c r="B75" i="2" s="1"/>
  <c r="A76" i="2"/>
  <c r="B76" i="2" s="1"/>
  <c r="A77" i="2"/>
  <c r="B77" i="2" s="1"/>
  <c r="A78" i="2"/>
  <c r="B78" i="2" s="1"/>
  <c r="A79" i="2"/>
  <c r="B79" i="2" s="1"/>
  <c r="A80" i="2"/>
  <c r="B80" i="2" s="1"/>
  <c r="A81" i="2"/>
  <c r="B81" i="2" s="1"/>
  <c r="A82" i="2"/>
  <c r="B82" i="2" s="1"/>
  <c r="A83" i="2"/>
  <c r="B83" i="2" s="1"/>
  <c r="A84" i="2"/>
  <c r="B84" i="2" s="1"/>
  <c r="A85" i="2"/>
  <c r="B85" i="2" s="1"/>
  <c r="A86" i="2"/>
  <c r="B86" i="2" s="1"/>
  <c r="A87" i="2"/>
  <c r="B87" i="2" s="1"/>
  <c r="A88" i="2"/>
  <c r="B88" i="2" s="1"/>
  <c r="A89" i="2"/>
  <c r="B89" i="2" s="1"/>
  <c r="A90" i="2"/>
  <c r="B90" i="2" s="1"/>
  <c r="A91" i="2"/>
  <c r="B91" i="2" s="1"/>
  <c r="A92" i="2"/>
  <c r="B92" i="2" s="1"/>
  <c r="A93" i="2"/>
  <c r="B93" i="2" s="1"/>
  <c r="A94" i="2"/>
  <c r="B94" i="2" s="1"/>
  <c r="A95" i="2"/>
  <c r="B95" i="2" s="1"/>
  <c r="A96" i="2"/>
  <c r="B96" i="2" s="1"/>
  <c r="A97" i="2"/>
  <c r="B97" i="2" s="1"/>
  <c r="A98" i="2"/>
  <c r="B98" i="2" s="1"/>
  <c r="A99" i="2"/>
  <c r="B99" i="2" s="1"/>
  <c r="A100" i="2"/>
  <c r="B100" i="2" s="1"/>
  <c r="A101" i="2"/>
  <c r="B101" i="2" s="1"/>
  <c r="A102" i="2"/>
  <c r="B102" i="2" s="1"/>
  <c r="A103" i="2"/>
  <c r="B103" i="2" s="1"/>
  <c r="A104" i="2"/>
  <c r="B104" i="2" s="1"/>
  <c r="A105" i="2"/>
  <c r="B105" i="2" s="1"/>
  <c r="A106" i="2"/>
  <c r="B106" i="2" s="1"/>
  <c r="A107" i="2"/>
  <c r="B107" i="2" s="1"/>
  <c r="A108" i="2"/>
  <c r="B108" i="2" s="1"/>
  <c r="A109" i="2"/>
  <c r="B109" i="2" s="1"/>
  <c r="A110" i="2"/>
  <c r="B110" i="2" s="1"/>
  <c r="A111" i="2"/>
  <c r="B111" i="2" s="1"/>
  <c r="A112" i="2"/>
  <c r="B112" i="2" s="1"/>
  <c r="A113" i="2"/>
  <c r="B113" i="2" s="1"/>
  <c r="A114" i="2"/>
  <c r="B114" i="2" s="1"/>
  <c r="A115" i="2"/>
  <c r="B115" i="2" s="1"/>
  <c r="A116" i="2"/>
  <c r="B116" i="2" s="1"/>
  <c r="A117" i="2"/>
  <c r="B117" i="2" s="1"/>
  <c r="A118" i="2"/>
  <c r="B118" i="2" s="1"/>
  <c r="A119" i="2"/>
  <c r="B119" i="2" s="1"/>
  <c r="A120" i="2"/>
  <c r="B120" i="2" s="1"/>
  <c r="A121" i="2"/>
  <c r="B121" i="2" s="1"/>
  <c r="A122" i="2"/>
  <c r="B122" i="2" s="1"/>
  <c r="A123" i="2"/>
  <c r="B123" i="2" s="1"/>
  <c r="A124" i="2"/>
  <c r="B124" i="2" s="1"/>
  <c r="A125" i="2"/>
  <c r="B125" i="2" s="1"/>
  <c r="A126" i="2"/>
  <c r="B126" i="2" s="1"/>
  <c r="A127" i="2"/>
  <c r="B127" i="2" s="1"/>
  <c r="A128" i="2"/>
  <c r="B128" i="2" s="1"/>
  <c r="A129" i="2"/>
  <c r="B129" i="2" s="1"/>
  <c r="A130" i="2"/>
  <c r="B130" i="2" s="1"/>
  <c r="A131" i="2"/>
  <c r="B131" i="2" s="1"/>
  <c r="A132" i="2"/>
  <c r="B132" i="2" s="1"/>
  <c r="A133" i="2"/>
  <c r="B133" i="2" s="1"/>
  <c r="A134" i="2"/>
  <c r="B134" i="2" s="1"/>
  <c r="A135" i="2"/>
  <c r="B135" i="2" s="1"/>
  <c r="A136" i="2"/>
  <c r="B136" i="2" s="1"/>
  <c r="A137" i="2"/>
  <c r="B137" i="2" s="1"/>
  <c r="A138" i="2"/>
  <c r="B138" i="2" s="1"/>
  <c r="A139" i="2"/>
  <c r="B139" i="2" s="1"/>
  <c r="A140" i="2"/>
  <c r="B140" i="2" s="1"/>
  <c r="A141" i="2"/>
  <c r="B141" i="2" s="1"/>
  <c r="A142" i="2"/>
  <c r="B142" i="2" s="1"/>
  <c r="A143" i="2"/>
  <c r="B143" i="2" s="1"/>
  <c r="A144" i="2"/>
  <c r="B144" i="2" s="1"/>
  <c r="A145" i="2"/>
  <c r="B145" i="2" s="1"/>
  <c r="A146" i="2"/>
  <c r="B146" i="2" s="1"/>
  <c r="A147" i="2"/>
  <c r="B147" i="2" s="1"/>
  <c r="A148" i="2"/>
  <c r="B148" i="2" s="1"/>
  <c r="A149" i="2"/>
  <c r="B149" i="2" s="1"/>
  <c r="A150" i="2"/>
  <c r="B150" i="2" s="1"/>
  <c r="A151" i="2"/>
  <c r="B151" i="2" s="1"/>
  <c r="A152" i="2"/>
  <c r="B152" i="2" s="1"/>
  <c r="A153" i="2"/>
  <c r="B153" i="2" s="1"/>
  <c r="A154" i="2"/>
  <c r="B154" i="2" s="1"/>
  <c r="A155" i="2"/>
  <c r="B155" i="2" s="1"/>
  <c r="A156" i="2"/>
  <c r="B156" i="2" s="1"/>
  <c r="A157" i="2"/>
  <c r="B157" i="2" s="1"/>
  <c r="A158" i="2"/>
  <c r="B158" i="2" s="1"/>
  <c r="A159" i="2"/>
  <c r="B159" i="2" s="1"/>
  <c r="A160" i="2"/>
  <c r="B160" i="2" s="1"/>
  <c r="A161" i="2"/>
  <c r="B161" i="2" s="1"/>
  <c r="A162" i="2"/>
  <c r="B162" i="2" s="1"/>
  <c r="A163" i="2"/>
  <c r="B163" i="2" s="1"/>
  <c r="A164" i="2"/>
  <c r="B164" i="2" s="1"/>
  <c r="A165" i="2"/>
  <c r="B165" i="2" s="1"/>
  <c r="A166" i="2"/>
  <c r="B166" i="2" s="1"/>
  <c r="A167" i="2"/>
  <c r="B167" i="2" s="1"/>
  <c r="A168" i="2"/>
  <c r="B168" i="2" s="1"/>
  <c r="A169" i="2"/>
  <c r="B169" i="2" s="1"/>
  <c r="A170" i="2"/>
  <c r="B170" i="2" s="1"/>
  <c r="A171" i="2"/>
  <c r="B171" i="2" s="1"/>
  <c r="A172" i="2"/>
  <c r="B172" i="2" s="1"/>
  <c r="A173" i="2"/>
  <c r="B173" i="2" s="1"/>
  <c r="A174" i="2"/>
  <c r="B174" i="2" s="1"/>
  <c r="A175" i="2"/>
  <c r="B175" i="2" s="1"/>
  <c r="A176" i="2"/>
  <c r="B176" i="2" s="1"/>
  <c r="A177" i="2"/>
  <c r="B177" i="2" s="1"/>
  <c r="A178" i="2"/>
  <c r="B178" i="2" s="1"/>
  <c r="A179" i="2"/>
  <c r="B179" i="2" s="1"/>
  <c r="A180" i="2"/>
  <c r="B180" i="2" s="1"/>
  <c r="A181" i="2"/>
  <c r="B181" i="2" s="1"/>
  <c r="A182" i="2"/>
  <c r="B182" i="2" s="1"/>
  <c r="A183" i="2"/>
  <c r="B183" i="2" s="1"/>
  <c r="A184" i="2"/>
  <c r="B184" i="2" s="1"/>
  <c r="A185" i="2"/>
  <c r="B185" i="2" s="1"/>
  <c r="A186" i="2"/>
  <c r="B186" i="2" s="1"/>
  <c r="A187" i="2"/>
  <c r="B187" i="2" s="1"/>
  <c r="A188" i="2"/>
  <c r="B188" i="2" s="1"/>
  <c r="A189" i="2"/>
  <c r="B189" i="2" s="1"/>
  <c r="A190" i="2"/>
  <c r="B190" i="2" s="1"/>
  <c r="A191" i="2"/>
  <c r="B191" i="2" s="1"/>
  <c r="A192" i="2"/>
  <c r="B192" i="2" s="1"/>
  <c r="A193" i="2"/>
  <c r="B193" i="2" s="1"/>
  <c r="A194" i="2"/>
  <c r="B194" i="2" s="1"/>
  <c r="A195" i="2"/>
  <c r="B195" i="2" s="1"/>
  <c r="A196" i="2"/>
  <c r="B196" i="2" s="1"/>
  <c r="A197" i="2"/>
  <c r="B197" i="2" s="1"/>
  <c r="A198" i="2"/>
  <c r="B198" i="2" s="1"/>
  <c r="A199" i="2"/>
  <c r="B199" i="2" s="1"/>
  <c r="A200" i="2"/>
  <c r="B200" i="2" s="1"/>
  <c r="A201" i="2"/>
  <c r="B201" i="2" s="1"/>
  <c r="A202" i="2"/>
  <c r="B202" i="2" s="1"/>
  <c r="A203" i="2"/>
  <c r="B203" i="2" s="1"/>
  <c r="A204" i="2"/>
  <c r="B204" i="2" s="1"/>
  <c r="A205" i="2"/>
  <c r="B205" i="2" s="1"/>
  <c r="A206" i="2"/>
  <c r="B206" i="2" s="1"/>
  <c r="A207" i="2"/>
  <c r="B207" i="2" s="1"/>
  <c r="A208" i="2"/>
  <c r="B208" i="2" s="1"/>
  <c r="A209" i="2"/>
  <c r="B209" i="2" s="1"/>
  <c r="A210" i="2"/>
  <c r="B210" i="2" s="1"/>
  <c r="A211" i="2"/>
  <c r="B211" i="2" s="1"/>
  <c r="A212" i="2"/>
  <c r="B212" i="2" s="1"/>
  <c r="A213" i="2"/>
  <c r="B213" i="2" s="1"/>
  <c r="A214" i="2"/>
  <c r="B214" i="2" s="1"/>
  <c r="A215" i="2"/>
  <c r="B215" i="2" s="1"/>
  <c r="A216" i="2"/>
  <c r="B216" i="2" s="1"/>
  <c r="A217" i="2"/>
  <c r="B217" i="2" s="1"/>
  <c r="A218" i="2"/>
  <c r="B218" i="2" s="1"/>
  <c r="A219" i="2"/>
  <c r="B219" i="2" s="1"/>
  <c r="A220" i="2"/>
  <c r="B220" i="2" s="1"/>
  <c r="A221" i="2"/>
  <c r="B221" i="2" s="1"/>
  <c r="A222" i="2"/>
  <c r="B222" i="2" s="1"/>
  <c r="A223" i="2"/>
  <c r="B223" i="2" s="1"/>
  <c r="A224" i="2"/>
  <c r="B224" i="2" s="1"/>
  <c r="A225" i="2"/>
  <c r="B225" i="2" s="1"/>
  <c r="A226" i="2"/>
  <c r="B226" i="2" s="1"/>
  <c r="A227" i="2"/>
  <c r="B227" i="2" s="1"/>
  <c r="A228" i="2"/>
  <c r="B228" i="2" s="1"/>
  <c r="A229" i="2"/>
  <c r="B229" i="2" s="1"/>
  <c r="A230" i="2"/>
  <c r="B230" i="2" s="1"/>
  <c r="A231" i="2"/>
  <c r="B231" i="2" s="1"/>
  <c r="A232" i="2"/>
  <c r="B232" i="2" s="1"/>
  <c r="A233" i="2"/>
  <c r="B233" i="2" s="1"/>
  <c r="A234" i="2"/>
  <c r="B234" i="2" s="1"/>
  <c r="A235" i="2"/>
  <c r="B235" i="2" s="1"/>
  <c r="A236" i="2"/>
  <c r="B236" i="2" s="1"/>
  <c r="A237" i="2"/>
  <c r="B237" i="2" s="1"/>
  <c r="A238" i="2"/>
  <c r="B238" i="2" s="1"/>
  <c r="A239" i="2"/>
  <c r="B239" i="2" s="1"/>
  <c r="A240" i="2"/>
  <c r="B240" i="2" s="1"/>
  <c r="A241" i="2"/>
  <c r="B241" i="2" s="1"/>
  <c r="A242" i="2"/>
  <c r="B242" i="2" s="1"/>
  <c r="A243" i="2"/>
  <c r="B243" i="2" s="1"/>
  <c r="A244" i="2"/>
  <c r="B244" i="2" s="1"/>
  <c r="A245" i="2"/>
  <c r="B245" i="2" s="1"/>
  <c r="A246" i="2"/>
  <c r="B246" i="2" s="1"/>
  <c r="A247" i="2"/>
  <c r="B247" i="2" s="1"/>
  <c r="A248" i="2"/>
  <c r="B248" i="2" s="1"/>
  <c r="A249" i="2"/>
  <c r="B249" i="2" s="1"/>
  <c r="A250" i="2"/>
  <c r="B250" i="2" s="1"/>
  <c r="A251" i="2"/>
  <c r="B251" i="2" s="1"/>
  <c r="A252" i="2"/>
  <c r="B252" i="2" s="1"/>
  <c r="A253" i="2"/>
  <c r="B253" i="2" s="1"/>
  <c r="A254" i="2"/>
  <c r="B254" i="2" s="1"/>
  <c r="A255" i="2"/>
  <c r="B255" i="2" s="1"/>
  <c r="A256" i="2"/>
  <c r="B256" i="2" s="1"/>
  <c r="A257" i="2"/>
  <c r="B257" i="2" s="1"/>
  <c r="A258" i="2"/>
  <c r="B258" i="2" s="1"/>
  <c r="A259" i="2"/>
  <c r="B259" i="2" s="1"/>
  <c r="A260" i="2"/>
  <c r="B260" i="2" s="1"/>
  <c r="A261" i="2"/>
  <c r="B261" i="2" s="1"/>
  <c r="A262" i="2"/>
  <c r="B262" i="2" s="1"/>
  <c r="A263" i="2"/>
  <c r="B263" i="2" s="1"/>
  <c r="A264" i="2"/>
  <c r="B264" i="2" s="1"/>
  <c r="A265" i="2"/>
  <c r="B265" i="2" s="1"/>
  <c r="A266" i="2"/>
  <c r="B266" i="2" s="1"/>
  <c r="A267" i="2"/>
  <c r="B267" i="2" s="1"/>
  <c r="A268" i="2"/>
  <c r="B268" i="2" s="1"/>
  <c r="A269" i="2"/>
  <c r="B269" i="2" s="1"/>
  <c r="A270" i="2"/>
  <c r="B270" i="2" s="1"/>
  <c r="A271" i="2"/>
  <c r="B271" i="2" s="1"/>
  <c r="A272" i="2"/>
  <c r="B272" i="2" s="1"/>
  <c r="A273" i="2"/>
  <c r="B273" i="2" s="1"/>
  <c r="A274" i="2"/>
  <c r="B274" i="2" s="1"/>
  <c r="A275" i="2"/>
  <c r="B275" i="2" s="1"/>
  <c r="A276" i="2"/>
  <c r="B276" i="2" s="1"/>
  <c r="A277" i="2"/>
  <c r="B277" i="2" s="1"/>
  <c r="A278" i="2"/>
  <c r="B278" i="2" s="1"/>
  <c r="A279" i="2"/>
  <c r="B279" i="2" s="1"/>
  <c r="A280" i="2"/>
  <c r="B280" i="2" s="1"/>
  <c r="A281" i="2"/>
  <c r="B281" i="2" s="1"/>
  <c r="A282" i="2"/>
  <c r="B282" i="2" s="1"/>
  <c r="A283" i="2"/>
  <c r="B283" i="2" s="1"/>
  <c r="A284" i="2"/>
  <c r="B284" i="2" s="1"/>
  <c r="A285" i="2"/>
  <c r="B285" i="2" s="1"/>
  <c r="A286" i="2"/>
  <c r="B286" i="2" s="1"/>
  <c r="A287" i="2"/>
  <c r="B287" i="2" s="1"/>
  <c r="A288" i="2"/>
  <c r="B288" i="2" s="1"/>
  <c r="A289" i="2"/>
  <c r="B289" i="2" s="1"/>
  <c r="A290" i="2"/>
  <c r="B290" i="2" s="1"/>
  <c r="A291" i="2"/>
  <c r="B291" i="2" s="1"/>
  <c r="A292" i="2"/>
  <c r="B292" i="2" s="1"/>
  <c r="A293" i="2"/>
  <c r="B293" i="2" s="1"/>
  <c r="A294" i="2"/>
  <c r="B294" i="2" s="1"/>
  <c r="A295" i="2"/>
  <c r="B295" i="2" s="1"/>
  <c r="A296" i="2"/>
  <c r="B296" i="2" s="1"/>
  <c r="A297" i="2"/>
  <c r="B297" i="2" s="1"/>
  <c r="A298" i="2"/>
  <c r="B298" i="2" s="1"/>
  <c r="A299" i="2"/>
  <c r="B299" i="2" s="1"/>
  <c r="A300" i="2"/>
  <c r="B300" i="2" s="1"/>
  <c r="A301" i="2"/>
  <c r="B301" i="2" s="1"/>
  <c r="A302" i="2"/>
  <c r="B302" i="2" s="1"/>
  <c r="A303" i="2"/>
  <c r="B303" i="2" s="1"/>
  <c r="A304" i="2"/>
  <c r="B304" i="2" s="1"/>
  <c r="A305" i="2"/>
  <c r="B305" i="2" s="1"/>
  <c r="A306" i="2"/>
  <c r="B306" i="2" s="1"/>
  <c r="A307" i="2"/>
  <c r="B307" i="2" s="1"/>
  <c r="A308" i="2"/>
  <c r="B308" i="2" s="1"/>
  <c r="A309" i="2"/>
  <c r="B309" i="2" s="1"/>
  <c r="A310" i="2"/>
  <c r="B310" i="2" s="1"/>
  <c r="A311" i="2"/>
  <c r="B311" i="2" s="1"/>
  <c r="A312" i="2"/>
  <c r="B312" i="2" s="1"/>
  <c r="A313" i="2"/>
  <c r="B313" i="2" s="1"/>
  <c r="A314" i="2"/>
  <c r="B314" i="2" s="1"/>
  <c r="A315" i="2"/>
  <c r="B315" i="2" s="1"/>
  <c r="A316" i="2"/>
  <c r="B316" i="2" s="1"/>
  <c r="A317" i="2"/>
  <c r="B317" i="2" s="1"/>
  <c r="A318" i="2"/>
  <c r="B318" i="2" s="1"/>
  <c r="A319" i="2"/>
  <c r="B319" i="2" s="1"/>
  <c r="A320" i="2"/>
  <c r="B320" i="2" s="1"/>
  <c r="A321" i="2"/>
  <c r="B321" i="2" s="1"/>
  <c r="A322" i="2"/>
  <c r="B322" i="2" s="1"/>
  <c r="A323" i="2"/>
  <c r="B323" i="2" s="1"/>
  <c r="A324" i="2"/>
  <c r="B324" i="2" s="1"/>
  <c r="A325" i="2"/>
  <c r="B325" i="2" s="1"/>
  <c r="A326" i="2"/>
  <c r="B326" i="2" s="1"/>
  <c r="A327" i="2"/>
  <c r="B327" i="2" s="1"/>
  <c r="A328" i="2"/>
  <c r="B328" i="2" s="1"/>
  <c r="A329" i="2"/>
  <c r="B329" i="2" s="1"/>
  <c r="A330" i="2"/>
  <c r="B330" i="2" s="1"/>
  <c r="A331" i="2"/>
  <c r="B331" i="2" s="1"/>
  <c r="A332" i="2"/>
  <c r="B332" i="2" s="1"/>
  <c r="A333" i="2"/>
  <c r="B333" i="2" s="1"/>
  <c r="A334" i="2"/>
  <c r="B334" i="2" s="1"/>
  <c r="A335" i="2"/>
  <c r="B335" i="2" s="1"/>
  <c r="A336" i="2"/>
  <c r="B336" i="2" s="1"/>
  <c r="A337" i="2"/>
  <c r="B337" i="2" s="1"/>
  <c r="A338" i="2"/>
  <c r="B338" i="2" s="1"/>
  <c r="A339" i="2"/>
  <c r="B339" i="2" s="1"/>
  <c r="A340" i="2"/>
  <c r="B340" i="2" s="1"/>
  <c r="A341" i="2"/>
  <c r="B341" i="2" s="1"/>
  <c r="A342" i="2"/>
  <c r="B342" i="2" s="1"/>
  <c r="A343" i="2"/>
  <c r="B343" i="2" s="1"/>
  <c r="A344" i="2"/>
  <c r="B344" i="2" s="1"/>
  <c r="A345" i="2"/>
  <c r="B345" i="2" s="1"/>
  <c r="A346" i="2"/>
  <c r="B346" i="2" s="1"/>
  <c r="A347" i="2"/>
  <c r="B347" i="2" s="1"/>
  <c r="A348" i="2"/>
  <c r="B348" i="2" s="1"/>
  <c r="A349" i="2"/>
  <c r="B349" i="2" s="1"/>
  <c r="A350" i="2"/>
  <c r="B350" i="2" s="1"/>
  <c r="A351" i="2"/>
  <c r="B351" i="2" s="1"/>
  <c r="A352" i="2"/>
  <c r="B352" i="2" s="1"/>
  <c r="A353" i="2"/>
  <c r="B353" i="2" s="1"/>
  <c r="A354" i="2"/>
  <c r="B354" i="2" s="1"/>
  <c r="A355" i="2"/>
  <c r="B355" i="2" s="1"/>
  <c r="A356" i="2"/>
  <c r="B356" i="2" s="1"/>
  <c r="A357" i="2"/>
  <c r="B357" i="2" s="1"/>
  <c r="A358" i="2"/>
  <c r="B358" i="2" s="1"/>
  <c r="A359" i="2"/>
  <c r="B359" i="2" s="1"/>
  <c r="A360" i="2"/>
  <c r="B360" i="2" s="1"/>
  <c r="A361" i="2"/>
  <c r="B361" i="2" s="1"/>
  <c r="A362" i="2"/>
  <c r="B362" i="2" s="1"/>
  <c r="A363" i="2"/>
  <c r="B363" i="2" s="1"/>
  <c r="A364" i="2"/>
  <c r="B364" i="2" s="1"/>
  <c r="A365" i="2"/>
  <c r="B365" i="2" s="1"/>
  <c r="A366" i="2"/>
  <c r="B366" i="2" s="1"/>
  <c r="A367" i="2"/>
  <c r="B367" i="2" s="1"/>
  <c r="A368" i="2"/>
  <c r="B368" i="2" s="1"/>
  <c r="A369" i="2"/>
  <c r="B369" i="2" s="1"/>
  <c r="A370" i="2"/>
  <c r="B370" i="2" s="1"/>
  <c r="A371" i="2"/>
  <c r="B371" i="2" s="1"/>
  <c r="A372" i="2"/>
  <c r="B372" i="2" s="1"/>
  <c r="A373" i="2"/>
  <c r="B373" i="2" s="1"/>
  <c r="A374" i="2"/>
  <c r="B374" i="2" s="1"/>
  <c r="A375" i="2"/>
  <c r="B375" i="2" s="1"/>
  <c r="A376" i="2"/>
  <c r="B376" i="2" s="1"/>
  <c r="A377" i="2"/>
  <c r="B377" i="2" s="1"/>
  <c r="A378" i="2"/>
  <c r="B378" i="2" s="1"/>
  <c r="A379" i="2"/>
  <c r="B379" i="2" s="1"/>
  <c r="A380" i="2"/>
  <c r="B380" i="2" s="1"/>
  <c r="A381" i="2"/>
  <c r="B381" i="2" s="1"/>
  <c r="A382" i="2"/>
  <c r="B382" i="2" s="1"/>
  <c r="A383" i="2"/>
  <c r="B383" i="2" s="1"/>
  <c r="A384" i="2"/>
  <c r="B384" i="2" s="1"/>
  <c r="A385" i="2"/>
  <c r="B385" i="2" s="1"/>
  <c r="A386" i="2"/>
  <c r="B386" i="2" s="1"/>
  <c r="A387" i="2"/>
  <c r="B387" i="2" s="1"/>
  <c r="A388" i="2"/>
  <c r="B388" i="2" s="1"/>
  <c r="A389" i="2"/>
  <c r="B389" i="2" s="1"/>
  <c r="A390" i="2"/>
  <c r="B390" i="2" s="1"/>
  <c r="A391" i="2"/>
  <c r="B391" i="2" s="1"/>
  <c r="A392" i="2"/>
  <c r="B392" i="2" s="1"/>
  <c r="A393" i="2"/>
  <c r="B393" i="2" s="1"/>
  <c r="A394" i="2"/>
  <c r="B394" i="2" s="1"/>
  <c r="A395" i="2"/>
  <c r="B395" i="2" s="1"/>
  <c r="A396" i="2"/>
  <c r="B396" i="2" s="1"/>
  <c r="A397" i="2"/>
  <c r="B397" i="2" s="1"/>
  <c r="A398" i="2"/>
  <c r="B398" i="2" s="1"/>
  <c r="A399" i="2"/>
  <c r="B399" i="2" s="1"/>
  <c r="A400" i="2"/>
  <c r="B400" i="2" s="1"/>
  <c r="A401" i="2"/>
  <c r="B401" i="2" s="1"/>
  <c r="A402" i="2"/>
  <c r="B402" i="2" s="1"/>
  <c r="A403" i="2"/>
  <c r="B403" i="2" s="1"/>
  <c r="A404" i="2"/>
  <c r="B404" i="2" s="1"/>
  <c r="A405" i="2"/>
  <c r="B405" i="2" s="1"/>
  <c r="A406" i="2"/>
  <c r="B406" i="2" s="1"/>
  <c r="A407" i="2"/>
  <c r="B407" i="2" s="1"/>
  <c r="A408" i="2"/>
  <c r="B408" i="2" s="1"/>
  <c r="A409" i="2"/>
  <c r="B409" i="2" s="1"/>
  <c r="A410" i="2"/>
  <c r="B410" i="2" s="1"/>
  <c r="A411" i="2"/>
  <c r="B411" i="2" s="1"/>
  <c r="A412" i="2"/>
  <c r="B412" i="2" s="1"/>
  <c r="A413" i="2"/>
  <c r="B413" i="2" s="1"/>
  <c r="A414" i="2"/>
  <c r="B414" i="2" s="1"/>
  <c r="A415" i="2"/>
  <c r="B415" i="2" s="1"/>
  <c r="A416" i="2"/>
  <c r="B416" i="2" s="1"/>
  <c r="A417" i="2"/>
  <c r="B417" i="2" s="1"/>
  <c r="A418" i="2"/>
  <c r="B418" i="2" s="1"/>
  <c r="A419" i="2"/>
  <c r="B419" i="2" s="1"/>
  <c r="A420" i="2"/>
  <c r="B420" i="2" s="1"/>
  <c r="A421" i="2"/>
  <c r="B421" i="2" s="1"/>
  <c r="A422" i="2"/>
  <c r="B422" i="2" s="1"/>
  <c r="A423" i="2"/>
  <c r="B423" i="2" s="1"/>
  <c r="A424" i="2"/>
  <c r="B424" i="2" s="1"/>
  <c r="A425" i="2"/>
  <c r="B425" i="2" s="1"/>
  <c r="A426" i="2"/>
  <c r="B426" i="2" s="1"/>
  <c r="A427" i="2"/>
  <c r="B427" i="2" s="1"/>
  <c r="A428" i="2"/>
  <c r="B428" i="2" s="1"/>
  <c r="A429" i="2"/>
  <c r="B429" i="2" s="1"/>
  <c r="A430" i="2"/>
  <c r="B430" i="2" s="1"/>
  <c r="A431" i="2"/>
  <c r="B431" i="2" s="1"/>
  <c r="A432" i="2"/>
  <c r="B432" i="2" s="1"/>
  <c r="A433" i="2"/>
  <c r="B433" i="2" s="1"/>
  <c r="A434" i="2"/>
  <c r="B434" i="2" s="1"/>
  <c r="A435" i="2"/>
  <c r="B435" i="2" s="1"/>
  <c r="A436" i="2"/>
  <c r="B436" i="2" s="1"/>
  <c r="A437" i="2"/>
  <c r="B437" i="2" s="1"/>
  <c r="A438" i="2"/>
  <c r="B438" i="2" s="1"/>
  <c r="A439" i="2"/>
  <c r="B439" i="2" s="1"/>
  <c r="A440" i="2"/>
  <c r="B440" i="2" s="1"/>
  <c r="A441" i="2"/>
  <c r="B441" i="2" s="1"/>
  <c r="A442" i="2"/>
  <c r="B442" i="2" s="1"/>
  <c r="A443" i="2"/>
  <c r="B443" i="2" s="1"/>
  <c r="A444" i="2"/>
  <c r="B444" i="2" s="1"/>
  <c r="A445" i="2"/>
  <c r="B445" i="2" s="1"/>
  <c r="A446" i="2"/>
  <c r="B446" i="2" s="1"/>
  <c r="A447" i="2"/>
  <c r="B447" i="2" s="1"/>
  <c r="A448" i="2"/>
  <c r="B448" i="2" s="1"/>
  <c r="A449" i="2"/>
  <c r="B449" i="2" s="1"/>
  <c r="A450" i="2"/>
  <c r="B450" i="2" s="1"/>
  <c r="A451" i="2"/>
  <c r="B451" i="2" s="1"/>
  <c r="A452" i="2"/>
  <c r="B452" i="2" s="1"/>
  <c r="A453" i="2"/>
  <c r="B453" i="2" s="1"/>
  <c r="A454" i="2"/>
  <c r="B454" i="2" s="1"/>
  <c r="A455" i="2"/>
  <c r="B455" i="2" s="1"/>
  <c r="A456" i="2"/>
  <c r="B456" i="2" s="1"/>
  <c r="A457" i="2"/>
  <c r="B457" i="2" s="1"/>
  <c r="A458" i="2"/>
  <c r="B458" i="2" s="1"/>
  <c r="A459" i="2"/>
  <c r="B459" i="2" s="1"/>
  <c r="A460" i="2"/>
  <c r="B460" i="2" s="1"/>
  <c r="A461" i="2"/>
  <c r="B461" i="2" s="1"/>
  <c r="A462" i="2"/>
  <c r="B462" i="2" s="1"/>
  <c r="A463" i="2"/>
  <c r="B463" i="2" s="1"/>
  <c r="A464" i="2"/>
  <c r="B464" i="2" s="1"/>
  <c r="A465" i="2"/>
  <c r="B465" i="2" s="1"/>
  <c r="A466" i="2"/>
  <c r="B466" i="2" s="1"/>
  <c r="A467" i="2"/>
  <c r="B467" i="2" s="1"/>
  <c r="A468" i="2"/>
  <c r="B468" i="2" s="1"/>
  <c r="A469" i="2"/>
  <c r="B469" i="2" s="1"/>
  <c r="A470" i="2"/>
  <c r="B470" i="2" s="1"/>
  <c r="A471" i="2"/>
  <c r="B471" i="2" s="1"/>
  <c r="A472" i="2"/>
  <c r="B472" i="2" s="1"/>
  <c r="A473" i="2"/>
  <c r="B473" i="2" s="1"/>
  <c r="A474" i="2"/>
  <c r="B474" i="2" s="1"/>
  <c r="A475" i="2"/>
  <c r="B475" i="2" s="1"/>
  <c r="A476" i="2"/>
  <c r="B476" i="2" s="1"/>
  <c r="A477" i="2"/>
  <c r="B477" i="2" s="1"/>
  <c r="A478" i="2"/>
  <c r="B478" i="2" s="1"/>
  <c r="A479" i="2"/>
  <c r="B479" i="2" s="1"/>
  <c r="A480" i="2"/>
  <c r="B480" i="2" s="1"/>
  <c r="A481" i="2"/>
  <c r="B481" i="2" s="1"/>
  <c r="A482" i="2"/>
  <c r="B482" i="2" s="1"/>
  <c r="A483" i="2"/>
  <c r="B483" i="2" s="1"/>
  <c r="A484" i="2"/>
  <c r="B484" i="2" s="1"/>
  <c r="A485" i="2"/>
  <c r="B485" i="2" s="1"/>
  <c r="A486" i="2"/>
  <c r="B486" i="2" s="1"/>
  <c r="A487" i="2"/>
  <c r="B487" i="2" s="1"/>
  <c r="A488" i="2"/>
  <c r="B488" i="2" s="1"/>
  <c r="A489" i="2"/>
  <c r="B489" i="2" s="1"/>
  <c r="A490" i="2"/>
  <c r="B490" i="2" s="1"/>
  <c r="A491" i="2"/>
  <c r="B491" i="2" s="1"/>
  <c r="A492" i="2"/>
  <c r="B492" i="2" s="1"/>
  <c r="A493" i="2"/>
  <c r="B493" i="2" s="1"/>
  <c r="A494" i="2"/>
  <c r="B494" i="2" s="1"/>
  <c r="A495" i="2"/>
  <c r="B495" i="2" s="1"/>
  <c r="A496" i="2"/>
  <c r="B496" i="2" s="1"/>
  <c r="A497" i="2"/>
  <c r="B497" i="2" s="1"/>
  <c r="A498" i="2"/>
  <c r="B498" i="2" s="1"/>
  <c r="A499" i="2"/>
  <c r="B499" i="2" s="1"/>
  <c r="A500" i="2"/>
  <c r="B500" i="2" s="1"/>
  <c r="A501" i="2"/>
  <c r="B501" i="2" s="1"/>
  <c r="A502" i="2"/>
  <c r="B502" i="2" s="1"/>
  <c r="A503" i="2"/>
  <c r="B503" i="2" s="1"/>
  <c r="A504" i="2"/>
  <c r="B504" i="2" s="1"/>
  <c r="A505" i="2"/>
  <c r="B505" i="2" s="1"/>
  <c r="A506" i="2"/>
  <c r="B506" i="2" s="1"/>
  <c r="A507" i="2"/>
  <c r="B507" i="2" s="1"/>
  <c r="A508" i="2"/>
  <c r="B508" i="2" s="1"/>
  <c r="A509" i="2"/>
  <c r="B509" i="2" s="1"/>
  <c r="A510" i="2"/>
  <c r="B510" i="2" s="1"/>
  <c r="A511" i="2"/>
  <c r="B511" i="2" s="1"/>
  <c r="A512" i="2"/>
  <c r="B512" i="2" s="1"/>
  <c r="A513" i="2"/>
  <c r="B513" i="2" s="1"/>
  <c r="A514" i="2"/>
  <c r="B514" i="2" s="1"/>
  <c r="A515" i="2"/>
  <c r="B515" i="2" s="1"/>
  <c r="A516" i="2"/>
  <c r="B516" i="2" s="1"/>
  <c r="A517" i="2"/>
  <c r="B517" i="2" s="1"/>
  <c r="A518" i="2"/>
  <c r="B518" i="2" s="1"/>
  <c r="A519" i="2"/>
  <c r="B519" i="2" s="1"/>
  <c r="A520" i="2"/>
  <c r="B520" i="2" s="1"/>
  <c r="A521" i="2"/>
  <c r="B521" i="2" s="1"/>
  <c r="A522" i="2"/>
  <c r="B522" i="2" s="1"/>
  <c r="A523" i="2"/>
  <c r="B523" i="2" s="1"/>
  <c r="A524" i="2"/>
  <c r="B524" i="2" s="1"/>
  <c r="A525" i="2"/>
  <c r="B525" i="2" s="1"/>
  <c r="A526" i="2"/>
  <c r="B526" i="2" s="1"/>
  <c r="A527" i="2"/>
  <c r="B527" i="2" s="1"/>
  <c r="A528" i="2"/>
  <c r="B528" i="2" s="1"/>
  <c r="A529" i="2"/>
  <c r="B529" i="2" s="1"/>
  <c r="A530" i="2"/>
  <c r="B530" i="2" s="1"/>
  <c r="A531" i="2"/>
  <c r="B531" i="2" s="1"/>
  <c r="A532" i="2"/>
  <c r="B532" i="2" s="1"/>
  <c r="A533" i="2"/>
  <c r="B533" i="2" s="1"/>
  <c r="A534" i="2"/>
  <c r="B534" i="2" s="1"/>
  <c r="A535" i="2"/>
  <c r="B535" i="2" s="1"/>
  <c r="A536" i="2"/>
  <c r="B536" i="2" s="1"/>
  <c r="A537" i="2"/>
  <c r="B537" i="2" s="1"/>
  <c r="A538" i="2"/>
  <c r="B538" i="2" s="1"/>
  <c r="A539" i="2"/>
  <c r="B539" i="2" s="1"/>
  <c r="A540" i="2"/>
  <c r="B540" i="2" s="1"/>
  <c r="A541" i="2"/>
  <c r="B541" i="2" s="1"/>
  <c r="A542" i="2"/>
  <c r="B542" i="2" s="1"/>
  <c r="A543" i="2"/>
  <c r="B543" i="2" s="1"/>
  <c r="A544" i="2"/>
  <c r="B544" i="2" s="1"/>
  <c r="A545" i="2"/>
  <c r="B545" i="2" s="1"/>
  <c r="A546" i="2"/>
  <c r="B546" i="2" s="1"/>
  <c r="A547" i="2"/>
  <c r="B547" i="2" s="1"/>
  <c r="A548" i="2"/>
  <c r="B548" i="2" s="1"/>
  <c r="A549" i="2"/>
  <c r="B549" i="2" s="1"/>
  <c r="A550" i="2"/>
  <c r="B550" i="2" s="1"/>
  <c r="A551" i="2"/>
  <c r="B551" i="2" s="1"/>
  <c r="A552" i="2"/>
  <c r="B552" i="2" s="1"/>
  <c r="A553" i="2"/>
  <c r="B553" i="2" s="1"/>
  <c r="A554" i="2"/>
  <c r="B554" i="2" s="1"/>
  <c r="A555" i="2"/>
  <c r="B555" i="2" s="1"/>
  <c r="A556" i="2"/>
  <c r="B556" i="2" s="1"/>
  <c r="A557" i="2"/>
  <c r="B557" i="2" s="1"/>
  <c r="A558" i="2"/>
  <c r="B558" i="2" s="1"/>
  <c r="A559" i="2"/>
  <c r="B559" i="2" s="1"/>
  <c r="A560" i="2"/>
  <c r="B560" i="2" s="1"/>
  <c r="A561" i="2"/>
  <c r="B561" i="2" s="1"/>
  <c r="A562" i="2"/>
  <c r="B562" i="2" s="1"/>
  <c r="A563" i="2"/>
  <c r="B563" i="2" s="1"/>
  <c r="A564" i="2"/>
  <c r="B564" i="2" s="1"/>
  <c r="A565" i="2"/>
  <c r="B565" i="2" s="1"/>
  <c r="A566" i="2"/>
  <c r="B566" i="2" s="1"/>
  <c r="A567" i="2"/>
  <c r="B567" i="2" s="1"/>
  <c r="A568" i="2"/>
  <c r="B568" i="2" s="1"/>
  <c r="A569" i="2"/>
  <c r="B569" i="2" s="1"/>
  <c r="A570" i="2"/>
  <c r="B570" i="2" s="1"/>
  <c r="A571" i="2"/>
  <c r="B571" i="2" s="1"/>
  <c r="A572" i="2"/>
  <c r="B572" i="2" s="1"/>
  <c r="A573" i="2"/>
  <c r="B573" i="2" s="1"/>
  <c r="A574" i="2"/>
  <c r="B574" i="2" s="1"/>
  <c r="A575" i="2"/>
  <c r="B575" i="2" s="1"/>
  <c r="A576" i="2"/>
  <c r="B576" i="2" s="1"/>
  <c r="A577" i="2"/>
  <c r="B577" i="2" s="1"/>
  <c r="A578" i="2"/>
  <c r="B578" i="2" s="1"/>
  <c r="A579" i="2"/>
  <c r="B579" i="2" s="1"/>
  <c r="A580" i="2"/>
  <c r="B580" i="2" s="1"/>
  <c r="A581" i="2"/>
  <c r="B581" i="2" s="1"/>
  <c r="A582" i="2"/>
  <c r="B582" i="2" s="1"/>
  <c r="A583" i="2"/>
  <c r="B583" i="2" s="1"/>
  <c r="A584" i="2"/>
  <c r="B584" i="2" s="1"/>
  <c r="A585" i="2"/>
  <c r="B585" i="2" s="1"/>
  <c r="A586" i="2"/>
  <c r="B586" i="2" s="1"/>
  <c r="A587" i="2"/>
  <c r="B587" i="2" s="1"/>
  <c r="A588" i="2"/>
  <c r="B588" i="2" s="1"/>
  <c r="A589" i="2"/>
  <c r="B589" i="2" s="1"/>
  <c r="A590" i="2"/>
  <c r="B590" i="2" s="1"/>
  <c r="A591" i="2"/>
  <c r="B591" i="2" s="1"/>
  <c r="A592" i="2"/>
  <c r="B592" i="2" s="1"/>
  <c r="A593" i="2"/>
  <c r="B593" i="2" s="1"/>
  <c r="A594" i="2"/>
  <c r="B594" i="2" s="1"/>
  <c r="A595" i="2"/>
  <c r="B595" i="2" s="1"/>
  <c r="A596" i="2"/>
  <c r="B596" i="2" s="1"/>
  <c r="A597" i="2"/>
  <c r="B597" i="2" s="1"/>
  <c r="A598" i="2"/>
  <c r="B598" i="2" s="1"/>
  <c r="A599" i="2"/>
  <c r="B599" i="2" s="1"/>
  <c r="A600" i="2"/>
  <c r="B600" i="2" s="1"/>
  <c r="A601" i="2"/>
  <c r="B601" i="2" s="1"/>
  <c r="A602" i="2"/>
  <c r="B602" i="2" s="1"/>
  <c r="A603" i="2"/>
  <c r="B603" i="2" s="1"/>
  <c r="A604" i="2"/>
  <c r="B604" i="2" s="1"/>
  <c r="A605" i="2"/>
  <c r="B605" i="2" s="1"/>
  <c r="A606" i="2"/>
  <c r="B606" i="2" s="1"/>
  <c r="A607" i="2"/>
  <c r="B607" i="2" s="1"/>
  <c r="A608" i="2"/>
  <c r="B608" i="2" s="1"/>
  <c r="A609" i="2"/>
  <c r="B609" i="2" s="1"/>
  <c r="A610" i="2"/>
  <c r="B610" i="2" s="1"/>
  <c r="A611" i="2"/>
  <c r="B611" i="2" s="1"/>
  <c r="A612" i="2"/>
  <c r="B612" i="2" s="1"/>
  <c r="A613" i="2"/>
  <c r="B613" i="2" s="1"/>
  <c r="A614" i="2"/>
  <c r="B614" i="2" s="1"/>
  <c r="A615" i="2"/>
  <c r="B615" i="2" s="1"/>
  <c r="A616" i="2"/>
  <c r="B616" i="2" s="1"/>
  <c r="A617" i="2"/>
  <c r="B617" i="2" s="1"/>
  <c r="A618" i="2"/>
  <c r="B618" i="2" s="1"/>
  <c r="A619" i="2"/>
  <c r="B619" i="2" s="1"/>
  <c r="A620" i="2"/>
  <c r="B620" i="2" s="1"/>
  <c r="A621" i="2"/>
  <c r="B621" i="2" s="1"/>
  <c r="A622" i="2"/>
  <c r="B622" i="2" s="1"/>
  <c r="A623" i="2"/>
  <c r="B623" i="2" s="1"/>
  <c r="A624" i="2"/>
  <c r="B624" i="2" s="1"/>
  <c r="A625" i="2"/>
  <c r="B625" i="2" s="1"/>
  <c r="A626" i="2"/>
  <c r="B626" i="2" s="1"/>
  <c r="A627" i="2"/>
  <c r="B627" i="2" s="1"/>
  <c r="A628" i="2"/>
  <c r="B628" i="2" s="1"/>
  <c r="A629" i="2"/>
  <c r="B629" i="2" s="1"/>
  <c r="A630" i="2"/>
  <c r="B630" i="2" s="1"/>
  <c r="A631" i="2"/>
  <c r="B631" i="2" s="1"/>
  <c r="A632" i="2"/>
  <c r="B632" i="2" s="1"/>
  <c r="A633" i="2"/>
  <c r="B633" i="2" s="1"/>
  <c r="A634" i="2"/>
  <c r="B634" i="2" s="1"/>
  <c r="A635" i="2"/>
  <c r="B635" i="2" s="1"/>
  <c r="A636" i="2"/>
  <c r="B636" i="2" s="1"/>
  <c r="A637" i="2"/>
  <c r="B637" i="2" s="1"/>
  <c r="A638" i="2"/>
  <c r="B638" i="2" s="1"/>
  <c r="A639" i="2"/>
  <c r="B639" i="2" s="1"/>
  <c r="A640" i="2"/>
  <c r="B640" i="2" s="1"/>
  <c r="A641" i="2"/>
  <c r="B641" i="2" s="1"/>
  <c r="A642" i="2"/>
  <c r="B642" i="2" s="1"/>
  <c r="A643" i="2"/>
  <c r="B643" i="2" s="1"/>
  <c r="A644" i="2"/>
  <c r="B644" i="2" s="1"/>
  <c r="A645" i="2"/>
  <c r="B645" i="2" s="1"/>
  <c r="A646" i="2"/>
  <c r="B646" i="2" s="1"/>
  <c r="A647" i="2"/>
  <c r="B647" i="2" s="1"/>
  <c r="A648" i="2"/>
  <c r="B648" i="2" s="1"/>
  <c r="A649" i="2"/>
  <c r="B649" i="2" s="1"/>
  <c r="A650" i="2"/>
  <c r="B650" i="2" s="1"/>
  <c r="A651" i="2"/>
  <c r="B651" i="2" s="1"/>
  <c r="A652" i="2"/>
  <c r="B652" i="2" s="1"/>
  <c r="A653" i="2"/>
  <c r="B653" i="2" s="1"/>
  <c r="A654" i="2"/>
  <c r="B654" i="2" s="1"/>
  <c r="A655" i="2"/>
  <c r="B655" i="2" s="1"/>
  <c r="A656" i="2"/>
  <c r="B656" i="2" s="1"/>
  <c r="A657" i="2"/>
  <c r="B657" i="2" s="1"/>
  <c r="A658" i="2"/>
  <c r="B658" i="2" s="1"/>
  <c r="A659" i="2"/>
  <c r="B659" i="2" s="1"/>
  <c r="A660" i="2"/>
  <c r="B660" i="2" s="1"/>
  <c r="A661" i="2"/>
  <c r="B661" i="2" s="1"/>
  <c r="A662" i="2"/>
  <c r="B662" i="2" s="1"/>
  <c r="A663" i="2"/>
  <c r="B663" i="2" s="1"/>
  <c r="A664" i="2"/>
  <c r="B664" i="2" s="1"/>
  <c r="A665" i="2"/>
  <c r="B665" i="2" s="1"/>
  <c r="A666" i="2"/>
  <c r="B666" i="2" s="1"/>
  <c r="A667" i="2"/>
  <c r="B667" i="2" s="1"/>
  <c r="A668" i="2"/>
  <c r="B668" i="2" s="1"/>
  <c r="A669" i="2"/>
  <c r="B669" i="2" s="1"/>
  <c r="A670" i="2"/>
  <c r="B670" i="2" s="1"/>
  <c r="A671" i="2"/>
  <c r="B671" i="2" s="1"/>
  <c r="A672" i="2"/>
  <c r="B672" i="2" s="1"/>
  <c r="A673" i="2"/>
  <c r="B673" i="2" s="1"/>
  <c r="A674" i="2"/>
  <c r="B674" i="2" s="1"/>
  <c r="A675" i="2"/>
  <c r="B675" i="2" s="1"/>
  <c r="A676" i="2"/>
  <c r="B676" i="2" s="1"/>
  <c r="A677" i="2"/>
  <c r="B677" i="2" s="1"/>
  <c r="A678" i="2"/>
  <c r="B678" i="2" s="1"/>
  <c r="A679" i="2"/>
  <c r="B679" i="2" s="1"/>
  <c r="A680" i="2"/>
  <c r="B680" i="2" s="1"/>
  <c r="A681" i="2"/>
  <c r="B681" i="2" s="1"/>
  <c r="A682" i="2"/>
  <c r="B682" i="2" s="1"/>
  <c r="A683" i="2"/>
  <c r="B683" i="2" s="1"/>
  <c r="A684" i="2"/>
  <c r="B684" i="2" s="1"/>
  <c r="A685" i="2"/>
  <c r="B685" i="2" s="1"/>
  <c r="A686" i="2"/>
  <c r="B686" i="2" s="1"/>
  <c r="A687" i="2"/>
  <c r="B687" i="2" s="1"/>
  <c r="A688" i="2"/>
  <c r="B688" i="2" s="1"/>
  <c r="A689" i="2"/>
  <c r="B689" i="2" s="1"/>
  <c r="A690" i="2"/>
  <c r="B690" i="2" s="1"/>
  <c r="A691" i="2"/>
  <c r="B691" i="2" s="1"/>
  <c r="A692" i="2"/>
  <c r="B692" i="2" s="1"/>
  <c r="A693" i="2"/>
  <c r="B693" i="2" s="1"/>
  <c r="A694" i="2"/>
  <c r="B694" i="2" s="1"/>
  <c r="A695" i="2"/>
  <c r="B695" i="2" s="1"/>
  <c r="A696" i="2"/>
  <c r="B696" i="2" s="1"/>
  <c r="A697" i="2"/>
  <c r="B697" i="2" s="1"/>
  <c r="A698" i="2"/>
  <c r="B698" i="2" s="1"/>
  <c r="A699" i="2"/>
  <c r="B699" i="2" s="1"/>
  <c r="A700" i="2"/>
  <c r="B700" i="2" s="1"/>
  <c r="A701" i="2"/>
  <c r="B701" i="2" s="1"/>
  <c r="A702" i="2"/>
  <c r="B702" i="2" s="1"/>
  <c r="A703" i="2"/>
  <c r="B703" i="2" s="1"/>
  <c r="A704" i="2"/>
  <c r="B704" i="2" s="1"/>
  <c r="A705" i="2"/>
  <c r="B705" i="2" s="1"/>
  <c r="A706" i="2"/>
  <c r="B706" i="2" s="1"/>
  <c r="A707" i="2"/>
  <c r="B707" i="2" s="1"/>
  <c r="A708" i="2"/>
  <c r="B708" i="2" s="1"/>
  <c r="A709" i="2"/>
  <c r="B709" i="2" s="1"/>
  <c r="A710" i="2"/>
  <c r="B710" i="2" s="1"/>
  <c r="A711" i="2"/>
  <c r="B711" i="2" s="1"/>
  <c r="A712" i="2"/>
  <c r="B712" i="2" s="1"/>
  <c r="A713" i="2"/>
  <c r="B713" i="2" s="1"/>
  <c r="A714" i="2"/>
  <c r="B714" i="2" s="1"/>
  <c r="A715" i="2"/>
  <c r="B715" i="2" s="1"/>
  <c r="A716" i="2"/>
  <c r="B716" i="2" s="1"/>
  <c r="A717" i="2"/>
  <c r="B717" i="2" s="1"/>
  <c r="A718" i="2"/>
  <c r="B718" i="2" s="1"/>
  <c r="A719" i="2"/>
  <c r="B719" i="2" s="1"/>
  <c r="A720" i="2"/>
  <c r="B720" i="2" s="1"/>
  <c r="A721" i="2"/>
  <c r="B721" i="2" s="1"/>
  <c r="A722" i="2"/>
  <c r="B722" i="2" s="1"/>
  <c r="A723" i="2"/>
  <c r="B723" i="2" s="1"/>
  <c r="A724" i="2"/>
  <c r="B724" i="2" s="1"/>
  <c r="A725" i="2"/>
  <c r="B725" i="2" s="1"/>
  <c r="A726" i="2"/>
  <c r="B726" i="2" s="1"/>
  <c r="A727" i="2"/>
  <c r="B727" i="2" s="1"/>
  <c r="A728" i="2"/>
  <c r="B728" i="2" s="1"/>
  <c r="A729" i="2"/>
  <c r="B729" i="2" s="1"/>
  <c r="A730" i="2"/>
  <c r="B730" i="2" s="1"/>
  <c r="A731" i="2"/>
  <c r="B731" i="2" s="1"/>
  <c r="A732" i="2"/>
  <c r="B732" i="2" s="1"/>
  <c r="A733" i="2"/>
  <c r="B733" i="2" s="1"/>
  <c r="A734" i="2"/>
  <c r="B734" i="2" s="1"/>
  <c r="A735" i="2"/>
  <c r="B735" i="2" s="1"/>
  <c r="A736" i="2"/>
  <c r="B736" i="2" s="1"/>
  <c r="A737" i="2"/>
  <c r="B737" i="2" s="1"/>
  <c r="A738" i="2"/>
  <c r="B738" i="2" s="1"/>
  <c r="A739" i="2"/>
  <c r="B739" i="2" s="1"/>
  <c r="A740" i="2"/>
  <c r="B740" i="2" s="1"/>
  <c r="A741" i="2"/>
  <c r="B741" i="2" s="1"/>
  <c r="A742" i="2"/>
  <c r="B742" i="2" s="1"/>
  <c r="A743" i="2"/>
  <c r="B743" i="2" s="1"/>
  <c r="A744" i="2"/>
  <c r="B744" i="2" s="1"/>
  <c r="A745" i="2"/>
  <c r="B745" i="2" s="1"/>
  <c r="A746" i="2"/>
  <c r="B746" i="2" s="1"/>
  <c r="A747" i="2"/>
  <c r="B747" i="2" s="1"/>
  <c r="A748" i="2"/>
  <c r="B748" i="2" s="1"/>
  <c r="A749" i="2"/>
  <c r="B749" i="2" s="1"/>
  <c r="A750" i="2"/>
  <c r="B750" i="2" s="1"/>
  <c r="A751" i="2"/>
  <c r="B751" i="2" s="1"/>
  <c r="A752" i="2"/>
  <c r="B752" i="2" s="1"/>
  <c r="A753" i="2"/>
  <c r="B753" i="2" s="1"/>
  <c r="A754" i="2"/>
  <c r="B754" i="2" s="1"/>
  <c r="A755" i="2"/>
  <c r="B755" i="2" s="1"/>
  <c r="A756" i="2"/>
  <c r="B756" i="2" s="1"/>
  <c r="A757" i="2"/>
  <c r="B757" i="2" s="1"/>
  <c r="A758" i="2"/>
  <c r="B758" i="2" s="1"/>
  <c r="A759" i="2"/>
  <c r="B759" i="2" s="1"/>
  <c r="A760" i="2"/>
  <c r="B760" i="2" s="1"/>
  <c r="A761" i="2"/>
  <c r="B761" i="2" s="1"/>
  <c r="A762" i="2"/>
  <c r="B762" i="2" s="1"/>
  <c r="A763" i="2"/>
  <c r="B763" i="2" s="1"/>
  <c r="A764" i="2"/>
  <c r="B764" i="2" s="1"/>
  <c r="A765" i="2"/>
  <c r="B765" i="2" s="1"/>
  <c r="A766" i="2"/>
  <c r="B766" i="2" s="1"/>
  <c r="A767" i="2"/>
  <c r="B767" i="2" s="1"/>
  <c r="A768" i="2"/>
  <c r="B768" i="2" s="1"/>
  <c r="A769" i="2"/>
  <c r="B769" i="2" s="1"/>
  <c r="A770" i="2"/>
  <c r="B770" i="2" s="1"/>
  <c r="A771" i="2"/>
  <c r="B771" i="2" s="1"/>
  <c r="A772" i="2"/>
  <c r="B772" i="2" s="1"/>
  <c r="A773" i="2"/>
  <c r="B773" i="2" s="1"/>
  <c r="A774" i="2"/>
  <c r="B774" i="2" s="1"/>
  <c r="A775" i="2"/>
  <c r="B775" i="2" s="1"/>
  <c r="A776" i="2"/>
  <c r="B776" i="2" s="1"/>
  <c r="A777" i="2"/>
  <c r="B777" i="2" s="1"/>
  <c r="A778" i="2"/>
  <c r="B778" i="2" s="1"/>
  <c r="A779" i="2"/>
  <c r="B779" i="2" s="1"/>
  <c r="A780" i="2"/>
  <c r="B780" i="2" s="1"/>
  <c r="A781" i="2"/>
  <c r="B781" i="2" s="1"/>
  <c r="A782" i="2"/>
  <c r="B782" i="2" s="1"/>
  <c r="A783" i="2"/>
  <c r="B783" i="2" s="1"/>
  <c r="A784" i="2"/>
  <c r="B784" i="2" s="1"/>
  <c r="A785" i="2"/>
  <c r="B785" i="2" s="1"/>
  <c r="A786" i="2"/>
  <c r="B786" i="2" s="1"/>
  <c r="A787" i="2"/>
  <c r="B787" i="2" s="1"/>
  <c r="A788" i="2"/>
  <c r="B788" i="2" s="1"/>
  <c r="A789" i="2"/>
  <c r="B789" i="2" s="1"/>
  <c r="A790" i="2"/>
  <c r="B790" i="2" s="1"/>
  <c r="A791" i="2"/>
  <c r="B791" i="2" s="1"/>
  <c r="A792" i="2"/>
  <c r="B792" i="2" s="1"/>
  <c r="A793" i="2"/>
  <c r="B793" i="2" s="1"/>
  <c r="A794" i="2"/>
  <c r="B794" i="2" s="1"/>
  <c r="A795" i="2"/>
  <c r="B795" i="2" s="1"/>
  <c r="A796" i="2"/>
  <c r="B796" i="2" s="1"/>
  <c r="A797" i="2"/>
  <c r="B797" i="2" s="1"/>
  <c r="A798" i="2"/>
  <c r="B798" i="2" s="1"/>
  <c r="A799" i="2"/>
  <c r="B799" i="2" s="1"/>
  <c r="A800" i="2"/>
  <c r="B800" i="2" s="1"/>
  <c r="A801" i="2"/>
  <c r="B801" i="2" s="1"/>
  <c r="A802" i="2"/>
  <c r="B802" i="2" s="1"/>
  <c r="A803" i="2"/>
  <c r="B803" i="2" s="1"/>
  <c r="A804" i="2"/>
  <c r="B804" i="2" s="1"/>
  <c r="A805" i="2"/>
  <c r="B805" i="2" s="1"/>
  <c r="A806" i="2"/>
  <c r="B806" i="2" s="1"/>
  <c r="A807" i="2"/>
  <c r="B807" i="2" s="1"/>
  <c r="A808" i="2"/>
  <c r="B808" i="2" s="1"/>
  <c r="A809" i="2"/>
  <c r="B809" i="2" s="1"/>
  <c r="A810" i="2"/>
  <c r="B810" i="2" s="1"/>
  <c r="A811" i="2"/>
  <c r="B811" i="2" s="1"/>
  <c r="A812" i="2"/>
  <c r="B812" i="2" s="1"/>
  <c r="A813" i="2"/>
  <c r="B813" i="2" s="1"/>
  <c r="A814" i="2"/>
  <c r="B814" i="2" s="1"/>
  <c r="A815" i="2"/>
  <c r="B815" i="2" s="1"/>
  <c r="A816" i="2"/>
  <c r="B816" i="2" s="1"/>
  <c r="A817" i="2"/>
  <c r="B817" i="2" s="1"/>
  <c r="A818" i="2"/>
  <c r="B818" i="2" s="1"/>
  <c r="A819" i="2"/>
  <c r="B819" i="2" s="1"/>
  <c r="A820" i="2"/>
  <c r="B820" i="2" s="1"/>
  <c r="A821" i="2"/>
  <c r="B821" i="2" s="1"/>
  <c r="A822" i="2"/>
  <c r="B822" i="2" s="1"/>
  <c r="A823" i="2"/>
  <c r="B823" i="2" s="1"/>
  <c r="A824" i="2"/>
  <c r="B824" i="2" s="1"/>
  <c r="A825" i="2"/>
  <c r="B825" i="2" s="1"/>
  <c r="A826" i="2"/>
  <c r="B826" i="2" s="1"/>
  <c r="A827" i="2"/>
  <c r="B827" i="2" s="1"/>
  <c r="A828" i="2"/>
  <c r="B828" i="2" s="1"/>
  <c r="A829" i="2"/>
  <c r="B829" i="2" s="1"/>
  <c r="A830" i="2"/>
  <c r="B830" i="2" s="1"/>
  <c r="A831" i="2"/>
  <c r="B831" i="2" s="1"/>
  <c r="A832" i="2"/>
  <c r="B832" i="2" s="1"/>
  <c r="A833" i="2"/>
  <c r="B833" i="2" s="1"/>
  <c r="A834" i="2"/>
  <c r="B834" i="2" s="1"/>
  <c r="A835" i="2"/>
  <c r="B835" i="2" s="1"/>
  <c r="A836" i="2"/>
  <c r="B836" i="2" s="1"/>
  <c r="A837" i="2"/>
  <c r="B837" i="2" s="1"/>
  <c r="A838" i="2"/>
  <c r="B838" i="2" s="1"/>
  <c r="A839" i="2"/>
  <c r="B839" i="2" s="1"/>
  <c r="A840" i="2"/>
  <c r="B840" i="2" s="1"/>
  <c r="A841" i="2"/>
  <c r="B841" i="2" s="1"/>
  <c r="A842" i="2"/>
  <c r="B842" i="2" s="1"/>
  <c r="A843" i="2"/>
  <c r="B843" i="2" s="1"/>
  <c r="A844" i="2"/>
  <c r="B844" i="2" s="1"/>
  <c r="A845" i="2"/>
  <c r="B845" i="2" s="1"/>
  <c r="A846" i="2"/>
  <c r="B846" i="2" s="1"/>
  <c r="A847" i="2"/>
  <c r="B847" i="2" s="1"/>
  <c r="A848" i="2"/>
  <c r="B848" i="2" s="1"/>
  <c r="A849" i="2"/>
  <c r="B849" i="2" s="1"/>
  <c r="A850" i="2"/>
  <c r="B850" i="2" s="1"/>
  <c r="A851" i="2"/>
  <c r="B851" i="2" s="1"/>
  <c r="A852" i="2"/>
  <c r="B852" i="2" s="1"/>
  <c r="A853" i="2"/>
  <c r="B853" i="2" s="1"/>
  <c r="A854" i="2"/>
  <c r="B854" i="2" s="1"/>
  <c r="A855" i="2"/>
  <c r="B855" i="2" s="1"/>
  <c r="A856" i="2"/>
  <c r="B856" i="2" s="1"/>
  <c r="A857" i="2"/>
  <c r="B857" i="2" s="1"/>
  <c r="A858" i="2"/>
  <c r="B858" i="2" s="1"/>
  <c r="A859" i="2"/>
  <c r="B859" i="2" s="1"/>
  <c r="A860" i="2"/>
  <c r="B860" i="2" s="1"/>
  <c r="A861" i="2"/>
  <c r="B861" i="2" s="1"/>
  <c r="A862" i="2"/>
  <c r="B862" i="2" s="1"/>
  <c r="A863" i="2"/>
  <c r="B863" i="2" s="1"/>
  <c r="A864" i="2"/>
  <c r="B864" i="2" s="1"/>
  <c r="A865" i="2"/>
  <c r="B865" i="2" s="1"/>
  <c r="A866" i="2"/>
  <c r="B866" i="2" s="1"/>
  <c r="A867" i="2"/>
  <c r="B867" i="2" s="1"/>
  <c r="A868" i="2"/>
  <c r="B868" i="2" s="1"/>
  <c r="A869" i="2"/>
  <c r="B869" i="2" s="1"/>
  <c r="A870" i="2"/>
  <c r="B870" i="2" s="1"/>
  <c r="A871" i="2"/>
  <c r="B871" i="2" s="1"/>
  <c r="A872" i="2"/>
  <c r="B872" i="2" s="1"/>
  <c r="A873" i="2"/>
  <c r="B873" i="2" s="1"/>
  <c r="A874" i="2"/>
  <c r="B874" i="2" s="1"/>
  <c r="A875" i="2"/>
  <c r="B875" i="2" s="1"/>
  <c r="A876" i="2"/>
  <c r="B876" i="2" s="1"/>
  <c r="A877" i="2"/>
  <c r="B877" i="2" s="1"/>
  <c r="A878" i="2"/>
  <c r="B878" i="2" s="1"/>
  <c r="A879" i="2"/>
  <c r="B879" i="2" s="1"/>
  <c r="A880" i="2"/>
  <c r="B880" i="2" s="1"/>
  <c r="A881" i="2"/>
  <c r="B881" i="2" s="1"/>
  <c r="A882" i="2"/>
  <c r="B882" i="2" s="1"/>
  <c r="A883" i="2"/>
  <c r="B883" i="2" s="1"/>
  <c r="A884" i="2"/>
  <c r="B884" i="2" s="1"/>
  <c r="A885" i="2"/>
  <c r="B885" i="2" s="1"/>
  <c r="A886" i="2"/>
  <c r="B886" i="2" s="1"/>
  <c r="A887" i="2"/>
  <c r="B887" i="2" s="1"/>
  <c r="A888" i="2"/>
  <c r="B888" i="2" s="1"/>
  <c r="A889" i="2"/>
  <c r="B889" i="2" s="1"/>
  <c r="A890" i="2"/>
  <c r="B890" i="2" s="1"/>
  <c r="A891" i="2"/>
  <c r="B891" i="2" s="1"/>
  <c r="A892" i="2"/>
  <c r="B892" i="2" s="1"/>
  <c r="A893" i="2"/>
  <c r="B893" i="2" s="1"/>
  <c r="A894" i="2"/>
  <c r="B894" i="2" s="1"/>
  <c r="A895" i="2"/>
  <c r="B895" i="2" s="1"/>
  <c r="A896" i="2"/>
  <c r="B896" i="2" s="1"/>
  <c r="A897" i="2"/>
  <c r="B897" i="2" s="1"/>
  <c r="A898" i="2"/>
  <c r="B898" i="2" s="1"/>
  <c r="A899" i="2"/>
  <c r="B899" i="2" s="1"/>
  <c r="A900" i="2"/>
  <c r="B900" i="2" s="1"/>
  <c r="A901" i="2"/>
  <c r="B901" i="2" s="1"/>
  <c r="A902" i="2"/>
  <c r="B902" i="2" s="1"/>
  <c r="A903" i="2"/>
  <c r="B903" i="2" s="1"/>
  <c r="A904" i="2"/>
  <c r="B904" i="2" s="1"/>
  <c r="A905" i="2"/>
  <c r="B905" i="2" s="1"/>
  <c r="A906" i="2"/>
  <c r="B906" i="2" s="1"/>
  <c r="A907" i="2"/>
  <c r="B907" i="2" s="1"/>
  <c r="A908" i="2"/>
  <c r="B908" i="2" s="1"/>
  <c r="A909" i="2"/>
  <c r="B909" i="2" s="1"/>
  <c r="A910" i="2"/>
  <c r="B910" i="2" s="1"/>
  <c r="A911" i="2"/>
  <c r="B911" i="2" s="1"/>
  <c r="A912" i="2"/>
  <c r="B912" i="2" s="1"/>
  <c r="A913" i="2"/>
  <c r="B913" i="2" s="1"/>
  <c r="A914" i="2"/>
  <c r="B914" i="2" s="1"/>
  <c r="A915" i="2"/>
  <c r="B915" i="2" s="1"/>
  <c r="A916" i="2"/>
  <c r="B916" i="2" s="1"/>
  <c r="A917" i="2"/>
  <c r="B917" i="2" s="1"/>
  <c r="A918" i="2"/>
  <c r="B918" i="2" s="1"/>
  <c r="A919" i="2"/>
  <c r="B919" i="2" s="1"/>
  <c r="A920" i="2"/>
  <c r="B920" i="2" s="1"/>
  <c r="A921" i="2"/>
  <c r="B921" i="2" s="1"/>
  <c r="A922" i="2"/>
  <c r="B922" i="2" s="1"/>
  <c r="A923" i="2"/>
  <c r="B923" i="2" s="1"/>
  <c r="A924" i="2"/>
  <c r="B924" i="2" s="1"/>
  <c r="A925" i="2"/>
  <c r="B925" i="2" s="1"/>
  <c r="A926" i="2"/>
  <c r="B926" i="2" s="1"/>
  <c r="A927" i="2"/>
  <c r="B927" i="2" s="1"/>
  <c r="A928" i="2"/>
  <c r="B928" i="2" s="1"/>
  <c r="A929" i="2"/>
  <c r="B929" i="2" s="1"/>
  <c r="A930" i="2"/>
  <c r="B930" i="2" s="1"/>
  <c r="A931" i="2"/>
  <c r="B931" i="2" s="1"/>
  <c r="A932" i="2"/>
  <c r="B932" i="2" s="1"/>
  <c r="A933" i="2"/>
  <c r="B933" i="2" s="1"/>
  <c r="A934" i="2"/>
  <c r="B934" i="2" s="1"/>
  <c r="A935" i="2"/>
  <c r="B935" i="2" s="1"/>
  <c r="A936" i="2"/>
  <c r="B936" i="2" s="1"/>
  <c r="A937" i="2"/>
  <c r="B937" i="2" s="1"/>
  <c r="A938" i="2"/>
  <c r="B938" i="2" s="1"/>
  <c r="A939" i="2"/>
  <c r="B939" i="2" s="1"/>
  <c r="A940" i="2"/>
  <c r="B940" i="2" s="1"/>
  <c r="A941" i="2"/>
  <c r="B941" i="2" s="1"/>
  <c r="A942" i="2"/>
  <c r="B942" i="2" s="1"/>
  <c r="A943" i="2"/>
  <c r="B943" i="2" s="1"/>
  <c r="A944" i="2"/>
  <c r="B944" i="2" s="1"/>
  <c r="A945" i="2"/>
  <c r="B945" i="2" s="1"/>
  <c r="A946" i="2"/>
  <c r="B946" i="2" s="1"/>
  <c r="A947" i="2"/>
  <c r="B947" i="2" s="1"/>
  <c r="A948" i="2"/>
  <c r="B948" i="2" s="1"/>
  <c r="A949" i="2"/>
  <c r="B949" i="2" s="1"/>
  <c r="A950" i="2"/>
  <c r="B950" i="2" s="1"/>
  <c r="A951" i="2"/>
  <c r="B951" i="2" s="1"/>
  <c r="A952" i="2"/>
  <c r="B952" i="2" s="1"/>
  <c r="A953" i="2"/>
  <c r="B953" i="2" s="1"/>
  <c r="A954" i="2"/>
  <c r="B954" i="2" s="1"/>
  <c r="A955" i="2"/>
  <c r="B955" i="2" s="1"/>
  <c r="A956" i="2"/>
  <c r="B956" i="2" s="1"/>
  <c r="A957" i="2"/>
  <c r="B957" i="2" s="1"/>
  <c r="A958" i="2"/>
  <c r="B958" i="2" s="1"/>
  <c r="A959" i="2"/>
  <c r="B959" i="2" s="1"/>
  <c r="A960" i="2"/>
  <c r="B960" i="2" s="1"/>
  <c r="A961" i="2"/>
  <c r="B961" i="2" s="1"/>
  <c r="A962" i="2"/>
  <c r="B962" i="2" s="1"/>
  <c r="A963" i="2"/>
  <c r="B963" i="2" s="1"/>
  <c r="A964" i="2"/>
  <c r="B964" i="2" s="1"/>
  <c r="A965" i="2"/>
  <c r="B965" i="2" s="1"/>
  <c r="A966" i="2"/>
  <c r="B966" i="2" s="1"/>
  <c r="A967" i="2"/>
  <c r="B967" i="2" s="1"/>
  <c r="A968" i="2"/>
  <c r="B968" i="2" s="1"/>
  <c r="A969" i="2"/>
  <c r="B969" i="2" s="1"/>
  <c r="A970" i="2"/>
  <c r="B970" i="2" s="1"/>
  <c r="A971" i="2"/>
  <c r="B971" i="2" s="1"/>
  <c r="A972" i="2"/>
  <c r="B972" i="2" s="1"/>
  <c r="A973" i="2"/>
  <c r="B973" i="2" s="1"/>
  <c r="A974" i="2"/>
  <c r="B974" i="2" s="1"/>
  <c r="A975" i="2"/>
  <c r="B975" i="2" s="1"/>
  <c r="A976" i="2"/>
  <c r="B976" i="2" s="1"/>
  <c r="A977" i="2"/>
  <c r="B977" i="2" s="1"/>
  <c r="A978" i="2"/>
  <c r="B978" i="2" s="1"/>
  <c r="A979" i="2"/>
  <c r="B979" i="2" s="1"/>
  <c r="A980" i="2"/>
  <c r="B980" i="2" s="1"/>
  <c r="A981" i="2"/>
  <c r="B981" i="2" s="1"/>
  <c r="A982" i="2"/>
  <c r="B982" i="2" s="1"/>
  <c r="A983" i="2"/>
  <c r="B983" i="2" s="1"/>
  <c r="A984" i="2"/>
  <c r="B984" i="2" s="1"/>
  <c r="A985" i="2"/>
  <c r="B985" i="2" s="1"/>
  <c r="A986" i="2"/>
  <c r="B986" i="2" s="1"/>
  <c r="A987" i="2"/>
  <c r="B987" i="2" s="1"/>
  <c r="A988" i="2"/>
  <c r="B988" i="2" s="1"/>
  <c r="A989" i="2"/>
  <c r="B989" i="2" s="1"/>
  <c r="A990" i="2"/>
  <c r="B990" i="2" s="1"/>
  <c r="A991" i="2"/>
  <c r="B991" i="2" s="1"/>
  <c r="A992" i="2"/>
  <c r="B992" i="2" s="1"/>
  <c r="A993" i="2"/>
  <c r="B993" i="2" s="1"/>
  <c r="A994" i="2"/>
  <c r="B994" i="2" s="1"/>
  <c r="A995" i="2"/>
  <c r="B995" i="2" s="1"/>
  <c r="A996" i="2"/>
  <c r="B996" i="2" s="1"/>
  <c r="A997" i="2"/>
  <c r="B997" i="2" s="1"/>
  <c r="A998" i="2"/>
  <c r="B998" i="2" s="1"/>
  <c r="A999" i="2"/>
  <c r="B999" i="2" s="1"/>
  <c r="A1000" i="2"/>
  <c r="B1000" i="2" s="1"/>
  <c r="E45" i="5"/>
  <c r="G45" i="5" s="1"/>
  <c r="E29" i="5"/>
  <c r="E30" i="5"/>
  <c r="G30" i="5" s="1"/>
  <c r="E31" i="5"/>
  <c r="G31" i="5" s="1"/>
  <c r="E13" i="5"/>
  <c r="E14" i="5"/>
  <c r="E15" i="5"/>
  <c r="E16" i="5"/>
  <c r="E17" i="5"/>
  <c r="E18" i="5"/>
  <c r="D8" i="5"/>
  <c r="F34" i="5" l="1"/>
  <c r="H34" i="5"/>
  <c r="F33" i="5"/>
  <c r="H33" i="5"/>
  <c r="F39" i="5"/>
  <c r="H39" i="5"/>
  <c r="R16" i="10"/>
  <c r="H44" i="5"/>
  <c r="F44" i="5"/>
  <c r="E46" i="5"/>
  <c r="E47" i="5" s="1"/>
  <c r="F38" i="5"/>
  <c r="F41" i="5"/>
  <c r="H41" i="5"/>
  <c r="H38" i="5"/>
  <c r="H40" i="5"/>
  <c r="F37" i="5"/>
  <c r="F42" i="5"/>
  <c r="H42" i="5"/>
  <c r="F40" i="5"/>
  <c r="H37" i="5"/>
  <c r="G29" i="5"/>
  <c r="F43" i="5"/>
  <c r="H43" i="5"/>
  <c r="H36" i="5"/>
  <c r="H35" i="5"/>
  <c r="H32" i="5"/>
  <c r="F35" i="5"/>
  <c r="F36" i="5"/>
  <c r="F32" i="5"/>
  <c r="F13" i="5"/>
  <c r="H45" i="5"/>
  <c r="H30" i="5"/>
  <c r="H13" i="5"/>
  <c r="G20" i="5"/>
  <c r="H14" i="5"/>
  <c r="H16" i="5"/>
  <c r="H18" i="5"/>
  <c r="H17" i="5"/>
  <c r="H15" i="5"/>
  <c r="H31" i="5"/>
  <c r="C708" i="7"/>
  <c r="B64" i="7"/>
  <c r="C318" i="7"/>
  <c r="C48" i="7"/>
  <c r="C861" i="7"/>
  <c r="B846" i="7"/>
  <c r="B839" i="7"/>
  <c r="B13" i="7"/>
  <c r="C1078" i="7"/>
  <c r="C1055" i="7"/>
  <c r="B936" i="7"/>
  <c r="C905" i="7"/>
  <c r="B797" i="7"/>
  <c r="C742" i="7"/>
  <c r="B568" i="7"/>
  <c r="C36" i="7"/>
  <c r="C304" i="7"/>
  <c r="C531" i="7"/>
  <c r="C811" i="7"/>
  <c r="B505" i="7"/>
  <c r="B825" i="7"/>
  <c r="B899" i="7"/>
  <c r="B503" i="7"/>
  <c r="B496" i="7"/>
  <c r="C1030" i="7"/>
  <c r="B837" i="7"/>
  <c r="C728" i="7"/>
  <c r="B721" i="7"/>
  <c r="B392" i="7"/>
  <c r="B1051" i="7"/>
  <c r="B981" i="7"/>
  <c r="C950" i="7"/>
  <c r="C747" i="7"/>
  <c r="C688" i="7"/>
  <c r="C555" i="7"/>
  <c r="B386" i="7"/>
  <c r="B379" i="7"/>
  <c r="B888" i="7"/>
  <c r="B560" i="7"/>
  <c r="C470" i="7"/>
  <c r="B911" i="7"/>
  <c r="B838" i="7"/>
  <c r="B618" i="7"/>
  <c r="B603" i="7"/>
  <c r="C596" i="7"/>
  <c r="C544" i="7"/>
  <c r="B398" i="7"/>
  <c r="C197" i="7"/>
  <c r="B821" i="7"/>
  <c r="B511" i="7"/>
  <c r="B313" i="7"/>
  <c r="C125" i="7"/>
  <c r="B1067" i="7"/>
  <c r="C947" i="7"/>
  <c r="C395" i="7"/>
  <c r="C226" i="7"/>
  <c r="C1066" i="7"/>
  <c r="C1006" i="7"/>
  <c r="C915" i="7"/>
  <c r="C680" i="7"/>
  <c r="B438" i="7"/>
  <c r="C431" i="7"/>
  <c r="B67" i="7"/>
  <c r="B1011" i="7"/>
  <c r="B831" i="7"/>
  <c r="B749" i="7"/>
  <c r="B744" i="7"/>
  <c r="B571" i="7"/>
  <c r="C536" i="7"/>
  <c r="B411" i="7"/>
  <c r="C404" i="7"/>
  <c r="B370" i="7"/>
  <c r="B317" i="7"/>
  <c r="C288" i="7"/>
  <c r="C53" i="7"/>
  <c r="C1010" i="7"/>
  <c r="C973" i="7"/>
  <c r="C966" i="7"/>
  <c r="C908" i="7"/>
  <c r="C748" i="7"/>
  <c r="B743" i="7"/>
  <c r="C520" i="7"/>
  <c r="B454" i="7"/>
  <c r="B329" i="7"/>
  <c r="B9" i="7"/>
  <c r="B1043" i="7"/>
  <c r="B1007" i="7"/>
  <c r="B935" i="7"/>
  <c r="B887" i="7"/>
  <c r="C652" i="7"/>
  <c r="B606" i="7"/>
  <c r="C563" i="7"/>
  <c r="B521" i="7"/>
  <c r="C508" i="7"/>
  <c r="C314" i="7"/>
  <c r="C293" i="7"/>
  <c r="B1077" i="7"/>
  <c r="B912" i="7"/>
  <c r="B822" i="7"/>
  <c r="B816" i="7"/>
  <c r="C796" i="7"/>
  <c r="B773" i="7"/>
  <c r="C758" i="7"/>
  <c r="B711" i="7"/>
  <c r="B495" i="7"/>
  <c r="C420" i="7"/>
  <c r="B399" i="7"/>
  <c r="C169" i="7"/>
  <c r="B107" i="7"/>
  <c r="B1061" i="7"/>
  <c r="B1026" i="7"/>
  <c r="B1021" i="7"/>
  <c r="B987" i="7"/>
  <c r="B952" i="7"/>
  <c r="B923" i="7"/>
  <c r="B892" i="7"/>
  <c r="C880" i="7"/>
  <c r="B809" i="7"/>
  <c r="B777" i="7"/>
  <c r="C764" i="7"/>
  <c r="C694" i="7"/>
  <c r="B648" i="7"/>
  <c r="C620" i="7"/>
  <c r="C580" i="7"/>
  <c r="C575" i="7"/>
  <c r="B551" i="7"/>
  <c r="B461" i="7"/>
  <c r="B456" i="7"/>
  <c r="B375" i="7"/>
  <c r="C298" i="7"/>
  <c r="B113" i="7"/>
  <c r="B75" i="7"/>
  <c r="C813" i="7"/>
  <c r="C479" i="7"/>
  <c r="C1071" i="7"/>
  <c r="B1041" i="7"/>
  <c r="B1025" i="7"/>
  <c r="C940" i="7"/>
  <c r="B928" i="7"/>
  <c r="B879" i="7"/>
  <c r="B855" i="7"/>
  <c r="B800" i="7"/>
  <c r="B713" i="7"/>
  <c r="C686" i="7"/>
  <c r="C659" i="7"/>
  <c r="C647" i="7"/>
  <c r="B592" i="7"/>
  <c r="C579" i="7"/>
  <c r="C472" i="7"/>
  <c r="B374" i="7"/>
  <c r="C337" i="7"/>
  <c r="C256" i="7"/>
  <c r="B165" i="7"/>
  <c r="C14" i="7"/>
  <c r="C1034" i="7"/>
  <c r="C1029" i="7"/>
  <c r="C867" i="7"/>
  <c r="C755" i="7"/>
  <c r="C739" i="7"/>
  <c r="C639" i="7"/>
  <c r="C45" i="7"/>
  <c r="C1045" i="7"/>
  <c r="C990" i="7"/>
  <c r="B977" i="7"/>
  <c r="C944" i="7"/>
  <c r="B933" i="7"/>
  <c r="B901" i="7"/>
  <c r="B883" i="7"/>
  <c r="C872" i="7"/>
  <c r="B835" i="7"/>
  <c r="B829" i="7"/>
  <c r="C780" i="7"/>
  <c r="C732" i="7"/>
  <c r="B678" i="7"/>
  <c r="B672" i="7"/>
  <c r="B658" i="7"/>
  <c r="B591" i="7"/>
  <c r="C548" i="7"/>
  <c r="B542" i="7"/>
  <c r="C491" i="7"/>
  <c r="B464" i="7"/>
  <c r="C458" i="7"/>
  <c r="B261" i="7"/>
  <c r="C177" i="7"/>
  <c r="B32" i="7"/>
  <c r="B25" i="7"/>
  <c r="C877" i="7"/>
  <c r="C559" i="7"/>
  <c r="C281" i="7"/>
  <c r="C1062" i="7"/>
  <c r="C1038" i="7"/>
  <c r="C1022" i="7"/>
  <c r="B943" i="7"/>
  <c r="B893" i="7"/>
  <c r="B871" i="7"/>
  <c r="C792" i="7"/>
  <c r="B785" i="7"/>
  <c r="C765" i="7"/>
  <c r="C677" i="7"/>
  <c r="C616" i="7"/>
  <c r="B576" i="7"/>
  <c r="C527" i="7"/>
  <c r="B457" i="7"/>
  <c r="C452" i="7"/>
  <c r="B390" i="7"/>
  <c r="C348" i="7"/>
  <c r="C266" i="7"/>
  <c r="C24" i="7"/>
  <c r="C17" i="7"/>
  <c r="C258" i="3"/>
  <c r="C487" i="7"/>
  <c r="C285" i="7"/>
  <c r="C1064" i="7"/>
  <c r="B1053" i="7"/>
  <c r="C1047" i="7"/>
  <c r="B1042" i="7"/>
  <c r="C1037" i="7"/>
  <c r="B1003" i="7"/>
  <c r="C954" i="7"/>
  <c r="C938" i="7"/>
  <c r="B921" i="7"/>
  <c r="B885" i="7"/>
  <c r="C869" i="7"/>
  <c r="B864" i="7"/>
  <c r="B851" i="7"/>
  <c r="C828" i="7"/>
  <c r="B806" i="7"/>
  <c r="C781" i="7"/>
  <c r="B776" i="7"/>
  <c r="B735" i="7"/>
  <c r="B709" i="7"/>
  <c r="B695" i="7"/>
  <c r="C683" i="7"/>
  <c r="B631" i="7"/>
  <c r="C611" i="7"/>
  <c r="C444" i="7"/>
  <c r="B423" i="7"/>
  <c r="B403" i="7"/>
  <c r="B350" i="7"/>
  <c r="C189" i="7"/>
  <c r="C161" i="7"/>
  <c r="B139" i="7"/>
  <c r="B88" i="7"/>
  <c r="C28" i="7"/>
  <c r="B23" i="7"/>
  <c r="B153" i="7"/>
  <c r="C142" i="3"/>
  <c r="C4" i="7"/>
  <c r="B991" i="7"/>
  <c r="C907" i="7"/>
  <c r="C712" i="7"/>
  <c r="B619" i="7"/>
  <c r="B614" i="7"/>
  <c r="C590" i="7"/>
  <c r="C583" i="7"/>
  <c r="C567" i="7"/>
  <c r="B562" i="7"/>
  <c r="C552" i="7"/>
  <c r="B547" i="7"/>
  <c r="B535" i="7"/>
  <c r="C499" i="7"/>
  <c r="B483" i="7"/>
  <c r="B478" i="7"/>
  <c r="B391" i="7"/>
  <c r="C367" i="7"/>
  <c r="C341" i="7"/>
  <c r="C321" i="7"/>
  <c r="C244" i="7"/>
  <c r="C173" i="7"/>
  <c r="B1057" i="7"/>
  <c r="C1015" i="7"/>
  <c r="B997" i="7"/>
  <c r="C957" i="7"/>
  <c r="B896" i="7"/>
  <c r="B891" i="7"/>
  <c r="C886" i="7"/>
  <c r="C860" i="7"/>
  <c r="B854" i="7"/>
  <c r="C848" i="7"/>
  <c r="C843" i="7"/>
  <c r="B793" i="7"/>
  <c r="C750" i="7"/>
  <c r="B741" i="7"/>
  <c r="C736" i="7"/>
  <c r="B717" i="7"/>
  <c r="B662" i="7"/>
  <c r="B638" i="7"/>
  <c r="B601" i="7"/>
  <c r="B528" i="7"/>
  <c r="C516" i="7"/>
  <c r="B494" i="7"/>
  <c r="C428" i="7"/>
  <c r="C372" i="7"/>
  <c r="B360" i="7"/>
  <c r="B347" i="7"/>
  <c r="B284" i="7"/>
  <c r="C250" i="7"/>
  <c r="C222" i="7"/>
  <c r="B207" i="7"/>
  <c r="C185" i="7"/>
  <c r="B109" i="7"/>
  <c r="C994" i="7"/>
  <c r="C853" i="7"/>
  <c r="C784" i="7"/>
  <c r="C768" i="7"/>
  <c r="C757" i="7"/>
  <c r="C599" i="7"/>
  <c r="C519" i="7"/>
  <c r="B1074" i="7"/>
  <c r="C1063" i="7"/>
  <c r="C999" i="7"/>
  <c r="C982" i="7"/>
  <c r="B963" i="7"/>
  <c r="B951" i="7"/>
  <c r="C924" i="7"/>
  <c r="B919" i="7"/>
  <c r="B903" i="7"/>
  <c r="B857" i="7"/>
  <c r="B805" i="7"/>
  <c r="B799" i="7"/>
  <c r="B789" i="7"/>
  <c r="C752" i="7"/>
  <c r="C720" i="7"/>
  <c r="C704" i="7"/>
  <c r="B655" i="7"/>
  <c r="B649" i="7"/>
  <c r="C644" i="7"/>
  <c r="B626" i="7"/>
  <c r="B615" i="7"/>
  <c r="B610" i="7"/>
  <c r="B566" i="7"/>
  <c r="B523" i="7"/>
  <c r="B507" i="7"/>
  <c r="B376" i="7"/>
  <c r="B327" i="7"/>
  <c r="C289" i="7"/>
  <c r="C272" i="7"/>
  <c r="C133" i="7"/>
  <c r="B91" i="7"/>
  <c r="B37" i="7"/>
  <c r="C22" i="7"/>
  <c r="C300" i="7"/>
  <c r="B300" i="7"/>
  <c r="B240" i="7"/>
  <c r="C240" i="7"/>
  <c r="C157" i="7"/>
  <c r="B157" i="7"/>
  <c r="C1023" i="7"/>
  <c r="B1023" i="7"/>
  <c r="B962" i="7"/>
  <c r="C962" i="7"/>
  <c r="B946" i="7"/>
  <c r="C946" i="7"/>
  <c r="B884" i="7"/>
  <c r="C884" i="7"/>
  <c r="C849" i="7"/>
  <c r="B849" i="7"/>
  <c r="C819" i="7"/>
  <c r="B819" i="7"/>
  <c r="C703" i="7"/>
  <c r="B703" i="7"/>
  <c r="C685" i="7"/>
  <c r="B685" i="7"/>
  <c r="B661" i="7"/>
  <c r="C661" i="7"/>
  <c r="C602" i="7"/>
  <c r="B602" i="7"/>
  <c r="B439" i="7"/>
  <c r="C439" i="7"/>
  <c r="C1017" i="7"/>
  <c r="B1017" i="7"/>
  <c r="B967" i="7"/>
  <c r="C967" i="7"/>
  <c r="C955" i="7"/>
  <c r="B955" i="7"/>
  <c r="C807" i="7"/>
  <c r="B807" i="7"/>
  <c r="B645" i="7"/>
  <c r="C645" i="7"/>
  <c r="C622" i="7"/>
  <c r="B622" i="7"/>
  <c r="C607" i="7"/>
  <c r="B607" i="7"/>
  <c r="B468" i="7"/>
  <c r="C468" i="7"/>
  <c r="C335" i="7"/>
  <c r="B335" i="7"/>
  <c r="B322" i="7"/>
  <c r="C322" i="7"/>
  <c r="C311" i="7"/>
  <c r="B311" i="7"/>
  <c r="B49" i="7"/>
  <c r="C49" i="7"/>
  <c r="C34" i="3"/>
  <c r="B34" i="3"/>
  <c r="C1073" i="7"/>
  <c r="B1073" i="7"/>
  <c r="C863" i="7"/>
  <c r="B863" i="7"/>
  <c r="C654" i="7"/>
  <c r="B654" i="7"/>
  <c r="B572" i="7"/>
  <c r="C572" i="7"/>
  <c r="C543" i="7"/>
  <c r="B543" i="7"/>
  <c r="C473" i="7"/>
  <c r="B473" i="7"/>
  <c r="C215" i="7"/>
  <c r="B215" i="7"/>
  <c r="B193" i="7"/>
  <c r="C193" i="7"/>
  <c r="B21" i="7"/>
  <c r="C21" i="7"/>
  <c r="B43" i="3"/>
  <c r="B983" i="7"/>
  <c r="C983" i="7"/>
  <c r="C959" i="7"/>
  <c r="B959" i="7"/>
  <c r="B917" i="7"/>
  <c r="C917" i="7"/>
  <c r="C774" i="7"/>
  <c r="B774" i="7"/>
  <c r="B700" i="7"/>
  <c r="C700" i="7"/>
  <c r="C632" i="7"/>
  <c r="B632" i="7"/>
  <c r="C595" i="7"/>
  <c r="B595" i="7"/>
  <c r="B504" i="7"/>
  <c r="C504" i="7"/>
  <c r="C437" i="7"/>
  <c r="B437" i="7"/>
  <c r="B383" i="7"/>
  <c r="C383" i="7"/>
  <c r="B333" i="7"/>
  <c r="C333" i="7"/>
  <c r="C315" i="7"/>
  <c r="B315" i="7"/>
  <c r="B309" i="7"/>
  <c r="C309" i="7"/>
  <c r="C268" i="7"/>
  <c r="B268" i="7"/>
  <c r="C199" i="7"/>
  <c r="B199" i="7"/>
  <c r="B117" i="7"/>
  <c r="C117" i="7"/>
  <c r="B922" i="7"/>
  <c r="C922" i="7"/>
  <c r="B906" i="7"/>
  <c r="C906" i="7"/>
  <c r="C488" i="7"/>
  <c r="B488" i="7"/>
  <c r="C351" i="7"/>
  <c r="B351" i="7"/>
  <c r="B152" i="7"/>
  <c r="C152" i="7"/>
  <c r="B81" i="7"/>
  <c r="C81" i="7"/>
  <c r="B998" i="7"/>
  <c r="C998" i="7"/>
  <c r="B715" i="7"/>
  <c r="C715" i="7"/>
  <c r="C687" i="7"/>
  <c r="B687" i="7"/>
  <c r="C663" i="7"/>
  <c r="B663" i="7"/>
  <c r="B388" i="7"/>
  <c r="C388" i="7"/>
  <c r="B234" i="7"/>
  <c r="C234" i="7"/>
  <c r="C212" i="7"/>
  <c r="B212" i="7"/>
  <c r="B190" i="7"/>
  <c r="C190" i="7"/>
  <c r="B129" i="7"/>
  <c r="C129" i="7"/>
  <c r="B73" i="7"/>
  <c r="C73" i="7"/>
  <c r="B40" i="7"/>
  <c r="C40" i="7"/>
  <c r="B29" i="7"/>
  <c r="C29" i="7"/>
  <c r="C1019" i="7"/>
  <c r="B1019" i="7"/>
  <c r="C1002" i="7"/>
  <c r="C975" i="7"/>
  <c r="C895" i="7"/>
  <c r="B895" i="7"/>
  <c r="C824" i="7"/>
  <c r="B814" i="7"/>
  <c r="C814" i="7"/>
  <c r="C783" i="7"/>
  <c r="B783" i="7"/>
  <c r="C767" i="7"/>
  <c r="B767" i="7"/>
  <c r="C697" i="7"/>
  <c r="B697" i="7"/>
  <c r="C646" i="7"/>
  <c r="C624" i="7"/>
  <c r="B624" i="7"/>
  <c r="C609" i="7"/>
  <c r="B609" i="7"/>
  <c r="C415" i="7"/>
  <c r="B415" i="7"/>
  <c r="B380" i="7"/>
  <c r="C380" i="7"/>
  <c r="B330" i="7"/>
  <c r="C330" i="7"/>
  <c r="C1049" i="7"/>
  <c r="B1049" i="7"/>
  <c r="C1018" i="7"/>
  <c r="C986" i="7"/>
  <c r="B956" i="7"/>
  <c r="B931" i="7"/>
  <c r="B904" i="7"/>
  <c r="C875" i="7"/>
  <c r="B845" i="7"/>
  <c r="C845" i="7"/>
  <c r="B803" i="7"/>
  <c r="C803" i="7"/>
  <c r="C787" i="7"/>
  <c r="B787" i="7"/>
  <c r="C760" i="7"/>
  <c r="C751" i="7"/>
  <c r="B751" i="7"/>
  <c r="C725" i="7"/>
  <c r="C691" i="7"/>
  <c r="C668" i="7"/>
  <c r="C656" i="7"/>
  <c r="B656" i="7"/>
  <c r="C640" i="7"/>
  <c r="B623" i="7"/>
  <c r="B608" i="7"/>
  <c r="C545" i="7"/>
  <c r="B545" i="7"/>
  <c r="B539" i="7"/>
  <c r="B502" i="7"/>
  <c r="B475" i="7"/>
  <c r="B427" i="7"/>
  <c r="B414" i="7"/>
  <c r="B408" i="7"/>
  <c r="C343" i="7"/>
  <c r="B343" i="7"/>
  <c r="B305" i="7"/>
  <c r="B251" i="7"/>
  <c r="B239" i="7"/>
  <c r="B218" i="7"/>
  <c r="C218" i="7"/>
  <c r="C149" i="7"/>
  <c r="B149" i="7"/>
  <c r="B78" i="7"/>
  <c r="C78" i="7"/>
  <c r="B57" i="7"/>
  <c r="C57" i="7"/>
  <c r="C33" i="7"/>
  <c r="B33" i="7"/>
  <c r="B276" i="7"/>
  <c r="C270" i="7"/>
  <c r="C231" i="7"/>
  <c r="B231" i="7"/>
  <c r="B202" i="7"/>
  <c r="C202" i="7"/>
  <c r="B181" i="7"/>
  <c r="C181" i="7"/>
  <c r="C116" i="7"/>
  <c r="C77" i="7"/>
  <c r="C16" i="7"/>
  <c r="C969" i="7"/>
  <c r="B969" i="7"/>
  <c r="C790" i="7"/>
  <c r="B790" i="7"/>
  <c r="C664" i="7"/>
  <c r="B664" i="7"/>
  <c r="C550" i="7"/>
  <c r="B550" i="7"/>
  <c r="C489" i="7"/>
  <c r="B489" i="7"/>
  <c r="B484" i="7"/>
  <c r="C484" i="7"/>
  <c r="C440" i="7"/>
  <c r="B440" i="7"/>
  <c r="B412" i="7"/>
  <c r="C412" i="7"/>
  <c r="B290" i="7"/>
  <c r="C290" i="7"/>
  <c r="C216" i="7"/>
  <c r="B216" i="7"/>
  <c r="B180" i="7"/>
  <c r="C180" i="7"/>
  <c r="B104" i="7"/>
  <c r="C104" i="7"/>
  <c r="B96" i="7"/>
  <c r="C96" i="7"/>
  <c r="B204" i="3"/>
  <c r="B669" i="7"/>
  <c r="C669" i="7"/>
  <c r="C642" i="7"/>
  <c r="B642" i="7"/>
  <c r="C569" i="7"/>
  <c r="B569" i="7"/>
  <c r="C558" i="7"/>
  <c r="B558" i="7"/>
  <c r="C446" i="7"/>
  <c r="B446" i="7"/>
  <c r="C228" i="7"/>
  <c r="B228" i="7"/>
  <c r="B121" i="7"/>
  <c r="C121" i="7"/>
  <c r="C920" i="7"/>
  <c r="B920" i="7"/>
  <c r="C585" i="7"/>
  <c r="B585" i="7"/>
  <c r="C474" i="7"/>
  <c r="B474" i="7"/>
  <c r="B208" i="7"/>
  <c r="C208" i="7"/>
  <c r="B196" i="7"/>
  <c r="C196" i="7"/>
  <c r="B126" i="7"/>
  <c r="C126" i="7"/>
  <c r="B94" i="7"/>
  <c r="C94" i="7"/>
  <c r="B100" i="3"/>
  <c r="B2" i="7"/>
  <c r="C1070" i="7"/>
  <c r="B1059" i="7"/>
  <c r="B1033" i="7"/>
  <c r="C1014" i="7"/>
  <c r="C995" i="7"/>
  <c r="B995" i="7"/>
  <c r="B979" i="7"/>
  <c r="B971" i="7"/>
  <c r="C939" i="7"/>
  <c r="C927" i="7"/>
  <c r="B927" i="7"/>
  <c r="B876" i="7"/>
  <c r="C876" i="7"/>
  <c r="B756" i="7"/>
  <c r="C756" i="7"/>
  <c r="C681" i="7"/>
  <c r="B681" i="7"/>
  <c r="C584" i="7"/>
  <c r="C564" i="7"/>
  <c r="C556" i="7"/>
  <c r="C512" i="7"/>
  <c r="B500" i="7"/>
  <c r="C500" i="7"/>
  <c r="C450" i="7"/>
  <c r="B450" i="7"/>
  <c r="B359" i="7"/>
  <c r="C359" i="7"/>
  <c r="C332" i="7"/>
  <c r="B332" i="7"/>
  <c r="C220" i="7"/>
  <c r="B220" i="7"/>
  <c r="C144" i="7"/>
  <c r="B101" i="7"/>
  <c r="C101" i="7"/>
  <c r="C84" i="3"/>
  <c r="B890" i="7"/>
  <c r="C890" i="7"/>
  <c r="C841" i="7"/>
  <c r="B841" i="7"/>
  <c r="C759" i="7"/>
  <c r="B759" i="7"/>
  <c r="B653" i="7"/>
  <c r="C653" i="7"/>
  <c r="C455" i="7"/>
  <c r="B455" i="7"/>
  <c r="C421" i="7"/>
  <c r="B421" i="7"/>
  <c r="C183" i="7"/>
  <c r="B183" i="7"/>
  <c r="B92" i="7"/>
  <c r="C92" i="7"/>
  <c r="C1069" i="7"/>
  <c r="C1058" i="7"/>
  <c r="C1039" i="7"/>
  <c r="C1013" i="7"/>
  <c r="C978" i="7"/>
  <c r="C970" i="7"/>
  <c r="C925" i="7"/>
  <c r="C918" i="7"/>
  <c r="C889" i="7"/>
  <c r="C870" i="7"/>
  <c r="C840" i="7"/>
  <c r="C832" i="7"/>
  <c r="C808" i="7"/>
  <c r="B772" i="7"/>
  <c r="C772" i="7"/>
  <c r="C719" i="7"/>
  <c r="B719" i="7"/>
  <c r="C630" i="7"/>
  <c r="B630" i="7"/>
  <c r="C526" i="7"/>
  <c r="B526" i="7"/>
  <c r="C481" i="7"/>
  <c r="B481" i="7"/>
  <c r="B463" i="7"/>
  <c r="C463" i="7"/>
  <c r="C357" i="7"/>
  <c r="B357" i="7"/>
  <c r="C303" i="7"/>
  <c r="B303" i="7"/>
  <c r="C248" i="7"/>
  <c r="B248" i="7"/>
  <c r="C378" i="3"/>
  <c r="B55" i="3"/>
  <c r="C1072" i="7"/>
  <c r="B1065" i="7"/>
  <c r="C1054" i="7"/>
  <c r="C1050" i="7"/>
  <c r="B1035" i="7"/>
  <c r="C1031" i="7"/>
  <c r="B1009" i="7"/>
  <c r="C1005" i="7"/>
  <c r="C989" i="7"/>
  <c r="C974" i="7"/>
  <c r="B953" i="7"/>
  <c r="C949" i="7"/>
  <c r="C941" i="7"/>
  <c r="C934" i="7"/>
  <c r="C930" i="7"/>
  <c r="C914" i="7"/>
  <c r="B898" i="7"/>
  <c r="C898" i="7"/>
  <c r="C878" i="7"/>
  <c r="C856" i="7"/>
  <c r="C844" i="7"/>
  <c r="B823" i="7"/>
  <c r="C812" i="7"/>
  <c r="B791" i="7"/>
  <c r="B779" i="7"/>
  <c r="B775" i="7"/>
  <c r="B771" i="7"/>
  <c r="C733" i="7"/>
  <c r="C718" i="7"/>
  <c r="B707" i="7"/>
  <c r="B693" i="7"/>
  <c r="C684" i="7"/>
  <c r="B671" i="7"/>
  <c r="B665" i="7"/>
  <c r="C643" i="7"/>
  <c r="B629" i="7"/>
  <c r="C629" i="7"/>
  <c r="C612" i="7"/>
  <c r="C600" i="7"/>
  <c r="C587" i="7"/>
  <c r="C538" i="7"/>
  <c r="B538" i="7"/>
  <c r="C534" i="7"/>
  <c r="B506" i="7"/>
  <c r="B490" i="7"/>
  <c r="C480" i="7"/>
  <c r="C467" i="7"/>
  <c r="B462" i="7"/>
  <c r="C447" i="7"/>
  <c r="C363" i="7"/>
  <c r="B363" i="7"/>
  <c r="C356" i="7"/>
  <c r="B340" i="7"/>
  <c r="C340" i="7"/>
  <c r="C334" i="7"/>
  <c r="C325" i="7"/>
  <c r="C297" i="7"/>
  <c r="C292" i="7"/>
  <c r="B292" i="7"/>
  <c r="C282" i="7"/>
  <c r="C277" i="7"/>
  <c r="C273" i="7"/>
  <c r="C269" i="7"/>
  <c r="C265" i="7"/>
  <c r="B247" i="7"/>
  <c r="B236" i="7"/>
  <c r="B224" i="7"/>
  <c r="C224" i="7"/>
  <c r="B175" i="7"/>
  <c r="C148" i="7"/>
  <c r="B112" i="7"/>
  <c r="C112" i="7"/>
  <c r="C346" i="3"/>
  <c r="B44" i="3"/>
  <c r="C3" i="7"/>
  <c r="B1075" i="7"/>
  <c r="C1046" i="7"/>
  <c r="B1027" i="7"/>
  <c r="B1001" i="7"/>
  <c r="B993" i="7"/>
  <c r="B985" i="7"/>
  <c r="B965" i="7"/>
  <c r="B960" i="7"/>
  <c r="C937" i="7"/>
  <c r="C909" i="7"/>
  <c r="B902" i="7"/>
  <c r="C902" i="7"/>
  <c r="B873" i="7"/>
  <c r="B847" i="7"/>
  <c r="C836" i="7"/>
  <c r="B815" i="7"/>
  <c r="B782" i="7"/>
  <c r="B761" i="7"/>
  <c r="B745" i="7"/>
  <c r="B727" i="7"/>
  <c r="B710" i="7"/>
  <c r="C701" i="7"/>
  <c r="B696" i="7"/>
  <c r="B679" i="7"/>
  <c r="B675" i="7"/>
  <c r="C660" i="7"/>
  <c r="B660" i="7"/>
  <c r="C628" i="7"/>
  <c r="B574" i="7"/>
  <c r="B570" i="7"/>
  <c r="C546" i="7"/>
  <c r="B546" i="7"/>
  <c r="B537" i="7"/>
  <c r="B515" i="7"/>
  <c r="B510" i="7"/>
  <c r="B498" i="7"/>
  <c r="C471" i="7"/>
  <c r="C436" i="7"/>
  <c r="B430" i="7"/>
  <c r="B407" i="7"/>
  <c r="C407" i="7"/>
  <c r="C396" i="7"/>
  <c r="B382" i="7"/>
  <c r="B373" i="7"/>
  <c r="C344" i="7"/>
  <c r="B344" i="7"/>
  <c r="C301" i="7"/>
  <c r="B286" i="7"/>
  <c r="C286" i="7"/>
  <c r="C252" i="7"/>
  <c r="B252" i="7"/>
  <c r="C204" i="7"/>
  <c r="B204" i="7"/>
  <c r="C186" i="7"/>
  <c r="B141" i="7"/>
  <c r="C141" i="7"/>
  <c r="B105" i="7"/>
  <c r="C105" i="7"/>
  <c r="C617" i="7"/>
  <c r="B617" i="7"/>
  <c r="C554" i="7"/>
  <c r="B554" i="7"/>
  <c r="B145" i="7"/>
  <c r="C145" i="7"/>
  <c r="C364" i="7"/>
  <c r="C336" i="7"/>
  <c r="B324" i="7"/>
  <c r="C320" i="7"/>
  <c r="B316" i="7"/>
  <c r="B308" i="7"/>
  <c r="B295" i="7"/>
  <c r="B283" i="7"/>
  <c r="B279" i="7"/>
  <c r="B271" i="7"/>
  <c r="B263" i="7"/>
  <c r="C253" i="7"/>
  <c r="C229" i="7"/>
  <c r="C225" i="7"/>
  <c r="C221" i="7"/>
  <c r="C217" i="7"/>
  <c r="C213" i="7"/>
  <c r="C209" i="7"/>
  <c r="C205" i="7"/>
  <c r="C201" i="7"/>
  <c r="C160" i="7"/>
  <c r="B155" i="7"/>
  <c r="C142" i="7"/>
  <c r="B120" i="7"/>
  <c r="C97" i="7"/>
  <c r="C93" i="7"/>
  <c r="C89" i="7"/>
  <c r="C85" i="7"/>
  <c r="C69" i="7"/>
  <c r="C65" i="7"/>
  <c r="C61" i="7"/>
  <c r="B39" i="7"/>
  <c r="C257" i="7"/>
  <c r="C249" i="7"/>
  <c r="C245" i="7"/>
  <c r="C241" i="7"/>
  <c r="C237" i="7"/>
  <c r="C233" i="7"/>
  <c r="C168" i="7"/>
  <c r="C164" i="7"/>
  <c r="C137" i="7"/>
  <c r="C128" i="7"/>
  <c r="C110" i="7"/>
  <c r="C80" i="7"/>
  <c r="C56" i="7"/>
  <c r="B31" i="7"/>
  <c r="B20" i="7"/>
  <c r="C8" i="7"/>
  <c r="C192" i="7"/>
  <c r="B188" i="7"/>
  <c r="B184" i="7"/>
  <c r="C176" i="7"/>
  <c r="B172" i="7"/>
  <c r="C132" i="7"/>
  <c r="B123" i="7"/>
  <c r="C76" i="7"/>
  <c r="C72" i="7"/>
  <c r="C41" i="7"/>
  <c r="C68" i="7"/>
  <c r="B19" i="7"/>
  <c r="B11" i="7"/>
  <c r="C70" i="7"/>
  <c r="C5" i="7"/>
  <c r="B882" i="7"/>
  <c r="C882" i="7"/>
  <c r="B818" i="7"/>
  <c r="C818" i="7"/>
  <c r="B754" i="7"/>
  <c r="C754" i="7"/>
  <c r="B690" i="7"/>
  <c r="C690" i="7"/>
  <c r="C641" i="7"/>
  <c r="B641" i="7"/>
  <c r="C561" i="7"/>
  <c r="B561" i="7"/>
  <c r="B540" i="7"/>
  <c r="C540" i="7"/>
  <c r="B533" i="7"/>
  <c r="C533" i="7"/>
  <c r="C514" i="7"/>
  <c r="B514" i="7"/>
  <c r="B460" i="7"/>
  <c r="C460" i="7"/>
  <c r="B429" i="7"/>
  <c r="C429" i="7"/>
  <c r="B410" i="7"/>
  <c r="C410" i="7"/>
  <c r="C405" i="7"/>
  <c r="B405" i="7"/>
  <c r="B377" i="7"/>
  <c r="C377" i="7"/>
  <c r="C354" i="7"/>
  <c r="B354" i="7"/>
  <c r="B349" i="7"/>
  <c r="C349" i="7"/>
  <c r="C111" i="7"/>
  <c r="B111" i="7"/>
  <c r="B881" i="7"/>
  <c r="C868" i="7"/>
  <c r="B858" i="7"/>
  <c r="C858" i="7"/>
  <c r="B817" i="7"/>
  <c r="C804" i="7"/>
  <c r="B794" i="7"/>
  <c r="C794" i="7"/>
  <c r="B753" i="7"/>
  <c r="C740" i="7"/>
  <c r="B730" i="7"/>
  <c r="C730" i="7"/>
  <c r="C726" i="7"/>
  <c r="C723" i="7"/>
  <c r="B689" i="7"/>
  <c r="C676" i="7"/>
  <c r="B666" i="7"/>
  <c r="C666" i="7"/>
  <c r="C637" i="7"/>
  <c r="C598" i="7"/>
  <c r="C594" i="7"/>
  <c r="B594" i="7"/>
  <c r="B557" i="7"/>
  <c r="C557" i="7"/>
  <c r="B553" i="7"/>
  <c r="C532" i="7"/>
  <c r="B518" i="7"/>
  <c r="C518" i="7"/>
  <c r="C513" i="7"/>
  <c r="B513" i="7"/>
  <c r="B485" i="7"/>
  <c r="C485" i="7"/>
  <c r="C459" i="7"/>
  <c r="B459" i="7"/>
  <c r="B451" i="7"/>
  <c r="B442" i="7"/>
  <c r="C442" i="7"/>
  <c r="B433" i="7"/>
  <c r="C433" i="7"/>
  <c r="C419" i="7"/>
  <c r="B419" i="7"/>
  <c r="B353" i="7"/>
  <c r="C353" i="7"/>
  <c r="B328" i="7"/>
  <c r="C328" i="7"/>
  <c r="B312" i="7"/>
  <c r="B296" i="7"/>
  <c r="C296" i="7"/>
  <c r="B280" i="7"/>
  <c r="B260" i="7"/>
  <c r="C219" i="7"/>
  <c r="B219" i="7"/>
  <c r="C1056" i="7"/>
  <c r="C1048" i="7"/>
  <c r="C1040" i="7"/>
  <c r="C1032" i="7"/>
  <c r="C1024" i="7"/>
  <c r="C1016" i="7"/>
  <c r="C1008" i="7"/>
  <c r="C1000" i="7"/>
  <c r="C992" i="7"/>
  <c r="C984" i="7"/>
  <c r="C976" i="7"/>
  <c r="C968" i="7"/>
  <c r="C948" i="7"/>
  <c r="C945" i="7"/>
  <c r="C942" i="7"/>
  <c r="C916" i="7"/>
  <c r="C913" i="7"/>
  <c r="C910" i="7"/>
  <c r="B834" i="7"/>
  <c r="C834" i="7"/>
  <c r="C830" i="7"/>
  <c r="C827" i="7"/>
  <c r="B770" i="7"/>
  <c r="C770" i="7"/>
  <c r="C766" i="7"/>
  <c r="C763" i="7"/>
  <c r="B729" i="7"/>
  <c r="C716" i="7"/>
  <c r="B706" i="7"/>
  <c r="C706" i="7"/>
  <c r="C702" i="7"/>
  <c r="C699" i="7"/>
  <c r="B651" i="7"/>
  <c r="C651" i="7"/>
  <c r="B605" i="7"/>
  <c r="C605" i="7"/>
  <c r="B593" i="7"/>
  <c r="B586" i="7"/>
  <c r="B509" i="7"/>
  <c r="C509" i="7"/>
  <c r="B441" i="7"/>
  <c r="C441" i="7"/>
  <c r="C418" i="7"/>
  <c r="B418" i="7"/>
  <c r="B413" i="7"/>
  <c r="C413" i="7"/>
  <c r="C358" i="7"/>
  <c r="B358" i="7"/>
  <c r="B352" i="7"/>
  <c r="C352" i="7"/>
  <c r="C319" i="7"/>
  <c r="B319" i="7"/>
  <c r="C287" i="7"/>
  <c r="B287" i="7"/>
  <c r="B264" i="7"/>
  <c r="C264" i="7"/>
  <c r="C235" i="7"/>
  <c r="B235" i="7"/>
  <c r="C187" i="7"/>
  <c r="B187" i="7"/>
  <c r="B158" i="7"/>
  <c r="C158" i="7"/>
  <c r="B874" i="7"/>
  <c r="C874" i="7"/>
  <c r="B833" i="7"/>
  <c r="C820" i="7"/>
  <c r="B810" i="7"/>
  <c r="C810" i="7"/>
  <c r="B769" i="7"/>
  <c r="B746" i="7"/>
  <c r="C746" i="7"/>
  <c r="B705" i="7"/>
  <c r="C692" i="7"/>
  <c r="B682" i="7"/>
  <c r="C682" i="7"/>
  <c r="C650" i="7"/>
  <c r="B650" i="7"/>
  <c r="C636" i="7"/>
  <c r="C625" i="7"/>
  <c r="B625" i="7"/>
  <c r="B604" i="7"/>
  <c r="C604" i="7"/>
  <c r="B597" i="7"/>
  <c r="C597" i="7"/>
  <c r="C578" i="7"/>
  <c r="B578" i="7"/>
  <c r="B524" i="7"/>
  <c r="C524" i="7"/>
  <c r="C466" i="7"/>
  <c r="B466" i="7"/>
  <c r="B417" i="7"/>
  <c r="C417" i="7"/>
  <c r="B362" i="7"/>
  <c r="C362" i="7"/>
  <c r="C331" i="7"/>
  <c r="B331" i="7"/>
  <c r="B254" i="7"/>
  <c r="C254" i="7"/>
  <c r="B210" i="7"/>
  <c r="C210" i="7"/>
  <c r="C206" i="7"/>
  <c r="C194" i="7"/>
  <c r="C171" i="7"/>
  <c r="B171" i="7"/>
  <c r="B162" i="7"/>
  <c r="C162" i="7"/>
  <c r="C136" i="7"/>
  <c r="B850" i="7"/>
  <c r="C850" i="7"/>
  <c r="B786" i="7"/>
  <c r="C786" i="7"/>
  <c r="B722" i="7"/>
  <c r="C722" i="7"/>
  <c r="B621" i="7"/>
  <c r="C621" i="7"/>
  <c r="B582" i="7"/>
  <c r="C582" i="7"/>
  <c r="C577" i="7"/>
  <c r="B577" i="7"/>
  <c r="B549" i="7"/>
  <c r="C549" i="7"/>
  <c r="B477" i="7"/>
  <c r="C477" i="7"/>
  <c r="C465" i="7"/>
  <c r="B465" i="7"/>
  <c r="C422" i="7"/>
  <c r="B422" i="7"/>
  <c r="B416" i="7"/>
  <c r="C416" i="7"/>
  <c r="C389" i="7"/>
  <c r="B389" i="7"/>
  <c r="B384" i="7"/>
  <c r="C384" i="7"/>
  <c r="C371" i="7"/>
  <c r="B371" i="7"/>
  <c r="B366" i="7"/>
  <c r="B361" i="7"/>
  <c r="C361" i="7"/>
  <c r="B258" i="7"/>
  <c r="C258" i="7"/>
  <c r="B238" i="7"/>
  <c r="C238" i="7"/>
  <c r="B178" i="7"/>
  <c r="C178" i="7"/>
  <c r="C174" i="7"/>
  <c r="B698" i="7"/>
  <c r="C698" i="7"/>
  <c r="C657" i="7"/>
  <c r="B657" i="7"/>
  <c r="B635" i="7"/>
  <c r="C635" i="7"/>
  <c r="B573" i="7"/>
  <c r="C573" i="7"/>
  <c r="C497" i="7"/>
  <c r="B497" i="7"/>
  <c r="B476" i="7"/>
  <c r="C476" i="7"/>
  <c r="B469" i="7"/>
  <c r="C469" i="7"/>
  <c r="B426" i="7"/>
  <c r="C426" i="7"/>
  <c r="C402" i="7"/>
  <c r="B402" i="7"/>
  <c r="B397" i="7"/>
  <c r="C397" i="7"/>
  <c r="B302" i="7"/>
  <c r="C302" i="7"/>
  <c r="B274" i="7"/>
  <c r="C274" i="7"/>
  <c r="B130" i="7"/>
  <c r="C130" i="7"/>
  <c r="C1076" i="7"/>
  <c r="C1068" i="7"/>
  <c r="C1060" i="7"/>
  <c r="C1052" i="7"/>
  <c r="C1044" i="7"/>
  <c r="C1036" i="7"/>
  <c r="C1028" i="7"/>
  <c r="C1020" i="7"/>
  <c r="C1012" i="7"/>
  <c r="C1004" i="7"/>
  <c r="C996" i="7"/>
  <c r="C988" i="7"/>
  <c r="C980" i="7"/>
  <c r="C972" i="7"/>
  <c r="C964" i="7"/>
  <c r="C961" i="7"/>
  <c r="C958" i="7"/>
  <c r="C932" i="7"/>
  <c r="C929" i="7"/>
  <c r="C926" i="7"/>
  <c r="C900" i="7"/>
  <c r="C897" i="7"/>
  <c r="C894" i="7"/>
  <c r="B866" i="7"/>
  <c r="C866" i="7"/>
  <c r="C862" i="7"/>
  <c r="C859" i="7"/>
  <c r="B802" i="7"/>
  <c r="C802" i="7"/>
  <c r="C798" i="7"/>
  <c r="C795" i="7"/>
  <c r="B738" i="7"/>
  <c r="C738" i="7"/>
  <c r="C734" i="7"/>
  <c r="C731" i="7"/>
  <c r="B674" i="7"/>
  <c r="C674" i="7"/>
  <c r="C670" i="7"/>
  <c r="C667" i="7"/>
  <c r="C634" i="7"/>
  <c r="B634" i="7"/>
  <c r="C627" i="7"/>
  <c r="B588" i="7"/>
  <c r="C588" i="7"/>
  <c r="C530" i="7"/>
  <c r="B530" i="7"/>
  <c r="B493" i="7"/>
  <c r="C493" i="7"/>
  <c r="C486" i="7"/>
  <c r="C453" i="7"/>
  <c r="B453" i="7"/>
  <c r="B448" i="7"/>
  <c r="C448" i="7"/>
  <c r="C435" i="7"/>
  <c r="B435" i="7"/>
  <c r="B425" i="7"/>
  <c r="C425" i="7"/>
  <c r="B365" i="7"/>
  <c r="C365" i="7"/>
  <c r="B346" i="7"/>
  <c r="C346" i="7"/>
  <c r="B826" i="7"/>
  <c r="C826" i="7"/>
  <c r="B762" i="7"/>
  <c r="C762" i="7"/>
  <c r="B865" i="7"/>
  <c r="C852" i="7"/>
  <c r="B842" i="7"/>
  <c r="C842" i="7"/>
  <c r="B801" i="7"/>
  <c r="C788" i="7"/>
  <c r="B778" i="7"/>
  <c r="C778" i="7"/>
  <c r="B737" i="7"/>
  <c r="C724" i="7"/>
  <c r="B714" i="7"/>
  <c r="C714" i="7"/>
  <c r="B673" i="7"/>
  <c r="B633" i="7"/>
  <c r="B613" i="7"/>
  <c r="C613" i="7"/>
  <c r="B541" i="7"/>
  <c r="C541" i="7"/>
  <c r="B529" i="7"/>
  <c r="B522" i="7"/>
  <c r="C492" i="7"/>
  <c r="B482" i="7"/>
  <c r="B443" i="7"/>
  <c r="B434" i="7"/>
  <c r="B424" i="7"/>
  <c r="C406" i="7"/>
  <c r="B406" i="7"/>
  <c r="B400" i="7"/>
  <c r="C400" i="7"/>
  <c r="B387" i="7"/>
  <c r="B378" i="7"/>
  <c r="C378" i="7"/>
  <c r="B369" i="7"/>
  <c r="C369" i="7"/>
  <c r="C355" i="7"/>
  <c r="B355" i="7"/>
  <c r="B581" i="7"/>
  <c r="C581" i="7"/>
  <c r="B517" i="7"/>
  <c r="C517" i="7"/>
  <c r="B409" i="7"/>
  <c r="C409" i="7"/>
  <c r="B401" i="7"/>
  <c r="C401" i="7"/>
  <c r="B345" i="7"/>
  <c r="C345" i="7"/>
  <c r="B242" i="7"/>
  <c r="C242" i="7"/>
  <c r="C203" i="7"/>
  <c r="B203" i="7"/>
  <c r="C191" i="7"/>
  <c r="B191" i="7"/>
  <c r="B124" i="7"/>
  <c r="C124" i="7"/>
  <c r="B589" i="7"/>
  <c r="C589" i="7"/>
  <c r="B525" i="7"/>
  <c r="C525" i="7"/>
  <c r="B445" i="7"/>
  <c r="C445" i="7"/>
  <c r="B432" i="7"/>
  <c r="C432" i="7"/>
  <c r="B394" i="7"/>
  <c r="C394" i="7"/>
  <c r="B381" i="7"/>
  <c r="C381" i="7"/>
  <c r="B368" i="7"/>
  <c r="C368" i="7"/>
  <c r="B338" i="7"/>
  <c r="C338" i="7"/>
  <c r="C299" i="7"/>
  <c r="B299" i="7"/>
  <c r="C255" i="7"/>
  <c r="B255" i="7"/>
  <c r="B232" i="7"/>
  <c r="C232" i="7"/>
  <c r="B156" i="7"/>
  <c r="C156" i="7"/>
  <c r="C143" i="7"/>
  <c r="B143" i="7"/>
  <c r="B565" i="7"/>
  <c r="C565" i="7"/>
  <c r="B501" i="7"/>
  <c r="C501" i="7"/>
  <c r="B449" i="7"/>
  <c r="C449" i="7"/>
  <c r="B393" i="7"/>
  <c r="C393" i="7"/>
  <c r="B385" i="7"/>
  <c r="C385" i="7"/>
  <c r="B306" i="7"/>
  <c r="C306" i="7"/>
  <c r="C267" i="7"/>
  <c r="B267" i="7"/>
  <c r="C223" i="7"/>
  <c r="B223" i="7"/>
  <c r="B200" i="7"/>
  <c r="C200" i="7"/>
  <c r="B140" i="7"/>
  <c r="C140" i="7"/>
  <c r="C127" i="7"/>
  <c r="B127" i="7"/>
  <c r="B114" i="7"/>
  <c r="C114" i="7"/>
  <c r="C159" i="7"/>
  <c r="B159" i="7"/>
  <c r="B146" i="7"/>
  <c r="C146" i="7"/>
  <c r="B108" i="7"/>
  <c r="C108" i="7"/>
  <c r="B55" i="7"/>
  <c r="B52" i="7"/>
  <c r="C38" i="7"/>
  <c r="B35" i="7"/>
  <c r="B18" i="7"/>
  <c r="C18" i="7"/>
  <c r="B58" i="7"/>
  <c r="C58" i="7"/>
  <c r="C100" i="7"/>
  <c r="C84" i="7"/>
  <c r="B71" i="7"/>
  <c r="C54" i="7"/>
  <c r="B51" i="7"/>
  <c r="C44" i="7"/>
  <c r="B34" i="7"/>
  <c r="C34" i="7"/>
  <c r="B7" i="7"/>
  <c r="C170" i="7"/>
  <c r="B167" i="7"/>
  <c r="C154" i="7"/>
  <c r="B151" i="7"/>
  <c r="C138" i="7"/>
  <c r="B135" i="7"/>
  <c r="C122" i="7"/>
  <c r="B119" i="7"/>
  <c r="C106" i="7"/>
  <c r="B103" i="7"/>
  <c r="C90" i="7"/>
  <c r="B87" i="7"/>
  <c r="B74" i="7"/>
  <c r="C74" i="7"/>
  <c r="B47" i="7"/>
  <c r="C30" i="7"/>
  <c r="B27" i="7"/>
  <c r="B10" i="7"/>
  <c r="C10" i="7"/>
  <c r="C60" i="7"/>
  <c r="B50" i="7"/>
  <c r="C50" i="7"/>
  <c r="C6" i="7"/>
  <c r="C342" i="7"/>
  <c r="B339" i="7"/>
  <c r="C326" i="7"/>
  <c r="B323" i="7"/>
  <c r="C310" i="7"/>
  <c r="B307" i="7"/>
  <c r="C294" i="7"/>
  <c r="B291" i="7"/>
  <c r="C278" i="7"/>
  <c r="B275" i="7"/>
  <c r="C262" i="7"/>
  <c r="B259" i="7"/>
  <c r="C246" i="7"/>
  <c r="B243" i="7"/>
  <c r="C230" i="7"/>
  <c r="B227" i="7"/>
  <c r="C214" i="7"/>
  <c r="B211" i="7"/>
  <c r="C198" i="7"/>
  <c r="B195" i="7"/>
  <c r="C182" i="7"/>
  <c r="B179" i="7"/>
  <c r="C166" i="7"/>
  <c r="B163" i="7"/>
  <c r="C150" i="7"/>
  <c r="B147" i="7"/>
  <c r="C134" i="7"/>
  <c r="B131" i="7"/>
  <c r="C118" i="7"/>
  <c r="B115" i="7"/>
  <c r="C102" i="7"/>
  <c r="B99" i="7"/>
  <c r="C86" i="7"/>
  <c r="B83" i="7"/>
  <c r="B63" i="7"/>
  <c r="C46" i="7"/>
  <c r="B43" i="7"/>
  <c r="B26" i="7"/>
  <c r="C26" i="7"/>
  <c r="B66" i="7"/>
  <c r="C66" i="7"/>
  <c r="C12" i="7"/>
  <c r="C98" i="7"/>
  <c r="B95" i="7"/>
  <c r="C82" i="7"/>
  <c r="B79" i="7"/>
  <c r="C62" i="7"/>
  <c r="B59" i="7"/>
  <c r="B42" i="7"/>
  <c r="C42" i="7"/>
  <c r="B15" i="7"/>
  <c r="C196" i="3"/>
  <c r="B127" i="3"/>
  <c r="B188" i="3"/>
  <c r="C180" i="3"/>
  <c r="B172" i="3"/>
  <c r="B29" i="3"/>
  <c r="B306" i="3"/>
  <c r="B170" i="3"/>
  <c r="B70" i="3"/>
  <c r="B22" i="3"/>
  <c r="C157" i="3"/>
  <c r="C69" i="3"/>
  <c r="B21" i="3"/>
  <c r="C156" i="3"/>
  <c r="B59" i="3"/>
  <c r="C18" i="3"/>
  <c r="B446" i="3"/>
  <c r="B435" i="3"/>
  <c r="B423" i="3"/>
  <c r="B414" i="3"/>
  <c r="B403" i="3"/>
  <c r="B391" i="3"/>
  <c r="B382" i="3"/>
  <c r="B372" i="3"/>
  <c r="B356" i="3"/>
  <c r="B347" i="3"/>
  <c r="B332" i="3"/>
  <c r="C321" i="3"/>
  <c r="B309" i="3"/>
  <c r="B295" i="3"/>
  <c r="B283" i="3"/>
  <c r="C269" i="3"/>
  <c r="B247" i="3"/>
  <c r="C232" i="3"/>
  <c r="B217" i="3"/>
  <c r="B143" i="3"/>
  <c r="B128" i="3"/>
  <c r="C112" i="3"/>
  <c r="C443" i="3"/>
  <c r="C431" i="3"/>
  <c r="C422" i="3"/>
  <c r="C411" i="3"/>
  <c r="C399" i="3"/>
  <c r="C390" i="3"/>
  <c r="C380" i="3"/>
  <c r="B365" i="3"/>
  <c r="C355" i="3"/>
  <c r="B331" i="3"/>
  <c r="C308" i="3"/>
  <c r="C294" i="3"/>
  <c r="B280" i="3"/>
  <c r="C246" i="3"/>
  <c r="B231" i="3"/>
  <c r="C216" i="3"/>
  <c r="B97" i="3"/>
  <c r="B379" i="3"/>
  <c r="C364" i="3"/>
  <c r="C342" i="3"/>
  <c r="C326" i="3"/>
  <c r="C316" i="3"/>
  <c r="B279" i="3"/>
  <c r="B268" i="3"/>
  <c r="C253" i="3"/>
  <c r="B243" i="3"/>
  <c r="B228" i="3"/>
  <c r="B212" i="3"/>
  <c r="B165" i="3"/>
  <c r="C154" i="3"/>
  <c r="C138" i="3"/>
  <c r="B123" i="3"/>
  <c r="B111" i="3"/>
  <c r="C96" i="3"/>
  <c r="B83" i="3"/>
  <c r="C54" i="3"/>
  <c r="B39" i="3"/>
  <c r="C28" i="3"/>
  <c r="C20" i="3"/>
  <c r="C451" i="3"/>
  <c r="C439" i="3"/>
  <c r="C430" i="3"/>
  <c r="C419" i="3"/>
  <c r="C407" i="3"/>
  <c r="C398" i="3"/>
  <c r="C387" i="3"/>
  <c r="C351" i="3"/>
  <c r="C293" i="3"/>
  <c r="C278" i="3"/>
  <c r="B267" i="3"/>
  <c r="B238" i="3"/>
  <c r="B222" i="3"/>
  <c r="B211" i="3"/>
  <c r="B191" i="3"/>
  <c r="B179" i="3"/>
  <c r="C164" i="3"/>
  <c r="B149" i="3"/>
  <c r="C133" i="3"/>
  <c r="B118" i="3"/>
  <c r="B107" i="3"/>
  <c r="B92" i="3"/>
  <c r="C81" i="3"/>
  <c r="C68" i="3"/>
  <c r="C38" i="3"/>
  <c r="C374" i="3"/>
  <c r="C363" i="3"/>
  <c r="B341" i="3"/>
  <c r="C325" i="3"/>
  <c r="B315" i="3"/>
  <c r="C305" i="3"/>
  <c r="C292" i="3"/>
  <c r="C264" i="3"/>
  <c r="C252" i="3"/>
  <c r="C237" i="3"/>
  <c r="C221" i="3"/>
  <c r="C206" i="3"/>
  <c r="B190" i="3"/>
  <c r="B175" i="3"/>
  <c r="C148" i="3"/>
  <c r="B117" i="3"/>
  <c r="B102" i="3"/>
  <c r="B91" i="3"/>
  <c r="C80" i="3"/>
  <c r="B53" i="3"/>
  <c r="B27" i="3"/>
  <c r="C13" i="3"/>
  <c r="C447" i="3"/>
  <c r="C438" i="3"/>
  <c r="C427" i="3"/>
  <c r="C415" i="3"/>
  <c r="C406" i="3"/>
  <c r="C395" i="3"/>
  <c r="C383" i="3"/>
  <c r="C360" i="3"/>
  <c r="C350" i="3"/>
  <c r="C340" i="3"/>
  <c r="B311" i="3"/>
  <c r="B301" i="3"/>
  <c r="B285" i="3"/>
  <c r="C276" i="3"/>
  <c r="B263" i="3"/>
  <c r="C189" i="3"/>
  <c r="C174" i="3"/>
  <c r="B160" i="3"/>
  <c r="C132" i="3"/>
  <c r="C116" i="3"/>
  <c r="C101" i="3"/>
  <c r="C86" i="3"/>
  <c r="B76" i="3"/>
  <c r="C65" i="3"/>
  <c r="C52" i="3"/>
  <c r="C37" i="3"/>
  <c r="B24" i="3"/>
  <c r="B373" i="3"/>
  <c r="C324" i="3"/>
  <c r="C310" i="3"/>
  <c r="B300" i="3"/>
  <c r="C284" i="3"/>
  <c r="C274" i="3"/>
  <c r="C262" i="3"/>
  <c r="C248" i="3"/>
  <c r="B236" i="3"/>
  <c r="C220" i="3"/>
  <c r="C205" i="3"/>
  <c r="B159" i="3"/>
  <c r="B147" i="3"/>
  <c r="B75" i="3"/>
  <c r="C60" i="3"/>
  <c r="B23" i="3"/>
  <c r="B12" i="3"/>
  <c r="C359" i="3"/>
  <c r="C348" i="3"/>
  <c r="C336" i="3"/>
  <c r="B299" i="3"/>
  <c r="B233" i="3"/>
  <c r="C173" i="3"/>
  <c r="B158" i="3"/>
  <c r="B144" i="3"/>
  <c r="B115" i="3"/>
  <c r="B85" i="3"/>
  <c r="B45" i="3"/>
  <c r="C36" i="3"/>
  <c r="C8" i="3"/>
  <c r="C7" i="3"/>
  <c r="B7" i="3"/>
  <c r="B450" i="3"/>
  <c r="C450" i="3"/>
  <c r="B442" i="3"/>
  <c r="C442" i="3"/>
  <c r="B434" i="3"/>
  <c r="C434" i="3"/>
  <c r="B426" i="3"/>
  <c r="C426" i="3"/>
  <c r="B418" i="3"/>
  <c r="C418" i="3"/>
  <c r="B410" i="3"/>
  <c r="C410" i="3"/>
  <c r="B402" i="3"/>
  <c r="C402" i="3"/>
  <c r="B394" i="3"/>
  <c r="C394" i="3"/>
  <c r="B386" i="3"/>
  <c r="C386" i="3"/>
  <c r="B362" i="3"/>
  <c r="C362" i="3"/>
  <c r="C354" i="3"/>
  <c r="B354" i="3"/>
  <c r="B338" i="3"/>
  <c r="C338" i="3"/>
  <c r="B330" i="3"/>
  <c r="C330" i="3"/>
  <c r="B322" i="3"/>
  <c r="C322" i="3"/>
  <c r="B314" i="3"/>
  <c r="C314" i="3"/>
  <c r="C298" i="3"/>
  <c r="B298" i="3"/>
  <c r="B282" i="3"/>
  <c r="C282" i="3"/>
  <c r="B266" i="3"/>
  <c r="C266" i="3"/>
  <c r="B250" i="3"/>
  <c r="C250" i="3"/>
  <c r="B234" i="3"/>
  <c r="C234" i="3"/>
  <c r="B218" i="3"/>
  <c r="C218" i="3"/>
  <c r="C210" i="3"/>
  <c r="B210" i="3"/>
  <c r="B202" i="3"/>
  <c r="C202" i="3"/>
  <c r="C194" i="3"/>
  <c r="B194" i="3"/>
  <c r="B186" i="3"/>
  <c r="C186" i="3"/>
  <c r="B178" i="3"/>
  <c r="C178" i="3"/>
  <c r="B162" i="3"/>
  <c r="C162" i="3"/>
  <c r="B146" i="3"/>
  <c r="C146" i="3"/>
  <c r="B130" i="3"/>
  <c r="C130" i="3"/>
  <c r="B122" i="3"/>
  <c r="C122" i="3"/>
  <c r="B114" i="3"/>
  <c r="C114" i="3"/>
  <c r="B106" i="3"/>
  <c r="C106" i="3"/>
  <c r="B98" i="3"/>
  <c r="C98" i="3"/>
  <c r="B90" i="3"/>
  <c r="C90" i="3"/>
  <c r="B82" i="3"/>
  <c r="C82" i="3"/>
  <c r="C74" i="3"/>
  <c r="B74" i="3"/>
  <c r="B66" i="3"/>
  <c r="C66" i="3"/>
  <c r="B58" i="3"/>
  <c r="C58" i="3"/>
  <c r="B42" i="3"/>
  <c r="C42" i="3"/>
  <c r="B26" i="3"/>
  <c r="C26" i="3"/>
  <c r="C6" i="3"/>
  <c r="B6" i="3"/>
  <c r="B449" i="3"/>
  <c r="C449" i="3"/>
  <c r="B441" i="3"/>
  <c r="C441" i="3"/>
  <c r="B433" i="3"/>
  <c r="C433" i="3"/>
  <c r="B425" i="3"/>
  <c r="C425" i="3"/>
  <c r="B417" i="3"/>
  <c r="C417" i="3"/>
  <c r="B409" i="3"/>
  <c r="C409" i="3"/>
  <c r="B401" i="3"/>
  <c r="C401" i="3"/>
  <c r="B393" i="3"/>
  <c r="C393" i="3"/>
  <c r="B385" i="3"/>
  <c r="C385" i="3"/>
  <c r="C377" i="3"/>
  <c r="B377" i="3"/>
  <c r="C361" i="3"/>
  <c r="B361" i="3"/>
  <c r="C353" i="3"/>
  <c r="B353" i="3"/>
  <c r="C345" i="3"/>
  <c r="B345" i="3"/>
  <c r="B329" i="3"/>
  <c r="C329" i="3"/>
  <c r="B313" i="3"/>
  <c r="C313" i="3"/>
  <c r="B297" i="3"/>
  <c r="C297" i="3"/>
  <c r="B281" i="3"/>
  <c r="C281" i="3"/>
  <c r="B273" i="3"/>
  <c r="C273" i="3"/>
  <c r="B265" i="3"/>
  <c r="C265" i="3"/>
  <c r="B257" i="3"/>
  <c r="C257" i="3"/>
  <c r="B249" i="3"/>
  <c r="C249" i="3"/>
  <c r="B241" i="3"/>
  <c r="C241" i="3"/>
  <c r="B225" i="3"/>
  <c r="C225" i="3"/>
  <c r="B209" i="3"/>
  <c r="C209" i="3"/>
  <c r="B193" i="3"/>
  <c r="C193" i="3"/>
  <c r="B177" i="3"/>
  <c r="C177" i="3"/>
  <c r="B169" i="3"/>
  <c r="C169" i="3"/>
  <c r="B161" i="3"/>
  <c r="C161" i="3"/>
  <c r="B153" i="3"/>
  <c r="C153" i="3"/>
  <c r="B145" i="3"/>
  <c r="C145" i="3"/>
  <c r="C137" i="3"/>
  <c r="B137" i="3"/>
  <c r="B129" i="3"/>
  <c r="C129" i="3"/>
  <c r="C121" i="3"/>
  <c r="B121" i="3"/>
  <c r="B113" i="3"/>
  <c r="C113" i="3"/>
  <c r="B105" i="3"/>
  <c r="C105" i="3"/>
  <c r="B89" i="3"/>
  <c r="C89" i="3"/>
  <c r="B73" i="3"/>
  <c r="C73" i="3"/>
  <c r="B57" i="3"/>
  <c r="C57" i="3"/>
  <c r="B49" i="3"/>
  <c r="C49" i="3"/>
  <c r="B41" i="3"/>
  <c r="C41" i="3"/>
  <c r="B33" i="3"/>
  <c r="C33" i="3"/>
  <c r="B25" i="3"/>
  <c r="C25" i="3"/>
  <c r="B17" i="3"/>
  <c r="C17" i="3"/>
  <c r="B290" i="3"/>
  <c r="C242" i="3"/>
  <c r="C201" i="3"/>
  <c r="B370" i="3"/>
  <c r="C337" i="3"/>
  <c r="C289" i="3"/>
  <c r="C226" i="3"/>
  <c r="B50" i="3"/>
  <c r="B369" i="3"/>
  <c r="C185" i="3"/>
  <c r="C230" i="3"/>
  <c r="B215" i="3"/>
  <c r="B199" i="3"/>
  <c r="B184" i="3"/>
  <c r="C168" i="3"/>
  <c r="C152" i="3"/>
  <c r="B126" i="3"/>
  <c r="C110" i="3"/>
  <c r="B95" i="3"/>
  <c r="B79" i="3"/>
  <c r="B64" i="3"/>
  <c r="B48" i="3"/>
  <c r="C32" i="3"/>
  <c r="C16" i="3"/>
  <c r="B11" i="3"/>
  <c r="C453" i="3"/>
  <c r="C445" i="3"/>
  <c r="C437" i="3"/>
  <c r="C429" i="3"/>
  <c r="C421" i="3"/>
  <c r="C413" i="3"/>
  <c r="C405" i="3"/>
  <c r="C397" i="3"/>
  <c r="C389" i="3"/>
  <c r="B381" i="3"/>
  <c r="C376" i="3"/>
  <c r="C367" i="3"/>
  <c r="C358" i="3"/>
  <c r="B349" i="3"/>
  <c r="C344" i="3"/>
  <c r="C334" i="3"/>
  <c r="B319" i="3"/>
  <c r="B303" i="3"/>
  <c r="B288" i="3"/>
  <c r="B277" i="3"/>
  <c r="B272" i="3"/>
  <c r="C261" i="3"/>
  <c r="C256" i="3"/>
  <c r="B251" i="3"/>
  <c r="C240" i="3"/>
  <c r="B235" i="3"/>
  <c r="C214" i="3"/>
  <c r="C198" i="3"/>
  <c r="B183" i="3"/>
  <c r="B167" i="3"/>
  <c r="C141" i="3"/>
  <c r="C136" i="3"/>
  <c r="C125" i="3"/>
  <c r="C120" i="3"/>
  <c r="B94" i="3"/>
  <c r="C78" i="3"/>
  <c r="B63" i="3"/>
  <c r="B47" i="3"/>
  <c r="C10" i="3"/>
  <c r="C5" i="3"/>
  <c r="C371" i="3"/>
  <c r="B339" i="3"/>
  <c r="B318" i="3"/>
  <c r="C302" i="3"/>
  <c r="B287" i="3"/>
  <c r="B271" i="3"/>
  <c r="B245" i="3"/>
  <c r="C229" i="3"/>
  <c r="C224" i="3"/>
  <c r="B219" i="3"/>
  <c r="C208" i="3"/>
  <c r="B203" i="3"/>
  <c r="C182" i="3"/>
  <c r="C166" i="3"/>
  <c r="B151" i="3"/>
  <c r="B135" i="3"/>
  <c r="C109" i="3"/>
  <c r="C104" i="3"/>
  <c r="C93" i="3"/>
  <c r="C88" i="3"/>
  <c r="B31" i="3"/>
  <c r="B15" i="3"/>
  <c r="B62" i="3"/>
  <c r="C46" i="3"/>
  <c r="C452" i="3"/>
  <c r="C448" i="3"/>
  <c r="C444" i="3"/>
  <c r="C440" i="3"/>
  <c r="C436" i="3"/>
  <c r="C432" i="3"/>
  <c r="C428" i="3"/>
  <c r="C424" i="3"/>
  <c r="C420" i="3"/>
  <c r="C416" i="3"/>
  <c r="C412" i="3"/>
  <c r="C408" i="3"/>
  <c r="C404" i="3"/>
  <c r="C400" i="3"/>
  <c r="C396" i="3"/>
  <c r="C392" i="3"/>
  <c r="C388" i="3"/>
  <c r="C384" i="3"/>
  <c r="C375" i="3"/>
  <c r="C366" i="3"/>
  <c r="B357" i="3"/>
  <c r="C352" i="3"/>
  <c r="C343" i="3"/>
  <c r="C333" i="3"/>
  <c r="C328" i="3"/>
  <c r="C317" i="3"/>
  <c r="C312" i="3"/>
  <c r="B307" i="3"/>
  <c r="B286" i="3"/>
  <c r="C270" i="3"/>
  <c r="C260" i="3"/>
  <c r="B255" i="3"/>
  <c r="C244" i="3"/>
  <c r="B239" i="3"/>
  <c r="B213" i="3"/>
  <c r="C197" i="3"/>
  <c r="C192" i="3"/>
  <c r="B187" i="3"/>
  <c r="C176" i="3"/>
  <c r="B171" i="3"/>
  <c r="C150" i="3"/>
  <c r="B140" i="3"/>
  <c r="C134" i="3"/>
  <c r="C124" i="3"/>
  <c r="B119" i="3"/>
  <c r="B103" i="3"/>
  <c r="C77" i="3"/>
  <c r="C72" i="3"/>
  <c r="C61" i="3"/>
  <c r="C56" i="3"/>
  <c r="B51" i="3"/>
  <c r="B30" i="3"/>
  <c r="C14" i="3"/>
  <c r="C9" i="3"/>
  <c r="C4" i="3"/>
  <c r="C368" i="3"/>
  <c r="C320" i="3"/>
  <c r="C304" i="3"/>
  <c r="C200" i="3"/>
  <c r="B335" i="3"/>
  <c r="C3" i="3"/>
  <c r="B3" i="3"/>
  <c r="C323" i="3"/>
  <c r="B323" i="3"/>
  <c r="C291" i="3"/>
  <c r="B291" i="3"/>
  <c r="C259" i="3"/>
  <c r="B259" i="3"/>
  <c r="C227" i="3"/>
  <c r="B227" i="3"/>
  <c r="C195" i="3"/>
  <c r="B195" i="3"/>
  <c r="C163" i="3"/>
  <c r="B163" i="3"/>
  <c r="C131" i="3"/>
  <c r="B131" i="3"/>
  <c r="C99" i="3"/>
  <c r="B99" i="3"/>
  <c r="C67" i="3"/>
  <c r="B67" i="3"/>
  <c r="C35" i="3"/>
  <c r="B35" i="3"/>
  <c r="B327" i="3"/>
  <c r="C296" i="3"/>
  <c r="B275" i="3"/>
  <c r="B254" i="3"/>
  <c r="B223" i="3"/>
  <c r="B207" i="3"/>
  <c r="B181" i="3"/>
  <c r="B155" i="3"/>
  <c r="B139" i="3"/>
  <c r="B108" i="3"/>
  <c r="B87" i="3"/>
  <c r="B71" i="3"/>
  <c r="C40" i="3"/>
  <c r="B19" i="3"/>
  <c r="B2" i="3"/>
  <c r="C2" i="3"/>
  <c r="C2" i="2"/>
  <c r="F45" i="5"/>
  <c r="F30" i="5"/>
  <c r="F29" i="5"/>
  <c r="F31" i="5"/>
  <c r="F16" i="5"/>
  <c r="F14" i="5"/>
  <c r="F18" i="5"/>
  <c r="F17" i="5"/>
  <c r="F15" i="5"/>
  <c r="E19" i="5"/>
  <c r="E20" i="5" s="1"/>
  <c r="G46" i="5" l="1"/>
  <c r="G47" i="5" s="1"/>
  <c r="F46" i="5"/>
  <c r="F47" i="5" s="1"/>
  <c r="H29" i="5"/>
  <c r="H19" i="5"/>
  <c r="H20" i="5" s="1"/>
  <c r="F19" i="5"/>
  <c r="F20" i="5" s="1"/>
  <c r="H46" i="5" l="1"/>
  <c r="H47"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tc={1439BD21-1F48-41FD-9A1A-DA2BB77912D9}</author>
    <author>tc={91AB13A3-B003-4C8F-98AF-4FCCE8BB03F4}</author>
  </authors>
  <commentList>
    <comment ref="B1" authorId="0" shapeId="0" xr:uid="{1439BD21-1F48-41FD-9A1A-DA2BB77912D9}">
      <text>
        <t>[Threaded comment]
Your version of Excel allows you to read this threaded comment; however, any edits to it will get removed if the file is opened in a newer version of Excel. Learn more: https://go.microsoft.com/fwlink/?linkid=870924
Comment:
    Krav angivet med grå farve er vores interne identifier for kravet. Disse er krav, der er fundet i teksten og derfor ligger ud over Kravspecifikationen. Disse identifiers skal ikke bruges over for kunden. Kravene er default MK.</t>
      </text>
    </comment>
    <comment ref="W105" authorId="1" shapeId="0" xr:uid="{91AB13A3-B003-4C8F-98AF-4FCCE8BB03F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@Anita Odsbjerg Pedersen her mangler et link? 
Reply:
    Det er et K-krav, så du skal blot angive i kolonne R, om det kan opfyldes - så skriver jeg ”Ja” i den rigtige tabel i det korrekte dokument. 
K-krav skal kun besvares med Ja/Nej.</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<sst xmlns="http://schemas.openxmlformats.org/spreadsheetml/2006/main" count="3368" uniqueCount="1102">
  <si>
    <t>#</t>
  </si>
  <si>
    <t>ReqID</t>
  </si>
  <si>
    <t>Document</t>
  </si>
  <si>
    <t>Section (Headline)</t>
  </si>
  <si>
    <t>Subsection</t>
  </si>
  <si>
    <t>Requirement title</t>
  </si>
  <si>
    <t>Requirement</t>
  </si>
  <si>
    <t>Besvarelsesvejledning</t>
  </si>
  <si>
    <t>Requirement type</t>
  </si>
  <si>
    <t>Action</t>
  </si>
  <si>
    <t>Faktor</t>
  </si>
  <si>
    <t>Kvalitetskriterium</t>
  </si>
  <si>
    <t>Vægt (point)</t>
  </si>
  <si>
    <t>Round #1</t>
  </si>
  <si>
    <t>Responsible</t>
  </si>
  <si>
    <t>Reviewer</t>
  </si>
  <si>
    <t>Module</t>
  </si>
  <si>
    <t>Can we meet the requirement?</t>
  </si>
  <si>
    <t>Comment</t>
  </si>
  <si>
    <t>Commitment needed?</t>
  </si>
  <si>
    <t>Risk Element?</t>
  </si>
  <si>
    <t>Cost Driver</t>
  </si>
  <si>
    <t>Link to answer document</t>
  </si>
  <si>
    <t>Status (phase)</t>
  </si>
  <si>
    <t>Status (%)</t>
  </si>
  <si>
    <t>4.1.1.</t>
  </si>
  <si>
    <t>Bilag 2 - Kravspecifikation</t>
  </si>
  <si>
    <t>Tidsplan (15%)</t>
  </si>
  <si>
    <t>Implementering og tidsplan</t>
  </si>
  <si>
    <t>Implementeringsplan</t>
  </si>
  <si>
    <t xml:space="preserve">Implementeringsplan
Leverandøren skal beskrive sin samlede plan for implementering af Løsningen hos Kunden. Beskrivelsen skal omfatte punkterne i Bilag 11 Dokumentations, pkt. 7:
Det vægtes positivt, at:
	Leverandøren demonstrerer en klar forståelse for Kundens it-miljø og de tekniske forudsætninger, herunder relevante integrationer, snitflader, datamigrering og sikkerhedsmæssige forhold.
	Tidsplanen afspejler Kundens organisation og implementeringens kompleksitet.
	Leverandøren giver en sammenhængende og realistisk faseopdeling af implementeringsforløbet med klare milepæle og godkendelsespunkter, der sikrer, at Kunden kan godkende afslutning af en fase, før næste fase igangsættes.
	Leverandøren tydeligt beskriver kendte risici og faldgruber i implementeringsforløbet, samt konkrete mitigerende tiltag.
	At tidsplanen tager højde for, at Ordregiver har en løbende drift der skal varetages og perioder med begrænsede ressourcer </t>
  </si>
  <si>
    <t>Informationskravet besvares ved at Leverandøren vedhæfter eget bilag og udfylder tabel 5.4. (Detaljeret tidsplan) i Bilag 1 - Implementering</t>
  </si>
  <si>
    <t>IK - Informationskrav</t>
  </si>
  <si>
    <t>2</t>
  </si>
  <si>
    <t>Cristina</t>
  </si>
  <si>
    <t xml:space="preserve">Evt. koordiner med Kaare
AOP: OBS at Eskalering sker i overensstemmelse med den i bilag 1 – Implementering gældende samarbejdsorganisation, f.eks. driftsgruppen eller jf. Kontraktens afsnit 31 vedr. Tvister. - denne skal derfor tage højde for dette. </t>
  </si>
  <si>
    <t>Bilag 2 - 4.1.1 - Implementeringsplan.docx</t>
  </si>
  <si>
    <t>Not Started</t>
  </si>
  <si>
    <t>4.2.1.</t>
  </si>
  <si>
    <t>Tidsplan for optioner</t>
  </si>
  <si>
    <t>Tidsplan for optioner
Leverandøren bedes redegøre for hvornår optionerne, jf. punkt 5.4. (5.4.1. &amp; 5.4.2.) i nærværende bilag, kan forventes færdigleveret efter Kunden har kaldt optioner. Leverandøren skal indregne alle relevante faktorer, såsom udvikling af integrationen, men også forhold hos Kunden som Leverandøren er bekendt med ud fra nærværende materiale samt tilhørende bilag.
Det vægter positivt at
-	optionen tilbydes til levering så tæt på Overtagelsesdagen, som muligt.
-	tidligste dato for Kundens kald af optionen er så tæt på Kontraktindgåelsesdatoen, som muligt.</t>
  </si>
  <si>
    <t>Informationskravet besvares ved at Leverandøren vedhæfter eget bilag.</t>
  </si>
  <si>
    <t>1</t>
  </si>
  <si>
    <t>Bilag 2 - 4.2.1 - Tidsplan for optioner.docx</t>
  </si>
  <si>
    <t>5.1.1.1.</t>
  </si>
  <si>
    <t>Generelle krav</t>
  </si>
  <si>
    <t>Test og prøver</t>
  </si>
  <si>
    <t>Prøveplan</t>
  </si>
  <si>
    <t>Prøveplan
Leverandøren skal beskrive teststrategien og redegøre for hvorledes aktiviteterne bedst påviser, at kravene i Bilag 2 (Kravspecifikation) efterleves.
Det vægtes positivt, at:
	Leverandøren beskriver teststrategien på en måde, så den tydelig beskriver, hvilken teststrategi Leverandøren anvender for at sikre, at Løsningen lever op til Kundens krav
	Leverandøren beskriver eksempler på prøveplaner og testrapport med angivelse af ansvarsfordeling, testprincipper, metoder og værktøjer mm.
	Leverandøren beskriver hvordan og i hvilken grad testcases udledes af Kundens krav
	Hvordan dokumenteres og sikres kvalitet og stabilitet under test og prøver, f.eks. ved brug af dedikerede testværktøjer såsom Azure DevOps el.lign.</t>
  </si>
  <si>
    <t>Bilag 2 - 5.1.1.1 - Prøveplan.docx</t>
  </si>
  <si>
    <t>5.1.2.1.</t>
  </si>
  <si>
    <t>Uddannelse</t>
  </si>
  <si>
    <t>Uddannelse
Leverandøren skal levere en uddannelsesplan, der medfører at de forskellige typer af Brugere er i stand til at anvende Systemet ved idriftsættelse.
Besvarelsen bør tage udgangspunkt i nærværende krav samt Bilag 1 (Implementering) pkt. 7 og Bilag 11 (Dokumentation) pkt. 7.
Leverandøren skal i besvarelsen redegøre for deres undervisningstilbud i Løsningen, herunder de(n) tilknyttede instruktørers undervisningserfaring. 
Det vægtes positivt, at: 
-	at der for de enkelte kurser er klare, konkrete og realistiske læringsmål
-	at det viser organiseringen af den tilbudte undervisning
-	at uddannelsen i videst muligt omfang tager afsæt i de forskellige Brugeres faglige profil og relevante arbejdsgange
-	at kurserne i videst muligt omfang behandler Kundens centrale arbejdsgange
-	at instruktører er erfarne i at undervise og kender målgruppens hverdag</t>
  </si>
  <si>
    <t xml:space="preserve">Informationskravet besvares i Leverandørens eget bilag. </t>
  </si>
  <si>
    <t>Anton</t>
  </si>
  <si>
    <t>Tony, Cristian</t>
  </si>
  <si>
    <t>Bilag 2 - 5.1.2.1 - Uddannelse.docx</t>
  </si>
  <si>
    <t>Started</t>
  </si>
  <si>
    <t>5.1.3.1.</t>
  </si>
  <si>
    <t>Data migrering og konvertering</t>
  </si>
  <si>
    <t>Migreringsplan</t>
  </si>
  <si>
    <t>Migreringsplan
Leverandøren skal levere en migreringsplan og bedes redegøre for hvordan migrering fra Kundens eksisterende system til Systemet vil forløbe med udgangspunkt i kravene i Bilag 1 Implementering, pkt. 6. Migreringsplanens udformning og indhold skal følge Bilag 11 (Dokumentation) pkt. 7.
Det vægter positivt at:
- dataintegritet af migreringen valideres løbende, f.eks. gennem checksum, tests og overvågning.
- data håndteres sikkert, f.eks. ved kryptering.
- data migreres og konverteres så automatisk som muligt.
- der er indtænkt processer for håndtering af fejl
- datamigrering påvirker Brugerens arbejde mindst muligt
- besvarelsen indeholder flere konkrete eksempler og detaljer vedr. migreringsaktiviteter.</t>
  </si>
  <si>
    <t>Kaare</t>
  </si>
  <si>
    <t>Koordiner med Cristina.</t>
  </si>
  <si>
    <t>Bilag 2 - 5.1.3.1 - Migreringsplan.docx</t>
  </si>
  <si>
    <t>5.2.1.1.</t>
  </si>
  <si>
    <t>Funktionelle krav</t>
  </si>
  <si>
    <t>Journalisering, dokumenthåndtering og sagsoverblik</t>
  </si>
  <si>
    <t>Opmærkning af sager og dokumenter</t>
  </si>
  <si>
    <t>Opmærkning af sager og dokumenter
Både sager og dokumenter skal kunne opmærkes, struktureres eller tildeles ”tags” på baggrund af emne, type, kategori m.m. som gør det lettere at søge, sortere og få overblik over data.
Løsningen skal give mulighed for sortering på fx indsendelser, dato, emne, teknisk kapitel (fra BOM), fase (fra BOM, bl.a. 'ansøgning', 'under arbejde', 'efter endt arbejde' osv.).
Det vægtes positivt, at Leverandøren i sin besvarelse demonstrerer, at Løsningen understøtter:
	at data og dokumentation automatisk inddeles i en logisk og overskuelig struktur på sagen
	at sagsbehandlere fleksibelt kan tilpasse strukturen til den enkelte sag eller sagstype
	at "tag"-funktionen giver mulighed for at tagge på tværs af evt. dokumentstruktur og dokumenttyper
	at sortering kan foretages på flere parametre samtidigt (fx fase og dato kombineret)
	at sortering og inddeling er konsistent på tværs af sager og sagstyper, så der sikres ensartethed i sagsbehandlingen
	at nye sorteringsparametre kan tilføjes uden behov for systemudvikling
	At man hurtigt kan se, hvad der er sagsbehandlet og hvad der udestår.</t>
  </si>
  <si>
    <t>Bjørn Henrik</t>
  </si>
  <si>
    <t>Bilag 2 - 5.2.1.1 - Opmærkning af sager og dokumenter.docx</t>
  </si>
  <si>
    <t>5.2.1.2.</t>
  </si>
  <si>
    <t>Konfliktløsning</t>
  </si>
  <si>
    <t>Konfliktløsning
Løsningen skal kunne initiere/kalde en konfliktsøgning der foretages af andet system. Det være sig GIS, en robot eller AI løsning. Initieringen kan være på baggrund af en matrikel, BFE-nr., adresse eller lignende (som altså kan medsendes i kaldet til det eksterne system)
Det vægtes positivt, at Leverandøren i sin besvarelse demonstrerer, at Løsningen understøtter:
	at konfliktsøgningen kan sættes til at køre automatisk ved oprettelse af nye sager
	at sagsbehandler adviseres tydeligt, hvis der identificeres konflikter
	at det angives hvis der er adressebeskyttelse eller fortrolighed
	at konfliktsøgningen kan gemmes som et dokument på sagen, meget gerne automatisk</t>
  </si>
  <si>
    <t>Arve</t>
  </si>
  <si>
    <t>Yes</t>
  </si>
  <si>
    <t>Bilag 2 - 5.2.1.2 - Konfliktløsning.docx</t>
  </si>
  <si>
    <t>5.2.1.3.</t>
  </si>
  <si>
    <t>-</t>
  </si>
  <si>
    <t>Smidig journalisering af data/dokumentation på sagen fx ved ”drag &amp; drop” (BOM/mail/blanketter/erhvervsportal). Dog også mulighed for manuel upload til journalisering.</t>
  </si>
  <si>
    <t>K - Konkurrencekrav</t>
  </si>
  <si>
    <t>1. Fully met</t>
  </si>
  <si>
    <t xml:space="preserve">Drag'n'drop from BOM?
- Har BOM automatisk journalføring i vår BOM integrasjon (Må løftes inn i P&amp;B)
-Har skjemaimport, men må estimeres.
</t>
  </si>
  <si>
    <t>5.2.1.4.</t>
  </si>
  <si>
    <t>Løsningen skal kunne give et samlet overblik over tidligere og nuværende sager.</t>
  </si>
  <si>
    <t>Ready for review</t>
  </si>
  <si>
    <t>5.2.1.5.</t>
  </si>
  <si>
    <t>Det skal være muligt at søge på og i sagernes dokumenter.</t>
  </si>
  <si>
    <t>5.2.1.6.</t>
  </si>
  <si>
    <t>Understøttelse af Elektronisk Sags- og Dokumenthåndtering</t>
  </si>
  <si>
    <t>Understøttelse af Elektronisk Sags- og Dokumenthåndtering
Leverandøren bedes redegøre for i hvilket omfang Løsningen kan understøtte Brugeren i at løfte journaliseringspligt, jf. offentliglovens § 15. 
Det vægter positivt at:
-	Kunden kan opsætte regler for hvem der kan redigere, slette fejloprettede sager eller genåbne afsluttede sager.
-	Løsningen understøtter automatisk journalisering
-	Dokumenter modtaget på sagerne journaliseres.
-	Notater nemt kan journaliseres af Brugeren.
-	Kommunikation der initieres eller modtages af systemet automatisk journaliseres på sagen.
-	Journaliserede elementer er tydeligt dateret.
-	Journaliseret indhold er opmærket så det er tydeligt hvad indholdet er.
-	Mulighed for KLE-opmærkning af sager</t>
  </si>
  <si>
    <t>Anita</t>
  </si>
  <si>
    <t>Bilag 2 - 5.2.1.6 - Understøttelse af Elektronisk Sags- og Dokumenthåndtering.docx</t>
  </si>
  <si>
    <t>Read</t>
  </si>
  <si>
    <t>5.2.2.1.</t>
  </si>
  <si>
    <t>Hentning og opdatering af ejendomsdata</t>
  </si>
  <si>
    <t>Ejendomsdata</t>
  </si>
  <si>
    <t xml:space="preserve">IK
Ejendomsdata
Løsningen skal hente og anvende nedenstående ejendomsdata fra Datafordeleren:
	Adresser inklusive vejnavn, husnummer, postnummer og postdistrikt.  
	Bygningsnummer. 
	Bestemt fast ejendomsnummer (herefter ”BFE”) for grund, ejerlejlighed og Bygning på fremmed grund (herefter ”BPFG”)  
	Matrikelnummer og ejerlav. 
	Ejerlejlighedsnummer.  
	Bygningens anvendelseskode (fx parcelhus, erhverv, institution).
	Bygningens opførelses år.
	Bebygget areal og samlet bygningsareal.
	Antal bolig- og erhvervsenheder.
	Energikilde og varmeinstallation.
	Ejerforhold fra Ejerfortegnelsen (herefter ”EJF”), herunder oplysninger om hvem der råder over fast ejendom.
	Ejendomsbeliggenhedsregistret (herefter ”EBR”), herunder referencer mellem ejendomme og adresser/beliggenhedsbetegnelser.
Løsningens skal sikre opdatering af ejendomsdata på alle verserende sager mindst én gang i døgnet, og både historiske og aktuelle data skal vises på sagerne. Ejendomsdata skal være søgbare - både enkeltvis og i kombination med øvrige data.
Det vægtes positivt at
	at sagsbehandlere kan søge på alle ejendomsdata og finde både aktuelle og historiske sager, enkeltvis eller i kombination med øvrige søgekriterier, herunder ved brug af AND/OR-logik eller avancerede filtre
	at ejendomsdata kan danne udgangspunkt for filtrering, lister og sortering af fremsøgte sager, samt at søgeresultater kan eksporteres til gængse formater (fx Excel, CSV)
	at ejendomsdata fremgår samlet og overskueligt på den enkelte sag
	at sagsbehandlere, teams og enheder notificeres automatisk, når ejendomsdata ændres på verserende sager
	at ændringer i ejendomsdata tilføjes sagen med angivelse af tidsstempel og brugeridentitet, uden at tidligere data slettes
</t>
  </si>
  <si>
    <t>Axel</t>
  </si>
  <si>
    <t>Vi kan det allerede i eDoc, en stor del er (vist) allerede flyttet til P360</t>
  </si>
  <si>
    <t>Bilag 2 - 5.2.2.1 - Ejendomsdata.docx</t>
  </si>
  <si>
    <t>5.2.3.1.</t>
  </si>
  <si>
    <t>Registrering af ejere og interessenter</t>
  </si>
  <si>
    <t xml:space="preserve">Løsningen understøtter registrering af skift af ansøger eller ejer (medejer, historisk ansøger eller ejer) og øvrige interessenter. </t>
  </si>
  <si>
    <t>Kan vi i eDoc, ved Aalborg har meldt en bug ind på det, vil kræve merge af kode samt bugfix</t>
  </si>
  <si>
    <t>5.2.3.2.</t>
  </si>
  <si>
    <t>Løsningen understøtter registrering af eventuelt flere matrikler på sagen, som skal bruges af sagsbehandlerne.</t>
  </si>
  <si>
    <t>5.2.3.3.</t>
  </si>
  <si>
    <t xml:space="preserve">Løsningen understøtter opslag på sager på matriklen (afsluttede og igangværende)
</t>
  </si>
  <si>
    <t>5.2.3.4.</t>
  </si>
  <si>
    <t xml:space="preserve">Opslag på interessenten for at finde øvrige oprettede sager ved eks. mistet certifikat for rådgivere. </t>
  </si>
  <si>
    <t>5.2.3.5.</t>
  </si>
  <si>
    <t>Interessent roller</t>
  </si>
  <si>
    <t>Interessent roller
Sagsbehandlerne har brug for at kunne notere hvilken rolle de enkelte interessenter har/har haft på sagen.
Leverandøren bedes redegøre for hvordan rollerne til interessenter kan tildeles og evt. ændres.
Det vægtes positivt at 
-	kunden kan anvende faste kategorier
-	at interessenter kan fremsøges på baggrund af deres roller</t>
  </si>
  <si>
    <t>Bilag 2 - 5.2.3.5 - Interessent roller.docx</t>
  </si>
  <si>
    <t>5.2.4.1.</t>
  </si>
  <si>
    <t>Registrering, søgning og visning af sagsdata</t>
  </si>
  <si>
    <t xml:space="preserve">Sagsopslag og visning </t>
  </si>
  <si>
    <t>Sagsopslag og visning 
Brugerne skal kunne slå en sag op og se sagsbehandler, enhed, team, område samt ændre sagsdata ifm. sagens behandling.</t>
  </si>
  <si>
    <t>5.2.4.2.</t>
  </si>
  <si>
    <t xml:space="preserve">Løbende registrering af sagsændringer </t>
  </si>
  <si>
    <t>Løbende registrering af sagsændringer 
Der skal løbende kunne registreres fx ændrede indsendelser, skift af team, enhed, sagsbehandler, sagsbehandling, om-registrering af sager ved evt. fejlvisitering/servicemålsager/lovliggørelse, ændringer af sagsstatus eks. dato for afgørelse.</t>
  </si>
  <si>
    <t>5.2.4.3.</t>
  </si>
  <si>
    <t>Søgning, sortering, filtrering og eksport</t>
  </si>
  <si>
    <t>Søgning, sortering, filtrering og eksport
Sager skal kunne fremsøges på alle relevante sagsdata. Søgeresultaterne skal kunne sorteres, filtreres og eksporteres (fx til Excel)
Det vægtes positivt, at Leverandøren i sin besvarelse demonstrerer, at Løsningen understøtter:
	fritekst- og nøgleordssøgning
	søgning på specifikke sætninger (frase søgning)
	kombinerede søgekriterier (fx AND/OR-logik eller avancerede filtre)
	sortering og filtrering af søgeresultater
	eksport til gængse formater (fx Excel, CSV)
	at sagsdata, herunder enhed og team, kan tilgås og ændres direkte fra søgeresultater eller sagsopslag uden unødige mellemtrin</t>
  </si>
  <si>
    <t>Bilag 2 - 5.2.4.3 - Søgning, sortering, filtrering og eksport.docx</t>
  </si>
  <si>
    <t>5.2.5.1.</t>
  </si>
  <si>
    <t>Integration til GIS løsning</t>
  </si>
  <si>
    <t>GIS visning af sager</t>
  </si>
  <si>
    <t>GIS visning af sager
Brugeren kan gennem løsningen tilgå en visning af Kundens GIS-løsning, med mulighed for præ-definerede filtre/overlays så man kan se relevant info fra Kundens GIS-løsning. Kundens GIS-løsning, vil automatisk have byggesagsejendommen i fokus for sagsbehandleren, så mest data er tilgængeligt, hurtigst muligt.
Det vægtes positivt, at Leverandøren i sin besvarelse demonstrerer, at løsningen understøtter:
•	at GIS-visningen åbnes direkte i Løsningen uden unødige mellemtrin eller skift af applikation (fx dybe links fra løsning til GIS på relevant adresse/matrikel)
•	at præ-definerede filtre og overlays kan tilpasses af Kunden uden behov for systemudvikling
•	at GIS-visningen automatisk centrerer sig om den relevante ejendom med mest muligt data tilgængeligt fra første visning
•	at GIS-visningen giver mulighed for at identificere eventuelle konflikter og relevante oplysninger om ejendommen på tværs af lag og filtre
•	At visningen kan gemmes på sagen som dokumentation</t>
  </si>
  <si>
    <t>Husein</t>
  </si>
  <si>
    <t>Bilag 2 - 5.2.5.1 - GIS visning af sager.docx</t>
  </si>
  <si>
    <t>B2-01</t>
  </si>
  <si>
    <t>Sagsbehandling af byggesager og anmeldelser</t>
  </si>
  <si>
    <t>Løsningen skal understøtte modtagelse, oprettelse og sagsbehandling af de sagstyper, der er beskrevet i kravspecifikationens begrebsliste og faglige ramme, herunder byggetilladelser, anmeldelser, ibrugtagningstilladelser, lovliggørelsessager og klagesager. Som fagsystem skal løsningen understøtte udarbejdelse af myndighedsdokumentation og kommunikation med ansøgere mfl. Samtidig skal løsningen kunne give overblik over både de enkelte sager og deres status samt understøtte visitation, prioritering og opfølgning på sager og sagstyper.</t>
  </si>
  <si>
    <t>MK - Minimumskrav</t>
  </si>
  <si>
    <t>Konfigurasjon</t>
  </si>
  <si>
    <t>5.2.6.1.</t>
  </si>
  <si>
    <t>Brugeren kan tilgå en liste af sager på samme ejendom – brugeren kan vælge mellem at se sager på hele ejendommen, den konkrete adresse, BFE eller matrikel.</t>
  </si>
  <si>
    <t>5.2.6.2.</t>
  </si>
  <si>
    <t>Brugeren kan hente/oprette relevante arbejdsdokumenter. Brugeren gemmer sit arbejde direkte i fagsystemet. 
Arbejdsdokumenter kan omfatte, men er ikke begrænset til:
•	Mangelbreve 
•	Byggetilladelser 
•	Ibrugtagningstilladelser
•	Afslag eller afvisninger på byggesager
•	Påbud/varsel om påbud
•	Høringer
•	Orienteringsbreve
•	Brev om forhåndsdialog
•	Lovliggørelser
•	Dispensationer
•	Mails</t>
  </si>
  <si>
    <t>5.2.6.3.</t>
  </si>
  <si>
    <t>Sags/journalnoter</t>
  </si>
  <si>
    <t>Sags/journalnoter
Leverandøren bedes beskrive hvordan sagsbehandlere med adgang til en given sag kan notere relevante bemærkninger på sagen – f.eks. telefonnotater. 
Det vægtes positivt hvis: 
-	Det noteres et centralt sted på sagen, som alle med relevant adgang kan tilgå.
-	Bemærkninger kan tidsstemples og knyttes til den bruger, som har oprettet dem.
-	Det er muligt at skelne mellem interne bemærkninger og bemærkninger der må deles med eksterne parter.
-	Tidligere bemærkninger forbliver synlige og kan ikke slettes eller redigeres af andre end den oprindelige ophavsmand eller administrator.
-	Brugeren kan notificeres, tagges eller på anden måde gøres opmærksom på en bemærkning der er relevant for vedkommende.
-	Disse noter kan udskrives og gemmes samlet om ønsket</t>
  </si>
  <si>
    <t>Is this just Notes and note summaries?</t>
  </si>
  <si>
    <t>Bilag 2 - 5.2.6.3 - Sags-journalnoter.docx</t>
  </si>
  <si>
    <t>5.2.6.4.</t>
  </si>
  <si>
    <t>Overblik på sagen</t>
  </si>
  <si>
    <t>Overblik på sagen
Leverandøren bedes beskrive hvordan brugeren, efter at have åbnet en given sag, kan få et overblik over sagens indhold og de seneste hændelser på sagen. 
Det vægtes positivt hvis: 
- Brugeren fra sagens forside, let kan tilgå yderligere oplysninger,
- Overblikket er overskueligt
- Det er ukompliceret at identificere seneste hændelser på sagen.</t>
  </si>
  <si>
    <t>Bilag 2 - 5.2.6.4 - Overblik på sagen.docx</t>
  </si>
  <si>
    <t>5.2.6.5.</t>
  </si>
  <si>
    <t>Ansøgninger og anmeldelser på sagen</t>
  </si>
  <si>
    <t>Ansøgninger og anmeldelser på sagen
Brugeren skal ud fra sagens visning kunne se hvilke aktive og afsluttede ansøgninger og anmeldelser, der er knyttet til den pågældende sag. Løsningen skal sikre at væsentlige datoer for sagsbehandlingen kan både søges, vises og indgå i rapporter. Det gælder fx dato for modtagelse, for fyldestgørende, for afslag, for byggetilladelse mm.
Det vægtes positivt hvis:
-	Tilknyttede ansøgninger og anmeldelser fremgår samlet og overskueligt direkte fra sagens visning, med tydelig angivelse af status for hver enkelt.
-	Brugeren kan tilpasse hvilke datofelter der vises i sagens overblik, så de mest relevante datoer fremhæves for den konkrete sagstype.
-	Væsentlige datoer kan danne grundlag for automatiske påmindelser eller advarsler, fx ved overskridelse af servicemål eller frister.
-	Rapporter med datooplysninger kan eksporteres i et format der understøtter videre bearbejdning, fx Excel eller CSV.</t>
  </si>
  <si>
    <t>Linn</t>
  </si>
  <si>
    <t>Bilag 2 - 5.2.6.5 - Ansøgninger og anmeldelser på sagen.docx</t>
  </si>
  <si>
    <t>5.2.6.6.</t>
  </si>
  <si>
    <t>Overblik på sagsdokumenter</t>
  </si>
  <si>
    <t>Overblik på sagsdokumenter
Leverandøren bedes beskrive hvordan brugeren kan emnemarkere, sortere og tilgå sagens dokumenter.
Det vægtes positivt hvis:
-	Dokumenter kan tildeles brugerdefinerede kategorier eller dokumenttyper, som kan anvendes til filtrering og søgning på tværs af sagen.
-	Brugeren kan flytte, omdøbe og organisere dokumenter direkte i fagsystemet uden at forlade sagen.
-	Ændringer i dokumenthåndteringen logges, så det er muligt at se hvem der har foretaget ændringer og hvornår.</t>
  </si>
  <si>
    <t>Morten</t>
  </si>
  <si>
    <t>Bilag 2 - 5.2.6.6 - Overblik på sagsdokumenter.docx</t>
  </si>
  <si>
    <t>5.2.7.1.</t>
  </si>
  <si>
    <t>Styring af sagsportefølje</t>
  </si>
  <si>
    <t xml:space="preserve">Sagsoverblik og adviseringer </t>
  </si>
  <si>
    <t>Sagsoverblik og adviseringer 
En sagsbehandler eller et team kan se et overblik over sager som de har ansvaret for, i løsningen. Dette overblik giver information om adviseringer – fx overskredne frister, indkommende dokumentation eller lign. Overblikket viser hvor mange sager af forskellige typer som en sagsbehandler eller et team, har ansvar for. Bruger kan tilgå enkeltsager via overblikket.</t>
  </si>
  <si>
    <t>The dashboard is supposed to give notifications? Does it show new documents are created from the desktop?</t>
  </si>
  <si>
    <t>5.2.7.2.</t>
  </si>
  <si>
    <t>Tilpasset overbliksvisning og sortering</t>
  </si>
  <si>
    <t>Tilpasset overbliksvisning og sortering
Leverandøren bedes give en udtømmende beskrivelse af, hvordan Løsningen understøtter tilpasning og sortering af overbliksvisningen, herunder:
Brugere kan opsætte sin egen visning af dette overblik så de fx ét sted kun ser de sager, som er relevante nu og undgår at se sager, som afventer andre – fx ansøger, kollega og lign. De afventende sager skal kunne ses for sig, i samme overbliksvisning. Opsætning af overbliksvisning skal kunne tilpasses individuelt, både til enkelte brugere og til teams med prædefineret opsætning. Bruger kan sortere på forskellige parametre, fx emner, dato, sagsfase, tags, prioriteringer. Systemet skal give mulighed for at skifte mellem forskellige overbliksvisninger.
Det vægtes positivt, at Leverandøren i sin besvarelse demonstrerer, at Løsningen understøtter:
	at brugere kan oprette og gemme flere personlige overbliksvisninger og frit skifte imellem dem
	at teams kan dele og anvende fælles prædefineret overbliksvisninger
	at afventende sager præsenteres tydeligt adskilt fra aktive sager i samme overbliksvisning
	at sortering kan foretages på tværs af flere parametre samtidigt (fx sagsfase og dato kombineret)
	at adviseringer om overskredne frister og indkommende dokumentation fremhæves tydeligt i overblikket
	at overbliksvisningen kan tilpasses uden behov for systemudvikling</t>
  </si>
  <si>
    <t>Bilag 2 - 5.2.7.2 - Tilpasset overbliksvisning og sortering.docx</t>
  </si>
  <si>
    <t>5.2.8.1.</t>
  </si>
  <si>
    <t xml:space="preserve">Understøttelse af alle sagstyper </t>
  </si>
  <si>
    <t>Sager skal kunne inddeles i forskellige typer i relation til typer af sager, ejendomme og byggeri, således at sagskategorien svarer til den type af byggeri eller sag, der er omfattet af sagen.</t>
  </si>
  <si>
    <t>5.2.8.2</t>
  </si>
  <si>
    <t>Sager skal kunne fordeles til enheder, teams og brugere baseret på type af sager.</t>
  </si>
  <si>
    <t>5.2.8.3.</t>
  </si>
  <si>
    <t>Brugere skal kunne fremsøge sager filtreret på typer af sager og få et overblik. Det skal fremgå af sagen, hvilken type den er.</t>
  </si>
  <si>
    <t>5.2.8.4.</t>
  </si>
  <si>
    <t>Sagsstatus</t>
  </si>
  <si>
    <t>sagsstatus
Brugeren kan ud fra sagsvisningen tydeligt se sagens status, dvs. hvor langt en sag er nået i processen, samt hvor initiativpligten ligger og hvem der er ansvarlig for sagen. Ligesom manglende data eller udestående procestrin bør fremgå af sagens statusmarkeringer.
Det vægtes positivt hvis:
-	Sagens status vises visuelt og intuitivt, fx via en proceslinje eller statusindikator, der tydeligt markerer gennemførte, igangværende og udestående faser.
-	Initiativpligten fremgår eksplicit af sagens visning, så det er klart om bolden ligger hos ansøger, sagsbehandler eller en tredjepart.
-	Brugeren adviseres automatisk når manglende data eller udestående procestrin blokerer for videre sagsbehandling, fx via en synlig advarsel eller notifikation direkte på sagen.
-	Det er muligt at konfigurere hvilke felter og procestrin der er obligatoriske for den enkelte sagstype, så statusmarkeringerne afspejler kravene til den konkrete sag.</t>
  </si>
  <si>
    <t>Bilag 2 - 5.2.8.4 - Sagsstatus.docx</t>
  </si>
  <si>
    <t>5.2.8.5.</t>
  </si>
  <si>
    <t>Håndtering af modtaget information</t>
  </si>
  <si>
    <t>Håndtering af modtaget information
Løsningen skal kunne håndtere indkomne dokumentationer/data efter sagens status (hvor i processen sagen er).
Det vægtes positivt hvis:
-	Løsningen automatisk kategoriserer eller placerer indkomne dokumenter og data i relation til den fase af processen, hvori de er modtaget.
-	Brugeren adviseres når der indkommer dokumentation på en sag.</t>
  </si>
  <si>
    <t>Bilag 2 - 5.2.8.5 - Håndtering af modtaget information.docx</t>
  </si>
  <si>
    <t>5.2.8.6.</t>
  </si>
  <si>
    <t xml:space="preserve">Overblik over alle afgørelser på sagen. </t>
  </si>
  <si>
    <t xml:space="preserve">
We should ask a question about this - IF we see any issues with it - otherwise we let it stand.</t>
  </si>
  <si>
    <t>5.2.8.7.</t>
  </si>
  <si>
    <t>Man skal ikke kunne arbejde videre på en afsluttet sag. Det skal dog være muligt at genåbne en lukket sag (for brugere med særlig rettighed).</t>
  </si>
  <si>
    <t>5.2.8.8.</t>
  </si>
  <si>
    <t>Kommunikation</t>
  </si>
  <si>
    <t>Kommunikation
Brugeren kan via systemet gennemføre dialog og kommunikation med ansøgere og interessenter gennem Digital Post, landsdækkende ansøgningsportal (BOM) og e-mail eller tilsvarende kommunikationsplatform.
Det vægtes positivt hvis:
-	Kommunikation via Digital Post, BOM og e-mail kan initieres og håndteres samlet fra ét sted i fagsystemet, uden at brugeren skal skifte mellem separate platforme.
-	Kommunikation med ansøgere og interessenter, foretaget gennem Systemets kommunikationskanaler, automatisk journaliseres og knyttes til den relevante sag.
-	Brugeren kan anvende foruddefinerede skabeloner til standardiseret kommunikation, som kan tilpasses den konkrete sag og den relevante modtager.
-	Man skal kunne se, hvis modtagelse/afsendelse fejler</t>
  </si>
  <si>
    <t>PnB tar ansvaret for BOM, resten er standard funksjonalitet?</t>
  </si>
  <si>
    <t>Bilag 2 - 5.2.8.8 - Kommunikation.docx</t>
  </si>
  <si>
    <t>5.2.8.9.</t>
  </si>
  <si>
    <t xml:space="preserve">Systemet kan opdatere sagsstatus for byggesager gennem kommunikation via landsdækkende ansøgningsportal Byg og Miljø (BOM). </t>
  </si>
  <si>
    <t>BOM integrasjon</t>
  </si>
  <si>
    <t>5.2.8.10.</t>
  </si>
  <si>
    <t>Når brugeren udarbejder dokumenter på baggrund af skabeloner, skal løsningen trække data til dokumentet med grundoplysninger fra sagen (fx adresse, ejer, osv.). 
Det vægtes positivt hvis:
-	Løsningen understøtter Dynamic Templates, så dokumenter automatisk genereres med relevante sagsdata uden manuel indtastning.
-	Skabeloner kan tilpasses til forskellige sagstyper, så de grundoplysninger der trækkes ind i dokumentet, er relevante for den konkrete sagskategori.
-	Brugeren får en tydelig indikation af hvilke felter der er automatisk udfyldt fra sagen, og hvilke felter der kræver manuel udfyldning.</t>
  </si>
  <si>
    <t>Olga</t>
  </si>
  <si>
    <t>Bilag 2 - 5.2.8.10. - Skabeloner.DOC</t>
  </si>
  <si>
    <t>5.2.8.11.</t>
  </si>
  <si>
    <t>Dokumenthåndtering i løsningen</t>
  </si>
  <si>
    <t>Dokumenthåndtering i løsningen
Brugeren redigerer i dokumentet og udfylder yderligere data. Brugeren gemmer dokumentet direkte i systemet. 
Det vægtes positivt hvis:
-	Dokumentet kan åbnes og redigeres aktiveres direkte fra fagsystemet med redigering i fx Word eller lign.
-	Løsningen understøtter samtidighed, så flere brugere kan arbejde på det samme dokument simultant.
-	Dokumentet gemmes automatisk løbende under redigering, så data ikke mistes ved fx nedbrud eller utilsigtet lukning.</t>
  </si>
  <si>
    <t xml:space="preserve">Do we have a teams/Sharepoint integration in Plan and Build?
AOP: It will be P360 Flow with P&amp;B fnctionality - integration exists. </t>
  </si>
  <si>
    <t>Bilag 2 - 5.2.8.11 - Dokumenthåndtering i løsningen.docx</t>
  </si>
  <si>
    <t>5.2.8.12.</t>
  </si>
  <si>
    <t>Dokumenter kan markeres som ’kladde’ så de ikke medtages i fx aktindsigt, og så andre ikke er i tvivl om, hvorvidt dokumentet er afsendt eller klar til afsendelse.</t>
  </si>
  <si>
    <t>5.2.8.13.</t>
  </si>
  <si>
    <t>Brugere med særlige rettigheder kan oprette, ændre og dele skabeloner som kan anvendes af alle eller udvalgte brugergrupper.</t>
  </si>
  <si>
    <t>The category is casetypes, so i asume they are talking about Case Templates. Will they be available in PnB?</t>
  </si>
  <si>
    <t>B2-02</t>
  </si>
  <si>
    <t>Udveksling af data med BOM.</t>
  </si>
  <si>
    <t>Alle ansøgninger til Københavns Kommune som oprettes i BOM skal kunne sagsbehandles i løsningen.</t>
  </si>
  <si>
    <t>B2-03</t>
  </si>
  <si>
    <t>Systemet skal kunne udveksle sagsrelaterede data med ansøgningsportalen BOM på byggesager (status, dokumentation, frister mm). De kategorier, statusmarkeringer mm som anvendes i BOM overføres også til løsningen på både sagsdata og dokumenter. Handlinger i Løsningen kan udløse handlinger i BOM på baggrund af definerede forretningsregler fx ændre initiativpligt i BOM efter afsendelse af mangelbrev til ansøger.</t>
  </si>
  <si>
    <t>B2-04</t>
  </si>
  <si>
    <t>Alle byggeansøgninger fra BOM overføres og opdateres løbende. Kunden får oplysninger om seneste aktivitet. Bruger/Sagsbehandler får besked om nye aktiviteter. Systemet giver besked ved fejl i overførsler.</t>
  </si>
  <si>
    <t>5.2.9.1.</t>
  </si>
  <si>
    <t>Data fra BOM skal være søgbare i løsningen</t>
  </si>
  <si>
    <t>5.2.9.2.</t>
  </si>
  <si>
    <t>Ændringer i data og dokumenter i BOM skal overføres til løsningen og opdatere den relevante sag. Ændringer i en sag skal fremgå tydeligt.</t>
  </si>
  <si>
    <t>5.2.9.3.</t>
  </si>
  <si>
    <t>De ansøgningsfaser, dokumentkategorier og sagstyper som anvendes i BOM skal overføres så disse fremgår i løsningen.</t>
  </si>
  <si>
    <t>5.2.9.4.</t>
  </si>
  <si>
    <t xml:space="preserve">Data skal kunne filtreres på oplysninger fra BOM, fx dato, indsendelses nummer, krav-kategorier, ansøger mm. </t>
  </si>
  <si>
    <t>5.2.9.5.</t>
  </si>
  <si>
    <t>Data skal kunne markeres som værende enten behandlet/ikke-behandlet eller modtaget/ikke-modtaget.</t>
  </si>
  <si>
    <t>5.2.9.6.</t>
  </si>
  <si>
    <t>Løsningen skal kunne differentiere/markere de enkelte indsendelser fra BOM af både data og dokumenter.</t>
  </si>
  <si>
    <t>5.2.9.7.</t>
  </si>
  <si>
    <t>Data/enkelte indsendelser skal kunne markeres som annulleret/ikke relevant.</t>
  </si>
  <si>
    <t>5.2.10.1.</t>
  </si>
  <si>
    <t>Dataafgrænsning af sager</t>
  </si>
  <si>
    <t>Dataafgrænsning af sager
Leverandøren bedes beskrive hvordan der arbejdes med skærmede sager og dokumenter ud fra følsomhedsniveau. Beskrivelsen bør vise hvordan brugeren tildeler sager følsomhedsniveauer eller afskærmning, samt hvordan sager fremgår i søgninger og oversigter som begrænsede eller maskerede.
Det vægtes positivt hvis:
-	Løsningen desuden kan sættes op så visse konkrete matrikler, adresser eller BFE’er automatisk får fortrolighed på alle sager.
-	Brugeren nemt kan tildele følsomhedsniveau
-	Brugeren tydeligt kan se at en sag er maskeret og at Brugeren har/ikke har adgang til at se denne.
-	Administrator kan vedligeholde følsomhedshedsniveauer på sagstyper
-	Administrator kan opsætte forretningsregler baseret på følsomhed, såsom hvilke sager der skal overføres til FilArkiv.</t>
  </si>
  <si>
    <t>They have a specific field in edoc called "følsomhed" not sure if it translates to access code in 360</t>
  </si>
  <si>
    <t>Bilag 2 - 5.2.10.1 - Dataafgrænsning af sager.docx</t>
  </si>
  <si>
    <t>B2-05</t>
  </si>
  <si>
    <t xml:space="preserve">Sagsbehandlingstid og tilbageværende servicemålstid for BOM </t>
  </si>
  <si>
    <t>Løsningen skal kunne håndtere BOM servicemåltid både for sager indsendt gennem BOM og for sager oprettet direkte i systemet. Løsningen skal understøtte automatisk (visse hændelser sender besked til BOM) og manuel styring af tidtællingen i forbindelse med centrale hændelser i sagsforløbet, herunder afsendelse af mangelbreve og afgørelser samt modtagelse af yderligere dokumentation. Formålet er at sikre, at sagsbehandlere og ledelse til enhver tid har overblik over både sagsbehandlingstid (se krav ovenfor) og overholdelse af/opgørelse af BOM servicemål. I denne sammenhæng vær opmærksom på forskellen mellem tidsregistrering (medarbejdernes forbrugte timer) i kravene ovenfor, og optælling af sagsbehandlingstid og servicemåltid som defineret i BOM.</t>
  </si>
  <si>
    <t>Støttes dette i eDoc?</t>
  </si>
  <si>
    <t>5.2.11.1.</t>
  </si>
  <si>
    <t>Sagsbehandlingstid og servicemålstid</t>
  </si>
  <si>
    <t>Sagsbehandlingstid og servicemålstid
Løsningen skal kunne vise både sagsbehandlingstid (se krav ovenfor) og status på servicemålstid fra BOM. 
Det vægtes positivt at
	Sagsbehandlingstid og servicemålstid fremstår overskuelig på oversigt over sager 
	Sagsbehandlingstid og servicemålstid fremstår overskuelig når den enkelte sag åbnes</t>
  </si>
  <si>
    <t>For de nedenstående IK-krav, vil det generelt vægtes positivt, at Leverandøren i sin besvarelse af nærværende afsnit demonstrerer:
-	at Løsningen understøtter en høj grad af automatik i styringen af sagsbehandlingstider, således at tidtælling startes og stoppes som en naturlig følge af handlinger i systemet uden manuel indgriben
-	at Løsningen understøtter en tydelig og intuitiv visning af sagsbehandlingstider og tilbageværende servicemål, som er let tilgængelig for både sagsbehandlere og ledelse
-	at Løsningen håndterer sager fra BOM og oprettet direkte i løsningen på en ensartet og overskuelig måde
-	at Løsningen kan udsende notifikationer eller advarsler til relevante brugere, når servicemål nærmer sig udløb
-	at Løsningen giver mulighed for at tilpasse regler for tidtælling og bero-perioder uden behov for systemudvikling
-	at alle ændringer i tidtælling, herunder manuelle stop og starter, logges automatisk med tidsstempel og brugeridentitet af hensyn til dokumentation og sporbarhed</t>
  </si>
  <si>
    <t>Bilag 2 - 5.2.11.1 - Sagsbehandlingstid og servicemålstid.docx</t>
  </si>
  <si>
    <t>5.2.11.2.</t>
  </si>
  <si>
    <t>Servicemålstid start/stop</t>
  </si>
  <si>
    <t>Servicemålstid start/stop
Løsningen skal kunne stoppe og starte servicemålstid både manuelt og automatisk som følge af en handling i systemet (eks. afsendelse af mangelbrev eller afgørelse). Leverandøren bedes illustreres i hvilket omfang dette kan ske automatisk.  Det vægtes positivt at
	Automatisk servicemålstid kan kobles til sagsbehandlingsprocessen
	At man på sagen kan se status/historik for start/stop af servicemålstid</t>
  </si>
  <si>
    <t>Konfigarsjon via milepæler i den generiske tidsbergningsmetoden</t>
  </si>
  <si>
    <t>Bilag 2 - 5.2.11.2 - Servicemålstid start-stop.docx</t>
  </si>
  <si>
    <t>5.2.11.3</t>
  </si>
  <si>
    <t>Sagsbehandlingstid for ikke-BOM sager</t>
  </si>
  <si>
    <t>Sagsbehandlingstid for ikke-BOM sager
For sager som ikke er søgt gennem BOM, skal løsningen selv lave en optælling og vise den samlede sagsbehandlingstid. Tiden skal kunne stoppes og startes manuelt, så den sættes i bero fx når der afsendes mangelbreve og afgørelse samt ved modtagelse af yderligere dokumentation.
	Sagsbehandlingstid fremstår overskuelig på oversigt over sager 
	Sagsbehandlingstid fremstår overskuelig når den enkelte sag åbnes
	At man på sagen kan se status/historik for start/stop af servicemålstid</t>
  </si>
  <si>
    <t>Bilag 2 - 5.2.11.3 - Sagsbehandlingstid for ikke-BOM sager.docx</t>
  </si>
  <si>
    <t>B2-06</t>
  </si>
  <si>
    <t>Sagsflow og processer</t>
  </si>
  <si>
    <t>Som fagsystem for OBY skal løsningen understøtte de hovedprocesser som danner udgangspunkt for de enkelte sagstyper. Der er flere hovedprocesser i sagsbehandlingen, og nogle sager gennemføres i parallelle sagsforløb. Der arbejdes kontinuerligt med optimering af processer, hvorfor løsningen også skal understøtte en løbende justering eller oprettelse af nye processer og at tilpasningen kan gennemføres af kundens administratorer.</t>
  </si>
  <si>
    <t>Could the phrase "the system should support the mainprocesses" be interpretated so, that they can just define these along the way?</t>
  </si>
  <si>
    <t>B2-07</t>
  </si>
  <si>
    <t xml:space="preserve">Løsningen skal i høj grad understøtte forretningens processer, vi skitserer her behovene og er åbne for at tilrette eksisterende processer til leverandørens anbefalede procesfunktionalitet. </t>
  </si>
  <si>
    <t>5.2.12.1.</t>
  </si>
  <si>
    <t>Sagens overblik</t>
  </si>
  <si>
    <t>Sagens overblik
Leverandøren bedes beskrive, hvordan Løsningen understøtter et godt overblik på den enkelte sag.
Det vægtes positivt, når man slår en sag op, at:
	Det skal være nemt at se, hvilken type af sag og sagens oplysninger, når en sag slås op. (f.eks. BOM el. manuelt oprettet)
	Hvilke aktiviteter er gennemført, og hvem har haft ansvar – hvor ligger sagen henne nu og hvem/hvad afventer den. (En historik/log på sagen)
	Hvis sagen er afgjort - skal afgørelsens udfald fremgå.
	Hvis sagen er lukket – skal status på, hvordan den er lukket fremgå.
	Datoer for afgørelser og udsendelser skal fremgå af sagen. (F.eks. Byggetilladelse (BT) dato, Ibrugtagnings (IBT) dato osv.)
	Hvis sagen har relationer til andre sager – Oplysninger på relaterede sager skal fremgå af den sag man har slået op. (F.eks. hvordan den er afsluttet (f.eks. med afslag, BT., udtalelse osv.), afgørelsesudfald mm.)</t>
  </si>
  <si>
    <t>Bilag 2 - 5.2.12.1 - Sagens overblik.docx</t>
  </si>
  <si>
    <t>5.2.12.2</t>
  </si>
  <si>
    <t>Understøtte sagsflow</t>
  </si>
  <si>
    <t>Understøtte sagsflow
Leverandøren bedes beskrive, hvordan løsningen understøtter en ensartet og optimeret arbejdsgang, herunder hvordan løsningen sikrer at sagsbehandlere/andre brugere hurtigere får overblik over sagen og er ikke i tvivl om, hvad næste handling er. 
Herudover bedes Leverandøren beskrive, hvordan løsningens funktionalitet sikrer at der er overblik over alle sager og de ikke kan ’tabes’ dvs. mangle information om fx sagsansvarlig, enhed og sagsstatus, hvordan der dannes grundlag for at kunne driftsstyre pba. data, samt registreringen er informationskilde, når vi rapporterer til ledelse, politikere og borgere.
Det vægtes positivt, at oplysninger som bl.a. er vigtige for sagsbehandlingen, er tilgængelige og:
	Brugeren kan tildele opgaver eller sager til kolleger direkte fra fagsystemet.
	Brugeren kan markere en sag eller opgave som klar til viderebehandling af en anden bruger eller et andet team.
	Systemet understøtter notifikationer ved interne overleveringer, så modtageren adviseres automatisk.
	Det er muligt at følge en sags interne historik, herunder hvem der har haft sagen, og hvornår den er overleveret.</t>
  </si>
  <si>
    <t>Bilag 2 - 5.2.12.2 - Understøtte sagsflow.docx</t>
  </si>
  <si>
    <t>B2-08</t>
  </si>
  <si>
    <t>Sagsstandarder</t>
  </si>
  <si>
    <t>Løsningen er proces-understøttende og skal kunne håndtere at forskellige sagstyper behandles forskelligt og derfor har forskellige processer. Løsningen skal kunne understøtte dette, undervejs i hele forløbet og guide brugeren gennem alle relevante trin, ved hjælp af relevante værktøjer.</t>
  </si>
  <si>
    <t>B2-09</t>
  </si>
  <si>
    <t>Det skal være muligt for brugere med særlig tilladelse at oprette nye og ændre eksisterende sagsskabeloner/sagsforløb.</t>
  </si>
  <si>
    <t>Administrator</t>
  </si>
  <si>
    <t>5.2.13.1.</t>
  </si>
  <si>
    <t>Sagsoprettelse via standardskabelon</t>
  </si>
  <si>
    <t>Sagsoprettelse via standardskabelon
Leverandøren bedes beskrive hvordan man i løsningen opretter sager via standard sagsskabeloner. 
Det vægtes positivt hvis: 
-	Det er muligt at understøtte oprettelse af veldefinerede typer af sager, med individuelle sagsskabeloner både manuelt og automatisk oprettede sager.
-	Den enkelte sagsskabelon indeholder de relevante sagsoplysninger. F.eks. Sagstype, sagsejerskab, og hvilke trin, der skal oprettes til sagsbehandlingen.
-	Der kan ad hoc tilføjes nye handlinger/sagshandlinger</t>
  </si>
  <si>
    <t>Jarle</t>
  </si>
  <si>
    <t>Case templates in PLan and build?</t>
  </si>
  <si>
    <t>Bilag 2 - 5.2.13.1 - Sagsoprettelse via standardskabelon.docx</t>
  </si>
  <si>
    <t>5.2.13.2.</t>
  </si>
  <si>
    <t>Standardsagers procesunderstøttelse</t>
  </si>
  <si>
    <t>Standardsagers procesunderstøttelse
Leverandøren bedes beskrive hvordan man i løsningen sikrer en prædefineret sagsbehandlingsproces via sagsskabelonerne. 
Det vægter positivt hvis:
-	Brugeren kan ikke ”lukke/forlade” en sag, hvis den ikke er korrekt registreret. 
-	Brugerens som udgangspunkt ikke kan undvige det prædefineret forløb, men i stedet bliver gjort opmærksom på, at man ikke følger processen. 
-	Løsningen kender den givne proces og man kan se relevant info for trinnet. 
-	Løsningen automatisk kan skifte sagens status når definerede events/handlinger er gennemført.
-	Løsningen automatisk kan sende sagen til den enhed, som har ansvar for næste sagsfase/sagsstatus, når fasen lukkes eller status ændres
-	Udførte opgaver markeres som gennemført 
-	Sideløbende sagsgange kan håndteres, således at sagen ligger hos ét team/enhed, men kan visiteres til bidrag fra anden enhed, i eller udenfor OBY.
-	Løsningen understøtter en ensartet og optimeret arbejdsgang, der giver ensartede sagsforløb.</t>
  </si>
  <si>
    <t>Bilag 2 - 5.2.13.2 - Standardsagers procesunderstøttelse.docx</t>
  </si>
  <si>
    <t>B2-10</t>
  </si>
  <si>
    <t>Advis og notifikationer</t>
  </si>
  <si>
    <t>Løsningen skal indeholde en advis-funktion, så der afsendes notifikation til brugerne når ny data modtages, tidsfrister udløber eller sagernes status ændres.</t>
  </si>
  <si>
    <t>Minimum requirement for "notification when due dates are reached" - are we confident we solve this enough places to say yes?</t>
  </si>
  <si>
    <t>5.2.14.1.</t>
  </si>
  <si>
    <t>Advis funktion</t>
  </si>
  <si>
    <t>Advis funktion
Leverandøren bedes beskrive løsningens advis-funktion.
Det vægtes positivt hvis:
- Funktionen afsender notifikation, når nye data eller sager modtages, sagsfrister udløber mm.
- Funktionen giver sagsbehandlere/teams/enheder overblik over seneste hændelser i sager, de er ansvarlige for.  
- Hvis brugeren præsenteres for aktuelle advis på løsningens ”forside”, når der logges på
- hvis brugeren kan vælge at modtage udvalgte advis pr mail</t>
  </si>
  <si>
    <t>Bilag 2 - 5.2.14.1 - Advis funktion.docx</t>
  </si>
  <si>
    <t>5.2.14.2.</t>
  </si>
  <si>
    <t>Tilpasning af advis</t>
  </si>
  <si>
    <t>Tilpasning af advis
Løsningen giver mulighed for at tilpasse individuelt og på teams/enheds niveau, hvilke advis der modtages. Så den enkelte kun modtager de advis som er relevante for deres opgaver/rolle.
Leverandøren bedes redegør for hvilke muligheder der er for at opsætte advis henholdsvis individuelt og ”pushe” advis til faste brugerroller/grupper.
Det vægtes positivt hvis:
-	Advis vises overskueligt og let tilgængeligt</t>
  </si>
  <si>
    <t>Bilag 2 - 5.2.14.2 - Tilpasning af advis.docx</t>
  </si>
  <si>
    <t>B2-11</t>
  </si>
  <si>
    <t>Arkivering af sager</t>
  </si>
  <si>
    <t>Som fagsystem skal løsningen opbevare alle afsluttede sager, da sagerne ikke er omfattet af slettefrister. Københavns Kommune udstiller desuden alle afsluttede, ikke-fortrolige sager i det offentlige byggesagsarkiv via løsningen FilArkiv.</t>
  </si>
  <si>
    <t>5.2.15.1.</t>
  </si>
  <si>
    <t>Markering af dokumenter til FilArkiv</t>
  </si>
  <si>
    <t>Markering af dokumenter til FilArkiv
Løsningen skal gøre det muligt, løbende at markere de dokumenter, som skal uploades til FilArkiv ved sagens afslutning.</t>
  </si>
  <si>
    <t>Filarkiv fra eDoc</t>
  </si>
  <si>
    <t>5.2.15.2.</t>
  </si>
  <si>
    <t>Håndtering af navne- og adressebeskyttelse</t>
  </si>
  <si>
    <t>Håndtering af navne- og adressebeskyttelse
For sager som har navne- og adressebeskyttelse skal løsningen give en advis, om at man er ved at overføre en sag med navne- og adressebeskyttelse. Sagen skal stadig overføres, men med en advis.</t>
  </si>
  <si>
    <t>We have adress and name protection in CPR integrtaion - but it probably wont give notification</t>
  </si>
  <si>
    <t>5.2.15.3.</t>
  </si>
  <si>
    <t>Overførsel af sagens data og dokumentation</t>
  </si>
  <si>
    <t>Overførsel af sagens data og dokumentation
Når sagen afsluttes og overførsel til FilArkiv aktiveres, skal sagens data og den udvalgte dokumentation overføres. Det skal være muligt at genuploade en sag til FilArkiv – f.eks. hvis den genoptages.</t>
  </si>
  <si>
    <t>5.2.15.4.</t>
  </si>
  <si>
    <t>Status på overførsel og fejlhåndtering</t>
  </si>
  <si>
    <t>Status på overførsel og fejlhåndtering
Leverandøren bedes give en udtømmende beskrivelse af, hvordan Løsningen understøtter visning af overførselsstatus til FilArkiv, herunder:
	hvordan brugeren kan følge status på overførslen
	hvordan fejl på enkeltdokumenter håndteres og præsenteres for brugeren
Det vægtes positivt, at Leverandøren i sin besvarelse demonstrerer, at Løsningen understøtter:
	at fejlede dokumenter tydeligt identificeres med angivelse af årsag til fejl
	at brugeren kan genstarte overførslen af fejlede dokumenter uden at skulle overføre hele sagen på ny
	at brugeren notificeres, når overførslen er fuldført eller fejler
	at der logges automatisk med tidsstempel og brugeridentitet ved gennemførte overførsler</t>
  </si>
  <si>
    <t>Merge project</t>
  </si>
  <si>
    <t>Bilag 2 - 5.2.15.4 - Status på overførsel og fejlhåndtering.docx</t>
  </si>
  <si>
    <t>B2-12</t>
  </si>
  <si>
    <t>Rapporter, statistik og ledelsesinformation</t>
  </si>
  <si>
    <t>Løsningen skal sikre, at der løbende kan følges op på servicemålsoverholdelse – både på tværs af sagskategorier og på den enkelte sag og sagsbehandler.</t>
  </si>
  <si>
    <t>Plan &amp; Build 360</t>
  </si>
  <si>
    <t>2. Partly met</t>
  </si>
  <si>
    <t>This is regarding overview of the case handling deadlines in the solution. We just need to implement the danish model for deadlines and show it in a good way on our dashboards.</t>
  </si>
  <si>
    <t>No</t>
  </si>
  <si>
    <t>B2-13</t>
  </si>
  <si>
    <t>Løsningen skal kunne levere data til både rapporter og oversigter, samt levere data til anvendelse til LIS og løbende driftsstyring.</t>
  </si>
  <si>
    <t>Management Reporting API</t>
  </si>
  <si>
    <t>Should use the Management Reporting API for this. The customer can then use this data to create dashboards with daily updates in Power BI or similar programs.</t>
  </si>
  <si>
    <t>5.2.16.1.</t>
  </si>
  <si>
    <t xml:space="preserve">Håndtering af servicemålssager </t>
  </si>
  <si>
    <t>Håndtering af servicemålssager 
Løsningen skal kunne håndtere byggesager, hvortil der er aftalt et servicemål fra KL.</t>
  </si>
  <si>
    <t>We need to create stages and processes that reflects their needs in these types of cases, but this is expected work going into this. 360 Flow will be the solution here.</t>
  </si>
  <si>
    <t>5.2.16.2.</t>
  </si>
  <si>
    <t xml:space="preserve">Data på tværs af servicemålskategorier </t>
  </si>
  <si>
    <t>Data på tværs af servicemålskategorier 
Leverandøren bedes give en beskrivelse af, hvordan Løsningen kan levere data på servicemål. Kunden ønsker at data leveres over b.la.: 
	antal af åbne, afgjorte og lukkede sager (fordelt på servicemålskategorierne), 
	overholdelsesprocent pr. kategori, og 
	gennemsnitlige antal behandlingsdage.
Det vægtes positivt, at Leverandøren i sin besvarelse demonstrerer, at Løsningen understøtter:
	at data præsenteres i en overskuelig og visuel visning, fx i form af dashboards eller grafer
	at data kan filtreres og grupperes på tværs af servicemålskategorier og tidsperioder
	at overholdelsesprocent og gennemsnitlige behandlingsdage beregnes og opdateres automatisk
	at data kan eksporteres til gængse formater (fx Excel, CSV) til brug for rapportering og ledelsesinformation. LIS generelt.</t>
  </si>
  <si>
    <t>Bjørn Tore</t>
  </si>
  <si>
    <t>We can solve this with showing some of this information/functionality directly in the solution, but most of it will be solved with Management Reporting API. I guess we will score lower here, as we cannpt show a lot of this data in our own solution, but rely on 3rd party solutions like Power BI.</t>
  </si>
  <si>
    <t>Bilag 2 - 5.2.16.2 - Data på tværs af servicemålskategorier.docx</t>
  </si>
  <si>
    <t>5.2.16.3.</t>
  </si>
  <si>
    <t>Data på enkelte sager</t>
  </si>
  <si>
    <t>Leverandøren bedes give en beskrivelse af, hvordan Løsningen kan levere nedenstående data, samt om denne data kan leveres både samlet og til den enkelte sagsbehandler: 
	type af servicemålsag, der er tale om,
	tilbageværende visitationsdage og 
	servicemålsdage på den enkelte sag.
Det vægtes positivt, at Leverandøren i sin besvarelse demonstrerer, at Løsningen understøtter:
•	at tilbageværende visitationsdage og servicemålsdage beregnes og opdateres automatisk på den enkelte sag (trækkes direkte fra BOM hvor muligt)
•	at sagsbehandlere og ledelse adviseres automatisk, når servicemål nærmer sig udløb
•	at data præsenteres tydeligt og tilgængeligt direkte fra den enkelte sag
•	at der kan genereres oversigter over servicemålsdata både samlet og pr. sagsbehandler
•	at data kan eksporteres til gængse formater (fx Excel, CSV). LIS generelt.</t>
  </si>
  <si>
    <t>Plan &amp; Build 360/BOM-integration</t>
  </si>
  <si>
    <t>Need commitment for reminder to case handler/leader when a case/application is approaching deadline. "Visitasjonsdage" is a sort of screening that is done before the case is fully distributed. Might be solved with a seperate stage for screening, with it's own deadline. This will make overview of the cases and reporting easier.</t>
  </si>
  <si>
    <t>Bilag 2 - 5.2.16.3 - Data på enkelte sager.docx</t>
  </si>
  <si>
    <t>B2-14</t>
  </si>
  <si>
    <t>Håndtering af tidsregistrering.</t>
  </si>
  <si>
    <t>Løsningen skal gøre det let og hurtigt for brugerne at registrere tidsforbrug direkte på konkrete sager, med så få klik som muligt. Den registrerede tid skal danne grundlag for ledelsesinformation og driftsstyring, herunder overblik over ressourceforbrug på tværs af sager, samt udgangspunkt for eventuel fakturering af sagsbehandlingstiden. Det er vigtigt at være opmærksom på at med tidsregistrering menes de timer som reelt er brugt på behandling af sagen for den respektive sagsbehandler. Dette må ikke forveksles med Servicemål sagsbehandlingstid – som er tiden i dage, fra ansøgningen er fuldt oplyst og til den er afgjort. Sidstnævnte er det som b.la. indgår i de statsligt fastsatte Servicemål.</t>
  </si>
  <si>
    <t>Sjekke eDoc for eksisterende funk der</t>
  </si>
  <si>
    <t>5.2.17.1.</t>
  </si>
  <si>
    <t>Registrering af tid på sager</t>
  </si>
  <si>
    <t>Registrering af tid på sager
Leverandøren bedes give en beskrivelse af, hvordan Løsningen gør det nemt el. automatisk for sagsbehandler at tidsregistrere, samt give mulighed for at ændre eksisterende tidsregistreringer.
Brugerne skal let kunne indtaste tidsforbrug på konkrete sager. Brugeren kan direkte (med så få klik som muligt) indtaste tidsforbrug på en given sag og systemet registrerer selv navn på den bruger, der er logget ind.
Det skal være muligt at få et overblik over brugerens indtastede tidsregistreringer per dag/uge/måned.
Det skal være muligt for brugeren at vælge individuelt, om registreret tid ikke skal faktureres. Det skal være muligt at eksisterende tidsregistreringer kan ændres med angivelse af årsag til ændringen
Det vægtes positivt, at Løsningen understøtter:
	at tidsregistrering kan foretages med så få klik som muligt direkte fra en given sag
	at brugeren har en intuitiv og overskuelig oversigt over egne tidsregistreringer per dag, uge og måned fordelt på sagerne
	at tidsregistrering på andet arbejde end sagsbehandling kan kategoriseres
	at ændringer i tidsregistreringer logges automatisk med tidsstempel og brugeridentitet af hensyn til sporbarhed</t>
  </si>
  <si>
    <t>Bilag 2 - 5.2.17.1 - Registrering af tid på sager.docx</t>
  </si>
  <si>
    <t>5.2.17.2.</t>
  </si>
  <si>
    <t>Registrering af anden tid</t>
  </si>
  <si>
    <t>Registrering af anden tid
For at opnå fuldt overblik over den anvendte tid, ønsker vi at registrere den tid som ikke bruges direkte på sager, men på andre aktiviteter, som fx oplæring, møder. I dag oprettes fiktive sager til fx møder hvor tiden registreres.
Leverandøren bedes give en beskrivelse af, hvordan Løsningen kan honorere ovenstående behov.
Det vægtes positivt, at Leverandøren i sin besvarelse demonstrerer, at Løsningen understøtter:
	at det er let og intuitivt at finde/tilgå sådanne sager
	at disse sagers tidsregistrering kan udtrækkes på samme måde som for andre sager</t>
  </si>
  <si>
    <t>Bilag 2 - 5.2.17.2 - Registrering af anden tid.docx</t>
  </si>
  <si>
    <t>5.2.17.3.</t>
  </si>
  <si>
    <t xml:space="preserve">Visning af tidsregistreringer </t>
  </si>
  <si>
    <t>Visning af tidsregistreringer 
Leverandøren bedes give en beskrivelse af, hvordan Løsningen fremstiller den registrerede tid for den enkelte sagsbehandler, så det er muligt for sagsbehandleren og ledere, at følge med live og historisk i tidsregistreringer.
Det vægtes positivt, at Leverandøren i sin besvarelse demonstrerer, at Løsningen understøtter:
	at tidsregistreringer præsenteres i en overskuelig visning for både sagsbehandler og leder
	at data kan filtreres og grupperes på tværs af sagsbehandlere, teams, sager, tidskategorier og tidsperioder
	at data kan eksporteres til gængse formater (fx Excel, CSV) til efterbehandling udenfor løsningen. LIS generelt.
	at ledere kan få overblik over tidsforbrug på tværs af sagsbehandlere, teams, sager og opgavepuljer</t>
  </si>
  <si>
    <t>Bilag 2 - 5.2.17.3 - Visning af tidsregistreringer.docx</t>
  </si>
  <si>
    <t>5.2.17.4.</t>
  </si>
  <si>
    <t xml:space="preserve">Registreringstyper </t>
  </si>
  <si>
    <t>Registreringstyper 
Løsningen skal give sagsbehandleren mulighed for at foretage nedenstående registreringer:
	Sagsbehandlers arbejdstid på en sag
	Sagsbehandlers arbejdstid på andet end sager
	Flere registreringer af arbejdstid på samme sag
	Registrering af tidskategorier (f.eks. forskellige typer af andet tid og ikke fakturerbare tid)</t>
  </si>
  <si>
    <t>5.2.17.5.</t>
  </si>
  <si>
    <t>Driftsstyring og ledelsesoverblik</t>
  </si>
  <si>
    <t>Driftsstyring og ledelsesoverblik
Ledelsen skal kunne se, hvor meget tid der bruges på sagsbehandling og andet tid. At registreret tid fremgår på alle sager, og at det på sager uden tidsregistrering fremgår at der ingen registrering er (fx ved værdien nul eller et tomt felt).
Der kan dannes udgangspunkt for en evt. fakturering af sagsbehandlingstiden
Registrerede timer skal kunne opsamles til driftsstyring og ledelsesinformation.
Det vægtes positivt, at Løsningen understøtter:
	visuelle oversigter eller dashboards over tidsforbrug på tværs af sager, teams, brugere og tidsperioder
	mulighed for at filtrere og gruppere tidsdata efter fx sagstype, bruger, enhed eller team
	eksport af tidsdata til gængse formater (fx Excel, CSV) til brug for driftsstyring og fakturering
	automatisk dannelse af faktureringsgrundlag baseret på registrerede timer</t>
  </si>
  <si>
    <t>Bilag 2 - 5.2.17.5 - Driftsstyring og ledelsesoverblik.docx</t>
  </si>
  <si>
    <t>B2-15</t>
  </si>
  <si>
    <t>Ledelsesinformation – LIS.</t>
  </si>
  <si>
    <t>Fremstillet data skal kunne efterbehandles eksternt i tredjeparts rapporteringsværktøjer.</t>
  </si>
  <si>
    <t>Eksport av data til 3d part -&gt; Management reporting API</t>
  </si>
  <si>
    <t>5.2.18.1.</t>
  </si>
  <si>
    <t>Rapportering og dataoverførsel</t>
  </si>
  <si>
    <t>Rapportering og dataoverførsel
Leverandøren bedes give en beskrivelse af, hvordan data kan:
1.	opstilles via løsningens rapporteringsværktøjer 
2.	overføres til ekstern behandling i tredjeparts rapporteringsværktøj/datawarehouse.
Det vægtes positivt, at Leverandøren i sin besvarelse demonstrerer, at Løsningen understøtter:
-	at data kan præsenteres og opstilles direkte i Løsningens egne rapporteringsværktøjer
-	at rapporter kan tilpasses og konfigureres af Kunden uden behov for systemudvikling
-	at data kan eksporteres til gængse formater (fx Excel, CSV) til ekstern efterbehandling. LIS generelt.
-	at Løsningen understøtter integration til tredjeparts rapporteringsværktøjer og datawarehouses – f.eks. PowerBI
-	at der kan foretages udtræk på tværs af sagstyper, tidsperioder og øvrige parametre, herunder fx tidsregistreringer, servicemålsoverholdelse og igangværende sager
-	at udtræk kan automatiseres og planlægges til faste tidspunkter uden manuel indgriben</t>
  </si>
  <si>
    <t>Bjørn tore</t>
  </si>
  <si>
    <t>Bilag 2 - 5.2.18.1 - Rapportering og dataoverførsel.docx</t>
  </si>
  <si>
    <t>B2-16</t>
  </si>
  <si>
    <t xml:space="preserve">Anvendelse af AI og algoritmer. </t>
  </si>
  <si>
    <t>Som del af det forretningsmæssige mål om effektiv og ensartet sagsbehandling er der i OBY-fokus på kontinuerlig optimering af arbejdsgange og udnyttelse af teknologiske muligheder, for at supplere eller støtte sagsbehandlingen. Der arbejdes på nuværende tidspunkt med implementering af en AI baseret selvstændig løsning til støtte i sagsbehandlingen. Der er derfor ønske om at kende til leverandørens planer omkring AI på den tilbudte løsning.</t>
  </si>
  <si>
    <t>5.2.19.1.</t>
  </si>
  <si>
    <t xml:space="preserve">Anvendelse af AI og algoritmer </t>
  </si>
  <si>
    <t>Anvendelse af AI og algoritmer 
Leverandøren bedes give en beskrivelse af hvorvidt løsningen anvender eller har planer for anvendelse af AI.
Det vægtes positivt at
-	der gives eksempler på konkrete områder, som anvender/planlægger at anvende AI 
-	der fx vedlægges roadmap der viser seneste, og kommende AI baserede funktionalitet
-	der skelnes klart mellem eksisterende og planlagte funktioner, samt hvorvidt disse er tilkøb eller inkluderet i standardlicenser</t>
  </si>
  <si>
    <t>Bilag 2 - 5.2.19.1 - Anvendelse af AI og algoritmer.docx</t>
  </si>
  <si>
    <t>5.3.1.1.</t>
  </si>
  <si>
    <t>Non-funktionelle krav</t>
  </si>
  <si>
    <t xml:space="preserve">Forvaltningsretlige krav til IT-systemer i det offentlige </t>
  </si>
  <si>
    <t>Autentiske kopier af kommunikation</t>
  </si>
  <si>
    <t>Autentiske kopier af kommunikation
Systemet skal understøtte autentiske kopier og bevaring af disse, så al myndighedskommunikation der genereres og afsendes via systemet til, skal kunne rekonstrueres.</t>
  </si>
  <si>
    <t>5.3.1.2.</t>
  </si>
  <si>
    <t>PDF/A-formaterne</t>
  </si>
  <si>
    <t xml:space="preserve">PDF/A-formaterne
Ikke-redigerbare Dokumenter, som Kunden sender elektronisk til Borgere og virksomheder via Systemet, skal udsendes i PDF/A-1a eller højere. </t>
  </si>
  <si>
    <t>5.3.1.3.</t>
  </si>
  <si>
    <t>Automatisk datering af breve</t>
  </si>
  <si>
    <t xml:space="preserve">Automatisk datering af breve
Udgående breve skal dateres med dags dato automatisk i Systemet. </t>
  </si>
  <si>
    <t>5.3.1.4.</t>
  </si>
  <si>
    <t>Notatpligt</t>
  </si>
  <si>
    <t xml:space="preserve">Notatpligt
Systemet skal understøtte, at en Bruger kan tilknytte notater til sager, således at Kundens notatpligt kan overholdes og at Kunden ligeledes kan dokumentere at den er overholdt. </t>
  </si>
  <si>
    <t>Can we solve this with simple notes?
MJ: Either notes or regular documents. This tender is obviously not created as a document manegement mindset</t>
  </si>
  <si>
    <t>5.3.1.5.</t>
  </si>
  <si>
    <t>Understøttelse af aktindsigter</t>
  </si>
  <si>
    <t xml:space="preserve">Understøttelse af aktindsigter
Leverandøren bedes redegøre for, hvordan Systemet understøtter Brugeren i at imødekomme anmodninger om aktindsigt og partsindsigt jf. Offentlighedsloven §7 og Forvaltningslovens §9.
Det vægtes positivt, at:
- Systemet understøtter Brugeren i at imødekomme anmodninger om aktindsigt, f.eks. ved at kunne producere en aktliste
- Systemet kan modtage anmodning om aktindsigt via Digital Post.
- den enkelte database i Systemet indrettes på en måde, så det er muligt ved få og enkle kommandoer at få foretaget dataudtræk. 
</t>
  </si>
  <si>
    <t>Do we have an ifar module in PnB?</t>
  </si>
  <si>
    <t>Bilag 2 - 5.3.1.5 - Understøttelse af aktindsigter.docx</t>
  </si>
  <si>
    <t>5.3.1.1.1.</t>
  </si>
  <si>
    <t>Arkivering</t>
  </si>
  <si>
    <t>Arkivering til Stadsarkivet</t>
  </si>
  <si>
    <t>Arkivering til Stadsarkivet
Systemet skal understøtte udtræk af de bevaringsværdige data, som er omfattet af Stadsarkivets gældende retningslinjer, således at Kunden eller Leverandøren kan udarbejde en systemuafhængig arkiveringsversion til aflevering til Stadsarkivet.
Arkivering afregnes på fastpris i henhold til tilbudslisten.</t>
  </si>
  <si>
    <t>5.3.1.1.2.</t>
  </si>
  <si>
    <t>Sletning af bevaringsværdige data</t>
  </si>
  <si>
    <t>Sletning af bevaringsværdige data
Leverandøren skal sikre, at Systemet ikke sletter bevaringsværdige data, før der er gennemført godkendt aflevering af en arkiveringsversion. Sletning skal kunne fravælges, og ikke ske automatisk uden godkendelse.</t>
  </si>
  <si>
    <t>B2-17</t>
  </si>
  <si>
    <t>Arkitektur</t>
  </si>
  <si>
    <t>Kunden definerer arkitektur som Systemets struktur og logiske opbygning samt sammenhæng med det omkringliggende systemlandskab. Kunden har et fokus på, at nye systemer vil passe ind i kommunens eksisterende og fremtidige arkitektur, og stiller derfor bestemte krav til arkitekturen. Systemer skal være opbygget på bestemte måder for at sikre, at de individuelt kan være velfungerende samt at de samtidigt kan indgå effektivt i det samlede systemlandskab og skabe mest mulig værdi for forretningen.</t>
  </si>
  <si>
    <t>MK - But what are they actually asking us to deliver?
AOP: They are asking us to respect their architecture principles as they explain them in bilag 2. Summed up they are: 
- SaaS som leveringsmodel
- Løst koblet arkitektur.
- Konfiguration frem for udvikling
- Åbne standarder og API-first
- Automatisering af arbejdsgange
- Data som fælles aktiv
- Segmentering og forsvar i dybden
- Central identitets- og adgangsstyring
- Centraliseret logning og sikkerhedsovervågning
- Fælles integrationsplatform</t>
  </si>
  <si>
    <t>5.3.2.1</t>
  </si>
  <si>
    <t>Hosting og miljøer</t>
  </si>
  <si>
    <t>Hosting og miljøer
Leverandøren er ansvarlig for hosting af Løsningens miljøer (SaaS).
Løsningens miljøer skal være adskilte. Løsningen skal som minimum bestå af:
-	Produktionsmiljø
-	Kundens sandkassemiljø, til løbende undervisning og intern test – forventet op til 50 samtidige brugere. Miljøet skal så vidt muligt afspejle produktionsmiljøet, såfremt det ikke er muligt at anvende testintegrationer, kan der anvendes simulerede integrationer (stubs).
-	Leverandørens testmiljø.</t>
  </si>
  <si>
    <t>5.3.2.2</t>
  </si>
  <si>
    <t>Løst koblet arkitektur</t>
  </si>
  <si>
    <t xml:space="preserve">Løst koblet arkitektur
Leverandøren bedes redegøre for Systemets interne arkitektur, herunder hvordan Systemets moduler og komponenter er organiseret, samt hvordan de kommunikerer og udveksler data med hinanden. Leverandøren kan vælge at vedlægge et diagram, der illustrerer arkitekturen.
Det vægtes positivt, at:
- Systemet består af velafgrænsede moduler eller services (fx løst koblede services eller microservices), der hver især har klart definerede ansvarsområder.
- arkitekturen er baseret på anerkendte softwaredesignprincipper (fx Clean Architecture, Hexagonal Architecture eller tilsvarende), som fremmer testbarhed, uafhængighed af frameworks og udskiftelighed af komponenter.
- Systemet er lagdelt, med tydelig adskillelse mellem brugergrænseflade, forretningslogik og dataadgang, uden bindinger på tværs.
- brugergrænsefladen er adskilt fra forretningslogikken, så brugergrænsefladen kan udskiftes uafhængigt af kernefunktionaliteten.
- arkitekturen understøtter adskillelse af hyppigt foranderlige dele af processerne fra mere stabile dele, fx ved anvendelse af en regelmotor, i overensstemmelse med den fælleskommunale rammearkitektur, Princip 2, AR 2.6 “Adskil det foranderlige fra det uforanderlige”. </t>
  </si>
  <si>
    <t>Bilag 2 - 5.3.2.2 - Løst koblet arkitektur.docx</t>
  </si>
  <si>
    <t>5.3.2.3</t>
  </si>
  <si>
    <t>Segmentering af komponenter</t>
  </si>
  <si>
    <t xml:space="preserve">Segmentering af komponenter
Systemets komponenter skal være segmenterede. Med segmentering menes i denne forbindelse at komponenter, eksempelvis backend-servere og databaser er beskyttet bag en firewall eller anden form for sikkerhedskomponent og dermed ikke er tilgængelige direkte for eksterne aktører. </t>
  </si>
  <si>
    <t>CloudOps</t>
  </si>
  <si>
    <t>5.3.2.4</t>
  </si>
  <si>
    <t>Adskillelse af data</t>
  </si>
  <si>
    <t xml:space="preserve">Adskillelse af data
Kundens data skal adskilles fra Leverandørens andre kunders data. Leverandøren skal dokumentere dataadskillelsen og på Kundens anmodning herom, fremsende dokumentation herfor. Adskillelse skal overholde én af følgende tre retningslinjer baseret på det tilbudte niveau:
1) For dataadskillelse på tabelniveau skal der være:
- Kryptering på kundeniveau (per tenant). Her menes enten per tenant application-level kryptering eller per tenant kryptering på databaseniveau (også kaldet column-level encryption).
- Logisk adskillelse, der sikrer, at databasekald altid indeholder et tenant-ID eller tilsvarende identifikation for hver kunde.
- Opsætning af row-level security (RLS).
2) For dataadskillelse på skemaniveau skal der være:
- Adgangsstyring per skema.
- Kryptering på skema niveau (F.eks. med Transparent data encryption).
3) For dataadskillelse på databaseniveau skal der være:
- Databasekryptering (F.eks. med Transparent data encryption). </t>
  </si>
  <si>
    <t>5.3.2.5</t>
  </si>
  <si>
    <t>Beskyttelse mod angreb</t>
  </si>
  <si>
    <t xml:space="preserve">Beskyttelse mod angreb
Leverandøren bedes redegøre for, hvilke teknologier som anvendes til sikring af Løsningens data, samt hvordan disse anvendes til at beskytte Systemet mod ondsindede angreb fra eksterne aktører.
Redegørelsen bør beskrive hvordan Løsningen er sikret mod de hyppigst forekommende angrebsscenarier på OWASP TOP 10.
Det vægtes positivt, at:
- Systemet anvender sikkerhedsteknologier som f.eks. firewalls, VLAN, proxy, API Management, Identity Based Web Services (IDWS) eller tilsvarende.
- Systemets design kan håndtere gængse angrebsscenarier, herunder men ikke begrænset til:
* Denial of Service-angreb
* Datamanipulation
* Repudiation-angreb
* Uautoriseret adgang til data
* Man-in-the-middle 
* Privilege escalation
- Systemets design sikrer, at eventuelle fremtidige sårbarheder i front-end ikke kompromitterer de bagvedliggende data
- Leverandørens redegørelse indeholder eksempler på flere af de ovenstående angrebsscenarier.
- Sikkerhedstrusler tænkes ind i kodeudvikling, f.eks. ved at kode testes automatisk inden udrulning f.eks. vha. SATS, DAST, eller et DevSecOps </t>
  </si>
  <si>
    <t>Unsure where to assign this.. Is this Kim og Geir, or someone else?</t>
  </si>
  <si>
    <t>Bilag 2 - 5.3.2.5 - Beskyttelse mod angreb.docx</t>
  </si>
  <si>
    <t>5.3.3.1.1</t>
  </si>
  <si>
    <t>Datakvalitet</t>
  </si>
  <si>
    <t>Datakvalitet og -integritet i Systemet</t>
  </si>
  <si>
    <t xml:space="preserve">Datakvalitet og -integritet i Systemet
Leverandøren bedes redegøre for, hvordan dataintegritet og høj datakvalitet sikres i Systemet.
Det vægtes positivt, at:
- der anvendes unikke nøgler og constraints i Systemets database
- Systemet kan validere data op imod eksterne registre, hvor dette er relevant, f.eks. grunddata og klassifikationer 
- Systemet anvender foruddefinerede værdilister hvor muligt 
- det ikke er muligt at indtaste konfliktende data i Systemet ud fra forretningsregler.
- Systemet kan have obligatoriske felter </t>
  </si>
  <si>
    <t>Bilag 2 - 5.3.3.1.1 - Datakvalitet og -integritet i Systemet.docx</t>
  </si>
  <si>
    <t>5.3.3.1.2</t>
  </si>
  <si>
    <t>Fejlmeldinger ved dataoverførsel</t>
  </si>
  <si>
    <t xml:space="preserve">Fejlmeldinger ved dataoverførsel
Ved fejltilstand i Systemet, returneres fejlkoder og fejltekster til afsendersystemet. </t>
  </si>
  <si>
    <r>
      <rPr>
        <sz val="12"/>
        <color rgb="FF272A2C"/>
        <rFont val="Aptos"/>
        <scheme val="minor"/>
      </rPr>
      <t xml:space="preserve">Leverandøren opfylder kravet om fejlmeldinger ved dataoverførsel. Ved en fejltilstand returnerer Systemet et struktureret fejlsvar til afsendersystemet via integrationssnitfladen (SIF), så det kaldende system kan identificere og håndtere fejlen. Dermed opnår Kunden robuste integrationer, hvor fejl rapporteres tilbage til kilden i stedet for at forblive skjulte.
</t>
    </r>
    <r>
      <rPr>
        <b/>
        <sz val="12"/>
        <color rgb="FF272A2C"/>
        <rFont val="Aptos"/>
        <scheme val="minor"/>
      </rPr>
      <t xml:space="preserve">Strukturerede fejlmeldinger til afsendersystemet
</t>
    </r>
    <r>
      <rPr>
        <sz val="12"/>
        <color rgb="FF272A2C"/>
        <rFont val="Aptos"/>
        <scheme val="minor"/>
      </rPr>
      <t xml:space="preserve">Ved fejl returnerer Systemet et struktureret svar til det kaldende system med et statusflag, en fejlkode (HTTP-statuskode, f.eks. ved valideringsfejl eller adgangsfejl) og en beskrivende fejltekst, så afsendersystemet kan aflæse både fejltype og årsag.
For det integrerende system betyder det, at fejl kan aflæses programmatisk ud fra både statuskode og fejltekst og håndteres i afsendersystemet.
For Kunden skaber dette gennemsigtige integrationer, hvor fejl ikke går tabt, men rapporteres tilbage til kilden med en klar angivelse af fejltype og årsag.
</t>
    </r>
    <r>
      <rPr>
        <b/>
        <sz val="12"/>
        <color rgb="FF272A2C"/>
        <rFont val="Aptos"/>
        <scheme val="minor"/>
      </rPr>
      <t xml:space="preserve">Fordele for Kunden ved fejlmeldinger
</t>
    </r>
    <r>
      <rPr>
        <sz val="12"/>
        <color rgb="FF272A2C"/>
        <rFont val="Aptos"/>
        <scheme val="minor"/>
      </rPr>
      <t>Kunden opnår følgende med Leverandørens løsning:
 - Struktureret fejlsvar (statuskode og fejltekst) returneres til afsendersystemet ved fejltilstand
 - Fejl kan aflæses og håndteres programmatisk i det integrerende system</t>
    </r>
  </si>
  <si>
    <t>5.3.3.2.1</t>
  </si>
  <si>
    <t>Systemets begrebsmodel</t>
  </si>
  <si>
    <t xml:space="preserve">Systemets begrebsmodel
Leverandøren bedes redegøre for Løsningens begrebsmodel.
Redegørelsen skal omfatte:
- Systemets begreber og relationer
- mulighederne for ændring af Systemets begrebsmodel efter Kundens ønsker
- hvorvidt Systemet kan understøtte Kundens begrebsmodel i afsnit 1.3.6
Det vægtes positivt, at Systemets begrebsmodel:
- er fyldestgørende og detaljeret ift. forretningsdomænet
- i høj grad er fleksibel og kan ændres på en ressourceeffektiv måde
- i høj grad afspejler Kundens begrebsmodel, jf. afsnit 1.3.6 Centrale begreber og forretningsprocesser </t>
  </si>
  <si>
    <t>Maybe with support from Kaare for description of relations?</t>
  </si>
  <si>
    <t>Bilag 2 - 5.3.3.2.1 - Systemets begrebsmodel.docx</t>
  </si>
  <si>
    <t>5.3.4.1</t>
  </si>
  <si>
    <t>Sprog og tegnsæt</t>
  </si>
  <si>
    <t>Sprog</t>
  </si>
  <si>
    <t xml:space="preserve">Sprog
Brugergrænsefladen skal være udformet på dansk i overensstemmelse med dansk retskrivning. </t>
  </si>
  <si>
    <t>5.3.4.2</t>
  </si>
  <si>
    <t>Fejltekster og meddelelser</t>
  </si>
  <si>
    <t xml:space="preserve">Fejltekster og meddelelser
Leverandøren bedes beskrive, hvordan fejltekster og meddelelser fra Systemet vises for Brugeren.
Det vægtes positivt, at meddelelser og fejltekster er:
- specifikke og målrettede til en given Bruger, f.eks. ved at være kontekstbaseret eller forskellig ud fra Brugerens rolle.
- er handlingsanvisende, ved at der er i teksten er angivet hvilken handling Brugeren skal foretage.
- Konfigurerbare af Kunden. </t>
  </si>
  <si>
    <t>Bilag 2 - 5.3.4.2 - Fejltekster og meddelelser.docx</t>
  </si>
  <si>
    <t>5.3.4.3</t>
  </si>
  <si>
    <t>Stavekontrol</t>
  </si>
  <si>
    <t xml:space="preserve">Stavekontrol
Systemets fritekstfelter skal indeholde dansk stavekontrol og stavekontrollen i fritekstfelterne skal kunne slås fra. Såfremt Systemet er browserbaseret, er det acceptabelt at benytte browserens indbyggede stavekontrol. </t>
  </si>
  <si>
    <t>Our system is browserbased - we can use browser  control.</t>
  </si>
  <si>
    <t>5.3.4.4</t>
  </si>
  <si>
    <t>Danske tegn og specialtegn</t>
  </si>
  <si>
    <t xml:space="preserve">Danske tegn og specialtegn
Systemet skal understøtte danske tegn og specialtegn i brugergrænsefladen og back-end, herunder ved integration med eksterne systemer. </t>
  </si>
  <si>
    <t>We support this in the UI - do we support it in the integration framework, and in Back-End?
MJ: Yes</t>
  </si>
  <si>
    <t>5.3.5.1</t>
  </si>
  <si>
    <t>Pålidelighed og robusthed</t>
  </si>
  <si>
    <t>Brugernes oplevelse af pålidelighed og robusthed</t>
  </si>
  <si>
    <t xml:space="preserve">Brugernes oplevelse af pålidelighed og robusthed
Leverandøren bedes redegøre for, hvordan Brugernes oplevelse af et pålideligt og robust System understøttes.
Redegørelsen skal omfatte Systemets:
- håndtering af andre systemers nedbrud.
- håndtering af udfald i netværksforbindelsen.
- håndtering af afbrudte arbejdsprocesser.
- håndtering af, at flere Brugere samtidigt arbejder med samme data.
Det vægtes positivt at:
- Brugerens arbejde berøres mindst muligt ved nedbrud 
- Systemet kan håndtere at dataobjekter låses efter behov
- Systemet kan håndtere, at netværksforbindelsen kortvarigt forsvinder, herunder at der ikke sker datatab, hvis Brugere forsøger at gemme data, mens netværksforbindelsen er afbrudt
- Systemet effektivt håndterer, at Brugeren kan have flere udgaver af brugergrænsefladen åben på samme tid, og at handlinger i den ene brugergrænseflade ikke influerer på andre åbne instanser, medmindre det er tilsigtet.
- Systemet kan på en effektiv og gennemsigtig måde håndtere, at flere Brugere arbejder med samme data på samme tid, så risikoen for tab af data minimeres. </t>
  </si>
  <si>
    <t>Perhaps Salg DK can take this</t>
  </si>
  <si>
    <t>Bilag 2 - 5.3.5.1 - Brugernes oplevelse af pålidelighed og robusthed.docx</t>
  </si>
  <si>
    <t>5.3.5.2</t>
  </si>
  <si>
    <t>Vedhæftede filtyper</t>
  </si>
  <si>
    <t>Vedhæftede filtyper
Leverandøren bedes redegøre for, hvilke filtyper Systemet håndterer at borgere og virksomheder vedhæfter ansøgningen samt hvilke filtyper der ikke håndteres og evt. direkte forbydes. Redegørelsen kan fx bestå af en whitelist i form af en oversigt over tilladte filtyper og en blacklist, i form af en oversigt over forbudte filtyper.
Det vægter positivt at:
-	Systemet understøtter flere forskellige billede-, dokument-, lyd-, videoformater.
-	Systemet kan understøtte indhold i komprimerede filer, f.eks. zip-filer</t>
  </si>
  <si>
    <t xml:space="preserve">The customer accidentially gave two requirements the same ID. They will be asked about this. </t>
  </si>
  <si>
    <t>Bilag 2 - 5.3.5.2_2 - Håndtering af kompromitterende indhold.docx</t>
  </si>
  <si>
    <t>Håndtering af kompromitterende indhold</t>
  </si>
  <si>
    <t>Håndtering af kompromitterende indhold
Leverandøren bedes redegøre for, hvordan Systemet beskytter mod at der vedhæftes filer som indeholder kompromitterende indhold, fx virus eller malware. Redegørelsen skal omfatter hvordan Systemet beskytter mod virus og malware, men samtidigt hvordan Systemet understøtter Kundens behov for at kunne modtage forskelligartede vedhæftninger.
Det vægtes positivt at:
-	Systemet scanner alle vedhæftede filer, herunder indhold i komprimerede filer, f.eks. zip-filer, for virus og malware inden videregivelse.
-	filtyper der ikke understøttes eller tillades, samt korrupte filer håndteres på sikker vis, f.eks. ved at sætte filen i karantæne eller bortskaffes.
-	Det fremgår tydeligt af løsningen at en fil er enten beskadiget, forbudt eller tilsvarende.</t>
  </si>
  <si>
    <t xml:space="preserve">Maybe Kim can describe how this is done i cloud?
The customer accidentially gave two requirements the same ID. They will be asked about this. </t>
  </si>
  <si>
    <t>Bilag 2 - 5.3.5.2 - Vedhæftede filtyper.docx</t>
  </si>
  <si>
    <t>5.3.5.3</t>
  </si>
  <si>
    <t>Genoptagelse af arbejde efter nedbrud</t>
  </si>
  <si>
    <t>Genoptagelse af arbejde efter nedbrud
Leverandøren bedes redegøre for, hvordan Systemet ved opstart efter et nedbrud føres tilbage i en tilstand med konsistente data og opsætning, så Brugerne oplever, at Systemet igen er funktionelt. Desuden skal der også redegøres for hvilke konkrete tekniske foranstaltninger der er implementeret for at opnå sammenhængende og ubrudte arbejdsprocesser, også efter afbrydelser. 
Det vægtes positivt, at: 
-	I skærmbilleder med flere inputfelter (fx rækker af Medarbejdere) gemmes input automatisk løbende (autogem).
-	I skærmbilleder med adskillige rækker, opdeles skærmbilledet over flere sider (paginering), og hver enkelt side gemmes særskilt. 
-	Der er implementeret yderligere tekniske foranstaltninger for at opnå at en arbejdsproces kan genoptages efter nedbrud 
-	Det er tydeligt hvornår der sidst er gemt eller på anden måde tydeliggør hvilke data der er gemte og hvilke som er tabt.</t>
  </si>
  <si>
    <t>Bilag 2 - 5.3.5.3 - Genoptagelse af arbejde efter nedbrud.docx</t>
  </si>
  <si>
    <t>5.3.5.4</t>
  </si>
  <si>
    <t>Fejltilstand ved forkert input</t>
  </si>
  <si>
    <t xml:space="preserve">Fejltilstand ved forkert input
Systemet skal ved forkert input, enten via integrationer eller brugergrænsefladen, ikke føre til fejltilstand, herunder at Systemet eller dele af Systemet går i stå og ikke selv kan komme videre. </t>
  </si>
  <si>
    <t>5.3.6.1.1.</t>
  </si>
  <si>
    <t>Webløsning</t>
  </si>
  <si>
    <t xml:space="preserve">Webløsning
Såfremt Løsningen er webbaseret skal webbaserede dele kunne anvendes uden begrænsninger i de seneste to officielt supporterede hovedversioner af Microsoft Edge og Google Chrome. </t>
  </si>
  <si>
    <t>Kravet i indeværende afsnit er kun gældende såfremt løsningen er webbaseret og tilgås via browser.</t>
  </si>
  <si>
    <t>5.3.6.2.1</t>
  </si>
  <si>
    <t>Desktop klient</t>
  </si>
  <si>
    <t>Microsoft Windows 11 Enterprise</t>
  </si>
  <si>
    <t xml:space="preserve">Microsoft Windows 11 Enterprise
Såfremt Løsningen kræver en desktop klient, skal Løsningen kunne afvikles og fungere fuldt ud på Microsoft Windows 11 Enterprise 64-bit eller nyere. </t>
  </si>
  <si>
    <t>Kravene i indeværende afsnit er kun gældende såfremt løsningen kræver installation som desktop klient.</t>
  </si>
  <si>
    <t>Irrelevant for os?</t>
  </si>
  <si>
    <t>5.3.6.2.2</t>
  </si>
  <si>
    <t>Silent installation og afinstallation</t>
  </si>
  <si>
    <t xml:space="preserve">SIlent installation og afinstallation
Såfremt Løsningen kræver en desktop klient, skal softwarepakker installeres samt afinstalleres silent via Kundens udrulningssystem, Microsoft Intune. Softwarepakkernes installationsparametre (command-line switches) skal derfor understøtte silent installation og afinstallation. 
Med silent menes der, at installationen samt afinstallationen sker uden slutbrugerinteraktion og som NT AUTHORITY\SYSTEM. </t>
  </si>
  <si>
    <t>5.3.6.2.3</t>
  </si>
  <si>
    <t>Softwarepakkers installationsmedie</t>
  </si>
  <si>
    <t xml:space="preserve">Softwarepakkers installationsmedie
Såfremt Løsningen kræver en desktop klient, må Løsningens softwarepakkers installationsmedie ikke overskride 8GB. </t>
  </si>
  <si>
    <t>5.3.6.2.4</t>
  </si>
  <si>
    <t>Versionsstyring på softwarepakker</t>
  </si>
  <si>
    <t xml:space="preserve">Versionsstyring på softwarepakker
Såfremt Løsningen kræver en desktop klient, skal Leverandøren foretage versionsstyring af Systemets softwarepakker. </t>
  </si>
  <si>
    <t>5.3.6.2.5</t>
  </si>
  <si>
    <t>Signerede filer</t>
  </si>
  <si>
    <t xml:space="preserve">Signerede filer
Såfremt Løsningen kræver en desktop klient, skal eksekverbare filer i softwaren være signerede. </t>
  </si>
  <si>
    <t>5.3.6.2.6</t>
  </si>
  <si>
    <t>Softwarepakker og afhængigheder til PC-model</t>
  </si>
  <si>
    <t xml:space="preserve">Softwarepakker og afhængigheder til PC-model
Såfremt Løsningen kræver en desktop klient, skal softwarepakker være uafhængige af den PC-enhed de installeres på, dvs. den må ikke være afhængig af en bestemt PC-model. </t>
  </si>
  <si>
    <t>5.3.6.2.7</t>
  </si>
  <si>
    <t>Licensnøgler og installering</t>
  </si>
  <si>
    <t xml:space="preserve">Licensnøgler og installering
Såfremt Løsningen kræver en desktop klient, skal leverancen omfatte en samlet licensnøgle til hvert softwareprodukt således at samme softwarepakke kan anvendes på alle Kundens PC’er ved udrulning. 
Alternativt skal softwaren kunne installeres med samme funktionalitet uden anvendelse af licensnøglen. </t>
  </si>
  <si>
    <t>5.3.7.1</t>
  </si>
  <si>
    <t>Sikkerhed</t>
  </si>
  <si>
    <t>CIA</t>
  </si>
  <si>
    <t xml:space="preserve">CIA
Leverandøren bede redegøre for hvordan de klassiske tre sikkerhedsegenskaber (CIA) opfyldes i Systemet:
- Confidentiality - Fortrolighed af data
- Integrity – Integritet (korrekthed) af data
- Availability - Tilgængelighed af data og funktionalitet
Leverandøren bedes anvende konkrete eksempler på, hvordan principperne er tænkt ind i løsningen.
Det vægtes positivt, at:
- Systemet anvender tidssvarende teknologier og metoder, som tager højde for trusselbilledet
- der er indtænkt de tre sikkerhedsegenskaber i Systemet </t>
  </si>
  <si>
    <t>Bilag 2 - 5.3.7.1 - CIA.docx</t>
  </si>
  <si>
    <t>5.3.7.2</t>
  </si>
  <si>
    <t>Privacy by design</t>
  </si>
  <si>
    <t xml:space="preserve">Privacy by design
Leverandøren bedes, ved brug af konkrete eksempler, redegøre for hvilke foranstaltninger der anvendes og hvordan disse benyttes for at Systemet efterlever privacy by design -princippet. 
Det vægtes positivt, at Systemet anvender:
- anonymisering og pseudonomisering
- dataminimering, herunder begrænsning af opbevaring af data og at Systemet kun har den data der er nødvendigt
- kryptering
- Information Lifecycle Management eller tilsvarende udviklingsmetoder og teknologier </t>
  </si>
  <si>
    <t>Bilag 2 - 5.3.7.2 - Privacy by design.docx</t>
  </si>
  <si>
    <t>5.3.7.3</t>
  </si>
  <si>
    <t>Security by default</t>
  </si>
  <si>
    <t xml:space="preserve">Security by default
Leverandøren bedes redegøre for hvilke foranstaltninger der anvendes og hvordan disse benyttes for at Systemet efterlever security by default-princippet. Leverandøren bedes anvende konkrete eksempler på nedenstående designmønstre.
Det vægtes positivt, at Systemet anvender:
- economy of mechanism 
- least privilege 
- defense in depth
- failing securely 
- separation of privilege 
- least common mechanism 
- promoting privacy </t>
  </si>
  <si>
    <t>Bilag 2 - 5.3.7.3 - Security by default.docx</t>
  </si>
  <si>
    <t>5.3.7.4</t>
  </si>
  <si>
    <t>Kryptering af webtrafik</t>
  </si>
  <si>
    <t xml:space="preserve">Kryptering af webtrafik
Systemet skal anvende TLS 1.2 eller nyere. </t>
  </si>
  <si>
    <t>5.3.7.5</t>
  </si>
  <si>
    <t>Cipher Strength</t>
  </si>
  <si>
    <t xml:space="preserve">Cipher Strength
Kryptering af webtrafik skal ske ved en nøglelængde (Cipher Strength) på minimum 256-bit. </t>
  </si>
  <si>
    <t>5.3.7.6</t>
  </si>
  <si>
    <t>Kryptering baseret på certifikater</t>
  </si>
  <si>
    <t xml:space="preserve">Kryptering baseret på certifikater
Systemet skal i sin kommunikation kryptere for fortrolighed og signere for integritet baseret på officielle certificate authority (CA) certifikater. </t>
  </si>
  <si>
    <t>5.3.7.1.1</t>
  </si>
  <si>
    <t>Bruger- og adgangsstyring</t>
  </si>
  <si>
    <t>Autentifikation af Brugere</t>
  </si>
  <si>
    <t xml:space="preserve">Autentifikation af Brugere
Autentifikation af Brugere skal foretages vha. Fælleskommunal Adgangsstyring og komponenten Adgangsstyring (Context Handler) eller Kundens Entra ID. </t>
  </si>
  <si>
    <t>We have FKA from eDoc, but it says "OR" entra ID - and i know we have that, so we can say yes.</t>
  </si>
  <si>
    <t>5.3.7.1.2</t>
  </si>
  <si>
    <t>Single sign-on for Brugere</t>
  </si>
  <si>
    <t xml:space="preserve">Single sign-on for Brugere
Systemet skal anvende single sign-on, således at Systemet ikke kræver yderligere autentifikation for Brugere, der allerede er logget på via Kundens enheder. </t>
  </si>
  <si>
    <t>5.3.7.1.3</t>
  </si>
  <si>
    <t>Sessioner</t>
  </si>
  <si>
    <t xml:space="preserve">Sessioner
En Bruger skal kunne have flere sessioner kørende samtidigt i Systemet.
Med sessioner menes flere samtidige vinduer eller instanser af programmet. </t>
  </si>
  <si>
    <t>5.3.7.1.4</t>
  </si>
  <si>
    <t>Håndtering af session timeout</t>
  </si>
  <si>
    <t xml:space="preserve">Håndtering af session timeout
Session timeout skal kunne indstilles løbende efter Kundens ønske.
Brugere skal efter en tidsramme, fastsat af Kunden, logges ud af Systemet. </t>
  </si>
  <si>
    <t>Isnt this a  clash with SSO? Maybe we should ask a question.</t>
  </si>
  <si>
    <t>5.3.7.1.5</t>
  </si>
  <si>
    <t>Autorisation af Brugere</t>
  </si>
  <si>
    <t xml:space="preserve">Autorisation af Brugere
For Brugere skal Systemet tildele rettigheder for brugergrupper (roller) på basis af informationer hentet fra komponenten Adgangsstyring (Context Handler) eller Kundens Entra ID, så Brugere kan tildeles en rolle, der giver rettigheder til at udføre de funktioner og har adgang til det data i Systemet, der er tilknyttet rollen. </t>
  </si>
  <si>
    <t>5.3.7.1.6</t>
  </si>
  <si>
    <t>Systemets rettighedsmodel</t>
  </si>
  <si>
    <t>Systemets rettighedsmodel
Leverandøren bedes redegøre for Systemets rettighedsmodel for brugeradgange, som anvendes internt i Systemet, herunder hvilke funktionelle afgrænsninger, dataafgrænsninger og dataklassifikationer, som der kan opbygges roller af.
Leverandøren bedes ligeledes oplyse, hvilke roller og rettigheder som Systemet er prækonfigureret med.
Det vægtes positivt, at rettighedsmodellen:
-	muliggør kundespecifikke tilpasninger af autorisationer og roller i Systemet
-	muliggør at en Bruger kan tildeles flere samtidige roller
-	efterlever RBAC standarden jf. ANSI INCITS 359-2004
-	understøtter dataafgræsning på baggrund af sagstyper, f.eks. baseret</t>
  </si>
  <si>
    <t>Looks like we are missing som words in last PM
AOP: It is copied as-is. I will make a question for the customer.</t>
  </si>
  <si>
    <t>Bilag 2 - 5.3.7.1.6 - Systemets rettighedsmodel.docx</t>
  </si>
  <si>
    <t>5.3.7.1.7</t>
  </si>
  <si>
    <t>Dataafgrænsning</t>
  </si>
  <si>
    <t xml:space="preserve">Dataafgrænsning
Løsningens rettighedsmodel skal understøtte opsætning af dataafgrænsning på baggrund af følsomhedsniveau, f.eks. fra dataafgrænsningsparameteret </t>
  </si>
  <si>
    <t>anton</t>
  </si>
  <si>
    <t>Tilgangsstyring</t>
  </si>
  <si>
    <t>5.3.7.2.1.</t>
  </si>
  <si>
    <t>Logning</t>
  </si>
  <si>
    <t>Transaktionslogning</t>
  </si>
  <si>
    <t>Transaktionslogning
Alle transaktioner der vedrører Personoplysninger foretaget i Systemets brugergrænseflade skal logges. 
Med transaktioner menes, f.eks., tilgang, anvendelse, loginforsøg, oprettelse, opdatering, sletning og søgning.</t>
  </si>
  <si>
    <t>5.3.7.2.2.</t>
  </si>
  <si>
    <t>Administratorlogning</t>
  </si>
  <si>
    <t xml:space="preserve">Administratorlogning
Alle transaktioner der foretages i Systemet, som kræver privilegerede rettigheder, skal logges. </t>
  </si>
  <si>
    <t>"All"  in adminlog, we said yes in KUM - it is a minimum requirement.</t>
  </si>
  <si>
    <t>5.3.7.2.3.</t>
  </si>
  <si>
    <t>Systemlogning</t>
  </si>
  <si>
    <t>Systemlogning
Alle ændringer i systemkonfiguration og systemkomponenter, samt installation af systemopdateringer og systemfejl, skal logges.</t>
  </si>
  <si>
    <t>5.3.7.2.4.</t>
  </si>
  <si>
    <t>Unik identifikation af Brugere</t>
  </si>
  <si>
    <t>Unik identifikation af Brugere
Alle logs skal have unik identifikation af hvem der har foretaget handlingen. 
For logs der vedrører Brugere, skal den unikke identifikation kunne knyttes til Kundens Entra ID, f.eks. gennem brugerident. For systemgenerede logs skal der fremgå systemidentitet, f.eks. systembruger</t>
  </si>
  <si>
    <t>Anton: I would say yes to this requirement</t>
  </si>
  <si>
    <t>5.3.7.2.5.</t>
  </si>
  <si>
    <t>Unik identifikation af Borgere</t>
  </si>
  <si>
    <t xml:space="preserve">Unik identifikation af Borgere
For logs der vedrører en eller flere Borgere, skal der fremgå unik identifikation af Borgeren, f.eks. CPR-nummer. </t>
  </si>
  <si>
    <t>Evt. input fra Willy eller Olga.</t>
  </si>
  <si>
    <t>5.3.7.2.6.</t>
  </si>
  <si>
    <t>Integritet af logs - Manuel ændring og sletning</t>
  </si>
  <si>
    <t>Integritet af logs - Manuel ændring og sletning
Logs som ikke er dækket af automatiske slettefrister, jf. krav 'Sletning af logdata indeholdende Personoplysninger', må kun ændres og slettes manuelt af Løsningens administrator(er).
Manuel sletning af logs må kun foretages ved Kundens samtykke hertil. Kundens samtykke skal ske ved Meddelelse. Ved sletning af loggen, skal den pågældende handling logges.</t>
  </si>
  <si>
    <t>3. Not able to meet</t>
  </si>
  <si>
    <t>Evt. input fra Willy eller Olga.
Anton: I imagine this could be an issue - we dont support manual deletion of logs as pr. my understanding</t>
  </si>
  <si>
    <t>5.3.7.2.7.</t>
  </si>
  <si>
    <t>Beskyttelse af log</t>
  </si>
  <si>
    <t>Beskyttelse af log
Leverandøren bedes, ved brug af konkrete eksempler, redegøre for, hvilke tekniske og organisatoriske foranstaltninger der anvendes til at beskytte logdata mod manipulation, beskadigelse og uautoriseret adgang.
Det vægtes positivt, at: 
• beskyttelse af logdata som udgangspunkt sker ved brug af tekniske foranstaltninger, f.eks. adgangsstyring, rollebaseret rettighedsstyring, kryptering og firewall, som til hver en tid sikrer integriteten af logs. 
• der kun er få udvalgte administratorer til behandling af logs, og at der løbende følges op på hvem der har adgang. 
• den fysiske placering af det tekniske udstyr som logdata opbevares på, er sikret mod brand, vandskader og tyveri.</t>
  </si>
  <si>
    <t>Bilag 2 - 5.3.7.2.7 - Beskyttelse af log.docx</t>
  </si>
  <si>
    <t>5.3.7.2.8.</t>
  </si>
  <si>
    <t>Tidsstempling af logs</t>
  </si>
  <si>
    <t>Tidsstempling af logs
Alle logs skal påføres korrekt tidspunkt i UTC.</t>
  </si>
  <si>
    <t>Evt. input fra Willy eller Olga.
Anton: I think we should ask a question here, DK is not in UTC timezone, we are in UTC+1 (or +2 in summertime) So why would they want logs to not match this?</t>
  </si>
  <si>
    <t>5.3.7.2.9.</t>
  </si>
  <si>
    <t>Format for dato og tid</t>
  </si>
  <si>
    <t xml:space="preserve">Format for dato og tid
Format for dato og tid i logs i Systemet skal overholde standarden ISO 8601 eller tilsvarende. </t>
  </si>
  <si>
    <t>5.3.7.2.10.</t>
  </si>
  <si>
    <t>Filformat på logs</t>
  </si>
  <si>
    <t xml:space="preserve">Filformat på logs
Logning i Systemet skal ske i et af følgende formater: 
• Windows Event-log 
• JSON
• CSV 
• SQL-tabeller
• Et format med kommaseparerede loglinjer i singlerow-format. Separator kan også være ;(semikolon), ” ” (citationstegn) eller | (pipe). </t>
  </si>
  <si>
    <t>5.3.7.2.11.</t>
  </si>
  <si>
    <t>Sletning af logdata indeholdende Personoplysninger</t>
  </si>
  <si>
    <t xml:space="preserve">Sletning af logdata indeholdende Personoplysninger
Systemet skal slette logdata indeholdende Personoplysninger efter 6 måneder. 
</t>
  </si>
  <si>
    <t>5.3.8.1.1.</t>
  </si>
  <si>
    <t>Snitflader</t>
  </si>
  <si>
    <t>Udstilling af webservices</t>
  </si>
  <si>
    <t>Udstilling af webservices
Systemets skal udstille data via webservices, så andre systemer kan anvende data i systemet. Der skal som minimum udstilles følgende sagsoplysninger:
•	Titel
•	Frist
•	Status
•	Adresse
•	Sagsbehandler
•	Dato for hændelse (events)
•	sagstype</t>
  </si>
  <si>
    <t>Mithun</t>
  </si>
  <si>
    <t>5.3.8.1.2.</t>
  </si>
  <si>
    <t>Kvalitet af webservices</t>
  </si>
  <si>
    <t>Kvalitet af webservices
Leverandøren bedes redegøre for, hvordan Systemet giver mulighed for at udstille data via webservices (API) således, at eksterne systemer kan integrere til Systemet og udstille data. Leverandøren bedes beskrive hvilke data og felter der udstilles, samt hvilke begrænsninger der er i forbindelse med kald fra eksterne Systemer.
Det vægtes positivt at:
-	API snitflader er dokumenterede ved brug af åbne, anerkendte metoder i markedet, f.eks. Swagger.
-	Kundens data og metadata i Systemet kan udstilles i Kundens andre Systemer uden begrænsning.
-	API tilgængelighed overvåges løbende
-	Svartid for 95% af alle api’er ikke overstiger 2 sekunder.</t>
  </si>
  <si>
    <t>sif</t>
  </si>
  <si>
    <t xml:space="preserve">Vedr kravdel: "Svartid for 95% af alle api’er ikke overstiger 2 sekunder." - jeg mener at CloudOps / Kim har haft data om hvordan vi står til. </t>
  </si>
  <si>
    <t>Bilag 2 - 5.3.8.1.2 - Kvalitet af webservices.docx</t>
  </si>
  <si>
    <t>5.3.8.1.3.</t>
  </si>
  <si>
    <t>Beskyttelse af udstillede webservices via certifikat</t>
  </si>
  <si>
    <t xml:space="preserve">Beskyttelse af udstillede webservices via certifikat
Systemets udstillede webservices skal beskyttes via certifikat eller tilsvarende moderne autentifikationsmekanismer, f.eks. OAuth eller MSAL. </t>
  </si>
  <si>
    <t>5.3.8.1.4.</t>
  </si>
  <si>
    <t>Anvendelse af Kundens data og Systemets API’er</t>
  </si>
  <si>
    <t xml:space="preserve">Anvendelse af Kundens data og Systemets API’er
Kunden skal have fuld adgang til Kundens data i Systemet, herunder have mulighed for at anvende og genudstille Kundens data og API’er i Systemet via Kundens Integrationsplatform. </t>
  </si>
  <si>
    <t>5.3.8.1.5.</t>
  </si>
  <si>
    <t>Kvalitet af integrationer</t>
  </si>
  <si>
    <t xml:space="preserve">Kvalitet af integrationer
Leverandøren bedes redegøre for kvaliteten af Løsningens integrationer specificeret i afsnittet om Konkrete Integrationer.
Det vægtes positivt at:
- Ukomplette dataoverførsler effektivt kan afværges f.eks. ved at Systemet validerer og kontrollerer dataintegritet straks efter indlæsning, og før de anvendes i Systemet
- Dataintegritet kontrolleres og sikres ved brug af forskellige leveringsmetoder, f.eks. checksum og/eller valideringsskema for forretningsregler
- Systemet genprøver automatisk mislykkede operationer, hvor det er relevant, uden at forstyrre den overordnede systemfunktionalitet
- Ved fejl i indlæsning af flere poster, indlæses korrekte poster, således at ikke hele overførslen fejler
- Systemet har automatiseret overvågning og alarmering, der kan overvåge integrationer i realtid og automatisk alarmere teknisk personale ved fejl eller uregelmæssigheder
- Systemet foretager en logning af systemaktiviteter og fejl, så det er muligt for teknikere at diagnosticere og løse problemer hurtigt
- Systemet har implementeret mekanismer, som beskytter mod tab og dublering af data ved overførsel af data mellem Systemet og andre IT-systemer
- Ved fejl i integrationer til eller fra andre IT-systemer, skal Systemet fortsætte uhindret i de dele af Systemet, der ikke direkte er relateret til den fejlramte integration
- Systemet sikrer at fejlhåndteringsprocesserne ikke eksponerer følsomme data eller kompromitterer systemets sikkerhed. Dette inkluderer korrekt håndtering af fejlmeddelelser og logs. </t>
  </si>
  <si>
    <t>Bilag 2 - 5.3.8.1.5 - Kvalitet af integrationer.docx</t>
  </si>
  <si>
    <t>B2-18</t>
  </si>
  <si>
    <t>Konkrete integrationer</t>
  </si>
  <si>
    <t>Løsningen skal fungere i en større kontekst af fællesoffentlige, kommunale og Kundespecifikke systemer, hvilket sætter en række krav til hvordan integrationer skal etableres. Figur 4 viser hvilke integrationer der som minimum skal indgå i løsningen.</t>
  </si>
  <si>
    <t>5.3.8.2.1.1.</t>
  </si>
  <si>
    <t>Byg og Miljø (BOM)</t>
  </si>
  <si>
    <t xml:space="preserve">Idet langt størstedelen af ansøgningerne kommer til TMF via BOM, er der behov for, at fagsystemet har fuld integration til BOM, således systemet kan hente sager, vise resterende servicemåltid og tidsfrister, samt at brugerne af fagsystemet kan skifte status på sagerne i BOM, sende beskeder mv. </t>
  </si>
  <si>
    <t>B2-19</t>
  </si>
  <si>
    <t>Integration til Byg og Miljø (BOM)</t>
  </si>
  <si>
    <t>Integration til Byg og Miljø (BOM)
Systemet skal kunne kommunikere byggesagsrelaterede data med ansøgningsportalen BOM.  
Ved integration til BOM skal integrationen følge de til enhver tid gældende anvisninger for anvendelse og servicebeskrivelse for snitfladen.</t>
  </si>
  <si>
    <t>5.3.8.2.2.1.</t>
  </si>
  <si>
    <t>Grunddata</t>
  </si>
  <si>
    <t>Grunddata
Systemet skal hente data fra følgende fællesoffentlige registre:
•	CPR
•	CVR
•	BBR
•	Ejerfortegnelse
•	Matriklen2
•	Ejendomsbeliggenhed
•	Danmarks adresseregister (DAR)
•	Danske stednavne
•	Ejendomsvurderinger</t>
  </si>
  <si>
    <t>5.3.8.2.2.2.</t>
  </si>
  <si>
    <t>Indlæsning af CPR-data</t>
  </si>
  <si>
    <t>Indlæsning af CPR-data
Leverandøren bedes gøre rede for hvilke datatyper og dataobjekter Systemet henter fra Datafordelerens snitflader. Redegørelsen skal omfatte en komplet oversigt over datatyper og dataobjekter sammenholdt med de relevante forretningsmæssige behov.
Det vægtes positivt at …
•	Systemet kun henter datatyper og dataobjekter, som der i Systemet er et forretningsmæssigt behov for at hente.
•	Hvis CPR-data gemmes i Systemet, opdateres data i Systemet mindst én gang i døgnet
•	Data opdateres hver gang en Bruger tilgår en sag
•	Det udelukkende er ændringer, der opdateres (delta opdatering)
•	CPR-data alene opdateres for borgere som har en aktiv sag i Systemet  
•	Det fremgår tydeligt på en sag at en borger har navne- eller adressebeskyttelse.</t>
  </si>
  <si>
    <t>Torben</t>
  </si>
  <si>
    <t>Bilag 2 - 5.3.8.2.2.2 - Indlæsning af CPR-data.docx</t>
  </si>
  <si>
    <t>5.3.8.2.3.1.</t>
  </si>
  <si>
    <t>Kundens GIS-løsning (SpatialSuite)</t>
  </si>
  <si>
    <t>Linkintegrationer</t>
  </si>
  <si>
    <t xml:space="preserve">Linkintegrationer
Systemets arkitektur skal give mulighed for at Systemet understøtter linkintegrationer, herunder deep-links fra Systemet. 
For linkintegrationer fra Systemet skal parametre automatisk kunne medsendes i URL. </t>
  </si>
  <si>
    <t>5.3.8.2.3.2.</t>
  </si>
  <si>
    <t>Systemets linkintegrationer</t>
  </si>
  <si>
    <t>Systemets linkintegrationer
Leverandøren bedes redegøre for:
•	processen for etablering af udgående linkintegrationer til eksterne systemer
•	hvilke parametre, som via linkintegrationen, kan overføres til det eksterne system 
Det vægtes positivt, at:
•	Systemet understøtter at linkintegrationer til yderligere eksterne systemer kan sættes op af Kunden via konfigurationsmuligheder i Systemet
•	der ved udgående linkintegration bibeholdes en høj andel af den faglige kontekst ved overførsel til eksterne systemer</t>
  </si>
  <si>
    <t>Baseret på input fra Bjørn-Henrik</t>
  </si>
  <si>
    <t>Bilag 2 - 5.3.8.2.3.2 - Systemets linkintegrationer.docx</t>
  </si>
  <si>
    <t>5.3.8.2.4.1.</t>
  </si>
  <si>
    <t>FilArkiv</t>
  </si>
  <si>
    <t>Arkivering af byggesager</t>
  </si>
  <si>
    <t xml:space="preserve">Arkivering af byggesager
Systemet skal kunne aflevere byggesager til arkivering i FilArkiv i ovenstående formater. Såfremt andre filtyper forsøges overført skal afvises og udløse en fejlbesked.  </t>
  </si>
  <si>
    <t>5.3.8.2.5.1.</t>
  </si>
  <si>
    <t>Integration til Fælleskommunal Sags- og dokumentindeks</t>
  </si>
  <si>
    <t>Integration til Fælleskommunal Sags- og Dokumentindeks</t>
  </si>
  <si>
    <t xml:space="preserve">Integration til Fælleskommunal Sags- og Dokumentindeks
Systemet skal integrere til det Fælleskommunale Sags- og Dokumentindeks. Sager, der oprettes i Systemet, skal overføres til Fælleskommunalt Sags- og Dokumentindeks.
Ved ændringer i Sager i Systemet skal disse opdateres i Fælleskommunalt Sags- og Dokumentindeks. 
Integrationen skal følge de til enhver tid gældende vejledninger, som er tilgængelig via digitaliseringskataloget. Nuværende version findes her: https://digitaliseringskataloget.dk/integration/sf1470 </t>
  </si>
  <si>
    <t>5.3.8.2.5.2.</t>
  </si>
  <si>
    <t>Opmærkning af sager</t>
  </si>
  <si>
    <t xml:space="preserve">Opmærkning af sager
Det skal være muligt at opmærke Sager i Systemet, så de ikke overføres til Sags- og Dokumentindekset. </t>
  </si>
  <si>
    <t>5.3.8.2.6.1</t>
  </si>
  <si>
    <t>Integration til Fælleskommunal Ledelsesinformationssystem (FLIS)</t>
  </si>
  <si>
    <t>Integration til FLIS</t>
  </si>
  <si>
    <t>Integration til FLIS
Systemet skal levere data til FLIS dagligt via SF1630 iht KOMBITs til enhver tid gældende integrationsbeskrivelse. Nuværende version kan findes her: https://digitaliseringskataloget.dk/integration/sf1630a</t>
  </si>
  <si>
    <t>5.3.8.2.7.1.1.</t>
  </si>
  <si>
    <t>Digital Post og fjernprint</t>
  </si>
  <si>
    <t>Afsendelse af Digital Post</t>
  </si>
  <si>
    <t xml:space="preserve">Afsendelse af Digital Post
Systemet skal afsende Digital Post via én af følgende integrationsmetoder:
1. Afsendelse af Digital Post foregår direkte fra Systemet via den Fælleskommunale Serviceplatform, snitflade SF1601. Integrationen skal følge de til enhver tid gældende vejledninger, som er tilgængelig via digitaliseringskataloget. Nuværende version findes her: https://digitaliseringskataloget.dk/integration/sf1601
2. Afsendelse af Digital Post foregår direkte ved integration til Digitaliseringsstyrelsens komponent for Digital Post. Integrationen skal følge de til enhver tid gældende vejledninger, som er tilgængelig via Digitaliseringsstyrelsens hjemmeside. Nuværende version findes her: https://digitaliser.dk/digital-post </t>
  </si>
  <si>
    <r>
      <rPr>
        <sz val="12"/>
        <color rgb="FF272A2C"/>
        <rFont val="Aptos"/>
        <scheme val="minor"/>
      </rPr>
      <t xml:space="preserve">this requirement says SF1601 </t>
    </r>
    <r>
      <rPr>
        <b/>
        <sz val="12"/>
        <color rgb="FF272A2C"/>
        <rFont val="Aptos"/>
        <scheme val="minor"/>
      </rPr>
      <t>OR</t>
    </r>
    <r>
      <rPr>
        <sz val="12"/>
        <color rgb="FF272A2C"/>
        <rFont val="Aptos"/>
        <scheme val="minor"/>
      </rPr>
      <t xml:space="preserve"> direct NgDP, so it is met</t>
    </r>
  </si>
  <si>
    <t>5.3.8.2.7.1.2.</t>
  </si>
  <si>
    <t>Fjernprint af breve</t>
  </si>
  <si>
    <t xml:space="preserve">Fjernprint af breve
Systemet skal afsende breve som fjernprint til borgere og virksomheder, der er fritaget for Digital Post. Afsendelsen af fjernprint af breve skal ske via Serviceplatformens snitflade SF1601. </t>
  </si>
  <si>
    <t>Tajinder</t>
  </si>
  <si>
    <t>It is planned but not yet implemented fully</t>
  </si>
  <si>
    <t>5.3.8.2.7.1.3.</t>
  </si>
  <si>
    <t>Anvendelse af MeMo-opmærkning ved afsendelse af Digital Post</t>
  </si>
  <si>
    <t xml:space="preserve">Anvendelse af MeMo-opmærkning ved afsendelse af Digital Post
Systemet skal anvende en tilstrækkelig MeMo-opmærkning således at et modtagersystem kan bruge metadata til at sortere på, og så Kunden selv kan håndtere retursvar. 
Med tilstrækkelig MeMo-opmærkning menes der, at følgende MeMo-opmærkninger anvendes, som minimum:
- MessageHeader.Label
- MessageHeader.Sender.AttentionData
- MessageHeader.Sender.ContactPointID 
- MessageHeader.Recipient.AttentionData
- MessageHeader.Recipient.ContactPointID 
- MessageHeader.ContentData
- MessageHeader.ReplyData.caseID
- MessageHeader.ReplyData.generatingSystem
- MessageHeader.ReplyData.AdditionalReplyData
- MessageHeader.ReplyData.ReplyUUID
- MessageHeader.Reply
- MessageHeader.ReplyByDateTime </t>
  </si>
  <si>
    <t>5.3.8.2.7.1.4.</t>
  </si>
  <si>
    <t>Understøttelse af ’actions’ ved afsendelse af Digital Post</t>
  </si>
  <si>
    <t xml:space="preserve">Understøttelse af ’actions’ ved afsendelse af Digital Post
Systemet skal understøtte følgende ’MeMo-actions’ ved afsendelse af Digital Post:
- links til eksterne selvbetjeningsløsninger
- links til betalingsløsninger, hvor afsenderen linker ”dybt”
- kalenderinformation, som modtager kan eksportere til egen kalender </t>
  </si>
  <si>
    <t>Tajinder would need to verify</t>
  </si>
  <si>
    <t>5.3.8.2.7.2.1.</t>
  </si>
  <si>
    <t>Modtagelse af Digital Post</t>
  </si>
  <si>
    <t xml:space="preserve">Modtagelse af Digital Post
Systemet skal modtage Digital Post via Københavns Kommunes Integrations-platform (KKI).
Integrationen skal efterleve retningslinjerne beskrevet i Bilag 2b Integration til NgDP gennem KKI. </t>
  </si>
  <si>
    <t>5.3.8.2.7.2.2.</t>
  </si>
  <si>
    <t>Anvendelse af MeMo-opmærkning ved modtagelse af Digital Post</t>
  </si>
  <si>
    <t xml:space="preserve">Anvendelse af MeMo-opmærkning ved modtagelse af Digital Post
Systemet skal anvende MeMo-formatet ved modtagelse Digital Post, 
Med anvende menes der, at Systemet automatisk håndterer meddelelser på baggrund af MeMo-indhold, f.eks. ved at journalisere et retursvar på den korrekte sag eller oprette en ny sag på baggrund af Digital Post. </t>
  </si>
  <si>
    <t>B2-20</t>
  </si>
  <si>
    <t>Kundens SIEM-system</t>
  </si>
  <si>
    <t xml:space="preserve">Hvis Systemet skal hostes eksternt, og loggen derfor skal overføres til Kunden fra eksterne leverandører, er periodisk aflevering typisk en gang i døgnet eller en gang i timen, men Kunden kan hente logs ind fra SFTP-serveren eller API'et oftere. </t>
  </si>
  <si>
    <t>5.3.8.2.8.1.</t>
  </si>
  <si>
    <t>Overførsel af logs til Kundens SIEM-system</t>
  </si>
  <si>
    <t>Overførsel af logs til Kundens SIEM-system
Transaktionslogs fra Systemet skal overføres til Kundens SIEM-system.
Logs der overføres, må maksimalt være 24 timer gamle, og skal minimum overføres én gang i døgnet.</t>
  </si>
  <si>
    <t>5.3.8.2.8.2.</t>
  </si>
  <si>
    <t>Logudtræk og logoverførsel til Kundens SIEM-system</t>
  </si>
  <si>
    <t xml:space="preserve">Logudtræk og logoverførsel til Kundens SIEM-system
Leverandøren bedes redegøre for, hvordan Logs kan overføres til Kundens SIEM- system, samt hvor ofte disse kan overføres.
Det vægtes positivt, at: 
- logudtræk i Systemet er så tæt på realtid som muligt.
- logoverførsel til Kundens SIEM-system kan gøres periodisk og jo oftere i døgnet logoverførslen sker, desto bedre.
- logs anvender tegnsæt UTF-8 </t>
  </si>
  <si>
    <t>Willy</t>
  </si>
  <si>
    <t>Baseret på input fra Willy</t>
  </si>
  <si>
    <t>Bilag 2 - 5.3.8.2.8.2 - Logudtræk og logoverførsel til Kundens SIEM-system.docx</t>
  </si>
  <si>
    <t>5.4.1.1.</t>
  </si>
  <si>
    <t>Optioner</t>
  </si>
  <si>
    <t>Integration til Kundens debitorsystem (Opus Debitor)</t>
  </si>
  <si>
    <t>Integration til Kundens debitorsystem</t>
  </si>
  <si>
    <t>Integration til Kundens debitorsystem
Systemet skal integrere til Kundens debitorsystem via Kundens SFTP-løsning, som anvendes til KMDs G19 snitflade, eller via de Fælleskommunale (FK) ØKO-løsninger. 
Ved integration til FK-ØKO, skal integrationen følge de til enhver tid gældende vejledninger, som er tilgængelig via digitaliseringskataloget. Nuværende version findes her: https://digitaliseringskataloget.dk/integrationer?f%5B0%5D=data_area%3A14&amp;f%5B1%5D=integration_type%3AData
Ved integration til G19 via Kundens SFTP-løsning, skal integrationen følge de til enhver tid gældende vejledninger, som er tilgængelige via KMD. Nuværende version findes her: https://opusintegration.kmd.dk/area/kmd-opus-debitor#c_5nl_R5S1e9eN4UqxnQrQ.</t>
  </si>
  <si>
    <t>Der er MK om at tilbyde optionen.</t>
  </si>
  <si>
    <t>5.4.2.1.</t>
  </si>
  <si>
    <t>Integration til Kundens AI-løsning til sagsunderstøttelse på byggesagsområdet</t>
  </si>
  <si>
    <t>Integration til AI Assist</t>
  </si>
  <si>
    <t>Integration til AI Assist
Systemet skal kunne integrere med kommunens AI-byggesagsløsning, AI Assist, gennem REST API. Integrationen skal gøre det muligt at overføre byggesager og dokumentreferencer fra Systemet til AI-assistent, hvor sager screenes. Systemet kunne modtage resultatet af screeninger. 
Systemet skal som minimum overføre:
•	sags-ID
•	Dokumentreferencer
•	Sagstype
•	Kommuneidentifikation
Systemet skal som minimum modtage:
•	Sags-id
•	Resultat af screening</t>
  </si>
  <si>
    <t>B1-01</t>
  </si>
  <si>
    <t>Bilag 1 - Implementering</t>
  </si>
  <si>
    <t>Overordnede leverandørforpligtelser</t>
  </si>
  <si>
    <t>Projektlederansvar for implementering</t>
  </si>
  <si>
    <t>Leverandøren har det overordnede projektlederansvar for Løsningens samlede etablering, migrering, undervisning og implementering og skal i hele forløbet udvise proaktivitet og overholde sin initiativpligt.</t>
  </si>
  <si>
    <t>B1-02</t>
  </si>
  <si>
    <t>Integration</t>
  </si>
  <si>
    <t>Obligatoriske integrationer</t>
  </si>
  <si>
    <t>Integration til BOM (Byg og Miljø – BYG)</t>
  </si>
  <si>
    <t>Leverandøren skal etablere og idriftsætte integration til den fælleskommunale portal BOM/BYG til løbende indlæsning af byggesager.</t>
  </si>
  <si>
    <t>B1-03</t>
  </si>
  <si>
    <t>Integration til Grunddata / Datafordeleren</t>
  </si>
  <si>
    <t>Leverandøren skal etablere integration til Grunddata (f.eks. Datafordeleren) til hentning af ejendoms-, adresse- og ejeroplysninger. Kunden godkender eventuelle serviceaftaler.</t>
  </si>
  <si>
    <t>B1-04</t>
  </si>
  <si>
    <t>Integration til Filarkiv</t>
  </si>
  <si>
    <t>Leverandøren skal etablere integration til langtidslagring og arkivering af afsluttede byggesager, herunder overførsel af udvalgte sager, dokumenter og metadata til Kundens filarkiv.</t>
  </si>
  <si>
    <t>Koordiner med Kaare</t>
  </si>
  <si>
    <t>B1-05</t>
  </si>
  <si>
    <t>Integration til SIEM (LogPoint)</t>
  </si>
  <si>
    <t>Leverandøren skal sikre og dokumentere, at Løsningen leverer relevante logs til opsætning af integration via SFTP eller API til Kundens SIEM-løsning (LogPoint).</t>
  </si>
  <si>
    <t>B1-06</t>
  </si>
  <si>
    <t>Integration til Adgangsstyring (FKA eller Entra ID)</t>
  </si>
  <si>
    <t>Leverandøren skal etablere integration til adgangsstyring (FKA eller Entra ID) for autorisation og autentifikation af brugere, samt bistå med udarbejdelse af rettighedsmodel.</t>
  </si>
  <si>
    <t>B1-07</t>
  </si>
  <si>
    <t>Integration til Digital Post (NgDP/KKI)</t>
  </si>
  <si>
    <t>Leverandøren skal bistå til opsætning af modtagersystem ved afsendelse af afgørelser og modtagelse af beskeder via Digital Post, herunder udveksling af certifikater og afklaring af MeMo-anvendelse.</t>
  </si>
  <si>
    <t>Just verify that we can - coordinate  with Cristina</t>
  </si>
  <si>
    <t>B1-08</t>
  </si>
  <si>
    <t>Integration til Minbyggesag.dk</t>
  </si>
  <si>
    <t>Leverandøren skal bistå til etablering af integration og løbende udstilling af sagsoplysninger og begivenheder for borgere på minbyggesag.dk.</t>
  </si>
  <si>
    <t>B1-09</t>
  </si>
  <si>
    <t>Integration til GIS (SpatialSuite)</t>
  </si>
  <si>
    <t>Leverandøren skal etablere integration med Kundens GIS-løsning (SpatialSuite) via dynamiske links.</t>
  </si>
  <si>
    <t>B1-10</t>
  </si>
  <si>
    <t>Integration til FLIS (Fælleskommunal Ledelsesinformation)</t>
  </si>
  <si>
    <t>Leverandøren skal afklare indhold af ledelsesinformation og etablere integration til FLIS via Serviceplatformen.</t>
  </si>
  <si>
    <t>B1-11</t>
  </si>
  <si>
    <t>Datamigrering</t>
  </si>
  <si>
    <t>Datamigrering fra KMD Nova</t>
  </si>
  <si>
    <t>Leverandøren er ansvarlig for migrering af ca. 152.600 sager (ca. 3,5 TB) fra KMD Nova, herunder ca. 13.600 verserende sager og ca. 139.000 afsluttede sager fra januar 2016 og frem. Data skal migreres inkl. relationer til BOM, sagsbehandlingstider og sagsfrister.</t>
  </si>
  <si>
    <t>Koordiner med Cristina</t>
  </si>
  <si>
    <t>B1-12</t>
  </si>
  <si>
    <t>Beredskabsplan og roll-back ved migrering</t>
  </si>
  <si>
    <t>Leverandøren skal udarbejde en beredskabsplan for Overtagelsesdagen, der sikrer mulighed for roll-back til KMD Nova uden datatab, såfremt den endelige migrering fejler eller kritiske fejl konstateres.</t>
  </si>
  <si>
    <t>B1-13</t>
  </si>
  <si>
    <t>Gennemførelse af Integrationsprøve</t>
  </si>
  <si>
    <t>Leverandøren skal gennemføre Integrationsprøve i et behørigt testmiljø (ikke produktionsmiljø) og fremlægge testrapport til Kundens godkendelse, inden efterfølgende prøver igangsættes.</t>
  </si>
  <si>
    <t>B1-14</t>
  </si>
  <si>
    <t>Gennemførelse af Overtagelsesprøve</t>
  </si>
  <si>
    <t>Leverandøren skal gennemføre Overtagelsesprøve med kontrol af systemopsætning, rettighedsstyring, integrationers funktionalitet og funktionelle testcases der afspejler Bilag 2. Ingen udestående A- eller B-fejl ved afslutning.</t>
  </si>
  <si>
    <t>B1-15</t>
  </si>
  <si>
    <t>Gennemførelse af Driftsprøve (30 dage)</t>
  </si>
  <si>
    <t>Leverandøren skal gennemføre en sammenhængende Driftsprøve over 30 kalenderdage inkl. belastningsprøve, løbende hypercare-support og rapportering af oppetid, svartider og fejlforekomster.</t>
  </si>
  <si>
    <t>B1-16</t>
  </si>
  <si>
    <t>Uddannelse af Kundens brugere</t>
  </si>
  <si>
    <t>Leverandøren skal levere uddannelsesforløb til brugere, tilpasset flere roller, som klasseundervisning på dansk i Kundens lokaler. Undervisningsmateriale skal tage udgangspunkt i Kundens konfigurerede processer (ikke generiske standardvejledninger) og suppleres med e-læringsmateriale.</t>
  </si>
  <si>
    <t>B1-17</t>
  </si>
  <si>
    <t>Administrative fryseperioder</t>
  </si>
  <si>
    <t>Planlægning uden om administrative fryseperioder</t>
  </si>
  <si>
    <t>Leverandøren skal planlægge udenom Kundens administrative fryseperioder: hele juli måned, 24. december til 1. januar, samt almindelige danske helligdage. Ingen vigtige leverancer, workshops eller go-live-aktiviteter i disse perioder.</t>
  </si>
  <si>
    <t>B1-18</t>
  </si>
  <si>
    <t>IT-risikovurdering</t>
  </si>
  <si>
    <t>Ibrugtagningstilladelse fra Koncern IT</t>
  </si>
  <si>
    <t>Leverandøren skal bidrage til Koncern ITs IT-risikovurdering af løsningen. Processen kan tage op til 3 måneder og kræver fremlæggelse af sikkerhedsdokumentation. Ibrugtagningstilladelse skal indhentes inden produktionssætning.</t>
  </si>
  <si>
    <t>B2A-01</t>
  </si>
  <si>
    <t>Bilag 2a - Integration til NgDP gennem KKI</t>
  </si>
  <si>
    <t>Digital Post integration</t>
  </si>
  <si>
    <t>Integration til NgDP via KKI-integrationsplatform</t>
  </si>
  <si>
    <t>Løsningen skal integrere til Nationalt Gestor for Digital Post (NgDP) via KK Integrationsplatform (KKI). Leverandøren skal understøtte afsendelse og modtagelse af Digital Post i MeMo-format og overholde de tekniske krav i snitfladebeskrivelsen.</t>
  </si>
  <si>
    <t xml:space="preserve">This is not to be answered, just verified. </t>
  </si>
  <si>
    <t>B2A-02</t>
  </si>
  <si>
    <t>Afsendelse af Digital Post via KKI</t>
  </si>
  <si>
    <t>Løsningen skal kunne afsende meddelelser til borgere og virksomheder via Digital Post (NgDP) gennem KKI-integrationsplatformen, herunder udveksling af certifikater og opsætning af kontaktpunktstruktur.</t>
  </si>
  <si>
    <t>B2A-03</t>
  </si>
  <si>
    <t>Modtagelse af Digital Post via KKI</t>
  </si>
  <si>
    <t>Løsningen skal kunne modtage beskeder fra borgere og virksomheder via Digital Post (NgDP) gennem KKI-integrationsplatformen og importere disse til relevante sager.</t>
  </si>
  <si>
    <t>B2B-01</t>
  </si>
  <si>
    <t>Bilag 2b - Logopfølgning i SIEM</t>
  </si>
  <si>
    <t>Logning og sikkerhed</t>
  </si>
  <si>
    <t>Levering af logs til KK SIEM (LogPoint)</t>
  </si>
  <si>
    <t>Løsningen skal levere relevante logs til Kundens SIEM-løsning (LogPoint) via enten fetcher (SIEM henter data i kildesystemet) eller collector (kildesystemet sender logfiler til SIEM).</t>
  </si>
  <si>
    <t>B2B-02</t>
  </si>
  <si>
    <t>Dokumentation af logsyntaks og -indhold</t>
  </si>
  <si>
    <t>Leverandøren skal dokumentere logsyntaks og logindhold, så det er muligt at redegøre for alle anvendelser af data. Logsyntaks og -indhold skal beskrives, så LogPoint kan normalisere og opsætte relevante use cases.</t>
  </si>
  <si>
    <t>B4-01</t>
  </si>
  <si>
    <t>Bilag 4 - Service Level Agreement (SLA)</t>
  </si>
  <si>
    <t>Tilgængelighed og oppetid</t>
  </si>
  <si>
    <t>Driftseffektivitet (oppetid) min. 99,00 %</t>
  </si>
  <si>
    <t>Leverandøren skal sikre minimum 99,00 % driftseffektivitet (oppetid) målt månedligt inden for Driftstiden (alle Arbejdsdage kl. 08-16). Manglende overholdelse udløser bod. Systemet skal være tilgængeligt alle ugens dage kl. 00-24.</t>
  </si>
  <si>
    <t>Johan</t>
  </si>
  <si>
    <t>Done</t>
  </si>
  <si>
    <t>B4-02</t>
  </si>
  <si>
    <t>Svartider i applikationen</t>
  </si>
  <si>
    <t>Ønsket svartid: maks. 2 sekunder (90 %)</t>
  </si>
  <si>
    <t>Mindst 90 % af alle målte simple transaktioner (opslag, søgninger, opdatering, gem) skal have en svartid på maksimalt 2 sekunder pr. kalendermåned. Bodsbelagt servicemål.</t>
  </si>
  <si>
    <t>B4-03</t>
  </si>
  <si>
    <t>Maksimal svartid: maks. 4 sekunder (95 %)</t>
  </si>
  <si>
    <t>Mindst 95 % af alle målte simple transaktioner må ikke overstige 4 sekunder svartid pr. kalendermåned. Målinger over 10 sekunder påvirker den tilgængelige Driftstid. Bodsbelagt servicemål.</t>
  </si>
  <si>
    <t>B4-04</t>
  </si>
  <si>
    <t>Support og Helpdesk</t>
  </si>
  <si>
    <t>Første respons inden 1 time (90 % af henvendelser)</t>
  </si>
  <si>
    <t>Der må maksimalt gå 1 time fra Kundens skriftlige henvendelse til første skriftlige respons med sagsnummer og foreløbig registrering. Kravet skal overholdes for mindst 90 % af alle henvendelser pr. kalendermåned. Bodsbelagt servicemål.</t>
  </si>
  <si>
    <t>B4-05</t>
  </si>
  <si>
    <t>Support via professionelt ITSM-system</t>
  </si>
  <si>
    <t>Leverandørens supportfunktion skal understøttes af et professionelt IT Service Management-system (ITSM) til registrering og sporing af sager. 2. og 3. level-support skal bemandes på alle Arbejdsdage inden for normal arbejdstid.</t>
  </si>
  <si>
    <t>B4-06</t>
  </si>
  <si>
    <t>Fejlafhjælpning</t>
  </si>
  <si>
    <t>Afhjælpning af fejl påbegyndes inden 12 timer</t>
  </si>
  <si>
    <t>Afhjælpningsarbejde skal påbegyndes senest inden for 12 timer efter Kundens fejlrapportering. Bodsbelagt servicemål. Kritisk fejl (kat. 1) løses inden 6 timer; Alvorlig fejl (kat. 2) inden 1 Arbejdsdag.</t>
  </si>
  <si>
    <r>
      <rPr>
        <sz val="12"/>
        <color rgb="FF272A2C"/>
        <rFont val="Aptos"/>
        <scheme val="minor"/>
      </rPr>
      <t xml:space="preserve">Detta är lyft till Anita i SLA genomgång 3:e Juli. Anita skulle tillsammans med Anton fundera på om vi ska ställa fråga eller ej:
Där finns en motsägelse i krav 4.4 Bemanding: </t>
    </r>
    <r>
      <rPr>
        <b/>
        <sz val="12"/>
        <color rgb="FF272A2C"/>
        <rFont val="Aptos"/>
        <scheme val="minor"/>
      </rPr>
      <t>Uden for normal arbejdstid</t>
    </r>
    <r>
      <rPr>
        <sz val="12"/>
        <color rgb="FF272A2C"/>
        <rFont val="Aptos"/>
        <scheme val="minor"/>
      </rPr>
      <t xml:space="preserve"> skal der være etableret en bemandet vagtfunktion, der har de fornødne kompetencer og beføjelser til at aktivere yderligere tekniske ressourcer inden for maksimalt 12 timer, jf. servicemålene for fejlafhjælpning.  och krav 4.6.2 Afhjælpningsarbejdet skal påbegyndes senest inden for 12 timer (Bodsbelagt servicemål). Tiden beregnes fra det øjeblik, Kunden har afsendt sin fejlrapportering til Leverandøren, </t>
    </r>
    <r>
      <rPr>
        <b/>
        <sz val="12"/>
        <color rgb="FF272A2C"/>
        <rFont val="Aptos"/>
        <scheme val="minor"/>
      </rPr>
      <t xml:space="preserve">og afhjælpningen skal foregå inden for den aftalte Driftstid.
</t>
    </r>
  </si>
  <si>
    <t>B4-07</t>
  </si>
  <si>
    <t>Backup</t>
  </si>
  <si>
    <t>Backup med adskilt opbevaring og årlig restore-test</t>
  </si>
  <si>
    <t>Leverandøren skal foretage backup af Kundens data med fysisk adskilt opbevaring fra produktionsmiljøet. Backup skal testes (restore) mindst én gang årligt, og testen skal dokumenteres for Kunden.</t>
  </si>
  <si>
    <t>Johan: Detta är för CloudOps</t>
  </si>
  <si>
    <t>B4-08</t>
  </si>
  <si>
    <t>Rapportering</t>
  </si>
  <si>
    <t>Månedlig SLA-afrapportering</t>
  </si>
  <si>
    <t>Leverandøren skal fremsende en skriftlig og retvisende rapport over opfyldelsen af alle bodsbelagte servicemål én gang månedligt. Rapporten kan alternativt gøres tilgængelig via Leverandørens ITSM-system.</t>
  </si>
  <si>
    <t>B6-01</t>
  </si>
  <si>
    <t>Bilag 6 - Databehandleraftale</t>
  </si>
  <si>
    <t>GDPR og databeskyttelse</t>
  </si>
  <si>
    <t>Behandling kun efter dokumenteret instruks</t>
  </si>
  <si>
    <t>Leverandøren (databehandler) må kun behandle personoplysninger efter dokumenteret instruks fra Kunden (dataansvarlige), medmindre EU-ret eller national ret kræver andet.</t>
  </si>
  <si>
    <t>Mandip</t>
  </si>
  <si>
    <t>Kooordiner med Viktoria</t>
  </si>
  <si>
    <t>B6-02</t>
  </si>
  <si>
    <t>Fortrolighed for medarbejdere med adgang til persondata</t>
  </si>
  <si>
    <t>Leverandøren skal sikre, at alle medarbejdere med adgang til personoplysninger er underlagt fortrolighed (enten ved aftale eller ved lovbestemt tavshedspligt).</t>
  </si>
  <si>
    <t>B6-03</t>
  </si>
  <si>
    <t>Tekniske og organisatoriske sikkerhedsforanstaltninger</t>
  </si>
  <si>
    <t>Leverandøren skal implementere passende tekniske og organisatoriske sikkerhedsforanstaltninger til beskyttelse af personoplysninger, jf. GDPR artikel 32, i overensstemmelse med instruks i Bilag C til databehandleraftalen.</t>
  </si>
  <si>
    <t>B6-04</t>
  </si>
  <si>
    <t>Underdatabehandlere skal godkendes af Kunden</t>
  </si>
  <si>
    <t>Leverandøren må kun anvende underdatabehandlere, der er godkendt af Kunden. Kunden skal orienteres om tilføjelse eller udskiftning af underdatabehandlere, og Kunden har ret til at gøre indsigelse.</t>
  </si>
  <si>
    <t>B6-05</t>
  </si>
  <si>
    <t>Underretning om brud på persondatasikkerheden inden 24 timer</t>
  </si>
  <si>
    <t>Leverandøren skal straks og senest inden 24 timer efter opdagelse af brud på persondatasikkerheden underrette Kunden skriftligt, med angivelse af brudets art, omfang og sandsynlige konsekvenser.</t>
  </si>
  <si>
    <t>B6-06</t>
  </si>
  <si>
    <t>Sletning eller returnering af data ved kontraktophør</t>
  </si>
  <si>
    <t>Ved kontraktens ophør skal Leverandøren efter Kundens valg enten slette eller returnere alle personoplysninger og bekræfte skriftligt, at sletning er sket, medmindre EU-ret eller national ret kræver fortsat opbevaring.</t>
  </si>
  <si>
    <t>B6-07</t>
  </si>
  <si>
    <t>Ret til audit og inspektion</t>
  </si>
  <si>
    <t>Kunden har ret til at foretage audit og inspektion hos Leverandøren (herunder underdatabehandlere) for at kontrollere overholdelse af databehandleraftalen. Leverandøren skal stille al nødvendig information til rådighed.</t>
  </si>
  <si>
    <t>B6-08</t>
  </si>
  <si>
    <t>Ingen overførsel til tredjelande uden godkendelse</t>
  </si>
  <si>
    <t>Leverandøren må ikke overføre personoplysninger til tredjelande eller internationale organisationer uden forudgående skriftlig godkendelse fra Kunden og sikring af et gyldigt overførselsgrundlag i henhold til GDPR kapitel V.</t>
  </si>
  <si>
    <t>Tilbudsbrevet</t>
  </si>
  <si>
    <t>Udfyld tilbudsbrevet</t>
  </si>
  <si>
    <t>Answer</t>
  </si>
  <si>
    <t>Tilbudsliste</t>
  </si>
  <si>
    <t>Udfyld Tilbudsliste (pricing)</t>
  </si>
  <si>
    <t>Priser</t>
  </si>
  <si>
    <t>Licensbetingelser</t>
  </si>
  <si>
    <t>Bilag 5 - Licensbetingelser</t>
  </si>
  <si>
    <t>Udfyld Licensbetingelser</t>
  </si>
  <si>
    <t>Underleverandør (hvis anvendes)</t>
  </si>
  <si>
    <t>Bilag 7 - Underleverandør (hvis anvendes)</t>
  </si>
  <si>
    <t>Udfyld Underleverandør (hvis anvendes)</t>
  </si>
  <si>
    <t>Egenerklæring vedrørende russiske enheder m.v.</t>
  </si>
  <si>
    <t>Bilag 14 - Egenerklæring vedrørende russiske enheder m.v.</t>
  </si>
  <si>
    <t>Udfyld Egenerklæring vedrørende russiske enheder m.v.</t>
  </si>
  <si>
    <t>Skal underskrives af Bent</t>
  </si>
  <si>
    <t>Kontrakt</t>
  </si>
  <si>
    <t/>
  </si>
  <si>
    <t>PnB</t>
  </si>
  <si>
    <t>Udfyld Tilbudsliste</t>
  </si>
  <si>
    <t>Hans</t>
  </si>
  <si>
    <t>Støtte fra Anton</t>
  </si>
  <si>
    <t>Item</t>
  </si>
  <si>
    <t>Deadline</t>
  </si>
  <si>
    <t>Tender material published</t>
  </si>
  <si>
    <t>Tors 25. juni</t>
  </si>
  <si>
    <t>done</t>
  </si>
  <si>
    <t>Material and requests sent to stakeholders</t>
  </si>
  <si>
    <t>Fre 26. juni</t>
  </si>
  <si>
    <t>Kick-off meeting</t>
  </si>
  <si>
    <t>Tirs 30. Juni</t>
  </si>
  <si>
    <t>booked</t>
  </si>
  <si>
    <t>Initial Solution Review</t>
  </si>
  <si>
    <t>Ons 2. Juli</t>
  </si>
  <si>
    <t>Initial guiding price meeting</t>
  </si>
  <si>
    <t>Fre 6 Juli</t>
  </si>
  <si>
    <t>Initial Legal review</t>
  </si>
  <si>
    <t>Initial SLA and servicegoal review</t>
  </si>
  <si>
    <t>Fre 3. Juli</t>
  </si>
  <si>
    <t>DG1</t>
  </si>
  <si>
    <t>Fre 2. Juli</t>
  </si>
  <si>
    <t>2md solution review</t>
  </si>
  <si>
    <t>7. juli</t>
  </si>
  <si>
    <t>Holidays</t>
  </si>
  <si>
    <t>Final SLA and servicegoals review</t>
  </si>
  <si>
    <t>Fre 24. juli</t>
  </si>
  <si>
    <t>Rough draft deadline</t>
  </si>
  <si>
    <t>Man 10. august</t>
  </si>
  <si>
    <t>Deadline (soft) for questions</t>
  </si>
  <si>
    <t>fre 7. august</t>
  </si>
  <si>
    <t>Disse vil blive besvaret</t>
  </si>
  <si>
    <t>Legal review</t>
  </si>
  <si>
    <t>Tors 13. august</t>
  </si>
  <si>
    <t>Finance review</t>
  </si>
  <si>
    <t>Product commitments</t>
  </si>
  <si>
    <t>Fre 14. august</t>
  </si>
  <si>
    <t>Deadline (hard) for questions</t>
  </si>
  <si>
    <t>fre 21. august</t>
  </si>
  <si>
    <t xml:space="preserve">Disse vil kun blive besvaret, hvis ikke unødigt byrdefuldt for kunden. </t>
  </si>
  <si>
    <t>Last answer from the customer</t>
  </si>
  <si>
    <t>Lør 22. august</t>
  </si>
  <si>
    <t>Send material for DG2 L2</t>
  </si>
  <si>
    <t>Man 24. august før 10</t>
  </si>
  <si>
    <t>DG2 L2</t>
  </si>
  <si>
    <t>Tirs 25. august kl. 10</t>
  </si>
  <si>
    <t>Close for Edits</t>
  </si>
  <si>
    <t>Ons 25. august kl. 12</t>
  </si>
  <si>
    <t>Hand-in</t>
  </si>
  <si>
    <t>fre 28. august inden kl. 15</t>
  </si>
  <si>
    <t>Customer response</t>
  </si>
  <si>
    <t>ukendt</t>
  </si>
  <si>
    <t>Award decision</t>
  </si>
  <si>
    <t>Go-live</t>
  </si>
  <si>
    <t>Total numer of Requirements</t>
  </si>
  <si>
    <t>Total numer of IK- Requirements</t>
  </si>
  <si>
    <t>Af alle krav</t>
  </si>
  <si>
    <t>Af IK-krav</t>
  </si>
  <si>
    <t># of requirements</t>
  </si>
  <si>
    <t>%</t>
  </si>
  <si>
    <t>Reviewed - Content</t>
  </si>
  <si>
    <t>Reviewed - Format</t>
  </si>
  <si>
    <t>Total</t>
  </si>
  <si>
    <t>Missing</t>
  </si>
  <si>
    <t># of Requirements</t>
  </si>
  <si>
    <t>Jan Olav</t>
  </si>
  <si>
    <t>Tone</t>
  </si>
  <si>
    <t>Relates to requirement ID</t>
  </si>
  <si>
    <t>Sender</t>
  </si>
  <si>
    <t>Question</t>
  </si>
  <si>
    <t>Sent Date</t>
  </si>
  <si>
    <t>Received Date</t>
  </si>
  <si>
    <t xml:space="preserve"> 5.1.3.1</t>
  </si>
  <si>
    <t>Tieto</t>
  </si>
  <si>
    <t>Kan Ordregiver oplyse:
1. Estimeret datamængde i KMD Nova der skal migreres (antal sager og dokumenter)?
2. Datamodel eller eksportformat fra KMD Nova?
3. Om der gælder krav til bevarelse af sagsbehandlingstider og frister ved migrering til den nye løsning?</t>
  </si>
  <si>
    <t xml:space="preserve"> 5.2.1.2</t>
  </si>
  <si>
    <t>Kravet angiver at Løsningen skal kalde "et andet system" til konfliktsøgning (GIS, robot eller AIløsning), men specificerer ikke hvilket konkret system der menes. Bilag 1 nævner GIS (SpatialSuite) via dynamiske links, men konfliktsøgning via eksternt systemkald er ikke nærmere beskrevet. Kan Ordregiver præcisere: 
1. Om konfliktsøgningen skal ske via GIS (SpatialSuite), et
dedikeret robot-/AI-system, eller andet?
2. Om der eksisterer en snitfladebeskrivelse for dette system?</t>
  </si>
  <si>
    <t xml:space="preserve"> 5.2.11.1</t>
  </si>
  <si>
    <t>Kravet refererer til "krav ovenfor" om sagsbehandlingstid uden at specificere præcist hvilke krav der menes. Kan Ordregiver præcisere hvilke konkrete krav der refereres til? Foreligger der en formel definition af sagsbehandlingstid med start- og stopkriterier der gælder for alle sagstyper i KK's kontekst?</t>
  </si>
  <si>
    <t xml:space="preserve"> 5.3.7.1.6</t>
  </si>
  <si>
    <t>Det fjerde bullet point under kravet til Systemets rettighedsmodel ser ud til at være trunkeret.
Teksten lyder: "understøtter dataafgrænsning på baggrund af sagstyper, f.eks. baseret".
Sætningen slutter her uden videre indhold. Kan Ordregiver fremsende den fuldstændige kravtekst for dette bullet point? Hvad er de konkrete dataafgrænsningsparametre som Systemet skal understøtte (fx sagsstatus, sagstype, enhed, geografisk afgrænsning eller andet)?</t>
  </si>
  <si>
    <t xml:space="preserve"> 5.3.7.1.7</t>
  </si>
  <si>
    <t>"Dataafgrænsningsparameteret" nævnes som grundlag for rettighedsmodellen. Bilag 1 angiver at adgangsstyring sker via "FKA eller Entra ID". Kan Ordregiver præcisere om
"dataafgrænsningsparameteret" er et specifikt felt eller attribut i FKA/Entra ID, og i givet fald fremsende den relevante del af rollemodellen der definerer dette parameter?</t>
  </si>
  <si>
    <t>5.4.1.1</t>
  </si>
  <si>
    <t>Optionskravet om Opus Debitor angiver to alternative integrationsmetoder (FK-ØKO eller KMD G19
via SFTP), men specificerer ikke hvilken KK foretrækker. Ønsker Ordregiver at Leverandøren tilbyder begge integrationsmetoder?</t>
  </si>
  <si>
    <t>5.2.4.3 [IK]
5.2.2.1 [IK]
5.3.8.1.2 [IK]
5.3.8.1.4 [K]
5.3.8.2.2.1 [MK]
5.3.5.2 [IK]</t>
  </si>
  <si>
    <t>Følgende krav i Bilag 2 indeholder brede formuleringer:
- 5.2.4.3 [IK]
- 5.2.2.1 [IK]
- 5.3.8.1.2 [IK]
- 5.3.8.1.4 [K]
- 5.3.8.2.2.1 [MK]
- 5.3.5.2 [IK]
Leverandøren  anmoder om præcisering af scope på følgende punkter:
1. Krav 5.2.4.3: Hvad definerer "alle relevante sagsdata", og foreligger der en fuldstændig liste over de datafelter der skal kunne søges på?
2. Krav 5.3.8.1.2 og 5.3.8.1.4: Hvad forstås ved "uden begrænsning" i forbindelse med udstilling af data via API?
3. Krav 5.3.8.2.2.1: Skal samtlige ni grunddataregistre (CPR, CVR, BBR, Ejerfortegnelse, Matriklen, Ejendomsbeliggenhed, DAR, Danske stednavne, Ejendomsvurderinger) være fuldt integreret ved Overtagelsesdagen, eller er der en prioriteret rækkefølge?
4. Krav 5.2.2.1: Daglig opdatering af ejendomsdata på "alle verserende sager" kan udgøre et massivt load. Kan Ordregiver oplyse det forventede maksimale antal samtidige verserende sager som opdateringen skal køre på?</t>
  </si>
  <si>
    <t>Opfordringsskrivelse og Bilag 2</t>
  </si>
  <si>
    <t>I Opfordringsskrivelsen angives det, at vægtningen mellem områderne er som følger: 
- Implementering, installation og konfigurering: 2 = op til 20 point
- Funktionalitet: 5 = op til 50 point
- Uddannelse: 3 = op til 30 point.
I bilag 2 - krvasspecifikation er der dog angivet følgende opdeling:
- Tidsplan: 15% 
- Opfyldelse af forretningsmål: 85%.
Dette virker som modsætninger. Kan kunden specificere hvilket forhold, der er gældende?</t>
  </si>
  <si>
    <t>Opfordringsskrivelse</t>
  </si>
  <si>
    <t>Tilbudsfristen er fastsat til 28. august 2026 kl. 15.00, og spørgsmålsfristen til 21. august 2026 kl. 23.59.
Tilbudsmaterialet er omfattende og indeholder detaljerede krav til besvarelse af 61 informationskrav samt væsentlige krav til dokumentation, prissætning og implementeringsplanlægning.
En forlængelse af tilbudsfristen med 2-3 uger vil give tilbudsgiverne bedre mulighed for at udarbejde gennemarbejdede og velunderbyggede tilbud med høj kvalitet. Det vil samtidig give Ordregiver et stærkere grundlag for evalueringen gennem mere fyldestgørende beskrivelser, mere gennemtænkte implementeringsplaner og et mere retvisende sammenligningsgrundlag mellem tilbuddene.
Vil Ordregiver på den baggrund overveje at forlænge tilbudsfristen med 2-3 uger?</t>
  </si>
  <si>
    <t>I gennemgangen af udbudsmaterialet har Tilbudsgiver konstateret en tilsyneladende uoverensstemmelse mellem beskrivelsen af pointberegningen i henholdsvis Bilag 2 afsnit 3 og Opfordringsskrivelsen pkt. 8.1.1.
Bilag 2 afsnit 3 angiver, at hvert krav er tildelt en faktor, der udtrykker den vægtning kravet indgår med i beregningen af den samlede score for det pågældende delkriterie. Dette indebærer en faktor-vægtet gennemsnitsberegning.
Opfordringsskrivelsen pkt. 8.1.1 angiver derimod, at Ordregiver "beregner gennemsnittet af de tildelte point", og det illustrerende eksempel viser et simpelt, uvejet gennemsnit uden anvendelse af faktorer.
Tilbudsgiver bemærker herudover, at eksemplet i Opfordringsskrivelsen refererer til kravnumre (herunder 5.1.4.1 og 5.1.5.1), der ikke ses at fremgå af Bilag 2, ligesom de delkriterie-vægte der anvendes i eksemplets afsluttende beregning (3/4/3) afviger fra de vægte der fremgår af evalueringstabellen (2/5/3).
Vil det være muligt for Ordregiver at angive om pointberegningen inden for hvert kvalitetskriterium foretages som en faktor-vægtet gennemsnitsberegning i overensstemmelse med Bilag 2 afsnit 3, eller som et simpelt uvejet gennemsnit i overensstemmelse med eksemplet i Opfordringsskrivelsen?</t>
  </si>
  <si>
    <t>Bilag 2</t>
  </si>
  <si>
    <t>Kravspecifikationen beskriver, at løsningen skal understøtte flere forskellige sagstyper, men angiver ikke omfanget af den nuværende eller forventede fremtidige anvendelse.
Vil Ordregiver oplyse:
hvor mange forskellige sagstyper der aktuelt anvendes i den eksisterende løsning,
hvor mange af disse der forventes migreret til den nye løsning ved idriftsættelse,
om Ordregiver forventer, at antallet af sagstyper vil blive udvidet i kontraktperioden, og i givet fald i hvilket omtrentligt omfang?
Disse oplysninger vil give tilbudsgiverne et bedre grundlag for at vurdere omfanget af konfiguration, migrering og den fremtidige vedligeholdelse af sagstyperne.</t>
  </si>
  <si>
    <t>Ordregiver har tildelt to forskellige informationskrav samme krav-id 5.3.5.2, selv om de vedrører forskellige emner:
Vedhæftede filtyper
Håndtering af kompromitterende indhold
Kan Ordregiver bekræfte, at der er tale om en redaktionel fejl, og oplyse den korrekte krav-id for de to informationskrav, så der ikke opstår tvivl ved henvisninger i tilbudsbesvarelsen?</t>
  </si>
  <si>
    <t>Kravet angiver, at alle logs skal påføres korrekt tidspunkt i UTC.
Københavns Kommune er i lokal dansk tid, hvilket er UTC +1 (+2 i sommertid).
Kan Ordregiver oplyse baggrunden for kravet om UTC-tidsstempling? 
Vil Ordregiver acceptere, at logs tidsstemples i lokal dansk tid?
Alternativt, hvis Ordregiver fastholder UTC som krav, bedes det bekræftet, at logvisninger og øvrige brugergrænseflader gerne må præsentere tidspunkter i lokal dansk tid, mens de underliggende logdata lagres i UTC.</t>
  </si>
  <si>
    <t>Bilag 4, afsnit 4.6.3</t>
  </si>
  <si>
    <t>Kan Ordregiver bekræfte, at kravet til løsningstid i afsnit 4.6.3 anses for opfyldt, når normal systemdrift er genetableret, herunder ved anvendelse af en dokumenteret workaround eller anden midlertidig løsning, og at hændelsen dermed anses for løst i SLA-mæssig henseende, selv om Leverandøren fortsat arbejder på en permanent rettelse, som leveres i en efterfølgende version?</t>
  </si>
  <si>
    <t>Bilag 4, afsnit 7</t>
  </si>
  <si>
    <t>For at sikre et proportionalt og bæredygtigt bodsregime anbefaler Leverandøren, at der indføres et samlet månedligt loft over bod efter Bilag 4 (SLA).
Kontrakten indeholder allerede lofter over bod for forsinkelse (20 %) og manglende udlevering (30 %), jf. pkt. 17.3 og pkt. 33.2.6. Disse lofter afspejler en anerkendelse af, at bod bør stå i rimeligt forhold til det underliggende kontraktforhold. Bilag 4 indeholder imidlertid intet tilsvarende akkumuleret loft, hvilket betyder, at samtidige brud på flere servicemål i princippet kan udløse bod svarende til et multiplum af det månedlige servicevederlag. En sådan eksponering er ikke proportional med den faktiske skade, Kunden lider, og modsvares heller ikke af tilsvarende ubegrænsede incitamenter i den modsatte retning.
Et akkumuleret bod uden loft indebærer endvidere, at Leverandøren er nødt til at prissætte en betydelig risikomargin ind i servicevederlaget for at afdække en eksponering, der i princippet er ubegrænset. Denne buffer betaler Kunden for, uanset om den ekstraordinære eksponering materialiserer sig. Et månedligt loft fjerner dermed ikke incitamentet til overholdelse, men reducerer den uforudsigelige risikoeksponering, som ellers nødvendigvis vil afspejle sig i prisen.
Et månedligt cap på fx 30 % af servicevederlaget vil fortsat udgøre en betydelig og reelt sanktionierende bod, der fastholder det nødvendige incitament til overholdelse af servicemålene, uden at skabe en eksponering, der går videre end formålet med bodsbestemmelserne.
Vil Ordregiver acceptere, at den samlede bod efter Bilag 4 (SLA) i en kalendermåned maksimalt kan udgøre 30 % af det månedlige servicevederlag?</t>
  </si>
  <si>
    <t>Kontrakten</t>
  </si>
  <si>
    <t>Spørgsmål vedrørende erstatningsloft og databeskyttelsesretligt ansvar
Kontraktens pkt. 21.1 fastsætter et erstatningsloft på DKK 5.000.000, men undtager udtrykkeligt Leverandørens manglende overholdelse af databeskyttelseslovgivningen fra dette loft. Det betyder, at erstatningsansvaret ved overtrædelse af databeskyttelsesreglerne i princippet er ubegrænset.
En ubegrænset eksponering for databeskyttelsesretlige krav er ikke proportional med det underliggende kontraktforhold og svarer ikke til markedspraksis for tilsvarende it-kontrakter i den offentlige sektor. Tilbudsgiver er endvidere underlagt Datatilsynets selvstændige håndhævelse og Kundens eventuelle bødepåbud i medfør af databeskyttelsesforordningen, hvilket i sig selv udgør en betydelig og reel sanktionsrisiko uden for kontrakten. En ubegrænset kontraktuel eksponering herudover medfører, at Tilbudsgiver nødvendigvis må indregne en betydelig risikomargin i prissætningen, som Kunden betaler uanset om risikoen materialiserer sig.
Det er endvidere ikke muligt for Leverandøren at forsikre sig fuldt ud imod dette ansvar. Markedet for cyberansvarsforsikring opererer med definerede dækningslofter, og et ubegrænset kontraktuelt ansvar vil enten falde uden for forsikringsdækningens rammer eller alene kunne dækkes mod uforholdsmæssigt høje præmier. Seriøse leverandører vil derfor have vanskeligt ved at afgive tilbud i udbuddet, da de ved at acceptere sådanne vilkår ikke alene risikerer at skulle betale meget betydelige erstatningsbeløb, men også risikerer at bringe virksomhedens fortsatte drift i fare. De leverandører, som vælger at afgive tilbud på disse vilkår, har enten ikke forstået den risiko, de påtager sig, eller accepterer en risiko, som de reelt ikke vil kunne bære, hvis der opstår en situation, hvor der skal betales erstatning.
Tilbudsgiver bemærker i den forbindelse, at databeskyttelsesforordningens artikel 82 og 83 i sig selv regulerer det civilretlige erstatningsansvar og de administrative bøder, der kan pålægges den part, som ikke har opfyldt sine retlige forpligtelser. En yderligere ubegrænset kontraktuel eksponering er på denne baggrund ikke nødvendig for at sikre Kundens interesser.
Vil Ordregiver acceptere, at erstatningsloftet i pkt. 21.1 også finder anvendelse på krav, der udspringer af Leverandørens manglende overholdelse af databeskyttelseslovgivningen, dog med undtagelse af tilfælde, der kan henføres til grov uagtsomhed eller forsætlige forhold hos Leverandøren?</t>
  </si>
  <si>
    <t>Req ID</t>
  </si>
  <si>
    <t>Included</t>
  </si>
  <si>
    <t>Non-standard element</t>
  </si>
  <si>
    <t>Effect if not included</t>
  </si>
  <si>
    <t>Issue description</t>
  </si>
  <si>
    <t>Committer</t>
  </si>
  <si>
    <t>Comitted date</t>
  </si>
  <si>
    <t>Conditions for commitment</t>
  </si>
  <si>
    <t>Describe</t>
  </si>
  <si>
    <t>Disqualification/Non-conditional</t>
  </si>
  <si>
    <t>Issue as we don't have this solution</t>
  </si>
  <si>
    <t>Name</t>
  </si>
  <si>
    <t>Conditional upon winning.</t>
  </si>
  <si>
    <t>Risk Element</t>
  </si>
  <si>
    <t>Severity</t>
  </si>
  <si>
    <t>Mitigation</t>
  </si>
  <si>
    <t>Decision</t>
  </si>
  <si>
    <t>Decider</t>
  </si>
  <si>
    <t>Decision date</t>
  </si>
  <si>
    <t>Conditions for Approval</t>
  </si>
  <si>
    <t>Reporter</t>
  </si>
  <si>
    <t>High</t>
  </si>
  <si>
    <t>Issue as we may risk fines</t>
  </si>
  <si>
    <t>Buffer in price</t>
  </si>
  <si>
    <t>Go-ahead - dependent upon mitigation</t>
  </si>
  <si>
    <t>Actions in mitigation must be done.</t>
  </si>
  <si>
    <t>Medium</t>
  </si>
  <si>
    <t>Big risk of scope creep</t>
  </si>
  <si>
    <t>Clear statement of work in Clarification phase</t>
  </si>
  <si>
    <t>Go ahead - attempt to mitigate</t>
  </si>
  <si>
    <t>Attempt to mitigate, but go ahead, even if unsuccessful.</t>
  </si>
  <si>
    <t>Low</t>
  </si>
  <si>
    <t>We can be sued</t>
  </si>
  <si>
    <t>We add a line in the contract.</t>
  </si>
  <si>
    <t>This is a very unlikely scenario.</t>
  </si>
  <si>
    <t>Go ahead - disregard risk</t>
  </si>
  <si>
    <t>As it is unlikely - we take the risk.</t>
  </si>
  <si>
    <t>We are unable to meet requirement</t>
  </si>
  <si>
    <t>We build a new module</t>
  </si>
  <si>
    <t>Their budget is not big enough for this.</t>
  </si>
  <si>
    <t>No bid</t>
  </si>
  <si>
    <t>Reason for increased cost</t>
  </si>
  <si>
    <t>Estimated increase in cost</t>
  </si>
  <si>
    <t>Estimator</t>
  </si>
  <si>
    <t>Estimation date</t>
  </si>
  <si>
    <t>Included in pricing</t>
  </si>
  <si>
    <t>Estimation - DKK or EUR value and/or ressource use.</t>
  </si>
  <si>
    <t>Link to Price Model:</t>
  </si>
  <si>
    <t>Modules total price:</t>
  </si>
  <si>
    <t>Estimates for delivery:</t>
  </si>
  <si>
    <r>
      <t>Fra Datafordeleren kan Kunden trække</t>
    </r>
    <r>
      <rPr>
        <sz val="9.5"/>
        <color theme="1"/>
        <rFont val="Cambria"/>
        <family val="1"/>
      </rPr>
      <t> </t>
    </r>
    <r>
      <rPr>
        <sz val="9.5"/>
        <color theme="1"/>
        <rFont val="KBH Tekst"/>
      </rPr>
      <t>på data på en priseffektiv og standardiseret måde. Kunden betaler ikke for brugen af Datafordeleren, som har en fast pris pr. borger (også kaldet buffetprisen/flatrate) for anvendelsen af en service. Der er enkelte services, såsom direkte online opslag på en CPR-service, hvor der ved brug af integrationen er en omkostning pr. opslag.</t>
    </r>
  </si>
  <si>
    <t>betyder dette at vi skal indregne det i prisen?</t>
  </si>
  <si>
    <t>Område</t>
  </si>
  <si>
    <t>Mål</t>
  </si>
  <si>
    <t>Værdi</t>
  </si>
  <si>
    <t>Enhed</t>
  </si>
  <si>
    <t>Procent af tiden</t>
  </si>
  <si>
    <t>Bod</t>
  </si>
  <si>
    <t>Maksimal Bod</t>
  </si>
  <si>
    <t>Kommentar</t>
  </si>
  <si>
    <t>Tilgængelighed og oppetid (Driftseffektivitet)</t>
  </si>
  <si>
    <t>Minimum 99,00 %</t>
  </si>
  <si>
    <t>10% af månedlig pris pr. påbegyndt procentpoint under 99,00%</t>
  </si>
  <si>
    <t>30% af månedlig pris</t>
  </si>
  <si>
    <t>Vedligeholdelse</t>
  </si>
  <si>
    <t>Vedligeholdelse affødt af ændringer i Kundens andre systemer, som Løsningen kommunikerer med, kan efter aftale med Kunden udløse kompensation herfor, jf. Bilag 3 (Priser og betalingsplan), efter dokumenteret medgået tid.</t>
  </si>
  <si>
    <r>
      <t xml:space="preserve">Afhjælpning skal påbegyndes inden 12 timer. Max antal samtidige uløste fejl: 
</t>
    </r>
    <r>
      <rPr>
        <b/>
        <sz val="12"/>
        <color theme="1"/>
        <rFont val="Aptos"/>
        <family val="2"/>
        <scheme val="minor"/>
      </rPr>
      <t>Kat. 1</t>
    </r>
    <r>
      <rPr>
        <sz val="12"/>
        <color theme="1"/>
        <rFont val="Aptos"/>
        <family val="2"/>
        <scheme val="minor"/>
      </rPr>
      <t xml:space="preserve">: 5 stk., løsningstid: 6 timer
</t>
    </r>
    <r>
      <rPr>
        <b/>
        <sz val="12"/>
        <color theme="1"/>
        <rFont val="Aptos"/>
        <family val="2"/>
        <scheme val="minor"/>
      </rPr>
      <t>Kat. 2:</t>
    </r>
    <r>
      <rPr>
        <sz val="12"/>
        <color theme="1"/>
        <rFont val="Aptos"/>
        <family val="2"/>
        <scheme val="minor"/>
      </rPr>
      <t xml:space="preserve"> 12 stk., Løsningstid: 1 arbejdsdag
</t>
    </r>
    <r>
      <rPr>
        <b/>
        <sz val="12"/>
        <color theme="1"/>
        <rFont val="Aptos"/>
        <family val="2"/>
        <scheme val="minor"/>
      </rPr>
      <t>Kat. 3</t>
    </r>
    <r>
      <rPr>
        <sz val="12"/>
        <color theme="1"/>
        <rFont val="Aptos"/>
        <family val="2"/>
        <scheme val="minor"/>
      </rPr>
      <t xml:space="preserve">: 30 stk., 7 arbejdsdage
</t>
    </r>
    <r>
      <rPr>
        <b/>
        <sz val="12"/>
        <color theme="1"/>
        <rFont val="Aptos"/>
        <family val="2"/>
        <scheme val="minor"/>
      </rPr>
      <t>Kat. 4:</t>
    </r>
    <r>
      <rPr>
        <sz val="12"/>
        <color theme="1"/>
        <rFont val="Aptos"/>
        <family val="2"/>
        <scheme val="minor"/>
      </rPr>
      <t xml:space="preserve"> 60 stk., 30 arbejdsdage
</t>
    </r>
    <r>
      <rPr>
        <b/>
        <sz val="12"/>
        <color theme="1"/>
        <rFont val="Aptos"/>
        <family val="2"/>
        <scheme val="minor"/>
      </rPr>
      <t>Kat. 5:</t>
    </r>
    <r>
      <rPr>
        <sz val="12"/>
        <color theme="1"/>
        <rFont val="Aptos"/>
        <family val="2"/>
        <scheme val="minor"/>
      </rPr>
      <t xml:space="preserve"> 90 stk. 3 måneder</t>
    </r>
  </si>
  <si>
    <t>timer</t>
  </si>
  <si>
    <t>5% af månedlig pris ved overskridelse af påbegyndelse eller af max. antal uløste fejl</t>
  </si>
  <si>
    <t>Max 5% samlet for begge triggere i samme måned</t>
  </si>
  <si>
    <t>Underlægger kun en bod max, lige meget hvor mange parametre, vi overskrider</t>
  </si>
  <si>
    <t>Svartider</t>
  </si>
  <si>
    <r>
      <t>Måles kun på simple transaktioner.</t>
    </r>
    <r>
      <rPr>
        <b/>
        <sz val="12"/>
        <color theme="1"/>
        <rFont val="Aptos"/>
        <family val="2"/>
        <scheme val="minor"/>
      </rPr>
      <t xml:space="preserve">
Ønsket svartid: </t>
    </r>
    <r>
      <rPr>
        <sz val="12"/>
        <color theme="1"/>
        <rFont val="Aptos"/>
        <family val="2"/>
        <scheme val="minor"/>
      </rPr>
      <t xml:space="preserve">
maks. 2 sek. for 90% af transaktioner. </t>
    </r>
  </si>
  <si>
    <t>sek</t>
  </si>
  <si>
    <t>0,1% af månedlig pris ved overskridelse af ét eller begge mål. Overstiger gennemsnit 10 sek. fratrækkes desuden 1,0 procentpoint fra driftseffektiviteten</t>
  </si>
  <si>
    <t>Ikke særskilt angivet</t>
  </si>
  <si>
    <t>Simple transaktioner er f.eks. simple databaseopslag, søgninger, opdatering af skærmbilleder samt lagring af indtastede data. 
Ville vi også kalde disse "simple"?</t>
  </si>
  <si>
    <r>
      <t xml:space="preserve">Måles kun på simple transaktioner.
</t>
    </r>
    <r>
      <rPr>
        <b/>
        <sz val="12"/>
        <color theme="1"/>
        <rFont val="Aptos"/>
        <family val="2"/>
        <scheme val="minor"/>
      </rPr>
      <t xml:space="preserve">Maksimal svartid: </t>
    </r>
    <r>
      <rPr>
        <sz val="12"/>
        <color theme="1"/>
        <rFont val="Aptos"/>
        <family val="2"/>
        <scheme val="minor"/>
      </rPr>
      <t xml:space="preserve">
maks. 4 sek. for 95% af transaktioner</t>
    </r>
  </si>
  <si>
    <t>Support / Helpdesk</t>
  </si>
  <si>
    <t>Første respons inden 1 time for min. 90% af henvendelser pr. måned</t>
  </si>
  <si>
    <t>time</t>
  </si>
  <si>
    <t>1% af månedlig pris</t>
  </si>
  <si>
    <t>Månedlig SLA-rapport skal være rettidig, fuldstændig og korrekt</t>
  </si>
  <si>
    <t>0,5% af månedlig pris pr. påbegyndt arbejdsdag overskridelsen varer</t>
  </si>
  <si>
    <t>5% af månedlig pris</t>
  </si>
  <si>
    <t>Manglende dataudlevering ved kontraktophør</t>
  </si>
  <si>
    <t>Leverandøren skal udlevere data inden fastsat frist (i tidsplanen, angivet af os).</t>
  </si>
  <si>
    <t>0,25% pr. arbejdsdag af samme grundlag som forsinkelse</t>
  </si>
  <si>
    <t>30% af samme grundlag</t>
  </si>
  <si>
    <t>Forsinkelse (implementering)</t>
  </si>
  <si>
    <t>Detaljeret tidsplan må ikke overskrides med ≥20%</t>
  </si>
  <si>
    <t>0,25% pr. arbejdsdag af: 
- anskaffelsesvederlag + - 12 mdr. 
support/drift/vedligehold + 12 mdr. licensvederlag</t>
  </si>
  <si>
    <t>20% af samme grundlag</t>
  </si>
  <si>
    <t>Tilbageholdelse ved Overtagelsesprøven (pkt. 13)</t>
  </si>
  <si>
    <t>Hvis der ved Overtagelsesprøven konstateres fejl, der ikke hindrer godkendelse, tilbageholdes 20% af vederlaget for godkendelse, indtil fejlene er afhjulpet. Det er ikke bod, men har samme likviditetseffekt for Leverandøren.</t>
  </si>
  <si>
    <t>Forholdsmæssigt afslag (pkt. 18.2)</t>
  </si>
  <si>
    <t>Hvis en mangel ikke er afhjulpet inden for rimelig tid og medfører en værdiforringelse, kan Kunden kræve forholdsmæssigt afslag. Der er intet loft. Det kan kumuleres med bod, hvis Kunden kan dokumentere et tab ud over det allerede betalte bodsbeløb.</t>
  </si>
  <si>
    <t>Audit på Leverandørens regning (pkt. 12)</t>
  </si>
  <si>
    <t>Hvis audit afslører kontraktbrud, skal Leverandøren ikke blot afhjælpe manglerne vederlagsfrit, men tillige afholde samtlige omkostninger til auditøren. Det er en direkte finansiel sanktion uden betegnelsen "bod."</t>
  </si>
  <si>
    <t>Tredjemandsanalyse på Leverandørens regning (pkt. 18.1)</t>
  </si>
  <si>
    <t>Hvis Leverandøren tre gange inden for seks måneder ifalder bod for den samme fejl, kan Kunden lade en uvildig tredjepart analysere løsningen. Leverandøren betaler. Sker dette på toppen af den løbende SLA-bod.</t>
  </si>
  <si>
    <t>Modregning (pkt. 13)</t>
  </si>
  <si>
    <t>Kunden kan til enhver tid modregne ethvert tilgodehavende i Leverandørens vederlag, herunder erstatningskrav, afslag og bod. Modregning er ikke en selvstændig sanktion, men forstærker de øvrige mekanismers praktiske virkning markant.</t>
  </si>
  <si>
    <t>Tilbagebetalingspligt ved ophævelse før Driftsprøve (pkt. 19.2)</t>
  </si>
  <si>
    <t>Ved ophævelse inden godkendt Driftsprøve skal Leverandøren tilbagebetale alle betalte vederlag med tillæg af påløbne bodsbeløb og erstatning. I praksis en total risikoeksponering uden loft i den tidlige fase.</t>
  </si>
  <si>
    <t>Erstatning uden for erstatningsloftet (pkt. 21.1)</t>
  </si>
  <si>
    <t>Erstatningsloftet på DKK 5M gælder ikke ved krænkelse af tredjemands rettigheder eller ved brud på databeskyttelseslovgivningen. Her er der ubegrænset erstatningseksponering.</t>
  </si>
  <si>
    <t>K-krav</t>
  </si>
  <si>
    <t>10 point pr. krv.</t>
  </si>
  <si>
    <t>Opfyldelse af forretningsmål (85%)</t>
  </si>
  <si>
    <t>Faktor lægger vægten</t>
  </si>
  <si>
    <t>Vægtning</t>
  </si>
  <si>
    <t>Kvalitetspoint</t>
  </si>
  <si>
    <t>antal krav</t>
  </si>
  <si>
    <t>Simpel vægt pr. point</t>
  </si>
  <si>
    <t>Antal krav med faktor 1</t>
  </si>
  <si>
    <t>Antal krav med faktor 2</t>
  </si>
  <si>
    <t>Vægt for faktor 1-krav</t>
  </si>
  <si>
    <t>Vægt for faktor 2-krav</t>
  </si>
  <si>
    <t>Implementering, installation og konfigurering</t>
  </si>
  <si>
    <t>Funktionalitet</t>
  </si>
  <si>
    <t>Når alle krav under et kvalitetskriterium er vurderet, beregner Ordregiver gennemsnittet af de tildelte point. Dette gennemsnit udgør tilbudsgivers endelige pointscore for det pågældende kvalitetskriterium. Hvis gen-nemsnittet bliver et decimaltal, rundes det op eller ned til det nærmeste hele tal ud fra de første to decimaler.</t>
  </si>
  <si>
    <t>Dette betyder, at hvis vi kan lægge det på ,5 frem for ,4, så skal det ske.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</si>
</sst>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2"/>
      <color theme="1"/>
      <name val="Aptos"/>
      <family val="2"/>
      <scheme val="minor"/>
    </font>
    <font>
      <sz val="11"/>
      <color theme="1"/>
      <name val="Aptos"/>
      <family val="2"/>
      <scheme val="minor"/>
    </font>
    <font>
      <b/>
      <sz val="12"/>
      <color theme="1"/>
      <name val="Aptos"/>
      <family val="2"/>
      <scheme val="minor"/>
    </font>
    <font>
      <b/>
      <sz val="12"/>
      <color theme="0"/>
      <name val="Aptos"/>
      <family val="2"/>
      <scheme val="minor"/>
    </font>
    <font>
      <sz val="12"/>
      <color theme="1"/>
      <name val="Aptos"/>
      <family val="2"/>
      <scheme val="minor"/>
    </font>
    <font>
      <sz val="8"/>
      <name val="Aptos"/>
      <family val="2"/>
      <scheme val="minor"/>
    </font>
    <font>
      <b/>
      <i/>
      <sz val="12"/>
      <color theme="1"/>
      <name val="Aptos"/>
      <family val="2"/>
      <scheme val="minor"/>
    </font>
    <font>
      <i/>
      <sz val="12"/>
      <color theme="1"/>
      <name val="Aptos"/>
      <family val="2"/>
      <scheme val="minor"/>
    </font>
    <font>
      <b/>
      <sz val="12"/>
      <name val="Aptos"/>
      <family val="2"/>
      <scheme val="minor"/>
    </font>
    <font>
      <u/>
      <sz val="12"/>
      <color theme="10"/>
      <name val="Aptos"/>
      <family val="2"/>
      <scheme val="minor"/>
    </font>
    <font>
      <sz val="9.5"/>
      <color theme="1"/>
      <name val="KBH Tekst"/>
    </font>
    <font>
      <sz val="9.5"/>
      <color theme="1"/>
      <name val="Cambria"/>
      <family val="1"/>
    </font>
    <font>
      <sz val="12"/>
      <color theme="2" tint="-0.499984740745262"/>
      <name val="Aptos"/>
      <family val="2"/>
      <scheme val="minor"/>
    </font>
    <font>
      <sz val="12"/>
      <color rgb="FFFF0000"/>
      <name val="Aptos"/>
      <family val="2"/>
      <scheme val="minor"/>
    </font>
    <font>
      <b/>
      <sz val="12"/>
      <color rgb="FFFF0000"/>
      <name val="Aptos"/>
      <family val="2"/>
      <scheme val="minor"/>
    </font>
    <font>
      <b/>
      <sz val="12"/>
      <color rgb="FFFFC000"/>
      <name val="Aptos"/>
      <family val="2"/>
      <scheme val="minor"/>
    </font>
    <font>
      <sz val="12"/>
      <color rgb="FF272A2C"/>
      <name val="Aptos"/>
      <scheme val="minor"/>
    </font>
    <font>
      <b/>
      <sz val="12"/>
      <color rgb="FF272A2C"/>
      <name val="Aptos"/>
      <scheme val="minor"/>
    </font>
    <font>
      <sz val="12"/>
      <color rgb="FF272A2C"/>
      <name val="Aptos"/>
      <family val="2"/>
      <scheme val="minor"/>
    </font>
  </fonts>
  <fills count="10">
    <fill>
      <patternFill patternType="none"/>
    </fill>
    <fill>
      <patternFill patternType="gray125"/>
    </fill>
    <fill>
      <patternFill patternType="solid">
        <fgColor theme="2"/>
        <bgColor indexed="64"/>
      </patternFill>
    </fill>
    <fill>
      <patternFill patternType="solid">
        <fgColor theme="7"/>
        <bgColor indexed="64"/>
      </patternFill>
    </fill>
    <fill>
      <patternFill patternType="solid">
        <fgColor theme="7" tint="0.79998168889431442"/>
        <bgColor indexed="64"/>
      </patternFill>
    </fill>
    <fill>
      <patternFill patternType="solid">
        <fgColor theme="6"/>
        <bgColor indexed="64"/>
      </patternFill>
    </fill>
    <fill>
      <patternFill patternType="solid">
        <fgColor theme="0"/>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8"/>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9" fontId="4" fillId="0" borderId="0" applyFont="0" applyFill="0" applyBorder="0" applyAlignment="0" applyProtection="0"/>
    <xf numFmtId="0" fontId="9" fillId="0" borderId="0" applyNumberFormat="0" applyFill="0" applyBorder="0" applyAlignment="0" applyProtection="0"/>
    <xf numFmtId="0" fontId="1" fillId="0" borderId="0"/>
  </cellStyleXfs>
  <cellXfs count="99">
    <xf numFmtId="0" fontId="0" fillId="0" borderId="0" xfId="0"/>
    <xf numFmtId="0" fontId="2" fillId="0" borderId="0" xfId="0" applyFont="1"/>
    <xf numFmtId="0" fontId="3" fillId="3" borderId="1" xfId="0" applyFont="1" applyFill="1" applyBorder="1"/>
    <xf numFmtId="0" fontId="0" fillId="0" borderId="1" xfId="0" applyBorder="1"/>
    <xf numFmtId="0" fontId="2" fillId="4" borderId="1" xfId="0" applyFont="1" applyFill="1" applyBorder="1"/>
    <xf numFmtId="0" fontId="3" fillId="5" borderId="1" xfId="0" applyFont="1" applyFill="1" applyBorder="1"/>
    <xf numFmtId="0" fontId="3" fillId="3" borderId="5" xfId="0" applyFont="1" applyFill="1" applyBorder="1"/>
    <xf numFmtId="0" fontId="2" fillId="4" borderId="2" xfId="0" applyFont="1" applyFill="1" applyBorder="1"/>
    <xf numFmtId="0" fontId="3" fillId="5" borderId="5" xfId="0" applyFont="1" applyFill="1" applyBorder="1"/>
    <xf numFmtId="14" fontId="0" fillId="0" borderId="0" xfId="0" applyNumberFormat="1"/>
    <xf numFmtId="14" fontId="0" fillId="0" borderId="1" xfId="0" applyNumberFormat="1" applyBorder="1"/>
    <xf numFmtId="0" fontId="3" fillId="3" borderId="3" xfId="0" applyFont="1" applyFill="1" applyBorder="1"/>
    <xf numFmtId="0" fontId="0" fillId="6" borderId="8" xfId="0" applyFill="1" applyBorder="1"/>
    <xf numFmtId="0" fontId="0" fillId="6" borderId="9" xfId="0" applyFill="1" applyBorder="1"/>
    <xf numFmtId="0" fontId="0" fillId="6" borderId="10" xfId="0" applyFill="1" applyBorder="1"/>
    <xf numFmtId="0" fontId="0" fillId="6" borderId="11" xfId="0" applyFill="1" applyBorder="1"/>
    <xf numFmtId="0" fontId="0" fillId="6" borderId="0" xfId="0" applyFill="1"/>
    <xf numFmtId="0" fontId="0" fillId="6" borderId="12" xfId="0" applyFill="1" applyBorder="1"/>
    <xf numFmtId="10" fontId="0" fillId="6" borderId="0" xfId="0" applyNumberFormat="1" applyFill="1"/>
    <xf numFmtId="0" fontId="0" fillId="6" borderId="13" xfId="0" applyFill="1" applyBorder="1"/>
    <xf numFmtId="0" fontId="0" fillId="6" borderId="14" xfId="0" applyFill="1" applyBorder="1"/>
    <xf numFmtId="0" fontId="0" fillId="6" borderId="15" xfId="0" applyFill="1" applyBorder="1"/>
    <xf numFmtId="0" fontId="2" fillId="6" borderId="0" xfId="0" applyFont="1" applyFill="1"/>
    <xf numFmtId="0" fontId="0" fillId="6" borderId="1" xfId="0" applyFill="1" applyBorder="1"/>
    <xf numFmtId="10" fontId="0" fillId="6" borderId="1" xfId="1" applyNumberFormat="1" applyFont="1" applyFill="1" applyBorder="1"/>
    <xf numFmtId="0" fontId="0" fillId="6" borderId="3" xfId="0" applyFill="1" applyBorder="1"/>
    <xf numFmtId="0" fontId="6" fillId="4" borderId="2" xfId="0" applyFont="1" applyFill="1" applyBorder="1"/>
    <xf numFmtId="0" fontId="7" fillId="4" borderId="3" xfId="0" applyFont="1" applyFill="1" applyBorder="1"/>
    <xf numFmtId="0" fontId="7" fillId="4" borderId="4" xfId="0" applyFont="1" applyFill="1" applyBorder="1"/>
    <xf numFmtId="10" fontId="7" fillId="4" borderId="4" xfId="0" applyNumberFormat="1" applyFont="1" applyFill="1" applyBorder="1"/>
    <xf numFmtId="10" fontId="7" fillId="4" borderId="1" xfId="0" applyNumberFormat="1" applyFont="1" applyFill="1" applyBorder="1"/>
    <xf numFmtId="0" fontId="7" fillId="4" borderId="1" xfId="0" applyFont="1" applyFill="1" applyBorder="1"/>
    <xf numFmtId="0" fontId="0" fillId="4" borderId="3" xfId="0" applyFill="1" applyBorder="1"/>
    <xf numFmtId="0" fontId="0" fillId="4" borderId="16" xfId="0" applyFill="1" applyBorder="1"/>
    <xf numFmtId="0" fontId="0" fillId="4" borderId="17" xfId="0" applyFill="1" applyBorder="1"/>
    <xf numFmtId="0" fontId="8" fillId="4" borderId="1" xfId="0" applyFont="1" applyFill="1" applyBorder="1"/>
    <xf numFmtId="0" fontId="0" fillId="0" borderId="0" xfId="0" applyAlignment="1">
      <alignment wrapText="1"/>
    </xf>
    <xf numFmtId="0" fontId="2" fillId="4" borderId="1" xfId="0" applyFont="1" applyFill="1" applyBorder="1" applyAlignment="1">
      <alignment wrapText="1"/>
    </xf>
    <xf numFmtId="0" fontId="0" fillId="0" borderId="1" xfId="0" applyBorder="1" applyAlignment="1">
      <alignment wrapText="1"/>
    </xf>
    <xf numFmtId="0" fontId="0" fillId="0" borderId="2" xfId="0" applyBorder="1" applyAlignment="1">
      <alignment wrapText="1"/>
    </xf>
    <xf numFmtId="0" fontId="0" fillId="3" borderId="4" xfId="0" applyFill="1" applyBorder="1" applyAlignment="1">
      <alignment wrapText="1"/>
    </xf>
    <xf numFmtId="0" fontId="0" fillId="0" borderId="3" xfId="0" applyBorder="1" applyAlignment="1">
      <alignment wrapText="1"/>
    </xf>
    <xf numFmtId="9" fontId="0" fillId="0" borderId="2" xfId="1" applyFont="1" applyBorder="1" applyAlignment="1">
      <alignment wrapText="1"/>
    </xf>
    <xf numFmtId="9" fontId="0" fillId="0" borderId="1" xfId="1" applyFont="1" applyBorder="1" applyAlignment="1">
      <alignment wrapText="1"/>
    </xf>
    <xf numFmtId="9" fontId="0" fillId="0" borderId="0" xfId="1" applyFont="1" applyAlignment="1">
      <alignment wrapText="1"/>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3" fillId="3" borderId="5" xfId="0" applyFont="1" applyFill="1" applyBorder="1" applyAlignment="1">
      <alignment vertical="center" wrapText="1"/>
    </xf>
    <xf numFmtId="0" fontId="2" fillId="4" borderId="3" xfId="0" applyFont="1" applyFill="1" applyBorder="1" applyAlignment="1">
      <alignment vertical="center" wrapText="1"/>
    </xf>
    <xf numFmtId="0" fontId="2" fillId="4" borderId="1" xfId="0" applyFont="1" applyFill="1" applyBorder="1" applyAlignment="1">
      <alignment vertical="center" wrapText="1"/>
    </xf>
    <xf numFmtId="0" fontId="2" fillId="7" borderId="1" xfId="0" applyFont="1" applyFill="1" applyBorder="1" applyAlignment="1">
      <alignment vertical="center" wrapText="1"/>
    </xf>
    <xf numFmtId="0" fontId="2" fillId="4" borderId="2" xfId="0" applyFont="1" applyFill="1" applyBorder="1" applyAlignment="1">
      <alignment vertical="center" wrapText="1"/>
    </xf>
    <xf numFmtId="0" fontId="2" fillId="0" borderId="0" xfId="0" applyFont="1" applyAlignment="1">
      <alignment vertical="center" wrapText="1"/>
    </xf>
    <xf numFmtId="0" fontId="0" fillId="0" borderId="1" xfId="0" applyBorder="1" applyAlignment="1">
      <alignment horizontal="left" vertical="top" wrapText="1"/>
    </xf>
    <xf numFmtId="0" fontId="0" fillId="0" borderId="4" xfId="0" applyBorder="1" applyAlignment="1">
      <alignment horizontal="left" vertical="top" wrapText="1"/>
    </xf>
    <xf numFmtId="14" fontId="0" fillId="0" borderId="1" xfId="0" applyNumberFormat="1" applyBorder="1" applyAlignment="1">
      <alignment horizontal="left" vertical="top" wrapText="1"/>
    </xf>
    <xf numFmtId="0" fontId="10" fillId="0" borderId="0" xfId="0" applyFont="1" applyAlignment="1">
      <alignment vertical="center"/>
    </xf>
    <xf numFmtId="0" fontId="2" fillId="2" borderId="3" xfId="0" applyFont="1" applyFill="1" applyBorder="1" applyAlignment="1">
      <alignment vertical="center" wrapText="1"/>
    </xf>
    <xf numFmtId="0" fontId="0" fillId="0" borderId="18" xfId="0" applyBorder="1" applyAlignment="1">
      <alignment wrapText="1"/>
    </xf>
    <xf numFmtId="0" fontId="0" fillId="0" borderId="5" xfId="0" applyBorder="1" applyAlignment="1">
      <alignment wrapText="1"/>
    </xf>
    <xf numFmtId="0" fontId="0" fillId="0" borderId="7" xfId="0" applyBorder="1" applyAlignment="1">
      <alignment wrapText="1"/>
    </xf>
    <xf numFmtId="0" fontId="0" fillId="0" borderId="5" xfId="0" applyBorder="1"/>
    <xf numFmtId="0" fontId="12" fillId="0" borderId="1" xfId="0" applyFont="1" applyBorder="1" applyAlignment="1">
      <alignment wrapText="1"/>
    </xf>
    <xf numFmtId="0" fontId="12" fillId="0" borderId="0" xfId="0" applyFont="1" applyAlignment="1">
      <alignment wrapText="1"/>
    </xf>
    <xf numFmtId="0" fontId="0" fillId="0" borderId="4" xfId="0" applyBorder="1"/>
    <xf numFmtId="164" fontId="0" fillId="0" borderId="0" xfId="0" applyNumberFormat="1" applyAlignment="1">
      <alignment horizontal="left"/>
    </xf>
    <xf numFmtId="2" fontId="0" fillId="0" borderId="0" xfId="0" applyNumberFormat="1"/>
    <xf numFmtId="9" fontId="0" fillId="0" borderId="0" xfId="1" applyFont="1"/>
    <xf numFmtId="10" fontId="0" fillId="0" borderId="0" xfId="1" applyNumberFormat="1" applyFont="1"/>
    <xf numFmtId="14" fontId="0" fillId="0" borderId="5" xfId="0" applyNumberFormat="1" applyBorder="1"/>
    <xf numFmtId="10" fontId="7" fillId="4" borderId="3" xfId="1" applyNumberFormat="1" applyFont="1" applyFill="1" applyBorder="1"/>
    <xf numFmtId="0" fontId="9" fillId="0" borderId="0" xfId="2"/>
    <xf numFmtId="0" fontId="0" fillId="0" borderId="6" xfId="0" applyBorder="1" applyAlignment="1">
      <alignment wrapText="1"/>
    </xf>
    <xf numFmtId="0" fontId="0" fillId="3" borderId="1" xfId="0" applyFill="1" applyBorder="1" applyAlignment="1">
      <alignment wrapText="1"/>
    </xf>
    <xf numFmtId="0" fontId="14" fillId="4" borderId="2" xfId="0" applyFont="1" applyFill="1" applyBorder="1"/>
    <xf numFmtId="0" fontId="13" fillId="6" borderId="3" xfId="0" applyFont="1" applyFill="1" applyBorder="1"/>
    <xf numFmtId="10" fontId="13" fillId="6" borderId="1" xfId="1" applyNumberFormat="1" applyFont="1" applyFill="1" applyBorder="1"/>
    <xf numFmtId="2" fontId="0" fillId="0" borderId="1" xfId="0" applyNumberFormat="1" applyBorder="1"/>
    <xf numFmtId="0" fontId="14" fillId="0" borderId="1" xfId="0" applyFont="1" applyBorder="1"/>
    <xf numFmtId="0" fontId="15" fillId="0" borderId="1" xfId="0" applyFont="1" applyBorder="1"/>
    <xf numFmtId="2" fontId="2" fillId="0" borderId="1" xfId="0" applyNumberFormat="1" applyFont="1" applyBorder="1"/>
    <xf numFmtId="0" fontId="2" fillId="4" borderId="0" xfId="0" applyFont="1" applyFill="1"/>
    <xf numFmtId="0" fontId="2" fillId="4" borderId="0" xfId="0" applyFont="1" applyFill="1" applyAlignment="1">
      <alignment wrapText="1"/>
    </xf>
    <xf numFmtId="0" fontId="0" fillId="8" borderId="0" xfId="0" applyFill="1" applyAlignment="1">
      <alignment wrapText="1"/>
    </xf>
    <xf numFmtId="9" fontId="2" fillId="4" borderId="0" xfId="1" applyFont="1" applyFill="1"/>
    <xf numFmtId="0" fontId="0" fillId="9" borderId="1" xfId="0" applyFill="1" applyBorder="1"/>
    <xf numFmtId="0" fontId="0" fillId="9" borderId="1" xfId="0" applyFill="1" applyBorder="1" applyAlignment="1">
      <alignment wrapText="1"/>
    </xf>
    <xf numFmtId="0" fontId="0" fillId="9" borderId="4" xfId="0" applyFill="1" applyBorder="1"/>
    <xf numFmtId="0" fontId="0" fillId="9" borderId="5" xfId="0" applyFill="1" applyBorder="1"/>
    <xf numFmtId="0" fontId="0" fillId="9" borderId="5" xfId="0" applyFill="1" applyBorder="1" applyAlignment="1">
      <alignment wrapText="1"/>
    </xf>
    <xf numFmtId="0" fontId="18" fillId="0" borderId="1" xfId="0" applyFont="1" applyBorder="1" applyAlignment="1">
      <alignment wrapText="1"/>
    </xf>
    <xf numFmtId="0" fontId="16" fillId="0" borderId="1" xfId="0" applyFont="1" applyBorder="1" applyAlignment="1">
      <alignment wrapText="1"/>
    </xf>
    <xf numFmtId="0" fontId="2" fillId="8" borderId="2" xfId="0" applyFont="1" applyFill="1" applyBorder="1" applyAlignment="1">
      <alignment horizontal="center"/>
    </xf>
    <xf numFmtId="0" fontId="2" fillId="8" borderId="16" xfId="0" applyFont="1" applyFill="1" applyBorder="1" applyAlignment="1">
      <alignment horizontal="center"/>
    </xf>
    <xf numFmtId="0" fontId="2" fillId="8" borderId="3" xfId="0" applyFont="1" applyFill="1" applyBorder="1" applyAlignment="1">
      <alignment horizontal="center"/>
    </xf>
    <xf numFmtId="0" fontId="3" fillId="5" borderId="2" xfId="0" applyFont="1" applyFill="1" applyBorder="1" applyAlignment="1">
      <alignment horizontal="center"/>
    </xf>
    <xf numFmtId="0" fontId="3" fillId="5" borderId="3" xfId="0" applyFont="1" applyFill="1" applyBorder="1" applyAlignment="1">
      <alignment horizontal="center"/>
    </xf>
    <xf numFmtId="0" fontId="3" fillId="3" borderId="2" xfId="0" applyFont="1" applyFill="1" applyBorder="1" applyAlignment="1">
      <alignment horizontal="center"/>
    </xf>
    <xf numFmtId="0" fontId="3" fillId="3" borderId="3" xfId="0" applyFont="1" applyFill="1" applyBorder="1" applyAlignment="1">
      <alignment horizontal="center"/>
    </xf>
  </cellXfs>
  <cellStyles count="4">
    <cellStyle name="Hyperlink" xfId="2" builtinId="8"/>
    <cellStyle name="Normal" xfId="0" builtinId="0" customBuiltin="1"/>
    <cellStyle name="Normal 2" xfId="3" xr:uid="{998D522E-8FBD-42A4-B699-9A7D97E69691}"/>
    <cellStyle name="Per cent" xfId="1" builtinId="5"/>
  </cellStyles>
  <dxfs count="22">
    <dxf>
      <fill>
        <patternFill>
          <bgColor rgb="FFC00000"/>
        </patternFill>
      </fill>
    </dxf>
    <dxf>
      <fill>
        <patternFill>
          <bgColor rgb="FFFF6565"/>
        </patternFill>
      </fill>
    </dxf>
    <dxf>
      <fill>
        <patternFill>
          <bgColor rgb="FFFFD1D1"/>
        </patternFill>
      </fill>
    </dxf>
    <dxf>
      <fill>
        <patternFill>
          <bgColor rgb="FFC00000"/>
        </patternFill>
      </fill>
    </dxf>
    <dxf>
      <fill>
        <patternFill>
          <bgColor rgb="FFFF6565"/>
        </patternFill>
      </fill>
    </dxf>
    <dxf>
      <fill>
        <patternFill>
          <bgColor rgb="FFFFD1D1"/>
        </patternFill>
      </fill>
    </dxf>
    <dxf>
      <fill>
        <patternFill>
          <bgColor rgb="FFC00000"/>
        </patternFill>
      </fill>
    </dxf>
    <dxf>
      <fill>
        <patternFill>
          <bgColor rgb="FFFF6565"/>
        </patternFill>
      </fill>
    </dxf>
    <dxf>
      <fill>
        <patternFill>
          <bgColor rgb="FFFFD1D1"/>
        </patternFill>
      </fill>
    </dxf>
    <dxf>
      <fill>
        <patternFill>
          <bgColor rgb="FFC00000"/>
        </patternFill>
      </fill>
    </dxf>
    <dxf>
      <fill>
        <patternFill>
          <bgColor rgb="FFFFC000"/>
        </patternFill>
      </fill>
    </dxf>
    <dxf>
      <fill>
        <patternFill>
          <bgColor rgb="FFFFE38B"/>
        </patternFill>
      </fill>
    </dxf>
    <dxf>
      <fill>
        <patternFill>
          <bgColor theme="8" tint="-0.24994659260841701"/>
        </patternFill>
      </fill>
    </dxf>
    <dxf>
      <fill>
        <patternFill>
          <bgColor rgb="FFDBE600"/>
        </patternFill>
      </fill>
    </dxf>
    <dxf>
      <fill>
        <patternFill>
          <bgColor rgb="FF92D050"/>
        </patternFill>
      </fill>
    </dxf>
    <dxf>
      <fill>
        <patternFill>
          <bgColor rgb="FFC00000"/>
        </patternFill>
      </fill>
    </dxf>
    <dxf>
      <fill>
        <patternFill>
          <bgColor rgb="FFFFC000"/>
        </patternFill>
      </fill>
    </dxf>
    <dxf>
      <fill>
        <patternFill>
          <bgColor rgb="FFFFE38B"/>
        </patternFill>
      </fill>
    </dxf>
    <dxf>
      <fill>
        <patternFill>
          <bgColor theme="8" tint="-0.24994659260841701"/>
        </patternFill>
      </fill>
    </dxf>
    <dxf>
      <fill>
        <patternFill>
          <bgColor rgb="FFDBE600"/>
        </patternFill>
      </fill>
    </dxf>
    <dxf>
      <fill>
        <patternFill>
          <bgColor rgb="FF92D050"/>
        </patternFill>
      </fill>
    </dxf>
    <dxf>
      <fill>
        <patternFill>
          <bgColor rgb="FFFF0000"/>
        </patternFill>
      </fill>
    </dxf>
  </dxfs>
  <tableStyles count="0" defaultTableStyle="TableStyleMedium2" defaultPivotStyle="PivotStyleLight16"/>
  <colors>
    <mruColors>
      <color rgb="FFFFD1D1"/>
      <color rgb="FFFF6565"/>
      <color rgb="FFDBE600"/>
      <color rgb="FFFFE3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5" Type="http://schemas.openxmlformats.org/officeDocument/2006/relationships/customXml" Target="../customXml/item4.xml"/><Relationship Id="rId2" Type="http://schemas.openxmlformats.org/officeDocument/2006/relationships/worksheet" Target="worksheets/sheet2.xml"/><Relationship Id="rId16" Type="http://schemas.microsoft.com/office/2022/10/relationships/richValueRel" Target="richData/richValueRel.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1.xml"/></Relationships>
</file>

<file path=xl/documenttasks/documenttask1.xml><?xml version="1.0" encoding="utf-8"?>
<Tasks xmlns="http://schemas.microsoft.com/office/tasks/2019/documenttasks">
  <Task id="{5F72445E-91CC-43D7-9D21-B00473EC9EA4}">
    <Anchor>
      <Comment id="{91AB13A3-B003-4C8F-98AF-4FCCE8BB03F4}"/>
    </Anchor>
    <History>
      <Event time="2026-07-06T12:07:25.97" id="{24923CA0-AA5D-4EF2-9335-265A3D02E417}">
        <Attribution userId="S::olga.safonova@tieto.com::619f8fc0-2635-439a-bd9b-cf2888397c31" userName="Olga Safonova" userProvider="AD"/>
        <Anchor>
          <Comment id="{91AB13A3-B003-4C8F-98AF-4FCCE8BB03F4}"/>
        </Anchor>
        <Create/>
      </Event>
      <Event time="2026-07-06T12:07:25.97" id="{8DF30BD9-EEA6-42A2-BAD9-D5351A84EA26}">
        <Attribution userId="S::olga.safonova@tieto.com::619f8fc0-2635-439a-bd9b-cf2888397c31" userName="Olga Safonova" userProvider="AD"/>
        <Anchor>
          <Comment id="{91AB13A3-B003-4C8F-98AF-4FCCE8BB03F4}"/>
        </Anchor>
        <Assign userId="S::anita.odsbjerg.pedersen@tieto.com::0554e7e6-cb43-4db6-8cf0-3a33baeb880c" userName="Anita Odsbjerg Pedersen" userProvider="AD"/>
      </Event>
      <Event time="2026-07-06T12:07:25.97" id="{B724118A-E85A-48A7-9A5A-930A306FA56F}">
        <Attribution userId="S::olga.safonova@tieto.com::619f8fc0-2635-439a-bd9b-cf2888397c31" userName="Olga Safonova" userProvider="AD"/>
        <Anchor>
          <Comment id="{91AB13A3-B003-4C8F-98AF-4FCCE8BB03F4}"/>
        </Anchor>
        <SetTitle title="@Anita Odsbjerg Pedersen her mangler et link?"/>
      </Event>
      <Event time="2026-07-06T13:20:35.26" id="{644E9981-E402-4844-8B3D-9043BCEAC730}">
        <Attribution userId="S::anita.odsbjerg.pedersen@tieto.com::0554e7e6-cb43-4db6-8cf0-3a33baeb880c" userName="Anita Odsbjerg Pedersen" userProvider="AD"/>
        <Progress percentComplete="100"/>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1</xdr:rowOff>
    </xdr:from>
    <xdr:to>
      <xdr:col>8</xdr:col>
      <xdr:colOff>504825</xdr:colOff>
      <xdr:row>10</xdr:row>
      <xdr:rowOff>171451</xdr:rowOff>
    </xdr:to>
    <xdr:pic>
      <xdr:nvPicPr>
        <xdr:cNvPr id="2" name="Picture 1">
          <a:extLst>
            <a:ext uri="{FF2B5EF4-FFF2-40B4-BE49-F238E27FC236}">
              <a16:creationId xmlns:a16="http://schemas.microsoft.com/office/drawing/2014/main" id="{4B3D4ADD-DA14-94FA-696C-8A56A2C6DAE6}"/>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1600201"/>
          <a:ext cx="840105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ita Odsbjerg Pedersen" id="{D6004624-BFC7-DF40-8C0C-9146933A2A95}" userId="anita.odsbjerg.pedersen@tieto.com" providerId="PeoplePicker"/>
  <person displayName="Olga Safonova" id="{308D0C31-19B0-1446-915B-D30008EEB697}" userId="S::olga.safonova@tieto.com::619f8fc0-2635-439a-bd9b-cf2888397c31" providerId="AD"/>
  <person displayName="Anita Odsbjerg Pedersen" id="{9B826123-D481-4AB6-ADA4-3CE674AD6484}" userId="S::anita.odsbjerg.pedersen@tieto.com::0554e7e6-cb43-4db6-8cf0-3a33baeb880c"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Tieto">
      <a:dk1>
        <a:srgbClr val="272A2C"/>
      </a:dk1>
      <a:lt1>
        <a:srgbClr val="FFFFFF"/>
      </a:lt1>
      <a:dk2>
        <a:srgbClr val="1A1715"/>
      </a:dk2>
      <a:lt2>
        <a:srgbClr val="D2D0CB"/>
      </a:lt2>
      <a:accent1>
        <a:srgbClr val="021E57"/>
      </a:accent1>
      <a:accent2>
        <a:srgbClr val="3531CF"/>
      </a:accent2>
      <a:accent3>
        <a:srgbClr val="4E60E7"/>
      </a:accent3>
      <a:accent4>
        <a:srgbClr val="839DF9"/>
      </a:accent4>
      <a:accent5>
        <a:srgbClr val="F5FF56"/>
      </a:accent5>
      <a:accent6>
        <a:srgbClr val="78716E"/>
      </a:accent6>
      <a:hlink>
        <a:srgbClr val="000000"/>
      </a:hlink>
      <a:folHlink>
        <a:srgbClr val="000000"/>
      </a:folHlink>
    </a:clrScheme>
    <a:fontScheme name="Aptos">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custClrLst>
    <a:custClr name="Warm Gray">
      <a:srgbClr val="6E6259"/>
    </a:custClr>
    <a:custClr name="Warm Gray 90%">
      <a:srgbClr val="7B7168"/>
    </a:custClr>
    <a:custClr name="Warm Gray">
      <a:srgbClr val="6E6259"/>
    </a:custClr>
    <a:custClr name="Warm Gray 80%">
      <a:srgbClr val="8B807C"/>
    </a:custClr>
    <a:custClr name="Warm Gray 70%">
      <a:srgbClr val="9C918C"/>
    </a:custClr>
    <a:custClr name="Warm Gray 60%">
      <a:srgbClr val="A9A09B"/>
    </a:custClr>
    <a:custClr name="Warm Gray 50%">
      <a:srgbClr val="B6B1AE"/>
    </a:custClr>
    <a:custClr name="Warm Gray 40%">
      <a:srgbClr val="C5C0BD"/>
    </a:custClr>
    <a:custClr name="Warm Gray 30%">
      <a:srgbClr val="D4D0CD"/>
    </a:custClr>
    <a:custClr name="Warm Gray 20%">
      <a:srgbClr val="E2E0DE"/>
    </a:custClr>
    <a:custClr name="Warm Gray 10%">
      <a:srgbClr val="F1EFED"/>
    </a:custClr>
    <a:custClr name="Hero Red">
      <a:srgbClr val="F9423A"/>
    </a:custClr>
    <a:custClr name="Maroon">
      <a:srgbClr val="64302F"/>
    </a:custClr>
    <a:custClr name="Peach">
      <a:srgbClr val="EACBBB"/>
    </a:custClr>
    <a:custClr name="Peach 40%">
      <a:srgbClr val="F7EAE4"/>
    </a:custClr>
    <a:custClr name="Peach 30%">
      <a:srgbClr val="FAF5F1"/>
    </a:custClr>
    <a:custClr name="Peach 20%">
      <a:srgbClr val="FCF8F5"/>
    </a:custClr>
    <a:custClr name="Peach 10%">
      <a:srgbClr val="FEFAF9"/>
    </a:custClr>
    <a:custClr name="White">
      <a:srgbClr val="FFFFFF"/>
    </a:custClr>
    <a:custClr name="CTA Yellow">
      <a:srgbClr val="E9EC6B"/>
    </a:custClr>
    <a:custClr name="Warm Gray 5%">
      <a:srgbClr val="F9F6F8"/>
    </a:custClr>
    <a:custClr name="Cool Gray">
      <a:srgbClr val="52565A"/>
    </a:custClr>
    <a:custClr name="Cool Gray 90%">
      <a:srgbClr val="63676A"/>
    </a:custClr>
    <a:custClr name="Cool Gray 80%">
      <a:srgbClr val="74787B"/>
    </a:custClr>
    <a:custClr name="Cool Gray 70%">
      <a:srgbClr val="86888B"/>
    </a:custClr>
    <a:custClr name="Cool Gray 60%">
      <a:srgbClr val="989A9C"/>
    </a:custClr>
    <a:custClr name="Cool Gray 50%">
      <a:srgbClr val="A9AAAC"/>
    </a:custClr>
    <a:custClr name="Cool Gray 40%">
      <a:srgbClr val="CBCCCD"/>
    </a:custClr>
    <a:custClr name="Cool Gray 30%">
      <a:srgbClr val="D4D5D5"/>
    </a:custClr>
    <a:custClr name="Cool Gray 20%">
      <a:srgbClr val="DDDDDE"/>
    </a:custClr>
    <a:custClr name="Cool Gray 10%">
      <a:srgbClr val="EDEEEE"/>
    </a:custClr>
    <a:custClr name="Black">
      <a:srgbClr val="000000"/>
    </a:custClr>
    <a:custClr name="Dark Blue">
      <a:srgbClr val="0C1D48"/>
    </a:custClr>
    <a:custClr name="Hero Blue">
      <a:srgbClr val="280071"/>
    </a:custClr>
    <a:custClr name="Violet">
      <a:srgbClr val="B1B5CE"/>
    </a:custClr>
    <a:custClr name="Violet 40%">
      <a:srgbClr val="E0E1EB"/>
    </a:custClr>
    <a:custClr name="Violet 30%">
      <a:srgbClr val="E7E9F0"/>
    </a:custClr>
    <a:custClr name="Violet 20%">
      <a:srgbClr val="EFF1F5"/>
    </a:custClr>
    <a:custClr name="Violet 10%">
      <a:srgbClr val="F8F7FF"/>
    </a:custClr>
    <a:custClr name="CTA Green">
      <a:srgbClr val="26D07C"/>
    </a:custClr>
    <a:custClr name="Cool Gray 5%">
      <a:srgbClr val="F6F6F8"/>
    </a:custClr>
  </a:custClr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6-06-30T09:57:19.68" personId="{9B826123-D481-4AB6-ADA4-3CE674AD6484}" id="{1439BD21-1F48-41FD-9A1A-DA2BB77912D9}">
    <text>Krav angivet med grå farve er vores interne identifier for kravet. Disse er krav, der er fundet i teksten og derfor ligger ud over Kravspecifikationen. Disse identifiers skal ikke bruges over for kunden. Kravene er default MK.</text>
  </threadedComment>
  <threadedComment ref="W105" dT="2026-07-06T12:07:26.01" personId="{308D0C31-19B0-1446-915B-D30008EEB697}" id="{91AB13A3-B003-4C8F-98AF-4FCCE8BB03F4}" done="1">
    <text xml:space="preserve">@Anita Odsbjerg Pedersen her mangler et link? </text>
    <mentions>
      <mention mentionpersonId="{D6004624-BFC7-DF40-8C0C-9146933A2A95}" mentionId="{BE192181-73FE-4703-9F8B-99B7EC7C76E7}" startIndex="0" length="24"/>
    </mentions>
  </threadedComment>
  <threadedComment ref="W105" dT="2026-07-06T13:20:32.15" personId="{9B826123-D481-4AB6-ADA4-3CE674AD6484}" id="{B693B79C-FB3A-4E80-807D-EBA1CA642679}" parentId="{91AB13A3-B003-4C8F-98AF-4FCCE8BB03F4}">
    <text>Det er et K-krav, så du skal blot angive i kolonne R, om det kan opfyldes - så skriver jeg ”Ja” i den rigtige tabel i det korrekte dokument. 
K-krav skal kun besvares med Ja/Nej.</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tietoevry.sharepoint.com/:w:/s/Udbud/IQA9ZchDRaWIRYbYpgW0ytE5AaMNgWvGpyGFydaRzYE6bQY?e=nwn3ev" TargetMode="External"/><Relationship Id="rId21" Type="http://schemas.openxmlformats.org/officeDocument/2006/relationships/hyperlink" Target="https://tietoevry.sharepoint.com/:w:/s/Udbud/IQBhO-qzJKx3R4SOlc57AlOLAY4w4sIdigCPjSjVuHwNKtI?e=y6NYZ3" TargetMode="External"/><Relationship Id="rId34" Type="http://schemas.openxmlformats.org/officeDocument/2006/relationships/hyperlink" Target="https://tietoevry.sharepoint.com/:w:/s/Udbud/IQDeLox29f7YQ6W-JJ6AEaP-ARuXmE_qVptA0Tez0-IQeWw?e=NuFEL0" TargetMode="External"/><Relationship Id="rId42" Type="http://schemas.openxmlformats.org/officeDocument/2006/relationships/hyperlink" Target="https://tietoevry.sharepoint.com/:w:/s/Udbud/IQCFznMdQgMSS62jWbX0EA16AYgptq_AoEBuAvujz1fjsug?e=hEbUd0" TargetMode="External"/><Relationship Id="rId47" Type="http://schemas.openxmlformats.org/officeDocument/2006/relationships/hyperlink" Target="https://tietoevry.sharepoint.com/:w:/s/Udbud/IQAt6JphM-IFTLrgtVrcn4eHAXUAqqYLIG5GCl0obbnE6ao?e=10ASQa" TargetMode="External"/><Relationship Id="rId50" Type="http://schemas.openxmlformats.org/officeDocument/2006/relationships/hyperlink" Target="https://tietoevry.sharepoint.com/:w:/s/Udbud/IQDSxlZQP2nAR56aK-m-0CeAAQ0CMRsY42upo7m6MewoP50?e=7w8Rlt" TargetMode="External"/><Relationship Id="rId55" Type="http://schemas.openxmlformats.org/officeDocument/2006/relationships/hyperlink" Target="https://tietoevry.sharepoint.com/:w:/s/Udbud/IQDDU_McTiAYTIHV4PB54zfjATkWkXJaOhaGybe1uL5N364?e=zQQEeM" TargetMode="External"/><Relationship Id="rId63" Type="http://schemas.openxmlformats.org/officeDocument/2006/relationships/vmlDrawing" Target="../drawings/vmlDrawing1.vml"/><Relationship Id="rId7" Type="http://schemas.openxmlformats.org/officeDocument/2006/relationships/hyperlink" Target="https://tietoevry.sharepoint.com/:w:/s/Udbud/IQCrXPlmLg-MQ746DD-4wRdpAWJgLLNPj68rrmGPojWlzgo?e=erC8P1" TargetMode="External"/><Relationship Id="rId2" Type="http://schemas.openxmlformats.org/officeDocument/2006/relationships/hyperlink" Target="https://tietoevry.sharepoint.com/:w:/s/Udbud/IQD_kbysfilpTZA7Vsf3_-eAAcA_QwvxrpdSONJVxygbH5U?e=2miPtL" TargetMode="External"/><Relationship Id="rId16" Type="http://schemas.openxmlformats.org/officeDocument/2006/relationships/hyperlink" Target="https://tietoevry.sharepoint.com/:w:/s/Udbud/IQA32Kc4qyx3SZKK9Vxr7D2qAfWs9RFGB5-Z9WPRa6qRMCs?e=Y05XZJ" TargetMode="External"/><Relationship Id="rId29" Type="http://schemas.openxmlformats.org/officeDocument/2006/relationships/hyperlink" Target="https://tietoevry.sharepoint.com/:w:/s/Udbud/IQCw7vVFU4aMTbMsN8qQsZ3fAUIVRh7aVi1ByjN02yD2Kio?e=UfAYb1" TargetMode="External"/><Relationship Id="rId11" Type="http://schemas.openxmlformats.org/officeDocument/2006/relationships/hyperlink" Target="https://tietoevry.sharepoint.com/:w:/s/Udbud/IQA5Rw2eugXUTpjOnppaWVASAW0G01CH0mfHGxYFwMU8huw?e=wUm8cq" TargetMode="External"/><Relationship Id="rId24" Type="http://schemas.openxmlformats.org/officeDocument/2006/relationships/hyperlink" Target="https://tietoevry.sharepoint.com/:w:/s/Udbud/IQDBPmkOckXwRrExUbuzYPSCASQ4DVUWMLvcDg1-PcRWGm4?e=b1V6pr" TargetMode="External"/><Relationship Id="rId32" Type="http://schemas.openxmlformats.org/officeDocument/2006/relationships/hyperlink" Target="https://tietoevry.sharepoint.com/:w:/s/Udbud/IQAbo1Uq-2yvT5rqtkRCk73yAbltXastBvHe8BWrILv22GY?e=SX2E3s" TargetMode="External"/><Relationship Id="rId37" Type="http://schemas.openxmlformats.org/officeDocument/2006/relationships/hyperlink" Target="https://tietoevry.sharepoint.com/:w:/s/Udbud/IQAw4j8Z3FsISpBCrUEfN_E_AVcYjtbmj6Wfp7RoL4GVr54?e=03OuEW" TargetMode="External"/><Relationship Id="rId40" Type="http://schemas.openxmlformats.org/officeDocument/2006/relationships/hyperlink" Target="https://tietoevry.sharepoint.com/:w:/s/Udbud/IQDQKlMP3p7dRrOD_L4TewS4ARBVlVVEBuuDlPEp8F5jkVw?e=tLZ41h" TargetMode="External"/><Relationship Id="rId45" Type="http://schemas.openxmlformats.org/officeDocument/2006/relationships/hyperlink" Target="https://tietoevry.sharepoint.com/:w:/s/Udbud/IQC3micZ1JfBQY6dGmQ5L7rxAX3TCffQkmMPUCPmq0XiPeQ?e=ZtLLVO" TargetMode="External"/><Relationship Id="rId53" Type="http://schemas.openxmlformats.org/officeDocument/2006/relationships/hyperlink" Target="https://tietoevry.sharepoint.com/:w:/s/Udbud/IQACjRay-kQnSL7L1JU0RwI2Ad9MNusmmEZSKC6I9pekvcY?e=0bKWEB" TargetMode="External"/><Relationship Id="rId58" Type="http://schemas.openxmlformats.org/officeDocument/2006/relationships/hyperlink" Target="https://tietoevry.sharepoint.com/:w:/s/Udbud/IQCynw3K6a-0SJh6BaxBjuICASlFB_46-UfHiBJyEdfm6h4?e=V9rpBD" TargetMode="External"/><Relationship Id="rId66" Type="http://schemas.microsoft.com/office/2019/04/relationships/documenttask" Target="../documenttasks/documenttask1.xml"/><Relationship Id="rId5" Type="http://schemas.openxmlformats.org/officeDocument/2006/relationships/hyperlink" Target="https://tietoevry.sharepoint.com/:w:/s/Udbud/IQCEGTLDaLtZT6F8uXqttLPWAQjPd2imh8BSRonj-b0wc2A?e=vRL4kn" TargetMode="External"/><Relationship Id="rId61" Type="http://schemas.openxmlformats.org/officeDocument/2006/relationships/hyperlink" Target="https://tietoevry.sharepoint.com/:w:/s/Udbud/IQCX9-0wPQgyQreTCVCRklu4Aa6adudorVlL1CHELCYSYVA?e=ichRLd" TargetMode="External"/><Relationship Id="rId19" Type="http://schemas.openxmlformats.org/officeDocument/2006/relationships/hyperlink" Target="https://tietoevry.sharepoint.com/:w:/s/Udbud/IQBinACx_WumTqAWEuZo2hslAapR4koHKW_jzI4yya4N0Zo?e=eUl78s" TargetMode="External"/><Relationship Id="rId14" Type="http://schemas.openxmlformats.org/officeDocument/2006/relationships/hyperlink" Target="https://tietoevry.sharepoint.com/:w:/s/Udbud/IQCMLK31nWJISYuSKksDjS_QAXA9nutFHBdrjSQ1VRlFKjQ?e=RN0syb" TargetMode="External"/><Relationship Id="rId22" Type="http://schemas.openxmlformats.org/officeDocument/2006/relationships/hyperlink" Target="https://tietoevry.sharepoint.com/:w:/s/Udbud/IQBh_cPdtOMWSrUstSGzXbOqAVnrkvtaYJ1zFaeN-IUcsW8?e=4h2Fpu" TargetMode="External"/><Relationship Id="rId27" Type="http://schemas.openxmlformats.org/officeDocument/2006/relationships/hyperlink" Target="https://tietoevry.sharepoint.com/:w:/s/Udbud/IQC8zdFW4QvaQ4na09-lljjnAdZgvH6TmNqlqAA7pMCRg_U?e=dcPtEc" TargetMode="External"/><Relationship Id="rId30" Type="http://schemas.openxmlformats.org/officeDocument/2006/relationships/hyperlink" Target="https://tietoevry.sharepoint.com/:w:/s/Udbud/IQBzDs8Mjt4oSofkWJeaccAgAWaINbJWBVR-P6x_mLBs-fQ?e=VGDvE2" TargetMode="External"/><Relationship Id="rId35" Type="http://schemas.openxmlformats.org/officeDocument/2006/relationships/hyperlink" Target="https://tietoevry.sharepoint.com/:w:/s/Udbud/IQCmnAASj8RbT5TvNJl319wrAZO1YC-qztP3Osh9XdnGf88?e=eODu46" TargetMode="External"/><Relationship Id="rId43" Type="http://schemas.openxmlformats.org/officeDocument/2006/relationships/hyperlink" Target="https://tietoevry.sharepoint.com/:w:/s/Udbud/IQBCpKxKxfRTR7P5CAVCnrJMAXviTX8EamR9dA5fxlR1ZU0?e=SRA4Kc" TargetMode="External"/><Relationship Id="rId48" Type="http://schemas.openxmlformats.org/officeDocument/2006/relationships/hyperlink" Target="https://tietoevry.sharepoint.com/:w:/s/Udbud/IQDrZakqGmANR61DTyVFxYw3AfdKmIH_dZi8mhK7ZMjHeWI?e=wnXRqD" TargetMode="External"/><Relationship Id="rId56" Type="http://schemas.openxmlformats.org/officeDocument/2006/relationships/hyperlink" Target="https://tietoevry.sharepoint.com/:w:/s/Udbud/IQACPvyvRCwQRLn-Q9-s415VAZBFLL55cS44zdu82XqWWAg?e=x8wy6d" TargetMode="External"/><Relationship Id="rId64" Type="http://schemas.openxmlformats.org/officeDocument/2006/relationships/comments" Target="../comments1.xml"/><Relationship Id="rId8" Type="http://schemas.openxmlformats.org/officeDocument/2006/relationships/hyperlink" Target="https://tietoevry.sharepoint.com/:w:/s/Udbud/IQC69nNOJBd8R5-WE3ibYM_sAa9YIRUTQHJ1VfMMMaYKFbM?e=gP366Q" TargetMode="External"/><Relationship Id="rId51" Type="http://schemas.openxmlformats.org/officeDocument/2006/relationships/hyperlink" Target="https://tietoevry.sharepoint.com/:w:/s/Udbud/IQCijH8oZzFFSKvZ53IdPTUqAejn4hI9IZLp5AO6YgDCkCM?e=OSBtpq" TargetMode="External"/><Relationship Id="rId3" Type="http://schemas.openxmlformats.org/officeDocument/2006/relationships/hyperlink" Target="https://tietoevry.sharepoint.com/:w:/s/Udbud/IQDLrSO1TCpnSKegVIrOqqS6AYBE2KRKEWeb1Lm7VvWGuAI?e=fbi7xr" TargetMode="External"/><Relationship Id="rId12" Type="http://schemas.openxmlformats.org/officeDocument/2006/relationships/hyperlink" Target="https://tietoevry.sharepoint.com/:w:/s/Udbud/IQCSv-UnZiVLSoWfgHcEk51rAc4INtz1Y-jBBDg-Doza3CA?e=crvRsX" TargetMode="External"/><Relationship Id="rId17" Type="http://schemas.openxmlformats.org/officeDocument/2006/relationships/hyperlink" Target="https://tietoevry.sharepoint.com/:w:/s/Udbud/IQACqy4WWS1HQL99GAD389dbAXmQu8mbuRosBwQB9zJ0tok?e=C6rOdg" TargetMode="External"/><Relationship Id="rId25" Type="http://schemas.openxmlformats.org/officeDocument/2006/relationships/hyperlink" Target="https://tietoevry.sharepoint.com/:w:/s/Udbud/IQCjciBJB5lFQ70tgKgceE8UAbjX0iivZQKeGHwpv8RQmp4?e=Wer23s" TargetMode="External"/><Relationship Id="rId33" Type="http://schemas.openxmlformats.org/officeDocument/2006/relationships/hyperlink" Target="https://tietoevry.sharepoint.com/:w:/s/Udbud/IQD6XmhLHQ46SKGEr_LjCpJXAV1LPE8ADQRvjOiTqYXKnO0?e=oelkFS" TargetMode="External"/><Relationship Id="rId38" Type="http://schemas.openxmlformats.org/officeDocument/2006/relationships/hyperlink" Target="https://tietoevry.sharepoint.com/:w:/s/Udbud/IQB267x8K3GwQ5qhaEh5Kp7VAUFBlNa5Nvbn_GZFzWu2alI?e=SYvcXA" TargetMode="External"/><Relationship Id="rId46" Type="http://schemas.openxmlformats.org/officeDocument/2006/relationships/hyperlink" Target="https://tietoevry.sharepoint.com/:w:/s/Udbud/IQA9I2m382J9TZitwtdxRpoUAf-6aeE8XHlRR395RzabeOY?e=rn51jE" TargetMode="External"/><Relationship Id="rId59" Type="http://schemas.openxmlformats.org/officeDocument/2006/relationships/hyperlink" Target="https://tietoevry.sharepoint.com/:w:/s/Udbud/IQA7OhiaihjIR5qn5868RSSJAU18RUFQHk_HmolFoDoVUxA?e=cg1t4J" TargetMode="External"/><Relationship Id="rId20" Type="http://schemas.openxmlformats.org/officeDocument/2006/relationships/hyperlink" Target="https://tietoevry.sharepoint.com/:w:/s/Udbud/IQD0_P8S3p9zQI1HlNdvfYyhAQzQUtgC96-4aqQMovQL62g?e=eOQlrm" TargetMode="External"/><Relationship Id="rId41" Type="http://schemas.openxmlformats.org/officeDocument/2006/relationships/hyperlink" Target="https://tietoevry.sharepoint.com/:w:/s/Udbud/IQD3GK9VtbDEQrsLsgPZo2rmAQEI5EGhBsPleaDaQIc2Jcw?e=sWlWf8" TargetMode="External"/><Relationship Id="rId54" Type="http://schemas.openxmlformats.org/officeDocument/2006/relationships/hyperlink" Target="https://tietoevry.sharepoint.com/:w:/s/Udbud/IQC1RlR9kHomTq9nseHFBjbtAc9A-C5L29UQByvZgkZwjRg?e=JNvrMl" TargetMode="External"/><Relationship Id="rId62" Type="http://schemas.openxmlformats.org/officeDocument/2006/relationships/printerSettings" Target="../printerSettings/printerSettings1.bin"/><Relationship Id="rId1" Type="http://schemas.openxmlformats.org/officeDocument/2006/relationships/hyperlink" Target="https://tietoevry.sharepoint.com/:w:/s/Udbud/IQDjUbtqjr5pQY1XgWzmZhe9AfmRcp8p_17QXHnruB0Q12M?e=jrAeu4" TargetMode="External"/><Relationship Id="rId6" Type="http://schemas.openxmlformats.org/officeDocument/2006/relationships/hyperlink" Target="https://tietoevry.sharepoint.com/:w:/s/Udbud/IQBJv4XLS9eTQ4wnDeQuAaKVAWshXPTqpW6tLVEiHoFbixQ?e=dPjceC" TargetMode="External"/><Relationship Id="rId15" Type="http://schemas.openxmlformats.org/officeDocument/2006/relationships/hyperlink" Target="https://tietoevry.sharepoint.com/:w:/s/Udbud/IQDLRXfqKFW4QrnG6U5cMDlGAZ8mmJaLnMUrBqB8fWE1SM0?e=mhY5Rs" TargetMode="External"/><Relationship Id="rId23" Type="http://schemas.openxmlformats.org/officeDocument/2006/relationships/hyperlink" Target="https://tietoevry.sharepoint.com/:w:/s/Udbud/IQAWletvTERgRrf6YLJnhxmrAfgrC6VQZ5hnTrqgtfZgH_s?e=U4fHG9" TargetMode="External"/><Relationship Id="rId28" Type="http://schemas.openxmlformats.org/officeDocument/2006/relationships/hyperlink" Target="https://tietoevry.sharepoint.com/:w:/s/Udbud/IQBSngnscBvbTqc-qZduQldBAdjh3c1V5kaOAJOlL_UoNNE?e=YLeH5W" TargetMode="External"/><Relationship Id="rId36" Type="http://schemas.openxmlformats.org/officeDocument/2006/relationships/hyperlink" Target="https://tietoevry.sharepoint.com/:w:/s/Udbud/IQBu9ycix34oQoFat3eBi1RQAezFT9hkY1FJs4MgZIKRFgM?e=KfKiei" TargetMode="External"/><Relationship Id="rId49" Type="http://schemas.openxmlformats.org/officeDocument/2006/relationships/hyperlink" Target="https://tietoevry.sharepoint.com/:w:/s/Udbud/IQAKnCVTyKvjSIeJM4nCoROWAcpLWsy2UeFXXJMP9ZWtNAc?e=ePzdk7" TargetMode="External"/><Relationship Id="rId57" Type="http://schemas.openxmlformats.org/officeDocument/2006/relationships/hyperlink" Target="https://tietoevry.sharepoint.com/:w:/s/Udbud/IQCV-nhcNOuNTYYVcVOFsuLNAfklqPm4_qRfPVEF1qBB1KQ?e=zJ5zj2" TargetMode="External"/><Relationship Id="rId10" Type="http://schemas.openxmlformats.org/officeDocument/2006/relationships/hyperlink" Target="https://tietoevry.sharepoint.com/:w:/s/Udbud/IQA7L8TBWrAVQ7kNDULLFkwkAeetleAxpkgtJMkO-ADLkaw?e=B1SKHu" TargetMode="External"/><Relationship Id="rId31" Type="http://schemas.openxmlformats.org/officeDocument/2006/relationships/hyperlink" Target="https://tietoevry.sharepoint.com/:w:/s/Udbud/IQAjhJFnlq2URKgBo50Y3Nq6AXCG2hiXaioRbwdzzChjt64?e=uUWGqX" TargetMode="External"/><Relationship Id="rId44" Type="http://schemas.openxmlformats.org/officeDocument/2006/relationships/hyperlink" Target="https://tietoevry.sharepoint.com/:w:/s/Udbud/IQDsslYXkfAER6CHgRz5tVFGAdfrrwJI6zrlTTwd7yY8JEM?e=bYgz3b" TargetMode="External"/><Relationship Id="rId52" Type="http://schemas.openxmlformats.org/officeDocument/2006/relationships/hyperlink" Target="https://tietoevry.sharepoint.com/:w:/s/Udbud/IQBeNAeiBs-0RIceKd8k1KfqAWI-_nv6Y-6zGnzeYGG7dAU?e=s8UHWn" TargetMode="External"/><Relationship Id="rId60" Type="http://schemas.openxmlformats.org/officeDocument/2006/relationships/hyperlink" Target="https://tietoevry.sharepoint.com/:w:/s/Udbud/IQAqCR9-VFAnTbQHNVnMTXh2AV_6i8mCBhdncxifSoENN6E?e=Ic0Vvc" TargetMode="External"/><Relationship Id="rId65" Type="http://schemas.microsoft.com/office/2017/10/relationships/threadedComment" Target="../threadedComments/threadedComment1.xml"/><Relationship Id="rId4" Type="http://schemas.openxmlformats.org/officeDocument/2006/relationships/hyperlink" Target="https://tietoevry.sharepoint.com/:w:/s/Udbud/IQDtN_i6AywrT5YqOuS1gJvlAbD-C6xD7YxF3XRC7pM02aE?e=KFv2cv" TargetMode="External"/><Relationship Id="rId9" Type="http://schemas.openxmlformats.org/officeDocument/2006/relationships/hyperlink" Target="https://tietoevry.sharepoint.com/:w:/s/Udbud/IQBtK_OXadXwS6d6dwwqDMHRAS3Y2SfiCfl1JMTbSCOrGNI?e=9Dws2J" TargetMode="External"/><Relationship Id="rId13" Type="http://schemas.openxmlformats.org/officeDocument/2006/relationships/hyperlink" Target="https://tietoevry.sharepoint.com/:w:/s/Udbud/IQBIZptYS7P5T47rtvFfN65sAb_PKCM7otsrwuZZuTeUyDc?e=LM6uln" TargetMode="External"/><Relationship Id="rId18" Type="http://schemas.openxmlformats.org/officeDocument/2006/relationships/hyperlink" Target="https://tietoevry.sharepoint.com/:w:/s/Udbud/IQBbsq-C6wYvSojma9VYqyeCAYrpuLD8GOesOAQNQmd1T_M?e=zuarB6" TargetMode="External"/><Relationship Id="rId39" Type="http://schemas.openxmlformats.org/officeDocument/2006/relationships/hyperlink" Target="https://tietoevry.sharepoint.com/:w:/s/Udbud/IQBtBRHJPpeKTJo3t1D-XThfAd3Yl0epWPa9s20evWRAJ8o?e=evOJ8U"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E93EC-F2E3-4848-BD29-CE38EA57B900}">
  <sheetPr filterMode="1">
    <tabColor theme="5"/>
  </sheetPr>
  <dimension ref="A1:Y1344"/>
  <sheetViews>
    <sheetView tabSelected="1" zoomScale="130" zoomScaleNormal="130" workbookViewId="0">
      <pane ySplit="1" topLeftCell="A124" activePane="bottomLeft" state="frozen"/>
      <selection pane="bottomLeft" activeCell="G124" sqref="G124"/>
    </sheetView>
  </sheetViews>
  <sheetFormatPr defaultColWidth="14.4609375" defaultRowHeight="16"/>
  <cols>
    <col min="1" max="1" width="4" style="36" bestFit="1" customWidth="1"/>
    <col min="2" max="2" width="7.69140625" style="36" bestFit="1" customWidth="1"/>
    <col min="3" max="3" width="9.3046875" style="36" customWidth="1"/>
    <col min="4" max="4" width="12.4609375" style="38" customWidth="1"/>
    <col min="5" max="5" width="14.4609375" style="36"/>
    <col min="6" max="6" width="14.4609375" style="36" bestFit="1"/>
    <col min="7" max="7" width="45" style="36" bestFit="1" customWidth="1"/>
    <col min="8" max="12" width="14.4609375" style="36"/>
    <col min="14" max="14" width="14.4609375" style="40"/>
    <col min="15" max="17" width="14.4609375" style="36"/>
    <col min="18" max="18" width="15.4609375" style="36" customWidth="1"/>
    <col min="19" max="19" width="46.07421875" style="36" customWidth="1"/>
    <col min="20" max="20" width="12" style="36" bestFit="1" customWidth="1"/>
    <col min="21" max="21" width="9" style="36" customWidth="1"/>
    <col min="22" max="22" width="6" style="36" customWidth="1"/>
    <col min="23" max="23" width="14.4609375" style="36" bestFit="1" customWidth="1"/>
    <col min="24" max="24" width="14.4609375" style="36"/>
    <col min="25" max="25" width="14.4609375" style="44"/>
    <col min="26" max="16384" width="14.4609375" style="36"/>
  </cols>
  <sheetData>
    <row r="1" spans="1:25" s="52" customFormat="1" ht="32">
      <c r="A1" s="45" t="s">
        <v>0</v>
      </c>
      <c r="B1" s="45" t="s">
        <v>1</v>
      </c>
      <c r="C1" s="46" t="s">
        <v>2</v>
      </c>
      <c r="D1" s="45" t="s">
        <v>3</v>
      </c>
      <c r="E1" s="57" t="s">
        <v>4</v>
      </c>
      <c r="F1" s="45" t="s">
        <v>5</v>
      </c>
      <c r="G1" s="45" t="s">
        <v>6</v>
      </c>
      <c r="H1" s="45" t="s">
        <v>7</v>
      </c>
      <c r="I1" s="45" t="s">
        <v>8</v>
      </c>
      <c r="J1" s="46" t="s">
        <v>9</v>
      </c>
      <c r="K1" s="46" t="s">
        <v>10</v>
      </c>
      <c r="L1" s="46" t="s">
        <v>11</v>
      </c>
      <c r="M1" s="45" t="s">
        <v>12</v>
      </c>
      <c r="N1" s="47" t="s">
        <v>13</v>
      </c>
      <c r="O1" s="48" t="s">
        <v>14</v>
      </c>
      <c r="P1" s="49" t="s">
        <v>15</v>
      </c>
      <c r="Q1" s="50" t="s">
        <v>16</v>
      </c>
      <c r="R1" s="50" t="s">
        <v>17</v>
      </c>
      <c r="S1" s="50" t="s">
        <v>18</v>
      </c>
      <c r="T1" s="50" t="s">
        <v>19</v>
      </c>
      <c r="U1" s="50" t="s">
        <v>20</v>
      </c>
      <c r="V1" s="50" t="s">
        <v>21</v>
      </c>
      <c r="W1" s="50" t="s">
        <v>22</v>
      </c>
      <c r="X1" s="49" t="s">
        <v>23</v>
      </c>
      <c r="Y1" s="49" t="s">
        <v>24</v>
      </c>
    </row>
    <row r="2" spans="1:25" ht="384" hidden="1">
      <c r="A2" s="38">
        <v>1</v>
      </c>
      <c r="B2" s="38" t="s">
        <v>25</v>
      </c>
      <c r="C2" s="39" t="s">
        <v>26</v>
      </c>
      <c r="D2" s="38" t="s">
        <v>27</v>
      </c>
      <c r="E2" s="41" t="s">
        <v>28</v>
      </c>
      <c r="F2" s="38" t="s">
        <v>29</v>
      </c>
      <c r="G2" s="38" t="s">
        <v>30</v>
      </c>
      <c r="H2" s="38" t="s">
        <v>31</v>
      </c>
      <c r="I2" s="38" t="s">
        <v>32</v>
      </c>
      <c r="J2" s="39" t="str">
        <f t="shared" ref="J2:J22" si="0">IF(I2="IK - Informationskrav","Answer",(IF(I2="K - Konkurrencekrav","Check",(IF(I2="MK - Mindstekrav","Verify","")))))</f>
        <v>Answer</v>
      </c>
      <c r="K2" s="39" t="s">
        <v>33</v>
      </c>
      <c r="L2" s="39">
        <v>1</v>
      </c>
      <c r="M2" s="79">
        <v>4</v>
      </c>
      <c r="O2" s="41" t="s">
        <v>34</v>
      </c>
      <c r="P2" s="38"/>
      <c r="Q2" s="38"/>
      <c r="R2" s="38"/>
      <c r="S2" s="38" t="s">
        <v>35</v>
      </c>
      <c r="T2" s="38"/>
      <c r="U2" s="38"/>
      <c r="V2" s="38"/>
      <c r="W2" s="71" t="s">
        <v>36</v>
      </c>
      <c r="X2" s="38" t="s">
        <v>37</v>
      </c>
      <c r="Y2" s="43">
        <f>IF(X2="Not Started",0%,IF(X2="Read",1%,IF(X2="Started",50%,IF(X2="Ready for review",70%,IF(X2="Reviewed - Content",80%,IF(X2="Reviewed - Format",90%,IF(X2="Done",100%,"")))))))</f>
        <v>0</v>
      </c>
    </row>
    <row r="3" spans="1:25" ht="208" hidden="1">
      <c r="A3" s="38">
        <v>2</v>
      </c>
      <c r="B3" s="38" t="s">
        <v>38</v>
      </c>
      <c r="C3" s="39" t="s">
        <v>26</v>
      </c>
      <c r="D3" s="38" t="s">
        <v>27</v>
      </c>
      <c r="E3" s="41" t="s">
        <v>39</v>
      </c>
      <c r="F3" s="38" t="s">
        <v>39</v>
      </c>
      <c r="G3" s="38" t="s">
        <v>40</v>
      </c>
      <c r="H3" s="38" t="s">
        <v>41</v>
      </c>
      <c r="I3" s="38" t="s">
        <v>32</v>
      </c>
      <c r="J3" s="39" t="str">
        <f t="shared" si="0"/>
        <v>Answer</v>
      </c>
      <c r="K3" s="39" t="s">
        <v>42</v>
      </c>
      <c r="L3" s="39">
        <v>1</v>
      </c>
      <c r="M3" s="79">
        <v>8</v>
      </c>
      <c r="O3" s="41" t="s">
        <v>34</v>
      </c>
      <c r="P3" s="38"/>
      <c r="Q3" s="38"/>
      <c r="R3" s="38"/>
      <c r="S3" s="38"/>
      <c r="T3" s="38"/>
      <c r="U3" s="38"/>
      <c r="V3" s="38"/>
      <c r="W3" s="71" t="s">
        <v>43</v>
      </c>
      <c r="X3" s="38" t="s">
        <v>37</v>
      </c>
      <c r="Y3" s="43">
        <f t="shared" ref="Y3:Y66" si="1">IF(X3="Not Started",0%,IF(X3="Read",1%,IF(X3="Started",50%,IF(X3="Ready for review",70%,IF(X3="Reviewed - Content",80%,IF(X3="Reviewed - Format",90%,IF(X3="Done",100%,"")))))))</f>
        <v>0</v>
      </c>
    </row>
    <row r="4" spans="1:25" ht="304" hidden="1">
      <c r="A4" s="38">
        <v>3</v>
      </c>
      <c r="B4" s="38" t="s">
        <v>44</v>
      </c>
      <c r="C4" s="39" t="s">
        <v>26</v>
      </c>
      <c r="D4" s="38" t="s">
        <v>45</v>
      </c>
      <c r="E4" s="41" t="s">
        <v>46</v>
      </c>
      <c r="F4" s="38" t="s">
        <v>47</v>
      </c>
      <c r="G4" s="38" t="s">
        <v>48</v>
      </c>
      <c r="H4" s="38" t="s">
        <v>41</v>
      </c>
      <c r="I4" s="38" t="s">
        <v>32</v>
      </c>
      <c r="J4" s="39" t="str">
        <f t="shared" si="0"/>
        <v>Answer</v>
      </c>
      <c r="K4" s="39" t="s">
        <v>33</v>
      </c>
      <c r="L4" s="39">
        <v>2</v>
      </c>
      <c r="M4" s="80">
        <f>Evalueringshieraki!$Q$16</f>
        <v>0.970873786407767</v>
      </c>
      <c r="O4" s="41" t="s">
        <v>34</v>
      </c>
      <c r="P4" s="38"/>
      <c r="Q4" s="38"/>
      <c r="R4" s="38"/>
      <c r="S4" s="38"/>
      <c r="T4" s="38"/>
      <c r="U4" s="38"/>
      <c r="V4" s="38"/>
      <c r="W4" s="71" t="s">
        <v>49</v>
      </c>
      <c r="X4" s="38" t="s">
        <v>37</v>
      </c>
      <c r="Y4" s="43">
        <f t="shared" si="1"/>
        <v>0</v>
      </c>
    </row>
    <row r="5" spans="1:25" ht="409.5" hidden="1">
      <c r="A5" s="38">
        <v>4</v>
      </c>
      <c r="B5" s="38" t="s">
        <v>50</v>
      </c>
      <c r="C5" s="39" t="s">
        <v>26</v>
      </c>
      <c r="D5" s="38" t="s">
        <v>45</v>
      </c>
      <c r="E5" s="41" t="s">
        <v>51</v>
      </c>
      <c r="F5" s="38" t="s">
        <v>51</v>
      </c>
      <c r="G5" s="38" t="s">
        <v>52</v>
      </c>
      <c r="H5" s="38" t="s">
        <v>53</v>
      </c>
      <c r="I5" s="38" t="s">
        <v>32</v>
      </c>
      <c r="J5" s="39" t="str">
        <f t="shared" si="0"/>
        <v>Answer</v>
      </c>
      <c r="K5" s="39" t="s">
        <v>42</v>
      </c>
      <c r="L5" s="39">
        <v>3</v>
      </c>
      <c r="M5" s="78">
        <v>30</v>
      </c>
      <c r="O5" s="41" t="s">
        <v>54</v>
      </c>
      <c r="P5" s="38" t="s">
        <v>55</v>
      </c>
      <c r="Q5" s="38"/>
      <c r="R5" s="38"/>
      <c r="S5" s="38"/>
      <c r="T5" s="38"/>
      <c r="U5" s="38"/>
      <c r="V5" s="38"/>
      <c r="W5" s="71" t="s">
        <v>56</v>
      </c>
      <c r="X5" s="38" t="s">
        <v>57</v>
      </c>
      <c r="Y5" s="43">
        <f t="shared" si="1"/>
        <v>0.5</v>
      </c>
    </row>
    <row r="6" spans="1:25" ht="288" hidden="1">
      <c r="A6" s="38">
        <v>5</v>
      </c>
      <c r="B6" s="38" t="s">
        <v>58</v>
      </c>
      <c r="C6" s="39" t="s">
        <v>26</v>
      </c>
      <c r="D6" s="38" t="s">
        <v>45</v>
      </c>
      <c r="E6" s="41" t="s">
        <v>59</v>
      </c>
      <c r="F6" s="38" t="s">
        <v>60</v>
      </c>
      <c r="G6" s="38" t="s">
        <v>61</v>
      </c>
      <c r="H6" s="38" t="s">
        <v>53</v>
      </c>
      <c r="I6" s="38" t="s">
        <v>32</v>
      </c>
      <c r="J6" s="39" t="str">
        <f t="shared" si="0"/>
        <v>Answer</v>
      </c>
      <c r="K6" s="39" t="s">
        <v>33</v>
      </c>
      <c r="L6" s="39">
        <v>1</v>
      </c>
      <c r="M6" s="79">
        <v>8</v>
      </c>
      <c r="O6" s="41" t="s">
        <v>62</v>
      </c>
      <c r="P6" s="38"/>
      <c r="Q6" s="38"/>
      <c r="R6" s="38"/>
      <c r="S6" s="38" t="s">
        <v>63</v>
      </c>
      <c r="T6" s="38"/>
      <c r="U6" s="38"/>
      <c r="V6" s="38"/>
      <c r="W6" s="71" t="s">
        <v>64</v>
      </c>
      <c r="X6" s="38" t="s">
        <v>37</v>
      </c>
      <c r="Y6" s="43">
        <f t="shared" si="1"/>
        <v>0</v>
      </c>
    </row>
    <row r="7" spans="1:25" ht="409.5" hidden="1">
      <c r="A7" s="38">
        <v>6</v>
      </c>
      <c r="B7" s="38" t="s">
        <v>65</v>
      </c>
      <c r="C7" s="39" t="s">
        <v>26</v>
      </c>
      <c r="D7" s="38" t="s">
        <v>66</v>
      </c>
      <c r="E7" s="41" t="s">
        <v>67</v>
      </c>
      <c r="F7" s="38" t="s">
        <v>68</v>
      </c>
      <c r="G7" s="38" t="s">
        <v>69</v>
      </c>
      <c r="H7" s="38"/>
      <c r="I7" s="38" t="s">
        <v>32</v>
      </c>
      <c r="J7" s="39" t="str">
        <f t="shared" si="0"/>
        <v>Answer</v>
      </c>
      <c r="K7" s="39" t="s">
        <v>42</v>
      </c>
      <c r="L7" s="39">
        <v>2</v>
      </c>
      <c r="M7" s="77">
        <f>Evalueringshieraki!$P$16</f>
        <v>0.4854368932038835</v>
      </c>
      <c r="O7" s="41" t="s">
        <v>70</v>
      </c>
      <c r="P7" s="38"/>
      <c r="Q7" s="38"/>
      <c r="R7" s="38"/>
      <c r="S7" s="38"/>
      <c r="T7" s="38"/>
      <c r="U7" s="38"/>
      <c r="V7" s="38"/>
      <c r="W7" s="71" t="s">
        <v>71</v>
      </c>
      <c r="X7" s="38" t="s">
        <v>37</v>
      </c>
      <c r="Y7" s="43">
        <f t="shared" si="1"/>
        <v>0</v>
      </c>
    </row>
    <row r="8" spans="1:25" ht="272" hidden="1">
      <c r="A8" s="38">
        <v>7</v>
      </c>
      <c r="B8" s="38" t="s">
        <v>72</v>
      </c>
      <c r="C8" s="39" t="s">
        <v>26</v>
      </c>
      <c r="D8" s="38" t="s">
        <v>66</v>
      </c>
      <c r="E8" s="41" t="s">
        <v>67</v>
      </c>
      <c r="F8" s="38" t="s">
        <v>73</v>
      </c>
      <c r="G8" s="38" t="s">
        <v>74</v>
      </c>
      <c r="H8" s="38"/>
      <c r="I8" s="38" t="s">
        <v>32</v>
      </c>
      <c r="J8" s="39" t="str">
        <f t="shared" si="0"/>
        <v>Answer</v>
      </c>
      <c r="K8" s="39" t="s">
        <v>42</v>
      </c>
      <c r="L8" s="39">
        <v>2</v>
      </c>
      <c r="M8" s="77">
        <f>Evalueringshieraki!$P$16</f>
        <v>0.4854368932038835</v>
      </c>
      <c r="O8" s="41" t="s">
        <v>75</v>
      </c>
      <c r="P8" s="38"/>
      <c r="Q8" s="38"/>
      <c r="R8" s="38"/>
      <c r="S8" s="38"/>
      <c r="T8" s="38" t="s">
        <v>76</v>
      </c>
      <c r="U8" s="38"/>
      <c r="V8" s="38"/>
      <c r="W8" s="71" t="s">
        <v>77</v>
      </c>
      <c r="X8" s="38" t="s">
        <v>37</v>
      </c>
      <c r="Y8" s="43">
        <f t="shared" si="1"/>
        <v>0</v>
      </c>
    </row>
    <row r="9" spans="1:25" ht="80" hidden="1">
      <c r="A9" s="38">
        <v>8</v>
      </c>
      <c r="B9" s="38" t="s">
        <v>78</v>
      </c>
      <c r="C9" s="39" t="s">
        <v>26</v>
      </c>
      <c r="D9" s="38" t="s">
        <v>66</v>
      </c>
      <c r="E9" s="41" t="s">
        <v>67</v>
      </c>
      <c r="F9" s="38" t="s">
        <v>79</v>
      </c>
      <c r="G9" s="38" t="s">
        <v>80</v>
      </c>
      <c r="H9" s="38"/>
      <c r="I9" s="38" t="s">
        <v>81</v>
      </c>
      <c r="J9" s="39" t="str">
        <f t="shared" si="0"/>
        <v>Check</v>
      </c>
      <c r="K9" s="39" t="s">
        <v>42</v>
      </c>
      <c r="L9" s="39">
        <v>2</v>
      </c>
      <c r="M9" s="77">
        <f>Evalueringshieraki!$P$16</f>
        <v>0.4854368932038835</v>
      </c>
      <c r="O9" s="41" t="s">
        <v>75</v>
      </c>
      <c r="P9" s="38"/>
      <c r="Q9" s="38"/>
      <c r="R9" s="38" t="s">
        <v>82</v>
      </c>
      <c r="S9" s="38" t="s">
        <v>83</v>
      </c>
      <c r="T9" s="38" t="s">
        <v>76</v>
      </c>
      <c r="U9" s="38"/>
      <c r="V9" s="38"/>
      <c r="W9" s="38"/>
      <c r="X9" s="38" t="s">
        <v>37</v>
      </c>
      <c r="Y9" s="43">
        <f t="shared" si="1"/>
        <v>0</v>
      </c>
    </row>
    <row r="10" spans="1:25" ht="64" hidden="1">
      <c r="A10" s="38">
        <v>9</v>
      </c>
      <c r="B10" s="38" t="s">
        <v>84</v>
      </c>
      <c r="C10" s="39" t="s">
        <v>26</v>
      </c>
      <c r="D10" s="38" t="s">
        <v>66</v>
      </c>
      <c r="E10" s="41" t="s">
        <v>67</v>
      </c>
      <c r="F10" s="38" t="s">
        <v>79</v>
      </c>
      <c r="G10" s="38" t="s">
        <v>85</v>
      </c>
      <c r="H10" s="38"/>
      <c r="I10" s="38" t="s">
        <v>81</v>
      </c>
      <c r="J10" s="39" t="str">
        <f t="shared" si="0"/>
        <v>Check</v>
      </c>
      <c r="K10" s="39" t="s">
        <v>42</v>
      </c>
      <c r="L10" s="39">
        <v>2</v>
      </c>
      <c r="M10" s="77">
        <f>Evalueringshieraki!$P$16</f>
        <v>0.4854368932038835</v>
      </c>
      <c r="O10" s="41" t="s">
        <v>54</v>
      </c>
      <c r="P10" s="38"/>
      <c r="Q10" s="38"/>
      <c r="R10" s="38" t="s">
        <v>82</v>
      </c>
      <c r="S10" s="38"/>
      <c r="T10" s="38"/>
      <c r="U10" s="38"/>
      <c r="V10" s="38"/>
      <c r="W10" s="38"/>
      <c r="X10" s="38" t="s">
        <v>86</v>
      </c>
      <c r="Y10" s="43">
        <f t="shared" si="1"/>
        <v>0.7</v>
      </c>
    </row>
    <row r="11" spans="1:25" ht="64" hidden="1">
      <c r="A11" s="38">
        <v>10</v>
      </c>
      <c r="B11" s="38" t="s">
        <v>87</v>
      </c>
      <c r="C11" s="39" t="s">
        <v>26</v>
      </c>
      <c r="D11" s="38" t="s">
        <v>66</v>
      </c>
      <c r="E11" s="41" t="s">
        <v>67</v>
      </c>
      <c r="F11" s="38" t="s">
        <v>79</v>
      </c>
      <c r="G11" s="38" t="s">
        <v>88</v>
      </c>
      <c r="H11" s="38"/>
      <c r="I11" s="38" t="s">
        <v>81</v>
      </c>
      <c r="J11" s="39" t="str">
        <f t="shared" si="0"/>
        <v>Check</v>
      </c>
      <c r="K11" s="39" t="s">
        <v>42</v>
      </c>
      <c r="L11" s="39">
        <v>2</v>
      </c>
      <c r="M11" s="77">
        <f>Evalueringshieraki!$P$16</f>
        <v>0.4854368932038835</v>
      </c>
      <c r="O11" s="41" t="s">
        <v>54</v>
      </c>
      <c r="P11" s="38"/>
      <c r="Q11" s="38"/>
      <c r="R11" s="38" t="s">
        <v>82</v>
      </c>
      <c r="S11" s="38"/>
      <c r="T11" s="38"/>
      <c r="U11" s="38"/>
      <c r="V11" s="38"/>
      <c r="W11" s="38"/>
      <c r="X11" s="38" t="s">
        <v>86</v>
      </c>
      <c r="Y11" s="43">
        <f t="shared" si="1"/>
        <v>0.7</v>
      </c>
    </row>
    <row r="12" spans="1:25" ht="288" hidden="1">
      <c r="A12" s="38">
        <v>11</v>
      </c>
      <c r="B12" s="38" t="s">
        <v>89</v>
      </c>
      <c r="C12" s="39" t="s">
        <v>26</v>
      </c>
      <c r="D12" s="38" t="s">
        <v>66</v>
      </c>
      <c r="E12" s="41" t="s">
        <v>67</v>
      </c>
      <c r="F12" s="38" t="s">
        <v>90</v>
      </c>
      <c r="G12" s="38" t="s">
        <v>91</v>
      </c>
      <c r="H12" s="38"/>
      <c r="I12" s="38" t="s">
        <v>32</v>
      </c>
      <c r="J12" s="39" t="str">
        <f t="shared" si="0"/>
        <v>Answer</v>
      </c>
      <c r="K12" s="39" t="s">
        <v>33</v>
      </c>
      <c r="L12" s="39">
        <v>2</v>
      </c>
      <c r="M12" s="80">
        <f>Evalueringshieraki!$Q$16</f>
        <v>0.970873786407767</v>
      </c>
      <c r="O12" s="41" t="s">
        <v>92</v>
      </c>
      <c r="P12" s="38"/>
      <c r="Q12" s="38"/>
      <c r="R12" s="38"/>
      <c r="S12" s="38"/>
      <c r="T12" s="38"/>
      <c r="U12" s="38"/>
      <c r="V12" s="38"/>
      <c r="W12" s="71" t="s">
        <v>93</v>
      </c>
      <c r="X12" s="38" t="s">
        <v>94</v>
      </c>
      <c r="Y12" s="43">
        <f t="shared" si="1"/>
        <v>0.01</v>
      </c>
    </row>
    <row r="13" spans="1:25" ht="409.5" hidden="1">
      <c r="A13" s="38">
        <v>12</v>
      </c>
      <c r="B13" s="38" t="s">
        <v>95</v>
      </c>
      <c r="C13" s="39" t="s">
        <v>26</v>
      </c>
      <c r="D13" s="38" t="s">
        <v>66</v>
      </c>
      <c r="E13" s="41" t="s">
        <v>96</v>
      </c>
      <c r="F13" s="38" t="s">
        <v>97</v>
      </c>
      <c r="G13" s="38" t="s">
        <v>98</v>
      </c>
      <c r="H13" s="38"/>
      <c r="I13" s="38" t="s">
        <v>32</v>
      </c>
      <c r="J13" s="39" t="str">
        <f t="shared" si="0"/>
        <v>Answer</v>
      </c>
      <c r="K13" s="39" t="s">
        <v>42</v>
      </c>
      <c r="L13" s="39">
        <v>2</v>
      </c>
      <c r="M13" s="77">
        <f>Evalueringshieraki!$P$16</f>
        <v>0.4854368932038835</v>
      </c>
      <c r="O13" s="41" t="s">
        <v>99</v>
      </c>
      <c r="P13" s="38"/>
      <c r="Q13" s="38"/>
      <c r="R13" s="38" t="s">
        <v>82</v>
      </c>
      <c r="S13" s="38" t="s">
        <v>100</v>
      </c>
      <c r="T13" s="38" t="s">
        <v>76</v>
      </c>
      <c r="U13" s="38"/>
      <c r="V13" s="38"/>
      <c r="W13" s="71" t="s">
        <v>101</v>
      </c>
      <c r="X13" s="38" t="s">
        <v>86</v>
      </c>
      <c r="Y13" s="43">
        <f t="shared" si="1"/>
        <v>0.7</v>
      </c>
    </row>
    <row r="14" spans="1:25" ht="48" hidden="1">
      <c r="A14" s="38">
        <v>13</v>
      </c>
      <c r="B14" s="38" t="s">
        <v>102</v>
      </c>
      <c r="C14" s="39" t="s">
        <v>26</v>
      </c>
      <c r="D14" s="38" t="s">
        <v>66</v>
      </c>
      <c r="E14" s="41" t="s">
        <v>103</v>
      </c>
      <c r="F14" s="38" t="s">
        <v>79</v>
      </c>
      <c r="G14" s="38" t="s">
        <v>104</v>
      </c>
      <c r="H14" s="38"/>
      <c r="I14" s="38" t="s">
        <v>81</v>
      </c>
      <c r="J14" s="39" t="str">
        <f t="shared" si="0"/>
        <v>Check</v>
      </c>
      <c r="K14" s="39" t="s">
        <v>42</v>
      </c>
      <c r="L14" s="39">
        <v>2</v>
      </c>
      <c r="M14" s="77">
        <f>Evalueringshieraki!$P$16</f>
        <v>0.4854368932038835</v>
      </c>
      <c r="O14" s="41" t="s">
        <v>99</v>
      </c>
      <c r="P14" s="38"/>
      <c r="Q14" s="38"/>
      <c r="R14" s="38"/>
      <c r="S14" s="38" t="s">
        <v>105</v>
      </c>
      <c r="T14" s="38" t="s">
        <v>76</v>
      </c>
      <c r="U14" s="38"/>
      <c r="V14" s="38"/>
      <c r="W14" s="38"/>
      <c r="X14" s="38" t="s">
        <v>86</v>
      </c>
      <c r="Y14" s="43">
        <f t="shared" si="1"/>
        <v>0.7</v>
      </c>
    </row>
    <row r="15" spans="1:25" ht="48" hidden="1">
      <c r="A15" s="38">
        <v>14</v>
      </c>
      <c r="B15" s="38" t="s">
        <v>106</v>
      </c>
      <c r="C15" s="39" t="s">
        <v>26</v>
      </c>
      <c r="D15" s="38" t="s">
        <v>66</v>
      </c>
      <c r="E15" s="41" t="s">
        <v>103</v>
      </c>
      <c r="F15" s="38" t="s">
        <v>79</v>
      </c>
      <c r="G15" s="38" t="s">
        <v>107</v>
      </c>
      <c r="H15" s="38"/>
      <c r="I15" s="38" t="s">
        <v>81</v>
      </c>
      <c r="J15" s="39" t="str">
        <f t="shared" si="0"/>
        <v>Check</v>
      </c>
      <c r="K15" s="39" t="s">
        <v>42</v>
      </c>
      <c r="L15" s="39">
        <v>2</v>
      </c>
      <c r="M15" s="77">
        <f>Evalueringshieraki!$P$16</f>
        <v>0.4854368932038835</v>
      </c>
      <c r="O15" s="41" t="s">
        <v>70</v>
      </c>
      <c r="P15" s="38"/>
      <c r="Q15" s="38"/>
      <c r="R15" s="38" t="s">
        <v>82</v>
      </c>
      <c r="S15" s="38"/>
      <c r="T15" s="38"/>
      <c r="U15" s="38"/>
      <c r="V15" s="38"/>
      <c r="W15" s="38"/>
      <c r="X15" s="38" t="s">
        <v>37</v>
      </c>
      <c r="Y15" s="43">
        <f t="shared" si="1"/>
        <v>0</v>
      </c>
    </row>
    <row r="16" spans="1:25" ht="48" hidden="1">
      <c r="A16" s="38">
        <v>15</v>
      </c>
      <c r="B16" s="38" t="s">
        <v>108</v>
      </c>
      <c r="C16" s="39" t="s">
        <v>26</v>
      </c>
      <c r="D16" s="38" t="s">
        <v>66</v>
      </c>
      <c r="E16" s="41" t="s">
        <v>103</v>
      </c>
      <c r="F16" s="38" t="s">
        <v>79</v>
      </c>
      <c r="G16" s="38" t="s">
        <v>109</v>
      </c>
      <c r="H16" s="38"/>
      <c r="I16" s="38" t="s">
        <v>81</v>
      </c>
      <c r="J16" s="39" t="str">
        <f t="shared" si="0"/>
        <v>Check</v>
      </c>
      <c r="K16" s="39" t="s">
        <v>42</v>
      </c>
      <c r="L16" s="39">
        <v>2</v>
      </c>
      <c r="M16" s="77">
        <f>Evalueringshieraki!$P$16</f>
        <v>0.4854368932038835</v>
      </c>
      <c r="O16" s="41" t="s">
        <v>54</v>
      </c>
      <c r="P16" s="38"/>
      <c r="Q16" s="38"/>
      <c r="R16" s="38" t="s">
        <v>82</v>
      </c>
      <c r="S16" s="38"/>
      <c r="T16" s="38"/>
      <c r="U16" s="38"/>
      <c r="V16" s="38"/>
      <c r="W16" s="38"/>
      <c r="X16" s="38" t="s">
        <v>86</v>
      </c>
      <c r="Y16" s="43">
        <f t="shared" si="1"/>
        <v>0.7</v>
      </c>
    </row>
    <row r="17" spans="1:25" ht="48" hidden="1">
      <c r="A17" s="38">
        <v>16</v>
      </c>
      <c r="B17" s="38" t="s">
        <v>110</v>
      </c>
      <c r="C17" s="39" t="s">
        <v>26</v>
      </c>
      <c r="D17" s="38" t="s">
        <v>66</v>
      </c>
      <c r="E17" s="41" t="s">
        <v>103</v>
      </c>
      <c r="F17" s="38" t="s">
        <v>79</v>
      </c>
      <c r="G17" s="38" t="s">
        <v>111</v>
      </c>
      <c r="H17" s="38"/>
      <c r="I17" s="38" t="s">
        <v>81</v>
      </c>
      <c r="J17" s="39" t="str">
        <f t="shared" si="0"/>
        <v>Check</v>
      </c>
      <c r="K17" s="39" t="s">
        <v>42</v>
      </c>
      <c r="L17" s="39">
        <v>2</v>
      </c>
      <c r="M17" s="77">
        <f>Evalueringshieraki!$P$16</f>
        <v>0.4854368932038835</v>
      </c>
      <c r="O17" s="41" t="s">
        <v>54</v>
      </c>
      <c r="P17" s="38"/>
      <c r="Q17" s="38"/>
      <c r="R17" s="38" t="s">
        <v>82</v>
      </c>
      <c r="S17" s="38"/>
      <c r="T17" s="38"/>
      <c r="U17" s="38"/>
      <c r="V17" s="38"/>
      <c r="W17" s="38"/>
      <c r="X17" s="38" t="s">
        <v>86</v>
      </c>
      <c r="Y17" s="43">
        <f t="shared" si="1"/>
        <v>0.7</v>
      </c>
    </row>
    <row r="18" spans="1:25" ht="144" hidden="1">
      <c r="A18" s="38">
        <v>17</v>
      </c>
      <c r="B18" s="38" t="s">
        <v>112</v>
      </c>
      <c r="C18" s="39" t="s">
        <v>26</v>
      </c>
      <c r="D18" s="38" t="s">
        <v>66</v>
      </c>
      <c r="E18" s="41" t="s">
        <v>103</v>
      </c>
      <c r="F18" s="38" t="s">
        <v>113</v>
      </c>
      <c r="G18" s="38" t="s">
        <v>114</v>
      </c>
      <c r="H18" s="38"/>
      <c r="I18" s="38" t="s">
        <v>32</v>
      </c>
      <c r="J18" s="39" t="str">
        <f t="shared" si="0"/>
        <v>Answer</v>
      </c>
      <c r="K18" s="39" t="s">
        <v>42</v>
      </c>
      <c r="L18" s="39">
        <v>2</v>
      </c>
      <c r="M18" s="77">
        <f>Evalueringshieraki!$P$16</f>
        <v>0.4854368932038835</v>
      </c>
      <c r="O18" s="41" t="s">
        <v>92</v>
      </c>
      <c r="P18" s="38"/>
      <c r="Q18" s="38"/>
      <c r="R18" s="38"/>
      <c r="S18" s="38"/>
      <c r="T18" s="38"/>
      <c r="U18" s="38"/>
      <c r="V18" s="38"/>
      <c r="W18" s="71" t="s">
        <v>115</v>
      </c>
      <c r="X18" s="38" t="s">
        <v>37</v>
      </c>
      <c r="Y18" s="43">
        <f t="shared" si="1"/>
        <v>0</v>
      </c>
    </row>
    <row r="19" spans="1:25" ht="64" hidden="1">
      <c r="A19" s="38">
        <v>18</v>
      </c>
      <c r="B19" s="38" t="s">
        <v>116</v>
      </c>
      <c r="C19" s="39" t="s">
        <v>26</v>
      </c>
      <c r="D19" s="38" t="s">
        <v>66</v>
      </c>
      <c r="E19" s="41" t="s">
        <v>117</v>
      </c>
      <c r="F19" s="38" t="s">
        <v>118</v>
      </c>
      <c r="G19" s="38" t="s">
        <v>119</v>
      </c>
      <c r="H19" s="38"/>
      <c r="I19" s="38" t="s">
        <v>81</v>
      </c>
      <c r="J19" s="39" t="str">
        <f t="shared" si="0"/>
        <v>Check</v>
      </c>
      <c r="K19" s="39" t="s">
        <v>42</v>
      </c>
      <c r="L19" s="39">
        <v>2</v>
      </c>
      <c r="M19" s="77">
        <f>Evalueringshieraki!$P$16</f>
        <v>0.4854368932038835</v>
      </c>
      <c r="O19" s="41" t="s">
        <v>54</v>
      </c>
      <c r="P19" s="38"/>
      <c r="Q19" s="38"/>
      <c r="R19" s="38" t="s">
        <v>82</v>
      </c>
      <c r="S19" s="38"/>
      <c r="T19" s="38"/>
      <c r="U19" s="38"/>
      <c r="V19" s="38"/>
      <c r="W19" s="38"/>
      <c r="X19" s="38" t="s">
        <v>86</v>
      </c>
      <c r="Y19" s="43">
        <f t="shared" si="1"/>
        <v>0.7</v>
      </c>
    </row>
    <row r="20" spans="1:25" ht="96" hidden="1">
      <c r="A20" s="38">
        <v>19</v>
      </c>
      <c r="B20" s="38" t="s">
        <v>120</v>
      </c>
      <c r="C20" s="39" t="s">
        <v>26</v>
      </c>
      <c r="D20" s="38" t="s">
        <v>66</v>
      </c>
      <c r="E20" s="41" t="s">
        <v>117</v>
      </c>
      <c r="F20" s="38" t="s">
        <v>121</v>
      </c>
      <c r="G20" s="38" t="s">
        <v>122</v>
      </c>
      <c r="H20" s="38"/>
      <c r="I20" s="38" t="s">
        <v>81</v>
      </c>
      <c r="J20" s="39" t="str">
        <f t="shared" si="0"/>
        <v>Check</v>
      </c>
      <c r="K20" s="39" t="s">
        <v>42</v>
      </c>
      <c r="L20" s="39">
        <v>2</v>
      </c>
      <c r="M20" s="77">
        <f>Evalueringshieraki!$P$16</f>
        <v>0.4854368932038835</v>
      </c>
      <c r="O20" s="41" t="s">
        <v>70</v>
      </c>
      <c r="P20" s="38"/>
      <c r="Q20" s="38"/>
      <c r="R20" s="38" t="s">
        <v>82</v>
      </c>
      <c r="S20" s="38"/>
      <c r="T20" s="38"/>
      <c r="U20" s="38"/>
      <c r="V20" s="38"/>
      <c r="W20" s="38"/>
      <c r="X20" s="38" t="s">
        <v>37</v>
      </c>
      <c r="Y20" s="43">
        <f t="shared" si="1"/>
        <v>0</v>
      </c>
    </row>
    <row r="21" spans="1:25" ht="240" hidden="1">
      <c r="A21" s="38">
        <v>20</v>
      </c>
      <c r="B21" s="38" t="s">
        <v>123</v>
      </c>
      <c r="C21" s="39" t="s">
        <v>26</v>
      </c>
      <c r="D21" s="38" t="s">
        <v>66</v>
      </c>
      <c r="E21" s="41" t="s">
        <v>117</v>
      </c>
      <c r="F21" s="38" t="s">
        <v>124</v>
      </c>
      <c r="G21" s="38" t="s">
        <v>125</v>
      </c>
      <c r="H21" s="38"/>
      <c r="I21" s="38" t="s">
        <v>32</v>
      </c>
      <c r="J21" s="39" t="str">
        <f t="shared" si="0"/>
        <v>Answer</v>
      </c>
      <c r="K21" s="39" t="s">
        <v>42</v>
      </c>
      <c r="L21" s="39">
        <v>2</v>
      </c>
      <c r="M21" s="77">
        <f>Evalueringshieraki!$P$16</f>
        <v>0.4854368932038835</v>
      </c>
      <c r="O21" s="41" t="s">
        <v>92</v>
      </c>
      <c r="P21" s="38"/>
      <c r="Q21" s="38"/>
      <c r="R21" s="38"/>
      <c r="S21" s="38"/>
      <c r="T21" s="38"/>
      <c r="U21" s="38"/>
      <c r="V21" s="38"/>
      <c r="W21" s="71" t="s">
        <v>126</v>
      </c>
      <c r="X21" s="38" t="s">
        <v>37</v>
      </c>
      <c r="Y21" s="43">
        <f t="shared" si="1"/>
        <v>0</v>
      </c>
    </row>
    <row r="22" spans="1:25" ht="368" hidden="1">
      <c r="A22" s="38">
        <v>21</v>
      </c>
      <c r="B22" s="38" t="s">
        <v>127</v>
      </c>
      <c r="C22" s="39" t="s">
        <v>26</v>
      </c>
      <c r="D22" s="38" t="s">
        <v>66</v>
      </c>
      <c r="E22" s="41" t="s">
        <v>128</v>
      </c>
      <c r="F22" s="38" t="s">
        <v>129</v>
      </c>
      <c r="G22" s="38" t="s">
        <v>130</v>
      </c>
      <c r="H22" s="38"/>
      <c r="I22" s="38" t="s">
        <v>32</v>
      </c>
      <c r="J22" s="39" t="str">
        <f t="shared" si="0"/>
        <v>Answer</v>
      </c>
      <c r="K22" s="39" t="s">
        <v>42</v>
      </c>
      <c r="L22" s="39">
        <v>2</v>
      </c>
      <c r="M22" s="77">
        <f>Evalueringshieraki!$P$16</f>
        <v>0.4854368932038835</v>
      </c>
      <c r="O22" s="41" t="s">
        <v>131</v>
      </c>
      <c r="P22" s="38"/>
      <c r="Q22" s="38"/>
      <c r="R22" s="38"/>
      <c r="S22" s="38"/>
      <c r="T22" s="38"/>
      <c r="U22" s="38"/>
      <c r="V22" s="38"/>
      <c r="W22" s="71" t="s">
        <v>132</v>
      </c>
      <c r="X22" s="38" t="s">
        <v>37</v>
      </c>
      <c r="Y22" s="43">
        <f t="shared" si="1"/>
        <v>0</v>
      </c>
    </row>
    <row r="23" spans="1:25" ht="192" hidden="1">
      <c r="A23" s="38">
        <v>22</v>
      </c>
      <c r="B23" s="62" t="s">
        <v>133</v>
      </c>
      <c r="C23" s="39" t="s">
        <v>26</v>
      </c>
      <c r="D23" s="38" t="s">
        <v>66</v>
      </c>
      <c r="E23" s="41" t="s">
        <v>134</v>
      </c>
      <c r="F23" s="38" t="s">
        <v>134</v>
      </c>
      <c r="G23" s="38" t="s">
        <v>135</v>
      </c>
      <c r="H23" s="38"/>
      <c r="I23" s="38" t="s">
        <v>136</v>
      </c>
      <c r="J23" s="39" t="str">
        <f>IF(I23="IK - Informationskrav","Answer",(IF(I23="K - Konkurrencekrav","Check",(IF(I23="MK - Minimumskrav","Verify","")))))</f>
        <v>Verify</v>
      </c>
      <c r="K23" s="39"/>
      <c r="L23" s="39"/>
      <c r="M23" s="3"/>
      <c r="O23" s="41" t="s">
        <v>70</v>
      </c>
      <c r="P23" s="38"/>
      <c r="Q23" s="38"/>
      <c r="R23" s="38"/>
      <c r="S23" s="38" t="s">
        <v>137</v>
      </c>
      <c r="T23" s="38"/>
      <c r="U23" s="38"/>
      <c r="V23" s="38"/>
      <c r="W23" s="38"/>
      <c r="X23" s="38" t="s">
        <v>37</v>
      </c>
      <c r="Y23" s="43">
        <f t="shared" si="1"/>
        <v>0</v>
      </c>
    </row>
    <row r="24" spans="1:25" ht="64" hidden="1">
      <c r="A24" s="38">
        <v>23</v>
      </c>
      <c r="B24" s="38" t="s">
        <v>138</v>
      </c>
      <c r="C24" s="39" t="s">
        <v>26</v>
      </c>
      <c r="D24" s="38" t="s">
        <v>66</v>
      </c>
      <c r="E24" s="41" t="s">
        <v>134</v>
      </c>
      <c r="F24" s="38" t="s">
        <v>79</v>
      </c>
      <c r="G24" s="38" t="s">
        <v>139</v>
      </c>
      <c r="H24" s="38"/>
      <c r="I24" s="38" t="s">
        <v>81</v>
      </c>
      <c r="J24" s="39" t="str">
        <f>IF(I24="IK - Informationskrav","Answer",(IF(I24="K - Konkurrencekrav","Check",(IF(I24="MK - Minimumskrav","Verify","")))))</f>
        <v>Check</v>
      </c>
      <c r="K24" s="39" t="s">
        <v>42</v>
      </c>
      <c r="L24" s="39">
        <v>2</v>
      </c>
      <c r="M24" s="77">
        <f>Evalueringshieraki!$P$16</f>
        <v>0.4854368932038835</v>
      </c>
      <c r="O24" s="41" t="s">
        <v>131</v>
      </c>
      <c r="P24" s="38"/>
      <c r="Q24" s="38"/>
      <c r="R24" s="38"/>
      <c r="S24" s="38"/>
      <c r="T24" s="38"/>
      <c r="U24" s="38"/>
      <c r="V24" s="38"/>
      <c r="W24" s="38"/>
      <c r="X24" s="38" t="s">
        <v>37</v>
      </c>
      <c r="Y24" s="43">
        <f t="shared" si="1"/>
        <v>0</v>
      </c>
    </row>
    <row r="25" spans="1:25" ht="256" hidden="1">
      <c r="A25" s="38">
        <v>24</v>
      </c>
      <c r="B25" s="38" t="s">
        <v>140</v>
      </c>
      <c r="C25" s="39" t="s">
        <v>26</v>
      </c>
      <c r="D25" s="38" t="s">
        <v>66</v>
      </c>
      <c r="E25" s="41" t="s">
        <v>134</v>
      </c>
      <c r="F25" s="38" t="s">
        <v>79</v>
      </c>
      <c r="G25" s="38" t="s">
        <v>141</v>
      </c>
      <c r="H25" s="38"/>
      <c r="I25" s="38" t="s">
        <v>81</v>
      </c>
      <c r="J25" s="39" t="str">
        <f t="shared" ref="J25:J43" si="2">IF(I25="IK - Informationskrav","Answer",(IF(I25="K - Konkurrencekrav","Check",(IF(I25="MK - Mindstekrav","Verify","")))))</f>
        <v>Check</v>
      </c>
      <c r="K25" s="39" t="s">
        <v>42</v>
      </c>
      <c r="L25" s="39">
        <v>2</v>
      </c>
      <c r="M25" s="77">
        <f>Evalueringshieraki!$P$16</f>
        <v>0.4854368932038835</v>
      </c>
      <c r="O25" s="41" t="s">
        <v>54</v>
      </c>
      <c r="P25" s="38"/>
      <c r="Q25" s="38"/>
      <c r="R25" s="38" t="s">
        <v>82</v>
      </c>
      <c r="S25" s="38"/>
      <c r="T25" s="38"/>
      <c r="U25" s="38"/>
      <c r="V25" s="38"/>
      <c r="W25" s="38"/>
      <c r="X25" s="38" t="s">
        <v>86</v>
      </c>
      <c r="Y25" s="43">
        <f t="shared" si="1"/>
        <v>0.7</v>
      </c>
    </row>
    <row r="26" spans="1:25" ht="304" hidden="1">
      <c r="A26" s="38">
        <v>25</v>
      </c>
      <c r="B26" s="38" t="s">
        <v>142</v>
      </c>
      <c r="C26" s="39" t="s">
        <v>26</v>
      </c>
      <c r="D26" s="38" t="s">
        <v>66</v>
      </c>
      <c r="E26" s="41" t="s">
        <v>134</v>
      </c>
      <c r="F26" s="38" t="s">
        <v>143</v>
      </c>
      <c r="G26" s="38" t="s">
        <v>144</v>
      </c>
      <c r="H26" s="38"/>
      <c r="I26" s="38" t="s">
        <v>32</v>
      </c>
      <c r="J26" s="39" t="str">
        <f t="shared" si="2"/>
        <v>Answer</v>
      </c>
      <c r="K26" s="39" t="s">
        <v>42</v>
      </c>
      <c r="L26" s="39">
        <v>2</v>
      </c>
      <c r="M26" s="77">
        <f>Evalueringshieraki!$P$16</f>
        <v>0.4854368932038835</v>
      </c>
      <c r="O26" s="41" t="s">
        <v>70</v>
      </c>
      <c r="P26" s="38"/>
      <c r="Q26" s="38"/>
      <c r="R26" s="38"/>
      <c r="S26" s="38" t="s">
        <v>145</v>
      </c>
      <c r="T26" s="38"/>
      <c r="U26" s="38"/>
      <c r="V26" s="38"/>
      <c r="W26" s="71" t="s">
        <v>146</v>
      </c>
      <c r="X26" s="38" t="s">
        <v>37</v>
      </c>
      <c r="Y26" s="43">
        <f t="shared" si="1"/>
        <v>0</v>
      </c>
    </row>
    <row r="27" spans="1:25" ht="160" hidden="1">
      <c r="A27" s="38">
        <v>26</v>
      </c>
      <c r="B27" s="38" t="s">
        <v>147</v>
      </c>
      <c r="C27" s="39" t="s">
        <v>26</v>
      </c>
      <c r="D27" s="38" t="s">
        <v>66</v>
      </c>
      <c r="E27" s="41" t="s">
        <v>134</v>
      </c>
      <c r="F27" s="38" t="s">
        <v>148</v>
      </c>
      <c r="G27" s="38" t="s">
        <v>149</v>
      </c>
      <c r="H27" s="38"/>
      <c r="I27" s="38" t="s">
        <v>32</v>
      </c>
      <c r="J27" s="39" t="str">
        <f t="shared" si="2"/>
        <v>Answer</v>
      </c>
      <c r="K27" s="39" t="s">
        <v>42</v>
      </c>
      <c r="L27" s="39">
        <v>2</v>
      </c>
      <c r="M27" s="77">
        <f>Evalueringshieraki!$P$16</f>
        <v>0.4854368932038835</v>
      </c>
      <c r="O27" s="41" t="s">
        <v>70</v>
      </c>
      <c r="P27" s="38"/>
      <c r="Q27" s="38"/>
      <c r="R27" s="38"/>
      <c r="S27" s="38"/>
      <c r="T27" s="38"/>
      <c r="U27" s="38"/>
      <c r="V27" s="38"/>
      <c r="W27" s="71" t="s">
        <v>150</v>
      </c>
      <c r="X27" s="38" t="s">
        <v>37</v>
      </c>
      <c r="Y27" s="43">
        <f t="shared" si="1"/>
        <v>0</v>
      </c>
    </row>
    <row r="28" spans="1:25" ht="336" hidden="1">
      <c r="A28" s="38">
        <v>27</v>
      </c>
      <c r="B28" s="38" t="s">
        <v>151</v>
      </c>
      <c r="C28" s="39" t="s">
        <v>26</v>
      </c>
      <c r="D28" s="38" t="s">
        <v>66</v>
      </c>
      <c r="E28" s="41" t="s">
        <v>134</v>
      </c>
      <c r="F28" s="38" t="s">
        <v>152</v>
      </c>
      <c r="G28" s="38" t="s">
        <v>153</v>
      </c>
      <c r="H28" s="38"/>
      <c r="I28" s="38" t="s">
        <v>32</v>
      </c>
      <c r="J28" s="39" t="str">
        <f t="shared" si="2"/>
        <v>Answer</v>
      </c>
      <c r="K28" s="39" t="s">
        <v>42</v>
      </c>
      <c r="L28" s="39">
        <v>2</v>
      </c>
      <c r="M28" s="77">
        <f>Evalueringshieraki!$P$16</f>
        <v>0.4854368932038835</v>
      </c>
      <c r="O28" s="41" t="s">
        <v>154</v>
      </c>
      <c r="P28" s="38"/>
      <c r="Q28" s="38"/>
      <c r="R28" s="38"/>
      <c r="S28" s="38"/>
      <c r="T28" s="38"/>
      <c r="U28" s="38"/>
      <c r="V28" s="38"/>
      <c r="W28" s="71" t="s">
        <v>155</v>
      </c>
      <c r="X28" s="38" t="s">
        <v>37</v>
      </c>
      <c r="Y28" s="43">
        <f t="shared" si="1"/>
        <v>0</v>
      </c>
    </row>
    <row r="29" spans="1:25" ht="208">
      <c r="A29" s="38">
        <v>28</v>
      </c>
      <c r="B29" s="38" t="s">
        <v>156</v>
      </c>
      <c r="C29" s="39" t="s">
        <v>26</v>
      </c>
      <c r="D29" s="38" t="s">
        <v>66</v>
      </c>
      <c r="E29" s="41" t="s">
        <v>134</v>
      </c>
      <c r="F29" s="38" t="s">
        <v>157</v>
      </c>
      <c r="G29" s="38" t="s">
        <v>158</v>
      </c>
      <c r="H29" s="38"/>
      <c r="I29" s="38" t="s">
        <v>32</v>
      </c>
      <c r="J29" s="39" t="str">
        <f t="shared" si="2"/>
        <v>Answer</v>
      </c>
      <c r="K29" s="39" t="s">
        <v>42</v>
      </c>
      <c r="L29" s="39">
        <v>2</v>
      </c>
      <c r="M29" s="77">
        <f>Evalueringshieraki!$P$16</f>
        <v>0.4854368932038835</v>
      </c>
      <c r="O29" s="41" t="s">
        <v>159</v>
      </c>
      <c r="P29" s="38"/>
      <c r="Q29" s="38"/>
      <c r="R29" s="38"/>
      <c r="S29" s="38"/>
      <c r="T29" s="38"/>
      <c r="U29" s="38"/>
      <c r="V29" s="38"/>
      <c r="W29" s="71" t="s">
        <v>160</v>
      </c>
      <c r="X29" s="38" t="s">
        <v>37</v>
      </c>
      <c r="Y29" s="43">
        <f t="shared" si="1"/>
        <v>0</v>
      </c>
    </row>
    <row r="30" spans="1:25" ht="144" hidden="1">
      <c r="A30" s="38">
        <v>29</v>
      </c>
      <c r="B30" s="38" t="s">
        <v>161</v>
      </c>
      <c r="C30" s="39" t="s">
        <v>26</v>
      </c>
      <c r="D30" s="38" t="s">
        <v>66</v>
      </c>
      <c r="E30" s="41" t="s">
        <v>162</v>
      </c>
      <c r="F30" s="38" t="s">
        <v>163</v>
      </c>
      <c r="G30" s="38" t="s">
        <v>164</v>
      </c>
      <c r="H30" s="38"/>
      <c r="I30" s="38" t="s">
        <v>81</v>
      </c>
      <c r="J30" s="39" t="str">
        <f t="shared" si="2"/>
        <v>Check</v>
      </c>
      <c r="K30" s="39" t="s">
        <v>42</v>
      </c>
      <c r="L30" s="39">
        <v>2</v>
      </c>
      <c r="M30" s="77">
        <f>Evalueringshieraki!$P$16</f>
        <v>0.4854368932038835</v>
      </c>
      <c r="O30" s="41" t="s">
        <v>159</v>
      </c>
      <c r="P30" s="38"/>
      <c r="Q30" s="38"/>
      <c r="R30" s="38"/>
      <c r="S30" s="38" t="s">
        <v>165</v>
      </c>
      <c r="T30" s="38"/>
      <c r="U30" s="38"/>
      <c r="V30" s="38"/>
      <c r="W30" s="38"/>
      <c r="X30" s="38" t="s">
        <v>37</v>
      </c>
      <c r="Y30" s="43">
        <f t="shared" si="1"/>
        <v>0</v>
      </c>
    </row>
    <row r="31" spans="1:25" ht="409.5">
      <c r="A31" s="38">
        <v>30</v>
      </c>
      <c r="B31" s="38" t="s">
        <v>166</v>
      </c>
      <c r="C31" s="39" t="s">
        <v>26</v>
      </c>
      <c r="D31" s="38" t="s">
        <v>66</v>
      </c>
      <c r="E31" s="41" t="s">
        <v>162</v>
      </c>
      <c r="F31" s="38" t="s">
        <v>167</v>
      </c>
      <c r="G31" s="38" t="s">
        <v>168</v>
      </c>
      <c r="H31" s="38"/>
      <c r="I31" s="38" t="s">
        <v>32</v>
      </c>
      <c r="J31" s="39" t="str">
        <f t="shared" si="2"/>
        <v>Answer</v>
      </c>
      <c r="K31" s="39" t="s">
        <v>42</v>
      </c>
      <c r="L31" s="39">
        <v>2</v>
      </c>
      <c r="M31" s="77">
        <f>Evalueringshieraki!$P$16</f>
        <v>0.4854368932038835</v>
      </c>
      <c r="O31" s="41" t="s">
        <v>159</v>
      </c>
      <c r="P31" s="38"/>
      <c r="Q31" s="38"/>
      <c r="R31" s="38"/>
      <c r="S31" s="38"/>
      <c r="T31" s="38"/>
      <c r="U31" s="38"/>
      <c r="V31" s="38"/>
      <c r="W31" s="71" t="s">
        <v>169</v>
      </c>
      <c r="X31" s="38" t="s">
        <v>37</v>
      </c>
      <c r="Y31" s="43">
        <f t="shared" si="1"/>
        <v>0</v>
      </c>
    </row>
    <row r="32" spans="1:25" ht="64" hidden="1">
      <c r="A32" s="38">
        <v>31</v>
      </c>
      <c r="B32" s="38" t="s">
        <v>170</v>
      </c>
      <c r="C32" s="39" t="s">
        <v>26</v>
      </c>
      <c r="D32" s="38" t="s">
        <v>66</v>
      </c>
      <c r="E32" s="41" t="s">
        <v>171</v>
      </c>
      <c r="F32" s="38" t="s">
        <v>79</v>
      </c>
      <c r="G32" s="38" t="s">
        <v>172</v>
      </c>
      <c r="H32" s="38"/>
      <c r="I32" s="38" t="s">
        <v>81</v>
      </c>
      <c r="J32" s="39" t="str">
        <f t="shared" si="2"/>
        <v>Check</v>
      </c>
      <c r="K32" s="39" t="s">
        <v>42</v>
      </c>
      <c r="L32" s="39">
        <v>2</v>
      </c>
      <c r="M32" s="77">
        <f>Evalueringshieraki!$P$16</f>
        <v>0.4854368932038835</v>
      </c>
      <c r="O32" s="41" t="s">
        <v>70</v>
      </c>
      <c r="P32" s="38"/>
      <c r="Q32" s="38"/>
      <c r="R32" s="38"/>
      <c r="S32" s="38"/>
      <c r="T32" s="38"/>
      <c r="U32" s="38"/>
      <c r="V32" s="38"/>
      <c r="W32" s="38"/>
      <c r="X32" s="38" t="s">
        <v>37</v>
      </c>
      <c r="Y32" s="43">
        <f t="shared" si="1"/>
        <v>0</v>
      </c>
    </row>
    <row r="33" spans="1:25" ht="48" hidden="1">
      <c r="A33" s="38">
        <v>32</v>
      </c>
      <c r="B33" s="38" t="s">
        <v>173</v>
      </c>
      <c r="C33" s="39" t="s">
        <v>26</v>
      </c>
      <c r="D33" s="38" t="s">
        <v>66</v>
      </c>
      <c r="E33" s="41" t="s">
        <v>171</v>
      </c>
      <c r="F33" s="38" t="s">
        <v>79</v>
      </c>
      <c r="G33" s="38" t="s">
        <v>174</v>
      </c>
      <c r="H33" s="38"/>
      <c r="I33" s="38" t="s">
        <v>81</v>
      </c>
      <c r="J33" s="39" t="str">
        <f t="shared" si="2"/>
        <v>Check</v>
      </c>
      <c r="K33" s="39" t="s">
        <v>42</v>
      </c>
      <c r="L33" s="39">
        <v>2</v>
      </c>
      <c r="M33" s="77">
        <f>Evalueringshieraki!$P$16</f>
        <v>0.4854368932038835</v>
      </c>
      <c r="O33" s="41" t="s">
        <v>70</v>
      </c>
      <c r="P33" s="38"/>
      <c r="Q33" s="38"/>
      <c r="R33" s="38"/>
      <c r="S33" s="38"/>
      <c r="T33" s="38"/>
      <c r="U33" s="38"/>
      <c r="V33" s="38"/>
      <c r="W33" s="38"/>
      <c r="X33" s="38" t="s">
        <v>37</v>
      </c>
      <c r="Y33" s="43">
        <f t="shared" si="1"/>
        <v>0</v>
      </c>
    </row>
    <row r="34" spans="1:25" ht="48" hidden="1">
      <c r="A34" s="38">
        <v>33</v>
      </c>
      <c r="B34" s="38" t="s">
        <v>175</v>
      </c>
      <c r="C34" s="39" t="s">
        <v>26</v>
      </c>
      <c r="D34" s="38" t="s">
        <v>66</v>
      </c>
      <c r="E34" s="41" t="s">
        <v>171</v>
      </c>
      <c r="F34" s="38" t="s">
        <v>79</v>
      </c>
      <c r="G34" s="38" t="s">
        <v>176</v>
      </c>
      <c r="H34" s="38"/>
      <c r="I34" s="38" t="s">
        <v>81</v>
      </c>
      <c r="J34" s="39" t="str">
        <f t="shared" si="2"/>
        <v>Check</v>
      </c>
      <c r="K34" s="39" t="s">
        <v>42</v>
      </c>
      <c r="L34" s="39">
        <v>2</v>
      </c>
      <c r="M34" s="77">
        <f>Evalueringshieraki!$P$16</f>
        <v>0.4854368932038835</v>
      </c>
      <c r="O34" s="41" t="s">
        <v>54</v>
      </c>
      <c r="P34" s="38"/>
      <c r="Q34" s="38"/>
      <c r="R34" s="38" t="s">
        <v>82</v>
      </c>
      <c r="S34" s="38"/>
      <c r="T34" s="38"/>
      <c r="U34" s="38"/>
      <c r="V34" s="38"/>
      <c r="W34" s="38"/>
      <c r="X34" s="38" t="s">
        <v>86</v>
      </c>
      <c r="Y34" s="43">
        <f t="shared" si="1"/>
        <v>0.7</v>
      </c>
    </row>
    <row r="35" spans="1:25" ht="368" hidden="1">
      <c r="A35" s="38">
        <v>34</v>
      </c>
      <c r="B35" s="38" t="s">
        <v>177</v>
      </c>
      <c r="C35" s="39" t="s">
        <v>26</v>
      </c>
      <c r="D35" s="38" t="s">
        <v>66</v>
      </c>
      <c r="E35" s="41" t="s">
        <v>171</v>
      </c>
      <c r="F35" s="38" t="s">
        <v>178</v>
      </c>
      <c r="G35" s="38" t="s">
        <v>179</v>
      </c>
      <c r="H35" s="38"/>
      <c r="I35" s="38" t="s">
        <v>32</v>
      </c>
      <c r="J35" s="39" t="str">
        <f t="shared" si="2"/>
        <v>Answer</v>
      </c>
      <c r="K35" s="39" t="s">
        <v>42</v>
      </c>
      <c r="L35" s="39">
        <v>2</v>
      </c>
      <c r="M35" s="77">
        <f>Evalueringshieraki!$P$16</f>
        <v>0.4854368932038835</v>
      </c>
      <c r="O35" s="41" t="s">
        <v>70</v>
      </c>
      <c r="P35" s="38"/>
      <c r="Q35" s="38"/>
      <c r="R35" s="38"/>
      <c r="S35" s="38"/>
      <c r="T35" s="38"/>
      <c r="U35" s="38"/>
      <c r="V35" s="38"/>
      <c r="W35" s="71" t="s">
        <v>180</v>
      </c>
      <c r="X35" s="38" t="s">
        <v>37</v>
      </c>
      <c r="Y35" s="43">
        <f t="shared" si="1"/>
        <v>0</v>
      </c>
    </row>
    <row r="36" spans="1:25" ht="176" hidden="1">
      <c r="A36" s="38">
        <v>35</v>
      </c>
      <c r="B36" s="38" t="s">
        <v>181</v>
      </c>
      <c r="C36" s="39" t="s">
        <v>26</v>
      </c>
      <c r="D36" s="38" t="s">
        <v>66</v>
      </c>
      <c r="E36" s="41" t="s">
        <v>171</v>
      </c>
      <c r="F36" s="38" t="s">
        <v>182</v>
      </c>
      <c r="G36" s="38" t="s">
        <v>183</v>
      </c>
      <c r="H36" s="38"/>
      <c r="I36" s="38" t="s">
        <v>32</v>
      </c>
      <c r="J36" s="39" t="str">
        <f t="shared" si="2"/>
        <v>Answer</v>
      </c>
      <c r="K36" s="39" t="s">
        <v>42</v>
      </c>
      <c r="L36" s="39">
        <v>2</v>
      </c>
      <c r="M36" s="77">
        <f>Evalueringshieraki!$P$16</f>
        <v>0.4854368932038835</v>
      </c>
      <c r="O36" s="41" t="s">
        <v>70</v>
      </c>
      <c r="P36" s="38"/>
      <c r="Q36" s="38"/>
      <c r="R36" s="38"/>
      <c r="S36" s="38"/>
      <c r="T36" s="38"/>
      <c r="U36" s="38"/>
      <c r="V36" s="38"/>
      <c r="W36" s="71" t="s">
        <v>184</v>
      </c>
      <c r="X36" s="38" t="s">
        <v>37</v>
      </c>
      <c r="Y36" s="43">
        <f t="shared" si="1"/>
        <v>0</v>
      </c>
    </row>
    <row r="37" spans="1:25" ht="48" hidden="1">
      <c r="A37" s="38">
        <v>36</v>
      </c>
      <c r="B37" s="38" t="s">
        <v>185</v>
      </c>
      <c r="C37" s="39" t="s">
        <v>26</v>
      </c>
      <c r="D37" s="38" t="s">
        <v>66</v>
      </c>
      <c r="E37" s="41" t="s">
        <v>171</v>
      </c>
      <c r="F37" s="38" t="s">
        <v>79</v>
      </c>
      <c r="G37" s="38" t="s">
        <v>186</v>
      </c>
      <c r="H37" s="38"/>
      <c r="I37" s="38" t="s">
        <v>81</v>
      </c>
      <c r="J37" s="39" t="str">
        <f t="shared" si="2"/>
        <v>Check</v>
      </c>
      <c r="K37" s="39" t="s">
        <v>42</v>
      </c>
      <c r="L37" s="39">
        <v>2</v>
      </c>
      <c r="M37" s="77">
        <f>Evalueringshieraki!$P$16</f>
        <v>0.4854368932038835</v>
      </c>
      <c r="O37" s="41" t="s">
        <v>70</v>
      </c>
      <c r="P37" s="38"/>
      <c r="Q37" s="38"/>
      <c r="R37" s="38" t="s">
        <v>82</v>
      </c>
      <c r="S37" s="38" t="s">
        <v>187</v>
      </c>
      <c r="T37" s="38"/>
      <c r="U37" s="38"/>
      <c r="V37" s="38"/>
      <c r="W37" s="38"/>
      <c r="X37" s="38" t="s">
        <v>37</v>
      </c>
      <c r="Y37" s="43">
        <f t="shared" si="1"/>
        <v>0</v>
      </c>
    </row>
    <row r="38" spans="1:25" ht="48" hidden="1">
      <c r="A38" s="38">
        <v>37</v>
      </c>
      <c r="B38" s="38" t="s">
        <v>188</v>
      </c>
      <c r="C38" s="39" t="s">
        <v>26</v>
      </c>
      <c r="D38" s="38" t="s">
        <v>66</v>
      </c>
      <c r="E38" s="41" t="s">
        <v>171</v>
      </c>
      <c r="F38" s="38" t="s">
        <v>79</v>
      </c>
      <c r="G38" s="38" t="s">
        <v>189</v>
      </c>
      <c r="H38" s="38"/>
      <c r="I38" s="38" t="s">
        <v>81</v>
      </c>
      <c r="J38" s="39" t="str">
        <f t="shared" si="2"/>
        <v>Check</v>
      </c>
      <c r="K38" s="39" t="s">
        <v>42</v>
      </c>
      <c r="L38" s="39">
        <v>2</v>
      </c>
      <c r="M38" s="77">
        <f>Evalueringshieraki!$P$16</f>
        <v>0.4854368932038835</v>
      </c>
      <c r="O38" s="41" t="s">
        <v>54</v>
      </c>
      <c r="P38" s="38"/>
      <c r="Q38" s="38"/>
      <c r="R38" s="38" t="s">
        <v>82</v>
      </c>
      <c r="S38" s="38"/>
      <c r="T38" s="38"/>
      <c r="U38" s="38"/>
      <c r="V38" s="38"/>
      <c r="W38" s="38"/>
      <c r="X38" s="38" t="s">
        <v>86</v>
      </c>
      <c r="Y38" s="43">
        <f t="shared" si="1"/>
        <v>0.7</v>
      </c>
    </row>
    <row r="39" spans="1:25" ht="320">
      <c r="A39" s="38">
        <v>38</v>
      </c>
      <c r="B39" s="38" t="s">
        <v>190</v>
      </c>
      <c r="C39" s="39" t="s">
        <v>26</v>
      </c>
      <c r="D39" s="38" t="s">
        <v>66</v>
      </c>
      <c r="E39" s="41" t="s">
        <v>171</v>
      </c>
      <c r="F39" s="38" t="s">
        <v>191</v>
      </c>
      <c r="G39" s="38" t="s">
        <v>192</v>
      </c>
      <c r="H39" s="38"/>
      <c r="I39" s="38" t="s">
        <v>32</v>
      </c>
      <c r="J39" s="39" t="str">
        <f t="shared" si="2"/>
        <v>Answer</v>
      </c>
      <c r="K39" s="39" t="s">
        <v>42</v>
      </c>
      <c r="L39" s="39">
        <v>2</v>
      </c>
      <c r="M39" s="77">
        <f>Evalueringshieraki!$P$16</f>
        <v>0.4854368932038835</v>
      </c>
      <c r="O39" s="41" t="s">
        <v>159</v>
      </c>
      <c r="P39" s="38"/>
      <c r="Q39" s="38"/>
      <c r="R39" s="38"/>
      <c r="S39" s="38" t="s">
        <v>193</v>
      </c>
      <c r="T39" s="38"/>
      <c r="U39" s="38"/>
      <c r="V39" s="38"/>
      <c r="W39" s="71" t="s">
        <v>194</v>
      </c>
      <c r="X39" s="38" t="s">
        <v>37</v>
      </c>
      <c r="Y39" s="43">
        <f t="shared" si="1"/>
        <v>0</v>
      </c>
    </row>
    <row r="40" spans="1:25" ht="48" hidden="1">
      <c r="A40" s="38">
        <v>39</v>
      </c>
      <c r="B40" s="38" t="s">
        <v>195</v>
      </c>
      <c r="C40" s="39" t="s">
        <v>26</v>
      </c>
      <c r="D40" s="38" t="s">
        <v>66</v>
      </c>
      <c r="E40" s="41" t="s">
        <v>171</v>
      </c>
      <c r="F40" s="38" t="s">
        <v>79</v>
      </c>
      <c r="G40" s="38" t="s">
        <v>196</v>
      </c>
      <c r="H40" s="38"/>
      <c r="I40" s="38" t="s">
        <v>81</v>
      </c>
      <c r="J40" s="39" t="str">
        <f t="shared" si="2"/>
        <v>Check</v>
      </c>
      <c r="K40" s="39" t="s">
        <v>42</v>
      </c>
      <c r="L40" s="39">
        <v>2</v>
      </c>
      <c r="M40" s="77">
        <f>Evalueringshieraki!$P$16</f>
        <v>0.4854368932038835</v>
      </c>
      <c r="O40" s="41" t="s">
        <v>75</v>
      </c>
      <c r="P40" s="38"/>
      <c r="Q40" s="38"/>
      <c r="R40" s="38" t="s">
        <v>82</v>
      </c>
      <c r="S40" s="38" t="s">
        <v>197</v>
      </c>
      <c r="T40" s="38"/>
      <c r="U40" s="38"/>
      <c r="V40" s="38"/>
      <c r="W40" s="38"/>
      <c r="X40" s="38" t="s">
        <v>37</v>
      </c>
      <c r="Y40" s="43">
        <f t="shared" si="1"/>
        <v>0</v>
      </c>
    </row>
    <row r="41" spans="1:25" ht="224" hidden="1">
      <c r="A41" s="38">
        <v>40</v>
      </c>
      <c r="B41" s="38" t="s">
        <v>198</v>
      </c>
      <c r="C41" s="39" t="s">
        <v>26</v>
      </c>
      <c r="D41" s="38" t="s">
        <v>66</v>
      </c>
      <c r="E41" s="41" t="s">
        <v>171</v>
      </c>
      <c r="F41" s="38" t="s">
        <v>79</v>
      </c>
      <c r="G41" s="38" t="s">
        <v>199</v>
      </c>
      <c r="H41" s="38"/>
      <c r="I41" s="38" t="s">
        <v>32</v>
      </c>
      <c r="J41" s="39" t="str">
        <f t="shared" si="2"/>
        <v>Answer</v>
      </c>
      <c r="K41" s="39" t="s">
        <v>42</v>
      </c>
      <c r="L41" s="39">
        <v>2</v>
      </c>
      <c r="M41" s="77">
        <f>Evalueringshieraki!$P$16</f>
        <v>0.4854368932038835</v>
      </c>
      <c r="O41" s="41" t="s">
        <v>200</v>
      </c>
      <c r="P41" s="38"/>
      <c r="Q41" s="38"/>
      <c r="R41" s="38"/>
      <c r="S41" s="38"/>
      <c r="T41" s="38"/>
      <c r="U41" s="38"/>
      <c r="V41" s="38"/>
      <c r="W41" s="71" t="s">
        <v>201</v>
      </c>
      <c r="X41" s="38" t="s">
        <v>86</v>
      </c>
      <c r="Y41" s="43">
        <f t="shared" si="1"/>
        <v>0.7</v>
      </c>
    </row>
    <row r="42" spans="1:25" ht="192" hidden="1">
      <c r="A42" s="38">
        <v>41</v>
      </c>
      <c r="B42" s="38" t="s">
        <v>202</v>
      </c>
      <c r="C42" s="39" t="s">
        <v>26</v>
      </c>
      <c r="D42" s="38" t="s">
        <v>66</v>
      </c>
      <c r="E42" s="41" t="s">
        <v>171</v>
      </c>
      <c r="F42" s="38" t="s">
        <v>203</v>
      </c>
      <c r="G42" s="38" t="s">
        <v>204</v>
      </c>
      <c r="H42" s="38"/>
      <c r="I42" s="38" t="s">
        <v>32</v>
      </c>
      <c r="J42" s="39" t="str">
        <f t="shared" si="2"/>
        <v>Answer</v>
      </c>
      <c r="K42" s="39" t="s">
        <v>42</v>
      </c>
      <c r="L42" s="39">
        <v>2</v>
      </c>
      <c r="M42" s="77">
        <f>Evalueringshieraki!$P$16</f>
        <v>0.4854368932038835</v>
      </c>
      <c r="O42" s="41" t="s">
        <v>92</v>
      </c>
      <c r="P42" s="38"/>
      <c r="Q42" s="38"/>
      <c r="R42" s="38" t="s">
        <v>82</v>
      </c>
      <c r="S42" s="38" t="s">
        <v>205</v>
      </c>
      <c r="T42" s="38"/>
      <c r="U42" s="38"/>
      <c r="V42" s="38"/>
      <c r="W42" s="71" t="s">
        <v>206</v>
      </c>
      <c r="X42" s="38" t="s">
        <v>94</v>
      </c>
      <c r="Y42" s="43">
        <f t="shared" si="1"/>
        <v>0.01</v>
      </c>
    </row>
    <row r="43" spans="1:25" ht="64" hidden="1">
      <c r="A43" s="38">
        <v>42</v>
      </c>
      <c r="B43" s="38" t="s">
        <v>207</v>
      </c>
      <c r="C43" s="39" t="s">
        <v>26</v>
      </c>
      <c r="D43" s="38" t="s">
        <v>66</v>
      </c>
      <c r="E43" s="41" t="s">
        <v>171</v>
      </c>
      <c r="F43" s="38" t="s">
        <v>79</v>
      </c>
      <c r="G43" s="38" t="s">
        <v>208</v>
      </c>
      <c r="H43" s="38"/>
      <c r="I43" s="38" t="s">
        <v>81</v>
      </c>
      <c r="J43" s="39" t="str">
        <f t="shared" si="2"/>
        <v>Check</v>
      </c>
      <c r="K43" s="39" t="s">
        <v>42</v>
      </c>
      <c r="L43" s="39">
        <v>2</v>
      </c>
      <c r="M43" s="77">
        <f>Evalueringshieraki!$P$16</f>
        <v>0.4854368932038835</v>
      </c>
      <c r="O43" s="41" t="s">
        <v>54</v>
      </c>
      <c r="P43" s="38"/>
      <c r="Q43" s="38"/>
      <c r="R43" s="38" t="s">
        <v>82</v>
      </c>
      <c r="S43" s="38"/>
      <c r="T43" s="38"/>
      <c r="U43" s="38"/>
      <c r="V43" s="38"/>
      <c r="W43" s="38"/>
      <c r="X43" s="38" t="s">
        <v>86</v>
      </c>
      <c r="Y43" s="43">
        <f t="shared" si="1"/>
        <v>0.7</v>
      </c>
    </row>
    <row r="44" spans="1:25" ht="48" hidden="1">
      <c r="A44" s="38">
        <v>43</v>
      </c>
      <c r="B44" s="38" t="s">
        <v>209</v>
      </c>
      <c r="C44" s="39" t="s">
        <v>26</v>
      </c>
      <c r="D44" s="38" t="s">
        <v>66</v>
      </c>
      <c r="E44" s="41" t="s">
        <v>171</v>
      </c>
      <c r="F44" s="38" t="s">
        <v>79</v>
      </c>
      <c r="G44" s="38" t="s">
        <v>210</v>
      </c>
      <c r="H44" s="38"/>
      <c r="I44" s="38" t="s">
        <v>81</v>
      </c>
      <c r="J44" s="39" t="str">
        <f>IF(I44="IK - Informationskrav","Answer",(IF(I44="K - Konkurrencekrav","Check",(IF(I44="MK - Minimumskravkrav","Verify","")))))</f>
        <v>Check</v>
      </c>
      <c r="K44" s="39" t="s">
        <v>42</v>
      </c>
      <c r="L44" s="39">
        <v>2</v>
      </c>
      <c r="M44" s="77">
        <f>Evalueringshieraki!$P$16</f>
        <v>0.4854368932038835</v>
      </c>
      <c r="O44" s="41" t="s">
        <v>159</v>
      </c>
      <c r="P44" s="38"/>
      <c r="Q44" s="38"/>
      <c r="R44" s="38"/>
      <c r="S44" s="38" t="s">
        <v>211</v>
      </c>
      <c r="T44" s="38"/>
      <c r="U44" s="38"/>
      <c r="V44" s="38"/>
      <c r="W44" s="38"/>
      <c r="X44" s="38" t="s">
        <v>37</v>
      </c>
      <c r="Y44" s="43">
        <f t="shared" si="1"/>
        <v>0</v>
      </c>
    </row>
    <row r="45" spans="1:25" ht="48" hidden="1">
      <c r="A45" s="38">
        <v>44</v>
      </c>
      <c r="B45" s="62" t="s">
        <v>212</v>
      </c>
      <c r="C45" s="39" t="s">
        <v>26</v>
      </c>
      <c r="D45" s="38" t="s">
        <v>66</v>
      </c>
      <c r="E45" s="41" t="s">
        <v>213</v>
      </c>
      <c r="F45" s="38" t="s">
        <v>79</v>
      </c>
      <c r="G45" s="38" t="s">
        <v>214</v>
      </c>
      <c r="H45" s="38"/>
      <c r="I45" s="38" t="s">
        <v>136</v>
      </c>
      <c r="J45" s="39" t="str">
        <f t="shared" ref="J45:J76" si="3">IF(I45="IK - Informationskrav","Answer",(IF(I45="K - Konkurrencekrav","Check",(IF(I45="MK - Minimumskrav","Verify","")))))</f>
        <v>Verify</v>
      </c>
      <c r="K45" s="39"/>
      <c r="L45" s="39"/>
      <c r="M45" s="3"/>
      <c r="O45" s="41" t="s">
        <v>75</v>
      </c>
      <c r="P45" s="38"/>
      <c r="Q45" s="38"/>
      <c r="R45" s="38" t="s">
        <v>82</v>
      </c>
      <c r="S45" s="38" t="s">
        <v>197</v>
      </c>
      <c r="T45" s="38"/>
      <c r="U45" s="38"/>
      <c r="V45" s="38"/>
      <c r="W45" s="38"/>
      <c r="X45" s="38" t="s">
        <v>37</v>
      </c>
      <c r="Y45" s="43">
        <f t="shared" si="1"/>
        <v>0</v>
      </c>
    </row>
    <row r="46" spans="1:25" ht="144" hidden="1">
      <c r="A46" s="38">
        <v>45</v>
      </c>
      <c r="B46" s="62" t="s">
        <v>215</v>
      </c>
      <c r="C46" s="39" t="s">
        <v>26</v>
      </c>
      <c r="D46" s="38" t="s">
        <v>66</v>
      </c>
      <c r="E46" s="41" t="s">
        <v>213</v>
      </c>
      <c r="F46" s="38" t="s">
        <v>79</v>
      </c>
      <c r="G46" s="38" t="s">
        <v>216</v>
      </c>
      <c r="H46" s="38"/>
      <c r="I46" s="38" t="s">
        <v>136</v>
      </c>
      <c r="J46" s="39" t="str">
        <f t="shared" si="3"/>
        <v>Verify</v>
      </c>
      <c r="K46" s="39"/>
      <c r="L46" s="39"/>
      <c r="M46" s="3"/>
      <c r="O46" s="41" t="s">
        <v>75</v>
      </c>
      <c r="P46" s="38"/>
      <c r="Q46" s="38"/>
      <c r="R46" s="38"/>
      <c r="S46" s="38" t="s">
        <v>197</v>
      </c>
      <c r="T46" s="38"/>
      <c r="U46" s="38"/>
      <c r="V46" s="38"/>
      <c r="W46" s="38"/>
      <c r="X46" s="38" t="s">
        <v>37</v>
      </c>
      <c r="Y46" s="43">
        <f t="shared" si="1"/>
        <v>0</v>
      </c>
    </row>
    <row r="47" spans="1:25" ht="64" hidden="1">
      <c r="A47" s="38">
        <v>46</v>
      </c>
      <c r="B47" s="62" t="s">
        <v>217</v>
      </c>
      <c r="C47" s="39" t="s">
        <v>26</v>
      </c>
      <c r="D47" s="38" t="s">
        <v>66</v>
      </c>
      <c r="E47" s="41" t="s">
        <v>213</v>
      </c>
      <c r="F47" s="38" t="s">
        <v>79</v>
      </c>
      <c r="G47" s="38" t="s">
        <v>218</v>
      </c>
      <c r="H47" s="38"/>
      <c r="I47" s="38" t="s">
        <v>136</v>
      </c>
      <c r="J47" s="39" t="str">
        <f t="shared" si="3"/>
        <v>Verify</v>
      </c>
      <c r="K47" s="39"/>
      <c r="L47" s="39"/>
      <c r="M47" s="3"/>
      <c r="O47" s="41" t="s">
        <v>75</v>
      </c>
      <c r="P47" s="38"/>
      <c r="Q47" s="38"/>
      <c r="R47" s="38"/>
      <c r="S47" s="38" t="s">
        <v>197</v>
      </c>
      <c r="T47" s="38"/>
      <c r="U47" s="38"/>
      <c r="V47" s="38"/>
      <c r="W47" s="38"/>
      <c r="X47" s="38" t="s">
        <v>37</v>
      </c>
      <c r="Y47" s="43">
        <f t="shared" si="1"/>
        <v>0</v>
      </c>
    </row>
    <row r="48" spans="1:25" ht="48" hidden="1">
      <c r="A48" s="38">
        <v>47</v>
      </c>
      <c r="B48" s="38" t="s">
        <v>219</v>
      </c>
      <c r="C48" s="39" t="s">
        <v>26</v>
      </c>
      <c r="D48" s="38" t="s">
        <v>66</v>
      </c>
      <c r="E48" s="41" t="s">
        <v>213</v>
      </c>
      <c r="F48" s="38" t="s">
        <v>79</v>
      </c>
      <c r="G48" s="38" t="s">
        <v>220</v>
      </c>
      <c r="H48" s="38"/>
      <c r="I48" s="38" t="s">
        <v>81</v>
      </c>
      <c r="J48" s="39" t="str">
        <f t="shared" si="3"/>
        <v>Check</v>
      </c>
      <c r="K48" s="39" t="s">
        <v>42</v>
      </c>
      <c r="L48" s="39">
        <v>2</v>
      </c>
      <c r="M48" s="77">
        <f>Evalueringshieraki!$P$16</f>
        <v>0.4854368932038835</v>
      </c>
      <c r="O48" s="41" t="s">
        <v>75</v>
      </c>
      <c r="P48" s="38"/>
      <c r="Q48" s="38"/>
      <c r="R48" s="38"/>
      <c r="S48" s="38" t="s">
        <v>197</v>
      </c>
      <c r="T48" s="38"/>
      <c r="U48" s="38"/>
      <c r="V48" s="38"/>
      <c r="W48" s="38"/>
      <c r="X48" s="38" t="s">
        <v>37</v>
      </c>
      <c r="Y48" s="43">
        <f t="shared" si="1"/>
        <v>0</v>
      </c>
    </row>
    <row r="49" spans="1:25" ht="48" hidden="1">
      <c r="A49" s="38">
        <v>48</v>
      </c>
      <c r="B49" s="38" t="s">
        <v>221</v>
      </c>
      <c r="C49" s="39" t="s">
        <v>26</v>
      </c>
      <c r="D49" s="38" t="s">
        <v>66</v>
      </c>
      <c r="E49" s="41" t="s">
        <v>213</v>
      </c>
      <c r="F49" s="38" t="s">
        <v>79</v>
      </c>
      <c r="G49" s="38" t="s">
        <v>222</v>
      </c>
      <c r="H49" s="38"/>
      <c r="I49" s="38" t="s">
        <v>81</v>
      </c>
      <c r="J49" s="39" t="str">
        <f t="shared" si="3"/>
        <v>Check</v>
      </c>
      <c r="K49" s="39" t="s">
        <v>42</v>
      </c>
      <c r="L49" s="39">
        <v>2</v>
      </c>
      <c r="M49" s="77">
        <f>Evalueringshieraki!$P$16</f>
        <v>0.4854368932038835</v>
      </c>
      <c r="O49" s="41" t="s">
        <v>75</v>
      </c>
      <c r="P49" s="38"/>
      <c r="Q49" s="38"/>
      <c r="R49" s="38"/>
      <c r="S49" s="38" t="s">
        <v>197</v>
      </c>
      <c r="T49" s="38"/>
      <c r="U49" s="38"/>
      <c r="V49" s="38"/>
      <c r="W49" s="38"/>
      <c r="X49" s="38" t="s">
        <v>37</v>
      </c>
      <c r="Y49" s="43">
        <f t="shared" si="1"/>
        <v>0</v>
      </c>
    </row>
    <row r="50" spans="1:25" ht="48" hidden="1">
      <c r="A50" s="38">
        <v>49</v>
      </c>
      <c r="B50" s="38" t="s">
        <v>223</v>
      </c>
      <c r="C50" s="39" t="s">
        <v>26</v>
      </c>
      <c r="D50" s="38" t="s">
        <v>66</v>
      </c>
      <c r="E50" s="41" t="s">
        <v>213</v>
      </c>
      <c r="F50" s="38" t="s">
        <v>79</v>
      </c>
      <c r="G50" s="38" t="s">
        <v>224</v>
      </c>
      <c r="H50" s="38"/>
      <c r="I50" s="38" t="s">
        <v>81</v>
      </c>
      <c r="J50" s="39" t="str">
        <f t="shared" si="3"/>
        <v>Check</v>
      </c>
      <c r="K50" s="39" t="s">
        <v>42</v>
      </c>
      <c r="L50" s="39">
        <v>2</v>
      </c>
      <c r="M50" s="77">
        <f>Evalueringshieraki!$P$16</f>
        <v>0.4854368932038835</v>
      </c>
      <c r="O50" s="41" t="s">
        <v>75</v>
      </c>
      <c r="P50" s="38"/>
      <c r="Q50" s="38"/>
      <c r="R50" s="38"/>
      <c r="S50" s="38" t="s">
        <v>197</v>
      </c>
      <c r="T50" s="38"/>
      <c r="U50" s="38"/>
      <c r="V50" s="38"/>
      <c r="W50" s="38"/>
      <c r="X50" s="38" t="s">
        <v>37</v>
      </c>
      <c r="Y50" s="43">
        <f t="shared" si="1"/>
        <v>0</v>
      </c>
    </row>
    <row r="51" spans="1:25" ht="48" hidden="1">
      <c r="A51" s="38">
        <v>50</v>
      </c>
      <c r="B51" s="38" t="s">
        <v>225</v>
      </c>
      <c r="C51" s="39" t="s">
        <v>26</v>
      </c>
      <c r="D51" s="38" t="s">
        <v>66</v>
      </c>
      <c r="E51" s="41" t="s">
        <v>213</v>
      </c>
      <c r="F51" s="38" t="s">
        <v>79</v>
      </c>
      <c r="G51" s="38" t="s">
        <v>226</v>
      </c>
      <c r="H51" s="38"/>
      <c r="I51" s="38" t="s">
        <v>81</v>
      </c>
      <c r="J51" s="39" t="str">
        <f t="shared" si="3"/>
        <v>Check</v>
      </c>
      <c r="K51" s="39" t="s">
        <v>42</v>
      </c>
      <c r="L51" s="39">
        <v>2</v>
      </c>
      <c r="M51" s="77">
        <f>Evalueringshieraki!$P$16</f>
        <v>0.4854368932038835</v>
      </c>
      <c r="O51" s="41" t="s">
        <v>75</v>
      </c>
      <c r="P51" s="38"/>
      <c r="Q51" s="38"/>
      <c r="R51" s="38"/>
      <c r="S51" s="38" t="s">
        <v>197</v>
      </c>
      <c r="T51" s="38"/>
      <c r="U51" s="38"/>
      <c r="V51" s="38"/>
      <c r="W51" s="38"/>
      <c r="X51" s="38" t="s">
        <v>37</v>
      </c>
      <c r="Y51" s="43">
        <f t="shared" si="1"/>
        <v>0</v>
      </c>
    </row>
    <row r="52" spans="1:25" ht="48" hidden="1">
      <c r="A52" s="38">
        <v>51</v>
      </c>
      <c r="B52" s="38" t="s">
        <v>227</v>
      </c>
      <c r="C52" s="39" t="s">
        <v>26</v>
      </c>
      <c r="D52" s="38" t="s">
        <v>66</v>
      </c>
      <c r="E52" s="41" t="s">
        <v>213</v>
      </c>
      <c r="F52" s="38" t="s">
        <v>79</v>
      </c>
      <c r="G52" s="38" t="s">
        <v>228</v>
      </c>
      <c r="H52" s="38"/>
      <c r="I52" s="38" t="s">
        <v>81</v>
      </c>
      <c r="J52" s="39" t="str">
        <f t="shared" si="3"/>
        <v>Check</v>
      </c>
      <c r="K52" s="39" t="s">
        <v>42</v>
      </c>
      <c r="L52" s="39">
        <v>2</v>
      </c>
      <c r="M52" s="77">
        <f>Evalueringshieraki!$P$16</f>
        <v>0.4854368932038835</v>
      </c>
      <c r="O52" s="41" t="s">
        <v>75</v>
      </c>
      <c r="P52" s="38"/>
      <c r="Q52" s="38"/>
      <c r="R52" s="38"/>
      <c r="S52" s="38" t="s">
        <v>197</v>
      </c>
      <c r="T52" s="38"/>
      <c r="U52" s="38"/>
      <c r="V52" s="38"/>
      <c r="W52" s="38"/>
      <c r="X52" s="38" t="s">
        <v>37</v>
      </c>
      <c r="Y52" s="43">
        <f t="shared" si="1"/>
        <v>0</v>
      </c>
    </row>
    <row r="53" spans="1:25" ht="48" hidden="1">
      <c r="A53" s="38">
        <v>52</v>
      </c>
      <c r="B53" s="38" t="s">
        <v>229</v>
      </c>
      <c r="C53" s="39" t="s">
        <v>26</v>
      </c>
      <c r="D53" s="38" t="s">
        <v>66</v>
      </c>
      <c r="E53" s="41" t="s">
        <v>213</v>
      </c>
      <c r="F53" s="38" t="s">
        <v>79</v>
      </c>
      <c r="G53" s="38" t="s">
        <v>230</v>
      </c>
      <c r="H53" s="38"/>
      <c r="I53" s="38" t="s">
        <v>81</v>
      </c>
      <c r="J53" s="39" t="str">
        <f t="shared" si="3"/>
        <v>Check</v>
      </c>
      <c r="K53" s="39" t="s">
        <v>42</v>
      </c>
      <c r="L53" s="39">
        <v>2</v>
      </c>
      <c r="M53" s="77">
        <f>Evalueringshieraki!$P$16</f>
        <v>0.4854368932038835</v>
      </c>
      <c r="O53" s="41" t="s">
        <v>75</v>
      </c>
      <c r="P53" s="38"/>
      <c r="Q53" s="38"/>
      <c r="R53" s="38"/>
      <c r="S53" s="38" t="s">
        <v>197</v>
      </c>
      <c r="T53" s="38"/>
      <c r="U53" s="38"/>
      <c r="V53" s="38"/>
      <c r="W53" s="38"/>
      <c r="X53" s="38" t="s">
        <v>37</v>
      </c>
      <c r="Y53" s="43">
        <f t="shared" si="1"/>
        <v>0</v>
      </c>
    </row>
    <row r="54" spans="1:25" ht="48" hidden="1">
      <c r="A54" s="38">
        <v>53</v>
      </c>
      <c r="B54" s="38" t="s">
        <v>231</v>
      </c>
      <c r="C54" s="39" t="s">
        <v>26</v>
      </c>
      <c r="D54" s="38" t="s">
        <v>66</v>
      </c>
      <c r="E54" s="41" t="s">
        <v>213</v>
      </c>
      <c r="F54" s="38" t="s">
        <v>79</v>
      </c>
      <c r="G54" s="38" t="s">
        <v>232</v>
      </c>
      <c r="H54" s="38"/>
      <c r="I54" s="38" t="s">
        <v>81</v>
      </c>
      <c r="J54" s="39" t="str">
        <f t="shared" si="3"/>
        <v>Check</v>
      </c>
      <c r="K54" s="39" t="s">
        <v>42</v>
      </c>
      <c r="L54" s="39">
        <v>2</v>
      </c>
      <c r="M54" s="77">
        <f>Evalueringshieraki!$P$16</f>
        <v>0.4854368932038835</v>
      </c>
      <c r="O54" s="41" t="s">
        <v>75</v>
      </c>
      <c r="P54" s="38"/>
      <c r="Q54" s="38"/>
      <c r="R54" s="38"/>
      <c r="S54" s="38" t="s">
        <v>197</v>
      </c>
      <c r="T54" s="38"/>
      <c r="U54" s="38"/>
      <c r="V54" s="38"/>
      <c r="W54" s="38"/>
      <c r="X54" s="38" t="s">
        <v>37</v>
      </c>
      <c r="Y54" s="43">
        <f t="shared" si="1"/>
        <v>0</v>
      </c>
    </row>
    <row r="55" spans="1:25" ht="304" hidden="1">
      <c r="A55" s="38">
        <v>54</v>
      </c>
      <c r="B55" s="38" t="s">
        <v>233</v>
      </c>
      <c r="C55" s="39" t="s">
        <v>26</v>
      </c>
      <c r="D55" s="38" t="s">
        <v>66</v>
      </c>
      <c r="E55" s="41" t="s">
        <v>234</v>
      </c>
      <c r="F55" s="38" t="s">
        <v>234</v>
      </c>
      <c r="G55" s="38" t="s">
        <v>235</v>
      </c>
      <c r="H55" s="38"/>
      <c r="I55" s="38" t="s">
        <v>32</v>
      </c>
      <c r="J55" s="39" t="str">
        <f t="shared" si="3"/>
        <v>Answer</v>
      </c>
      <c r="K55" s="39" t="s">
        <v>42</v>
      </c>
      <c r="L55" s="39">
        <v>2</v>
      </c>
      <c r="M55" s="77">
        <f>Evalueringshieraki!$P$16</f>
        <v>0.4854368932038835</v>
      </c>
      <c r="O55" s="41" t="s">
        <v>99</v>
      </c>
      <c r="P55" s="38"/>
      <c r="Q55" s="38"/>
      <c r="R55" s="38"/>
      <c r="S55" s="38" t="s">
        <v>236</v>
      </c>
      <c r="T55" s="38"/>
      <c r="U55" s="38"/>
      <c r="V55" s="38"/>
      <c r="W55" s="71" t="s">
        <v>237</v>
      </c>
      <c r="X55" s="38" t="s">
        <v>37</v>
      </c>
      <c r="Y55" s="43">
        <f t="shared" si="1"/>
        <v>0</v>
      </c>
    </row>
    <row r="56" spans="1:25" ht="256" hidden="1">
      <c r="A56" s="38">
        <v>55</v>
      </c>
      <c r="B56" s="62" t="s">
        <v>238</v>
      </c>
      <c r="C56" s="39" t="s">
        <v>26</v>
      </c>
      <c r="D56" s="38" t="s">
        <v>66</v>
      </c>
      <c r="E56" s="41" t="s">
        <v>239</v>
      </c>
      <c r="F56" s="38" t="s">
        <v>239</v>
      </c>
      <c r="G56" s="38" t="s">
        <v>240</v>
      </c>
      <c r="H56" s="38"/>
      <c r="I56" s="38" t="s">
        <v>136</v>
      </c>
      <c r="J56" s="39" t="str">
        <f t="shared" si="3"/>
        <v>Verify</v>
      </c>
      <c r="K56" s="39"/>
      <c r="L56" s="39"/>
      <c r="M56" s="3"/>
      <c r="O56" s="41" t="s">
        <v>99</v>
      </c>
      <c r="P56" s="38"/>
      <c r="Q56" s="38"/>
      <c r="R56" s="38"/>
      <c r="S56" s="38" t="s">
        <v>241</v>
      </c>
      <c r="T56" s="38"/>
      <c r="U56" s="38"/>
      <c r="V56" s="38"/>
      <c r="W56" s="38"/>
      <c r="X56" s="38" t="s">
        <v>37</v>
      </c>
      <c r="Y56" s="43">
        <f t="shared" si="1"/>
        <v>0</v>
      </c>
    </row>
    <row r="57" spans="1:25" ht="409.5" hidden="1">
      <c r="A57" s="38">
        <v>56</v>
      </c>
      <c r="B57" s="38" t="s">
        <v>242</v>
      </c>
      <c r="C57" s="39" t="s">
        <v>26</v>
      </c>
      <c r="D57" s="38" t="s">
        <v>66</v>
      </c>
      <c r="E57" s="41" t="s">
        <v>239</v>
      </c>
      <c r="F57" s="38" t="s">
        <v>243</v>
      </c>
      <c r="G57" s="38" t="s">
        <v>244</v>
      </c>
      <c r="H57" s="38" t="s">
        <v>245</v>
      </c>
      <c r="I57" s="38" t="s">
        <v>32</v>
      </c>
      <c r="J57" s="39" t="str">
        <f t="shared" si="3"/>
        <v>Answer</v>
      </c>
      <c r="K57" s="39" t="s">
        <v>42</v>
      </c>
      <c r="L57" s="39">
        <v>2</v>
      </c>
      <c r="M57" s="77">
        <f>Evalueringshieraki!$P$16</f>
        <v>0.4854368932038835</v>
      </c>
      <c r="O57" s="41" t="s">
        <v>99</v>
      </c>
      <c r="P57" s="38"/>
      <c r="Q57" s="38"/>
      <c r="R57" s="38"/>
      <c r="S57" s="38" t="s">
        <v>241</v>
      </c>
      <c r="T57" s="38"/>
      <c r="U57" s="38"/>
      <c r="V57" s="38"/>
      <c r="W57" s="71" t="s">
        <v>246</v>
      </c>
      <c r="X57" s="38" t="s">
        <v>37</v>
      </c>
      <c r="Y57" s="43">
        <f t="shared" si="1"/>
        <v>0</v>
      </c>
    </row>
    <row r="58" spans="1:25" ht="409.5" hidden="1">
      <c r="A58" s="38">
        <v>57</v>
      </c>
      <c r="B58" s="38" t="s">
        <v>247</v>
      </c>
      <c r="C58" s="39" t="s">
        <v>26</v>
      </c>
      <c r="D58" s="38" t="s">
        <v>66</v>
      </c>
      <c r="E58" s="41" t="s">
        <v>239</v>
      </c>
      <c r="F58" s="38" t="s">
        <v>248</v>
      </c>
      <c r="G58" s="38" t="s">
        <v>249</v>
      </c>
      <c r="H58" s="38" t="s">
        <v>245</v>
      </c>
      <c r="I58" s="38" t="s">
        <v>32</v>
      </c>
      <c r="J58" s="39" t="str">
        <f t="shared" si="3"/>
        <v>Answer</v>
      </c>
      <c r="K58" s="39" t="s">
        <v>42</v>
      </c>
      <c r="L58" s="39">
        <v>2</v>
      </c>
      <c r="M58" s="77">
        <f>Evalueringshieraki!$P$16</f>
        <v>0.4854368932038835</v>
      </c>
      <c r="O58" s="41" t="s">
        <v>70</v>
      </c>
      <c r="P58" s="38"/>
      <c r="Q58" s="38"/>
      <c r="R58" s="38"/>
      <c r="S58" s="38" t="s">
        <v>250</v>
      </c>
      <c r="T58" s="38"/>
      <c r="U58" s="38"/>
      <c r="V58" s="38"/>
      <c r="W58" s="71" t="s">
        <v>251</v>
      </c>
      <c r="X58" s="38" t="s">
        <v>37</v>
      </c>
      <c r="Y58" s="43">
        <f t="shared" si="1"/>
        <v>0</v>
      </c>
    </row>
    <row r="59" spans="1:25" ht="409.5" hidden="1">
      <c r="A59" s="38">
        <v>58</v>
      </c>
      <c r="B59" s="38" t="s">
        <v>252</v>
      </c>
      <c r="C59" s="39" t="s">
        <v>26</v>
      </c>
      <c r="D59" s="38" t="s">
        <v>66</v>
      </c>
      <c r="E59" s="41" t="s">
        <v>239</v>
      </c>
      <c r="F59" s="38" t="s">
        <v>253</v>
      </c>
      <c r="G59" s="38" t="s">
        <v>254</v>
      </c>
      <c r="H59" s="38" t="s">
        <v>245</v>
      </c>
      <c r="I59" s="38" t="s">
        <v>32</v>
      </c>
      <c r="J59" s="39" t="str">
        <f t="shared" si="3"/>
        <v>Answer</v>
      </c>
      <c r="K59" s="39" t="s">
        <v>42</v>
      </c>
      <c r="L59" s="39">
        <v>2</v>
      </c>
      <c r="M59" s="77">
        <f>Evalueringshieraki!$P$16</f>
        <v>0.4854368932038835</v>
      </c>
      <c r="O59" s="41" t="s">
        <v>70</v>
      </c>
      <c r="P59" s="38"/>
      <c r="Q59" s="38"/>
      <c r="R59" s="38"/>
      <c r="S59" s="38" t="s">
        <v>250</v>
      </c>
      <c r="T59" s="38"/>
      <c r="U59" s="38"/>
      <c r="V59" s="38"/>
      <c r="W59" s="71" t="s">
        <v>255</v>
      </c>
      <c r="X59" s="38" t="s">
        <v>37</v>
      </c>
      <c r="Y59" s="43">
        <f t="shared" si="1"/>
        <v>0</v>
      </c>
    </row>
    <row r="60" spans="1:25" ht="144" hidden="1">
      <c r="A60" s="38">
        <v>59</v>
      </c>
      <c r="B60" s="62" t="s">
        <v>256</v>
      </c>
      <c r="C60" s="39" t="s">
        <v>26</v>
      </c>
      <c r="D60" s="38" t="s">
        <v>66</v>
      </c>
      <c r="E60" s="41" t="s">
        <v>257</v>
      </c>
      <c r="F60" s="38" t="s">
        <v>257</v>
      </c>
      <c r="G60" s="36" t="s">
        <v>258</v>
      </c>
      <c r="H60" s="38"/>
      <c r="I60" s="38" t="s">
        <v>136</v>
      </c>
      <c r="J60" s="39" t="str">
        <f t="shared" si="3"/>
        <v>Verify</v>
      </c>
      <c r="K60" s="39"/>
      <c r="L60" s="39"/>
      <c r="M60" s="3"/>
      <c r="O60" s="41" t="s">
        <v>159</v>
      </c>
      <c r="P60" s="38"/>
      <c r="Q60" s="38"/>
      <c r="R60" s="38" t="s">
        <v>82</v>
      </c>
      <c r="S60" s="38" t="s">
        <v>259</v>
      </c>
      <c r="T60" s="38"/>
      <c r="U60" s="38"/>
      <c r="V60" s="38"/>
      <c r="W60" s="38"/>
      <c r="X60" s="38" t="s">
        <v>37</v>
      </c>
      <c r="Y60" s="43">
        <f t="shared" si="1"/>
        <v>0</v>
      </c>
    </row>
    <row r="61" spans="1:25" ht="64" hidden="1">
      <c r="A61" s="38">
        <v>60</v>
      </c>
      <c r="B61" s="62" t="s">
        <v>260</v>
      </c>
      <c r="C61" s="39" t="s">
        <v>26</v>
      </c>
      <c r="D61" s="38" t="s">
        <v>66</v>
      </c>
      <c r="E61" s="41" t="s">
        <v>257</v>
      </c>
      <c r="F61" s="38" t="s">
        <v>257</v>
      </c>
      <c r="G61" s="38" t="s">
        <v>261</v>
      </c>
      <c r="H61" s="38"/>
      <c r="I61" s="38" t="s">
        <v>136</v>
      </c>
      <c r="J61" s="39" t="str">
        <f t="shared" si="3"/>
        <v>Verify</v>
      </c>
      <c r="K61" s="39"/>
      <c r="L61" s="39"/>
      <c r="M61" s="3"/>
      <c r="O61" s="41" t="s">
        <v>70</v>
      </c>
      <c r="P61" s="38"/>
      <c r="Q61" s="38"/>
      <c r="R61" s="38"/>
      <c r="S61" s="38"/>
      <c r="T61" s="38"/>
      <c r="U61" s="38"/>
      <c r="V61" s="38"/>
      <c r="W61" s="38"/>
      <c r="X61" s="38" t="s">
        <v>37</v>
      </c>
      <c r="Y61" s="43">
        <f t="shared" si="1"/>
        <v>0</v>
      </c>
    </row>
    <row r="62" spans="1:25" ht="352">
      <c r="A62" s="38">
        <v>61</v>
      </c>
      <c r="B62" s="38" t="s">
        <v>262</v>
      </c>
      <c r="C62" s="39" t="s">
        <v>26</v>
      </c>
      <c r="D62" s="38" t="s">
        <v>66</v>
      </c>
      <c r="E62" s="41" t="s">
        <v>257</v>
      </c>
      <c r="F62" s="38" t="s">
        <v>263</v>
      </c>
      <c r="G62" s="38" t="s">
        <v>264</v>
      </c>
      <c r="H62" s="38"/>
      <c r="I62" s="38" t="s">
        <v>32</v>
      </c>
      <c r="J62" s="39" t="str">
        <f t="shared" si="3"/>
        <v>Answer</v>
      </c>
      <c r="K62" s="39" t="s">
        <v>42</v>
      </c>
      <c r="L62" s="39">
        <v>2</v>
      </c>
      <c r="M62" s="77">
        <f>Evalueringshieraki!$P$16</f>
        <v>0.4854368932038835</v>
      </c>
      <c r="O62" s="41" t="s">
        <v>159</v>
      </c>
      <c r="P62" s="38"/>
      <c r="Q62" s="38"/>
      <c r="R62" s="38"/>
      <c r="S62" s="38"/>
      <c r="T62" s="38" t="s">
        <v>76</v>
      </c>
      <c r="U62" s="38"/>
      <c r="V62" s="38"/>
      <c r="W62" s="71" t="s">
        <v>265</v>
      </c>
      <c r="X62" s="38" t="s">
        <v>37</v>
      </c>
      <c r="Y62" s="43">
        <f t="shared" si="1"/>
        <v>0</v>
      </c>
    </row>
    <row r="63" spans="1:25" ht="409.5">
      <c r="A63" s="38">
        <v>62</v>
      </c>
      <c r="B63" s="38" t="s">
        <v>266</v>
      </c>
      <c r="C63" s="39" t="s">
        <v>26</v>
      </c>
      <c r="D63" s="38" t="s">
        <v>66</v>
      </c>
      <c r="E63" s="41" t="s">
        <v>257</v>
      </c>
      <c r="F63" s="38" t="s">
        <v>267</v>
      </c>
      <c r="G63" s="38" t="s">
        <v>268</v>
      </c>
      <c r="H63" s="38"/>
      <c r="I63" s="38" t="s">
        <v>32</v>
      </c>
      <c r="J63" s="39" t="str">
        <f t="shared" si="3"/>
        <v>Answer</v>
      </c>
      <c r="K63" s="39" t="s">
        <v>42</v>
      </c>
      <c r="L63" s="39">
        <v>2</v>
      </c>
      <c r="M63" s="77">
        <f>Evalueringshieraki!$P$16</f>
        <v>0.4854368932038835</v>
      </c>
      <c r="O63" s="41" t="s">
        <v>159</v>
      </c>
      <c r="P63" s="38"/>
      <c r="Q63" s="38"/>
      <c r="R63" s="38"/>
      <c r="S63" s="38"/>
      <c r="T63" s="38"/>
      <c r="U63" s="38"/>
      <c r="V63" s="38"/>
      <c r="W63" s="71" t="s">
        <v>269</v>
      </c>
      <c r="X63" s="38" t="s">
        <v>37</v>
      </c>
      <c r="Y63" s="43">
        <f t="shared" si="1"/>
        <v>0</v>
      </c>
    </row>
    <row r="64" spans="1:25" ht="96" hidden="1">
      <c r="A64" s="38">
        <v>63</v>
      </c>
      <c r="B64" s="62" t="s">
        <v>270</v>
      </c>
      <c r="C64" s="39" t="s">
        <v>26</v>
      </c>
      <c r="D64" s="38" t="s">
        <v>66</v>
      </c>
      <c r="E64" s="41" t="s">
        <v>271</v>
      </c>
      <c r="F64" s="38" t="s">
        <v>271</v>
      </c>
      <c r="G64" s="38" t="s">
        <v>272</v>
      </c>
      <c r="H64" s="38"/>
      <c r="I64" s="38" t="s">
        <v>136</v>
      </c>
      <c r="J64" s="39" t="str">
        <f t="shared" si="3"/>
        <v>Verify</v>
      </c>
      <c r="K64" s="39"/>
      <c r="L64" s="39"/>
      <c r="M64" s="3"/>
      <c r="O64" s="41" t="s">
        <v>54</v>
      </c>
      <c r="P64" s="38"/>
      <c r="Q64" s="38"/>
      <c r="R64" s="38" t="s">
        <v>82</v>
      </c>
      <c r="S64" s="38"/>
      <c r="T64" s="38"/>
      <c r="U64" s="38"/>
      <c r="V64" s="38"/>
      <c r="W64" s="38"/>
      <c r="X64" s="38" t="s">
        <v>86</v>
      </c>
      <c r="Y64" s="43">
        <f t="shared" si="1"/>
        <v>0.7</v>
      </c>
    </row>
    <row r="65" spans="1:25" ht="48" hidden="1">
      <c r="A65" s="38">
        <v>64</v>
      </c>
      <c r="B65" s="62" t="s">
        <v>273</v>
      </c>
      <c r="C65" s="39" t="s">
        <v>26</v>
      </c>
      <c r="D65" s="38" t="s">
        <v>66</v>
      </c>
      <c r="E65" s="41" t="s">
        <v>271</v>
      </c>
      <c r="F65" s="38" t="s">
        <v>271</v>
      </c>
      <c r="G65" s="38" t="s">
        <v>274</v>
      </c>
      <c r="H65" s="38"/>
      <c r="I65" s="38" t="s">
        <v>136</v>
      </c>
      <c r="J65" s="39" t="str">
        <f t="shared" si="3"/>
        <v>Verify</v>
      </c>
      <c r="K65" s="39"/>
      <c r="L65" s="39"/>
      <c r="M65" s="3"/>
      <c r="O65" s="41" t="s">
        <v>92</v>
      </c>
      <c r="P65" s="38"/>
      <c r="Q65" s="38"/>
      <c r="R65" s="38" t="s">
        <v>82</v>
      </c>
      <c r="S65" s="38" t="s">
        <v>275</v>
      </c>
      <c r="T65" s="38"/>
      <c r="U65" s="38"/>
      <c r="V65" s="38"/>
      <c r="W65" s="38"/>
      <c r="X65" s="38" t="s">
        <v>86</v>
      </c>
      <c r="Y65" s="43">
        <f t="shared" si="1"/>
        <v>0.7</v>
      </c>
    </row>
    <row r="66" spans="1:25" ht="208" hidden="1">
      <c r="A66" s="38">
        <v>65</v>
      </c>
      <c r="B66" s="38" t="s">
        <v>276</v>
      </c>
      <c r="C66" s="39" t="s">
        <v>26</v>
      </c>
      <c r="D66" s="38" t="s">
        <v>66</v>
      </c>
      <c r="E66" s="41" t="s">
        <v>271</v>
      </c>
      <c r="F66" s="38" t="s">
        <v>277</v>
      </c>
      <c r="G66" s="38" t="s">
        <v>278</v>
      </c>
      <c r="H66" s="38"/>
      <c r="I66" s="38" t="s">
        <v>32</v>
      </c>
      <c r="J66" s="39" t="str">
        <f t="shared" si="3"/>
        <v>Answer</v>
      </c>
      <c r="K66" s="39" t="s">
        <v>42</v>
      </c>
      <c r="L66" s="39">
        <v>2</v>
      </c>
      <c r="M66" s="77">
        <f>Evalueringshieraki!$P$16</f>
        <v>0.4854368932038835</v>
      </c>
      <c r="O66" s="41" t="s">
        <v>99</v>
      </c>
      <c r="P66" s="38" t="s">
        <v>279</v>
      </c>
      <c r="Q66" s="38"/>
      <c r="R66" s="38"/>
      <c r="S66" s="38" t="s">
        <v>280</v>
      </c>
      <c r="T66" s="38"/>
      <c r="U66" s="38"/>
      <c r="V66" s="38"/>
      <c r="W66" s="71" t="s">
        <v>281</v>
      </c>
      <c r="X66" s="38" t="s">
        <v>37</v>
      </c>
      <c r="Y66" s="43">
        <f t="shared" si="1"/>
        <v>0</v>
      </c>
    </row>
    <row r="67" spans="1:25" ht="368" hidden="1">
      <c r="A67" s="38">
        <v>66</v>
      </c>
      <c r="B67" s="38" t="s">
        <v>282</v>
      </c>
      <c r="C67" s="39" t="s">
        <v>26</v>
      </c>
      <c r="D67" s="38" t="s">
        <v>66</v>
      </c>
      <c r="E67" s="41" t="s">
        <v>271</v>
      </c>
      <c r="F67" s="38" t="s">
        <v>283</v>
      </c>
      <c r="G67" s="38" t="s">
        <v>284</v>
      </c>
      <c r="H67" s="38"/>
      <c r="I67" s="38" t="s">
        <v>32</v>
      </c>
      <c r="J67" s="39" t="str">
        <f t="shared" si="3"/>
        <v>Answer</v>
      </c>
      <c r="K67" s="39" t="s">
        <v>42</v>
      </c>
      <c r="L67" s="39">
        <v>2</v>
      </c>
      <c r="M67" s="77">
        <f>Evalueringshieraki!$P$16</f>
        <v>0.4854368932038835</v>
      </c>
      <c r="O67" s="41" t="s">
        <v>99</v>
      </c>
      <c r="P67" s="38" t="s">
        <v>279</v>
      </c>
      <c r="Q67" s="38"/>
      <c r="R67" s="38"/>
      <c r="S67" s="38" t="s">
        <v>280</v>
      </c>
      <c r="T67" s="38"/>
      <c r="U67" s="38"/>
      <c r="V67" s="38"/>
      <c r="W67" s="71" t="s">
        <v>285</v>
      </c>
      <c r="X67" s="38" t="s">
        <v>37</v>
      </c>
      <c r="Y67" s="43">
        <f t="shared" ref="Y67:Y130" si="4">IF(X67="Not Started",0%,IF(X67="Read",1%,IF(X67="Started",50%,IF(X67="Ready for review",70%,IF(X67="Reviewed - Content",80%,IF(X67="Reviewed - Format",90%,IF(X67="Done",100%,"")))))))</f>
        <v>0</v>
      </c>
    </row>
    <row r="68" spans="1:25" ht="64" hidden="1">
      <c r="A68" s="38">
        <v>67</v>
      </c>
      <c r="B68" s="62" t="s">
        <v>286</v>
      </c>
      <c r="C68" s="39" t="s">
        <v>26</v>
      </c>
      <c r="D68" s="38" t="s">
        <v>66</v>
      </c>
      <c r="E68" s="41" t="s">
        <v>287</v>
      </c>
      <c r="F68" s="38" t="s">
        <v>287</v>
      </c>
      <c r="G68" s="38" t="s">
        <v>288</v>
      </c>
      <c r="H68" s="38"/>
      <c r="I68" s="38" t="s">
        <v>136</v>
      </c>
      <c r="J68" s="39" t="str">
        <f t="shared" si="3"/>
        <v>Verify</v>
      </c>
      <c r="K68" s="39"/>
      <c r="L68" s="39"/>
      <c r="M68" s="3"/>
      <c r="O68" s="41" t="s">
        <v>159</v>
      </c>
      <c r="P68" s="38"/>
      <c r="Q68" s="38"/>
      <c r="R68" s="38" t="s">
        <v>82</v>
      </c>
      <c r="S68" s="38" t="s">
        <v>289</v>
      </c>
      <c r="T68" s="38"/>
      <c r="U68" s="38"/>
      <c r="V68" s="38"/>
      <c r="W68" s="38"/>
      <c r="X68" s="38" t="s">
        <v>37</v>
      </c>
      <c r="Y68" s="43">
        <f t="shared" si="4"/>
        <v>0</v>
      </c>
    </row>
    <row r="69" spans="1:25" ht="208" hidden="1">
      <c r="A69" s="38">
        <v>68</v>
      </c>
      <c r="B69" s="38" t="s">
        <v>290</v>
      </c>
      <c r="C69" s="39" t="s">
        <v>26</v>
      </c>
      <c r="D69" s="38" t="s">
        <v>66</v>
      </c>
      <c r="E69" s="41" t="s">
        <v>287</v>
      </c>
      <c r="F69" s="38" t="s">
        <v>291</v>
      </c>
      <c r="G69" s="38" t="s">
        <v>292</v>
      </c>
      <c r="H69" s="38"/>
      <c r="I69" s="38" t="s">
        <v>32</v>
      </c>
      <c r="J69" s="39" t="str">
        <f t="shared" si="3"/>
        <v>Answer</v>
      </c>
      <c r="K69" s="39" t="s">
        <v>42</v>
      </c>
      <c r="L69" s="39">
        <v>2</v>
      </c>
      <c r="M69" s="77">
        <f>Evalueringshieraki!$P$16</f>
        <v>0.4854368932038835</v>
      </c>
      <c r="O69" s="41" t="s">
        <v>54</v>
      </c>
      <c r="P69" s="38"/>
      <c r="Q69" s="38"/>
      <c r="R69" s="38"/>
      <c r="S69" s="38"/>
      <c r="T69" s="38"/>
      <c r="U69" s="38"/>
      <c r="V69" s="38"/>
      <c r="W69" s="71" t="s">
        <v>293</v>
      </c>
      <c r="X69" s="38" t="s">
        <v>37</v>
      </c>
      <c r="Y69" s="43">
        <f t="shared" si="4"/>
        <v>0</v>
      </c>
    </row>
    <row r="70" spans="1:25" ht="160" hidden="1">
      <c r="A70" s="38">
        <v>69</v>
      </c>
      <c r="B70" s="38" t="s">
        <v>294</v>
      </c>
      <c r="C70" s="39" t="s">
        <v>26</v>
      </c>
      <c r="D70" s="38" t="s">
        <v>66</v>
      </c>
      <c r="E70" s="41" t="s">
        <v>287</v>
      </c>
      <c r="F70" s="38" t="s">
        <v>295</v>
      </c>
      <c r="G70" s="38" t="s">
        <v>296</v>
      </c>
      <c r="H70" s="38"/>
      <c r="I70" s="38" t="s">
        <v>32</v>
      </c>
      <c r="J70" s="39" t="str">
        <f t="shared" si="3"/>
        <v>Answer</v>
      </c>
      <c r="K70" s="39" t="s">
        <v>42</v>
      </c>
      <c r="L70" s="39">
        <v>2</v>
      </c>
      <c r="M70" s="77">
        <f>Evalueringshieraki!$P$16</f>
        <v>0.4854368932038835</v>
      </c>
      <c r="O70" s="41" t="s">
        <v>54</v>
      </c>
      <c r="P70" s="38"/>
      <c r="Q70" s="38"/>
      <c r="R70" s="38"/>
      <c r="S70" s="38"/>
      <c r="T70" s="38"/>
      <c r="U70" s="38"/>
      <c r="V70" s="38"/>
      <c r="W70" s="71" t="s">
        <v>297</v>
      </c>
      <c r="X70" s="38" t="s">
        <v>37</v>
      </c>
      <c r="Y70" s="43">
        <f t="shared" si="4"/>
        <v>0</v>
      </c>
    </row>
    <row r="71" spans="1:25" ht="80" hidden="1">
      <c r="A71" s="38">
        <v>70</v>
      </c>
      <c r="B71" s="62" t="s">
        <v>298</v>
      </c>
      <c r="C71" s="39" t="s">
        <v>26</v>
      </c>
      <c r="D71" s="38" t="s">
        <v>66</v>
      </c>
      <c r="E71" s="41" t="s">
        <v>299</v>
      </c>
      <c r="F71" s="38" t="s">
        <v>299</v>
      </c>
      <c r="G71" s="38" t="s">
        <v>300</v>
      </c>
      <c r="H71" s="38"/>
      <c r="I71" s="38" t="s">
        <v>136</v>
      </c>
      <c r="J71" s="39" t="str">
        <f t="shared" si="3"/>
        <v>Verify</v>
      </c>
      <c r="K71" s="39"/>
      <c r="L71" s="39"/>
      <c r="M71" s="3"/>
      <c r="O71" s="41" t="s">
        <v>54</v>
      </c>
      <c r="P71" s="38"/>
      <c r="Q71" s="38"/>
      <c r="R71" s="38" t="s">
        <v>82</v>
      </c>
      <c r="S71" s="38"/>
      <c r="T71" s="38"/>
      <c r="U71" s="38"/>
      <c r="V71" s="38"/>
      <c r="W71" s="38"/>
      <c r="X71" s="38" t="s">
        <v>86</v>
      </c>
      <c r="Y71" s="43">
        <f t="shared" si="4"/>
        <v>0.7</v>
      </c>
    </row>
    <row r="72" spans="1:25" ht="64" hidden="1">
      <c r="A72" s="38">
        <v>71</v>
      </c>
      <c r="B72" s="38" t="s">
        <v>301</v>
      </c>
      <c r="C72" s="39" t="s">
        <v>26</v>
      </c>
      <c r="D72" s="38" t="s">
        <v>66</v>
      </c>
      <c r="E72" s="41" t="s">
        <v>299</v>
      </c>
      <c r="F72" s="38" t="s">
        <v>302</v>
      </c>
      <c r="G72" s="38" t="s">
        <v>303</v>
      </c>
      <c r="H72" s="38"/>
      <c r="I72" s="38" t="s">
        <v>81</v>
      </c>
      <c r="J72" s="39" t="str">
        <f t="shared" si="3"/>
        <v>Check</v>
      </c>
      <c r="K72" s="39" t="s">
        <v>42</v>
      </c>
      <c r="L72" s="39">
        <v>2</v>
      </c>
      <c r="M72" s="77">
        <f>Evalueringshieraki!$P$16</f>
        <v>0.4854368932038835</v>
      </c>
      <c r="O72" s="41" t="s">
        <v>75</v>
      </c>
      <c r="P72" s="38"/>
      <c r="Q72" s="38"/>
      <c r="R72" s="38"/>
      <c r="S72" s="38" t="s">
        <v>304</v>
      </c>
      <c r="T72" s="38"/>
      <c r="U72" s="38"/>
      <c r="V72" s="38"/>
      <c r="W72" s="38"/>
      <c r="X72" s="38" t="s">
        <v>37</v>
      </c>
      <c r="Y72" s="43">
        <f t="shared" si="4"/>
        <v>0</v>
      </c>
    </row>
    <row r="73" spans="1:25" ht="80" hidden="1">
      <c r="A73" s="38">
        <v>72</v>
      </c>
      <c r="B73" s="38" t="s">
        <v>305</v>
      </c>
      <c r="C73" s="39" t="s">
        <v>26</v>
      </c>
      <c r="D73" s="38" t="s">
        <v>66</v>
      </c>
      <c r="E73" s="41" t="s">
        <v>299</v>
      </c>
      <c r="F73" s="38" t="s">
        <v>306</v>
      </c>
      <c r="G73" s="38" t="s">
        <v>307</v>
      </c>
      <c r="H73" s="38"/>
      <c r="I73" s="38" t="s">
        <v>81</v>
      </c>
      <c r="J73" s="39" t="str">
        <f t="shared" si="3"/>
        <v>Check</v>
      </c>
      <c r="K73" s="39" t="s">
        <v>42</v>
      </c>
      <c r="L73" s="39">
        <v>2</v>
      </c>
      <c r="M73" s="77">
        <f>Evalueringshieraki!$P$16</f>
        <v>0.4854368932038835</v>
      </c>
      <c r="O73" s="41" t="s">
        <v>75</v>
      </c>
      <c r="P73" s="38"/>
      <c r="Q73" s="38"/>
      <c r="R73" s="38"/>
      <c r="S73" s="38" t="s">
        <v>308</v>
      </c>
      <c r="T73" s="38"/>
      <c r="U73" s="38"/>
      <c r="V73" s="38"/>
      <c r="W73" s="38"/>
      <c r="X73" s="38" t="s">
        <v>37</v>
      </c>
      <c r="Y73" s="43">
        <f t="shared" si="4"/>
        <v>0</v>
      </c>
    </row>
    <row r="74" spans="1:25" ht="80" hidden="1">
      <c r="A74" s="38">
        <v>73</v>
      </c>
      <c r="B74" s="38" t="s">
        <v>309</v>
      </c>
      <c r="C74" s="39" t="s">
        <v>26</v>
      </c>
      <c r="D74" s="38" t="s">
        <v>66</v>
      </c>
      <c r="E74" s="41" t="s">
        <v>299</v>
      </c>
      <c r="F74" s="38" t="s">
        <v>310</v>
      </c>
      <c r="G74" s="38" t="s">
        <v>311</v>
      </c>
      <c r="H74" s="38"/>
      <c r="I74" s="38" t="s">
        <v>81</v>
      </c>
      <c r="J74" s="39" t="str">
        <f t="shared" si="3"/>
        <v>Check</v>
      </c>
      <c r="K74" s="39" t="s">
        <v>42</v>
      </c>
      <c r="L74" s="39">
        <v>2</v>
      </c>
      <c r="M74" s="77">
        <f>Evalueringshieraki!$P$16</f>
        <v>0.4854368932038835</v>
      </c>
      <c r="O74" s="41" t="s">
        <v>75</v>
      </c>
      <c r="P74" s="38"/>
      <c r="Q74" s="38"/>
      <c r="R74" s="38"/>
      <c r="S74" s="38"/>
      <c r="T74" s="38"/>
      <c r="U74" s="38"/>
      <c r="V74" s="38"/>
      <c r="W74" s="38"/>
      <c r="X74" s="38" t="s">
        <v>37</v>
      </c>
      <c r="Y74" s="43">
        <f t="shared" si="4"/>
        <v>0</v>
      </c>
    </row>
    <row r="75" spans="1:25" ht="288" hidden="1">
      <c r="A75" s="38">
        <v>74</v>
      </c>
      <c r="B75" s="38" t="s">
        <v>312</v>
      </c>
      <c r="C75" s="39" t="s">
        <v>26</v>
      </c>
      <c r="D75" s="38" t="s">
        <v>66</v>
      </c>
      <c r="E75" s="41" t="s">
        <v>299</v>
      </c>
      <c r="F75" s="38" t="s">
        <v>313</v>
      </c>
      <c r="G75" s="38" t="s">
        <v>314</v>
      </c>
      <c r="H75" s="38"/>
      <c r="I75" s="38" t="s">
        <v>32</v>
      </c>
      <c r="J75" s="39" t="str">
        <f t="shared" si="3"/>
        <v>Answer</v>
      </c>
      <c r="K75" s="39" t="s">
        <v>42</v>
      </c>
      <c r="L75" s="39">
        <v>2</v>
      </c>
      <c r="M75" s="77">
        <f>Evalueringshieraki!$P$16</f>
        <v>0.4854368932038835</v>
      </c>
      <c r="O75" s="41" t="s">
        <v>99</v>
      </c>
      <c r="P75" s="38" t="s">
        <v>315</v>
      </c>
      <c r="Q75" s="38"/>
      <c r="R75" s="38"/>
      <c r="S75" s="38"/>
      <c r="T75" s="38" t="s">
        <v>76</v>
      </c>
      <c r="U75" s="38"/>
      <c r="V75" s="38"/>
      <c r="W75" s="71" t="s">
        <v>316</v>
      </c>
      <c r="X75" s="38" t="s">
        <v>37</v>
      </c>
      <c r="Y75" s="43">
        <f t="shared" si="4"/>
        <v>0</v>
      </c>
    </row>
    <row r="76" spans="1:25" ht="64" hidden="1">
      <c r="A76" s="38">
        <v>75</v>
      </c>
      <c r="B76" s="62" t="s">
        <v>317</v>
      </c>
      <c r="C76" s="39" t="s">
        <v>26</v>
      </c>
      <c r="D76" s="38" t="s">
        <v>66</v>
      </c>
      <c r="E76" s="41" t="s">
        <v>318</v>
      </c>
      <c r="F76" s="38" t="s">
        <v>318</v>
      </c>
      <c r="G76" s="38" t="s">
        <v>319</v>
      </c>
      <c r="H76" s="38"/>
      <c r="I76" s="38" t="s">
        <v>136</v>
      </c>
      <c r="J76" s="39" t="str">
        <f t="shared" si="3"/>
        <v>Verify</v>
      </c>
      <c r="K76" s="39"/>
      <c r="L76" s="39"/>
      <c r="M76" s="3"/>
      <c r="O76" s="41" t="s">
        <v>70</v>
      </c>
      <c r="P76" s="38"/>
      <c r="Q76" s="38" t="s">
        <v>320</v>
      </c>
      <c r="R76" s="38" t="s">
        <v>321</v>
      </c>
      <c r="S76" s="38" t="s">
        <v>322</v>
      </c>
      <c r="T76" s="38" t="s">
        <v>76</v>
      </c>
      <c r="U76" s="38" t="s">
        <v>323</v>
      </c>
      <c r="V76" s="38" t="s">
        <v>323</v>
      </c>
      <c r="W76" s="38"/>
      <c r="X76" s="38" t="s">
        <v>57</v>
      </c>
      <c r="Y76" s="43">
        <f t="shared" si="4"/>
        <v>0.5</v>
      </c>
    </row>
    <row r="77" spans="1:25" ht="64" hidden="1">
      <c r="A77" s="38">
        <v>76</v>
      </c>
      <c r="B77" s="62" t="s">
        <v>324</v>
      </c>
      <c r="C77" s="39" t="s">
        <v>26</v>
      </c>
      <c r="D77" s="38" t="s">
        <v>66</v>
      </c>
      <c r="E77" s="41" t="s">
        <v>318</v>
      </c>
      <c r="F77" s="38" t="s">
        <v>318</v>
      </c>
      <c r="G77" s="38" t="s">
        <v>325</v>
      </c>
      <c r="H77" s="38"/>
      <c r="I77" s="38" t="s">
        <v>136</v>
      </c>
      <c r="J77" s="39" t="str">
        <f t="shared" ref="J77:J108" si="5">IF(I77="IK - Informationskrav","Answer",(IF(I77="K - Konkurrencekrav","Check",(IF(I77="MK - Minimumskrav","Verify","")))))</f>
        <v>Verify</v>
      </c>
      <c r="K77" s="39"/>
      <c r="L77" s="39"/>
      <c r="M77" s="3"/>
      <c r="O77" s="41" t="s">
        <v>70</v>
      </c>
      <c r="P77" s="38"/>
      <c r="Q77" s="38" t="s">
        <v>326</v>
      </c>
      <c r="R77" s="38" t="s">
        <v>82</v>
      </c>
      <c r="S77" s="38" t="s">
        <v>327</v>
      </c>
      <c r="T77" s="38"/>
      <c r="U77" s="38"/>
      <c r="V77" s="38"/>
      <c r="W77" s="38"/>
      <c r="X77" s="38" t="s">
        <v>57</v>
      </c>
      <c r="Y77" s="43">
        <f t="shared" si="4"/>
        <v>0.5</v>
      </c>
    </row>
    <row r="78" spans="1:25" ht="64" hidden="1">
      <c r="A78" s="38">
        <v>77</v>
      </c>
      <c r="B78" s="38" t="s">
        <v>328</v>
      </c>
      <c r="C78" s="39" t="s">
        <v>26</v>
      </c>
      <c r="D78" s="38" t="s">
        <v>66</v>
      </c>
      <c r="E78" s="41" t="s">
        <v>318</v>
      </c>
      <c r="F78" s="38" t="s">
        <v>329</v>
      </c>
      <c r="G78" s="38" t="s">
        <v>330</v>
      </c>
      <c r="H78" s="38"/>
      <c r="I78" s="38" t="s">
        <v>81</v>
      </c>
      <c r="J78" s="39" t="str">
        <f t="shared" si="5"/>
        <v>Check</v>
      </c>
      <c r="K78" s="39" t="s">
        <v>42</v>
      </c>
      <c r="L78" s="39">
        <v>2</v>
      </c>
      <c r="M78" s="77">
        <f>Evalueringshieraki!$P$16</f>
        <v>0.4854368932038835</v>
      </c>
      <c r="O78" s="41" t="s">
        <v>70</v>
      </c>
      <c r="P78" s="38"/>
      <c r="Q78" s="38" t="s">
        <v>320</v>
      </c>
      <c r="R78" s="38" t="s">
        <v>82</v>
      </c>
      <c r="S78" s="38" t="s">
        <v>331</v>
      </c>
      <c r="T78" s="38"/>
      <c r="U78" s="38"/>
      <c r="V78" s="38"/>
      <c r="W78" s="38"/>
      <c r="X78" s="38" t="s">
        <v>57</v>
      </c>
      <c r="Y78" s="43">
        <f t="shared" si="4"/>
        <v>0.5</v>
      </c>
    </row>
    <row r="79" spans="1:25" ht="304" hidden="1">
      <c r="A79" s="38">
        <v>78</v>
      </c>
      <c r="B79" s="38" t="s">
        <v>332</v>
      </c>
      <c r="C79" s="39" t="s">
        <v>26</v>
      </c>
      <c r="D79" s="38" t="s">
        <v>66</v>
      </c>
      <c r="E79" s="41" t="s">
        <v>318</v>
      </c>
      <c r="F79" s="38" t="s">
        <v>333</v>
      </c>
      <c r="G79" s="38" t="s">
        <v>334</v>
      </c>
      <c r="H79" s="38"/>
      <c r="I79" s="38" t="s">
        <v>32</v>
      </c>
      <c r="J79" s="39" t="str">
        <f t="shared" si="5"/>
        <v>Answer</v>
      </c>
      <c r="K79" s="39" t="s">
        <v>42</v>
      </c>
      <c r="L79" s="39">
        <v>2</v>
      </c>
      <c r="M79" s="77">
        <f>Evalueringshieraki!$P$16</f>
        <v>0.4854368932038835</v>
      </c>
      <c r="O79" s="41" t="s">
        <v>70</v>
      </c>
      <c r="P79" s="38" t="s">
        <v>335</v>
      </c>
      <c r="Q79" s="38" t="s">
        <v>326</v>
      </c>
      <c r="R79" s="38" t="s">
        <v>321</v>
      </c>
      <c r="S79" s="38" t="s">
        <v>336</v>
      </c>
      <c r="T79" s="38"/>
      <c r="U79" s="38"/>
      <c r="V79" s="38"/>
      <c r="W79" s="71" t="s">
        <v>337</v>
      </c>
      <c r="X79" s="38" t="s">
        <v>57</v>
      </c>
      <c r="Y79" s="43">
        <f t="shared" si="4"/>
        <v>0.5</v>
      </c>
    </row>
    <row r="80" spans="1:25" ht="336" hidden="1">
      <c r="A80" s="38">
        <v>79</v>
      </c>
      <c r="B80" s="38" t="s">
        <v>338</v>
      </c>
      <c r="C80" s="39" t="s">
        <v>26</v>
      </c>
      <c r="D80" s="38" t="s">
        <v>66</v>
      </c>
      <c r="E80" s="41" t="s">
        <v>318</v>
      </c>
      <c r="F80" s="38" t="s">
        <v>339</v>
      </c>
      <c r="G80" s="38" t="s">
        <v>340</v>
      </c>
      <c r="H80" s="38"/>
      <c r="I80" s="38" t="s">
        <v>32</v>
      </c>
      <c r="J80" s="39" t="str">
        <f t="shared" si="5"/>
        <v>Answer</v>
      </c>
      <c r="K80" s="39" t="s">
        <v>42</v>
      </c>
      <c r="L80" s="39">
        <v>2</v>
      </c>
      <c r="M80" s="77">
        <f>Evalueringshieraki!$P$16</f>
        <v>0.4854368932038835</v>
      </c>
      <c r="O80" s="41" t="s">
        <v>70</v>
      </c>
      <c r="P80" s="38"/>
      <c r="Q80" s="38" t="s">
        <v>341</v>
      </c>
      <c r="R80" s="38" t="s">
        <v>321</v>
      </c>
      <c r="S80" s="38" t="s">
        <v>342</v>
      </c>
      <c r="T80" s="38" t="s">
        <v>76</v>
      </c>
      <c r="U80" s="38" t="s">
        <v>323</v>
      </c>
      <c r="V80" s="38" t="s">
        <v>323</v>
      </c>
      <c r="W80" s="71" t="s">
        <v>343</v>
      </c>
      <c r="X80" s="38" t="s">
        <v>57</v>
      </c>
      <c r="Y80" s="43">
        <f t="shared" si="4"/>
        <v>0.5</v>
      </c>
    </row>
    <row r="81" spans="1:25" ht="224" hidden="1">
      <c r="A81" s="38">
        <v>80</v>
      </c>
      <c r="B81" s="62" t="s">
        <v>344</v>
      </c>
      <c r="C81" s="39" t="s">
        <v>26</v>
      </c>
      <c r="D81" s="38" t="s">
        <v>66</v>
      </c>
      <c r="E81" s="41" t="s">
        <v>345</v>
      </c>
      <c r="F81" s="38" t="s">
        <v>345</v>
      </c>
      <c r="G81" s="38" t="s">
        <v>346</v>
      </c>
      <c r="H81" s="38"/>
      <c r="I81" s="38" t="s">
        <v>136</v>
      </c>
      <c r="J81" s="39" t="str">
        <f t="shared" si="5"/>
        <v>Verify</v>
      </c>
      <c r="K81" s="39"/>
      <c r="L81" s="39"/>
      <c r="M81" s="3"/>
      <c r="O81" s="41" t="s">
        <v>70</v>
      </c>
      <c r="P81" s="38"/>
      <c r="Q81" s="38"/>
      <c r="R81" s="38"/>
      <c r="S81" s="38" t="s">
        <v>347</v>
      </c>
      <c r="T81" s="38"/>
      <c r="U81" s="38"/>
      <c r="V81" s="38"/>
      <c r="W81" s="38"/>
      <c r="X81" s="38" t="s">
        <v>37</v>
      </c>
      <c r="Y81" s="43">
        <f t="shared" si="4"/>
        <v>0</v>
      </c>
    </row>
    <row r="82" spans="1:25" ht="409.5" hidden="1">
      <c r="A82" s="38">
        <v>81</v>
      </c>
      <c r="B82" s="38" t="s">
        <v>348</v>
      </c>
      <c r="C82" s="39" t="s">
        <v>26</v>
      </c>
      <c r="D82" s="38" t="s">
        <v>66</v>
      </c>
      <c r="E82" s="41" t="s">
        <v>345</v>
      </c>
      <c r="F82" s="38" t="s">
        <v>349</v>
      </c>
      <c r="G82" s="38" t="s">
        <v>350</v>
      </c>
      <c r="H82" s="38"/>
      <c r="I82" s="38" t="s">
        <v>32</v>
      </c>
      <c r="J82" s="39" t="str">
        <f t="shared" si="5"/>
        <v>Answer</v>
      </c>
      <c r="K82" s="39" t="s">
        <v>42</v>
      </c>
      <c r="L82" s="39">
        <v>2</v>
      </c>
      <c r="M82" s="77">
        <f>Evalueringshieraki!$P$16</f>
        <v>0.4854368932038835</v>
      </c>
      <c r="O82" s="41" t="s">
        <v>70</v>
      </c>
      <c r="P82" s="38"/>
      <c r="Q82" s="38"/>
      <c r="R82" s="38"/>
      <c r="S82" s="38" t="s">
        <v>347</v>
      </c>
      <c r="T82" s="38"/>
      <c r="U82" s="38"/>
      <c r="V82" s="38"/>
      <c r="W82" s="71" t="s">
        <v>351</v>
      </c>
      <c r="X82" s="38" t="s">
        <v>37</v>
      </c>
      <c r="Y82" s="43">
        <f t="shared" si="4"/>
        <v>0</v>
      </c>
    </row>
    <row r="83" spans="1:25" ht="208" hidden="1">
      <c r="A83" s="38">
        <v>82</v>
      </c>
      <c r="B83" s="38" t="s">
        <v>352</v>
      </c>
      <c r="C83" s="39" t="s">
        <v>26</v>
      </c>
      <c r="D83" s="38" t="s">
        <v>66</v>
      </c>
      <c r="E83" s="41" t="s">
        <v>345</v>
      </c>
      <c r="F83" s="38" t="s">
        <v>353</v>
      </c>
      <c r="G83" s="38" t="s">
        <v>354</v>
      </c>
      <c r="H83" s="38"/>
      <c r="I83" s="38" t="s">
        <v>32</v>
      </c>
      <c r="J83" s="39" t="str">
        <f t="shared" si="5"/>
        <v>Answer</v>
      </c>
      <c r="K83" s="39" t="s">
        <v>42</v>
      </c>
      <c r="L83" s="39">
        <v>2</v>
      </c>
      <c r="M83" s="77">
        <f>Evalueringshieraki!$P$16</f>
        <v>0.4854368932038835</v>
      </c>
      <c r="O83" s="41" t="s">
        <v>70</v>
      </c>
      <c r="P83" s="38"/>
      <c r="Q83" s="38"/>
      <c r="R83" s="38"/>
      <c r="S83" s="38" t="s">
        <v>347</v>
      </c>
      <c r="T83" s="38"/>
      <c r="U83" s="38"/>
      <c r="V83" s="38"/>
      <c r="W83" s="71" t="s">
        <v>355</v>
      </c>
      <c r="X83" s="38" t="s">
        <v>37</v>
      </c>
      <c r="Y83" s="43">
        <f t="shared" si="4"/>
        <v>0</v>
      </c>
    </row>
    <row r="84" spans="1:25" ht="288" hidden="1">
      <c r="A84" s="38">
        <v>83</v>
      </c>
      <c r="B84" s="38" t="s">
        <v>356</v>
      </c>
      <c r="C84" s="39" t="s">
        <v>26</v>
      </c>
      <c r="D84" s="38" t="s">
        <v>66</v>
      </c>
      <c r="E84" s="41" t="s">
        <v>345</v>
      </c>
      <c r="F84" s="38" t="s">
        <v>357</v>
      </c>
      <c r="G84" s="38" t="s">
        <v>358</v>
      </c>
      <c r="H84" s="38"/>
      <c r="I84" s="38" t="s">
        <v>32</v>
      </c>
      <c r="J84" s="39" t="str">
        <f t="shared" si="5"/>
        <v>Answer</v>
      </c>
      <c r="K84" s="39" t="s">
        <v>42</v>
      </c>
      <c r="L84" s="39">
        <v>2</v>
      </c>
      <c r="M84" s="77">
        <f>Evalueringshieraki!$P$16</f>
        <v>0.4854368932038835</v>
      </c>
      <c r="O84" s="41" t="s">
        <v>70</v>
      </c>
      <c r="P84" s="38"/>
      <c r="Q84" s="38"/>
      <c r="R84" s="38"/>
      <c r="S84" s="38" t="s">
        <v>347</v>
      </c>
      <c r="T84" s="38"/>
      <c r="U84" s="38"/>
      <c r="V84" s="38"/>
      <c r="W84" s="71" t="s">
        <v>359</v>
      </c>
      <c r="X84" s="38" t="s">
        <v>37</v>
      </c>
      <c r="Y84" s="43">
        <f t="shared" si="4"/>
        <v>0</v>
      </c>
    </row>
    <row r="85" spans="1:25" ht="128" hidden="1">
      <c r="A85" s="38">
        <v>84</v>
      </c>
      <c r="B85" s="38" t="s">
        <v>360</v>
      </c>
      <c r="C85" s="39" t="s">
        <v>26</v>
      </c>
      <c r="D85" s="38" t="s">
        <v>66</v>
      </c>
      <c r="E85" s="41" t="s">
        <v>345</v>
      </c>
      <c r="F85" s="38" t="s">
        <v>361</v>
      </c>
      <c r="G85" s="38" t="s">
        <v>362</v>
      </c>
      <c r="H85" s="38"/>
      <c r="I85" s="38" t="s">
        <v>81</v>
      </c>
      <c r="J85" s="39" t="str">
        <f t="shared" si="5"/>
        <v>Check</v>
      </c>
      <c r="K85" s="39" t="s">
        <v>42</v>
      </c>
      <c r="L85" s="39">
        <v>2</v>
      </c>
      <c r="M85" s="77">
        <f>Evalueringshieraki!$P$16</f>
        <v>0.4854368932038835</v>
      </c>
      <c r="O85" s="41" t="s">
        <v>70</v>
      </c>
      <c r="P85" s="38"/>
      <c r="Q85" s="38"/>
      <c r="R85" s="38"/>
      <c r="S85" s="38" t="s">
        <v>347</v>
      </c>
      <c r="T85" s="38"/>
      <c r="U85" s="38"/>
      <c r="V85" s="38"/>
      <c r="W85" s="38"/>
      <c r="X85" s="38" t="s">
        <v>37</v>
      </c>
      <c r="Y85" s="43">
        <f t="shared" si="4"/>
        <v>0</v>
      </c>
    </row>
    <row r="86" spans="1:25" ht="304" hidden="1">
      <c r="A86" s="38">
        <v>85</v>
      </c>
      <c r="B86" s="38" t="s">
        <v>363</v>
      </c>
      <c r="C86" s="39" t="s">
        <v>26</v>
      </c>
      <c r="D86" s="38" t="s">
        <v>66</v>
      </c>
      <c r="E86" s="41" t="s">
        <v>345</v>
      </c>
      <c r="F86" s="38" t="s">
        <v>364</v>
      </c>
      <c r="G86" s="38" t="s">
        <v>365</v>
      </c>
      <c r="H86" s="38"/>
      <c r="I86" s="38" t="s">
        <v>32</v>
      </c>
      <c r="J86" s="39" t="str">
        <f t="shared" si="5"/>
        <v>Answer</v>
      </c>
      <c r="K86" s="39" t="s">
        <v>42</v>
      </c>
      <c r="L86" s="39">
        <v>2</v>
      </c>
      <c r="M86" s="77">
        <f>Evalueringshieraki!$P$16</f>
        <v>0.4854368932038835</v>
      </c>
      <c r="O86" s="41" t="s">
        <v>70</v>
      </c>
      <c r="P86" s="38"/>
      <c r="Q86" s="38"/>
      <c r="R86" s="38"/>
      <c r="S86" s="38" t="s">
        <v>347</v>
      </c>
      <c r="T86" s="38"/>
      <c r="U86" s="38"/>
      <c r="V86" s="38"/>
      <c r="W86" s="71" t="s">
        <v>366</v>
      </c>
      <c r="X86" s="38" t="s">
        <v>37</v>
      </c>
      <c r="Y86" s="43">
        <f t="shared" si="4"/>
        <v>0</v>
      </c>
    </row>
    <row r="87" spans="1:25" ht="48" hidden="1">
      <c r="A87" s="38">
        <v>86</v>
      </c>
      <c r="B87" s="62" t="s">
        <v>367</v>
      </c>
      <c r="C87" s="39" t="s">
        <v>26</v>
      </c>
      <c r="D87" s="38" t="s">
        <v>66</v>
      </c>
      <c r="E87" s="41" t="s">
        <v>368</v>
      </c>
      <c r="F87" s="38" t="s">
        <v>368</v>
      </c>
      <c r="G87" s="38" t="s">
        <v>369</v>
      </c>
      <c r="H87" s="38"/>
      <c r="I87" s="38" t="s">
        <v>136</v>
      </c>
      <c r="J87" s="39" t="str">
        <f t="shared" si="5"/>
        <v>Verify</v>
      </c>
      <c r="K87" s="39"/>
      <c r="L87" s="39"/>
      <c r="M87" s="3"/>
      <c r="O87" s="41" t="s">
        <v>159</v>
      </c>
      <c r="P87" s="38"/>
      <c r="Q87" s="38"/>
      <c r="R87" s="38" t="s">
        <v>82</v>
      </c>
      <c r="S87" s="38" t="s">
        <v>370</v>
      </c>
      <c r="T87" s="38"/>
      <c r="U87" s="38"/>
      <c r="V87" s="38"/>
      <c r="W87" s="38"/>
      <c r="X87" s="38" t="s">
        <v>37</v>
      </c>
      <c r="Y87" s="43">
        <f t="shared" si="4"/>
        <v>0</v>
      </c>
    </row>
    <row r="88" spans="1:25" ht="384">
      <c r="A88" s="38">
        <v>87</v>
      </c>
      <c r="B88" s="38" t="s">
        <v>371</v>
      </c>
      <c r="C88" s="39" t="s">
        <v>26</v>
      </c>
      <c r="D88" s="38" t="s">
        <v>66</v>
      </c>
      <c r="E88" s="41" t="s">
        <v>368</v>
      </c>
      <c r="F88" s="38" t="s">
        <v>372</v>
      </c>
      <c r="G88" s="38" t="s">
        <v>373</v>
      </c>
      <c r="H88" s="38"/>
      <c r="I88" s="38" t="s">
        <v>32</v>
      </c>
      <c r="J88" s="39" t="str">
        <f t="shared" si="5"/>
        <v>Answer</v>
      </c>
      <c r="K88" s="39" t="s">
        <v>42</v>
      </c>
      <c r="L88" s="39">
        <v>2</v>
      </c>
      <c r="M88" s="77">
        <f>Evalueringshieraki!$P$16</f>
        <v>0.4854368932038835</v>
      </c>
      <c r="O88" s="41" t="s">
        <v>159</v>
      </c>
      <c r="P88" s="38" t="s">
        <v>374</v>
      </c>
      <c r="Q88" s="38" t="s">
        <v>326</v>
      </c>
      <c r="R88" s="38"/>
      <c r="S88" s="38"/>
      <c r="T88" s="38"/>
      <c r="U88" s="38"/>
      <c r="V88" s="38"/>
      <c r="W88" s="71" t="s">
        <v>375</v>
      </c>
      <c r="X88" s="38" t="s">
        <v>37</v>
      </c>
      <c r="Y88" s="43">
        <f t="shared" si="4"/>
        <v>0</v>
      </c>
    </row>
    <row r="89" spans="1:25" ht="144" hidden="1">
      <c r="A89" s="38">
        <v>88</v>
      </c>
      <c r="B89" s="62" t="s">
        <v>376</v>
      </c>
      <c r="C89" s="39" t="s">
        <v>26</v>
      </c>
      <c r="D89" s="38" t="s">
        <v>66</v>
      </c>
      <c r="E89" s="41" t="s">
        <v>377</v>
      </c>
      <c r="F89" s="38" t="s">
        <v>377</v>
      </c>
      <c r="G89" s="38" t="s">
        <v>378</v>
      </c>
      <c r="H89" s="38"/>
      <c r="I89" s="38" t="s">
        <v>136</v>
      </c>
      <c r="J89" s="39" t="str">
        <f t="shared" si="5"/>
        <v>Verify</v>
      </c>
      <c r="K89" s="39"/>
      <c r="L89" s="39"/>
      <c r="M89" s="3"/>
      <c r="O89" s="41" t="s">
        <v>159</v>
      </c>
      <c r="P89" s="38"/>
      <c r="Q89" s="38"/>
      <c r="R89" s="38" t="s">
        <v>82</v>
      </c>
      <c r="S89" s="38"/>
      <c r="T89" s="38"/>
      <c r="U89" s="38"/>
      <c r="V89" s="38"/>
      <c r="W89" s="38"/>
      <c r="X89" s="38" t="s">
        <v>37</v>
      </c>
      <c r="Y89" s="43">
        <f t="shared" si="4"/>
        <v>0</v>
      </c>
    </row>
    <row r="90" spans="1:25" ht="224">
      <c r="A90" s="38">
        <v>89</v>
      </c>
      <c r="B90" s="38" t="s">
        <v>379</v>
      </c>
      <c r="C90" s="39" t="s">
        <v>26</v>
      </c>
      <c r="D90" s="38" t="s">
        <v>66</v>
      </c>
      <c r="E90" s="41" t="s">
        <v>377</v>
      </c>
      <c r="F90" s="38" t="s">
        <v>380</v>
      </c>
      <c r="G90" s="38" t="s">
        <v>381</v>
      </c>
      <c r="H90" s="38"/>
      <c r="I90" s="38" t="s">
        <v>32</v>
      </c>
      <c r="J90" s="39" t="str">
        <f t="shared" si="5"/>
        <v>Answer</v>
      </c>
      <c r="K90" s="39" t="s">
        <v>42</v>
      </c>
      <c r="L90" s="39">
        <v>2</v>
      </c>
      <c r="M90" s="77">
        <f>Evalueringshieraki!$P$16</f>
        <v>0.4854368932038835</v>
      </c>
      <c r="O90" s="41" t="s">
        <v>159</v>
      </c>
      <c r="P90" s="38"/>
      <c r="Q90" s="38"/>
      <c r="R90" s="38"/>
      <c r="S90" s="38"/>
      <c r="T90" s="38"/>
      <c r="U90" s="38"/>
      <c r="V90" s="38"/>
      <c r="W90" s="71" t="s">
        <v>382</v>
      </c>
      <c r="X90" s="38" t="s">
        <v>37</v>
      </c>
      <c r="Y90" s="43">
        <f t="shared" si="4"/>
        <v>0</v>
      </c>
    </row>
    <row r="91" spans="1:25" ht="80" hidden="1">
      <c r="A91" s="38">
        <v>90</v>
      </c>
      <c r="B91" s="38" t="s">
        <v>383</v>
      </c>
      <c r="C91" s="39" t="s">
        <v>26</v>
      </c>
      <c r="D91" s="38" t="s">
        <v>384</v>
      </c>
      <c r="E91" s="41" t="s">
        <v>385</v>
      </c>
      <c r="F91" s="38" t="s">
        <v>386</v>
      </c>
      <c r="G91" s="38" t="s">
        <v>387</v>
      </c>
      <c r="H91" s="38"/>
      <c r="I91" s="38" t="s">
        <v>136</v>
      </c>
      <c r="J91" s="39" t="str">
        <f t="shared" si="5"/>
        <v>Verify</v>
      </c>
      <c r="K91" s="39"/>
      <c r="L91" s="39">
        <v>2</v>
      </c>
      <c r="M91" s="3"/>
      <c r="O91" s="41" t="s">
        <v>54</v>
      </c>
      <c r="P91" s="38"/>
      <c r="Q91" s="38"/>
      <c r="R91" s="38" t="s">
        <v>82</v>
      </c>
      <c r="S91" s="38"/>
      <c r="T91" s="38"/>
      <c r="U91" s="38"/>
      <c r="V91" s="38"/>
      <c r="W91" s="38"/>
      <c r="X91" s="38" t="s">
        <v>86</v>
      </c>
      <c r="Y91" s="43">
        <f t="shared" si="4"/>
        <v>0.7</v>
      </c>
    </row>
    <row r="92" spans="1:25" ht="64" hidden="1">
      <c r="A92" s="38">
        <v>91</v>
      </c>
      <c r="B92" s="38" t="s">
        <v>388</v>
      </c>
      <c r="C92" s="39" t="s">
        <v>26</v>
      </c>
      <c r="D92" s="38" t="s">
        <v>384</v>
      </c>
      <c r="E92" s="41" t="s">
        <v>385</v>
      </c>
      <c r="F92" s="38" t="s">
        <v>389</v>
      </c>
      <c r="G92" s="38" t="s">
        <v>390</v>
      </c>
      <c r="H92" s="38"/>
      <c r="I92" s="38" t="s">
        <v>136</v>
      </c>
      <c r="J92" s="39" t="str">
        <f t="shared" si="5"/>
        <v>Verify</v>
      </c>
      <c r="K92" s="39"/>
      <c r="L92" s="39">
        <v>2</v>
      </c>
      <c r="M92" s="3"/>
      <c r="O92" s="41" t="s">
        <v>54</v>
      </c>
      <c r="P92" s="38"/>
      <c r="Q92" s="38"/>
      <c r="R92" s="38" t="s">
        <v>82</v>
      </c>
      <c r="S92" s="38"/>
      <c r="T92" s="38"/>
      <c r="U92" s="38"/>
      <c r="V92" s="38"/>
      <c r="W92" s="38"/>
      <c r="X92" s="38" t="s">
        <v>86</v>
      </c>
      <c r="Y92" s="43">
        <f t="shared" si="4"/>
        <v>0.7</v>
      </c>
    </row>
    <row r="93" spans="1:25" ht="64" hidden="1">
      <c r="A93" s="38">
        <v>92</v>
      </c>
      <c r="B93" s="38" t="s">
        <v>391</v>
      </c>
      <c r="C93" s="39" t="s">
        <v>26</v>
      </c>
      <c r="D93" s="38" t="s">
        <v>384</v>
      </c>
      <c r="E93" s="41" t="s">
        <v>385</v>
      </c>
      <c r="F93" s="38" t="s">
        <v>392</v>
      </c>
      <c r="G93" s="38" t="s">
        <v>393</v>
      </c>
      <c r="H93" s="38"/>
      <c r="I93" s="38" t="s">
        <v>136</v>
      </c>
      <c r="J93" s="39" t="str">
        <f t="shared" si="5"/>
        <v>Verify</v>
      </c>
      <c r="K93" s="39"/>
      <c r="L93" s="39">
        <v>2</v>
      </c>
      <c r="M93" s="3"/>
      <c r="O93" s="41" t="s">
        <v>54</v>
      </c>
      <c r="P93" s="38"/>
      <c r="Q93" s="38"/>
      <c r="R93" s="38" t="s">
        <v>82</v>
      </c>
      <c r="S93" s="38"/>
      <c r="T93" s="38"/>
      <c r="U93" s="38"/>
      <c r="V93" s="38"/>
      <c r="W93" s="38"/>
      <c r="X93" s="38" t="s">
        <v>86</v>
      </c>
      <c r="Y93" s="43">
        <f t="shared" si="4"/>
        <v>0.7</v>
      </c>
    </row>
    <row r="94" spans="1:25" ht="80" hidden="1">
      <c r="A94" s="38">
        <v>93</v>
      </c>
      <c r="B94" s="38" t="s">
        <v>394</v>
      </c>
      <c r="C94" s="39" t="s">
        <v>26</v>
      </c>
      <c r="D94" s="38" t="s">
        <v>384</v>
      </c>
      <c r="E94" s="41" t="s">
        <v>385</v>
      </c>
      <c r="F94" s="38" t="s">
        <v>395</v>
      </c>
      <c r="G94" s="38" t="s">
        <v>396</v>
      </c>
      <c r="H94" s="38"/>
      <c r="I94" s="38" t="s">
        <v>136</v>
      </c>
      <c r="J94" s="39" t="str">
        <f t="shared" si="5"/>
        <v>Verify</v>
      </c>
      <c r="K94" s="39"/>
      <c r="L94" s="39">
        <v>2</v>
      </c>
      <c r="M94" s="3"/>
      <c r="O94" s="41" t="s">
        <v>159</v>
      </c>
      <c r="P94" s="38"/>
      <c r="Q94" s="38"/>
      <c r="R94" s="38" t="s">
        <v>82</v>
      </c>
      <c r="S94" s="38" t="s">
        <v>397</v>
      </c>
      <c r="T94" s="38"/>
      <c r="U94" s="38"/>
      <c r="V94" s="38"/>
      <c r="W94" s="38"/>
      <c r="X94" s="38" t="s">
        <v>37</v>
      </c>
      <c r="Y94" s="43">
        <f t="shared" si="4"/>
        <v>0</v>
      </c>
    </row>
    <row r="95" spans="1:25" ht="272">
      <c r="A95" s="38">
        <v>94</v>
      </c>
      <c r="B95" s="38" t="s">
        <v>398</v>
      </c>
      <c r="C95" s="39" t="s">
        <v>26</v>
      </c>
      <c r="D95" s="38" t="s">
        <v>384</v>
      </c>
      <c r="E95" s="41" t="s">
        <v>385</v>
      </c>
      <c r="F95" s="38" t="s">
        <v>399</v>
      </c>
      <c r="G95" s="38" t="s">
        <v>400</v>
      </c>
      <c r="H95" s="38"/>
      <c r="I95" s="38" t="s">
        <v>32</v>
      </c>
      <c r="J95" s="39" t="str">
        <f t="shared" si="5"/>
        <v>Answer</v>
      </c>
      <c r="K95" s="39" t="s">
        <v>42</v>
      </c>
      <c r="L95" s="39">
        <v>2</v>
      </c>
      <c r="M95" s="77">
        <f>Evalueringshieraki!$P$16</f>
        <v>0.4854368932038835</v>
      </c>
      <c r="O95" s="41" t="s">
        <v>159</v>
      </c>
      <c r="P95" s="38"/>
      <c r="Q95" s="38"/>
      <c r="R95" s="38"/>
      <c r="S95" s="38" t="s">
        <v>401</v>
      </c>
      <c r="T95" s="38"/>
      <c r="U95" s="38"/>
      <c r="V95" s="38"/>
      <c r="W95" s="71" t="s">
        <v>402</v>
      </c>
      <c r="X95" s="38" t="s">
        <v>37</v>
      </c>
      <c r="Y95" s="43">
        <f t="shared" si="4"/>
        <v>0</v>
      </c>
    </row>
    <row r="96" spans="1:25" ht="144" hidden="1">
      <c r="A96" s="38">
        <v>95</v>
      </c>
      <c r="B96" s="38" t="s">
        <v>403</v>
      </c>
      <c r="C96" s="39" t="s">
        <v>26</v>
      </c>
      <c r="D96" s="38" t="s">
        <v>384</v>
      </c>
      <c r="E96" s="41" t="s">
        <v>404</v>
      </c>
      <c r="F96" s="38" t="s">
        <v>405</v>
      </c>
      <c r="G96" s="38" t="s">
        <v>406</v>
      </c>
      <c r="H96" s="38"/>
      <c r="I96" s="38" t="s">
        <v>136</v>
      </c>
      <c r="J96" s="39" t="str">
        <f t="shared" si="5"/>
        <v>Verify</v>
      </c>
      <c r="K96" s="39"/>
      <c r="L96" s="39">
        <v>2</v>
      </c>
      <c r="M96" s="3"/>
      <c r="O96" s="41" t="s">
        <v>62</v>
      </c>
      <c r="P96" s="38"/>
      <c r="Q96" s="38"/>
      <c r="R96" s="38"/>
      <c r="S96" s="38"/>
      <c r="T96" s="38"/>
      <c r="U96" s="38"/>
      <c r="V96" s="38"/>
      <c r="W96" s="38"/>
      <c r="X96" s="38" t="s">
        <v>37</v>
      </c>
      <c r="Y96" s="43">
        <f t="shared" si="4"/>
        <v>0</v>
      </c>
    </row>
    <row r="97" spans="1:25" ht="96" hidden="1">
      <c r="A97" s="38">
        <v>96</v>
      </c>
      <c r="B97" s="38" t="s">
        <v>407</v>
      </c>
      <c r="C97" s="39" t="s">
        <v>26</v>
      </c>
      <c r="D97" s="38" t="s">
        <v>384</v>
      </c>
      <c r="E97" s="41" t="s">
        <v>404</v>
      </c>
      <c r="F97" s="38" t="s">
        <v>408</v>
      </c>
      <c r="G97" s="38" t="s">
        <v>409</v>
      </c>
      <c r="H97" s="38"/>
      <c r="I97" s="38" t="s">
        <v>136</v>
      </c>
      <c r="J97" s="39" t="str">
        <f t="shared" si="5"/>
        <v>Verify</v>
      </c>
      <c r="K97" s="39"/>
      <c r="L97" s="39">
        <v>2</v>
      </c>
      <c r="M97" s="3"/>
      <c r="O97" s="41" t="s">
        <v>62</v>
      </c>
      <c r="P97" s="38"/>
      <c r="Q97" s="38"/>
      <c r="R97" s="38"/>
      <c r="S97" s="38"/>
      <c r="T97" s="38"/>
      <c r="U97" s="38"/>
      <c r="V97" s="38"/>
      <c r="W97" s="38"/>
      <c r="X97" s="38" t="s">
        <v>37</v>
      </c>
      <c r="Y97" s="43">
        <f t="shared" si="4"/>
        <v>0</v>
      </c>
    </row>
    <row r="98" spans="1:25" ht="240" hidden="1">
      <c r="A98" s="38">
        <v>97</v>
      </c>
      <c r="B98" s="62" t="s">
        <v>410</v>
      </c>
      <c r="C98" s="39" t="s">
        <v>26</v>
      </c>
      <c r="D98" s="38" t="s">
        <v>384</v>
      </c>
      <c r="E98" s="41" t="s">
        <v>411</v>
      </c>
      <c r="F98" s="38" t="s">
        <v>411</v>
      </c>
      <c r="G98" s="38" t="s">
        <v>412</v>
      </c>
      <c r="H98" s="38"/>
      <c r="I98" s="38" t="s">
        <v>136</v>
      </c>
      <c r="J98" s="39" t="str">
        <f t="shared" si="5"/>
        <v>Verify</v>
      </c>
      <c r="K98" s="39"/>
      <c r="L98" s="39"/>
      <c r="M98" s="3"/>
      <c r="O98" s="41" t="s">
        <v>92</v>
      </c>
      <c r="P98" s="38"/>
      <c r="Q98" s="38"/>
      <c r="R98" s="38"/>
      <c r="S98" s="38" t="s">
        <v>413</v>
      </c>
      <c r="T98" s="38"/>
      <c r="U98" s="38"/>
      <c r="V98" s="38"/>
      <c r="W98" s="38"/>
      <c r="X98" s="38" t="s">
        <v>37</v>
      </c>
      <c r="Y98" s="43">
        <f t="shared" si="4"/>
        <v>0</v>
      </c>
    </row>
    <row r="99" spans="1:25" ht="208" hidden="1">
      <c r="A99" s="38">
        <v>98</v>
      </c>
      <c r="B99" s="38" t="s">
        <v>414</v>
      </c>
      <c r="C99" s="39" t="s">
        <v>26</v>
      </c>
      <c r="D99" s="38" t="s">
        <v>384</v>
      </c>
      <c r="E99" s="41" t="s">
        <v>411</v>
      </c>
      <c r="F99" s="38" t="s">
        <v>415</v>
      </c>
      <c r="G99" s="38" t="s">
        <v>416</v>
      </c>
      <c r="H99" s="38"/>
      <c r="I99" s="38" t="s">
        <v>136</v>
      </c>
      <c r="J99" s="39" t="str">
        <f t="shared" si="5"/>
        <v>Verify</v>
      </c>
      <c r="K99" s="39"/>
      <c r="L99" s="39">
        <v>2</v>
      </c>
      <c r="M99" s="3"/>
      <c r="O99" s="41" t="s">
        <v>54</v>
      </c>
      <c r="P99" s="38"/>
      <c r="Q99" s="38"/>
      <c r="R99" s="38" t="s">
        <v>82</v>
      </c>
      <c r="S99" s="38"/>
      <c r="T99" s="38"/>
      <c r="U99" s="38"/>
      <c r="V99" s="38"/>
      <c r="W99" s="38"/>
      <c r="X99" s="38" t="s">
        <v>86</v>
      </c>
      <c r="Y99" s="43">
        <f t="shared" si="4"/>
        <v>0.7</v>
      </c>
    </row>
    <row r="100" spans="1:25" ht="409.5">
      <c r="A100" s="38">
        <v>99</v>
      </c>
      <c r="B100" s="38" t="s">
        <v>417</v>
      </c>
      <c r="C100" s="39" t="s">
        <v>26</v>
      </c>
      <c r="D100" s="38" t="s">
        <v>384</v>
      </c>
      <c r="E100" s="41" t="s">
        <v>411</v>
      </c>
      <c r="F100" s="38" t="s">
        <v>418</v>
      </c>
      <c r="G100" s="38" t="s">
        <v>419</v>
      </c>
      <c r="H100" s="38"/>
      <c r="I100" s="38" t="s">
        <v>32</v>
      </c>
      <c r="J100" s="39" t="str">
        <f t="shared" si="5"/>
        <v>Answer</v>
      </c>
      <c r="K100" s="39" t="s">
        <v>42</v>
      </c>
      <c r="L100" s="39">
        <v>2</v>
      </c>
      <c r="M100" s="77">
        <f>Evalueringshieraki!$P$16</f>
        <v>0.4854368932038835</v>
      </c>
      <c r="O100" s="41" t="s">
        <v>159</v>
      </c>
      <c r="P100" s="38"/>
      <c r="Q100" s="38"/>
      <c r="R100" s="38"/>
      <c r="S100" s="38"/>
      <c r="T100" s="38"/>
      <c r="U100" s="38"/>
      <c r="V100" s="38"/>
      <c r="W100" s="71" t="s">
        <v>420</v>
      </c>
      <c r="X100" s="38" t="s">
        <v>37</v>
      </c>
      <c r="Y100" s="43">
        <f t="shared" si="4"/>
        <v>0</v>
      </c>
    </row>
    <row r="101" spans="1:25" ht="112" hidden="1">
      <c r="A101" s="38">
        <v>100</v>
      </c>
      <c r="B101" s="38" t="s">
        <v>421</v>
      </c>
      <c r="C101" s="39" t="s">
        <v>26</v>
      </c>
      <c r="D101" s="38" t="s">
        <v>384</v>
      </c>
      <c r="E101" s="41" t="s">
        <v>411</v>
      </c>
      <c r="F101" s="38" t="s">
        <v>422</v>
      </c>
      <c r="G101" s="38" t="s">
        <v>423</v>
      </c>
      <c r="H101" s="38"/>
      <c r="I101" s="38" t="s">
        <v>136</v>
      </c>
      <c r="J101" s="39" t="str">
        <f t="shared" si="5"/>
        <v>Verify</v>
      </c>
      <c r="K101" s="39"/>
      <c r="L101" s="39">
        <v>2</v>
      </c>
      <c r="M101" s="3"/>
      <c r="O101" s="41" t="s">
        <v>424</v>
      </c>
      <c r="P101" s="38"/>
      <c r="Q101" s="38"/>
      <c r="R101" s="38"/>
      <c r="S101" s="38"/>
      <c r="T101" s="38"/>
      <c r="U101" s="38"/>
      <c r="V101" s="38"/>
      <c r="W101" s="38"/>
      <c r="X101" s="38" t="s">
        <v>37</v>
      </c>
      <c r="Y101" s="43">
        <f t="shared" si="4"/>
        <v>0</v>
      </c>
    </row>
    <row r="102" spans="1:25" ht="409.5" hidden="1">
      <c r="A102" s="38">
        <v>101</v>
      </c>
      <c r="B102" s="38" t="s">
        <v>425</v>
      </c>
      <c r="C102" s="39" t="s">
        <v>26</v>
      </c>
      <c r="D102" s="38" t="s">
        <v>384</v>
      </c>
      <c r="E102" s="41" t="s">
        <v>411</v>
      </c>
      <c r="F102" s="38" t="s">
        <v>426</v>
      </c>
      <c r="G102" s="38" t="s">
        <v>427</v>
      </c>
      <c r="H102" s="38"/>
      <c r="I102" s="38" t="s">
        <v>136</v>
      </c>
      <c r="J102" s="39" t="str">
        <f t="shared" si="5"/>
        <v>Verify</v>
      </c>
      <c r="K102" s="39"/>
      <c r="L102" s="39">
        <v>2</v>
      </c>
      <c r="M102" s="3"/>
      <c r="O102" s="41" t="s">
        <v>424</v>
      </c>
      <c r="P102" s="38"/>
      <c r="Q102" s="38"/>
      <c r="R102" s="38"/>
      <c r="S102" s="38"/>
      <c r="T102" s="38"/>
      <c r="U102" s="38"/>
      <c r="V102" s="38"/>
      <c r="W102" s="38"/>
      <c r="X102" s="38" t="s">
        <v>37</v>
      </c>
      <c r="Y102" s="43">
        <f t="shared" si="4"/>
        <v>0</v>
      </c>
    </row>
    <row r="103" spans="1:25" ht="409.5" hidden="1">
      <c r="A103" s="38">
        <v>102</v>
      </c>
      <c r="B103" s="38" t="s">
        <v>428</v>
      </c>
      <c r="C103" s="39" t="s">
        <v>26</v>
      </c>
      <c r="D103" s="38" t="s">
        <v>384</v>
      </c>
      <c r="E103" s="41" t="s">
        <v>411</v>
      </c>
      <c r="F103" s="38" t="s">
        <v>429</v>
      </c>
      <c r="G103" s="38" t="s">
        <v>430</v>
      </c>
      <c r="H103" s="38"/>
      <c r="I103" s="38" t="s">
        <v>32</v>
      </c>
      <c r="J103" s="39" t="str">
        <f t="shared" si="5"/>
        <v>Answer</v>
      </c>
      <c r="K103" s="39" t="s">
        <v>42</v>
      </c>
      <c r="L103" s="39">
        <v>2</v>
      </c>
      <c r="M103" s="77">
        <f>Evalueringshieraki!$P$16</f>
        <v>0.4854368932038835</v>
      </c>
      <c r="O103" s="41" t="s">
        <v>424</v>
      </c>
      <c r="P103" s="38"/>
      <c r="Q103" s="38"/>
      <c r="R103" s="38"/>
      <c r="S103" s="38" t="s">
        <v>431</v>
      </c>
      <c r="T103" s="38"/>
      <c r="U103" s="38"/>
      <c r="V103" s="38"/>
      <c r="W103" s="71" t="s">
        <v>432</v>
      </c>
      <c r="X103" s="38" t="s">
        <v>37</v>
      </c>
      <c r="Y103" s="43">
        <f t="shared" si="4"/>
        <v>0</v>
      </c>
    </row>
    <row r="104" spans="1:25" ht="320">
      <c r="A104" s="38">
        <v>103</v>
      </c>
      <c r="B104" s="38" t="s">
        <v>433</v>
      </c>
      <c r="C104" s="39" t="s">
        <v>26</v>
      </c>
      <c r="D104" s="38" t="s">
        <v>384</v>
      </c>
      <c r="E104" s="41" t="s">
        <v>434</v>
      </c>
      <c r="F104" s="38" t="s">
        <v>435</v>
      </c>
      <c r="G104" s="38" t="s">
        <v>436</v>
      </c>
      <c r="H104" s="38"/>
      <c r="I104" s="38" t="s">
        <v>32</v>
      </c>
      <c r="J104" s="39" t="str">
        <f t="shared" si="5"/>
        <v>Answer</v>
      </c>
      <c r="K104" s="39" t="s">
        <v>42</v>
      </c>
      <c r="L104" s="39">
        <v>2</v>
      </c>
      <c r="M104" s="77">
        <f>Evalueringshieraki!$P$16</f>
        <v>0.4854368932038835</v>
      </c>
      <c r="O104" s="41" t="s">
        <v>159</v>
      </c>
      <c r="P104" s="38"/>
      <c r="Q104" s="38"/>
      <c r="R104" s="38"/>
      <c r="S104" s="38"/>
      <c r="T104" s="38"/>
      <c r="U104" s="38"/>
      <c r="V104" s="38"/>
      <c r="W104" s="71" t="s">
        <v>437</v>
      </c>
      <c r="X104" s="38" t="s">
        <v>37</v>
      </c>
      <c r="Y104" s="43">
        <f t="shared" si="4"/>
        <v>0</v>
      </c>
    </row>
    <row r="105" spans="1:25" ht="409.5" hidden="1">
      <c r="A105" s="38">
        <v>104</v>
      </c>
      <c r="B105" s="38" t="s">
        <v>438</v>
      </c>
      <c r="C105" s="39" t="s">
        <v>26</v>
      </c>
      <c r="D105" s="38" t="s">
        <v>384</v>
      </c>
      <c r="E105" s="41" t="s">
        <v>434</v>
      </c>
      <c r="F105" s="38" t="s">
        <v>439</v>
      </c>
      <c r="G105" s="38" t="s">
        <v>440</v>
      </c>
      <c r="H105" s="38"/>
      <c r="I105" s="38" t="s">
        <v>81</v>
      </c>
      <c r="J105" s="39" t="str">
        <f t="shared" si="5"/>
        <v>Check</v>
      </c>
      <c r="K105" s="39" t="s">
        <v>42</v>
      </c>
      <c r="L105" s="39">
        <v>2</v>
      </c>
      <c r="M105" s="77">
        <f>Evalueringshieraki!$P$16</f>
        <v>0.4854368932038835</v>
      </c>
      <c r="O105" s="41" t="s">
        <v>200</v>
      </c>
      <c r="P105" s="38"/>
      <c r="Q105" s="38"/>
      <c r="R105" s="38" t="s">
        <v>321</v>
      </c>
      <c r="S105" s="90" t="s">
        <v>441</v>
      </c>
      <c r="T105" s="38"/>
      <c r="U105" s="38"/>
      <c r="V105" s="38"/>
      <c r="W105" s="38"/>
      <c r="X105" s="38" t="s">
        <v>57</v>
      </c>
      <c r="Y105" s="43">
        <f t="shared" si="4"/>
        <v>0.5</v>
      </c>
    </row>
    <row r="106" spans="1:25" ht="400" hidden="1">
      <c r="A106" s="38">
        <v>105</v>
      </c>
      <c r="B106" s="38" t="s">
        <v>442</v>
      </c>
      <c r="C106" s="39" t="s">
        <v>26</v>
      </c>
      <c r="D106" s="38" t="s">
        <v>384</v>
      </c>
      <c r="E106" s="41" t="s">
        <v>443</v>
      </c>
      <c r="F106" s="38" t="s">
        <v>443</v>
      </c>
      <c r="G106" s="38" t="s">
        <v>444</v>
      </c>
      <c r="H106" s="38"/>
      <c r="I106" s="38" t="s">
        <v>32</v>
      </c>
      <c r="J106" s="39" t="str">
        <f t="shared" si="5"/>
        <v>Answer</v>
      </c>
      <c r="K106" s="39" t="s">
        <v>42</v>
      </c>
      <c r="L106" s="39">
        <v>2</v>
      </c>
      <c r="M106" s="77">
        <f>Evalueringshieraki!$P$16</f>
        <v>0.4854368932038835</v>
      </c>
      <c r="O106" s="41" t="s">
        <v>54</v>
      </c>
      <c r="P106" s="38"/>
      <c r="Q106" s="38"/>
      <c r="R106" s="38"/>
      <c r="S106" s="38" t="s">
        <v>445</v>
      </c>
      <c r="T106" s="38"/>
      <c r="U106" s="38"/>
      <c r="V106" s="38"/>
      <c r="W106" s="71" t="s">
        <v>446</v>
      </c>
      <c r="X106" s="38" t="s">
        <v>37</v>
      </c>
      <c r="Y106" s="43">
        <f t="shared" si="4"/>
        <v>0</v>
      </c>
    </row>
    <row r="107" spans="1:25" ht="48" hidden="1">
      <c r="A107" s="38">
        <v>106</v>
      </c>
      <c r="B107" s="38" t="s">
        <v>447</v>
      </c>
      <c r="C107" s="39" t="s">
        <v>26</v>
      </c>
      <c r="D107" s="38" t="s">
        <v>384</v>
      </c>
      <c r="E107" s="41" t="s">
        <v>448</v>
      </c>
      <c r="F107" s="38" t="s">
        <v>449</v>
      </c>
      <c r="G107" s="38" t="s">
        <v>450</v>
      </c>
      <c r="H107" s="38"/>
      <c r="I107" s="38" t="s">
        <v>136</v>
      </c>
      <c r="J107" s="39" t="str">
        <f t="shared" si="5"/>
        <v>Verify</v>
      </c>
      <c r="K107" s="39"/>
      <c r="L107" s="39">
        <v>2</v>
      </c>
      <c r="M107" s="3"/>
      <c r="O107" s="41" t="s">
        <v>54</v>
      </c>
      <c r="P107" s="38"/>
      <c r="Q107" s="38"/>
      <c r="R107" s="38" t="s">
        <v>82</v>
      </c>
      <c r="S107" s="38"/>
      <c r="T107" s="38"/>
      <c r="U107" s="38"/>
      <c r="V107" s="38"/>
      <c r="W107" s="38"/>
      <c r="X107" s="38" t="s">
        <v>86</v>
      </c>
      <c r="Y107" s="43">
        <f t="shared" si="4"/>
        <v>0.7</v>
      </c>
    </row>
    <row r="108" spans="1:25" ht="224">
      <c r="A108" s="38">
        <v>107</v>
      </c>
      <c r="B108" s="38" t="s">
        <v>451</v>
      </c>
      <c r="C108" s="39" t="s">
        <v>26</v>
      </c>
      <c r="D108" s="38" t="s">
        <v>384</v>
      </c>
      <c r="E108" s="41" t="s">
        <v>448</v>
      </c>
      <c r="F108" s="38" t="s">
        <v>452</v>
      </c>
      <c r="G108" s="38" t="s">
        <v>453</v>
      </c>
      <c r="H108" s="38"/>
      <c r="I108" s="38" t="s">
        <v>32</v>
      </c>
      <c r="J108" s="39" t="str">
        <f t="shared" si="5"/>
        <v>Answer</v>
      </c>
      <c r="K108" s="39" t="s">
        <v>42</v>
      </c>
      <c r="L108" s="39">
        <v>2</v>
      </c>
      <c r="M108" s="77">
        <f>Evalueringshieraki!$P$16</f>
        <v>0.4854368932038835</v>
      </c>
      <c r="O108" s="41" t="s">
        <v>159</v>
      </c>
      <c r="P108" s="38"/>
      <c r="Q108" s="38"/>
      <c r="R108" s="38"/>
      <c r="S108" s="38"/>
      <c r="T108" s="38"/>
      <c r="U108" s="38"/>
      <c r="V108" s="38"/>
      <c r="W108" s="71" t="s">
        <v>454</v>
      </c>
      <c r="X108" s="38" t="s">
        <v>37</v>
      </c>
      <c r="Y108" s="43">
        <f t="shared" si="4"/>
        <v>0</v>
      </c>
    </row>
    <row r="109" spans="1:25" ht="96" hidden="1">
      <c r="A109" s="38">
        <v>108</v>
      </c>
      <c r="B109" s="38" t="s">
        <v>455</v>
      </c>
      <c r="C109" s="39" t="s">
        <v>26</v>
      </c>
      <c r="D109" s="38" t="s">
        <v>384</v>
      </c>
      <c r="E109" s="41" t="s">
        <v>448</v>
      </c>
      <c r="F109" s="38" t="s">
        <v>456</v>
      </c>
      <c r="G109" s="38" t="s">
        <v>457</v>
      </c>
      <c r="H109" s="38"/>
      <c r="I109" s="38" t="s">
        <v>81</v>
      </c>
      <c r="J109" s="39" t="str">
        <f t="shared" ref="J109:J140" si="6">IF(I109="IK - Informationskrav","Answer",(IF(I109="K - Konkurrencekrav","Check",(IF(I109="MK - Minimumskrav","Verify","")))))</f>
        <v>Check</v>
      </c>
      <c r="K109" s="39" t="s">
        <v>42</v>
      </c>
      <c r="L109" s="39">
        <v>2</v>
      </c>
      <c r="M109" s="77">
        <f>Evalueringshieraki!$P$16</f>
        <v>0.4854368932038835</v>
      </c>
      <c r="O109" s="41" t="s">
        <v>54</v>
      </c>
      <c r="P109" s="38"/>
      <c r="Q109" s="38"/>
      <c r="R109" s="38" t="s">
        <v>82</v>
      </c>
      <c r="S109" s="38" t="s">
        <v>458</v>
      </c>
      <c r="T109" s="38"/>
      <c r="U109" s="38"/>
      <c r="V109" s="38"/>
      <c r="W109" s="38"/>
      <c r="X109" s="38" t="s">
        <v>86</v>
      </c>
      <c r="Y109" s="43">
        <f t="shared" si="4"/>
        <v>0.7</v>
      </c>
    </row>
    <row r="110" spans="1:25" ht="64" hidden="1">
      <c r="A110" s="38">
        <v>109</v>
      </c>
      <c r="B110" s="38" t="s">
        <v>459</v>
      </c>
      <c r="C110" s="39" t="s">
        <v>26</v>
      </c>
      <c r="D110" s="38" t="s">
        <v>384</v>
      </c>
      <c r="E110" s="41" t="s">
        <v>448</v>
      </c>
      <c r="F110" s="38" t="s">
        <v>460</v>
      </c>
      <c r="G110" s="38" t="s">
        <v>461</v>
      </c>
      <c r="H110" s="38"/>
      <c r="I110" s="38" t="s">
        <v>136</v>
      </c>
      <c r="J110" s="39" t="str">
        <f t="shared" si="6"/>
        <v>Verify</v>
      </c>
      <c r="K110" s="39"/>
      <c r="L110" s="39">
        <v>2</v>
      </c>
      <c r="M110" s="3"/>
      <c r="O110" s="41" t="s">
        <v>159</v>
      </c>
      <c r="P110" s="38"/>
      <c r="Q110" s="38"/>
      <c r="R110" s="38" t="s">
        <v>82</v>
      </c>
      <c r="S110" s="38" t="s">
        <v>462</v>
      </c>
      <c r="T110" s="38"/>
      <c r="U110" s="38"/>
      <c r="V110" s="38"/>
      <c r="W110" s="38"/>
      <c r="X110" s="38" t="s">
        <v>37</v>
      </c>
      <c r="Y110" s="43">
        <f t="shared" si="4"/>
        <v>0</v>
      </c>
    </row>
    <row r="111" spans="1:25" ht="409.5">
      <c r="A111" s="38">
        <v>110</v>
      </c>
      <c r="B111" s="38" t="s">
        <v>463</v>
      </c>
      <c r="C111" s="39" t="s">
        <v>26</v>
      </c>
      <c r="D111" s="38" t="s">
        <v>384</v>
      </c>
      <c r="E111" s="41" t="s">
        <v>464</v>
      </c>
      <c r="F111" s="38" t="s">
        <v>465</v>
      </c>
      <c r="G111" s="38" t="s">
        <v>466</v>
      </c>
      <c r="H111" s="38"/>
      <c r="I111" s="38" t="s">
        <v>32</v>
      </c>
      <c r="J111" s="39" t="str">
        <f t="shared" si="6"/>
        <v>Answer</v>
      </c>
      <c r="K111" s="39" t="s">
        <v>42</v>
      </c>
      <c r="L111" s="39">
        <v>2</v>
      </c>
      <c r="M111" s="77">
        <f>Evalueringshieraki!$P$16</f>
        <v>0.4854368932038835</v>
      </c>
      <c r="O111" s="41" t="s">
        <v>159</v>
      </c>
      <c r="P111" s="38"/>
      <c r="Q111" s="38"/>
      <c r="R111" s="38"/>
      <c r="S111" s="38" t="s">
        <v>467</v>
      </c>
      <c r="T111" s="38"/>
      <c r="U111" s="38"/>
      <c r="V111" s="38"/>
      <c r="W111" s="71" t="s">
        <v>468</v>
      </c>
      <c r="X111" s="38" t="s">
        <v>37</v>
      </c>
      <c r="Y111" s="43">
        <f t="shared" si="4"/>
        <v>0</v>
      </c>
    </row>
    <row r="112" spans="1:25" ht="208" hidden="1">
      <c r="A112" s="38">
        <v>111</v>
      </c>
      <c r="B112" s="38" t="s">
        <v>469</v>
      </c>
      <c r="C112" s="39" t="s">
        <v>26</v>
      </c>
      <c r="D112" s="38" t="s">
        <v>384</v>
      </c>
      <c r="E112" s="41" t="s">
        <v>464</v>
      </c>
      <c r="F112" s="38" t="s">
        <v>470</v>
      </c>
      <c r="G112" s="38" t="s">
        <v>471</v>
      </c>
      <c r="H112" s="38"/>
      <c r="I112" s="38" t="s">
        <v>32</v>
      </c>
      <c r="J112" s="39" t="str">
        <f t="shared" si="6"/>
        <v>Answer</v>
      </c>
      <c r="K112" s="39" t="s">
        <v>42</v>
      </c>
      <c r="L112" s="39">
        <v>2</v>
      </c>
      <c r="M112" s="77">
        <f>Evalueringshieraki!$P$16</f>
        <v>0.4854368932038835</v>
      </c>
      <c r="O112" s="41" t="s">
        <v>92</v>
      </c>
      <c r="P112" s="38"/>
      <c r="Q112" s="38"/>
      <c r="R112" s="38"/>
      <c r="S112" s="38" t="s">
        <v>472</v>
      </c>
      <c r="T112" s="38"/>
      <c r="U112" s="38"/>
      <c r="V112" s="38"/>
      <c r="W112" s="71" t="s">
        <v>473</v>
      </c>
      <c r="X112" s="38" t="s">
        <v>37</v>
      </c>
      <c r="Y112" s="43">
        <f t="shared" si="4"/>
        <v>0</v>
      </c>
    </row>
    <row r="113" spans="1:25" ht="272" hidden="1">
      <c r="A113" s="38">
        <v>112</v>
      </c>
      <c r="B113" s="38" t="s">
        <v>469</v>
      </c>
      <c r="C113" s="39" t="s">
        <v>26</v>
      </c>
      <c r="D113" s="38" t="s">
        <v>384</v>
      </c>
      <c r="E113" s="41" t="s">
        <v>464</v>
      </c>
      <c r="F113" s="38" t="s">
        <v>474</v>
      </c>
      <c r="G113" s="38" t="s">
        <v>475</v>
      </c>
      <c r="H113" s="38"/>
      <c r="I113" s="38" t="s">
        <v>32</v>
      </c>
      <c r="J113" s="39" t="str">
        <f t="shared" si="6"/>
        <v>Answer</v>
      </c>
      <c r="K113" s="39" t="s">
        <v>42</v>
      </c>
      <c r="L113" s="39">
        <v>2</v>
      </c>
      <c r="M113" s="77">
        <f>Evalueringshieraki!$P$16</f>
        <v>0.4854368932038835</v>
      </c>
      <c r="O113" s="41" t="s">
        <v>424</v>
      </c>
      <c r="P113" s="38"/>
      <c r="Q113" s="38"/>
      <c r="R113" s="38"/>
      <c r="S113" s="38" t="s">
        <v>476</v>
      </c>
      <c r="T113" s="38"/>
      <c r="U113" s="38"/>
      <c r="V113" s="38"/>
      <c r="W113" s="71" t="s">
        <v>477</v>
      </c>
      <c r="X113" s="38" t="s">
        <v>37</v>
      </c>
      <c r="Y113" s="43">
        <f t="shared" si="4"/>
        <v>0</v>
      </c>
    </row>
    <row r="114" spans="1:25" ht="368">
      <c r="A114" s="38">
        <v>113</v>
      </c>
      <c r="B114" s="38" t="s">
        <v>478</v>
      </c>
      <c r="C114" s="39" t="s">
        <v>26</v>
      </c>
      <c r="D114" s="38" t="s">
        <v>384</v>
      </c>
      <c r="E114" s="41" t="s">
        <v>464</v>
      </c>
      <c r="F114" s="38" t="s">
        <v>479</v>
      </c>
      <c r="G114" s="38" t="s">
        <v>480</v>
      </c>
      <c r="H114" s="38"/>
      <c r="I114" s="38" t="s">
        <v>32</v>
      </c>
      <c r="J114" s="39" t="str">
        <f t="shared" si="6"/>
        <v>Answer</v>
      </c>
      <c r="K114" s="39" t="s">
        <v>42</v>
      </c>
      <c r="L114" s="39">
        <v>2</v>
      </c>
      <c r="M114" s="77">
        <f>Evalueringshieraki!$P$16</f>
        <v>0.4854368932038835</v>
      </c>
      <c r="O114" s="41" t="s">
        <v>159</v>
      </c>
      <c r="P114" s="38"/>
      <c r="Q114" s="38"/>
      <c r="R114" s="38"/>
      <c r="S114" s="38"/>
      <c r="T114" s="38"/>
      <c r="U114" s="38"/>
      <c r="V114" s="38"/>
      <c r="W114" s="71" t="s">
        <v>481</v>
      </c>
      <c r="X114" s="38" t="s">
        <v>37</v>
      </c>
      <c r="Y114" s="43">
        <f t="shared" si="4"/>
        <v>0</v>
      </c>
    </row>
    <row r="115" spans="1:25" ht="80" hidden="1">
      <c r="A115" s="38">
        <v>114</v>
      </c>
      <c r="B115" s="38" t="s">
        <v>482</v>
      </c>
      <c r="C115" s="39" t="s">
        <v>26</v>
      </c>
      <c r="D115" s="38" t="s">
        <v>384</v>
      </c>
      <c r="E115" s="41" t="s">
        <v>464</v>
      </c>
      <c r="F115" s="38" t="s">
        <v>483</v>
      </c>
      <c r="G115" s="38" t="s">
        <v>484</v>
      </c>
      <c r="H115" s="38"/>
      <c r="I115" s="38" t="s">
        <v>81</v>
      </c>
      <c r="J115" s="39" t="str">
        <f t="shared" si="6"/>
        <v>Check</v>
      </c>
      <c r="K115" s="39" t="s">
        <v>42</v>
      </c>
      <c r="L115" s="39">
        <v>2</v>
      </c>
      <c r="M115" s="77">
        <f>Evalueringshieraki!$P$16</f>
        <v>0.4854368932038835</v>
      </c>
      <c r="O115" s="41" t="s">
        <v>159</v>
      </c>
      <c r="P115" s="38"/>
      <c r="Q115" s="38"/>
      <c r="R115" s="38"/>
      <c r="S115" s="38"/>
      <c r="T115" s="38"/>
      <c r="U115" s="38"/>
      <c r="V115" s="38"/>
      <c r="W115" s="38"/>
      <c r="X115" s="38" t="s">
        <v>37</v>
      </c>
      <c r="Y115" s="43">
        <f t="shared" si="4"/>
        <v>0</v>
      </c>
    </row>
    <row r="116" spans="1:25" ht="144" hidden="1">
      <c r="A116" s="38">
        <v>115</v>
      </c>
      <c r="B116" s="38" t="s">
        <v>485</v>
      </c>
      <c r="C116" s="39" t="s">
        <v>26</v>
      </c>
      <c r="D116" s="38" t="s">
        <v>384</v>
      </c>
      <c r="E116" s="41" t="s">
        <v>486</v>
      </c>
      <c r="F116" s="38" t="s">
        <v>486</v>
      </c>
      <c r="G116" s="38" t="s">
        <v>487</v>
      </c>
      <c r="H116" s="38" t="s">
        <v>488</v>
      </c>
      <c r="I116" s="38" t="s">
        <v>136</v>
      </c>
      <c r="J116" s="39" t="str">
        <f t="shared" si="6"/>
        <v>Verify</v>
      </c>
      <c r="K116" s="39"/>
      <c r="L116" s="39">
        <v>2</v>
      </c>
      <c r="M116" s="3"/>
      <c r="O116" s="41" t="s">
        <v>54</v>
      </c>
      <c r="P116" s="38"/>
      <c r="Q116" s="38"/>
      <c r="R116" s="38" t="s">
        <v>82</v>
      </c>
      <c r="S116" s="38"/>
      <c r="T116" s="38"/>
      <c r="U116" s="38"/>
      <c r="V116" s="38"/>
      <c r="W116" s="38"/>
      <c r="X116" s="38" t="s">
        <v>86</v>
      </c>
      <c r="Y116" s="43">
        <f t="shared" si="4"/>
        <v>0.7</v>
      </c>
    </row>
    <row r="117" spans="1:25" ht="144" hidden="1">
      <c r="A117" s="38">
        <v>116</v>
      </c>
      <c r="B117" s="38" t="s">
        <v>489</v>
      </c>
      <c r="C117" s="39" t="s">
        <v>26</v>
      </c>
      <c r="D117" s="38" t="s">
        <v>384</v>
      </c>
      <c r="E117" s="41" t="s">
        <v>490</v>
      </c>
      <c r="F117" s="38" t="s">
        <v>491</v>
      </c>
      <c r="G117" s="38" t="s">
        <v>492</v>
      </c>
      <c r="H117" s="38" t="s">
        <v>493</v>
      </c>
      <c r="I117" s="38" t="s">
        <v>136</v>
      </c>
      <c r="J117" s="39" t="str">
        <f t="shared" si="6"/>
        <v>Verify</v>
      </c>
      <c r="K117" s="39"/>
      <c r="L117" s="39">
        <v>2</v>
      </c>
      <c r="M117" s="3"/>
      <c r="O117" s="41" t="s">
        <v>92</v>
      </c>
      <c r="P117" s="38"/>
      <c r="Q117" s="38"/>
      <c r="R117" s="38"/>
      <c r="S117" s="38" t="s">
        <v>494</v>
      </c>
      <c r="T117" s="38"/>
      <c r="U117" s="38"/>
      <c r="V117" s="38"/>
      <c r="W117" s="38"/>
      <c r="X117" s="38" t="s">
        <v>37</v>
      </c>
      <c r="Y117" s="43">
        <f t="shared" si="4"/>
        <v>0</v>
      </c>
    </row>
    <row r="118" spans="1:25" ht="176" hidden="1">
      <c r="A118" s="38">
        <v>117</v>
      </c>
      <c r="B118" s="38" t="s">
        <v>495</v>
      </c>
      <c r="C118" s="39" t="s">
        <v>26</v>
      </c>
      <c r="D118" s="38" t="s">
        <v>384</v>
      </c>
      <c r="E118" s="41" t="s">
        <v>490</v>
      </c>
      <c r="F118" s="38" t="s">
        <v>496</v>
      </c>
      <c r="G118" s="38" t="s">
        <v>497</v>
      </c>
      <c r="H118" s="38" t="s">
        <v>493</v>
      </c>
      <c r="I118" s="38" t="s">
        <v>136</v>
      </c>
      <c r="J118" s="39" t="str">
        <f t="shared" si="6"/>
        <v>Verify</v>
      </c>
      <c r="K118" s="39"/>
      <c r="L118" s="39">
        <v>2</v>
      </c>
      <c r="M118" s="3"/>
      <c r="O118" s="41" t="s">
        <v>92</v>
      </c>
      <c r="P118" s="38"/>
      <c r="Q118" s="38"/>
      <c r="R118" s="38"/>
      <c r="S118" s="38" t="s">
        <v>494</v>
      </c>
      <c r="T118" s="38"/>
      <c r="U118" s="38"/>
      <c r="V118" s="38"/>
      <c r="W118" s="38"/>
      <c r="X118" s="38" t="s">
        <v>37</v>
      </c>
      <c r="Y118" s="43">
        <f t="shared" si="4"/>
        <v>0</v>
      </c>
    </row>
    <row r="119" spans="1:25" ht="144" hidden="1">
      <c r="A119" s="38">
        <v>118</v>
      </c>
      <c r="B119" s="38" t="s">
        <v>498</v>
      </c>
      <c r="C119" s="39" t="s">
        <v>26</v>
      </c>
      <c r="D119" s="38" t="s">
        <v>384</v>
      </c>
      <c r="E119" s="41" t="s">
        <v>490</v>
      </c>
      <c r="F119" s="38" t="s">
        <v>499</v>
      </c>
      <c r="G119" s="38" t="s">
        <v>500</v>
      </c>
      <c r="H119" s="38" t="s">
        <v>493</v>
      </c>
      <c r="I119" s="38" t="s">
        <v>136</v>
      </c>
      <c r="J119" s="39" t="str">
        <f t="shared" si="6"/>
        <v>Verify</v>
      </c>
      <c r="K119" s="39"/>
      <c r="L119" s="39">
        <v>2</v>
      </c>
      <c r="M119" s="3"/>
      <c r="O119" s="41" t="s">
        <v>92</v>
      </c>
      <c r="P119" s="38"/>
      <c r="Q119" s="38"/>
      <c r="R119" s="38"/>
      <c r="S119" s="38" t="s">
        <v>494</v>
      </c>
      <c r="T119" s="38"/>
      <c r="U119" s="38"/>
      <c r="V119" s="38"/>
      <c r="W119" s="38"/>
      <c r="X119" s="38" t="s">
        <v>37</v>
      </c>
      <c r="Y119" s="43">
        <f t="shared" si="4"/>
        <v>0</v>
      </c>
    </row>
    <row r="120" spans="1:25" ht="144" hidden="1">
      <c r="A120" s="38">
        <v>119</v>
      </c>
      <c r="B120" s="38" t="s">
        <v>501</v>
      </c>
      <c r="C120" s="39" t="s">
        <v>26</v>
      </c>
      <c r="D120" s="38" t="s">
        <v>384</v>
      </c>
      <c r="E120" s="41" t="s">
        <v>490</v>
      </c>
      <c r="F120" s="38" t="s">
        <v>502</v>
      </c>
      <c r="G120" s="38" t="s">
        <v>503</v>
      </c>
      <c r="H120" s="38" t="s">
        <v>493</v>
      </c>
      <c r="I120" s="38" t="s">
        <v>136</v>
      </c>
      <c r="J120" s="39" t="str">
        <f t="shared" si="6"/>
        <v>Verify</v>
      </c>
      <c r="K120" s="39"/>
      <c r="L120" s="39">
        <v>2</v>
      </c>
      <c r="M120" s="3"/>
      <c r="O120" s="41" t="s">
        <v>92</v>
      </c>
      <c r="P120" s="38"/>
      <c r="Q120" s="38"/>
      <c r="R120" s="38"/>
      <c r="S120" s="38" t="s">
        <v>494</v>
      </c>
      <c r="T120" s="38"/>
      <c r="U120" s="38"/>
      <c r="V120" s="38"/>
      <c r="W120" s="38"/>
      <c r="X120" s="38" t="s">
        <v>37</v>
      </c>
      <c r="Y120" s="43">
        <f t="shared" si="4"/>
        <v>0</v>
      </c>
    </row>
    <row r="121" spans="1:25" ht="144" hidden="1">
      <c r="A121" s="38">
        <v>120</v>
      </c>
      <c r="B121" s="38" t="s">
        <v>504</v>
      </c>
      <c r="C121" s="39" t="s">
        <v>26</v>
      </c>
      <c r="D121" s="38" t="s">
        <v>384</v>
      </c>
      <c r="E121" s="41" t="s">
        <v>490</v>
      </c>
      <c r="F121" s="38" t="s">
        <v>505</v>
      </c>
      <c r="G121" s="38" t="s">
        <v>506</v>
      </c>
      <c r="H121" s="38" t="s">
        <v>493</v>
      </c>
      <c r="I121" s="38" t="s">
        <v>136</v>
      </c>
      <c r="J121" s="39" t="str">
        <f t="shared" si="6"/>
        <v>Verify</v>
      </c>
      <c r="K121" s="39"/>
      <c r="L121" s="39">
        <v>2</v>
      </c>
      <c r="M121" s="3"/>
      <c r="O121" s="41" t="s">
        <v>92</v>
      </c>
      <c r="P121" s="38"/>
      <c r="Q121" s="38"/>
      <c r="R121" s="38"/>
      <c r="S121" s="38" t="s">
        <v>494</v>
      </c>
      <c r="T121" s="38"/>
      <c r="U121" s="38"/>
      <c r="V121" s="38"/>
      <c r="W121" s="38"/>
      <c r="X121" s="38" t="s">
        <v>37</v>
      </c>
      <c r="Y121" s="43">
        <f t="shared" si="4"/>
        <v>0</v>
      </c>
    </row>
    <row r="122" spans="1:25" ht="144" hidden="1">
      <c r="A122" s="38">
        <v>121</v>
      </c>
      <c r="B122" s="38" t="s">
        <v>507</v>
      </c>
      <c r="C122" s="39" t="s">
        <v>26</v>
      </c>
      <c r="D122" s="38" t="s">
        <v>384</v>
      </c>
      <c r="E122" s="41" t="s">
        <v>490</v>
      </c>
      <c r="F122" s="38" t="s">
        <v>508</v>
      </c>
      <c r="G122" s="38" t="s">
        <v>509</v>
      </c>
      <c r="H122" s="38" t="s">
        <v>493</v>
      </c>
      <c r="I122" s="38" t="s">
        <v>136</v>
      </c>
      <c r="J122" s="39" t="str">
        <f t="shared" si="6"/>
        <v>Verify</v>
      </c>
      <c r="K122" s="39"/>
      <c r="L122" s="39">
        <v>2</v>
      </c>
      <c r="M122" s="3"/>
      <c r="O122" s="41" t="s">
        <v>92</v>
      </c>
      <c r="P122" s="38"/>
      <c r="Q122" s="38"/>
      <c r="R122" s="38"/>
      <c r="S122" s="38" t="s">
        <v>494</v>
      </c>
      <c r="T122" s="38"/>
      <c r="U122" s="38"/>
      <c r="V122" s="38"/>
      <c r="W122" s="38"/>
      <c r="X122" s="38" t="s">
        <v>37</v>
      </c>
      <c r="Y122" s="43">
        <f t="shared" si="4"/>
        <v>0</v>
      </c>
    </row>
    <row r="123" spans="1:25" ht="144" hidden="1">
      <c r="A123" s="38">
        <v>122</v>
      </c>
      <c r="B123" s="38" t="s">
        <v>510</v>
      </c>
      <c r="C123" s="39" t="s">
        <v>26</v>
      </c>
      <c r="D123" s="38" t="s">
        <v>384</v>
      </c>
      <c r="E123" s="41" t="s">
        <v>490</v>
      </c>
      <c r="F123" s="38" t="s">
        <v>511</v>
      </c>
      <c r="G123" s="38" t="s">
        <v>512</v>
      </c>
      <c r="H123" s="38" t="s">
        <v>493</v>
      </c>
      <c r="I123" s="38" t="s">
        <v>136</v>
      </c>
      <c r="J123" s="39" t="str">
        <f t="shared" si="6"/>
        <v>Verify</v>
      </c>
      <c r="K123" s="39"/>
      <c r="L123" s="39">
        <v>2</v>
      </c>
      <c r="M123" s="3"/>
      <c r="O123" s="41" t="s">
        <v>92</v>
      </c>
      <c r="P123" s="38"/>
      <c r="Q123" s="38"/>
      <c r="R123" s="38"/>
      <c r="S123" s="38" t="s">
        <v>494</v>
      </c>
      <c r="T123" s="38"/>
      <c r="U123" s="38"/>
      <c r="V123" s="38"/>
      <c r="W123" s="38"/>
      <c r="X123" s="38" t="s">
        <v>37</v>
      </c>
      <c r="Y123" s="43">
        <f t="shared" si="4"/>
        <v>0</v>
      </c>
    </row>
    <row r="124" spans="1:25" ht="304">
      <c r="A124" s="38">
        <v>123</v>
      </c>
      <c r="B124" s="38" t="s">
        <v>513</v>
      </c>
      <c r="C124" s="39" t="s">
        <v>26</v>
      </c>
      <c r="D124" s="38" t="s">
        <v>384</v>
      </c>
      <c r="E124" s="41" t="s">
        <v>514</v>
      </c>
      <c r="F124" s="38" t="s">
        <v>515</v>
      </c>
      <c r="G124" s="38" t="s">
        <v>516</v>
      </c>
      <c r="H124" s="38"/>
      <c r="I124" s="38" t="s">
        <v>32</v>
      </c>
      <c r="J124" s="39" t="str">
        <f t="shared" si="6"/>
        <v>Answer</v>
      </c>
      <c r="K124" s="39" t="s">
        <v>42</v>
      </c>
      <c r="L124" s="39">
        <v>2</v>
      </c>
      <c r="M124" s="77">
        <f>Evalueringshieraki!$P$16</f>
        <v>0.4854368932038835</v>
      </c>
      <c r="O124" s="41" t="s">
        <v>159</v>
      </c>
      <c r="P124" s="38"/>
      <c r="Q124" s="38"/>
      <c r="R124" s="38"/>
      <c r="S124" s="38"/>
      <c r="T124" s="38"/>
      <c r="U124" s="38"/>
      <c r="V124" s="38"/>
      <c r="W124" s="71" t="s">
        <v>517</v>
      </c>
      <c r="X124" s="38" t="s">
        <v>37</v>
      </c>
      <c r="Y124" s="43">
        <f t="shared" si="4"/>
        <v>0</v>
      </c>
    </row>
    <row r="125" spans="1:25" ht="288">
      <c r="A125" s="38">
        <v>124</v>
      </c>
      <c r="B125" s="38" t="s">
        <v>518</v>
      </c>
      <c r="C125" s="39" t="s">
        <v>26</v>
      </c>
      <c r="D125" s="38" t="s">
        <v>384</v>
      </c>
      <c r="E125" s="41" t="s">
        <v>514</v>
      </c>
      <c r="F125" s="38" t="s">
        <v>519</v>
      </c>
      <c r="G125" s="38" t="s">
        <v>520</v>
      </c>
      <c r="H125" s="38"/>
      <c r="I125" s="38" t="s">
        <v>32</v>
      </c>
      <c r="J125" s="39" t="str">
        <f t="shared" si="6"/>
        <v>Answer</v>
      </c>
      <c r="K125" s="39" t="s">
        <v>42</v>
      </c>
      <c r="L125" s="39">
        <v>2</v>
      </c>
      <c r="M125" s="77">
        <f>Evalueringshieraki!$P$16</f>
        <v>0.4854368932038835</v>
      </c>
      <c r="O125" s="41" t="s">
        <v>159</v>
      </c>
      <c r="P125" s="38"/>
      <c r="Q125" s="38"/>
      <c r="R125" s="38"/>
      <c r="S125" s="38"/>
      <c r="T125" s="38"/>
      <c r="U125" s="38"/>
      <c r="V125" s="38"/>
      <c r="W125" s="71" t="s">
        <v>521</v>
      </c>
      <c r="X125" s="38" t="s">
        <v>37</v>
      </c>
      <c r="Y125" s="43">
        <f t="shared" si="4"/>
        <v>0</v>
      </c>
    </row>
    <row r="126" spans="1:25" ht="256">
      <c r="A126" s="38">
        <v>125</v>
      </c>
      <c r="B126" s="38" t="s">
        <v>522</v>
      </c>
      <c r="C126" s="39" t="s">
        <v>26</v>
      </c>
      <c r="D126" s="38" t="s">
        <v>384</v>
      </c>
      <c r="E126" s="41" t="s">
        <v>514</v>
      </c>
      <c r="F126" s="38" t="s">
        <v>523</v>
      </c>
      <c r="G126" s="38" t="s">
        <v>524</v>
      </c>
      <c r="H126" s="38"/>
      <c r="I126" s="38" t="s">
        <v>32</v>
      </c>
      <c r="J126" s="39" t="str">
        <f t="shared" si="6"/>
        <v>Answer</v>
      </c>
      <c r="K126" s="39" t="s">
        <v>42</v>
      </c>
      <c r="L126" s="39">
        <v>2</v>
      </c>
      <c r="M126" s="77">
        <f>Evalueringshieraki!$P$16</f>
        <v>0.4854368932038835</v>
      </c>
      <c r="O126" s="41" t="s">
        <v>159</v>
      </c>
      <c r="P126" s="38"/>
      <c r="Q126" s="38"/>
      <c r="R126" s="38"/>
      <c r="S126" s="38"/>
      <c r="T126" s="38"/>
      <c r="U126" s="38"/>
      <c r="V126" s="38"/>
      <c r="W126" s="71" t="s">
        <v>525</v>
      </c>
      <c r="X126" s="38" t="s">
        <v>37</v>
      </c>
      <c r="Y126" s="43">
        <f t="shared" si="4"/>
        <v>0</v>
      </c>
    </row>
    <row r="127" spans="1:25" ht="48" hidden="1">
      <c r="A127" s="38">
        <v>126</v>
      </c>
      <c r="B127" s="38" t="s">
        <v>526</v>
      </c>
      <c r="C127" s="39" t="s">
        <v>26</v>
      </c>
      <c r="D127" s="38" t="s">
        <v>384</v>
      </c>
      <c r="E127" s="41" t="s">
        <v>514</v>
      </c>
      <c r="F127" s="38" t="s">
        <v>527</v>
      </c>
      <c r="G127" s="38" t="s">
        <v>528</v>
      </c>
      <c r="H127" s="38"/>
      <c r="I127" s="38" t="s">
        <v>136</v>
      </c>
      <c r="J127" s="39" t="str">
        <f t="shared" si="6"/>
        <v>Verify</v>
      </c>
      <c r="K127" s="39"/>
      <c r="L127" s="39">
        <v>2</v>
      </c>
      <c r="M127" s="3"/>
      <c r="O127" s="41" t="s">
        <v>424</v>
      </c>
      <c r="P127" s="38"/>
      <c r="Q127" s="38"/>
      <c r="R127" s="38"/>
      <c r="S127" s="38"/>
      <c r="T127" s="38"/>
      <c r="U127" s="38"/>
      <c r="V127" s="38"/>
      <c r="W127" s="38"/>
      <c r="X127" s="38" t="s">
        <v>37</v>
      </c>
      <c r="Y127" s="43">
        <f t="shared" si="4"/>
        <v>0</v>
      </c>
    </row>
    <row r="128" spans="1:25" ht="48" hidden="1">
      <c r="A128" s="38">
        <v>127</v>
      </c>
      <c r="B128" s="38" t="s">
        <v>529</v>
      </c>
      <c r="C128" s="39" t="s">
        <v>26</v>
      </c>
      <c r="D128" s="38" t="s">
        <v>384</v>
      </c>
      <c r="E128" s="41" t="s">
        <v>514</v>
      </c>
      <c r="F128" s="38" t="s">
        <v>530</v>
      </c>
      <c r="G128" s="38" t="s">
        <v>531</v>
      </c>
      <c r="H128" s="38"/>
      <c r="I128" s="38" t="s">
        <v>136</v>
      </c>
      <c r="J128" s="39" t="str">
        <f t="shared" si="6"/>
        <v>Verify</v>
      </c>
      <c r="K128" s="39"/>
      <c r="L128" s="39">
        <v>2</v>
      </c>
      <c r="M128" s="3"/>
      <c r="O128" s="41" t="s">
        <v>424</v>
      </c>
      <c r="P128" s="38"/>
      <c r="Q128" s="38"/>
      <c r="R128" s="38"/>
      <c r="S128" s="38"/>
      <c r="T128" s="38"/>
      <c r="U128" s="38"/>
      <c r="V128" s="38"/>
      <c r="W128" s="38"/>
      <c r="X128" s="38" t="s">
        <v>37</v>
      </c>
      <c r="Y128" s="43">
        <f t="shared" si="4"/>
        <v>0</v>
      </c>
    </row>
    <row r="129" spans="1:25" ht="64" hidden="1">
      <c r="A129" s="38">
        <v>128</v>
      </c>
      <c r="B129" s="38" t="s">
        <v>532</v>
      </c>
      <c r="C129" s="39" t="s">
        <v>26</v>
      </c>
      <c r="D129" s="38" t="s">
        <v>384</v>
      </c>
      <c r="E129" s="41" t="s">
        <v>514</v>
      </c>
      <c r="F129" s="38" t="s">
        <v>533</v>
      </c>
      <c r="G129" s="38" t="s">
        <v>534</v>
      </c>
      <c r="H129" s="38"/>
      <c r="I129" s="38" t="s">
        <v>136</v>
      </c>
      <c r="J129" s="39" t="str">
        <f t="shared" si="6"/>
        <v>Verify</v>
      </c>
      <c r="K129" s="39"/>
      <c r="L129" s="39">
        <v>2</v>
      </c>
      <c r="M129" s="3"/>
      <c r="O129" s="41" t="s">
        <v>424</v>
      </c>
      <c r="P129" s="38"/>
      <c r="Q129" s="38"/>
      <c r="R129" s="38"/>
      <c r="S129" s="38"/>
      <c r="T129" s="38"/>
      <c r="U129" s="38"/>
      <c r="V129" s="38"/>
      <c r="W129" s="38"/>
      <c r="X129" s="38" t="s">
        <v>37</v>
      </c>
      <c r="Y129" s="43">
        <f t="shared" si="4"/>
        <v>0</v>
      </c>
    </row>
    <row r="130" spans="1:25" ht="80" hidden="1">
      <c r="A130" s="38">
        <v>129</v>
      </c>
      <c r="B130" s="38" t="s">
        <v>535</v>
      </c>
      <c r="C130" s="39" t="s">
        <v>26</v>
      </c>
      <c r="D130" s="38" t="s">
        <v>384</v>
      </c>
      <c r="E130" s="41" t="s">
        <v>536</v>
      </c>
      <c r="F130" s="38" t="s">
        <v>537</v>
      </c>
      <c r="G130" s="38" t="s">
        <v>538</v>
      </c>
      <c r="H130" s="38"/>
      <c r="I130" s="38" t="s">
        <v>136</v>
      </c>
      <c r="J130" s="39" t="str">
        <f t="shared" si="6"/>
        <v>Verify</v>
      </c>
      <c r="K130" s="39"/>
      <c r="L130" s="39">
        <v>2</v>
      </c>
      <c r="M130" s="3"/>
      <c r="O130" s="41" t="s">
        <v>54</v>
      </c>
      <c r="P130" s="38"/>
      <c r="Q130" s="38"/>
      <c r="R130" s="38" t="s">
        <v>82</v>
      </c>
      <c r="S130" s="38" t="s">
        <v>539</v>
      </c>
      <c r="T130" s="38"/>
      <c r="U130" s="38"/>
      <c r="V130" s="38"/>
      <c r="W130" s="38"/>
      <c r="X130" s="38" t="s">
        <v>86</v>
      </c>
      <c r="Y130" s="43">
        <f t="shared" si="4"/>
        <v>0.7</v>
      </c>
    </row>
    <row r="131" spans="1:25" ht="80" hidden="1">
      <c r="A131" s="38">
        <v>130</v>
      </c>
      <c r="B131" s="38" t="s">
        <v>540</v>
      </c>
      <c r="C131" s="39" t="s">
        <v>26</v>
      </c>
      <c r="D131" s="38" t="s">
        <v>384</v>
      </c>
      <c r="E131" s="41" t="s">
        <v>536</v>
      </c>
      <c r="F131" s="38" t="s">
        <v>541</v>
      </c>
      <c r="G131" s="38" t="s">
        <v>542</v>
      </c>
      <c r="H131" s="38"/>
      <c r="I131" s="38" t="s">
        <v>136</v>
      </c>
      <c r="J131" s="39" t="str">
        <f t="shared" si="6"/>
        <v>Verify</v>
      </c>
      <c r="K131" s="39"/>
      <c r="L131" s="39">
        <v>2</v>
      </c>
      <c r="M131" s="3"/>
      <c r="O131" s="41" t="s">
        <v>54</v>
      </c>
      <c r="P131" s="38"/>
      <c r="Q131" s="38"/>
      <c r="R131" s="38" t="s">
        <v>82</v>
      </c>
      <c r="S131" s="38"/>
      <c r="T131" s="38"/>
      <c r="U131" s="38"/>
      <c r="V131" s="38"/>
      <c r="W131" s="38"/>
      <c r="X131" s="38" t="s">
        <v>86</v>
      </c>
      <c r="Y131" s="43">
        <f t="shared" ref="Y131:Y194" si="7">IF(X131="Not Started",0%,IF(X131="Read",1%,IF(X131="Started",50%,IF(X131="Ready for review",70%,IF(X131="Reviewed - Content",80%,IF(X131="Reviewed - Format",90%,IF(X131="Done",100%,"")))))))</f>
        <v>0.7</v>
      </c>
    </row>
    <row r="132" spans="1:25" ht="96" hidden="1">
      <c r="A132" s="38">
        <v>131</v>
      </c>
      <c r="B132" s="38" t="s">
        <v>543</v>
      </c>
      <c r="C132" s="39" t="s">
        <v>26</v>
      </c>
      <c r="D132" s="38" t="s">
        <v>384</v>
      </c>
      <c r="E132" s="41" t="s">
        <v>536</v>
      </c>
      <c r="F132" s="38" t="s">
        <v>544</v>
      </c>
      <c r="G132" s="38" t="s">
        <v>545</v>
      </c>
      <c r="H132" s="38"/>
      <c r="I132" s="38" t="s">
        <v>81</v>
      </c>
      <c r="J132" s="39" t="str">
        <f t="shared" si="6"/>
        <v>Check</v>
      </c>
      <c r="K132" s="39" t="s">
        <v>42</v>
      </c>
      <c r="L132" s="39">
        <v>2</v>
      </c>
      <c r="M132" s="77">
        <f>Evalueringshieraki!$P$16</f>
        <v>0.4854368932038835</v>
      </c>
      <c r="O132" s="41" t="s">
        <v>54</v>
      </c>
      <c r="P132" s="38"/>
      <c r="Q132" s="38"/>
      <c r="R132" s="38" t="s">
        <v>82</v>
      </c>
      <c r="S132" s="38"/>
      <c r="T132" s="38"/>
      <c r="U132" s="38"/>
      <c r="V132" s="38"/>
      <c r="W132" s="38"/>
      <c r="X132" s="38" t="s">
        <v>86</v>
      </c>
      <c r="Y132" s="43">
        <f t="shared" si="7"/>
        <v>0.7</v>
      </c>
    </row>
    <row r="133" spans="1:25" ht="96" hidden="1">
      <c r="A133" s="38">
        <v>132</v>
      </c>
      <c r="B133" s="38" t="s">
        <v>546</v>
      </c>
      <c r="C133" s="39" t="s">
        <v>26</v>
      </c>
      <c r="D133" s="38" t="s">
        <v>384</v>
      </c>
      <c r="E133" s="41" t="s">
        <v>536</v>
      </c>
      <c r="F133" s="38" t="s">
        <v>547</v>
      </c>
      <c r="G133" s="38" t="s">
        <v>548</v>
      </c>
      <c r="H133" s="38"/>
      <c r="I133" s="38" t="s">
        <v>81</v>
      </c>
      <c r="J133" s="39" t="str">
        <f t="shared" si="6"/>
        <v>Check</v>
      </c>
      <c r="K133" s="39" t="s">
        <v>42</v>
      </c>
      <c r="L133" s="39">
        <v>2</v>
      </c>
      <c r="M133" s="77">
        <f>Evalueringshieraki!$P$16</f>
        <v>0.4854368932038835</v>
      </c>
      <c r="O133" s="41" t="s">
        <v>159</v>
      </c>
      <c r="P133" s="38"/>
      <c r="Q133" s="38"/>
      <c r="R133" s="38"/>
      <c r="S133" s="38" t="s">
        <v>549</v>
      </c>
      <c r="T133" s="38"/>
      <c r="U133" s="38"/>
      <c r="V133" s="38"/>
      <c r="W133" s="38"/>
      <c r="X133" s="38" t="s">
        <v>37</v>
      </c>
      <c r="Y133" s="43">
        <f t="shared" si="7"/>
        <v>0</v>
      </c>
    </row>
    <row r="134" spans="1:25" ht="112" hidden="1">
      <c r="A134" s="38">
        <v>133</v>
      </c>
      <c r="B134" s="38" t="s">
        <v>550</v>
      </c>
      <c r="C134" s="39" t="s">
        <v>26</v>
      </c>
      <c r="D134" s="38" t="s">
        <v>384</v>
      </c>
      <c r="E134" s="41" t="s">
        <v>536</v>
      </c>
      <c r="F134" s="38" t="s">
        <v>551</v>
      </c>
      <c r="G134" s="38" t="s">
        <v>552</v>
      </c>
      <c r="H134" s="38"/>
      <c r="I134" s="38" t="s">
        <v>136</v>
      </c>
      <c r="J134" s="39" t="str">
        <f t="shared" si="6"/>
        <v>Verify</v>
      </c>
      <c r="K134" s="39"/>
      <c r="L134" s="39">
        <v>2</v>
      </c>
      <c r="M134" s="3"/>
      <c r="O134" s="41" t="s">
        <v>54</v>
      </c>
      <c r="P134" s="38"/>
      <c r="Q134" s="38"/>
      <c r="R134" s="38" t="s">
        <v>82</v>
      </c>
      <c r="S134" s="38"/>
      <c r="T134" s="38"/>
      <c r="U134" s="38"/>
      <c r="V134" s="38"/>
      <c r="W134" s="38"/>
      <c r="X134" s="38" t="s">
        <v>86</v>
      </c>
      <c r="Y134" s="43">
        <f t="shared" si="7"/>
        <v>0.7</v>
      </c>
    </row>
    <row r="135" spans="1:25" ht="304" hidden="1">
      <c r="A135" s="38">
        <v>134</v>
      </c>
      <c r="B135" s="38" t="s">
        <v>553</v>
      </c>
      <c r="C135" s="39" t="s">
        <v>26</v>
      </c>
      <c r="D135" s="38" t="s">
        <v>384</v>
      </c>
      <c r="E135" s="41" t="s">
        <v>536</v>
      </c>
      <c r="F135" s="38" t="s">
        <v>554</v>
      </c>
      <c r="G135" s="38" t="s">
        <v>555</v>
      </c>
      <c r="H135" s="38"/>
      <c r="I135" s="38" t="s">
        <v>32</v>
      </c>
      <c r="J135" s="39" t="str">
        <f t="shared" si="6"/>
        <v>Answer</v>
      </c>
      <c r="K135" s="39" t="s">
        <v>42</v>
      </c>
      <c r="L135" s="39">
        <v>2</v>
      </c>
      <c r="M135" s="77">
        <f>Evalueringshieraki!$P$16</f>
        <v>0.4854368932038835</v>
      </c>
      <c r="O135" s="41" t="s">
        <v>92</v>
      </c>
      <c r="P135" s="38"/>
      <c r="Q135" s="38"/>
      <c r="R135" s="38"/>
      <c r="S135" s="38" t="s">
        <v>556</v>
      </c>
      <c r="T135" s="38"/>
      <c r="U135" s="38"/>
      <c r="V135" s="38"/>
      <c r="W135" s="71" t="s">
        <v>557</v>
      </c>
      <c r="X135" s="38" t="s">
        <v>37</v>
      </c>
      <c r="Y135" s="43">
        <f t="shared" si="7"/>
        <v>0</v>
      </c>
    </row>
    <row r="136" spans="1:25" ht="80" hidden="1">
      <c r="A136" s="38">
        <v>135</v>
      </c>
      <c r="B136" s="38" t="s">
        <v>558</v>
      </c>
      <c r="C136" s="39" t="s">
        <v>26</v>
      </c>
      <c r="D136" s="38" t="s">
        <v>384</v>
      </c>
      <c r="E136" s="41" t="s">
        <v>536</v>
      </c>
      <c r="F136" s="38" t="s">
        <v>559</v>
      </c>
      <c r="G136" s="38" t="s">
        <v>560</v>
      </c>
      <c r="H136" s="38"/>
      <c r="I136" s="38" t="s">
        <v>136</v>
      </c>
      <c r="J136" s="39" t="str">
        <f t="shared" si="6"/>
        <v>Verify</v>
      </c>
      <c r="K136" s="39"/>
      <c r="L136" s="39">
        <v>2</v>
      </c>
      <c r="M136" s="3"/>
      <c r="O136" s="41" t="s">
        <v>561</v>
      </c>
      <c r="P136" s="38"/>
      <c r="Q136" s="38"/>
      <c r="R136" s="38" t="s">
        <v>82</v>
      </c>
      <c r="S136" s="38" t="s">
        <v>562</v>
      </c>
      <c r="T136" s="38"/>
      <c r="U136" s="38"/>
      <c r="V136" s="38"/>
      <c r="W136" s="38"/>
      <c r="X136" s="38" t="s">
        <v>86</v>
      </c>
      <c r="Y136" s="43">
        <f t="shared" si="7"/>
        <v>0.7</v>
      </c>
    </row>
    <row r="137" spans="1:25" ht="96" hidden="1">
      <c r="A137" s="38">
        <v>136</v>
      </c>
      <c r="B137" s="38" t="s">
        <v>563</v>
      </c>
      <c r="C137" s="39" t="s">
        <v>26</v>
      </c>
      <c r="D137" s="38" t="s">
        <v>384</v>
      </c>
      <c r="E137" s="41" t="s">
        <v>564</v>
      </c>
      <c r="F137" s="38" t="s">
        <v>565</v>
      </c>
      <c r="G137" s="38" t="s">
        <v>566</v>
      </c>
      <c r="H137" s="38"/>
      <c r="I137" s="38" t="s">
        <v>136</v>
      </c>
      <c r="J137" s="39" t="str">
        <f t="shared" si="6"/>
        <v>Verify</v>
      </c>
      <c r="K137" s="39"/>
      <c r="L137" s="39">
        <v>2</v>
      </c>
      <c r="M137" s="3"/>
      <c r="O137" s="41" t="s">
        <v>159</v>
      </c>
      <c r="P137" s="38"/>
      <c r="Q137" s="38"/>
      <c r="R137" s="38" t="s">
        <v>82</v>
      </c>
      <c r="S137" s="38"/>
      <c r="T137" s="38"/>
      <c r="U137" s="38"/>
      <c r="V137" s="38"/>
      <c r="W137" s="38"/>
      <c r="X137" s="38" t="s">
        <v>37</v>
      </c>
      <c r="Y137" s="43">
        <f t="shared" si="7"/>
        <v>0</v>
      </c>
    </row>
    <row r="138" spans="1:25" ht="48" hidden="1">
      <c r="A138" s="38">
        <v>137</v>
      </c>
      <c r="B138" s="38" t="s">
        <v>567</v>
      </c>
      <c r="C138" s="39" t="s">
        <v>26</v>
      </c>
      <c r="D138" s="38" t="s">
        <v>384</v>
      </c>
      <c r="E138" s="41" t="s">
        <v>564</v>
      </c>
      <c r="F138" s="38" t="s">
        <v>568</v>
      </c>
      <c r="G138" s="38" t="s">
        <v>569</v>
      </c>
      <c r="H138" s="38"/>
      <c r="I138" s="38" t="s">
        <v>136</v>
      </c>
      <c r="J138" s="39" t="str">
        <f t="shared" si="6"/>
        <v>Verify</v>
      </c>
      <c r="K138" s="39"/>
      <c r="L138" s="39">
        <v>2</v>
      </c>
      <c r="M138" s="3"/>
      <c r="O138" s="41" t="s">
        <v>159</v>
      </c>
      <c r="P138" s="38"/>
      <c r="Q138" s="38"/>
      <c r="R138" s="38" t="s">
        <v>82</v>
      </c>
      <c r="S138" s="38" t="s">
        <v>570</v>
      </c>
      <c r="T138" s="38"/>
      <c r="U138" s="38" t="s">
        <v>76</v>
      </c>
      <c r="V138" s="38"/>
      <c r="W138" s="38"/>
      <c r="X138" s="38" t="s">
        <v>37</v>
      </c>
      <c r="Y138" s="43">
        <f t="shared" si="7"/>
        <v>0</v>
      </c>
    </row>
    <row r="139" spans="1:25" ht="64" hidden="1">
      <c r="A139" s="38">
        <v>138</v>
      </c>
      <c r="B139" s="38" t="s">
        <v>571</v>
      </c>
      <c r="C139" s="39" t="s">
        <v>26</v>
      </c>
      <c r="D139" s="38" t="s">
        <v>384</v>
      </c>
      <c r="E139" s="41" t="s">
        <v>564</v>
      </c>
      <c r="F139" s="38" t="s">
        <v>572</v>
      </c>
      <c r="G139" s="38" t="s">
        <v>573</v>
      </c>
      <c r="H139" s="38"/>
      <c r="I139" s="38" t="s">
        <v>136</v>
      </c>
      <c r="J139" s="39" t="str">
        <f t="shared" si="6"/>
        <v>Verify</v>
      </c>
      <c r="K139" s="39"/>
      <c r="L139" s="39">
        <v>2</v>
      </c>
      <c r="M139" s="3"/>
      <c r="O139" s="41" t="s">
        <v>159</v>
      </c>
      <c r="P139" s="38"/>
      <c r="Q139" s="38"/>
      <c r="R139" s="38" t="s">
        <v>82</v>
      </c>
      <c r="S139" s="38" t="s">
        <v>570</v>
      </c>
      <c r="T139" s="38"/>
      <c r="U139" s="38" t="s">
        <v>76</v>
      </c>
      <c r="V139" s="38"/>
      <c r="W139" s="38"/>
      <c r="X139" s="38" t="s">
        <v>37</v>
      </c>
      <c r="Y139" s="43">
        <f t="shared" si="7"/>
        <v>0</v>
      </c>
    </row>
    <row r="140" spans="1:25" ht="128" hidden="1">
      <c r="A140" s="38">
        <v>139</v>
      </c>
      <c r="B140" s="38" t="s">
        <v>574</v>
      </c>
      <c r="C140" s="39" t="s">
        <v>26</v>
      </c>
      <c r="D140" s="38" t="s">
        <v>384</v>
      </c>
      <c r="E140" s="41" t="s">
        <v>564</v>
      </c>
      <c r="F140" s="38" t="s">
        <v>575</v>
      </c>
      <c r="G140" s="38" t="s">
        <v>576</v>
      </c>
      <c r="H140" s="38"/>
      <c r="I140" s="38" t="s">
        <v>136</v>
      </c>
      <c r="J140" s="39" t="str">
        <f t="shared" si="6"/>
        <v>Verify</v>
      </c>
      <c r="K140" s="39"/>
      <c r="L140" s="39">
        <v>2</v>
      </c>
      <c r="M140" s="3"/>
      <c r="O140" s="41" t="s">
        <v>92</v>
      </c>
      <c r="P140" s="38"/>
      <c r="Q140" s="38"/>
      <c r="R140" s="38"/>
      <c r="S140" s="38" t="s">
        <v>577</v>
      </c>
      <c r="T140" s="38"/>
      <c r="U140" s="38"/>
      <c r="V140" s="38"/>
      <c r="W140" s="38"/>
      <c r="X140" s="38" t="s">
        <v>86</v>
      </c>
      <c r="Y140" s="43">
        <f t="shared" si="7"/>
        <v>0.7</v>
      </c>
    </row>
    <row r="141" spans="1:25" ht="64" hidden="1">
      <c r="A141" s="38">
        <v>140</v>
      </c>
      <c r="B141" s="38" t="s">
        <v>578</v>
      </c>
      <c r="C141" s="39" t="s">
        <v>26</v>
      </c>
      <c r="D141" s="38" t="s">
        <v>384</v>
      </c>
      <c r="E141" s="41" t="s">
        <v>564</v>
      </c>
      <c r="F141" s="38" t="s">
        <v>579</v>
      </c>
      <c r="G141" s="38" t="s">
        <v>580</v>
      </c>
      <c r="H141" s="38"/>
      <c r="I141" s="38" t="s">
        <v>136</v>
      </c>
      <c r="J141" s="39" t="str">
        <f t="shared" ref="J141:J172" si="8">IF(I141="IK - Informationskrav","Answer",(IF(I141="K - Konkurrencekrav","Check",(IF(I141="MK - Minimumskrav","Verify","")))))</f>
        <v>Verify</v>
      </c>
      <c r="K141" s="39"/>
      <c r="L141" s="39">
        <v>2</v>
      </c>
      <c r="M141" s="3"/>
      <c r="O141" s="41" t="s">
        <v>92</v>
      </c>
      <c r="P141" s="38"/>
      <c r="Q141" s="38"/>
      <c r="R141" s="38"/>
      <c r="S141" s="38" t="s">
        <v>581</v>
      </c>
      <c r="T141" s="38"/>
      <c r="U141" s="38"/>
      <c r="V141" s="38"/>
      <c r="W141" s="38"/>
      <c r="X141" s="38" t="s">
        <v>37</v>
      </c>
      <c r="Y141" s="43">
        <f t="shared" si="7"/>
        <v>0</v>
      </c>
    </row>
    <row r="142" spans="1:25" ht="144" hidden="1">
      <c r="A142" s="38">
        <v>141</v>
      </c>
      <c r="B142" s="38" t="s">
        <v>582</v>
      </c>
      <c r="C142" s="39" t="s">
        <v>26</v>
      </c>
      <c r="D142" s="38" t="s">
        <v>384</v>
      </c>
      <c r="E142" s="41" t="s">
        <v>564</v>
      </c>
      <c r="F142" s="38" t="s">
        <v>583</v>
      </c>
      <c r="G142" s="38" t="s">
        <v>584</v>
      </c>
      <c r="H142" s="38"/>
      <c r="I142" s="38" t="s">
        <v>136</v>
      </c>
      <c r="J142" s="39" t="str">
        <f t="shared" si="8"/>
        <v>Verify</v>
      </c>
      <c r="K142" s="39"/>
      <c r="L142" s="39">
        <v>2</v>
      </c>
      <c r="M142" s="3"/>
      <c r="O142" s="41" t="s">
        <v>92</v>
      </c>
      <c r="P142" s="38"/>
      <c r="Q142" s="38"/>
      <c r="R142" s="38" t="s">
        <v>585</v>
      </c>
      <c r="S142" s="38" t="s">
        <v>586</v>
      </c>
      <c r="T142" s="38" t="s">
        <v>76</v>
      </c>
      <c r="U142" s="38"/>
      <c r="V142" s="38"/>
      <c r="W142" s="38"/>
      <c r="X142" s="38" t="s">
        <v>94</v>
      </c>
      <c r="Y142" s="43">
        <f t="shared" si="7"/>
        <v>0.01</v>
      </c>
    </row>
    <row r="143" spans="1:25" ht="288">
      <c r="A143" s="38">
        <v>142</v>
      </c>
      <c r="B143" s="38" t="s">
        <v>587</v>
      </c>
      <c r="C143" s="39" t="s">
        <v>26</v>
      </c>
      <c r="D143" s="38" t="s">
        <v>384</v>
      </c>
      <c r="E143" s="41" t="s">
        <v>564</v>
      </c>
      <c r="F143" s="38" t="s">
        <v>588</v>
      </c>
      <c r="G143" s="38" t="s">
        <v>589</v>
      </c>
      <c r="H143" s="38"/>
      <c r="I143" s="38" t="s">
        <v>32</v>
      </c>
      <c r="J143" s="39" t="str">
        <f t="shared" si="8"/>
        <v>Answer</v>
      </c>
      <c r="K143" s="39" t="s">
        <v>42</v>
      </c>
      <c r="L143" s="39">
        <v>2</v>
      </c>
      <c r="M143" s="77">
        <f>Evalueringshieraki!$P$16</f>
        <v>0.4854368932038835</v>
      </c>
      <c r="O143" s="41" t="s">
        <v>159</v>
      </c>
      <c r="P143" s="38"/>
      <c r="Q143" s="38"/>
      <c r="R143" s="38"/>
      <c r="S143" s="38"/>
      <c r="T143" s="38"/>
      <c r="U143" s="38"/>
      <c r="V143" s="38"/>
      <c r="W143" s="71" t="s">
        <v>590</v>
      </c>
      <c r="X143" s="38" t="s">
        <v>37</v>
      </c>
      <c r="Y143" s="43">
        <f t="shared" si="7"/>
        <v>0</v>
      </c>
    </row>
    <row r="144" spans="1:25" ht="96" hidden="1">
      <c r="A144" s="38">
        <v>143</v>
      </c>
      <c r="B144" s="38" t="s">
        <v>591</v>
      </c>
      <c r="C144" s="39" t="s">
        <v>26</v>
      </c>
      <c r="D144" s="38" t="s">
        <v>384</v>
      </c>
      <c r="E144" s="41" t="s">
        <v>564</v>
      </c>
      <c r="F144" s="38" t="s">
        <v>592</v>
      </c>
      <c r="G144" s="38" t="s">
        <v>593</v>
      </c>
      <c r="H144" s="38"/>
      <c r="I144" s="38" t="s">
        <v>136</v>
      </c>
      <c r="J144" s="39" t="str">
        <f t="shared" si="8"/>
        <v>Verify</v>
      </c>
      <c r="K144" s="39"/>
      <c r="L144" s="39">
        <v>2</v>
      </c>
      <c r="M144" s="3"/>
      <c r="O144" s="41" t="s">
        <v>92</v>
      </c>
      <c r="P144" s="38"/>
      <c r="Q144" s="38"/>
      <c r="R144" s="38" t="s">
        <v>585</v>
      </c>
      <c r="S144" s="38" t="s">
        <v>594</v>
      </c>
      <c r="T144" s="38" t="s">
        <v>76</v>
      </c>
      <c r="U144" s="38"/>
      <c r="V144" s="38"/>
      <c r="W144" s="38"/>
      <c r="X144" s="38" t="s">
        <v>94</v>
      </c>
      <c r="Y144" s="43">
        <f t="shared" si="7"/>
        <v>0.01</v>
      </c>
    </row>
    <row r="145" spans="1:25" ht="48" hidden="1">
      <c r="A145" s="38">
        <v>144</v>
      </c>
      <c r="B145" s="38" t="s">
        <v>595</v>
      </c>
      <c r="C145" s="39" t="s">
        <v>26</v>
      </c>
      <c r="D145" s="38" t="s">
        <v>384</v>
      </c>
      <c r="E145" s="41" t="s">
        <v>564</v>
      </c>
      <c r="F145" s="38" t="s">
        <v>596</v>
      </c>
      <c r="G145" s="38" t="s">
        <v>597</v>
      </c>
      <c r="H145" s="38"/>
      <c r="I145" s="38" t="s">
        <v>136</v>
      </c>
      <c r="J145" s="39" t="str">
        <f t="shared" si="8"/>
        <v>Verify</v>
      </c>
      <c r="K145" s="39"/>
      <c r="L145" s="39">
        <v>2</v>
      </c>
      <c r="M145" s="3"/>
      <c r="O145" s="41" t="s">
        <v>92</v>
      </c>
      <c r="P145" s="38"/>
      <c r="Q145" s="38"/>
      <c r="R145" s="38"/>
      <c r="S145" s="38" t="s">
        <v>581</v>
      </c>
      <c r="T145" s="38"/>
      <c r="U145" s="38"/>
      <c r="V145" s="38"/>
      <c r="W145" s="38"/>
      <c r="X145" s="38" t="s">
        <v>37</v>
      </c>
      <c r="Y145" s="43">
        <f t="shared" si="7"/>
        <v>0</v>
      </c>
    </row>
    <row r="146" spans="1:25" ht="160" hidden="1">
      <c r="A146" s="38">
        <v>145</v>
      </c>
      <c r="B146" s="38" t="s">
        <v>598</v>
      </c>
      <c r="C146" s="39" t="s">
        <v>26</v>
      </c>
      <c r="D146" s="38" t="s">
        <v>384</v>
      </c>
      <c r="E146" s="41" t="s">
        <v>564</v>
      </c>
      <c r="F146" s="38" t="s">
        <v>599</v>
      </c>
      <c r="G146" s="38" t="s">
        <v>600</v>
      </c>
      <c r="H146" s="38"/>
      <c r="I146" s="38" t="s">
        <v>136</v>
      </c>
      <c r="J146" s="39" t="str">
        <f t="shared" si="8"/>
        <v>Verify</v>
      </c>
      <c r="K146" s="39"/>
      <c r="L146" s="39">
        <v>2</v>
      </c>
      <c r="M146" s="3"/>
      <c r="O146" s="41" t="s">
        <v>92</v>
      </c>
      <c r="P146" s="38"/>
      <c r="Q146" s="38"/>
      <c r="R146" s="38"/>
      <c r="S146" s="38" t="s">
        <v>581</v>
      </c>
      <c r="T146" s="38"/>
      <c r="U146" s="38"/>
      <c r="V146" s="38"/>
      <c r="W146" s="38"/>
      <c r="X146" s="38" t="s">
        <v>37</v>
      </c>
      <c r="Y146" s="43">
        <f t="shared" si="7"/>
        <v>0</v>
      </c>
    </row>
    <row r="147" spans="1:25" ht="80" hidden="1">
      <c r="A147" s="38">
        <v>146</v>
      </c>
      <c r="B147" s="38" t="s">
        <v>601</v>
      </c>
      <c r="C147" s="39" t="s">
        <v>26</v>
      </c>
      <c r="D147" s="38" t="s">
        <v>384</v>
      </c>
      <c r="E147" s="41" t="s">
        <v>564</v>
      </c>
      <c r="F147" s="38" t="s">
        <v>602</v>
      </c>
      <c r="G147" s="38" t="s">
        <v>603</v>
      </c>
      <c r="H147" s="38"/>
      <c r="I147" s="38" t="s">
        <v>136</v>
      </c>
      <c r="J147" s="39" t="str">
        <f t="shared" si="8"/>
        <v>Verify</v>
      </c>
      <c r="K147" s="39"/>
      <c r="L147" s="39">
        <v>2</v>
      </c>
      <c r="M147" s="3"/>
      <c r="O147" s="41" t="s">
        <v>92</v>
      </c>
      <c r="P147" s="38"/>
      <c r="Q147" s="38"/>
      <c r="R147" s="38"/>
      <c r="S147" s="38" t="s">
        <v>581</v>
      </c>
      <c r="T147" s="38"/>
      <c r="U147" s="38"/>
      <c r="V147" s="38"/>
      <c r="W147" s="38"/>
      <c r="X147" s="38" t="s">
        <v>37</v>
      </c>
      <c r="Y147" s="43">
        <f t="shared" si="7"/>
        <v>0</v>
      </c>
    </row>
    <row r="148" spans="1:25" ht="176" hidden="1">
      <c r="A148" s="38">
        <v>147</v>
      </c>
      <c r="B148" s="38" t="s">
        <v>604</v>
      </c>
      <c r="C148" s="39" t="s">
        <v>26</v>
      </c>
      <c r="D148" s="38" t="s">
        <v>384</v>
      </c>
      <c r="E148" s="41" t="s">
        <v>605</v>
      </c>
      <c r="F148" s="38" t="s">
        <v>606</v>
      </c>
      <c r="G148" s="38" t="s">
        <v>607</v>
      </c>
      <c r="H148" s="38"/>
      <c r="I148" s="38" t="s">
        <v>136</v>
      </c>
      <c r="J148" s="39" t="str">
        <f t="shared" si="8"/>
        <v>Verify</v>
      </c>
      <c r="K148" s="39"/>
      <c r="L148" s="39">
        <v>2</v>
      </c>
      <c r="M148" s="3"/>
      <c r="O148" s="41" t="s">
        <v>608</v>
      </c>
      <c r="P148" s="38"/>
      <c r="Q148" s="38"/>
      <c r="R148" s="38"/>
      <c r="S148" s="38"/>
      <c r="T148" s="38"/>
      <c r="U148" s="38"/>
      <c r="V148" s="38"/>
      <c r="W148" s="38"/>
      <c r="X148" s="38" t="s">
        <v>37</v>
      </c>
      <c r="Y148" s="43">
        <f t="shared" si="7"/>
        <v>0</v>
      </c>
    </row>
    <row r="149" spans="1:25" ht="256" hidden="1">
      <c r="A149" s="38">
        <v>148</v>
      </c>
      <c r="B149" s="38" t="s">
        <v>609</v>
      </c>
      <c r="C149" s="39" t="s">
        <v>26</v>
      </c>
      <c r="D149" s="38" t="s">
        <v>384</v>
      </c>
      <c r="E149" s="41" t="s">
        <v>605</v>
      </c>
      <c r="F149" s="38" t="s">
        <v>610</v>
      </c>
      <c r="G149" s="38" t="s">
        <v>611</v>
      </c>
      <c r="H149" s="38"/>
      <c r="I149" s="38" t="s">
        <v>32</v>
      </c>
      <c r="J149" s="39" t="str">
        <f t="shared" si="8"/>
        <v>Answer</v>
      </c>
      <c r="K149" s="39" t="s">
        <v>42</v>
      </c>
      <c r="L149" s="39">
        <v>2</v>
      </c>
      <c r="M149" s="77">
        <f>Evalueringshieraki!$P$16</f>
        <v>0.4854368932038835</v>
      </c>
      <c r="O149" s="41" t="s">
        <v>200</v>
      </c>
      <c r="P149" s="38"/>
      <c r="Q149" s="38" t="s">
        <v>612</v>
      </c>
      <c r="R149" s="38"/>
      <c r="S149" s="38" t="s">
        <v>613</v>
      </c>
      <c r="T149" s="38"/>
      <c r="U149" s="38"/>
      <c r="V149" s="38"/>
      <c r="W149" s="71" t="s">
        <v>614</v>
      </c>
      <c r="X149" s="38" t="s">
        <v>86</v>
      </c>
      <c r="Y149" s="43">
        <f t="shared" si="7"/>
        <v>0.7</v>
      </c>
    </row>
    <row r="150" spans="1:25" ht="64" hidden="1">
      <c r="A150" s="38">
        <v>149</v>
      </c>
      <c r="B150" s="38" t="s">
        <v>615</v>
      </c>
      <c r="C150" s="39" t="s">
        <v>26</v>
      </c>
      <c r="D150" s="38" t="s">
        <v>384</v>
      </c>
      <c r="E150" s="41" t="s">
        <v>605</v>
      </c>
      <c r="F150" s="38" t="s">
        <v>616</v>
      </c>
      <c r="G150" s="38" t="s">
        <v>617</v>
      </c>
      <c r="H150" s="38"/>
      <c r="I150" s="38" t="s">
        <v>136</v>
      </c>
      <c r="J150" s="39" t="str">
        <f t="shared" si="8"/>
        <v>Verify</v>
      </c>
      <c r="K150" s="39"/>
      <c r="L150" s="39">
        <v>2</v>
      </c>
      <c r="M150" s="3"/>
      <c r="O150" s="41" t="s">
        <v>608</v>
      </c>
      <c r="P150" s="38"/>
      <c r="Q150" s="38"/>
      <c r="R150" s="38"/>
      <c r="S150" s="38"/>
      <c r="T150" s="38"/>
      <c r="U150" s="38"/>
      <c r="V150" s="38"/>
      <c r="W150" s="38"/>
      <c r="X150" s="38" t="s">
        <v>37</v>
      </c>
      <c r="Y150" s="43">
        <f t="shared" si="7"/>
        <v>0</v>
      </c>
    </row>
    <row r="151" spans="1:25" ht="80" hidden="1">
      <c r="A151" s="38">
        <v>150</v>
      </c>
      <c r="B151" s="38" t="s">
        <v>618</v>
      </c>
      <c r="C151" s="39" t="s">
        <v>26</v>
      </c>
      <c r="D151" s="38" t="s">
        <v>384</v>
      </c>
      <c r="E151" s="41" t="s">
        <v>605</v>
      </c>
      <c r="F151" s="38" t="s">
        <v>619</v>
      </c>
      <c r="G151" s="38" t="s">
        <v>620</v>
      </c>
      <c r="H151" s="38"/>
      <c r="I151" s="38" t="s">
        <v>81</v>
      </c>
      <c r="J151" s="39" t="str">
        <f t="shared" si="8"/>
        <v>Check</v>
      </c>
      <c r="K151" s="39" t="s">
        <v>42</v>
      </c>
      <c r="L151" s="39">
        <v>2</v>
      </c>
      <c r="M151" s="77">
        <f>Evalueringshieraki!$P$16</f>
        <v>0.4854368932038835</v>
      </c>
      <c r="O151" s="41" t="s">
        <v>608</v>
      </c>
      <c r="P151" s="38"/>
      <c r="Q151" s="38"/>
      <c r="R151" s="38"/>
      <c r="S151" s="38"/>
      <c r="T151" s="38"/>
      <c r="U151" s="38"/>
      <c r="V151" s="38"/>
      <c r="W151" s="38"/>
      <c r="X151" s="38" t="s">
        <v>37</v>
      </c>
      <c r="Y151" s="43">
        <f t="shared" si="7"/>
        <v>0</v>
      </c>
    </row>
    <row r="152" spans="1:25" ht="409.5" hidden="1">
      <c r="A152" s="38">
        <v>151</v>
      </c>
      <c r="B152" s="38" t="s">
        <v>621</v>
      </c>
      <c r="C152" s="39" t="s">
        <v>26</v>
      </c>
      <c r="D152" s="38" t="s">
        <v>384</v>
      </c>
      <c r="E152" s="41" t="s">
        <v>605</v>
      </c>
      <c r="F152" s="38" t="s">
        <v>622</v>
      </c>
      <c r="G152" s="38" t="s">
        <v>623</v>
      </c>
      <c r="H152" s="38"/>
      <c r="I152" s="38" t="s">
        <v>32</v>
      </c>
      <c r="J152" s="39" t="str">
        <f t="shared" si="8"/>
        <v>Answer</v>
      </c>
      <c r="K152" s="39" t="s">
        <v>42</v>
      </c>
      <c r="L152" s="39">
        <v>2</v>
      </c>
      <c r="M152" s="77">
        <f>Evalueringshieraki!$P$16</f>
        <v>0.4854368932038835</v>
      </c>
      <c r="O152" s="41" t="s">
        <v>200</v>
      </c>
      <c r="P152" s="38"/>
      <c r="Q152" s="38"/>
      <c r="R152" s="38"/>
      <c r="S152" s="38"/>
      <c r="T152" s="38"/>
      <c r="U152" s="38"/>
      <c r="V152" s="38"/>
      <c r="W152" s="71" t="s">
        <v>624</v>
      </c>
      <c r="X152" s="38" t="s">
        <v>57</v>
      </c>
      <c r="Y152" s="43">
        <f t="shared" si="7"/>
        <v>0.5</v>
      </c>
    </row>
    <row r="153" spans="1:25" ht="80" hidden="1">
      <c r="A153" s="38">
        <v>152</v>
      </c>
      <c r="B153" s="62" t="s">
        <v>625</v>
      </c>
      <c r="C153" s="39" t="s">
        <v>26</v>
      </c>
      <c r="D153" s="38" t="s">
        <v>384</v>
      </c>
      <c r="E153" s="41" t="s">
        <v>626</v>
      </c>
      <c r="F153" s="38" t="s">
        <v>626</v>
      </c>
      <c r="G153" s="38" t="s">
        <v>627</v>
      </c>
      <c r="H153" s="38" t="e" vm="1">
        <v>#VALUE!</v>
      </c>
      <c r="I153" s="38" t="s">
        <v>136</v>
      </c>
      <c r="J153" s="39" t="str">
        <f t="shared" si="8"/>
        <v>Verify</v>
      </c>
      <c r="K153" s="39"/>
      <c r="L153" s="39"/>
      <c r="M153" s="3"/>
      <c r="O153" s="41" t="s">
        <v>608</v>
      </c>
      <c r="P153" s="38"/>
      <c r="Q153" s="38"/>
      <c r="R153" s="38"/>
      <c r="S153" s="38"/>
      <c r="T153" s="38"/>
      <c r="U153" s="38"/>
      <c r="V153" s="38"/>
      <c r="W153" s="38"/>
      <c r="X153" s="38" t="s">
        <v>37</v>
      </c>
      <c r="Y153" s="43">
        <f t="shared" si="7"/>
        <v>0</v>
      </c>
    </row>
    <row r="154" spans="1:25" ht="96" hidden="1">
      <c r="A154" s="38">
        <v>153</v>
      </c>
      <c r="B154" s="38" t="s">
        <v>628</v>
      </c>
      <c r="C154" s="39" t="s">
        <v>26</v>
      </c>
      <c r="D154" s="38" t="s">
        <v>384</v>
      </c>
      <c r="E154" s="41" t="s">
        <v>629</v>
      </c>
      <c r="F154" s="38" t="s">
        <v>629</v>
      </c>
      <c r="G154" s="38" t="s">
        <v>630</v>
      </c>
      <c r="H154" s="38"/>
      <c r="I154" s="38" t="s">
        <v>136</v>
      </c>
      <c r="J154" s="39" t="str">
        <f t="shared" si="8"/>
        <v>Verify</v>
      </c>
      <c r="K154" s="39"/>
      <c r="L154" s="39">
        <v>2</v>
      </c>
      <c r="M154" s="3"/>
      <c r="O154" s="41" t="s">
        <v>99</v>
      </c>
      <c r="P154" s="38"/>
      <c r="Q154" s="38"/>
      <c r="R154" s="38"/>
      <c r="S154" s="38"/>
      <c r="T154" s="38"/>
      <c r="U154" s="38"/>
      <c r="V154" s="38"/>
      <c r="W154" s="38"/>
      <c r="X154" s="38" t="s">
        <v>37</v>
      </c>
      <c r="Y154" s="43">
        <f t="shared" si="7"/>
        <v>0</v>
      </c>
    </row>
    <row r="155" spans="1:25" ht="112" hidden="1">
      <c r="A155" s="38">
        <v>154</v>
      </c>
      <c r="B155" s="62" t="s">
        <v>631</v>
      </c>
      <c r="C155" s="39" t="s">
        <v>26</v>
      </c>
      <c r="D155" s="38" t="s">
        <v>384</v>
      </c>
      <c r="E155" s="41" t="s">
        <v>629</v>
      </c>
      <c r="F155" s="38" t="s">
        <v>632</v>
      </c>
      <c r="G155" s="38" t="s">
        <v>633</v>
      </c>
      <c r="H155" s="38"/>
      <c r="I155" s="38" t="s">
        <v>136</v>
      </c>
      <c r="J155" s="39" t="str">
        <f t="shared" si="8"/>
        <v>Verify</v>
      </c>
      <c r="K155" s="39"/>
      <c r="L155" s="39"/>
      <c r="M155" s="3"/>
      <c r="O155" s="41" t="s">
        <v>99</v>
      </c>
      <c r="P155" s="38"/>
      <c r="Q155" s="38"/>
      <c r="R155" s="38"/>
      <c r="S155" s="38"/>
      <c r="T155" s="38"/>
      <c r="U155" s="38"/>
      <c r="V155" s="38"/>
      <c r="W155" s="38"/>
      <c r="X155" s="38" t="s">
        <v>37</v>
      </c>
      <c r="Y155" s="43">
        <f t="shared" si="7"/>
        <v>0</v>
      </c>
    </row>
    <row r="156" spans="1:25" ht="192" hidden="1">
      <c r="A156" s="38">
        <v>155</v>
      </c>
      <c r="B156" s="38" t="s">
        <v>634</v>
      </c>
      <c r="C156" s="39" t="s">
        <v>26</v>
      </c>
      <c r="D156" s="38" t="s">
        <v>384</v>
      </c>
      <c r="E156" s="41" t="s">
        <v>635</v>
      </c>
      <c r="F156" t="s">
        <v>635</v>
      </c>
      <c r="G156" s="38" t="s">
        <v>636</v>
      </c>
      <c r="H156" s="38"/>
      <c r="I156" s="38" t="s">
        <v>136</v>
      </c>
      <c r="J156" s="39" t="str">
        <f t="shared" si="8"/>
        <v>Verify</v>
      </c>
      <c r="K156" s="39"/>
      <c r="L156" s="39">
        <v>2</v>
      </c>
      <c r="M156" s="3"/>
      <c r="O156" s="41" t="s">
        <v>99</v>
      </c>
      <c r="P156" s="38"/>
      <c r="Q156" s="38"/>
      <c r="R156" s="38"/>
      <c r="S156" s="38"/>
      <c r="T156" s="38"/>
      <c r="U156" s="38"/>
      <c r="V156" s="38"/>
      <c r="W156" s="38"/>
      <c r="X156" s="38" t="s">
        <v>37</v>
      </c>
      <c r="Y156" s="43">
        <f t="shared" si="7"/>
        <v>0</v>
      </c>
    </row>
    <row r="157" spans="1:25" ht="304" hidden="1">
      <c r="A157" s="38">
        <v>156</v>
      </c>
      <c r="B157" s="38" t="s">
        <v>637</v>
      </c>
      <c r="C157" s="39" t="s">
        <v>26</v>
      </c>
      <c r="D157" s="38" t="s">
        <v>384</v>
      </c>
      <c r="E157" s="41" t="s">
        <v>635</v>
      </c>
      <c r="F157" s="38" t="s">
        <v>638</v>
      </c>
      <c r="G157" s="38" t="s">
        <v>639</v>
      </c>
      <c r="H157" s="38"/>
      <c r="I157" s="38" t="s">
        <v>32</v>
      </c>
      <c r="J157" s="39" t="str">
        <f t="shared" si="8"/>
        <v>Answer</v>
      </c>
      <c r="K157" s="39" t="s">
        <v>42</v>
      </c>
      <c r="L157" s="39">
        <v>2</v>
      </c>
      <c r="M157" s="77">
        <f>Evalueringshieraki!$P$16</f>
        <v>0.4854368932038835</v>
      </c>
      <c r="O157" s="41" t="s">
        <v>200</v>
      </c>
      <c r="P157" s="38" t="s">
        <v>640</v>
      </c>
      <c r="Q157" s="38"/>
      <c r="R157" s="38"/>
      <c r="S157" s="38"/>
      <c r="T157" s="38"/>
      <c r="U157" s="38"/>
      <c r="V157" s="38"/>
      <c r="W157" s="71" t="s">
        <v>641</v>
      </c>
      <c r="X157" s="38" t="s">
        <v>86</v>
      </c>
      <c r="Y157" s="43">
        <f t="shared" si="7"/>
        <v>0.7</v>
      </c>
    </row>
    <row r="158" spans="1:25" ht="112" hidden="1">
      <c r="A158" s="38">
        <v>157</v>
      </c>
      <c r="B158" s="38" t="s">
        <v>642</v>
      </c>
      <c r="C158" s="39" t="s">
        <v>26</v>
      </c>
      <c r="D158" s="38" t="s">
        <v>384</v>
      </c>
      <c r="E158" s="41" t="s">
        <v>643</v>
      </c>
      <c r="F158" s="38" t="s">
        <v>644</v>
      </c>
      <c r="G158" s="38" t="s">
        <v>645</v>
      </c>
      <c r="H158" s="38"/>
      <c r="I158" s="38" t="s">
        <v>81</v>
      </c>
      <c r="J158" s="39" t="str">
        <f t="shared" si="8"/>
        <v>Check</v>
      </c>
      <c r="K158" s="39" t="s">
        <v>33</v>
      </c>
      <c r="L158" s="39">
        <v>2</v>
      </c>
      <c r="M158" s="80">
        <f>Evalueringshieraki!$Q$16</f>
        <v>0.970873786407767</v>
      </c>
      <c r="O158" s="41" t="s">
        <v>608</v>
      </c>
      <c r="P158" s="38"/>
      <c r="Q158" s="38"/>
      <c r="R158" s="38"/>
      <c r="S158" s="38"/>
      <c r="T158" s="38"/>
      <c r="U158" s="38"/>
      <c r="V158" s="38"/>
      <c r="W158" s="38"/>
      <c r="X158" s="38" t="s">
        <v>37</v>
      </c>
      <c r="Y158" s="43">
        <f t="shared" si="7"/>
        <v>0</v>
      </c>
    </row>
    <row r="159" spans="1:25" ht="208" hidden="1">
      <c r="A159" s="38">
        <v>158</v>
      </c>
      <c r="B159" s="38" t="s">
        <v>646</v>
      </c>
      <c r="C159" s="39" t="s">
        <v>26</v>
      </c>
      <c r="D159" s="38" t="s">
        <v>384</v>
      </c>
      <c r="E159" s="41" t="s">
        <v>643</v>
      </c>
      <c r="F159" s="38" t="s">
        <v>647</v>
      </c>
      <c r="G159" s="38" t="s">
        <v>648</v>
      </c>
      <c r="H159" s="38"/>
      <c r="I159" s="38" t="s">
        <v>32</v>
      </c>
      <c r="J159" s="39" t="str">
        <f t="shared" si="8"/>
        <v>Answer</v>
      </c>
      <c r="K159" s="39" t="s">
        <v>42</v>
      </c>
      <c r="L159" s="39">
        <v>2</v>
      </c>
      <c r="M159" s="77">
        <f>Evalueringshieraki!$P$16</f>
        <v>0.4854368932038835</v>
      </c>
      <c r="O159" s="41" t="s">
        <v>608</v>
      </c>
      <c r="P159" s="38"/>
      <c r="Q159" s="38"/>
      <c r="R159" s="38"/>
      <c r="S159" s="38" t="s">
        <v>649</v>
      </c>
      <c r="T159" s="38"/>
      <c r="U159" s="38"/>
      <c r="V159" s="38"/>
      <c r="W159" s="71" t="s">
        <v>650</v>
      </c>
      <c r="X159" s="38" t="s">
        <v>37</v>
      </c>
      <c r="Y159" s="43">
        <f t="shared" si="7"/>
        <v>0</v>
      </c>
    </row>
    <row r="160" spans="1:25" ht="80" hidden="1">
      <c r="A160" s="38">
        <v>159</v>
      </c>
      <c r="B160" s="38" t="s">
        <v>651</v>
      </c>
      <c r="C160" s="39" t="s">
        <v>26</v>
      </c>
      <c r="D160" s="38" t="s">
        <v>384</v>
      </c>
      <c r="E160" s="41" t="s">
        <v>652</v>
      </c>
      <c r="F160" s="38" t="s">
        <v>653</v>
      </c>
      <c r="G160" s="38" t="s">
        <v>654</v>
      </c>
      <c r="H160" s="38"/>
      <c r="I160" s="38" t="s">
        <v>136</v>
      </c>
      <c r="J160" s="39" t="str">
        <f t="shared" si="8"/>
        <v>Verify</v>
      </c>
      <c r="K160" s="39"/>
      <c r="L160" s="39">
        <v>2</v>
      </c>
      <c r="M160" s="3"/>
      <c r="O160" s="41" t="s">
        <v>62</v>
      </c>
      <c r="P160" s="38"/>
      <c r="Q160" s="38"/>
      <c r="R160" s="38"/>
      <c r="S160" s="38"/>
      <c r="T160" s="38"/>
      <c r="U160" s="38"/>
      <c r="V160" s="38"/>
      <c r="W160" s="38"/>
      <c r="X160" s="38" t="s">
        <v>37</v>
      </c>
      <c r="Y160" s="43">
        <f t="shared" si="7"/>
        <v>0</v>
      </c>
    </row>
    <row r="161" spans="1:25" ht="240" hidden="1">
      <c r="A161" s="38">
        <v>160</v>
      </c>
      <c r="B161" s="38" t="s">
        <v>655</v>
      </c>
      <c r="C161" s="39" t="s">
        <v>26</v>
      </c>
      <c r="D161" s="38" t="s">
        <v>384</v>
      </c>
      <c r="E161" s="41" t="s">
        <v>656</v>
      </c>
      <c r="F161" s="38" t="s">
        <v>657</v>
      </c>
      <c r="G161" s="38" t="s">
        <v>658</v>
      </c>
      <c r="H161" s="38"/>
      <c r="I161" s="38" t="s">
        <v>81</v>
      </c>
      <c r="J161" s="39" t="str">
        <f t="shared" si="8"/>
        <v>Check</v>
      </c>
      <c r="K161" s="39" t="s">
        <v>42</v>
      </c>
      <c r="L161" s="39">
        <v>2</v>
      </c>
      <c r="M161" s="77">
        <f>Evalueringshieraki!$P$16</f>
        <v>0.4854368932038835</v>
      </c>
      <c r="O161" s="41" t="s">
        <v>608</v>
      </c>
      <c r="P161" s="38"/>
      <c r="Q161" s="38"/>
      <c r="R161" s="38"/>
      <c r="S161" s="38"/>
      <c r="T161" s="38"/>
      <c r="U161" s="38"/>
      <c r="V161" s="38"/>
      <c r="W161" s="38"/>
      <c r="X161" s="38" t="s">
        <v>37</v>
      </c>
      <c r="Y161" s="43">
        <f t="shared" si="7"/>
        <v>0</v>
      </c>
    </row>
    <row r="162" spans="1:25" ht="64" hidden="1">
      <c r="A162" s="38">
        <v>161</v>
      </c>
      <c r="B162" s="38" t="s">
        <v>659</v>
      </c>
      <c r="C162" s="39" t="s">
        <v>26</v>
      </c>
      <c r="D162" s="38" t="s">
        <v>384</v>
      </c>
      <c r="E162" s="41" t="s">
        <v>656</v>
      </c>
      <c r="F162" s="38" t="s">
        <v>660</v>
      </c>
      <c r="G162" s="38" t="s">
        <v>661</v>
      </c>
      <c r="H162" s="38"/>
      <c r="I162" s="38" t="s">
        <v>81</v>
      </c>
      <c r="J162" s="39" t="str">
        <f t="shared" si="8"/>
        <v>Check</v>
      </c>
      <c r="K162" s="39" t="s">
        <v>42</v>
      </c>
      <c r="L162" s="39">
        <v>2</v>
      </c>
      <c r="M162" s="77">
        <f>Evalueringshieraki!$P$16</f>
        <v>0.4854368932038835</v>
      </c>
      <c r="O162" s="41" t="s">
        <v>608</v>
      </c>
      <c r="P162" s="38"/>
      <c r="Q162" s="38"/>
      <c r="R162" s="38"/>
      <c r="S162" s="38"/>
      <c r="T162" s="38"/>
      <c r="U162" s="38"/>
      <c r="V162" s="38"/>
      <c r="W162" s="38"/>
      <c r="X162" s="38" t="s">
        <v>37</v>
      </c>
      <c r="Y162" s="43">
        <f t="shared" si="7"/>
        <v>0</v>
      </c>
    </row>
    <row r="163" spans="1:25" ht="96" hidden="1">
      <c r="A163" s="38">
        <v>162</v>
      </c>
      <c r="B163" s="38" t="s">
        <v>662</v>
      </c>
      <c r="C163" s="39" t="s">
        <v>26</v>
      </c>
      <c r="D163" s="38" t="s">
        <v>384</v>
      </c>
      <c r="E163" s="41" t="s">
        <v>663</v>
      </c>
      <c r="F163" s="38" t="s">
        <v>664</v>
      </c>
      <c r="G163" s="38" t="s">
        <v>665</v>
      </c>
      <c r="H163" s="38"/>
      <c r="I163" s="38" t="s">
        <v>136</v>
      </c>
      <c r="J163" s="39" t="str">
        <f t="shared" si="8"/>
        <v>Verify</v>
      </c>
      <c r="K163" s="39"/>
      <c r="L163" s="39">
        <v>2</v>
      </c>
      <c r="M163" s="3"/>
      <c r="O163" s="41" t="s">
        <v>608</v>
      </c>
      <c r="P163" s="38"/>
      <c r="Q163" s="38"/>
      <c r="R163" s="38"/>
      <c r="S163" s="38"/>
      <c r="T163" s="38"/>
      <c r="U163" s="38"/>
      <c r="V163" s="38"/>
      <c r="W163" s="38"/>
      <c r="X163" s="38" t="s">
        <v>37</v>
      </c>
      <c r="Y163" s="43">
        <f t="shared" si="7"/>
        <v>0</v>
      </c>
    </row>
    <row r="164" spans="1:25" ht="288" hidden="1">
      <c r="A164" s="38">
        <v>163</v>
      </c>
      <c r="B164" s="38" t="s">
        <v>666</v>
      </c>
      <c r="C164" s="39" t="s">
        <v>26</v>
      </c>
      <c r="D164" s="38" t="s">
        <v>384</v>
      </c>
      <c r="E164" s="41" t="s">
        <v>667</v>
      </c>
      <c r="F164" s="38" t="s">
        <v>668</v>
      </c>
      <c r="G164" s="38" t="s">
        <v>669</v>
      </c>
      <c r="H164" s="38"/>
      <c r="I164" s="38" t="s">
        <v>136</v>
      </c>
      <c r="J164" s="39" t="str">
        <f t="shared" si="8"/>
        <v>Verify</v>
      </c>
      <c r="K164" s="39"/>
      <c r="L164" s="39">
        <v>2</v>
      </c>
      <c r="M164" s="3"/>
      <c r="O164" s="41" t="s">
        <v>200</v>
      </c>
      <c r="P164" s="38"/>
      <c r="Q164" s="38"/>
      <c r="R164" s="38"/>
      <c r="S164" s="90" t="s">
        <v>670</v>
      </c>
      <c r="T164" s="38"/>
      <c r="U164" s="38"/>
      <c r="V164" s="38"/>
      <c r="W164" s="38"/>
      <c r="X164" s="38" t="s">
        <v>57</v>
      </c>
      <c r="Y164" s="43">
        <f t="shared" si="7"/>
        <v>0.5</v>
      </c>
    </row>
    <row r="165" spans="1:25" ht="80" hidden="1">
      <c r="A165" s="38">
        <v>164</v>
      </c>
      <c r="B165" s="38" t="s">
        <v>671</v>
      </c>
      <c r="C165" s="39" t="s">
        <v>26</v>
      </c>
      <c r="D165" s="38" t="s">
        <v>384</v>
      </c>
      <c r="E165" s="41" t="s">
        <v>667</v>
      </c>
      <c r="F165" s="38" t="s">
        <v>672</v>
      </c>
      <c r="G165" s="38" t="s">
        <v>673</v>
      </c>
      <c r="H165" s="38"/>
      <c r="I165" s="38" t="s">
        <v>136</v>
      </c>
      <c r="J165" s="39" t="str">
        <f t="shared" si="8"/>
        <v>Verify</v>
      </c>
      <c r="K165" s="39"/>
      <c r="L165" s="39">
        <v>2</v>
      </c>
      <c r="M165" s="3"/>
      <c r="O165" s="41" t="s">
        <v>200</v>
      </c>
      <c r="P165" s="38" t="s">
        <v>674</v>
      </c>
      <c r="Q165" s="38"/>
      <c r="R165" s="38"/>
      <c r="S165" s="38" t="s">
        <v>675</v>
      </c>
      <c r="T165" s="38"/>
      <c r="U165" s="38"/>
      <c r="V165" s="38"/>
      <c r="W165" s="38"/>
      <c r="X165" s="38" t="s">
        <v>37</v>
      </c>
      <c r="Y165" s="43">
        <f t="shared" si="7"/>
        <v>0</v>
      </c>
    </row>
    <row r="166" spans="1:25" ht="368" hidden="1">
      <c r="A166" s="38">
        <v>165</v>
      </c>
      <c r="B166" s="38" t="s">
        <v>676</v>
      </c>
      <c r="C166" s="39" t="s">
        <v>26</v>
      </c>
      <c r="D166" s="38" t="s">
        <v>384</v>
      </c>
      <c r="E166" s="41" t="s">
        <v>667</v>
      </c>
      <c r="F166" s="38" t="s">
        <v>677</v>
      </c>
      <c r="G166" s="38" t="s">
        <v>678</v>
      </c>
      <c r="H166" s="38"/>
      <c r="I166" s="38" t="s">
        <v>136</v>
      </c>
      <c r="J166" s="39" t="str">
        <f t="shared" si="8"/>
        <v>Verify</v>
      </c>
      <c r="K166" s="39"/>
      <c r="L166" s="39">
        <v>2</v>
      </c>
      <c r="M166" s="3"/>
      <c r="O166" s="41" t="s">
        <v>200</v>
      </c>
      <c r="P166" s="38" t="s">
        <v>674</v>
      </c>
      <c r="Q166" s="38"/>
      <c r="R166" s="38"/>
      <c r="S166" s="38"/>
      <c r="T166" s="38"/>
      <c r="U166" s="38"/>
      <c r="V166" s="38"/>
      <c r="W166" s="38"/>
      <c r="X166" s="38" t="s">
        <v>37</v>
      </c>
      <c r="Y166" s="43">
        <f t="shared" si="7"/>
        <v>0</v>
      </c>
    </row>
    <row r="167" spans="1:25" ht="160" hidden="1">
      <c r="A167" s="38">
        <v>166</v>
      </c>
      <c r="B167" s="38" t="s">
        <v>679</v>
      </c>
      <c r="C167" s="39" t="s">
        <v>26</v>
      </c>
      <c r="D167" s="38" t="s">
        <v>384</v>
      </c>
      <c r="E167" s="41" t="s">
        <v>667</v>
      </c>
      <c r="F167" s="38" t="s">
        <v>680</v>
      </c>
      <c r="G167" s="38" t="s">
        <v>681</v>
      </c>
      <c r="H167" s="38"/>
      <c r="I167" s="38" t="s">
        <v>81</v>
      </c>
      <c r="J167" s="39" t="str">
        <f t="shared" si="8"/>
        <v>Check</v>
      </c>
      <c r="K167" s="39" t="s">
        <v>42</v>
      </c>
      <c r="L167" s="39">
        <v>2</v>
      </c>
      <c r="M167" s="77">
        <f>Evalueringshieraki!$P$16</f>
        <v>0.4854368932038835</v>
      </c>
      <c r="O167" s="41" t="s">
        <v>200</v>
      </c>
      <c r="P167" s="38" t="s">
        <v>674</v>
      </c>
      <c r="Q167" s="38"/>
      <c r="R167" s="38" t="s">
        <v>321</v>
      </c>
      <c r="S167" s="38" t="s">
        <v>682</v>
      </c>
      <c r="T167" s="38"/>
      <c r="U167" s="38"/>
      <c r="V167" s="38"/>
      <c r="W167" s="38"/>
      <c r="X167" s="38" t="s">
        <v>57</v>
      </c>
      <c r="Y167" s="43">
        <f t="shared" si="7"/>
        <v>0.5</v>
      </c>
    </row>
    <row r="168" spans="1:25" ht="96" hidden="1">
      <c r="A168" s="38">
        <v>167</v>
      </c>
      <c r="B168" s="38" t="s">
        <v>683</v>
      </c>
      <c r="C168" s="39" t="s">
        <v>26</v>
      </c>
      <c r="D168" s="38" t="s">
        <v>384</v>
      </c>
      <c r="E168" s="41" t="s">
        <v>667</v>
      </c>
      <c r="F168" s="38" t="s">
        <v>684</v>
      </c>
      <c r="G168" s="38" t="s">
        <v>685</v>
      </c>
      <c r="H168" s="38"/>
      <c r="I168" s="38" t="s">
        <v>136</v>
      </c>
      <c r="J168" s="39" t="str">
        <f t="shared" si="8"/>
        <v>Verify</v>
      </c>
      <c r="K168" s="39"/>
      <c r="L168" s="39">
        <v>2</v>
      </c>
      <c r="M168" s="3"/>
      <c r="O168" s="41" t="s">
        <v>200</v>
      </c>
      <c r="P168" s="38" t="s">
        <v>674</v>
      </c>
      <c r="Q168" s="38"/>
      <c r="R168" s="38"/>
      <c r="S168" s="38"/>
      <c r="T168" s="38"/>
      <c r="U168" s="38"/>
      <c r="V168" s="38"/>
      <c r="W168" s="38"/>
      <c r="X168" s="38" t="s">
        <v>57</v>
      </c>
      <c r="Y168" s="43">
        <f t="shared" si="7"/>
        <v>0.5</v>
      </c>
    </row>
    <row r="169" spans="1:25" ht="144" hidden="1">
      <c r="A169" s="38">
        <v>168</v>
      </c>
      <c r="B169" s="38" t="s">
        <v>686</v>
      </c>
      <c r="C169" s="39" t="s">
        <v>26</v>
      </c>
      <c r="D169" s="38" t="s">
        <v>384</v>
      </c>
      <c r="E169" s="41" t="s">
        <v>667</v>
      </c>
      <c r="F169" s="38" t="s">
        <v>687</v>
      </c>
      <c r="G169" s="38" t="s">
        <v>688</v>
      </c>
      <c r="H169" s="38"/>
      <c r="I169" s="38" t="s">
        <v>81</v>
      </c>
      <c r="J169" s="39" t="str">
        <f t="shared" si="8"/>
        <v>Check</v>
      </c>
      <c r="K169" s="39" t="s">
        <v>42</v>
      </c>
      <c r="L169" s="39">
        <v>2</v>
      </c>
      <c r="M169" s="77">
        <f>Evalueringshieraki!$P$16</f>
        <v>0.4854368932038835</v>
      </c>
      <c r="O169" s="41" t="s">
        <v>200</v>
      </c>
      <c r="P169" s="38" t="s">
        <v>674</v>
      </c>
      <c r="Q169" s="38"/>
      <c r="R169" s="38" t="s">
        <v>82</v>
      </c>
      <c r="S169" s="38" t="s">
        <v>682</v>
      </c>
      <c r="T169" s="38"/>
      <c r="U169" s="38"/>
      <c r="V169" s="38"/>
      <c r="W169" s="38"/>
      <c r="X169" s="38" t="s">
        <v>57</v>
      </c>
      <c r="Y169" s="43">
        <f t="shared" si="7"/>
        <v>0.5</v>
      </c>
    </row>
    <row r="170" spans="1:25" ht="80" hidden="1">
      <c r="A170" s="38">
        <v>169</v>
      </c>
      <c r="B170" s="62" t="s">
        <v>689</v>
      </c>
      <c r="C170" s="39" t="s">
        <v>26</v>
      </c>
      <c r="D170" s="38" t="s">
        <v>384</v>
      </c>
      <c r="E170" s="41" t="s">
        <v>690</v>
      </c>
      <c r="F170" s="38" t="s">
        <v>690</v>
      </c>
      <c r="G170" s="38" t="s">
        <v>691</v>
      </c>
      <c r="H170" s="38"/>
      <c r="I170" s="38" t="s">
        <v>136</v>
      </c>
      <c r="J170" s="39" t="str">
        <f t="shared" si="8"/>
        <v>Verify</v>
      </c>
      <c r="K170" s="39"/>
      <c r="L170" s="39"/>
      <c r="M170" s="3"/>
      <c r="O170" s="41" t="s">
        <v>424</v>
      </c>
      <c r="P170" s="38"/>
      <c r="Q170" s="38"/>
      <c r="R170" s="38" t="s">
        <v>585</v>
      </c>
      <c r="S170" s="38"/>
      <c r="T170" s="38"/>
      <c r="U170" s="38"/>
      <c r="V170" s="38"/>
      <c r="W170" s="38"/>
      <c r="X170" s="38" t="s">
        <v>37</v>
      </c>
      <c r="Y170" s="43">
        <f t="shared" si="7"/>
        <v>0</v>
      </c>
    </row>
    <row r="171" spans="1:25" ht="96" hidden="1">
      <c r="A171" s="38">
        <v>170</v>
      </c>
      <c r="B171" s="38" t="s">
        <v>692</v>
      </c>
      <c r="C171" s="39" t="s">
        <v>26</v>
      </c>
      <c r="D171" s="38" t="s">
        <v>384</v>
      </c>
      <c r="E171" s="41" t="s">
        <v>690</v>
      </c>
      <c r="F171" s="38" t="s">
        <v>693</v>
      </c>
      <c r="G171" s="38" t="s">
        <v>694</v>
      </c>
      <c r="H171" s="38"/>
      <c r="I171" s="38" t="s">
        <v>136</v>
      </c>
      <c r="J171" s="39" t="str">
        <f t="shared" si="8"/>
        <v>Verify</v>
      </c>
      <c r="K171" s="39"/>
      <c r="L171" s="39">
        <v>2</v>
      </c>
      <c r="M171" s="3"/>
      <c r="O171" s="41" t="s">
        <v>424</v>
      </c>
      <c r="P171" s="38"/>
      <c r="Q171" s="38"/>
      <c r="R171" s="38" t="s">
        <v>585</v>
      </c>
      <c r="S171" s="38"/>
      <c r="T171" s="38"/>
      <c r="U171" s="38"/>
      <c r="V171" s="38"/>
      <c r="W171" s="38"/>
      <c r="X171" s="38" t="s">
        <v>37</v>
      </c>
      <c r="Y171" s="43">
        <f t="shared" si="7"/>
        <v>0</v>
      </c>
    </row>
    <row r="172" spans="1:25" ht="192" hidden="1">
      <c r="A172" s="38">
        <v>171</v>
      </c>
      <c r="B172" s="38" t="s">
        <v>695</v>
      </c>
      <c r="C172" s="39" t="s">
        <v>26</v>
      </c>
      <c r="D172" s="38" t="s">
        <v>384</v>
      </c>
      <c r="E172" s="41" t="s">
        <v>690</v>
      </c>
      <c r="F172" s="38" t="s">
        <v>696</v>
      </c>
      <c r="G172" s="38" t="s">
        <v>697</v>
      </c>
      <c r="H172" s="38"/>
      <c r="I172" s="38" t="s">
        <v>32</v>
      </c>
      <c r="J172" s="39" t="str">
        <f t="shared" si="8"/>
        <v>Answer</v>
      </c>
      <c r="K172" s="39" t="s">
        <v>42</v>
      </c>
      <c r="L172" s="39">
        <v>2</v>
      </c>
      <c r="M172" s="77">
        <f>Evalueringshieraki!$P$16</f>
        <v>0.4854368932038835</v>
      </c>
      <c r="O172" s="41" t="s">
        <v>698</v>
      </c>
      <c r="P172" s="38"/>
      <c r="Q172" s="38"/>
      <c r="R172" s="38" t="s">
        <v>585</v>
      </c>
      <c r="S172" s="38" t="s">
        <v>699</v>
      </c>
      <c r="T172" s="38"/>
      <c r="U172" s="38"/>
      <c r="V172" s="38"/>
      <c r="W172" s="71" t="s">
        <v>700</v>
      </c>
      <c r="X172" s="38" t="s">
        <v>37</v>
      </c>
      <c r="Y172" s="43">
        <f t="shared" si="7"/>
        <v>0</v>
      </c>
    </row>
    <row r="173" spans="1:25" ht="320" hidden="1">
      <c r="A173" s="38">
        <v>172</v>
      </c>
      <c r="B173" s="38" t="s">
        <v>701</v>
      </c>
      <c r="C173" s="39" t="s">
        <v>26</v>
      </c>
      <c r="D173" s="3" t="s">
        <v>702</v>
      </c>
      <c r="E173" s="41" t="s">
        <v>703</v>
      </c>
      <c r="F173" s="38" t="s">
        <v>704</v>
      </c>
      <c r="G173" s="38" t="s">
        <v>705</v>
      </c>
      <c r="H173" s="38"/>
      <c r="I173" s="38" t="s">
        <v>136</v>
      </c>
      <c r="J173" s="39" t="str">
        <f t="shared" ref="J173:J204" si="9">IF(I173="IK - Informationskrav","Answer",(IF(I173="K - Konkurrencekrav","Check",(IF(I173="MK - Minimumskrav","Verify","")))))</f>
        <v>Verify</v>
      </c>
      <c r="K173" s="39"/>
      <c r="L173" s="39">
        <v>2</v>
      </c>
      <c r="M173" s="3"/>
      <c r="O173" s="41" t="s">
        <v>608</v>
      </c>
      <c r="P173" s="38"/>
      <c r="Q173" s="38"/>
      <c r="R173" s="38"/>
      <c r="S173" s="38" t="s">
        <v>706</v>
      </c>
      <c r="T173" s="38"/>
      <c r="U173" s="38"/>
      <c r="V173" s="38"/>
      <c r="W173" s="38"/>
      <c r="X173" s="38" t="s">
        <v>37</v>
      </c>
      <c r="Y173" s="43">
        <f t="shared" si="7"/>
        <v>0</v>
      </c>
    </row>
    <row r="174" spans="1:25" ht="272" hidden="1">
      <c r="A174" s="38">
        <v>173</v>
      </c>
      <c r="B174" s="38" t="s">
        <v>707</v>
      </c>
      <c r="C174" s="39" t="s">
        <v>26</v>
      </c>
      <c r="D174" s="3" t="s">
        <v>702</v>
      </c>
      <c r="E174" s="38" t="s">
        <v>708</v>
      </c>
      <c r="F174" s="38" t="s">
        <v>709</v>
      </c>
      <c r="G174" s="38" t="s">
        <v>710</v>
      </c>
      <c r="H174" s="38"/>
      <c r="I174" s="38" t="s">
        <v>136</v>
      </c>
      <c r="J174" s="39" t="str">
        <f t="shared" si="9"/>
        <v>Verify</v>
      </c>
      <c r="K174" s="39"/>
      <c r="L174" s="39">
        <v>2</v>
      </c>
      <c r="M174" s="3"/>
      <c r="O174" s="41" t="s">
        <v>608</v>
      </c>
      <c r="P174" s="38"/>
      <c r="Q174" s="38"/>
      <c r="R174" s="38"/>
      <c r="S174" s="38" t="s">
        <v>706</v>
      </c>
      <c r="T174" s="38"/>
      <c r="U174" s="38"/>
      <c r="V174" s="38"/>
      <c r="W174" s="38"/>
      <c r="X174" s="38" t="s">
        <v>37</v>
      </c>
      <c r="Y174" s="43">
        <f t="shared" si="7"/>
        <v>0</v>
      </c>
    </row>
    <row r="175" spans="1:25" ht="64" hidden="1">
      <c r="A175" s="38">
        <v>174</v>
      </c>
      <c r="B175" s="62" t="s">
        <v>711</v>
      </c>
      <c r="C175" s="39" t="s">
        <v>712</v>
      </c>
      <c r="D175" s="3" t="s">
        <v>713</v>
      </c>
      <c r="E175" s="3" t="s">
        <v>713</v>
      </c>
      <c r="F175" s="58" t="s">
        <v>714</v>
      </c>
      <c r="G175" s="36" t="s">
        <v>715</v>
      </c>
      <c r="H175" s="38"/>
      <c r="I175" s="38" t="s">
        <v>136</v>
      </c>
      <c r="J175" s="39" t="str">
        <f t="shared" si="9"/>
        <v>Verify</v>
      </c>
      <c r="K175" s="39"/>
      <c r="L175" s="39"/>
      <c r="M175" s="3"/>
      <c r="O175" s="41" t="s">
        <v>34</v>
      </c>
      <c r="P175" s="38"/>
      <c r="Q175" s="38"/>
      <c r="R175" s="38"/>
      <c r="S175" s="38"/>
      <c r="T175" s="38"/>
      <c r="U175" s="38"/>
      <c r="V175" s="38"/>
      <c r="W175" s="38"/>
      <c r="X175" s="38" t="s">
        <v>37</v>
      </c>
      <c r="Y175" s="43">
        <f t="shared" si="7"/>
        <v>0</v>
      </c>
    </row>
    <row r="176" spans="1:25" ht="48" hidden="1">
      <c r="A176" s="38">
        <v>175</v>
      </c>
      <c r="B176" s="62" t="s">
        <v>716</v>
      </c>
      <c r="C176" s="39" t="s">
        <v>712</v>
      </c>
      <c r="D176" s="3" t="s">
        <v>717</v>
      </c>
      <c r="E176" s="41" t="s">
        <v>718</v>
      </c>
      <c r="F176" s="38" t="s">
        <v>719</v>
      </c>
      <c r="G176" s="36" t="s">
        <v>720</v>
      </c>
      <c r="H176" s="38"/>
      <c r="I176" s="38" t="s">
        <v>136</v>
      </c>
      <c r="J176" s="39" t="str">
        <f t="shared" si="9"/>
        <v>Verify</v>
      </c>
      <c r="K176" s="39"/>
      <c r="L176" s="39"/>
      <c r="M176" s="3"/>
      <c r="O176" s="41" t="s">
        <v>34</v>
      </c>
      <c r="P176" s="38"/>
      <c r="Q176" s="38"/>
      <c r="R176" s="38"/>
      <c r="S176" s="38"/>
      <c r="T176" s="38"/>
      <c r="U176" s="38"/>
      <c r="V176" s="38"/>
      <c r="W176" s="38"/>
      <c r="X176" s="38" t="s">
        <v>37</v>
      </c>
      <c r="Y176" s="43">
        <f t="shared" si="7"/>
        <v>0</v>
      </c>
    </row>
    <row r="177" spans="1:25" ht="64" hidden="1">
      <c r="A177" s="38">
        <v>176</v>
      </c>
      <c r="B177" s="62" t="s">
        <v>721</v>
      </c>
      <c r="C177" s="39" t="s">
        <v>712</v>
      </c>
      <c r="D177" s="3" t="s">
        <v>717</v>
      </c>
      <c r="E177" s="41" t="s">
        <v>718</v>
      </c>
      <c r="F177" s="38" t="s">
        <v>722</v>
      </c>
      <c r="G177" s="36" t="s">
        <v>723</v>
      </c>
      <c r="H177" s="38"/>
      <c r="I177" s="38" t="s">
        <v>136</v>
      </c>
      <c r="J177" s="39" t="str">
        <f t="shared" si="9"/>
        <v>Verify</v>
      </c>
      <c r="K177" s="39"/>
      <c r="L177" s="39"/>
      <c r="M177" s="3"/>
      <c r="O177" s="41" t="s">
        <v>34</v>
      </c>
      <c r="P177" s="38"/>
      <c r="Q177" s="38"/>
      <c r="R177" s="38"/>
      <c r="S177" s="38"/>
      <c r="T177" s="38"/>
      <c r="U177" s="38"/>
      <c r="V177" s="38"/>
      <c r="W177" s="38"/>
      <c r="X177" s="38" t="s">
        <v>37</v>
      </c>
      <c r="Y177" s="43">
        <f t="shared" si="7"/>
        <v>0</v>
      </c>
    </row>
    <row r="178" spans="1:25" ht="64" hidden="1">
      <c r="A178" s="38">
        <v>177</v>
      </c>
      <c r="B178" s="62" t="s">
        <v>724</v>
      </c>
      <c r="C178" s="39" t="s">
        <v>712</v>
      </c>
      <c r="D178" s="3" t="s">
        <v>717</v>
      </c>
      <c r="E178" s="41" t="s">
        <v>718</v>
      </c>
      <c r="F178" s="38" t="s">
        <v>725</v>
      </c>
      <c r="G178" s="36" t="s">
        <v>726</v>
      </c>
      <c r="H178" s="38"/>
      <c r="I178" s="38" t="s">
        <v>136</v>
      </c>
      <c r="J178" s="39" t="str">
        <f t="shared" si="9"/>
        <v>Verify</v>
      </c>
      <c r="K178" s="39"/>
      <c r="L178" s="39"/>
      <c r="M178" s="3"/>
      <c r="O178" s="41" t="s">
        <v>34</v>
      </c>
      <c r="P178" s="38"/>
      <c r="Q178" s="38"/>
      <c r="R178" s="38"/>
      <c r="S178" s="38" t="s">
        <v>727</v>
      </c>
      <c r="T178" s="38"/>
      <c r="U178" s="38"/>
      <c r="V178" s="38"/>
      <c r="W178" s="38"/>
      <c r="X178" s="38" t="s">
        <v>37</v>
      </c>
      <c r="Y178" s="43">
        <f t="shared" si="7"/>
        <v>0</v>
      </c>
    </row>
    <row r="179" spans="1:25" ht="48" hidden="1">
      <c r="A179" s="38">
        <v>178</v>
      </c>
      <c r="B179" s="62" t="s">
        <v>728</v>
      </c>
      <c r="C179" s="39" t="s">
        <v>712</v>
      </c>
      <c r="D179" s="3" t="s">
        <v>717</v>
      </c>
      <c r="E179" s="41" t="s">
        <v>718</v>
      </c>
      <c r="F179" s="38" t="s">
        <v>729</v>
      </c>
      <c r="G179" s="36" t="s">
        <v>730</v>
      </c>
      <c r="H179" s="38"/>
      <c r="I179" s="38" t="s">
        <v>136</v>
      </c>
      <c r="J179" s="39" t="str">
        <f t="shared" si="9"/>
        <v>Verify</v>
      </c>
      <c r="K179" s="39"/>
      <c r="L179" s="39"/>
      <c r="M179" s="3"/>
      <c r="O179" s="41" t="s">
        <v>34</v>
      </c>
      <c r="P179" s="38"/>
      <c r="Q179" s="38"/>
      <c r="R179" s="38"/>
      <c r="S179" s="38"/>
      <c r="T179" s="38"/>
      <c r="U179" s="38"/>
      <c r="V179" s="38"/>
      <c r="W179" s="38"/>
      <c r="X179" s="38" t="s">
        <v>37</v>
      </c>
      <c r="Y179" s="43">
        <f t="shared" si="7"/>
        <v>0</v>
      </c>
    </row>
    <row r="180" spans="1:25" ht="64" hidden="1">
      <c r="A180" s="38">
        <v>179</v>
      </c>
      <c r="B180" s="62" t="s">
        <v>731</v>
      </c>
      <c r="C180" s="39" t="s">
        <v>712</v>
      </c>
      <c r="D180" s="3" t="s">
        <v>717</v>
      </c>
      <c r="E180" s="41" t="s">
        <v>718</v>
      </c>
      <c r="F180" s="38" t="s">
        <v>732</v>
      </c>
      <c r="G180" s="36" t="s">
        <v>733</v>
      </c>
      <c r="H180" s="38"/>
      <c r="I180" s="38" t="s">
        <v>136</v>
      </c>
      <c r="J180" s="39" t="str">
        <f t="shared" si="9"/>
        <v>Verify</v>
      </c>
      <c r="K180" s="39"/>
      <c r="L180" s="39"/>
      <c r="M180" s="3"/>
      <c r="O180" s="41" t="s">
        <v>34</v>
      </c>
      <c r="P180" s="38"/>
      <c r="Q180" s="38"/>
      <c r="R180" s="38"/>
      <c r="S180" s="38"/>
      <c r="T180" s="38"/>
      <c r="U180" s="38"/>
      <c r="V180" s="38"/>
      <c r="W180" s="38"/>
      <c r="X180" s="38" t="s">
        <v>37</v>
      </c>
      <c r="Y180" s="43">
        <f t="shared" si="7"/>
        <v>0</v>
      </c>
    </row>
    <row r="181" spans="1:25" ht="80" hidden="1">
      <c r="A181" s="38">
        <v>180</v>
      </c>
      <c r="B181" s="62" t="s">
        <v>734</v>
      </c>
      <c r="C181" s="39" t="s">
        <v>712</v>
      </c>
      <c r="D181" s="3" t="s">
        <v>717</v>
      </c>
      <c r="E181" s="41" t="s">
        <v>718</v>
      </c>
      <c r="F181" s="38" t="s">
        <v>735</v>
      </c>
      <c r="G181" s="36" t="s">
        <v>736</v>
      </c>
      <c r="H181" s="38"/>
      <c r="I181" s="38" t="s">
        <v>136</v>
      </c>
      <c r="J181" s="39" t="str">
        <f t="shared" si="9"/>
        <v>Verify</v>
      </c>
      <c r="K181" s="39"/>
      <c r="L181" s="39"/>
      <c r="M181" s="3"/>
      <c r="O181" s="41" t="s">
        <v>200</v>
      </c>
      <c r="P181" s="38" t="s">
        <v>674</v>
      </c>
      <c r="Q181" s="38"/>
      <c r="R181" s="38"/>
      <c r="S181" s="38" t="s">
        <v>737</v>
      </c>
      <c r="T181" s="38"/>
      <c r="U181" s="38"/>
      <c r="V181" s="38"/>
      <c r="W181" s="38"/>
      <c r="X181" s="38" t="s">
        <v>57</v>
      </c>
      <c r="Y181" s="43">
        <f t="shared" si="7"/>
        <v>0.5</v>
      </c>
    </row>
    <row r="182" spans="1:25" ht="48" hidden="1">
      <c r="A182" s="38">
        <v>181</v>
      </c>
      <c r="B182" s="62" t="s">
        <v>738</v>
      </c>
      <c r="C182" s="39" t="s">
        <v>712</v>
      </c>
      <c r="D182" s="3" t="s">
        <v>717</v>
      </c>
      <c r="E182" s="41" t="s">
        <v>718</v>
      </c>
      <c r="F182" s="38" t="s">
        <v>739</v>
      </c>
      <c r="G182" s="36" t="s">
        <v>740</v>
      </c>
      <c r="H182" s="38"/>
      <c r="I182" s="38" t="s">
        <v>136</v>
      </c>
      <c r="J182" s="39" t="str">
        <f t="shared" si="9"/>
        <v>Verify</v>
      </c>
      <c r="K182" s="39"/>
      <c r="L182" s="39"/>
      <c r="M182" s="3"/>
      <c r="O182" s="41" t="s">
        <v>34</v>
      </c>
      <c r="P182" s="38"/>
      <c r="Q182" s="38"/>
      <c r="R182" s="38"/>
      <c r="S182" s="38"/>
      <c r="T182" s="38"/>
      <c r="U182" s="38"/>
      <c r="V182" s="38"/>
      <c r="W182" s="38"/>
      <c r="X182" s="38" t="s">
        <v>37</v>
      </c>
      <c r="Y182" s="43">
        <f t="shared" si="7"/>
        <v>0</v>
      </c>
    </row>
    <row r="183" spans="1:25" ht="48" hidden="1">
      <c r="A183" s="38">
        <v>182</v>
      </c>
      <c r="B183" s="62" t="s">
        <v>741</v>
      </c>
      <c r="C183" s="39" t="s">
        <v>712</v>
      </c>
      <c r="D183" s="3" t="s">
        <v>717</v>
      </c>
      <c r="E183" s="41" t="s">
        <v>718</v>
      </c>
      <c r="F183" s="38" t="s">
        <v>742</v>
      </c>
      <c r="G183" s="36" t="s">
        <v>743</v>
      </c>
      <c r="H183" s="38"/>
      <c r="I183" s="38" t="s">
        <v>136</v>
      </c>
      <c r="J183" s="39" t="str">
        <f t="shared" si="9"/>
        <v>Verify</v>
      </c>
      <c r="K183" s="39"/>
      <c r="L183" s="39"/>
      <c r="M183" s="3"/>
      <c r="O183" s="41" t="s">
        <v>34</v>
      </c>
      <c r="P183" s="38"/>
      <c r="Q183" s="38"/>
      <c r="R183" s="38"/>
      <c r="S183" s="38"/>
      <c r="T183" s="38"/>
      <c r="U183" s="38"/>
      <c r="V183" s="38"/>
      <c r="W183" s="38"/>
      <c r="X183" s="38" t="s">
        <v>37</v>
      </c>
      <c r="Y183" s="43">
        <f t="shared" si="7"/>
        <v>0</v>
      </c>
    </row>
    <row r="184" spans="1:25" ht="96" hidden="1">
      <c r="A184" s="38">
        <v>183</v>
      </c>
      <c r="B184" s="62" t="s">
        <v>744</v>
      </c>
      <c r="C184" s="39" t="s">
        <v>712</v>
      </c>
      <c r="D184" s="3" t="s">
        <v>717</v>
      </c>
      <c r="E184" s="41" t="s">
        <v>718</v>
      </c>
      <c r="F184" s="38" t="s">
        <v>745</v>
      </c>
      <c r="G184" s="36" t="s">
        <v>746</v>
      </c>
      <c r="H184" s="38"/>
      <c r="I184" s="38" t="s">
        <v>136</v>
      </c>
      <c r="J184" s="39" t="str">
        <f t="shared" si="9"/>
        <v>Verify</v>
      </c>
      <c r="K184" s="39"/>
      <c r="L184" s="39"/>
      <c r="M184" s="3"/>
      <c r="O184" s="41" t="s">
        <v>34</v>
      </c>
      <c r="P184" s="38"/>
      <c r="Q184" s="38"/>
      <c r="R184" s="38"/>
      <c r="S184" s="38"/>
      <c r="T184" s="38"/>
      <c r="U184" s="38"/>
      <c r="V184" s="38"/>
      <c r="W184" s="38"/>
      <c r="X184" s="38" t="s">
        <v>37</v>
      </c>
      <c r="Y184" s="43">
        <f t="shared" si="7"/>
        <v>0</v>
      </c>
    </row>
    <row r="185" spans="1:25" ht="96" hidden="1">
      <c r="A185" s="38">
        <v>184</v>
      </c>
      <c r="B185" s="62" t="s">
        <v>747</v>
      </c>
      <c r="C185" s="39" t="s">
        <v>712</v>
      </c>
      <c r="D185" s="3" t="s">
        <v>748</v>
      </c>
      <c r="E185" s="3" t="s">
        <v>748</v>
      </c>
      <c r="F185" s="38" t="s">
        <v>749</v>
      </c>
      <c r="G185" s="36" t="s">
        <v>750</v>
      </c>
      <c r="H185" s="38"/>
      <c r="I185" s="38" t="s">
        <v>136</v>
      </c>
      <c r="J185" s="39" t="str">
        <f t="shared" si="9"/>
        <v>Verify</v>
      </c>
      <c r="K185" s="39"/>
      <c r="L185" s="39"/>
      <c r="M185" s="3"/>
      <c r="O185" s="41" t="s">
        <v>62</v>
      </c>
      <c r="P185" s="38"/>
      <c r="Q185" s="38"/>
      <c r="R185" s="38"/>
      <c r="S185" s="38" t="s">
        <v>751</v>
      </c>
      <c r="T185" s="38"/>
      <c r="U185" s="38"/>
      <c r="V185" s="38"/>
      <c r="W185" s="38"/>
      <c r="X185" s="38" t="s">
        <v>37</v>
      </c>
      <c r="Y185" s="43">
        <f t="shared" si="7"/>
        <v>0</v>
      </c>
    </row>
    <row r="186" spans="1:25" ht="64" hidden="1">
      <c r="A186" s="38">
        <v>185</v>
      </c>
      <c r="B186" s="62" t="s">
        <v>752</v>
      </c>
      <c r="C186" s="39" t="s">
        <v>712</v>
      </c>
      <c r="D186" s="3" t="s">
        <v>748</v>
      </c>
      <c r="E186" s="3" t="s">
        <v>748</v>
      </c>
      <c r="F186" s="38" t="s">
        <v>753</v>
      </c>
      <c r="G186" s="36" t="s">
        <v>754</v>
      </c>
      <c r="H186" s="38"/>
      <c r="I186" s="38" t="s">
        <v>136</v>
      </c>
      <c r="J186" s="39" t="str">
        <f t="shared" si="9"/>
        <v>Verify</v>
      </c>
      <c r="K186" s="39"/>
      <c r="L186" s="39"/>
      <c r="M186" s="3"/>
      <c r="O186" s="41" t="s">
        <v>62</v>
      </c>
      <c r="P186" s="38"/>
      <c r="Q186" s="38"/>
      <c r="R186" s="38"/>
      <c r="S186" s="38" t="s">
        <v>751</v>
      </c>
      <c r="T186" s="38"/>
      <c r="U186" s="38"/>
      <c r="V186" s="38"/>
      <c r="W186" s="38"/>
      <c r="X186" s="38" t="s">
        <v>37</v>
      </c>
      <c r="Y186" s="43">
        <f t="shared" si="7"/>
        <v>0</v>
      </c>
    </row>
    <row r="187" spans="1:25" ht="64" hidden="1">
      <c r="A187" s="38">
        <v>186</v>
      </c>
      <c r="B187" s="62" t="s">
        <v>755</v>
      </c>
      <c r="C187" s="39" t="s">
        <v>712</v>
      </c>
      <c r="D187" s="3" t="s">
        <v>46</v>
      </c>
      <c r="E187" s="3" t="s">
        <v>46</v>
      </c>
      <c r="F187" s="38" t="s">
        <v>756</v>
      </c>
      <c r="G187" s="36" t="s">
        <v>757</v>
      </c>
      <c r="H187" s="38"/>
      <c r="I187" s="38" t="s">
        <v>136</v>
      </c>
      <c r="J187" s="39" t="str">
        <f t="shared" si="9"/>
        <v>Verify</v>
      </c>
      <c r="K187" s="39"/>
      <c r="L187" s="39"/>
      <c r="M187" s="3"/>
      <c r="O187" s="41" t="s">
        <v>34</v>
      </c>
      <c r="P187" s="38"/>
      <c r="Q187" s="38"/>
      <c r="R187" s="38"/>
      <c r="S187" s="38"/>
      <c r="T187" s="38"/>
      <c r="U187" s="38"/>
      <c r="V187" s="38"/>
      <c r="W187" s="38"/>
      <c r="X187" s="38" t="s">
        <v>37</v>
      </c>
      <c r="Y187" s="43">
        <f t="shared" si="7"/>
        <v>0</v>
      </c>
    </row>
    <row r="188" spans="1:25" ht="80" hidden="1">
      <c r="A188" s="38">
        <v>187</v>
      </c>
      <c r="B188" s="62" t="s">
        <v>758</v>
      </c>
      <c r="C188" s="39" t="s">
        <v>712</v>
      </c>
      <c r="D188" s="3" t="s">
        <v>46</v>
      </c>
      <c r="E188" s="3" t="s">
        <v>46</v>
      </c>
      <c r="F188" s="38" t="s">
        <v>759</v>
      </c>
      <c r="G188" s="36" t="s">
        <v>760</v>
      </c>
      <c r="H188" s="38"/>
      <c r="I188" s="38" t="s">
        <v>136</v>
      </c>
      <c r="J188" s="39" t="str">
        <f t="shared" si="9"/>
        <v>Verify</v>
      </c>
      <c r="K188" s="39"/>
      <c r="L188" s="39"/>
      <c r="M188" s="3"/>
      <c r="O188" s="41" t="s">
        <v>34</v>
      </c>
      <c r="P188" s="38"/>
      <c r="Q188" s="38"/>
      <c r="R188" s="38"/>
      <c r="S188" s="38"/>
      <c r="T188" s="38"/>
      <c r="U188" s="38"/>
      <c r="V188" s="38"/>
      <c r="W188" s="38"/>
      <c r="X188" s="38" t="s">
        <v>37</v>
      </c>
      <c r="Y188" s="43">
        <f t="shared" si="7"/>
        <v>0</v>
      </c>
    </row>
    <row r="189" spans="1:25" ht="64" hidden="1">
      <c r="A189" s="38">
        <v>188</v>
      </c>
      <c r="B189" s="62" t="s">
        <v>761</v>
      </c>
      <c r="C189" s="39" t="s">
        <v>712</v>
      </c>
      <c r="D189" s="3" t="s">
        <v>46</v>
      </c>
      <c r="E189" s="3" t="s">
        <v>46</v>
      </c>
      <c r="F189" s="38" t="s">
        <v>762</v>
      </c>
      <c r="G189" s="36" t="s">
        <v>763</v>
      </c>
      <c r="H189" s="38"/>
      <c r="I189" s="38" t="s">
        <v>136</v>
      </c>
      <c r="J189" s="39" t="str">
        <f t="shared" si="9"/>
        <v>Verify</v>
      </c>
      <c r="K189" s="39"/>
      <c r="L189" s="39"/>
      <c r="M189" s="3"/>
      <c r="O189" s="41" t="s">
        <v>34</v>
      </c>
      <c r="P189" s="38"/>
      <c r="Q189" s="38"/>
      <c r="R189" s="38"/>
      <c r="S189" s="38"/>
      <c r="T189" s="38"/>
      <c r="U189" s="38"/>
      <c r="V189" s="38"/>
      <c r="W189" s="38"/>
      <c r="X189" s="38" t="s">
        <v>37</v>
      </c>
      <c r="Y189" s="43">
        <f t="shared" si="7"/>
        <v>0</v>
      </c>
    </row>
    <row r="190" spans="1:25" ht="96" hidden="1">
      <c r="A190" s="38">
        <v>189</v>
      </c>
      <c r="B190" s="62" t="s">
        <v>764</v>
      </c>
      <c r="C190" s="39" t="s">
        <v>712</v>
      </c>
      <c r="D190" s="3" t="s">
        <v>51</v>
      </c>
      <c r="E190" s="3" t="s">
        <v>51</v>
      </c>
      <c r="F190" s="38" t="s">
        <v>765</v>
      </c>
      <c r="G190" s="36" t="s">
        <v>766</v>
      </c>
      <c r="H190" s="38"/>
      <c r="I190" s="38" t="s">
        <v>136</v>
      </c>
      <c r="J190" s="39" t="str">
        <f t="shared" si="9"/>
        <v>Verify</v>
      </c>
      <c r="K190" s="39"/>
      <c r="L190" s="39"/>
      <c r="M190" s="3"/>
      <c r="O190" s="41" t="s">
        <v>54</v>
      </c>
      <c r="P190" s="38"/>
      <c r="Q190" s="38"/>
      <c r="R190" s="38" t="s">
        <v>82</v>
      </c>
      <c r="S190" s="38" t="s">
        <v>751</v>
      </c>
      <c r="T190" s="38"/>
      <c r="U190" s="38"/>
      <c r="V190" s="38"/>
      <c r="W190" s="38"/>
      <c r="X190" s="38" t="s">
        <v>86</v>
      </c>
      <c r="Y190" s="43">
        <f t="shared" si="7"/>
        <v>0.7</v>
      </c>
    </row>
    <row r="191" spans="1:25" ht="80" hidden="1">
      <c r="A191" s="38">
        <v>190</v>
      </c>
      <c r="B191" s="62" t="s">
        <v>767</v>
      </c>
      <c r="C191" s="39" t="s">
        <v>712</v>
      </c>
      <c r="D191" s="3" t="s">
        <v>768</v>
      </c>
      <c r="E191" s="3" t="s">
        <v>768</v>
      </c>
      <c r="F191" s="38" t="s">
        <v>769</v>
      </c>
      <c r="G191" s="36" t="s">
        <v>770</v>
      </c>
      <c r="H191" s="38"/>
      <c r="I191" s="38" t="s">
        <v>136</v>
      </c>
      <c r="J191" s="39" t="str">
        <f t="shared" si="9"/>
        <v>Verify</v>
      </c>
      <c r="K191" s="39"/>
      <c r="L191" s="39"/>
      <c r="M191" s="3"/>
      <c r="O191" s="41" t="s">
        <v>34</v>
      </c>
      <c r="P191" s="38"/>
      <c r="Q191" s="38"/>
      <c r="R191" s="38"/>
      <c r="S191" s="38"/>
      <c r="T191" s="38"/>
      <c r="U191" s="38"/>
      <c r="V191" s="38"/>
      <c r="W191" s="38"/>
      <c r="X191" s="38" t="s">
        <v>37</v>
      </c>
      <c r="Y191" s="43">
        <f t="shared" si="7"/>
        <v>0</v>
      </c>
    </row>
    <row r="192" spans="1:25" ht="80" hidden="1">
      <c r="A192" s="38">
        <v>191</v>
      </c>
      <c r="B192" s="62" t="s">
        <v>771</v>
      </c>
      <c r="C192" s="39" t="s">
        <v>712</v>
      </c>
      <c r="D192" s="3" t="s">
        <v>772</v>
      </c>
      <c r="E192" s="3" t="s">
        <v>772</v>
      </c>
      <c r="F192" s="38" t="s">
        <v>773</v>
      </c>
      <c r="G192" s="36" t="s">
        <v>774</v>
      </c>
      <c r="H192" s="38"/>
      <c r="I192" s="38" t="s">
        <v>136</v>
      </c>
      <c r="J192" s="39" t="str">
        <f t="shared" si="9"/>
        <v>Verify</v>
      </c>
      <c r="K192" s="39"/>
      <c r="L192" s="39"/>
      <c r="M192" s="3"/>
      <c r="O192" s="41" t="s">
        <v>34</v>
      </c>
      <c r="P192" s="38"/>
      <c r="Q192" s="38"/>
      <c r="R192" s="38"/>
      <c r="S192" s="38"/>
      <c r="T192" s="38"/>
      <c r="U192" s="38"/>
      <c r="V192" s="38"/>
      <c r="W192" s="38"/>
      <c r="X192" s="38" t="s">
        <v>37</v>
      </c>
      <c r="Y192" s="43">
        <f t="shared" si="7"/>
        <v>0</v>
      </c>
    </row>
    <row r="193" spans="1:25" ht="80" hidden="1">
      <c r="A193" s="38">
        <v>192</v>
      </c>
      <c r="B193" s="62" t="s">
        <v>775</v>
      </c>
      <c r="C193" s="39" t="s">
        <v>776</v>
      </c>
      <c r="D193" s="3" t="s">
        <v>777</v>
      </c>
      <c r="E193" s="3" t="s">
        <v>777</v>
      </c>
      <c r="F193" s="38" t="s">
        <v>778</v>
      </c>
      <c r="G193" s="36" t="s">
        <v>779</v>
      </c>
      <c r="H193" s="38"/>
      <c r="I193" s="38" t="s">
        <v>136</v>
      </c>
      <c r="J193" s="39" t="str">
        <f t="shared" si="9"/>
        <v>Verify</v>
      </c>
      <c r="K193" s="39"/>
      <c r="L193" s="39"/>
      <c r="M193" s="3"/>
      <c r="O193" s="41" t="s">
        <v>200</v>
      </c>
      <c r="P193" s="38" t="s">
        <v>674</v>
      </c>
      <c r="Q193" s="38"/>
      <c r="R193" s="38"/>
      <c r="S193" s="38" t="s">
        <v>780</v>
      </c>
      <c r="T193" s="38"/>
      <c r="U193" s="38"/>
      <c r="V193" s="38"/>
      <c r="W193" s="38"/>
      <c r="X193" s="38" t="s">
        <v>57</v>
      </c>
      <c r="Y193" s="43">
        <f t="shared" si="7"/>
        <v>0.5</v>
      </c>
    </row>
    <row r="194" spans="1:25" ht="80" hidden="1">
      <c r="A194" s="38">
        <v>193</v>
      </c>
      <c r="B194" s="62" t="s">
        <v>781</v>
      </c>
      <c r="C194" s="39" t="s">
        <v>776</v>
      </c>
      <c r="D194" s="3" t="s">
        <v>777</v>
      </c>
      <c r="E194" s="3" t="s">
        <v>777</v>
      </c>
      <c r="F194" s="38" t="s">
        <v>782</v>
      </c>
      <c r="G194" s="36" t="s">
        <v>783</v>
      </c>
      <c r="H194" s="38"/>
      <c r="I194" s="38" t="s">
        <v>136</v>
      </c>
      <c r="J194" s="39" t="str">
        <f t="shared" si="9"/>
        <v>Verify</v>
      </c>
      <c r="K194" s="39"/>
      <c r="L194" s="39"/>
      <c r="M194" s="3"/>
      <c r="O194" s="41" t="s">
        <v>200</v>
      </c>
      <c r="P194" s="38" t="s">
        <v>674</v>
      </c>
      <c r="Q194" s="38"/>
      <c r="R194" s="38"/>
      <c r="S194" s="38" t="s">
        <v>780</v>
      </c>
      <c r="T194" s="38"/>
      <c r="U194" s="38"/>
      <c r="V194" s="38"/>
      <c r="W194" s="38"/>
      <c r="X194" s="38" t="s">
        <v>57</v>
      </c>
      <c r="Y194" s="43">
        <f t="shared" si="7"/>
        <v>0.5</v>
      </c>
    </row>
    <row r="195" spans="1:25" ht="80" hidden="1">
      <c r="A195" s="38">
        <v>194</v>
      </c>
      <c r="B195" s="62" t="s">
        <v>784</v>
      </c>
      <c r="C195" s="39" t="s">
        <v>776</v>
      </c>
      <c r="D195" s="3" t="s">
        <v>777</v>
      </c>
      <c r="E195" s="3" t="s">
        <v>777</v>
      </c>
      <c r="F195" s="38" t="s">
        <v>785</v>
      </c>
      <c r="G195" s="36" t="s">
        <v>786</v>
      </c>
      <c r="H195" s="38"/>
      <c r="I195" s="38" t="s">
        <v>136</v>
      </c>
      <c r="J195" s="39" t="str">
        <f t="shared" si="9"/>
        <v>Verify</v>
      </c>
      <c r="K195" s="39"/>
      <c r="L195" s="39"/>
      <c r="M195" s="3"/>
      <c r="O195" s="41" t="s">
        <v>200</v>
      </c>
      <c r="P195" s="38" t="s">
        <v>674</v>
      </c>
      <c r="Q195" s="38"/>
      <c r="R195" s="38"/>
      <c r="S195" s="38" t="s">
        <v>780</v>
      </c>
      <c r="T195" s="38"/>
      <c r="U195" s="38"/>
      <c r="V195" s="38"/>
      <c r="W195" s="38"/>
      <c r="X195" s="38" t="s">
        <v>57</v>
      </c>
      <c r="Y195" s="43">
        <f t="shared" ref="Y195:Y219" si="10">IF(X195="Not Started",0%,IF(X195="Read",1%,IF(X195="Started",50%,IF(X195="Ready for review",70%,IF(X195="Reviewed - Content",80%,IF(X195="Reviewed - Format",90%,IF(X195="Done",100%,"")))))))</f>
        <v>0.5</v>
      </c>
    </row>
    <row r="196" spans="1:25" ht="64" hidden="1">
      <c r="A196" s="38">
        <v>195</v>
      </c>
      <c r="B196" s="62" t="s">
        <v>787</v>
      </c>
      <c r="C196" s="39" t="s">
        <v>788</v>
      </c>
      <c r="D196" s="3" t="s">
        <v>789</v>
      </c>
      <c r="E196" s="3" t="s">
        <v>789</v>
      </c>
      <c r="F196" s="38" t="s">
        <v>790</v>
      </c>
      <c r="G196" s="36" t="s">
        <v>791</v>
      </c>
      <c r="H196" s="38"/>
      <c r="I196" s="38" t="s">
        <v>136</v>
      </c>
      <c r="J196" s="39" t="str">
        <f t="shared" si="9"/>
        <v>Verify</v>
      </c>
      <c r="K196" s="39"/>
      <c r="L196" s="39"/>
      <c r="M196" s="3"/>
      <c r="O196" s="41" t="s">
        <v>608</v>
      </c>
      <c r="P196" s="38"/>
      <c r="Q196" s="38"/>
      <c r="R196" s="38"/>
      <c r="S196" s="38"/>
      <c r="T196" s="38"/>
      <c r="U196" s="38"/>
      <c r="V196" s="38"/>
      <c r="W196" s="38"/>
      <c r="X196" s="38" t="s">
        <v>37</v>
      </c>
      <c r="Y196" s="43">
        <f t="shared" si="10"/>
        <v>0</v>
      </c>
    </row>
    <row r="197" spans="1:25" ht="80" hidden="1">
      <c r="A197" s="38">
        <v>196</v>
      </c>
      <c r="B197" s="62" t="s">
        <v>792</v>
      </c>
      <c r="C197" s="39" t="s">
        <v>788</v>
      </c>
      <c r="D197" s="3" t="s">
        <v>789</v>
      </c>
      <c r="E197" s="3" t="s">
        <v>789</v>
      </c>
      <c r="F197" s="38" t="s">
        <v>793</v>
      </c>
      <c r="G197" s="36" t="s">
        <v>794</v>
      </c>
      <c r="H197" s="38"/>
      <c r="I197" s="38" t="s">
        <v>136</v>
      </c>
      <c r="J197" s="39" t="str">
        <f t="shared" si="9"/>
        <v>Verify</v>
      </c>
      <c r="K197" s="39"/>
      <c r="L197" s="39"/>
      <c r="M197" s="3"/>
      <c r="O197" s="41" t="s">
        <v>92</v>
      </c>
      <c r="P197" s="38"/>
      <c r="Q197" s="38"/>
      <c r="R197" s="38"/>
      <c r="S197" s="38" t="s">
        <v>581</v>
      </c>
      <c r="T197" s="38"/>
      <c r="U197" s="38"/>
      <c r="V197" s="38"/>
      <c r="W197" s="38"/>
      <c r="X197" s="38" t="s">
        <v>37</v>
      </c>
      <c r="Y197" s="43">
        <f t="shared" si="10"/>
        <v>0</v>
      </c>
    </row>
    <row r="198" spans="1:25" ht="80" hidden="1">
      <c r="A198" s="38">
        <v>197</v>
      </c>
      <c r="B198" s="62" t="s">
        <v>795</v>
      </c>
      <c r="C198" s="39" t="s">
        <v>796</v>
      </c>
      <c r="D198" s="3" t="s">
        <v>797</v>
      </c>
      <c r="E198" s="3" t="s">
        <v>797</v>
      </c>
      <c r="F198" s="38" t="s">
        <v>798</v>
      </c>
      <c r="G198" s="38" t="s">
        <v>799</v>
      </c>
      <c r="H198" s="38"/>
      <c r="I198" s="38" t="s">
        <v>136</v>
      </c>
      <c r="J198" s="39" t="str">
        <f t="shared" si="9"/>
        <v>Verify</v>
      </c>
      <c r="K198" s="39"/>
      <c r="L198" s="39"/>
      <c r="M198" s="3"/>
      <c r="O198" s="41" t="s">
        <v>800</v>
      </c>
      <c r="P198" s="38"/>
      <c r="Q198" s="38"/>
      <c r="R198" s="38" t="s">
        <v>82</v>
      </c>
      <c r="S198" s="38"/>
      <c r="T198" s="38"/>
      <c r="U198" s="38"/>
      <c r="V198" s="38"/>
      <c r="W198" s="38"/>
      <c r="X198" s="38" t="s">
        <v>801</v>
      </c>
      <c r="Y198" s="43">
        <f t="shared" si="10"/>
        <v>1</v>
      </c>
    </row>
    <row r="199" spans="1:25" ht="80" hidden="1">
      <c r="A199" s="38">
        <v>198</v>
      </c>
      <c r="B199" s="62" t="s">
        <v>802</v>
      </c>
      <c r="C199" s="39" t="s">
        <v>796</v>
      </c>
      <c r="D199" s="3" t="s">
        <v>803</v>
      </c>
      <c r="E199" s="3" t="s">
        <v>803</v>
      </c>
      <c r="F199" s="38" t="s">
        <v>804</v>
      </c>
      <c r="G199" s="38" t="s">
        <v>805</v>
      </c>
      <c r="H199" s="38"/>
      <c r="I199" s="38" t="s">
        <v>136</v>
      </c>
      <c r="J199" s="39" t="str">
        <f t="shared" si="9"/>
        <v>Verify</v>
      </c>
      <c r="K199" s="39"/>
      <c r="L199" s="39"/>
      <c r="M199" s="3"/>
      <c r="O199" s="41" t="s">
        <v>424</v>
      </c>
      <c r="P199" s="38"/>
      <c r="Q199" s="38"/>
      <c r="R199" s="38"/>
      <c r="S199" s="38"/>
      <c r="T199" s="38"/>
      <c r="U199" s="38"/>
      <c r="V199" s="38"/>
      <c r="W199" s="38"/>
      <c r="X199" s="38" t="s">
        <v>37</v>
      </c>
      <c r="Y199" s="43">
        <f t="shared" si="10"/>
        <v>0</v>
      </c>
    </row>
    <row r="200" spans="1:25" ht="80" hidden="1">
      <c r="A200" s="38">
        <v>199</v>
      </c>
      <c r="B200" s="62" t="s">
        <v>806</v>
      </c>
      <c r="C200" s="39" t="s">
        <v>796</v>
      </c>
      <c r="D200" s="3" t="s">
        <v>803</v>
      </c>
      <c r="E200" s="3" t="s">
        <v>803</v>
      </c>
      <c r="F200" s="38" t="s">
        <v>807</v>
      </c>
      <c r="G200" s="38" t="s">
        <v>808</v>
      </c>
      <c r="H200" s="38"/>
      <c r="I200" s="38" t="s">
        <v>136</v>
      </c>
      <c r="J200" s="39" t="str">
        <f t="shared" si="9"/>
        <v>Verify</v>
      </c>
      <c r="K200" s="39"/>
      <c r="L200" s="39"/>
      <c r="M200" s="3"/>
      <c r="O200" s="41" t="s">
        <v>424</v>
      </c>
      <c r="P200" s="38"/>
      <c r="Q200" s="38"/>
      <c r="R200" s="38"/>
      <c r="S200" s="38"/>
      <c r="T200" s="38"/>
      <c r="U200" s="38"/>
      <c r="V200" s="38"/>
      <c r="W200" s="38"/>
      <c r="X200" s="38" t="s">
        <v>37</v>
      </c>
      <c r="Y200" s="43">
        <f t="shared" si="10"/>
        <v>0</v>
      </c>
    </row>
    <row r="201" spans="1:25" ht="80" hidden="1">
      <c r="A201" s="38">
        <v>200</v>
      </c>
      <c r="B201" s="62" t="s">
        <v>809</v>
      </c>
      <c r="C201" s="39" t="s">
        <v>796</v>
      </c>
      <c r="D201" s="3" t="s">
        <v>810</v>
      </c>
      <c r="E201" s="3" t="s">
        <v>810</v>
      </c>
      <c r="F201" s="38" t="s">
        <v>811</v>
      </c>
      <c r="G201" s="38" t="s">
        <v>812</v>
      </c>
      <c r="H201" s="38"/>
      <c r="I201" s="38" t="s">
        <v>136</v>
      </c>
      <c r="J201" s="39" t="str">
        <f t="shared" si="9"/>
        <v>Verify</v>
      </c>
      <c r="K201" s="39"/>
      <c r="L201" s="39"/>
      <c r="M201" s="3"/>
      <c r="O201" s="41" t="s">
        <v>800</v>
      </c>
      <c r="P201" s="38"/>
      <c r="Q201" s="38"/>
      <c r="R201" s="38" t="s">
        <v>82</v>
      </c>
      <c r="S201" s="38"/>
      <c r="T201" s="38"/>
      <c r="U201" s="38"/>
      <c r="V201" s="38"/>
      <c r="W201" s="38"/>
      <c r="X201" s="38" t="s">
        <v>801</v>
      </c>
      <c r="Y201" s="43">
        <f t="shared" si="10"/>
        <v>1</v>
      </c>
    </row>
    <row r="202" spans="1:25" ht="80" hidden="1">
      <c r="A202" s="38">
        <v>201</v>
      </c>
      <c r="B202" s="62" t="s">
        <v>813</v>
      </c>
      <c r="C202" s="39" t="s">
        <v>796</v>
      </c>
      <c r="D202" s="3" t="s">
        <v>810</v>
      </c>
      <c r="E202" s="3" t="s">
        <v>810</v>
      </c>
      <c r="F202" s="38" t="s">
        <v>814</v>
      </c>
      <c r="G202" s="38" t="s">
        <v>815</v>
      </c>
      <c r="H202" s="38"/>
      <c r="I202" s="38" t="s">
        <v>136</v>
      </c>
      <c r="J202" s="39" t="str">
        <f t="shared" si="9"/>
        <v>Verify</v>
      </c>
      <c r="K202" s="39"/>
      <c r="L202" s="39"/>
      <c r="M202" s="3"/>
      <c r="O202" s="41" t="s">
        <v>800</v>
      </c>
      <c r="P202" s="38"/>
      <c r="Q202" s="38"/>
      <c r="R202" s="38" t="s">
        <v>82</v>
      </c>
      <c r="S202" s="38"/>
      <c r="T202" s="38"/>
      <c r="U202" s="38"/>
      <c r="V202" s="38"/>
      <c r="W202" s="38"/>
      <c r="X202" s="38" t="s">
        <v>801</v>
      </c>
      <c r="Y202" s="43">
        <f t="shared" si="10"/>
        <v>1</v>
      </c>
    </row>
    <row r="203" spans="1:25" ht="256" hidden="1">
      <c r="A203" s="38">
        <v>202</v>
      </c>
      <c r="B203" s="62" t="s">
        <v>816</v>
      </c>
      <c r="C203" s="39" t="s">
        <v>796</v>
      </c>
      <c r="D203" s="3" t="s">
        <v>817</v>
      </c>
      <c r="E203" s="3" t="s">
        <v>817</v>
      </c>
      <c r="F203" s="38" t="s">
        <v>818</v>
      </c>
      <c r="G203" s="38" t="s">
        <v>819</v>
      </c>
      <c r="H203" s="38"/>
      <c r="I203" s="38" t="s">
        <v>136</v>
      </c>
      <c r="J203" s="39" t="str">
        <f t="shared" si="9"/>
        <v>Verify</v>
      </c>
      <c r="K203" s="39"/>
      <c r="L203" s="39"/>
      <c r="M203" s="3"/>
      <c r="O203" s="41" t="s">
        <v>800</v>
      </c>
      <c r="P203" s="38"/>
      <c r="Q203" s="38"/>
      <c r="R203" s="38" t="s">
        <v>321</v>
      </c>
      <c r="S203" s="91" t="s">
        <v>820</v>
      </c>
      <c r="T203" s="38"/>
      <c r="U203" s="38"/>
      <c r="V203" s="38"/>
      <c r="W203" s="38"/>
      <c r="X203" s="38" t="s">
        <v>801</v>
      </c>
      <c r="Y203" s="43">
        <f t="shared" si="10"/>
        <v>1</v>
      </c>
    </row>
    <row r="204" spans="1:25" ht="80" hidden="1">
      <c r="A204" s="38">
        <v>203</v>
      </c>
      <c r="B204" s="62" t="s">
        <v>821</v>
      </c>
      <c r="C204" s="39" t="s">
        <v>796</v>
      </c>
      <c r="D204" s="3" t="s">
        <v>822</v>
      </c>
      <c r="E204" s="3" t="s">
        <v>822</v>
      </c>
      <c r="F204" s="38" t="s">
        <v>823</v>
      </c>
      <c r="G204" s="38" t="s">
        <v>824</v>
      </c>
      <c r="H204" s="38"/>
      <c r="I204" s="38" t="s">
        <v>136</v>
      </c>
      <c r="J204" s="39" t="str">
        <f t="shared" si="9"/>
        <v>Verify</v>
      </c>
      <c r="K204" s="39"/>
      <c r="L204" s="39"/>
      <c r="M204" s="3"/>
      <c r="O204" s="41" t="s">
        <v>800</v>
      </c>
      <c r="P204" s="38"/>
      <c r="Q204" s="38"/>
      <c r="R204" s="38"/>
      <c r="S204" s="38" t="s">
        <v>825</v>
      </c>
      <c r="T204" s="38"/>
      <c r="U204" s="38"/>
      <c r="V204" s="38"/>
      <c r="W204" s="38"/>
      <c r="X204" s="38" t="s">
        <v>57</v>
      </c>
      <c r="Y204" s="43">
        <f t="shared" si="10"/>
        <v>0.5</v>
      </c>
    </row>
    <row r="205" spans="1:25" ht="80" hidden="1">
      <c r="A205" s="38">
        <v>204</v>
      </c>
      <c r="B205" s="62" t="s">
        <v>826</v>
      </c>
      <c r="C205" s="39" t="s">
        <v>796</v>
      </c>
      <c r="D205" s="3" t="s">
        <v>827</v>
      </c>
      <c r="E205" s="3" t="s">
        <v>827</v>
      </c>
      <c r="F205" s="38" t="s">
        <v>828</v>
      </c>
      <c r="G205" s="38" t="s">
        <v>829</v>
      </c>
      <c r="H205" s="38"/>
      <c r="I205" s="38" t="s">
        <v>136</v>
      </c>
      <c r="J205" s="39" t="str">
        <f t="shared" ref="J205:J213" si="11">IF(I205="IK - Informationskrav","Answer",(IF(I205="K - Konkurrencekrav","Check",(IF(I205="MK - Minimumskrav","Verify","")))))</f>
        <v>Verify</v>
      </c>
      <c r="K205" s="39"/>
      <c r="L205" s="39"/>
      <c r="M205" s="3"/>
      <c r="O205" s="41" t="s">
        <v>800</v>
      </c>
      <c r="P205" s="38"/>
      <c r="Q205" s="38"/>
      <c r="R205" s="38" t="s">
        <v>82</v>
      </c>
      <c r="S205" s="38"/>
      <c r="T205" s="38"/>
      <c r="U205" s="38"/>
      <c r="V205" s="38"/>
      <c r="W205" s="38"/>
      <c r="X205" s="38" t="s">
        <v>801</v>
      </c>
      <c r="Y205" s="43">
        <f t="shared" si="10"/>
        <v>1</v>
      </c>
    </row>
    <row r="206" spans="1:25" ht="64" hidden="1">
      <c r="A206" s="38">
        <v>205</v>
      </c>
      <c r="B206" s="62" t="s">
        <v>830</v>
      </c>
      <c r="C206" s="39" t="s">
        <v>831</v>
      </c>
      <c r="D206" s="3" t="s">
        <v>832</v>
      </c>
      <c r="E206" s="3" t="s">
        <v>832</v>
      </c>
      <c r="F206" s="38" t="s">
        <v>833</v>
      </c>
      <c r="G206" s="36" t="s">
        <v>834</v>
      </c>
      <c r="H206" s="38"/>
      <c r="I206" s="38" t="s">
        <v>136</v>
      </c>
      <c r="J206" s="39" t="str">
        <f t="shared" si="11"/>
        <v>Verify</v>
      </c>
      <c r="K206" s="39"/>
      <c r="L206" s="39"/>
      <c r="M206" s="3"/>
      <c r="O206" s="41" t="s">
        <v>835</v>
      </c>
      <c r="P206" s="38"/>
      <c r="Q206" s="38"/>
      <c r="R206" s="38"/>
      <c r="S206" s="38" t="s">
        <v>836</v>
      </c>
      <c r="T206" s="38"/>
      <c r="U206" s="38"/>
      <c r="V206" s="38"/>
      <c r="W206" s="38"/>
      <c r="X206" s="38" t="s">
        <v>37</v>
      </c>
      <c r="Y206" s="43">
        <f t="shared" si="10"/>
        <v>0</v>
      </c>
    </row>
    <row r="207" spans="1:25" ht="64" hidden="1">
      <c r="A207" s="38">
        <v>206</v>
      </c>
      <c r="B207" s="62" t="s">
        <v>837</v>
      </c>
      <c r="C207" s="39" t="s">
        <v>831</v>
      </c>
      <c r="D207" s="3" t="s">
        <v>832</v>
      </c>
      <c r="E207" s="3" t="s">
        <v>832</v>
      </c>
      <c r="F207" s="38" t="s">
        <v>838</v>
      </c>
      <c r="G207" s="36" t="s">
        <v>839</v>
      </c>
      <c r="H207" s="38"/>
      <c r="I207" s="38" t="s">
        <v>136</v>
      </c>
      <c r="J207" s="39" t="str">
        <f t="shared" si="11"/>
        <v>Verify</v>
      </c>
      <c r="K207" s="39"/>
      <c r="L207" s="39"/>
      <c r="M207" s="3"/>
      <c r="O207" s="41" t="s">
        <v>835</v>
      </c>
      <c r="P207" s="38"/>
      <c r="Q207" s="38"/>
      <c r="R207" s="38"/>
      <c r="S207" s="38" t="s">
        <v>836</v>
      </c>
      <c r="T207" s="38"/>
      <c r="U207" s="38"/>
      <c r="V207" s="38"/>
      <c r="W207" s="38"/>
      <c r="X207" s="38" t="s">
        <v>37</v>
      </c>
      <c r="Y207" s="43">
        <f t="shared" si="10"/>
        <v>0</v>
      </c>
    </row>
    <row r="208" spans="1:25" ht="80" hidden="1">
      <c r="A208" s="38">
        <v>207</v>
      </c>
      <c r="B208" s="62" t="s">
        <v>840</v>
      </c>
      <c r="C208" s="39" t="s">
        <v>831</v>
      </c>
      <c r="D208" s="3" t="s">
        <v>832</v>
      </c>
      <c r="E208" s="3" t="s">
        <v>832</v>
      </c>
      <c r="F208" s="38" t="s">
        <v>841</v>
      </c>
      <c r="G208" s="36" t="s">
        <v>842</v>
      </c>
      <c r="H208" s="38"/>
      <c r="I208" s="38" t="s">
        <v>136</v>
      </c>
      <c r="J208" s="39" t="str">
        <f t="shared" si="11"/>
        <v>Verify</v>
      </c>
      <c r="K208" s="39"/>
      <c r="L208" s="39"/>
      <c r="M208" s="3"/>
      <c r="O208" s="41" t="s">
        <v>835</v>
      </c>
      <c r="P208" s="38"/>
      <c r="Q208" s="38"/>
      <c r="R208" s="38"/>
      <c r="S208" s="38" t="s">
        <v>836</v>
      </c>
      <c r="T208" s="38"/>
      <c r="U208" s="38"/>
      <c r="V208" s="38"/>
      <c r="W208" s="38"/>
      <c r="X208" s="38" t="s">
        <v>37</v>
      </c>
      <c r="Y208" s="43">
        <f t="shared" si="10"/>
        <v>0</v>
      </c>
    </row>
    <row r="209" spans="1:25" ht="64" hidden="1">
      <c r="A209" s="38">
        <v>208</v>
      </c>
      <c r="B209" s="62" t="s">
        <v>843</v>
      </c>
      <c r="C209" s="39" t="s">
        <v>831</v>
      </c>
      <c r="D209" s="3" t="s">
        <v>832</v>
      </c>
      <c r="E209" s="3" t="s">
        <v>832</v>
      </c>
      <c r="F209" s="38" t="s">
        <v>844</v>
      </c>
      <c r="G209" s="36" t="s">
        <v>845</v>
      </c>
      <c r="H209" s="38"/>
      <c r="I209" s="38" t="s">
        <v>136</v>
      </c>
      <c r="J209" s="39" t="str">
        <f t="shared" si="11"/>
        <v>Verify</v>
      </c>
      <c r="K209" s="39"/>
      <c r="L209" s="39"/>
      <c r="M209" s="3"/>
      <c r="O209" s="41" t="s">
        <v>835</v>
      </c>
      <c r="P209" s="38"/>
      <c r="Q209" s="38"/>
      <c r="R209" s="38"/>
      <c r="S209" s="38" t="s">
        <v>836</v>
      </c>
      <c r="T209" s="38"/>
      <c r="U209" s="38"/>
      <c r="V209" s="38"/>
      <c r="W209" s="38"/>
      <c r="X209" s="38" t="s">
        <v>37</v>
      </c>
      <c r="Y209" s="43">
        <f t="shared" si="10"/>
        <v>0</v>
      </c>
    </row>
    <row r="210" spans="1:25" ht="80" hidden="1">
      <c r="A210" s="38">
        <v>209</v>
      </c>
      <c r="B210" s="62" t="s">
        <v>846</v>
      </c>
      <c r="C210" s="39" t="s">
        <v>831</v>
      </c>
      <c r="D210" s="3" t="s">
        <v>832</v>
      </c>
      <c r="E210" s="3" t="s">
        <v>832</v>
      </c>
      <c r="F210" s="38" t="s">
        <v>847</v>
      </c>
      <c r="G210" s="36" t="s">
        <v>848</v>
      </c>
      <c r="H210" s="38"/>
      <c r="I210" s="38" t="s">
        <v>136</v>
      </c>
      <c r="J210" s="39" t="str">
        <f t="shared" si="11"/>
        <v>Verify</v>
      </c>
      <c r="K210" s="39"/>
      <c r="L210" s="39"/>
      <c r="M210" s="3"/>
      <c r="O210" s="41" t="s">
        <v>835</v>
      </c>
      <c r="P210" s="38"/>
      <c r="Q210" s="38"/>
      <c r="R210" s="38"/>
      <c r="S210" s="38" t="s">
        <v>836</v>
      </c>
      <c r="T210" s="38"/>
      <c r="U210" s="38"/>
      <c r="V210" s="38"/>
      <c r="W210" s="38"/>
      <c r="X210" s="38" t="s">
        <v>37</v>
      </c>
      <c r="Y210" s="43">
        <f t="shared" si="10"/>
        <v>0</v>
      </c>
    </row>
    <row r="211" spans="1:25" ht="80" hidden="1">
      <c r="A211" s="38">
        <v>210</v>
      </c>
      <c r="B211" s="62" t="s">
        <v>849</v>
      </c>
      <c r="C211" s="39" t="s">
        <v>831</v>
      </c>
      <c r="D211" s="3" t="s">
        <v>832</v>
      </c>
      <c r="E211" s="3" t="s">
        <v>832</v>
      </c>
      <c r="F211" s="38" t="s">
        <v>850</v>
      </c>
      <c r="G211" s="36" t="s">
        <v>851</v>
      </c>
      <c r="H211" s="38"/>
      <c r="I211" s="38" t="s">
        <v>136</v>
      </c>
      <c r="J211" s="39" t="str">
        <f t="shared" si="11"/>
        <v>Verify</v>
      </c>
      <c r="K211" s="39"/>
      <c r="L211" s="39"/>
      <c r="M211" s="3"/>
      <c r="O211" s="41" t="s">
        <v>835</v>
      </c>
      <c r="P211" s="38"/>
      <c r="Q211" s="38"/>
      <c r="R211" s="38"/>
      <c r="S211" s="38" t="s">
        <v>836</v>
      </c>
      <c r="T211" s="38"/>
      <c r="U211" s="38"/>
      <c r="V211" s="38"/>
      <c r="W211" s="38"/>
      <c r="X211" s="38" t="s">
        <v>37</v>
      </c>
      <c r="Y211" s="43">
        <f t="shared" si="10"/>
        <v>0</v>
      </c>
    </row>
    <row r="212" spans="1:25" ht="80" hidden="1">
      <c r="A212" s="38">
        <v>211</v>
      </c>
      <c r="B212" s="62" t="s">
        <v>852</v>
      </c>
      <c r="C212" s="39" t="s">
        <v>831</v>
      </c>
      <c r="D212" s="3" t="s">
        <v>832</v>
      </c>
      <c r="E212" s="3" t="s">
        <v>832</v>
      </c>
      <c r="F212" s="38" t="s">
        <v>853</v>
      </c>
      <c r="G212" s="36" t="s">
        <v>854</v>
      </c>
      <c r="H212" s="38"/>
      <c r="I212" s="38" t="s">
        <v>136</v>
      </c>
      <c r="J212" s="39" t="str">
        <f t="shared" si="11"/>
        <v>Verify</v>
      </c>
      <c r="K212" s="39"/>
      <c r="L212" s="39"/>
      <c r="M212" s="3"/>
      <c r="O212" s="41" t="s">
        <v>835</v>
      </c>
      <c r="P212" s="38"/>
      <c r="Q212" s="38"/>
      <c r="R212" s="38"/>
      <c r="S212" s="38" t="s">
        <v>836</v>
      </c>
      <c r="T212" s="38"/>
      <c r="U212" s="38"/>
      <c r="V212" s="38"/>
      <c r="W212" s="38"/>
      <c r="X212" s="38" t="s">
        <v>37</v>
      </c>
      <c r="Y212" s="43">
        <f t="shared" si="10"/>
        <v>0</v>
      </c>
    </row>
    <row r="213" spans="1:25" ht="80" hidden="1">
      <c r="A213" s="38">
        <v>212</v>
      </c>
      <c r="B213" s="62" t="s">
        <v>855</v>
      </c>
      <c r="C213" s="39" t="s">
        <v>831</v>
      </c>
      <c r="D213" s="3" t="s">
        <v>832</v>
      </c>
      <c r="E213" s="3" t="s">
        <v>832</v>
      </c>
      <c r="F213" s="38" t="s">
        <v>856</v>
      </c>
      <c r="G213" s="36" t="s">
        <v>857</v>
      </c>
      <c r="H213" s="38"/>
      <c r="I213" s="38" t="s">
        <v>136</v>
      </c>
      <c r="J213" s="39" t="str">
        <f t="shared" si="11"/>
        <v>Verify</v>
      </c>
      <c r="K213" s="39"/>
      <c r="L213" s="39"/>
      <c r="M213" s="3"/>
      <c r="O213" s="41" t="s">
        <v>835</v>
      </c>
      <c r="P213" s="38"/>
      <c r="Q213" s="38"/>
      <c r="R213" s="38"/>
      <c r="S213" s="38" t="s">
        <v>836</v>
      </c>
      <c r="T213" s="38"/>
      <c r="U213" s="38"/>
      <c r="V213" s="38"/>
      <c r="W213" s="38"/>
      <c r="X213" s="38" t="s">
        <v>37</v>
      </c>
      <c r="Y213" s="43">
        <f t="shared" si="10"/>
        <v>0</v>
      </c>
    </row>
    <row r="214" spans="1:25" ht="32" hidden="1">
      <c r="A214" s="38">
        <v>213</v>
      </c>
      <c r="B214" s="38" t="s">
        <v>858</v>
      </c>
      <c r="C214" s="38" t="s">
        <v>858</v>
      </c>
      <c r="D214" s="38" t="s">
        <v>858</v>
      </c>
      <c r="E214" s="38" t="s">
        <v>858</v>
      </c>
      <c r="F214" s="38" t="s">
        <v>858</v>
      </c>
      <c r="G214" s="38" t="s">
        <v>859</v>
      </c>
      <c r="H214" s="38"/>
      <c r="I214" s="38" t="s">
        <v>136</v>
      </c>
      <c r="J214" s="39" t="s">
        <v>860</v>
      </c>
      <c r="K214" s="39"/>
      <c r="L214" s="39"/>
      <c r="M214" s="3"/>
      <c r="O214" s="41" t="s">
        <v>92</v>
      </c>
      <c r="P214" s="38"/>
      <c r="Q214" s="38"/>
      <c r="R214" s="38"/>
      <c r="S214" s="38"/>
      <c r="T214" s="38"/>
      <c r="U214" s="38"/>
      <c r="V214" s="38"/>
      <c r="W214" s="38"/>
      <c r="X214" s="38" t="s">
        <v>37</v>
      </c>
      <c r="Y214" s="43">
        <f t="shared" si="10"/>
        <v>0</v>
      </c>
    </row>
    <row r="215" spans="1:25" ht="32" hidden="1">
      <c r="A215" s="38">
        <v>214</v>
      </c>
      <c r="B215" s="38" t="s">
        <v>861</v>
      </c>
      <c r="C215" s="38" t="s">
        <v>861</v>
      </c>
      <c r="D215" s="38" t="s">
        <v>861</v>
      </c>
      <c r="E215" s="38" t="s">
        <v>861</v>
      </c>
      <c r="F215" s="38" t="s">
        <v>861</v>
      </c>
      <c r="G215" s="38" t="s">
        <v>862</v>
      </c>
      <c r="H215" s="38"/>
      <c r="I215" s="38" t="s">
        <v>136</v>
      </c>
      <c r="J215" s="39" t="s">
        <v>860</v>
      </c>
      <c r="K215" s="39"/>
      <c r="L215" s="39"/>
      <c r="M215" s="3"/>
      <c r="O215" s="41" t="s">
        <v>54</v>
      </c>
      <c r="P215" s="38"/>
      <c r="Q215" s="38"/>
      <c r="R215" s="38"/>
      <c r="S215" s="38" t="s">
        <v>863</v>
      </c>
      <c r="T215" s="38"/>
      <c r="U215" s="38"/>
      <c r="V215" s="38"/>
      <c r="W215" s="38"/>
      <c r="X215" s="38" t="s">
        <v>37</v>
      </c>
      <c r="Y215" s="43">
        <f t="shared" si="10"/>
        <v>0</v>
      </c>
    </row>
    <row r="216" spans="1:25" ht="48" hidden="1">
      <c r="A216" s="38">
        <v>215</v>
      </c>
      <c r="B216" s="38" t="s">
        <v>864</v>
      </c>
      <c r="C216" s="38" t="s">
        <v>865</v>
      </c>
      <c r="D216" s="38" t="s">
        <v>864</v>
      </c>
      <c r="E216" s="38" t="s">
        <v>864</v>
      </c>
      <c r="F216" s="38" t="s">
        <v>864</v>
      </c>
      <c r="G216" s="38" t="s">
        <v>866</v>
      </c>
      <c r="H216" s="38"/>
      <c r="I216" s="38" t="s">
        <v>136</v>
      </c>
      <c r="J216" s="39" t="s">
        <v>860</v>
      </c>
      <c r="K216" s="39"/>
      <c r="L216" s="39"/>
      <c r="M216" s="3"/>
      <c r="O216" s="41" t="s">
        <v>92</v>
      </c>
      <c r="P216" s="38"/>
      <c r="Q216" s="38"/>
      <c r="R216" s="38"/>
      <c r="S216" s="38"/>
      <c r="T216" s="38"/>
      <c r="U216" s="38"/>
      <c r="V216" s="38"/>
      <c r="W216" s="38"/>
      <c r="X216" s="38" t="s">
        <v>37</v>
      </c>
      <c r="Y216" s="43">
        <f t="shared" si="10"/>
        <v>0</v>
      </c>
    </row>
    <row r="217" spans="1:25" ht="80" hidden="1">
      <c r="A217" s="38">
        <v>216</v>
      </c>
      <c r="B217" s="38" t="s">
        <v>867</v>
      </c>
      <c r="C217" s="38" t="s">
        <v>868</v>
      </c>
      <c r="D217" s="38" t="s">
        <v>867</v>
      </c>
      <c r="E217" s="38" t="s">
        <v>867</v>
      </c>
      <c r="F217" s="38" t="s">
        <v>867</v>
      </c>
      <c r="G217" s="38" t="s">
        <v>869</v>
      </c>
      <c r="H217" s="38"/>
      <c r="I217" s="38" t="s">
        <v>136</v>
      </c>
      <c r="J217" s="39" t="s">
        <v>860</v>
      </c>
      <c r="K217" s="39"/>
      <c r="L217" s="39"/>
      <c r="M217" s="3"/>
      <c r="O217" s="41" t="s">
        <v>92</v>
      </c>
      <c r="P217" s="38"/>
      <c r="Q217" s="38"/>
      <c r="R217" s="38"/>
      <c r="S217" s="38"/>
      <c r="T217" s="38"/>
      <c r="U217" s="38"/>
      <c r="V217" s="38"/>
      <c r="W217" s="38"/>
      <c r="X217" s="38" t="s">
        <v>37</v>
      </c>
      <c r="Y217" s="43">
        <f t="shared" si="10"/>
        <v>0</v>
      </c>
    </row>
    <row r="218" spans="1:25" ht="112" hidden="1">
      <c r="A218" s="38">
        <v>217</v>
      </c>
      <c r="B218" s="59" t="s">
        <v>870</v>
      </c>
      <c r="C218" s="59" t="s">
        <v>871</v>
      </c>
      <c r="D218" s="59" t="s">
        <v>870</v>
      </c>
      <c r="E218" s="59" t="s">
        <v>870</v>
      </c>
      <c r="F218" s="59" t="s">
        <v>870</v>
      </c>
      <c r="G218" s="59" t="s">
        <v>872</v>
      </c>
      <c r="H218" s="59"/>
      <c r="I218" s="59" t="s">
        <v>136</v>
      </c>
      <c r="J218" s="60" t="s">
        <v>860</v>
      </c>
      <c r="K218" s="60"/>
      <c r="L218" s="60"/>
      <c r="M218" s="61"/>
      <c r="O218" s="72" t="s">
        <v>92</v>
      </c>
      <c r="P218" s="59"/>
      <c r="Q218" s="59"/>
      <c r="R218" s="59"/>
      <c r="S218" s="59" t="s">
        <v>873</v>
      </c>
      <c r="T218" s="59"/>
      <c r="U218" s="59"/>
      <c r="V218" s="59"/>
      <c r="W218" s="59"/>
      <c r="X218" s="59" t="s">
        <v>37</v>
      </c>
      <c r="Y218" s="43">
        <f t="shared" si="10"/>
        <v>0</v>
      </c>
    </row>
    <row r="219" spans="1:25" ht="32" hidden="1">
      <c r="A219" s="36">
        <v>218</v>
      </c>
      <c r="B219" s="62" t="s">
        <v>874</v>
      </c>
      <c r="C219" s="62" t="s">
        <v>874</v>
      </c>
      <c r="D219" s="62" t="s">
        <v>874</v>
      </c>
      <c r="E219" s="62" t="s">
        <v>874</v>
      </c>
      <c r="F219" s="62" t="s">
        <v>874</v>
      </c>
      <c r="G219" s="62" t="s">
        <v>874</v>
      </c>
      <c r="H219" s="62"/>
      <c r="I219" s="38" t="s">
        <v>136</v>
      </c>
      <c r="J219" s="38" t="str">
        <f>IF(I219="IK - Informationskrav","Answer",(IF(I219="K - Konkurrencekrav","Check",(IF(I219="MK - Minimumskrav","Verify","")))))</f>
        <v>Verify</v>
      </c>
      <c r="K219" s="38"/>
      <c r="L219" s="38"/>
      <c r="M219" s="3"/>
      <c r="N219" s="73"/>
      <c r="O219" s="38" t="s">
        <v>835</v>
      </c>
      <c r="P219" s="38"/>
      <c r="Q219" s="38"/>
      <c r="R219" s="38"/>
      <c r="S219" s="38"/>
      <c r="T219" s="38"/>
      <c r="U219" s="38"/>
      <c r="V219" s="38"/>
      <c r="W219" s="38"/>
      <c r="X219" s="38" t="s">
        <v>37</v>
      </c>
      <c r="Y219" s="43">
        <f t="shared" si="10"/>
        <v>0</v>
      </c>
    </row>
    <row r="220" spans="1:25">
      <c r="B220" s="63"/>
      <c r="D220" s="36"/>
    </row>
    <row r="221" spans="1:25">
      <c r="D221" s="36"/>
    </row>
    <row r="222" spans="1:25">
      <c r="D222" s="36"/>
    </row>
    <row r="223" spans="1:25">
      <c r="D223" s="36"/>
    </row>
    <row r="224" spans="1:25">
      <c r="D224" s="36"/>
    </row>
    <row r="225" spans="4:4">
      <c r="D225" s="36"/>
    </row>
    <row r="226" spans="4:4">
      <c r="D226" s="36"/>
    </row>
    <row r="227" spans="4:4">
      <c r="D227" s="36"/>
    </row>
    <row r="228" spans="4:4">
      <c r="D228" s="36"/>
    </row>
    <row r="229" spans="4:4">
      <c r="D229" s="36"/>
    </row>
    <row r="230" spans="4:4">
      <c r="D230" s="36"/>
    </row>
    <row r="231" spans="4:4">
      <c r="D231" s="36"/>
    </row>
    <row r="232" spans="4:4">
      <c r="D232" s="36"/>
    </row>
    <row r="233" spans="4:4">
      <c r="D233" s="36"/>
    </row>
    <row r="234" spans="4:4">
      <c r="D234" s="36"/>
    </row>
    <row r="235" spans="4:4">
      <c r="D235" s="36"/>
    </row>
    <row r="236" spans="4:4">
      <c r="D236" s="36"/>
    </row>
    <row r="237" spans="4:4">
      <c r="D237" s="36"/>
    </row>
    <row r="238" spans="4:4">
      <c r="D238" s="36"/>
    </row>
    <row r="239" spans="4:4">
      <c r="D239" s="36"/>
    </row>
    <row r="240" spans="4:4">
      <c r="D240" s="36"/>
    </row>
    <row r="241" spans="4:4">
      <c r="D241" s="36"/>
    </row>
    <row r="242" spans="4:4">
      <c r="D242" s="36"/>
    </row>
    <row r="243" spans="4:4">
      <c r="D243" s="36"/>
    </row>
    <row r="244" spans="4:4">
      <c r="D244" s="36"/>
    </row>
    <row r="245" spans="4:4">
      <c r="D245" s="36"/>
    </row>
    <row r="246" spans="4:4">
      <c r="D246" s="36"/>
    </row>
    <row r="247" spans="4:4">
      <c r="D247" s="36"/>
    </row>
    <row r="248" spans="4:4">
      <c r="D248" s="36"/>
    </row>
    <row r="249" spans="4:4">
      <c r="D249" s="36"/>
    </row>
    <row r="250" spans="4:4">
      <c r="D250" s="36"/>
    </row>
    <row r="251" spans="4:4">
      <c r="D251" s="36"/>
    </row>
    <row r="252" spans="4:4">
      <c r="D252" s="36"/>
    </row>
    <row r="253" spans="4:4">
      <c r="D253" s="36"/>
    </row>
    <row r="254" spans="4:4">
      <c r="D254" s="36"/>
    </row>
    <row r="255" spans="4:4">
      <c r="D255" s="36"/>
    </row>
    <row r="256" spans="4:4">
      <c r="D256" s="36"/>
    </row>
    <row r="257" spans="4:4">
      <c r="D257" s="36"/>
    </row>
    <row r="258" spans="4:4">
      <c r="D258" s="36"/>
    </row>
    <row r="259" spans="4:4">
      <c r="D259" s="36"/>
    </row>
    <row r="260" spans="4:4">
      <c r="D260" s="36"/>
    </row>
    <row r="261" spans="4:4">
      <c r="D261" s="36"/>
    </row>
    <row r="262" spans="4:4">
      <c r="D262" s="36"/>
    </row>
    <row r="263" spans="4:4">
      <c r="D263" s="36"/>
    </row>
    <row r="264" spans="4:4">
      <c r="D264" s="36"/>
    </row>
    <row r="265" spans="4:4">
      <c r="D265" s="36"/>
    </row>
    <row r="266" spans="4:4">
      <c r="D266" s="36"/>
    </row>
    <row r="267" spans="4:4">
      <c r="D267" s="36"/>
    </row>
    <row r="268" spans="4:4">
      <c r="D268" s="36"/>
    </row>
    <row r="269" spans="4:4">
      <c r="D269" s="36"/>
    </row>
    <row r="270" spans="4:4">
      <c r="D270" s="36"/>
    </row>
    <row r="271" spans="4:4">
      <c r="D271" s="36"/>
    </row>
    <row r="272" spans="4:4">
      <c r="D272" s="36"/>
    </row>
    <row r="273" spans="4:4">
      <c r="D273" s="36"/>
    </row>
    <row r="274" spans="4:4">
      <c r="D274" s="36"/>
    </row>
    <row r="275" spans="4:4">
      <c r="D275" s="36"/>
    </row>
    <row r="276" spans="4:4">
      <c r="D276" s="36"/>
    </row>
    <row r="277" spans="4:4">
      <c r="D277" s="36"/>
    </row>
    <row r="278" spans="4:4">
      <c r="D278" s="36"/>
    </row>
    <row r="279" spans="4:4">
      <c r="D279" s="36"/>
    </row>
    <row r="280" spans="4:4">
      <c r="D280" s="36"/>
    </row>
    <row r="281" spans="4:4">
      <c r="D281" s="36"/>
    </row>
    <row r="282" spans="4:4">
      <c r="D282" s="36"/>
    </row>
    <row r="283" spans="4:4">
      <c r="D283" s="36"/>
    </row>
    <row r="284" spans="4:4">
      <c r="D284" s="36"/>
    </row>
    <row r="285" spans="4:4">
      <c r="D285" s="36"/>
    </row>
    <row r="286" spans="4:4">
      <c r="D286" s="36"/>
    </row>
    <row r="287" spans="4:4">
      <c r="D287" s="36"/>
    </row>
    <row r="288" spans="4:4">
      <c r="D288" s="36"/>
    </row>
    <row r="289" spans="4:4">
      <c r="D289" s="36"/>
    </row>
    <row r="290" spans="4:4">
      <c r="D290" s="36"/>
    </row>
    <row r="291" spans="4:4">
      <c r="D291" s="36"/>
    </row>
    <row r="292" spans="4:4">
      <c r="D292" s="36"/>
    </row>
    <row r="293" spans="4:4">
      <c r="D293" s="36"/>
    </row>
    <row r="294" spans="4:4">
      <c r="D294" s="36"/>
    </row>
    <row r="295" spans="4:4">
      <c r="D295" s="36"/>
    </row>
    <row r="296" spans="4:4">
      <c r="D296" s="36"/>
    </row>
    <row r="297" spans="4:4">
      <c r="D297" s="36"/>
    </row>
    <row r="298" spans="4:4">
      <c r="D298" s="36"/>
    </row>
    <row r="299" spans="4:4">
      <c r="D299" s="36"/>
    </row>
    <row r="300" spans="4:4">
      <c r="D300" s="36"/>
    </row>
    <row r="301" spans="4:4">
      <c r="D301" s="36"/>
    </row>
    <row r="302" spans="4:4">
      <c r="D302" s="36"/>
    </row>
    <row r="303" spans="4:4">
      <c r="D303" s="36"/>
    </row>
    <row r="304" spans="4:4">
      <c r="D304" s="36"/>
    </row>
    <row r="305" spans="4:4">
      <c r="D305" s="36"/>
    </row>
    <row r="306" spans="4:4">
      <c r="D306" s="36"/>
    </row>
    <row r="307" spans="4:4">
      <c r="D307" s="36"/>
    </row>
    <row r="308" spans="4:4">
      <c r="D308" s="36"/>
    </row>
    <row r="309" spans="4:4">
      <c r="D309" s="36"/>
    </row>
    <row r="310" spans="4:4">
      <c r="D310" s="36"/>
    </row>
    <row r="311" spans="4:4">
      <c r="D311" s="36"/>
    </row>
    <row r="312" spans="4:4">
      <c r="D312" s="36"/>
    </row>
    <row r="313" spans="4:4">
      <c r="D313" s="36"/>
    </row>
    <row r="314" spans="4:4">
      <c r="D314" s="36"/>
    </row>
    <row r="315" spans="4:4">
      <c r="D315" s="36"/>
    </row>
    <row r="316" spans="4:4">
      <c r="D316" s="36"/>
    </row>
    <row r="317" spans="4:4">
      <c r="D317" s="36"/>
    </row>
    <row r="318" spans="4:4">
      <c r="D318" s="36"/>
    </row>
    <row r="319" spans="4:4">
      <c r="D319" s="36"/>
    </row>
    <row r="320" spans="4:4">
      <c r="D320" s="36"/>
    </row>
    <row r="321" spans="4:4">
      <c r="D321" s="36"/>
    </row>
    <row r="322" spans="4:4">
      <c r="D322" s="36"/>
    </row>
    <row r="323" spans="4:4">
      <c r="D323" s="36"/>
    </row>
    <row r="324" spans="4:4">
      <c r="D324" s="36"/>
    </row>
    <row r="325" spans="4:4">
      <c r="D325" s="36"/>
    </row>
    <row r="326" spans="4:4">
      <c r="D326" s="36"/>
    </row>
    <row r="327" spans="4:4">
      <c r="D327" s="36"/>
    </row>
    <row r="328" spans="4:4">
      <c r="D328" s="36"/>
    </row>
    <row r="329" spans="4:4">
      <c r="D329" s="36"/>
    </row>
    <row r="330" spans="4:4">
      <c r="D330" s="36"/>
    </row>
    <row r="331" spans="4:4">
      <c r="D331" s="36"/>
    </row>
    <row r="332" spans="4:4">
      <c r="D332" s="36"/>
    </row>
    <row r="333" spans="4:4">
      <c r="D333" s="36"/>
    </row>
    <row r="334" spans="4:4">
      <c r="D334" s="36"/>
    </row>
    <row r="335" spans="4:4">
      <c r="D335" s="36"/>
    </row>
    <row r="336" spans="4:4">
      <c r="D336" s="36"/>
    </row>
    <row r="337" spans="4:4">
      <c r="D337" s="36"/>
    </row>
    <row r="338" spans="4:4">
      <c r="D338" s="36"/>
    </row>
    <row r="339" spans="4:4">
      <c r="D339" s="36"/>
    </row>
    <row r="340" spans="4:4">
      <c r="D340" s="36"/>
    </row>
    <row r="341" spans="4:4">
      <c r="D341" s="36"/>
    </row>
    <row r="342" spans="4:4">
      <c r="D342" s="36"/>
    </row>
    <row r="343" spans="4:4">
      <c r="D343" s="36"/>
    </row>
    <row r="344" spans="4:4">
      <c r="D344" s="36"/>
    </row>
    <row r="345" spans="4:4">
      <c r="D345" s="36"/>
    </row>
    <row r="346" spans="4:4">
      <c r="D346" s="36"/>
    </row>
    <row r="347" spans="4:4">
      <c r="D347" s="36"/>
    </row>
    <row r="348" spans="4:4">
      <c r="D348" s="36"/>
    </row>
    <row r="349" spans="4:4">
      <c r="D349" s="36"/>
    </row>
    <row r="350" spans="4:4">
      <c r="D350" s="36"/>
    </row>
    <row r="351" spans="4:4">
      <c r="D351" s="36"/>
    </row>
    <row r="352" spans="4:4">
      <c r="D352" s="36"/>
    </row>
    <row r="353" spans="4:4">
      <c r="D353" s="36"/>
    </row>
    <row r="354" spans="4:4">
      <c r="D354" s="36"/>
    </row>
    <row r="355" spans="4:4">
      <c r="D355" s="36"/>
    </row>
    <row r="356" spans="4:4">
      <c r="D356" s="36"/>
    </row>
    <row r="357" spans="4:4">
      <c r="D357" s="36"/>
    </row>
    <row r="358" spans="4:4">
      <c r="D358" s="36"/>
    </row>
    <row r="359" spans="4:4">
      <c r="D359" s="36"/>
    </row>
    <row r="360" spans="4:4">
      <c r="D360" s="36"/>
    </row>
    <row r="361" spans="4:4">
      <c r="D361" s="36"/>
    </row>
    <row r="362" spans="4:4">
      <c r="D362" s="36"/>
    </row>
    <row r="363" spans="4:4">
      <c r="D363" s="36"/>
    </row>
    <row r="364" spans="4:4">
      <c r="D364" s="36"/>
    </row>
    <row r="365" spans="4:4">
      <c r="D365" s="36"/>
    </row>
    <row r="366" spans="4:4">
      <c r="D366" s="36"/>
    </row>
    <row r="367" spans="4:4">
      <c r="D367" s="36"/>
    </row>
    <row r="368" spans="4:4">
      <c r="D368" s="36"/>
    </row>
    <row r="369" spans="4:4">
      <c r="D369" s="36"/>
    </row>
    <row r="370" spans="4:4">
      <c r="D370" s="36"/>
    </row>
    <row r="371" spans="4:4">
      <c r="D371" s="36"/>
    </row>
    <row r="372" spans="4:4">
      <c r="D372" s="36"/>
    </row>
    <row r="373" spans="4:4">
      <c r="D373" s="36"/>
    </row>
    <row r="374" spans="4:4">
      <c r="D374" s="36"/>
    </row>
    <row r="375" spans="4:4">
      <c r="D375" s="36"/>
    </row>
    <row r="376" spans="4:4">
      <c r="D376" s="36"/>
    </row>
    <row r="377" spans="4:4">
      <c r="D377" s="36"/>
    </row>
    <row r="378" spans="4:4">
      <c r="D378" s="36"/>
    </row>
    <row r="379" spans="4:4">
      <c r="D379" s="36"/>
    </row>
    <row r="380" spans="4:4">
      <c r="D380" s="36"/>
    </row>
    <row r="381" spans="4:4">
      <c r="D381" s="36"/>
    </row>
    <row r="382" spans="4:4">
      <c r="D382" s="36"/>
    </row>
    <row r="383" spans="4:4">
      <c r="D383" s="36"/>
    </row>
    <row r="384" spans="4:4">
      <c r="D384" s="36"/>
    </row>
    <row r="385" spans="4:4">
      <c r="D385" s="36"/>
    </row>
    <row r="386" spans="4:4">
      <c r="D386" s="36"/>
    </row>
    <row r="387" spans="4:4">
      <c r="D387" s="36"/>
    </row>
    <row r="388" spans="4:4">
      <c r="D388" s="36"/>
    </row>
    <row r="389" spans="4:4">
      <c r="D389" s="36"/>
    </row>
    <row r="390" spans="4:4">
      <c r="D390" s="36"/>
    </row>
    <row r="391" spans="4:4">
      <c r="D391" s="36"/>
    </row>
    <row r="392" spans="4:4">
      <c r="D392" s="36"/>
    </row>
    <row r="393" spans="4:4">
      <c r="D393" s="36"/>
    </row>
    <row r="394" spans="4:4">
      <c r="D394" s="36"/>
    </row>
    <row r="395" spans="4:4">
      <c r="D395" s="36"/>
    </row>
    <row r="396" spans="4:4">
      <c r="D396" s="36"/>
    </row>
    <row r="397" spans="4:4">
      <c r="D397" s="36"/>
    </row>
    <row r="398" spans="4:4">
      <c r="D398" s="36"/>
    </row>
    <row r="399" spans="4:4">
      <c r="D399" s="36"/>
    </row>
    <row r="400" spans="4:4">
      <c r="D400" s="36"/>
    </row>
    <row r="401" spans="4:4">
      <c r="D401" s="36"/>
    </row>
    <row r="402" spans="4:4">
      <c r="D402" s="36"/>
    </row>
    <row r="403" spans="4:4">
      <c r="D403" s="36"/>
    </row>
    <row r="404" spans="4:4">
      <c r="D404" s="36"/>
    </row>
    <row r="405" spans="4:4">
      <c r="D405" s="36"/>
    </row>
    <row r="406" spans="4:4">
      <c r="D406" s="36"/>
    </row>
    <row r="407" spans="4:4">
      <c r="D407" s="36"/>
    </row>
    <row r="408" spans="4:4">
      <c r="D408" s="36"/>
    </row>
    <row r="409" spans="4:4">
      <c r="D409" s="36"/>
    </row>
    <row r="410" spans="4:4">
      <c r="D410" s="36"/>
    </row>
    <row r="411" spans="4:4">
      <c r="D411" s="36"/>
    </row>
    <row r="412" spans="4:4">
      <c r="D412" s="36"/>
    </row>
    <row r="413" spans="4:4">
      <c r="D413" s="36"/>
    </row>
    <row r="414" spans="4:4">
      <c r="D414" s="36"/>
    </row>
    <row r="415" spans="4:4">
      <c r="D415" s="36"/>
    </row>
    <row r="416" spans="4:4">
      <c r="D416" s="36"/>
    </row>
    <row r="417" spans="4:4">
      <c r="D417" s="36"/>
    </row>
    <row r="418" spans="4:4">
      <c r="D418" s="36"/>
    </row>
    <row r="419" spans="4:4">
      <c r="D419" s="36"/>
    </row>
    <row r="420" spans="4:4">
      <c r="D420" s="36"/>
    </row>
    <row r="421" spans="4:4">
      <c r="D421" s="36"/>
    </row>
    <row r="422" spans="4:4">
      <c r="D422" s="36"/>
    </row>
    <row r="423" spans="4:4">
      <c r="D423" s="36"/>
    </row>
    <row r="424" spans="4:4">
      <c r="D424" s="36"/>
    </row>
    <row r="425" spans="4:4">
      <c r="D425" s="36"/>
    </row>
    <row r="426" spans="4:4">
      <c r="D426" s="36"/>
    </row>
    <row r="427" spans="4:4">
      <c r="D427" s="36"/>
    </row>
    <row r="428" spans="4:4">
      <c r="D428" s="36"/>
    </row>
    <row r="429" spans="4:4">
      <c r="D429" s="36"/>
    </row>
    <row r="430" spans="4:4">
      <c r="D430" s="36"/>
    </row>
    <row r="431" spans="4:4">
      <c r="D431" s="36"/>
    </row>
    <row r="432" spans="4:4">
      <c r="D432" s="36"/>
    </row>
    <row r="433" spans="4:4">
      <c r="D433" s="36"/>
    </row>
    <row r="434" spans="4:4">
      <c r="D434" s="36"/>
    </row>
    <row r="435" spans="4:4">
      <c r="D435" s="36"/>
    </row>
    <row r="436" spans="4:4">
      <c r="D436" s="36"/>
    </row>
    <row r="437" spans="4:4">
      <c r="D437" s="36"/>
    </row>
    <row r="438" spans="4:4">
      <c r="D438" s="36"/>
    </row>
    <row r="439" spans="4:4">
      <c r="D439" s="36"/>
    </row>
    <row r="440" spans="4:4">
      <c r="D440" s="36"/>
    </row>
    <row r="441" spans="4:4">
      <c r="D441" s="36"/>
    </row>
    <row r="442" spans="4:4">
      <c r="D442" s="36"/>
    </row>
    <row r="443" spans="4:4">
      <c r="D443" s="36"/>
    </row>
    <row r="444" spans="4:4">
      <c r="D444" s="36"/>
    </row>
    <row r="445" spans="4:4">
      <c r="D445" s="36"/>
    </row>
    <row r="446" spans="4:4">
      <c r="D446" s="36"/>
    </row>
    <row r="447" spans="4:4">
      <c r="D447" s="36"/>
    </row>
    <row r="448" spans="4:4">
      <c r="D448" s="36"/>
    </row>
    <row r="449" spans="4:4">
      <c r="D449" s="36"/>
    </row>
    <row r="450" spans="4:4">
      <c r="D450" s="36"/>
    </row>
    <row r="451" spans="4:4">
      <c r="D451" s="36"/>
    </row>
    <row r="452" spans="4:4">
      <c r="D452" s="36"/>
    </row>
    <row r="453" spans="4:4">
      <c r="D453" s="36"/>
    </row>
    <row r="454" spans="4:4">
      <c r="D454" s="36"/>
    </row>
    <row r="455" spans="4:4">
      <c r="D455" s="36"/>
    </row>
    <row r="456" spans="4:4">
      <c r="D456" s="36"/>
    </row>
    <row r="457" spans="4:4">
      <c r="D457" s="36"/>
    </row>
    <row r="458" spans="4:4">
      <c r="D458" s="36"/>
    </row>
    <row r="459" spans="4:4">
      <c r="D459" s="36"/>
    </row>
    <row r="460" spans="4:4">
      <c r="D460" s="36"/>
    </row>
    <row r="461" spans="4:4">
      <c r="D461" s="36"/>
    </row>
    <row r="462" spans="4:4">
      <c r="D462" s="36"/>
    </row>
    <row r="463" spans="4:4">
      <c r="D463" s="36"/>
    </row>
    <row r="464" spans="4:4">
      <c r="D464" s="36"/>
    </row>
    <row r="465" spans="4:4">
      <c r="D465" s="36"/>
    </row>
    <row r="466" spans="4:4">
      <c r="D466" s="36"/>
    </row>
    <row r="467" spans="4:4">
      <c r="D467" s="36"/>
    </row>
    <row r="468" spans="4:4">
      <c r="D468" s="36"/>
    </row>
    <row r="469" spans="4:4">
      <c r="D469" s="36"/>
    </row>
    <row r="470" spans="4:4">
      <c r="D470" s="36"/>
    </row>
    <row r="471" spans="4:4">
      <c r="D471" s="36"/>
    </row>
    <row r="472" spans="4:4">
      <c r="D472" s="36"/>
    </row>
    <row r="473" spans="4:4">
      <c r="D473" s="36"/>
    </row>
    <row r="474" spans="4:4">
      <c r="D474" s="36"/>
    </row>
    <row r="475" spans="4:4">
      <c r="D475" s="36"/>
    </row>
    <row r="476" spans="4:4">
      <c r="D476" s="36"/>
    </row>
    <row r="477" spans="4:4">
      <c r="D477" s="36"/>
    </row>
    <row r="478" spans="4:4">
      <c r="D478" s="36"/>
    </row>
    <row r="479" spans="4:4">
      <c r="D479" s="36"/>
    </row>
    <row r="480" spans="4:4">
      <c r="D480" s="36"/>
    </row>
    <row r="481" spans="4:4">
      <c r="D481" s="36"/>
    </row>
    <row r="482" spans="4:4">
      <c r="D482" s="36"/>
    </row>
    <row r="483" spans="4:4">
      <c r="D483" s="36"/>
    </row>
    <row r="484" spans="4:4">
      <c r="D484" s="36"/>
    </row>
    <row r="485" spans="4:4">
      <c r="D485" s="36"/>
    </row>
    <row r="486" spans="4:4">
      <c r="D486" s="36"/>
    </row>
    <row r="487" spans="4:4">
      <c r="D487" s="36"/>
    </row>
    <row r="488" spans="4:4">
      <c r="D488" s="36"/>
    </row>
    <row r="489" spans="4:4">
      <c r="D489" s="36"/>
    </row>
    <row r="490" spans="4:4">
      <c r="D490" s="36"/>
    </row>
    <row r="491" spans="4:4">
      <c r="D491" s="36"/>
    </row>
    <row r="492" spans="4:4">
      <c r="D492" s="36"/>
    </row>
    <row r="493" spans="4:4">
      <c r="D493" s="36"/>
    </row>
    <row r="494" spans="4:4">
      <c r="D494" s="36"/>
    </row>
    <row r="495" spans="4:4">
      <c r="D495" s="36"/>
    </row>
    <row r="496" spans="4:4">
      <c r="D496" s="36"/>
    </row>
    <row r="497" spans="4:4">
      <c r="D497" s="36"/>
    </row>
    <row r="498" spans="4:4">
      <c r="D498" s="36"/>
    </row>
    <row r="499" spans="4:4">
      <c r="D499" s="36"/>
    </row>
    <row r="500" spans="4:4">
      <c r="D500" s="36"/>
    </row>
    <row r="501" spans="4:4">
      <c r="D501" s="36"/>
    </row>
    <row r="502" spans="4:4">
      <c r="D502" s="36"/>
    </row>
    <row r="503" spans="4:4">
      <c r="D503" s="36"/>
    </row>
    <row r="504" spans="4:4">
      <c r="D504" s="36"/>
    </row>
    <row r="505" spans="4:4">
      <c r="D505" s="36"/>
    </row>
    <row r="506" spans="4:4">
      <c r="D506" s="36"/>
    </row>
    <row r="507" spans="4:4">
      <c r="D507" s="36"/>
    </row>
    <row r="508" spans="4:4">
      <c r="D508" s="36"/>
    </row>
    <row r="509" spans="4:4">
      <c r="D509" s="36"/>
    </row>
    <row r="510" spans="4:4">
      <c r="D510" s="36"/>
    </row>
    <row r="511" spans="4:4">
      <c r="D511" s="36"/>
    </row>
    <row r="512" spans="4:4">
      <c r="D512" s="36"/>
    </row>
    <row r="513" spans="4:4">
      <c r="D513" s="36"/>
    </row>
    <row r="514" spans="4:4">
      <c r="D514" s="36"/>
    </row>
    <row r="515" spans="4:4">
      <c r="D515" s="36"/>
    </row>
    <row r="516" spans="4:4">
      <c r="D516" s="36"/>
    </row>
    <row r="517" spans="4:4">
      <c r="D517" s="36"/>
    </row>
    <row r="518" spans="4:4">
      <c r="D518" s="36"/>
    </row>
    <row r="519" spans="4:4">
      <c r="D519" s="36"/>
    </row>
    <row r="520" spans="4:4">
      <c r="D520" s="36"/>
    </row>
    <row r="521" spans="4:4">
      <c r="D521" s="36"/>
    </row>
    <row r="522" spans="4:4">
      <c r="D522" s="36"/>
    </row>
    <row r="523" spans="4:4">
      <c r="D523" s="36"/>
    </row>
    <row r="524" spans="4:4">
      <c r="D524" s="36"/>
    </row>
    <row r="525" spans="4:4">
      <c r="D525" s="36"/>
    </row>
    <row r="526" spans="4:4">
      <c r="D526" s="36"/>
    </row>
    <row r="527" spans="4:4">
      <c r="D527" s="36"/>
    </row>
    <row r="528" spans="4:4">
      <c r="D528" s="36"/>
    </row>
    <row r="529" spans="4:4">
      <c r="D529" s="36"/>
    </row>
    <row r="530" spans="4:4">
      <c r="D530" s="36"/>
    </row>
    <row r="531" spans="4:4">
      <c r="D531" s="36"/>
    </row>
    <row r="532" spans="4:4">
      <c r="D532" s="36"/>
    </row>
    <row r="533" spans="4:4">
      <c r="D533" s="36"/>
    </row>
    <row r="534" spans="4:4">
      <c r="D534" s="36"/>
    </row>
    <row r="535" spans="4:4">
      <c r="D535" s="36"/>
    </row>
    <row r="536" spans="4:4">
      <c r="D536" s="36"/>
    </row>
    <row r="537" spans="4:4">
      <c r="D537" s="36"/>
    </row>
    <row r="538" spans="4:4">
      <c r="D538" s="36"/>
    </row>
    <row r="539" spans="4:4">
      <c r="D539" s="36"/>
    </row>
    <row r="540" spans="4:4">
      <c r="D540" s="36"/>
    </row>
    <row r="541" spans="4:4">
      <c r="D541" s="36"/>
    </row>
    <row r="542" spans="4:4">
      <c r="D542" s="36"/>
    </row>
    <row r="543" spans="4:4">
      <c r="D543" s="36"/>
    </row>
    <row r="544" spans="4:4">
      <c r="D544" s="36"/>
    </row>
    <row r="545" spans="4:4">
      <c r="D545" s="36"/>
    </row>
    <row r="546" spans="4:4">
      <c r="D546" s="36"/>
    </row>
    <row r="547" spans="4:4">
      <c r="D547" s="36"/>
    </row>
    <row r="548" spans="4:4">
      <c r="D548" s="36"/>
    </row>
    <row r="549" spans="4:4">
      <c r="D549" s="36"/>
    </row>
    <row r="550" spans="4:4">
      <c r="D550" s="36"/>
    </row>
    <row r="551" spans="4:4">
      <c r="D551" s="36"/>
    </row>
    <row r="552" spans="4:4">
      <c r="D552" s="36"/>
    </row>
    <row r="553" spans="4:4">
      <c r="D553" s="36"/>
    </row>
    <row r="554" spans="4:4">
      <c r="D554" s="36"/>
    </row>
    <row r="555" spans="4:4">
      <c r="D555" s="36"/>
    </row>
    <row r="556" spans="4:4">
      <c r="D556" s="36"/>
    </row>
    <row r="557" spans="4:4">
      <c r="D557" s="36"/>
    </row>
    <row r="558" spans="4:4">
      <c r="D558" s="36"/>
    </row>
    <row r="559" spans="4:4">
      <c r="D559" s="36"/>
    </row>
    <row r="560" spans="4:4">
      <c r="D560" s="36"/>
    </row>
    <row r="561" spans="4:4">
      <c r="D561" s="36"/>
    </row>
    <row r="562" spans="4:4">
      <c r="D562" s="36"/>
    </row>
    <row r="563" spans="4:4">
      <c r="D563" s="36"/>
    </row>
    <row r="564" spans="4:4">
      <c r="D564" s="36"/>
    </row>
    <row r="565" spans="4:4">
      <c r="D565" s="36"/>
    </row>
    <row r="566" spans="4:4">
      <c r="D566" s="36"/>
    </row>
    <row r="567" spans="4:4">
      <c r="D567" s="36"/>
    </row>
    <row r="568" spans="4:4">
      <c r="D568" s="36"/>
    </row>
    <row r="569" spans="4:4">
      <c r="D569" s="36"/>
    </row>
    <row r="570" spans="4:4">
      <c r="D570" s="36"/>
    </row>
    <row r="571" spans="4:4">
      <c r="D571" s="36"/>
    </row>
    <row r="572" spans="4:4">
      <c r="D572" s="36"/>
    </row>
    <row r="573" spans="4:4">
      <c r="D573" s="36"/>
    </row>
    <row r="574" spans="4:4">
      <c r="D574" s="36"/>
    </row>
    <row r="575" spans="4:4">
      <c r="D575" s="36"/>
    </row>
    <row r="576" spans="4:4">
      <c r="D576" s="36"/>
    </row>
    <row r="577" spans="4:4">
      <c r="D577" s="36"/>
    </row>
    <row r="578" spans="4:4">
      <c r="D578" s="36"/>
    </row>
    <row r="579" spans="4:4">
      <c r="D579" s="36"/>
    </row>
    <row r="580" spans="4:4">
      <c r="D580" s="36"/>
    </row>
    <row r="581" spans="4:4">
      <c r="D581" s="36"/>
    </row>
    <row r="582" spans="4:4">
      <c r="D582" s="36"/>
    </row>
    <row r="583" spans="4:4">
      <c r="D583" s="36"/>
    </row>
    <row r="584" spans="4:4">
      <c r="D584" s="36"/>
    </row>
    <row r="585" spans="4:4">
      <c r="D585" s="36"/>
    </row>
    <row r="586" spans="4:4">
      <c r="D586" s="36"/>
    </row>
    <row r="587" spans="4:4">
      <c r="D587" s="36"/>
    </row>
    <row r="588" spans="4:4">
      <c r="D588" s="36"/>
    </row>
    <row r="589" spans="4:4">
      <c r="D589" s="36"/>
    </row>
    <row r="590" spans="4:4">
      <c r="D590" s="36"/>
    </row>
    <row r="591" spans="4:4">
      <c r="D591" s="36"/>
    </row>
    <row r="592" spans="4:4">
      <c r="D592" s="36"/>
    </row>
    <row r="593" spans="4:4">
      <c r="D593" s="36"/>
    </row>
    <row r="594" spans="4:4">
      <c r="D594" s="36"/>
    </row>
    <row r="595" spans="4:4">
      <c r="D595" s="36"/>
    </row>
    <row r="596" spans="4:4">
      <c r="D596" s="36"/>
    </row>
    <row r="597" spans="4:4">
      <c r="D597" s="36"/>
    </row>
    <row r="598" spans="4:4">
      <c r="D598" s="36"/>
    </row>
    <row r="599" spans="4:4">
      <c r="D599" s="36"/>
    </row>
    <row r="600" spans="4:4">
      <c r="D600" s="36"/>
    </row>
    <row r="601" spans="4:4">
      <c r="D601" s="36"/>
    </row>
    <row r="602" spans="4:4">
      <c r="D602" s="36"/>
    </row>
    <row r="603" spans="4:4">
      <c r="D603" s="36"/>
    </row>
    <row r="604" spans="4:4">
      <c r="D604" s="36"/>
    </row>
    <row r="605" spans="4:4">
      <c r="D605" s="36"/>
    </row>
    <row r="606" spans="4:4">
      <c r="D606" s="36"/>
    </row>
    <row r="607" spans="4:4">
      <c r="D607" s="36"/>
    </row>
    <row r="608" spans="4:4">
      <c r="D608" s="36"/>
    </row>
    <row r="609" spans="4:4">
      <c r="D609" s="36"/>
    </row>
    <row r="610" spans="4:4">
      <c r="D610" s="36"/>
    </row>
    <row r="611" spans="4:4">
      <c r="D611" s="36"/>
    </row>
    <row r="612" spans="4:4">
      <c r="D612" s="36"/>
    </row>
    <row r="613" spans="4:4">
      <c r="D613" s="36"/>
    </row>
    <row r="614" spans="4:4">
      <c r="D614" s="36"/>
    </row>
    <row r="615" spans="4:4">
      <c r="D615" s="36"/>
    </row>
    <row r="616" spans="4:4">
      <c r="D616" s="36"/>
    </row>
    <row r="617" spans="4:4">
      <c r="D617" s="36"/>
    </row>
    <row r="618" spans="4:4">
      <c r="D618" s="36"/>
    </row>
    <row r="619" spans="4:4">
      <c r="D619" s="36"/>
    </row>
    <row r="620" spans="4:4">
      <c r="D620" s="36"/>
    </row>
    <row r="621" spans="4:4">
      <c r="D621" s="36"/>
    </row>
    <row r="622" spans="4:4">
      <c r="D622" s="36"/>
    </row>
    <row r="623" spans="4:4">
      <c r="D623" s="36"/>
    </row>
    <row r="624" spans="4:4">
      <c r="D624" s="36"/>
    </row>
    <row r="625" spans="4:4">
      <c r="D625" s="36"/>
    </row>
    <row r="626" spans="4:4">
      <c r="D626" s="36"/>
    </row>
    <row r="627" spans="4:4">
      <c r="D627" s="36"/>
    </row>
    <row r="628" spans="4:4">
      <c r="D628" s="36"/>
    </row>
    <row r="629" spans="4:4">
      <c r="D629" s="36"/>
    </row>
    <row r="630" spans="4:4">
      <c r="D630" s="36"/>
    </row>
    <row r="631" spans="4:4">
      <c r="D631" s="36"/>
    </row>
    <row r="632" spans="4:4">
      <c r="D632" s="36"/>
    </row>
    <row r="633" spans="4:4">
      <c r="D633" s="36"/>
    </row>
    <row r="634" spans="4:4">
      <c r="D634" s="36"/>
    </row>
    <row r="635" spans="4:4">
      <c r="D635" s="36"/>
    </row>
    <row r="636" spans="4:4">
      <c r="D636" s="36"/>
    </row>
    <row r="637" spans="4:4">
      <c r="D637" s="36"/>
    </row>
    <row r="638" spans="4:4">
      <c r="D638" s="36"/>
    </row>
    <row r="639" spans="4:4">
      <c r="D639" s="36"/>
    </row>
    <row r="640" spans="4:4">
      <c r="D640" s="36"/>
    </row>
    <row r="641" spans="4:4">
      <c r="D641" s="36"/>
    </row>
    <row r="642" spans="4:4">
      <c r="D642" s="36"/>
    </row>
    <row r="643" spans="4:4">
      <c r="D643" s="36"/>
    </row>
    <row r="644" spans="4:4">
      <c r="D644" s="36"/>
    </row>
    <row r="645" spans="4:4">
      <c r="D645" s="36"/>
    </row>
    <row r="646" spans="4:4">
      <c r="D646" s="36"/>
    </row>
    <row r="647" spans="4:4">
      <c r="D647" s="36"/>
    </row>
    <row r="648" spans="4:4">
      <c r="D648" s="36"/>
    </row>
    <row r="649" spans="4:4">
      <c r="D649" s="36"/>
    </row>
    <row r="650" spans="4:4">
      <c r="D650" s="36"/>
    </row>
    <row r="651" spans="4:4">
      <c r="D651" s="36"/>
    </row>
    <row r="652" spans="4:4">
      <c r="D652" s="36"/>
    </row>
    <row r="653" spans="4:4">
      <c r="D653" s="36"/>
    </row>
    <row r="654" spans="4:4">
      <c r="D654" s="36"/>
    </row>
    <row r="655" spans="4:4">
      <c r="D655" s="36"/>
    </row>
    <row r="656" spans="4:4">
      <c r="D656" s="36"/>
    </row>
    <row r="657" spans="4:4">
      <c r="D657" s="36"/>
    </row>
    <row r="658" spans="4:4">
      <c r="D658" s="36"/>
    </row>
    <row r="659" spans="4:4">
      <c r="D659" s="36"/>
    </row>
    <row r="660" spans="4:4">
      <c r="D660" s="36"/>
    </row>
    <row r="661" spans="4:4">
      <c r="D661" s="36"/>
    </row>
    <row r="662" spans="4:4">
      <c r="D662" s="36"/>
    </row>
    <row r="663" spans="4:4">
      <c r="D663" s="36"/>
    </row>
    <row r="664" spans="4:4">
      <c r="D664" s="36"/>
    </row>
    <row r="665" spans="4:4">
      <c r="D665" s="36"/>
    </row>
    <row r="666" spans="4:4">
      <c r="D666" s="36"/>
    </row>
    <row r="667" spans="4:4">
      <c r="D667" s="36"/>
    </row>
    <row r="668" spans="4:4">
      <c r="D668" s="36"/>
    </row>
    <row r="669" spans="4:4">
      <c r="D669" s="36"/>
    </row>
    <row r="670" spans="4:4">
      <c r="D670" s="36"/>
    </row>
    <row r="671" spans="4:4">
      <c r="D671" s="36"/>
    </row>
    <row r="672" spans="4:4">
      <c r="D672" s="36"/>
    </row>
    <row r="673" spans="4:4">
      <c r="D673" s="36"/>
    </row>
    <row r="674" spans="4:4">
      <c r="D674" s="36"/>
    </row>
    <row r="675" spans="4:4">
      <c r="D675" s="36"/>
    </row>
    <row r="676" spans="4:4">
      <c r="D676" s="36"/>
    </row>
    <row r="677" spans="4:4">
      <c r="D677" s="36"/>
    </row>
    <row r="678" spans="4:4">
      <c r="D678" s="36"/>
    </row>
    <row r="679" spans="4:4">
      <c r="D679" s="36"/>
    </row>
    <row r="680" spans="4:4">
      <c r="D680" s="36"/>
    </row>
    <row r="681" spans="4:4">
      <c r="D681" s="36"/>
    </row>
    <row r="682" spans="4:4">
      <c r="D682" s="36"/>
    </row>
    <row r="683" spans="4:4">
      <c r="D683" s="36"/>
    </row>
    <row r="684" spans="4:4">
      <c r="D684" s="36"/>
    </row>
    <row r="685" spans="4:4">
      <c r="D685" s="36"/>
    </row>
    <row r="686" spans="4:4">
      <c r="D686" s="36"/>
    </row>
    <row r="687" spans="4:4">
      <c r="D687" s="36"/>
    </row>
    <row r="688" spans="4:4">
      <c r="D688" s="36"/>
    </row>
    <row r="689" spans="4:4">
      <c r="D689" s="36"/>
    </row>
    <row r="690" spans="4:4">
      <c r="D690" s="36"/>
    </row>
    <row r="691" spans="4:4">
      <c r="D691" s="36"/>
    </row>
    <row r="692" spans="4:4">
      <c r="D692" s="36"/>
    </row>
    <row r="693" spans="4:4">
      <c r="D693" s="36"/>
    </row>
    <row r="694" spans="4:4">
      <c r="D694" s="36"/>
    </row>
    <row r="695" spans="4:4">
      <c r="D695" s="36"/>
    </row>
    <row r="696" spans="4:4">
      <c r="D696" s="36"/>
    </row>
    <row r="697" spans="4:4">
      <c r="D697" s="36"/>
    </row>
    <row r="698" spans="4:4">
      <c r="D698" s="36"/>
    </row>
    <row r="699" spans="4:4">
      <c r="D699" s="36"/>
    </row>
    <row r="700" spans="4:4">
      <c r="D700" s="36"/>
    </row>
    <row r="701" spans="4:4">
      <c r="D701" s="36"/>
    </row>
    <row r="702" spans="4:4">
      <c r="D702" s="36"/>
    </row>
    <row r="703" spans="4:4">
      <c r="D703" s="36"/>
    </row>
    <row r="704" spans="4:4">
      <c r="D704" s="36"/>
    </row>
    <row r="705" spans="4:4">
      <c r="D705" s="36"/>
    </row>
    <row r="706" spans="4:4">
      <c r="D706" s="36"/>
    </row>
    <row r="707" spans="4:4">
      <c r="D707" s="36"/>
    </row>
    <row r="708" spans="4:4">
      <c r="D708" s="36"/>
    </row>
    <row r="709" spans="4:4">
      <c r="D709" s="36"/>
    </row>
    <row r="710" spans="4:4">
      <c r="D710" s="36"/>
    </row>
    <row r="711" spans="4:4">
      <c r="D711" s="36"/>
    </row>
    <row r="712" spans="4:4">
      <c r="D712" s="36"/>
    </row>
    <row r="713" spans="4:4">
      <c r="D713" s="36"/>
    </row>
    <row r="714" spans="4:4">
      <c r="D714" s="36"/>
    </row>
    <row r="715" spans="4:4">
      <c r="D715" s="36"/>
    </row>
    <row r="716" spans="4:4">
      <c r="D716" s="36"/>
    </row>
    <row r="717" spans="4:4">
      <c r="D717" s="36"/>
    </row>
    <row r="718" spans="4:4">
      <c r="D718" s="36"/>
    </row>
    <row r="719" spans="4:4">
      <c r="D719" s="36"/>
    </row>
    <row r="720" spans="4:4">
      <c r="D720" s="36"/>
    </row>
    <row r="721" spans="4:4">
      <c r="D721" s="36"/>
    </row>
    <row r="722" spans="4:4">
      <c r="D722" s="36"/>
    </row>
    <row r="723" spans="4:4">
      <c r="D723" s="36"/>
    </row>
    <row r="724" spans="4:4">
      <c r="D724" s="36"/>
    </row>
    <row r="725" spans="4:4">
      <c r="D725" s="36"/>
    </row>
    <row r="726" spans="4:4">
      <c r="D726" s="36"/>
    </row>
    <row r="727" spans="4:4">
      <c r="D727" s="36"/>
    </row>
    <row r="728" spans="4:4">
      <c r="D728" s="36"/>
    </row>
    <row r="729" spans="4:4">
      <c r="D729" s="36"/>
    </row>
    <row r="730" spans="4:4">
      <c r="D730" s="36"/>
    </row>
    <row r="731" spans="4:4">
      <c r="D731" s="36"/>
    </row>
    <row r="732" spans="4:4">
      <c r="D732" s="36"/>
    </row>
    <row r="733" spans="4:4">
      <c r="D733" s="36"/>
    </row>
    <row r="734" spans="4:4">
      <c r="D734" s="36"/>
    </row>
    <row r="735" spans="4:4">
      <c r="D735" s="36"/>
    </row>
    <row r="736" spans="4:4">
      <c r="D736" s="36"/>
    </row>
    <row r="737" spans="4:4">
      <c r="D737" s="36"/>
    </row>
    <row r="738" spans="4:4">
      <c r="D738" s="36"/>
    </row>
    <row r="739" spans="4:4">
      <c r="D739" s="36"/>
    </row>
    <row r="740" spans="4:4">
      <c r="D740" s="36"/>
    </row>
    <row r="741" spans="4:4">
      <c r="D741" s="36"/>
    </row>
    <row r="742" spans="4:4">
      <c r="D742" s="36"/>
    </row>
    <row r="743" spans="4:4">
      <c r="D743" s="36"/>
    </row>
    <row r="744" spans="4:4">
      <c r="D744" s="36"/>
    </row>
    <row r="745" spans="4:4">
      <c r="D745" s="36"/>
    </row>
    <row r="746" spans="4:4">
      <c r="D746" s="36"/>
    </row>
    <row r="747" spans="4:4">
      <c r="D747" s="36"/>
    </row>
    <row r="748" spans="4:4">
      <c r="D748" s="36"/>
    </row>
    <row r="749" spans="4:4">
      <c r="D749" s="36"/>
    </row>
    <row r="750" spans="4:4">
      <c r="D750" s="36"/>
    </row>
    <row r="751" spans="4:4">
      <c r="D751" s="36"/>
    </row>
    <row r="752" spans="4:4">
      <c r="D752" s="36"/>
    </row>
    <row r="753" spans="4:4">
      <c r="D753" s="36"/>
    </row>
    <row r="754" spans="4:4">
      <c r="D754" s="36"/>
    </row>
    <row r="755" spans="4:4">
      <c r="D755" s="36"/>
    </row>
    <row r="756" spans="4:4">
      <c r="D756" s="36"/>
    </row>
    <row r="757" spans="4:4">
      <c r="D757" s="36"/>
    </row>
    <row r="758" spans="4:4">
      <c r="D758" s="36"/>
    </row>
    <row r="759" spans="4:4">
      <c r="D759" s="36"/>
    </row>
    <row r="760" spans="4:4">
      <c r="D760" s="36"/>
    </row>
    <row r="761" spans="4:4">
      <c r="D761" s="36"/>
    </row>
    <row r="762" spans="4:4">
      <c r="D762" s="36"/>
    </row>
    <row r="763" spans="4:4">
      <c r="D763" s="36"/>
    </row>
    <row r="764" spans="4:4">
      <c r="D764" s="36"/>
    </row>
    <row r="765" spans="4:4">
      <c r="D765" s="36"/>
    </row>
    <row r="766" spans="4:4">
      <c r="D766" s="36"/>
    </row>
    <row r="767" spans="4:4">
      <c r="D767" s="36"/>
    </row>
    <row r="768" spans="4:4">
      <c r="D768" s="36"/>
    </row>
    <row r="769" spans="4:4">
      <c r="D769" s="36"/>
    </row>
    <row r="770" spans="4:4">
      <c r="D770" s="36"/>
    </row>
    <row r="771" spans="4:4">
      <c r="D771" s="36"/>
    </row>
    <row r="772" spans="4:4">
      <c r="D772" s="36"/>
    </row>
    <row r="773" spans="4:4">
      <c r="D773" s="36"/>
    </row>
    <row r="774" spans="4:4">
      <c r="D774" s="36"/>
    </row>
    <row r="775" spans="4:4">
      <c r="D775" s="36"/>
    </row>
    <row r="776" spans="4:4">
      <c r="D776" s="36"/>
    </row>
    <row r="777" spans="4:4">
      <c r="D777" s="36"/>
    </row>
    <row r="778" spans="4:4">
      <c r="D778" s="36"/>
    </row>
    <row r="779" spans="4:4">
      <c r="D779" s="36"/>
    </row>
    <row r="780" spans="4:4">
      <c r="D780" s="36"/>
    </row>
    <row r="781" spans="4:4">
      <c r="D781" s="36"/>
    </row>
    <row r="782" spans="4:4">
      <c r="D782" s="36"/>
    </row>
    <row r="783" spans="4:4">
      <c r="D783" s="36"/>
    </row>
    <row r="784" spans="4:4">
      <c r="D784" s="36"/>
    </row>
    <row r="785" spans="4:4">
      <c r="D785" s="36"/>
    </row>
    <row r="786" spans="4:4">
      <c r="D786" s="36"/>
    </row>
    <row r="787" spans="4:4">
      <c r="D787" s="36"/>
    </row>
    <row r="788" spans="4:4">
      <c r="D788" s="36"/>
    </row>
    <row r="789" spans="4:4">
      <c r="D789" s="36"/>
    </row>
    <row r="790" spans="4:4">
      <c r="D790" s="36"/>
    </row>
    <row r="791" spans="4:4">
      <c r="D791" s="36"/>
    </row>
    <row r="792" spans="4:4">
      <c r="D792" s="36"/>
    </row>
    <row r="793" spans="4:4">
      <c r="D793" s="36"/>
    </row>
    <row r="794" spans="4:4">
      <c r="D794" s="36"/>
    </row>
    <row r="795" spans="4:4">
      <c r="D795" s="36"/>
    </row>
    <row r="796" spans="4:4">
      <c r="D796" s="36"/>
    </row>
    <row r="797" spans="4:4">
      <c r="D797" s="36"/>
    </row>
    <row r="798" spans="4:4">
      <c r="D798" s="36"/>
    </row>
    <row r="799" spans="4:4">
      <c r="D799" s="36"/>
    </row>
    <row r="800" spans="4:4">
      <c r="D800" s="36"/>
    </row>
    <row r="801" spans="4:4">
      <c r="D801" s="36"/>
    </row>
    <row r="802" spans="4:4">
      <c r="D802" s="36"/>
    </row>
    <row r="803" spans="4:4">
      <c r="D803" s="36"/>
    </row>
    <row r="804" spans="4:4">
      <c r="D804" s="36"/>
    </row>
    <row r="805" spans="4:4">
      <c r="D805" s="36"/>
    </row>
    <row r="806" spans="4:4">
      <c r="D806" s="36"/>
    </row>
    <row r="807" spans="4:4">
      <c r="D807" s="36"/>
    </row>
    <row r="808" spans="4:4">
      <c r="D808" s="36"/>
    </row>
    <row r="809" spans="4:4">
      <c r="D809" s="36"/>
    </row>
    <row r="810" spans="4:4">
      <c r="D810" s="36"/>
    </row>
    <row r="811" spans="4:4">
      <c r="D811" s="36"/>
    </row>
    <row r="812" spans="4:4">
      <c r="D812" s="36"/>
    </row>
    <row r="813" spans="4:4">
      <c r="D813" s="36"/>
    </row>
    <row r="814" spans="4:4">
      <c r="D814" s="36"/>
    </row>
    <row r="815" spans="4:4">
      <c r="D815" s="36"/>
    </row>
    <row r="816" spans="4:4">
      <c r="D816" s="36"/>
    </row>
    <row r="817" spans="4:4">
      <c r="D817" s="36"/>
    </row>
    <row r="818" spans="4:4">
      <c r="D818" s="36"/>
    </row>
    <row r="819" spans="4:4">
      <c r="D819" s="36"/>
    </row>
    <row r="820" spans="4:4">
      <c r="D820" s="36"/>
    </row>
    <row r="821" spans="4:4">
      <c r="D821" s="36"/>
    </row>
    <row r="822" spans="4:4">
      <c r="D822" s="36"/>
    </row>
    <row r="823" spans="4:4">
      <c r="D823" s="36"/>
    </row>
    <row r="824" spans="4:4">
      <c r="D824" s="36"/>
    </row>
    <row r="825" spans="4:4">
      <c r="D825" s="36"/>
    </row>
    <row r="826" spans="4:4">
      <c r="D826" s="36"/>
    </row>
    <row r="827" spans="4:4">
      <c r="D827" s="36"/>
    </row>
    <row r="828" spans="4:4">
      <c r="D828" s="36"/>
    </row>
    <row r="829" spans="4:4">
      <c r="D829" s="36"/>
    </row>
    <row r="830" spans="4:4">
      <c r="D830" s="36"/>
    </row>
    <row r="831" spans="4:4">
      <c r="D831" s="36"/>
    </row>
    <row r="832" spans="4:4">
      <c r="D832" s="36"/>
    </row>
    <row r="833" spans="4:4">
      <c r="D833" s="36"/>
    </row>
    <row r="834" spans="4:4">
      <c r="D834" s="36"/>
    </row>
    <row r="835" spans="4:4">
      <c r="D835" s="36"/>
    </row>
    <row r="836" spans="4:4">
      <c r="D836" s="36"/>
    </row>
    <row r="837" spans="4:4">
      <c r="D837" s="36"/>
    </row>
    <row r="838" spans="4:4">
      <c r="D838" s="36"/>
    </row>
    <row r="839" spans="4:4">
      <c r="D839" s="36"/>
    </row>
    <row r="840" spans="4:4">
      <c r="D840" s="36"/>
    </row>
    <row r="841" spans="4:4">
      <c r="D841" s="36"/>
    </row>
    <row r="842" spans="4:4">
      <c r="D842" s="36"/>
    </row>
    <row r="843" spans="4:4">
      <c r="D843" s="36"/>
    </row>
    <row r="844" spans="4:4">
      <c r="D844" s="36"/>
    </row>
    <row r="845" spans="4:4">
      <c r="D845" s="36"/>
    </row>
    <row r="846" spans="4:4">
      <c r="D846" s="36"/>
    </row>
    <row r="847" spans="4:4">
      <c r="D847" s="36"/>
    </row>
    <row r="848" spans="4:4">
      <c r="D848" s="36"/>
    </row>
    <row r="849" spans="4:4">
      <c r="D849" s="36"/>
    </row>
    <row r="850" spans="4:4">
      <c r="D850" s="36"/>
    </row>
    <row r="851" spans="4:4">
      <c r="D851" s="36"/>
    </row>
    <row r="852" spans="4:4">
      <c r="D852" s="36"/>
    </row>
    <row r="853" spans="4:4">
      <c r="D853" s="36"/>
    </row>
    <row r="854" spans="4:4">
      <c r="D854" s="36"/>
    </row>
    <row r="855" spans="4:4">
      <c r="D855" s="36"/>
    </row>
    <row r="856" spans="4:4">
      <c r="D856" s="36"/>
    </row>
    <row r="857" spans="4:4">
      <c r="D857" s="36"/>
    </row>
    <row r="858" spans="4:4">
      <c r="D858" s="36"/>
    </row>
    <row r="859" spans="4:4">
      <c r="D859" s="36"/>
    </row>
    <row r="860" spans="4:4">
      <c r="D860" s="36"/>
    </row>
    <row r="861" spans="4:4">
      <c r="D861" s="36"/>
    </row>
    <row r="862" spans="4:4">
      <c r="D862" s="36"/>
    </row>
    <row r="863" spans="4:4">
      <c r="D863" s="36"/>
    </row>
    <row r="864" spans="4:4">
      <c r="D864" s="36"/>
    </row>
    <row r="865" spans="4:4">
      <c r="D865" s="36"/>
    </row>
    <row r="866" spans="4:4">
      <c r="D866" s="36"/>
    </row>
    <row r="867" spans="4:4">
      <c r="D867" s="36"/>
    </row>
    <row r="868" spans="4:4">
      <c r="D868" s="36"/>
    </row>
    <row r="869" spans="4:4">
      <c r="D869" s="36"/>
    </row>
    <row r="870" spans="4:4">
      <c r="D870" s="36"/>
    </row>
    <row r="871" spans="4:4">
      <c r="D871" s="36"/>
    </row>
    <row r="872" spans="4:4">
      <c r="D872" s="36"/>
    </row>
    <row r="873" spans="4:4">
      <c r="D873" s="36"/>
    </row>
    <row r="874" spans="4:4">
      <c r="D874" s="36"/>
    </row>
    <row r="875" spans="4:4">
      <c r="D875" s="36"/>
    </row>
    <row r="876" spans="4:4">
      <c r="D876" s="36"/>
    </row>
    <row r="877" spans="4:4">
      <c r="D877" s="36"/>
    </row>
    <row r="878" spans="4:4">
      <c r="D878" s="36"/>
    </row>
    <row r="879" spans="4:4">
      <c r="D879" s="36"/>
    </row>
    <row r="880" spans="4:4">
      <c r="D880" s="36"/>
    </row>
    <row r="881" spans="4:4">
      <c r="D881" s="36"/>
    </row>
    <row r="882" spans="4:4">
      <c r="D882" s="36"/>
    </row>
    <row r="883" spans="4:4">
      <c r="D883" s="36"/>
    </row>
    <row r="884" spans="4:4">
      <c r="D884" s="36"/>
    </row>
    <row r="885" spans="4:4">
      <c r="D885" s="36"/>
    </row>
    <row r="886" spans="4:4">
      <c r="D886" s="36"/>
    </row>
    <row r="887" spans="4:4">
      <c r="D887" s="36"/>
    </row>
    <row r="888" spans="4:4">
      <c r="D888" s="36"/>
    </row>
    <row r="889" spans="4:4">
      <c r="D889" s="36"/>
    </row>
    <row r="890" spans="4:4">
      <c r="D890" s="36"/>
    </row>
    <row r="891" spans="4:4">
      <c r="D891" s="36"/>
    </row>
    <row r="892" spans="4:4">
      <c r="D892" s="36"/>
    </row>
    <row r="893" spans="4:4">
      <c r="D893" s="36"/>
    </row>
    <row r="894" spans="4:4">
      <c r="D894" s="36"/>
    </row>
    <row r="895" spans="4:4">
      <c r="D895" s="36"/>
    </row>
    <row r="896" spans="4:4">
      <c r="D896" s="36"/>
    </row>
    <row r="897" spans="4:4">
      <c r="D897" s="36"/>
    </row>
    <row r="898" spans="4:4">
      <c r="D898" s="36"/>
    </row>
    <row r="899" spans="4:4">
      <c r="D899" s="36"/>
    </row>
    <row r="900" spans="4:4">
      <c r="D900" s="36"/>
    </row>
    <row r="901" spans="4:4">
      <c r="D901" s="36"/>
    </row>
    <row r="902" spans="4:4">
      <c r="D902" s="36"/>
    </row>
    <row r="903" spans="4:4">
      <c r="D903" s="36"/>
    </row>
    <row r="904" spans="4:4">
      <c r="D904" s="36"/>
    </row>
    <row r="905" spans="4:4">
      <c r="D905" s="36"/>
    </row>
    <row r="906" spans="4:4">
      <c r="D906" s="36"/>
    </row>
    <row r="907" spans="4:4">
      <c r="D907" s="36"/>
    </row>
    <row r="908" spans="4:4">
      <c r="D908" s="36"/>
    </row>
    <row r="909" spans="4:4">
      <c r="D909" s="36"/>
    </row>
    <row r="910" spans="4:4">
      <c r="D910" s="36"/>
    </row>
    <row r="911" spans="4:4">
      <c r="D911" s="36"/>
    </row>
    <row r="912" spans="4:4">
      <c r="D912" s="36"/>
    </row>
    <row r="913" spans="4:4">
      <c r="D913" s="36"/>
    </row>
    <row r="914" spans="4:4">
      <c r="D914" s="36"/>
    </row>
    <row r="915" spans="4:4">
      <c r="D915" s="36"/>
    </row>
    <row r="916" spans="4:4">
      <c r="D916" s="36"/>
    </row>
    <row r="917" spans="4:4">
      <c r="D917" s="36"/>
    </row>
    <row r="918" spans="4:4">
      <c r="D918" s="36"/>
    </row>
    <row r="919" spans="4:4">
      <c r="D919" s="36"/>
    </row>
    <row r="920" spans="4:4">
      <c r="D920" s="36"/>
    </row>
    <row r="921" spans="4:4">
      <c r="D921" s="36"/>
    </row>
    <row r="922" spans="4:4">
      <c r="D922" s="36"/>
    </row>
    <row r="923" spans="4:4">
      <c r="D923" s="36"/>
    </row>
    <row r="924" spans="4:4">
      <c r="D924" s="36"/>
    </row>
    <row r="925" spans="4:4">
      <c r="D925" s="36"/>
    </row>
    <row r="926" spans="4:4">
      <c r="D926" s="36"/>
    </row>
    <row r="927" spans="4:4">
      <c r="D927" s="36"/>
    </row>
    <row r="928" spans="4:4">
      <c r="D928" s="36"/>
    </row>
    <row r="929" spans="4:4">
      <c r="D929" s="36"/>
    </row>
    <row r="930" spans="4:4">
      <c r="D930" s="36"/>
    </row>
    <row r="931" spans="4:4">
      <c r="D931" s="36"/>
    </row>
    <row r="932" spans="4:4">
      <c r="D932" s="36"/>
    </row>
    <row r="933" spans="4:4">
      <c r="D933" s="36"/>
    </row>
    <row r="934" spans="4:4">
      <c r="D934" s="36"/>
    </row>
    <row r="935" spans="4:4">
      <c r="D935" s="36"/>
    </row>
    <row r="936" spans="4:4">
      <c r="D936" s="36"/>
    </row>
    <row r="937" spans="4:4">
      <c r="D937" s="36"/>
    </row>
    <row r="938" spans="4:4">
      <c r="D938" s="36"/>
    </row>
    <row r="939" spans="4:4">
      <c r="D939" s="36"/>
    </row>
    <row r="940" spans="4:4">
      <c r="D940" s="36"/>
    </row>
    <row r="941" spans="4:4">
      <c r="D941" s="36"/>
    </row>
    <row r="942" spans="4:4">
      <c r="D942" s="36"/>
    </row>
    <row r="943" spans="4:4">
      <c r="D943" s="36"/>
    </row>
    <row r="944" spans="4:4">
      <c r="D944" s="36"/>
    </row>
    <row r="945" spans="4:4">
      <c r="D945" s="36"/>
    </row>
    <row r="946" spans="4:4">
      <c r="D946" s="36"/>
    </row>
    <row r="947" spans="4:4">
      <c r="D947" s="36"/>
    </row>
    <row r="948" spans="4:4">
      <c r="D948" s="36"/>
    </row>
    <row r="949" spans="4:4">
      <c r="D949" s="36"/>
    </row>
    <row r="950" spans="4:4">
      <c r="D950" s="36"/>
    </row>
    <row r="951" spans="4:4">
      <c r="D951" s="36"/>
    </row>
    <row r="952" spans="4:4">
      <c r="D952" s="36"/>
    </row>
    <row r="953" spans="4:4">
      <c r="D953" s="36"/>
    </row>
    <row r="954" spans="4:4">
      <c r="D954" s="36"/>
    </row>
    <row r="955" spans="4:4">
      <c r="D955" s="36"/>
    </row>
    <row r="956" spans="4:4">
      <c r="D956" s="36"/>
    </row>
    <row r="957" spans="4:4">
      <c r="D957" s="36"/>
    </row>
    <row r="958" spans="4:4">
      <c r="D958" s="36"/>
    </row>
    <row r="959" spans="4:4">
      <c r="D959" s="36"/>
    </row>
    <row r="960" spans="4:4">
      <c r="D960" s="36"/>
    </row>
    <row r="961" spans="4:4">
      <c r="D961" s="36"/>
    </row>
    <row r="962" spans="4:4">
      <c r="D962" s="36"/>
    </row>
    <row r="963" spans="4:4">
      <c r="D963" s="36"/>
    </row>
    <row r="964" spans="4:4">
      <c r="D964" s="36"/>
    </row>
    <row r="965" spans="4:4">
      <c r="D965" s="36"/>
    </row>
    <row r="966" spans="4:4">
      <c r="D966" s="36"/>
    </row>
    <row r="967" spans="4:4">
      <c r="D967" s="36"/>
    </row>
    <row r="968" spans="4:4">
      <c r="D968" s="36"/>
    </row>
    <row r="969" spans="4:4">
      <c r="D969" s="36"/>
    </row>
    <row r="970" spans="4:4">
      <c r="D970" s="36"/>
    </row>
    <row r="971" spans="4:4">
      <c r="D971" s="36"/>
    </row>
    <row r="972" spans="4:4">
      <c r="D972" s="36"/>
    </row>
    <row r="973" spans="4:4">
      <c r="D973" s="36"/>
    </row>
    <row r="974" spans="4:4">
      <c r="D974" s="36"/>
    </row>
    <row r="975" spans="4:4">
      <c r="D975" s="36"/>
    </row>
    <row r="976" spans="4:4">
      <c r="D976" s="36"/>
    </row>
    <row r="977" spans="4:4">
      <c r="D977" s="36"/>
    </row>
    <row r="978" spans="4:4">
      <c r="D978" s="36"/>
    </row>
    <row r="979" spans="4:4">
      <c r="D979" s="36"/>
    </row>
    <row r="980" spans="4:4">
      <c r="D980" s="36"/>
    </row>
    <row r="981" spans="4:4">
      <c r="D981" s="36"/>
    </row>
    <row r="982" spans="4:4">
      <c r="D982" s="36"/>
    </row>
    <row r="983" spans="4:4">
      <c r="D983" s="36"/>
    </row>
    <row r="984" spans="4:4">
      <c r="D984" s="36"/>
    </row>
    <row r="985" spans="4:4">
      <c r="D985" s="36"/>
    </row>
    <row r="986" spans="4:4">
      <c r="D986" s="36"/>
    </row>
    <row r="987" spans="4:4">
      <c r="D987" s="36"/>
    </row>
    <row r="988" spans="4:4">
      <c r="D988" s="36"/>
    </row>
    <row r="989" spans="4:4">
      <c r="D989" s="36"/>
    </row>
    <row r="990" spans="4:4">
      <c r="D990" s="36"/>
    </row>
    <row r="991" spans="4:4">
      <c r="D991" s="36"/>
    </row>
    <row r="992" spans="4:4">
      <c r="D992" s="36"/>
    </row>
    <row r="993" spans="4:4">
      <c r="D993" s="36"/>
    </row>
    <row r="994" spans="4:4">
      <c r="D994" s="36"/>
    </row>
    <row r="995" spans="4:4">
      <c r="D995" s="36"/>
    </row>
    <row r="996" spans="4:4">
      <c r="D996" s="36"/>
    </row>
    <row r="997" spans="4:4">
      <c r="D997" s="36"/>
    </row>
    <row r="998" spans="4:4">
      <c r="D998" s="36"/>
    </row>
    <row r="999" spans="4:4">
      <c r="D999" s="36"/>
    </row>
    <row r="1000" spans="4:4">
      <c r="D1000" s="36"/>
    </row>
    <row r="1001" spans="4:4">
      <c r="D1001" s="36"/>
    </row>
    <row r="1002" spans="4:4">
      <c r="D1002" s="36"/>
    </row>
    <row r="1003" spans="4:4">
      <c r="D1003" s="36"/>
    </row>
    <row r="1004" spans="4:4">
      <c r="D1004" s="36"/>
    </row>
    <row r="1005" spans="4:4">
      <c r="D1005" s="36"/>
    </row>
    <row r="1006" spans="4:4">
      <c r="D1006" s="36"/>
    </row>
    <row r="1007" spans="4:4">
      <c r="D1007" s="36"/>
    </row>
    <row r="1008" spans="4:4">
      <c r="D1008" s="36"/>
    </row>
    <row r="1009" spans="4:4">
      <c r="D1009" s="36"/>
    </row>
    <row r="1010" spans="4:4">
      <c r="D1010" s="36"/>
    </row>
    <row r="1011" spans="4:4">
      <c r="D1011" s="36"/>
    </row>
    <row r="1012" spans="4:4">
      <c r="D1012" s="36"/>
    </row>
    <row r="1013" spans="4:4">
      <c r="D1013" s="36"/>
    </row>
    <row r="1014" spans="4:4">
      <c r="D1014" s="36"/>
    </row>
    <row r="1015" spans="4:4">
      <c r="D1015" s="36"/>
    </row>
    <row r="1016" spans="4:4">
      <c r="D1016" s="36"/>
    </row>
    <row r="1017" spans="4:4">
      <c r="D1017" s="36"/>
    </row>
    <row r="1018" spans="4:4">
      <c r="D1018" s="36"/>
    </row>
    <row r="1019" spans="4:4">
      <c r="D1019" s="36"/>
    </row>
    <row r="1020" spans="4:4">
      <c r="D1020" s="36"/>
    </row>
    <row r="1021" spans="4:4">
      <c r="D1021" s="36"/>
    </row>
    <row r="1022" spans="4:4">
      <c r="D1022" s="36"/>
    </row>
    <row r="1023" spans="4:4">
      <c r="D1023" s="36"/>
    </row>
    <row r="1024" spans="4:4">
      <c r="D1024" s="36"/>
    </row>
    <row r="1025" spans="4:4">
      <c r="D1025" s="36"/>
    </row>
    <row r="1026" spans="4:4">
      <c r="D1026" s="36"/>
    </row>
    <row r="1027" spans="4:4">
      <c r="D1027" s="36"/>
    </row>
    <row r="1028" spans="4:4">
      <c r="D1028" s="36"/>
    </row>
    <row r="1029" spans="4:4">
      <c r="D1029" s="36"/>
    </row>
    <row r="1030" spans="4:4">
      <c r="D1030" s="36"/>
    </row>
    <row r="1031" spans="4:4">
      <c r="D1031" s="36"/>
    </row>
    <row r="1032" spans="4:4">
      <c r="D1032" s="36"/>
    </row>
    <row r="1033" spans="4:4">
      <c r="D1033" s="36"/>
    </row>
    <row r="1034" spans="4:4">
      <c r="D1034" s="36"/>
    </row>
    <row r="1035" spans="4:4">
      <c r="D1035" s="36"/>
    </row>
    <row r="1036" spans="4:4">
      <c r="D1036" s="36"/>
    </row>
    <row r="1037" spans="4:4">
      <c r="D1037" s="36"/>
    </row>
    <row r="1038" spans="4:4">
      <c r="D1038" s="36"/>
    </row>
    <row r="1039" spans="4:4">
      <c r="D1039" s="36"/>
    </row>
    <row r="1040" spans="4:4">
      <c r="D1040" s="36"/>
    </row>
    <row r="1041" spans="4:4">
      <c r="D1041" s="36"/>
    </row>
    <row r="1042" spans="4:4">
      <c r="D1042" s="36"/>
    </row>
    <row r="1043" spans="4:4">
      <c r="D1043" s="36"/>
    </row>
    <row r="1044" spans="4:4">
      <c r="D1044" s="36"/>
    </row>
    <row r="1045" spans="4:4">
      <c r="D1045" s="36"/>
    </row>
    <row r="1046" spans="4:4">
      <c r="D1046" s="36"/>
    </row>
    <row r="1047" spans="4:4">
      <c r="D1047" s="36"/>
    </row>
    <row r="1048" spans="4:4">
      <c r="D1048" s="36"/>
    </row>
    <row r="1049" spans="4:4">
      <c r="D1049" s="36"/>
    </row>
    <row r="1050" spans="4:4">
      <c r="D1050" s="36"/>
    </row>
    <row r="1051" spans="4:4">
      <c r="D1051" s="36"/>
    </row>
    <row r="1052" spans="4:4">
      <c r="D1052" s="36"/>
    </row>
    <row r="1053" spans="4:4">
      <c r="D1053" s="36"/>
    </row>
    <row r="1054" spans="4:4">
      <c r="D1054" s="36"/>
    </row>
    <row r="1055" spans="4:4">
      <c r="D1055" s="36"/>
    </row>
    <row r="1056" spans="4:4">
      <c r="D1056" s="36"/>
    </row>
    <row r="1057" spans="4:4">
      <c r="D1057" s="36"/>
    </row>
    <row r="1058" spans="4:4">
      <c r="D1058" s="36"/>
    </row>
    <row r="1059" spans="4:4">
      <c r="D1059" s="36"/>
    </row>
    <row r="1060" spans="4:4">
      <c r="D1060" s="36"/>
    </row>
    <row r="1061" spans="4:4">
      <c r="D1061" s="36"/>
    </row>
    <row r="1062" spans="4:4">
      <c r="D1062" s="36"/>
    </row>
    <row r="1063" spans="4:4">
      <c r="D1063" s="36"/>
    </row>
    <row r="1064" spans="4:4">
      <c r="D1064" s="36"/>
    </row>
    <row r="1065" spans="4:4">
      <c r="D1065" s="36"/>
    </row>
    <row r="1066" spans="4:4">
      <c r="D1066" s="36"/>
    </row>
    <row r="1067" spans="4:4">
      <c r="D1067" s="36"/>
    </row>
    <row r="1068" spans="4:4">
      <c r="D1068" s="36"/>
    </row>
    <row r="1069" spans="4:4">
      <c r="D1069" s="36"/>
    </row>
    <row r="1070" spans="4:4">
      <c r="D1070" s="36"/>
    </row>
    <row r="1071" spans="4:4">
      <c r="D1071" s="36"/>
    </row>
    <row r="1072" spans="4:4">
      <c r="D1072" s="36"/>
    </row>
    <row r="1073" spans="4:4">
      <c r="D1073" s="36"/>
    </row>
    <row r="1074" spans="4:4">
      <c r="D1074" s="36"/>
    </row>
    <row r="1075" spans="4:4">
      <c r="D1075" s="36"/>
    </row>
    <row r="1076" spans="4:4">
      <c r="D1076" s="36"/>
    </row>
    <row r="1077" spans="4:4">
      <c r="D1077" s="36"/>
    </row>
    <row r="1078" spans="4:4">
      <c r="D1078" s="36"/>
    </row>
    <row r="1079" spans="4:4">
      <c r="D1079" s="36"/>
    </row>
    <row r="1080" spans="4:4">
      <c r="D1080" s="36"/>
    </row>
    <row r="1081" spans="4:4">
      <c r="D1081" s="36"/>
    </row>
    <row r="1082" spans="4:4">
      <c r="D1082" s="36"/>
    </row>
    <row r="1083" spans="4:4">
      <c r="D1083" s="36"/>
    </row>
    <row r="1084" spans="4:4">
      <c r="D1084" s="36"/>
    </row>
    <row r="1085" spans="4:4">
      <c r="D1085" s="36"/>
    </row>
    <row r="1086" spans="4:4">
      <c r="D1086" s="36"/>
    </row>
    <row r="1087" spans="4:4">
      <c r="D1087" s="36"/>
    </row>
    <row r="1088" spans="4:4">
      <c r="D1088" s="36"/>
    </row>
    <row r="1089" spans="4:4">
      <c r="D1089" s="36"/>
    </row>
    <row r="1090" spans="4:4">
      <c r="D1090" s="36"/>
    </row>
    <row r="1091" spans="4:4">
      <c r="D1091" s="36"/>
    </row>
    <row r="1092" spans="4:4">
      <c r="D1092" s="36"/>
    </row>
    <row r="1093" spans="4:4">
      <c r="D1093" s="36"/>
    </row>
    <row r="1094" spans="4:4">
      <c r="D1094" s="36"/>
    </row>
    <row r="1095" spans="4:4">
      <c r="D1095" s="36"/>
    </row>
    <row r="1096" spans="4:4">
      <c r="D1096" s="36"/>
    </row>
    <row r="1097" spans="4:4">
      <c r="D1097" s="36"/>
    </row>
    <row r="1098" spans="4:4">
      <c r="D1098" s="36"/>
    </row>
    <row r="1099" spans="4:4">
      <c r="D1099" s="36"/>
    </row>
    <row r="1100" spans="4:4">
      <c r="D1100" s="36"/>
    </row>
    <row r="1101" spans="4:4">
      <c r="D1101" s="36"/>
    </row>
    <row r="1102" spans="4:4">
      <c r="D1102" s="36"/>
    </row>
    <row r="1103" spans="4:4">
      <c r="D1103" s="36"/>
    </row>
    <row r="1104" spans="4:4">
      <c r="D1104" s="36"/>
    </row>
    <row r="1105" spans="4:4">
      <c r="D1105" s="36"/>
    </row>
    <row r="1106" spans="4:4">
      <c r="D1106" s="36"/>
    </row>
    <row r="1107" spans="4:4">
      <c r="D1107" s="36"/>
    </row>
    <row r="1108" spans="4:4">
      <c r="D1108" s="36"/>
    </row>
    <row r="1109" spans="4:4">
      <c r="D1109" s="36"/>
    </row>
    <row r="1110" spans="4:4">
      <c r="D1110" s="36"/>
    </row>
    <row r="1111" spans="4:4">
      <c r="D1111" s="36"/>
    </row>
    <row r="1112" spans="4:4">
      <c r="D1112" s="36"/>
    </row>
    <row r="1113" spans="4:4">
      <c r="D1113" s="36"/>
    </row>
    <row r="1114" spans="4:4">
      <c r="D1114" s="36"/>
    </row>
    <row r="1115" spans="4:4">
      <c r="D1115" s="36"/>
    </row>
    <row r="1116" spans="4:4">
      <c r="D1116" s="36"/>
    </row>
    <row r="1117" spans="4:4">
      <c r="D1117" s="36"/>
    </row>
    <row r="1118" spans="4:4">
      <c r="D1118" s="36"/>
    </row>
    <row r="1119" spans="4:4">
      <c r="D1119" s="36"/>
    </row>
    <row r="1120" spans="4:4">
      <c r="D1120" s="36"/>
    </row>
    <row r="1121" spans="4:4">
      <c r="D1121" s="36"/>
    </row>
    <row r="1122" spans="4:4">
      <c r="D1122" s="36"/>
    </row>
    <row r="1123" spans="4:4">
      <c r="D1123" s="36"/>
    </row>
    <row r="1124" spans="4:4">
      <c r="D1124" s="36"/>
    </row>
    <row r="1125" spans="4:4">
      <c r="D1125" s="36"/>
    </row>
    <row r="1126" spans="4:4">
      <c r="D1126" s="36"/>
    </row>
    <row r="1127" spans="4:4">
      <c r="D1127" s="36"/>
    </row>
    <row r="1128" spans="4:4">
      <c r="D1128" s="36"/>
    </row>
    <row r="1129" spans="4:4">
      <c r="D1129" s="36"/>
    </row>
    <row r="1130" spans="4:4">
      <c r="D1130" s="36"/>
    </row>
    <row r="1131" spans="4:4">
      <c r="D1131" s="36"/>
    </row>
    <row r="1132" spans="4:4">
      <c r="D1132" s="36"/>
    </row>
    <row r="1133" spans="4:4">
      <c r="D1133" s="36"/>
    </row>
    <row r="1134" spans="4:4">
      <c r="D1134" s="36"/>
    </row>
    <row r="1135" spans="4:4">
      <c r="D1135" s="36"/>
    </row>
    <row r="1136" spans="4:4">
      <c r="D1136" s="36"/>
    </row>
    <row r="1137" spans="4:4">
      <c r="D1137" s="36"/>
    </row>
    <row r="1138" spans="4:4">
      <c r="D1138" s="36"/>
    </row>
    <row r="1139" spans="4:4">
      <c r="D1139" s="36"/>
    </row>
    <row r="1140" spans="4:4">
      <c r="D1140" s="36"/>
    </row>
    <row r="1141" spans="4:4">
      <c r="D1141" s="36"/>
    </row>
    <row r="1142" spans="4:4">
      <c r="D1142" s="36"/>
    </row>
    <row r="1143" spans="4:4">
      <c r="D1143" s="36"/>
    </row>
    <row r="1144" spans="4:4">
      <c r="D1144" s="36"/>
    </row>
    <row r="1145" spans="4:4">
      <c r="D1145" s="36"/>
    </row>
    <row r="1146" spans="4:4">
      <c r="D1146" s="36"/>
    </row>
    <row r="1147" spans="4:4">
      <c r="D1147" s="36"/>
    </row>
    <row r="1148" spans="4:4">
      <c r="D1148" s="36"/>
    </row>
    <row r="1149" spans="4:4">
      <c r="D1149" s="36"/>
    </row>
    <row r="1150" spans="4:4">
      <c r="D1150" s="36"/>
    </row>
    <row r="1151" spans="4:4">
      <c r="D1151" s="36"/>
    </row>
    <row r="1152" spans="4:4">
      <c r="D1152" s="36"/>
    </row>
    <row r="1153" spans="4:4">
      <c r="D1153" s="36"/>
    </row>
    <row r="1154" spans="4:4">
      <c r="D1154" s="36"/>
    </row>
    <row r="1155" spans="4:4">
      <c r="D1155" s="36"/>
    </row>
    <row r="1156" spans="4:4">
      <c r="D1156" s="36"/>
    </row>
    <row r="1157" spans="4:4">
      <c r="D1157" s="36"/>
    </row>
    <row r="1158" spans="4:4">
      <c r="D1158" s="36"/>
    </row>
    <row r="1159" spans="4:4">
      <c r="D1159" s="36"/>
    </row>
    <row r="1160" spans="4:4">
      <c r="D1160" s="36"/>
    </row>
    <row r="1161" spans="4:4">
      <c r="D1161" s="36"/>
    </row>
    <row r="1162" spans="4:4">
      <c r="D1162" s="36"/>
    </row>
    <row r="1163" spans="4:4">
      <c r="D1163" s="36"/>
    </row>
    <row r="1164" spans="4:4">
      <c r="D1164" s="36"/>
    </row>
    <row r="1165" spans="4:4">
      <c r="D1165" s="36"/>
    </row>
    <row r="1166" spans="4:4">
      <c r="D1166" s="36"/>
    </row>
    <row r="1167" spans="4:4">
      <c r="D1167" s="36"/>
    </row>
    <row r="1168" spans="4:4">
      <c r="D1168" s="36"/>
    </row>
    <row r="1169" spans="4:4">
      <c r="D1169" s="36"/>
    </row>
    <row r="1170" spans="4:4">
      <c r="D1170" s="36"/>
    </row>
    <row r="1171" spans="4:4">
      <c r="D1171" s="36"/>
    </row>
    <row r="1172" spans="4:4">
      <c r="D1172" s="36"/>
    </row>
    <row r="1173" spans="4:4">
      <c r="D1173" s="36"/>
    </row>
    <row r="1174" spans="4:4">
      <c r="D1174" s="36"/>
    </row>
    <row r="1175" spans="4:4">
      <c r="D1175" s="36"/>
    </row>
    <row r="1176" spans="4:4">
      <c r="D1176" s="36"/>
    </row>
    <row r="1177" spans="4:4">
      <c r="D1177" s="36"/>
    </row>
    <row r="1178" spans="4:4">
      <c r="D1178" s="36"/>
    </row>
    <row r="1179" spans="4:4">
      <c r="D1179" s="36"/>
    </row>
    <row r="1180" spans="4:4">
      <c r="D1180" s="36"/>
    </row>
    <row r="1181" spans="4:4">
      <c r="D1181" s="36"/>
    </row>
    <row r="1182" spans="4:4">
      <c r="D1182" s="36"/>
    </row>
    <row r="1183" spans="4:4">
      <c r="D1183" s="36"/>
    </row>
    <row r="1184" spans="4:4">
      <c r="D1184" s="36"/>
    </row>
    <row r="1185" spans="4:4">
      <c r="D1185" s="36"/>
    </row>
    <row r="1186" spans="4:4">
      <c r="D1186" s="36"/>
    </row>
    <row r="1187" spans="4:4">
      <c r="D1187" s="36"/>
    </row>
    <row r="1188" spans="4:4">
      <c r="D1188" s="36"/>
    </row>
    <row r="1189" spans="4:4">
      <c r="D1189" s="36"/>
    </row>
    <row r="1190" spans="4:4">
      <c r="D1190" s="36"/>
    </row>
    <row r="1191" spans="4:4">
      <c r="D1191" s="36"/>
    </row>
    <row r="1192" spans="4:4">
      <c r="D1192" s="36"/>
    </row>
    <row r="1193" spans="4:4">
      <c r="D1193" s="36"/>
    </row>
    <row r="1194" spans="4:4">
      <c r="D1194" s="36"/>
    </row>
    <row r="1195" spans="4:4">
      <c r="D1195" s="36"/>
    </row>
    <row r="1196" spans="4:4">
      <c r="D1196" s="36"/>
    </row>
    <row r="1197" spans="4:4">
      <c r="D1197" s="36"/>
    </row>
    <row r="1198" spans="4:4">
      <c r="D1198" s="36"/>
    </row>
    <row r="1199" spans="4:4">
      <c r="D1199" s="36"/>
    </row>
    <row r="1200" spans="4:4">
      <c r="D1200" s="36"/>
    </row>
    <row r="1201" spans="4:4">
      <c r="D1201" s="36"/>
    </row>
    <row r="1202" spans="4:4">
      <c r="D1202" s="36"/>
    </row>
    <row r="1203" spans="4:4">
      <c r="D1203" s="36"/>
    </row>
    <row r="1204" spans="4:4">
      <c r="D1204" s="36"/>
    </row>
    <row r="1205" spans="4:4">
      <c r="D1205" s="36"/>
    </row>
    <row r="1206" spans="4:4">
      <c r="D1206" s="36"/>
    </row>
    <row r="1207" spans="4:4">
      <c r="D1207" s="36"/>
    </row>
    <row r="1208" spans="4:4">
      <c r="D1208" s="36"/>
    </row>
    <row r="1209" spans="4:4">
      <c r="D1209" s="36"/>
    </row>
    <row r="1210" spans="4:4">
      <c r="D1210" s="36"/>
    </row>
    <row r="1211" spans="4:4">
      <c r="D1211" s="36"/>
    </row>
    <row r="1212" spans="4:4">
      <c r="D1212" s="36"/>
    </row>
    <row r="1213" spans="4:4">
      <c r="D1213" s="36"/>
    </row>
    <row r="1214" spans="4:4">
      <c r="D1214" s="36"/>
    </row>
    <row r="1215" spans="4:4">
      <c r="D1215" s="36"/>
    </row>
    <row r="1216" spans="4:4">
      <c r="D1216" s="36"/>
    </row>
    <row r="1217" spans="4:4">
      <c r="D1217" s="36"/>
    </row>
    <row r="1218" spans="4:4">
      <c r="D1218" s="36"/>
    </row>
    <row r="1219" spans="4:4">
      <c r="D1219" s="36"/>
    </row>
    <row r="1220" spans="4:4">
      <c r="D1220" s="36"/>
    </row>
    <row r="1221" spans="4:4">
      <c r="D1221" s="36"/>
    </row>
    <row r="1222" spans="4:4">
      <c r="D1222" s="36"/>
    </row>
    <row r="1223" spans="4:4">
      <c r="D1223" s="36"/>
    </row>
    <row r="1224" spans="4:4">
      <c r="D1224" s="36"/>
    </row>
    <row r="1225" spans="4:4">
      <c r="D1225" s="36"/>
    </row>
    <row r="1226" spans="4:4">
      <c r="D1226" s="36"/>
    </row>
    <row r="1227" spans="4:4">
      <c r="D1227" s="36"/>
    </row>
    <row r="1228" spans="4:4">
      <c r="D1228" s="36"/>
    </row>
    <row r="1229" spans="4:4">
      <c r="D1229" s="36"/>
    </row>
    <row r="1230" spans="4:4">
      <c r="D1230" s="36"/>
    </row>
    <row r="1231" spans="4:4">
      <c r="D1231" s="36"/>
    </row>
    <row r="1232" spans="4:4">
      <c r="D1232" s="36"/>
    </row>
    <row r="1233" spans="4:4">
      <c r="D1233" s="36"/>
    </row>
    <row r="1234" spans="4:4">
      <c r="D1234" s="36"/>
    </row>
    <row r="1235" spans="4:4">
      <c r="D1235" s="36"/>
    </row>
    <row r="1236" spans="4:4">
      <c r="D1236" s="36"/>
    </row>
    <row r="1237" spans="4:4">
      <c r="D1237" s="36"/>
    </row>
    <row r="1238" spans="4:4">
      <c r="D1238" s="36"/>
    </row>
    <row r="1239" spans="4:4">
      <c r="D1239" s="36"/>
    </row>
    <row r="1240" spans="4:4">
      <c r="D1240" s="36"/>
    </row>
    <row r="1241" spans="4:4">
      <c r="D1241" s="36"/>
    </row>
    <row r="1242" spans="4:4">
      <c r="D1242" s="36"/>
    </row>
    <row r="1243" spans="4:4">
      <c r="D1243" s="36"/>
    </row>
    <row r="1244" spans="4:4">
      <c r="D1244" s="36"/>
    </row>
    <row r="1245" spans="4:4">
      <c r="D1245" s="36"/>
    </row>
    <row r="1246" spans="4:4">
      <c r="D1246" s="36"/>
    </row>
    <row r="1247" spans="4:4">
      <c r="D1247" s="36"/>
    </row>
    <row r="1248" spans="4:4">
      <c r="D1248" s="36"/>
    </row>
    <row r="1249" spans="4:4">
      <c r="D1249" s="36"/>
    </row>
    <row r="1250" spans="4:4">
      <c r="D1250" s="36"/>
    </row>
    <row r="1251" spans="4:4">
      <c r="D1251" s="36"/>
    </row>
    <row r="1252" spans="4:4">
      <c r="D1252" s="36"/>
    </row>
    <row r="1253" spans="4:4">
      <c r="D1253" s="36"/>
    </row>
    <row r="1254" spans="4:4">
      <c r="D1254" s="36"/>
    </row>
    <row r="1255" spans="4:4">
      <c r="D1255" s="36"/>
    </row>
    <row r="1256" spans="4:4">
      <c r="D1256" s="36"/>
    </row>
    <row r="1257" spans="4:4">
      <c r="D1257" s="36"/>
    </row>
    <row r="1258" spans="4:4">
      <c r="D1258" s="36"/>
    </row>
    <row r="1259" spans="4:4">
      <c r="D1259" s="36"/>
    </row>
    <row r="1260" spans="4:4">
      <c r="D1260" s="36"/>
    </row>
    <row r="1261" spans="4:4">
      <c r="D1261" s="36"/>
    </row>
    <row r="1262" spans="4:4">
      <c r="D1262" s="36"/>
    </row>
    <row r="1263" spans="4:4">
      <c r="D1263" s="36"/>
    </row>
    <row r="1264" spans="4:4">
      <c r="D1264" s="36"/>
    </row>
    <row r="1265" spans="4:4">
      <c r="D1265" s="36"/>
    </row>
    <row r="1266" spans="4:4">
      <c r="D1266" s="36"/>
    </row>
    <row r="1267" spans="4:4">
      <c r="D1267" s="36"/>
    </row>
    <row r="1268" spans="4:4">
      <c r="D1268" s="36"/>
    </row>
    <row r="1269" spans="4:4">
      <c r="D1269" s="36"/>
    </row>
    <row r="1270" spans="4:4">
      <c r="D1270" s="36"/>
    </row>
    <row r="1271" spans="4:4">
      <c r="D1271" s="36"/>
    </row>
    <row r="1272" spans="4:4">
      <c r="D1272" s="36"/>
    </row>
    <row r="1273" spans="4:4">
      <c r="D1273" s="36"/>
    </row>
    <row r="1274" spans="4:4">
      <c r="D1274" s="36"/>
    </row>
    <row r="1275" spans="4:4">
      <c r="D1275" s="36"/>
    </row>
    <row r="1276" spans="4:4">
      <c r="D1276" s="36"/>
    </row>
    <row r="1277" spans="4:4">
      <c r="D1277" s="36"/>
    </row>
    <row r="1278" spans="4:4">
      <c r="D1278" s="36"/>
    </row>
    <row r="1279" spans="4:4">
      <c r="D1279" s="36"/>
    </row>
    <row r="1280" spans="4:4">
      <c r="D1280" s="36"/>
    </row>
    <row r="1281" spans="4:4">
      <c r="D1281" s="36"/>
    </row>
    <row r="1282" spans="4:4">
      <c r="D1282" s="36"/>
    </row>
    <row r="1283" spans="4:4">
      <c r="D1283" s="36"/>
    </row>
    <row r="1284" spans="4:4">
      <c r="D1284" s="36"/>
    </row>
    <row r="1285" spans="4:4">
      <c r="D1285" s="36"/>
    </row>
    <row r="1286" spans="4:4">
      <c r="D1286" s="36"/>
    </row>
    <row r="1287" spans="4:4">
      <c r="D1287" s="36"/>
    </row>
    <row r="1288" spans="4:4">
      <c r="D1288" s="36"/>
    </row>
    <row r="1289" spans="4:4">
      <c r="D1289" s="36"/>
    </row>
    <row r="1290" spans="4:4">
      <c r="D1290" s="36"/>
    </row>
    <row r="1291" spans="4:4">
      <c r="D1291" s="36"/>
    </row>
    <row r="1292" spans="4:4">
      <c r="D1292" s="36"/>
    </row>
    <row r="1293" spans="4:4">
      <c r="D1293" s="36"/>
    </row>
    <row r="1294" spans="4:4">
      <c r="D1294" s="36"/>
    </row>
    <row r="1295" spans="4:4">
      <c r="D1295" s="36"/>
    </row>
    <row r="1296" spans="4:4">
      <c r="D1296" s="36"/>
    </row>
    <row r="1297" spans="4:4">
      <c r="D1297" s="36"/>
    </row>
    <row r="1298" spans="4:4">
      <c r="D1298" s="36"/>
    </row>
    <row r="1299" spans="4:4">
      <c r="D1299" s="36"/>
    </row>
    <row r="1300" spans="4:4">
      <c r="D1300" s="36"/>
    </row>
    <row r="1301" spans="4:4">
      <c r="D1301" s="36"/>
    </row>
    <row r="1302" spans="4:4">
      <c r="D1302" s="36"/>
    </row>
    <row r="1303" spans="4:4">
      <c r="D1303" s="36"/>
    </row>
    <row r="1304" spans="4:4">
      <c r="D1304" s="36"/>
    </row>
    <row r="1305" spans="4:4">
      <c r="D1305" s="36"/>
    </row>
    <row r="1306" spans="4:4">
      <c r="D1306" s="36"/>
    </row>
    <row r="1307" spans="4:4">
      <c r="D1307" s="36"/>
    </row>
    <row r="1308" spans="4:4">
      <c r="D1308" s="36"/>
    </row>
    <row r="1309" spans="4:4">
      <c r="D1309" s="36"/>
    </row>
    <row r="1310" spans="4:4">
      <c r="D1310" s="36"/>
    </row>
    <row r="1311" spans="4:4">
      <c r="D1311" s="36"/>
    </row>
    <row r="1312" spans="4:4">
      <c r="D1312" s="36"/>
    </row>
    <row r="1313" spans="4:4">
      <c r="D1313" s="36"/>
    </row>
    <row r="1314" spans="4:4">
      <c r="D1314" s="36"/>
    </row>
    <row r="1315" spans="4:4">
      <c r="D1315" s="36"/>
    </row>
    <row r="1316" spans="4:4">
      <c r="D1316" s="36"/>
    </row>
    <row r="1317" spans="4:4">
      <c r="D1317" s="36"/>
    </row>
    <row r="1318" spans="4:4">
      <c r="D1318" s="36"/>
    </row>
    <row r="1319" spans="4:4">
      <c r="D1319" s="36"/>
    </row>
    <row r="1320" spans="4:4">
      <c r="D1320" s="36"/>
    </row>
    <row r="1321" spans="4:4">
      <c r="D1321" s="36"/>
    </row>
    <row r="1322" spans="4:4">
      <c r="D1322" s="36"/>
    </row>
    <row r="1323" spans="4:4">
      <c r="D1323" s="36"/>
    </row>
    <row r="1324" spans="4:4">
      <c r="D1324" s="36"/>
    </row>
    <row r="1325" spans="4:4">
      <c r="D1325" s="36"/>
    </row>
    <row r="1326" spans="4:4">
      <c r="D1326" s="36"/>
    </row>
    <row r="1327" spans="4:4">
      <c r="D1327" s="36"/>
    </row>
    <row r="1328" spans="4:4">
      <c r="D1328" s="36"/>
    </row>
    <row r="1329" spans="4:4">
      <c r="D1329" s="36"/>
    </row>
    <row r="1330" spans="4:4">
      <c r="D1330" s="36"/>
    </row>
    <row r="1331" spans="4:4">
      <c r="D1331" s="36"/>
    </row>
    <row r="1332" spans="4:4">
      <c r="D1332" s="36"/>
    </row>
    <row r="1333" spans="4:4">
      <c r="D1333" s="36"/>
    </row>
    <row r="1334" spans="4:4">
      <c r="D1334" s="36"/>
    </row>
    <row r="1335" spans="4:4">
      <c r="D1335" s="36"/>
    </row>
    <row r="1336" spans="4:4">
      <c r="D1336" s="36"/>
    </row>
    <row r="1337" spans="4:4">
      <c r="D1337" s="36"/>
    </row>
    <row r="1338" spans="4:4">
      <c r="D1338" s="36"/>
    </row>
    <row r="1339" spans="4:4">
      <c r="D1339" s="36"/>
    </row>
    <row r="1340" spans="4:4">
      <c r="D1340" s="36"/>
    </row>
    <row r="1341" spans="4:4">
      <c r="D1341" s="36"/>
    </row>
    <row r="1342" spans="4:4">
      <c r="D1342" s="36"/>
    </row>
    <row r="1343" spans="4:4">
      <c r="D1343" s="36"/>
    </row>
    <row r="1344" spans="4:4">
      <c r="D1344" s="36"/>
    </row>
  </sheetData>
  <autoFilter ref="A1:Y219" xr:uid="{D1EE93EC-F2E3-4848-BD29-CE38EA57B900}">
    <filterColumn colId="8">
      <filters>
        <filter val="IK - Informationskrav"/>
      </filters>
    </filterColumn>
    <filterColumn colId="14">
      <filters>
        <filter val="Morten"/>
      </filters>
    </filterColumn>
  </autoFilter>
  <conditionalFormatting sqref="Y2:Y219">
    <cfRule type="expression" dxfId="21" priority="1">
      <formula>Y2=1%</formula>
    </cfRule>
    <cfRule type="expression" dxfId="20" priority="50">
      <formula>Y2=100%</formula>
    </cfRule>
    <cfRule type="expression" dxfId="19" priority="51">
      <formula>Y2=90%</formula>
    </cfRule>
    <cfRule type="expression" dxfId="18" priority="52">
      <formula>Y2=80%</formula>
    </cfRule>
    <cfRule type="expression" dxfId="17" priority="53">
      <formula>Y2=70%</formula>
    </cfRule>
    <cfRule type="expression" dxfId="16" priority="54">
      <formula>Y2=50%</formula>
    </cfRule>
    <cfRule type="expression" dxfId="15" priority="55">
      <formula>Y2=0%</formula>
    </cfRule>
  </conditionalFormatting>
  <dataValidations count="5">
    <dataValidation type="list" allowBlank="1" showInputMessage="1" showErrorMessage="1" sqref="I2:I1048576" xr:uid="{6C6E7BD1-5E99-437B-99E1-91DF6465588A}">
      <formula1>"MK - Minimumskrav,IK - Informationskrav,K - Konkurrencekrav,O - Option"</formula1>
    </dataValidation>
    <dataValidation type="list" allowBlank="1" showInputMessage="1" showErrorMessage="1" sqref="J2:J1048576" xr:uid="{95499E4C-074F-4B28-9F2A-77949A801A46}">
      <formula1>"Check,Answer,Verify"</formula1>
    </dataValidation>
    <dataValidation type="list" allowBlank="1" showInputMessage="1" showErrorMessage="1" sqref="T2:V1048576" xr:uid="{18ED9EE9-09B1-43C4-8FC8-08B49C73047C}">
      <formula1>"Yes,No"</formula1>
    </dataValidation>
    <dataValidation type="list" allowBlank="1" showInputMessage="1" showErrorMessage="1" sqref="X2:X1048576" xr:uid="{040DE69A-7B26-4651-A2CD-62D1B8DEF7C4}">
      <formula1>"Not Started,Read,Started,Ready for review,Reviewed - Content,Reviewed - Format,Done"</formula1>
    </dataValidation>
    <dataValidation type="list" allowBlank="1" showInputMessage="1" showErrorMessage="1" sqref="R2:R1048576" xr:uid="{305E000A-9AC7-4135-A4BC-2C782A6A2F4F}">
      <formula1>"1. Fully met,2. Partly met,3. Not able to meet,4. Not part of offer"</formula1>
    </dataValidation>
  </dataValidations>
  <hyperlinks>
    <hyperlink ref="W2" r:id="rId1" display="https://tietoevry.sharepoint.com/:w:/s/Udbud/IQDjUbtqjr5pQY1XgWzmZhe9AfmRcp8p_17QXHnruB0Q12M?e=jrAeu4" xr:uid="{C0F4D45B-93FF-4689-B0A4-EBA3BF23F6B6}"/>
    <hyperlink ref="W3" r:id="rId2" display="https://tietoevry.sharepoint.com/:w:/s/Udbud/IQD_kbysfilpTZA7Vsf3_-eAAcA_QwvxrpdSONJVxygbH5U?e=2miPtL" xr:uid="{A3B306B2-8E3F-4EA4-9A82-5708EC571EE5}"/>
    <hyperlink ref="W4" r:id="rId3" display="https://tietoevry.sharepoint.com/:w:/s/Udbud/IQDLrSO1TCpnSKegVIrOqqS6AYBE2KRKEWeb1Lm7VvWGuAI?e=fbi7xr" xr:uid="{80F620DD-DA16-471A-9DCB-1F22D137FA4E}"/>
    <hyperlink ref="W5" r:id="rId4" display="https://tietoevry.sharepoint.com/:w:/s/Udbud/IQDtN_i6AywrT5YqOuS1gJvlAbD-C6xD7YxF3XRC7pM02aE?e=KFv2cv" xr:uid="{88BE3382-E927-4BBD-802B-AE6EE2C0936E}"/>
    <hyperlink ref="W6" r:id="rId5" display="https://tietoevry.sharepoint.com/:w:/s/Udbud/IQCEGTLDaLtZT6F8uXqttLPWAQjPd2imh8BSRonj-b0wc2A?e=vRL4kn" xr:uid="{C7A206E8-D2C1-4181-BA68-68210F46CBDC}"/>
    <hyperlink ref="W7" r:id="rId6" display="https://tietoevry.sharepoint.com/:w:/s/Udbud/IQBJv4XLS9eTQ4wnDeQuAaKVAWshXPTqpW6tLVEiHoFbixQ?e=dPjceC" xr:uid="{BCDC3FBF-78F1-4F0F-9842-32D66162EB15}"/>
    <hyperlink ref="W8" r:id="rId7" display="https://tietoevry.sharepoint.com/:w:/s/Udbud/IQCrXPlmLg-MQ746DD-4wRdpAWJgLLNPj68rrmGPojWlzgo?e=erC8P1" xr:uid="{95533FF4-911D-4389-AA9B-71E525D2612B}"/>
    <hyperlink ref="W12" r:id="rId8" display="https://tietoevry.sharepoint.com/:w:/s/Udbud/IQC69nNOJBd8R5-WE3ibYM_sAa9YIRUTQHJ1VfMMMaYKFbM?e=gP366Q" xr:uid="{E1B449D6-F890-40CC-AA8E-F261C73F620D}"/>
    <hyperlink ref="W13" r:id="rId9" display="https://tietoevry.sharepoint.com/:w:/s/Udbud/IQBtK_OXadXwS6d6dwwqDMHRAS3Y2SfiCfl1JMTbSCOrGNI?e=9Dws2J" xr:uid="{5FC20732-C774-49EE-AD0F-AC642F338A22}"/>
    <hyperlink ref="W18" r:id="rId10" display="https://tietoevry.sharepoint.com/:w:/s/Udbud/IQA7L8TBWrAVQ7kNDULLFkwkAeetleAxpkgtJMkO-ADLkaw?e=B1SKHu" xr:uid="{338F6B04-FABE-44F0-BFBF-2189BE1AD587}"/>
    <hyperlink ref="W21" r:id="rId11" display="https://tietoevry.sharepoint.com/:w:/s/Udbud/IQA5Rw2eugXUTpjOnppaWVASAW0G01CH0mfHGxYFwMU8huw?e=wUm8cq" xr:uid="{9A3B82BB-3202-4E11-90DD-7F700F5CAB1D}"/>
    <hyperlink ref="W22" r:id="rId12" display="https://tietoevry.sharepoint.com/:w:/s/Udbud/IQCSv-UnZiVLSoWfgHcEk51rAc4INtz1Y-jBBDg-Doza3CA?e=crvRsX" xr:uid="{58B48D9E-8797-4729-A1E2-EF4D80141455}"/>
    <hyperlink ref="W26" r:id="rId13" display="https://tietoevry.sharepoint.com/:w:/s/Udbud/IQBIZptYS7P5T47rtvFfN65sAb_PKCM7otsrwuZZuTeUyDc?e=LM6uln" xr:uid="{E89F8D81-35EA-4BE9-B611-986288BF85BE}"/>
    <hyperlink ref="W27" r:id="rId14" display="https://tietoevry.sharepoint.com/:w:/s/Udbud/IQCMLK31nWJISYuSKksDjS_QAXA9nutFHBdrjSQ1VRlFKjQ?e=RN0syb" xr:uid="{DFCD680A-7BAE-4A4C-83A4-1EBE0F6F6446}"/>
    <hyperlink ref="W28" r:id="rId15" display="https://tietoevry.sharepoint.com/:w:/s/Udbud/IQDLRXfqKFW4QrnG6U5cMDlGAZ8mmJaLnMUrBqB8fWE1SM0?e=mhY5Rs" xr:uid="{55F9B821-D288-49E8-9C99-FD31221E2259}"/>
    <hyperlink ref="W29" r:id="rId16" display="https://tietoevry.sharepoint.com/:w:/s/Udbud/IQA32Kc4qyx3SZKK9Vxr7D2qAfWs9RFGB5-Z9WPRa6qRMCs?e=Y05XZJ" xr:uid="{8083E76D-470D-444C-9EFB-339448234C7F}"/>
    <hyperlink ref="W31" r:id="rId17" display="https://tietoevry.sharepoint.com/:w:/s/Udbud/IQACqy4WWS1HQL99GAD389dbAXmQu8mbuRosBwQB9zJ0tok?e=C6rOdg" xr:uid="{B6F514C4-3510-49CA-AE75-FA72BAB325DB}"/>
    <hyperlink ref="W35" r:id="rId18" display="https://tietoevry.sharepoint.com/:w:/s/Udbud/IQBbsq-C6wYvSojma9VYqyeCAYrpuLD8GOesOAQNQmd1T_M?e=zuarB6" xr:uid="{E7898DDB-1883-4D68-8F0F-15989E18B080}"/>
    <hyperlink ref="W36" r:id="rId19" display="https://tietoevry.sharepoint.com/:w:/s/Udbud/IQBinACx_WumTqAWEuZo2hslAapR4koHKW_jzI4yya4N0Zo?e=eUl78s" xr:uid="{F025C26E-A305-477C-90A1-C4365689389A}"/>
    <hyperlink ref="W39" r:id="rId20" display="https://tietoevry.sharepoint.com/:w:/s/Udbud/IQD0_P8S3p9zQI1HlNdvfYyhAQzQUtgC96-4aqQMovQL62g?e=eOQlrm" xr:uid="{DB84C1F7-2AAB-4726-84DB-DFB99B138ECD}"/>
    <hyperlink ref="W42" r:id="rId21" display="https://tietoevry.sharepoint.com/:w:/s/Udbud/IQBhO-qzJKx3R4SOlc57AlOLAY4w4sIdigCPjSjVuHwNKtI?e=y6NYZ3" xr:uid="{A5638035-0345-412B-B2A1-C4C21D60FB04}"/>
    <hyperlink ref="W55" r:id="rId22" display="https://tietoevry.sharepoint.com/:w:/s/Udbud/IQBh_cPdtOMWSrUstSGzXbOqAVnrkvtaYJ1zFaeN-IUcsW8?e=4h2Fpu" xr:uid="{FA8196E8-79AD-4DF0-B285-079C5C5B895A}"/>
    <hyperlink ref="W57" r:id="rId23" display="https://tietoevry.sharepoint.com/:w:/s/Udbud/IQAWletvTERgRrf6YLJnhxmrAfgrC6VQZ5hnTrqgtfZgH_s?e=U4fHG9" xr:uid="{77086F7D-19B3-4E39-A367-67B26523E8FB}"/>
    <hyperlink ref="W58" r:id="rId24" display="https://tietoevry.sharepoint.com/:w:/s/Udbud/IQDBPmkOckXwRrExUbuzYPSCASQ4DVUWMLvcDg1-PcRWGm4?e=b1V6pr" xr:uid="{A96529BF-2422-4F23-A755-051710603131}"/>
    <hyperlink ref="W59" r:id="rId25" display="https://tietoevry.sharepoint.com/:w:/s/Udbud/IQCjciBJB5lFQ70tgKgceE8UAbjX0iivZQKeGHwpv8RQmp4?e=Wer23s" xr:uid="{72C04C06-B6BB-4586-8A99-9B8E1655D01D}"/>
    <hyperlink ref="W62" r:id="rId26" display="https://tietoevry.sharepoint.com/:w:/s/Udbud/IQA9ZchDRaWIRYbYpgW0ytE5AaMNgWvGpyGFydaRzYE6bQY?e=nwn3ev" xr:uid="{8176EDA9-F24F-4F31-AD82-C5D23E638F7C}"/>
    <hyperlink ref="W63" r:id="rId27" display="https://tietoevry.sharepoint.com/:w:/s/Udbud/IQC8zdFW4QvaQ4na09-lljjnAdZgvH6TmNqlqAA7pMCRg_U?e=dcPtEc" xr:uid="{35B6C773-3AB6-422D-848E-B54A91E57DCF}"/>
    <hyperlink ref="W66" r:id="rId28" display="https://tietoevry.sharepoint.com/:w:/s/Udbud/IQBSngnscBvbTqc-qZduQldBAdjh3c1V5kaOAJOlL_UoNNE?e=YLeH5W" xr:uid="{398AA4C7-3094-49A2-9D1F-785E2F029258}"/>
    <hyperlink ref="W67" r:id="rId29" display="https://tietoevry.sharepoint.com/:w:/s/Udbud/IQCw7vVFU4aMTbMsN8qQsZ3fAUIVRh7aVi1ByjN02yD2Kio?e=UfAYb1" xr:uid="{4A265520-F5C4-4706-B571-082622349D26}"/>
    <hyperlink ref="W69" r:id="rId30" display="https://tietoevry.sharepoint.com/:w:/s/Udbud/IQBzDs8Mjt4oSofkWJeaccAgAWaINbJWBVR-P6x_mLBs-fQ?e=VGDvE2" xr:uid="{DDA4C06D-FE77-4AA1-B9CF-CEEA7E4BCF17}"/>
    <hyperlink ref="W70" r:id="rId31" display="https://tietoevry.sharepoint.com/:w:/s/Udbud/IQAjhJFnlq2URKgBo50Y3Nq6AXCG2hiXaioRbwdzzChjt64?e=uUWGqX" xr:uid="{08C25CD9-BF22-447E-9E7D-3331E42814C3}"/>
    <hyperlink ref="W75" r:id="rId32" display="https://tietoevry.sharepoint.com/:w:/s/Udbud/IQAbo1Uq-2yvT5rqtkRCk73yAbltXastBvHe8BWrILv22GY?e=SX2E3s" xr:uid="{7BE55C47-DA54-46D4-890F-65BCCF6A3603}"/>
    <hyperlink ref="W79" r:id="rId33" display="https://tietoevry.sharepoint.com/:w:/s/Udbud/IQD6XmhLHQ46SKGEr_LjCpJXAV1LPE8ADQRvjOiTqYXKnO0?e=oelkFS" xr:uid="{FB19E933-A0A2-43C3-AC2E-5E2F0D9F2D3C}"/>
    <hyperlink ref="W80" r:id="rId34" display="https://tietoevry.sharepoint.com/:w:/s/Udbud/IQDeLox29f7YQ6W-JJ6AEaP-ARuXmE_qVptA0Tez0-IQeWw?e=NuFEL0" xr:uid="{C94D46C7-FB3C-46C0-9411-B50BFAB5B052}"/>
    <hyperlink ref="W82" r:id="rId35" display="https://tietoevry.sharepoint.com/:w:/s/Udbud/IQCmnAASj8RbT5TvNJl319wrAZO1YC-qztP3Osh9XdnGf88?e=eODu46" xr:uid="{3377EF6A-4039-4686-B10D-CD9F0A01F92B}"/>
    <hyperlink ref="W83" r:id="rId36" display="https://tietoevry.sharepoint.com/:w:/s/Udbud/IQBu9ycix34oQoFat3eBi1RQAezFT9hkY1FJs4MgZIKRFgM?e=KfKiei" xr:uid="{67A915F1-6F7B-41D6-826A-CC798285418A}"/>
    <hyperlink ref="W84" r:id="rId37" display="https://tietoevry.sharepoint.com/:w:/s/Udbud/IQAw4j8Z3FsISpBCrUEfN_E_AVcYjtbmj6Wfp7RoL4GVr54?e=03OuEW" xr:uid="{1562E3A4-7029-4581-B4FF-5B325708A02A}"/>
    <hyperlink ref="W86" r:id="rId38" display="https://tietoevry.sharepoint.com/:w:/s/Udbud/IQB267x8K3GwQ5qhaEh5Kp7VAUFBlNa5Nvbn_GZFzWu2alI?e=SYvcXA" xr:uid="{431D0CAE-D486-47B5-9B2E-B1E156B71869}"/>
    <hyperlink ref="W88" r:id="rId39" display="https://tietoevry.sharepoint.com/:w:/s/Udbud/IQBtBRHJPpeKTJo3t1D-XThfAd3Yl0epWPa9s20evWRAJ8o?e=evOJ8U" xr:uid="{130991B0-416C-491C-A830-3AB484159672}"/>
    <hyperlink ref="W90" r:id="rId40" display="https://tietoevry.sharepoint.com/:w:/s/Udbud/IQDQKlMP3p7dRrOD_L4TewS4ARBVlVVEBuuDlPEp8F5jkVw?e=tLZ41h" xr:uid="{E98D2B36-BF70-444F-8099-9E122EEA9078}"/>
    <hyperlink ref="W95" r:id="rId41" display="https://tietoevry.sharepoint.com/:w:/s/Udbud/IQD3GK9VtbDEQrsLsgPZo2rmAQEI5EGhBsPleaDaQIc2Jcw?e=sWlWf8" xr:uid="{885AD352-47E0-424C-88AF-8621CEDD36F4}"/>
    <hyperlink ref="W100" r:id="rId42" display="https://tietoevry.sharepoint.com/:w:/s/Udbud/IQCFznMdQgMSS62jWbX0EA16AYgptq_AoEBuAvujz1fjsug?e=hEbUd0" xr:uid="{212053AE-4DE0-45A7-912D-DD92CC1ED57D}"/>
    <hyperlink ref="W103" r:id="rId43" display="https://tietoevry.sharepoint.com/:w:/s/Udbud/IQBCpKxKxfRTR7P5CAVCnrJMAXviTX8EamR9dA5fxlR1ZU0?e=SRA4Kc" xr:uid="{47E2AF21-86E7-4629-91B2-426379201C18}"/>
    <hyperlink ref="W104" r:id="rId44" display="https://tietoevry.sharepoint.com/:w:/s/Udbud/IQDsslYXkfAER6CHgRz5tVFGAdfrrwJI6zrlTTwd7yY8JEM?e=bYgz3b" xr:uid="{02D7025A-25EE-46C8-AE54-05046A80079D}"/>
    <hyperlink ref="W106" r:id="rId45" display="https://tietoevry.sharepoint.com/:w:/s/Udbud/IQC3micZ1JfBQY6dGmQ5L7rxAX3TCffQkmMPUCPmq0XiPeQ?e=ZtLLVO" xr:uid="{1D6707F0-0EEC-466A-943C-08C417CBD702}"/>
    <hyperlink ref="W108" r:id="rId46" display="https://tietoevry.sharepoint.com/:w:/s/Udbud/IQA9I2m382J9TZitwtdxRpoUAf-6aeE8XHlRR395RzabeOY?e=rn51jE" xr:uid="{B9D58747-B904-4129-AF35-59AD7A337B3F}"/>
    <hyperlink ref="W111" r:id="rId47" display="https://tietoevry.sharepoint.com/:w:/s/Udbud/IQAt6JphM-IFTLrgtVrcn4eHAXUAqqYLIG5GCl0obbnE6ao?e=10ASQa" xr:uid="{902AC0B8-206B-43D9-B58E-03EA32BFD423}"/>
    <hyperlink ref="W113" r:id="rId48" display="https://tietoevry.sharepoint.com/:w:/s/Udbud/IQDrZakqGmANR61DTyVFxYw3AfdKmIH_dZi8mhK7ZMjHeWI?e=wnXRqD" xr:uid="{50DB1D1B-8201-4757-B0CD-41DDEAA7B058}"/>
    <hyperlink ref="W112" r:id="rId49" display="https://tietoevry.sharepoint.com/:w:/s/Udbud/IQAKnCVTyKvjSIeJM4nCoROWAcpLWsy2UeFXXJMP9ZWtNAc?e=ePzdk7" xr:uid="{83BFC0A6-7CA4-47CF-BF01-B06F4D3FDEF8}"/>
    <hyperlink ref="W114" r:id="rId50" display="https://tietoevry.sharepoint.com/:w:/s/Udbud/IQDSxlZQP2nAR56aK-m-0CeAAQ0CMRsY42upo7m6MewoP50?e=7w8Rlt" xr:uid="{FD6FF754-9880-48D1-9BFE-40C3344716E6}"/>
    <hyperlink ref="W124" r:id="rId51" display="https://tietoevry.sharepoint.com/:w:/s/Udbud/IQCijH8oZzFFSKvZ53IdPTUqAejn4hI9IZLp5AO6YgDCkCM?e=OSBtpq" xr:uid="{2F1BBA4D-2C1D-42E0-8BE4-F883BC1D7EC1}"/>
    <hyperlink ref="W125" r:id="rId52" display="https://tietoevry.sharepoint.com/:w:/s/Udbud/IQBeNAeiBs-0RIceKd8k1KfqAWI-_nv6Y-6zGnzeYGG7dAU?e=s8UHWn" xr:uid="{52ACD156-48F8-44EE-A762-2A66595D79DC}"/>
    <hyperlink ref="W126" r:id="rId53" display="https://tietoevry.sharepoint.com/:w:/s/Udbud/IQACjRay-kQnSL7L1JU0RwI2Ad9MNusmmEZSKC6I9pekvcY?e=0bKWEB" xr:uid="{EB8A24B2-FBF4-4F22-A936-08E060FF9053}"/>
    <hyperlink ref="W135" r:id="rId54" display="https://tietoevry.sharepoint.com/:w:/s/Udbud/IQC1RlR9kHomTq9nseHFBjbtAc9A-C5L29UQByvZgkZwjRg?e=JNvrMl" xr:uid="{0948291C-B124-4A69-83B8-9AF7D1B0E090}"/>
    <hyperlink ref="W143" r:id="rId55" display="https://tietoevry.sharepoint.com/:w:/s/Udbud/IQDDU_McTiAYTIHV4PB54zfjATkWkXJaOhaGybe1uL5N364?e=zQQEeM" xr:uid="{026F4E28-563E-4F0F-82A4-D8D9E2F9335A}"/>
    <hyperlink ref="W152" r:id="rId56" display="https://tietoevry.sharepoint.com/:w:/s/Udbud/IQACPvyvRCwQRLn-Q9-s415VAZBFLL55cS44zdu82XqWWAg?e=x8wy6d" xr:uid="{634743F2-E86E-4868-9614-C001069DA55E}"/>
    <hyperlink ref="W157" r:id="rId57" display="https://tietoevry.sharepoint.com/:w:/s/Udbud/IQCV-nhcNOuNTYYVcVOFsuLNAfklqPm4_qRfPVEF1qBB1KQ?e=zJ5zj2" xr:uid="{8D0D30A4-2BCB-4942-AF7E-6A2E2A1AEB3E}"/>
    <hyperlink ref="W159" r:id="rId58" display="https://tietoevry.sharepoint.com/:w:/s/Udbud/IQCynw3K6a-0SJh6BaxBjuICASlFB_46-UfHiBJyEdfm6h4?e=V9rpBD" xr:uid="{56CF0773-4F26-4192-9E47-EC6F5E17D546}"/>
    <hyperlink ref="W172" r:id="rId59" display="https://tietoevry.sharepoint.com/:w:/s/Udbud/IQA7OhiaihjIR5qn5868RSSJAU18RUFQHk_HmolFoDoVUxA?e=cg1t4J" xr:uid="{E3A48E26-7262-49E6-B5D6-749A55463445}"/>
    <hyperlink ref="W41" r:id="rId60" display="https://tietoevry.sharepoint.com/:w:/s/Udbud/IQAqCR9-VFAnTbQHNVnMTXh2AV_6i8mCBhdncxifSoENN6E?e=Ic0Vvc" xr:uid="{8F8BAD71-7489-4874-B7F5-B9542735EC50}"/>
    <hyperlink ref="W149" r:id="rId61" display="https://tietoevry.sharepoint.com/:w:/s/Udbud/IQCX9-0wPQgyQreTCVCRklu4Aa6adudorVlL1CHELCYSYVA?e=ichRLd" xr:uid="{77AF5996-5FFD-4A3F-848A-B4C5DD0939C4}"/>
  </hyperlinks>
  <pageMargins left="0.7" right="0.7" top="0.75" bottom="0.75" header="0.3" footer="0.3"/>
  <pageSetup paperSize="9" orientation="portrait" r:id="rId62"/>
  <legacyDrawing r:id="rId6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7B456-01C2-4E57-97D9-B84B33331D11}">
  <dimension ref="A1:V67"/>
  <sheetViews>
    <sheetView zoomScale="66" workbookViewId="0">
      <selection activeCell="C67" sqref="C67"/>
    </sheetView>
  </sheetViews>
  <sheetFormatPr defaultColWidth="8.765625" defaultRowHeight="16"/>
  <cols>
    <col min="7" max="7" width="94" customWidth="1"/>
  </cols>
  <sheetData>
    <row r="1" spans="1:22" ht="64">
      <c r="A1" s="45" t="s">
        <v>0</v>
      </c>
      <c r="B1" s="45" t="s">
        <v>1</v>
      </c>
      <c r="C1" s="46" t="s">
        <v>2</v>
      </c>
      <c r="D1" s="45" t="s">
        <v>3</v>
      </c>
      <c r="E1" s="57" t="s">
        <v>4</v>
      </c>
      <c r="F1" s="45" t="s">
        <v>5</v>
      </c>
      <c r="G1" s="45" t="s">
        <v>6</v>
      </c>
      <c r="H1" s="45" t="s">
        <v>7</v>
      </c>
      <c r="I1" s="45" t="s">
        <v>8</v>
      </c>
      <c r="J1" s="46" t="s">
        <v>9</v>
      </c>
      <c r="K1" s="47" t="s">
        <v>13</v>
      </c>
      <c r="L1" s="48" t="s">
        <v>14</v>
      </c>
      <c r="M1" s="49" t="s">
        <v>15</v>
      </c>
      <c r="N1" s="50" t="s">
        <v>16</v>
      </c>
      <c r="O1" s="50" t="s">
        <v>17</v>
      </c>
      <c r="P1" s="50" t="s">
        <v>18</v>
      </c>
      <c r="Q1" s="50" t="s">
        <v>19</v>
      </c>
      <c r="R1" s="50" t="s">
        <v>20</v>
      </c>
      <c r="S1" s="50" t="s">
        <v>21</v>
      </c>
      <c r="T1" s="50" t="s">
        <v>22</v>
      </c>
      <c r="U1" s="49" t="s">
        <v>23</v>
      </c>
      <c r="V1" s="51" t="s">
        <v>24</v>
      </c>
    </row>
    <row r="2" spans="1:22" ht="272">
      <c r="A2" s="38">
        <v>1</v>
      </c>
      <c r="B2" s="38" t="s">
        <v>25</v>
      </c>
      <c r="C2" s="39" t="s">
        <v>26</v>
      </c>
      <c r="D2" s="38" t="s">
        <v>27</v>
      </c>
      <c r="E2" s="41" t="s">
        <v>28</v>
      </c>
      <c r="F2" s="38" t="s">
        <v>29</v>
      </c>
      <c r="G2" s="38" t="s">
        <v>30</v>
      </c>
      <c r="H2" s="38" t="s">
        <v>31</v>
      </c>
      <c r="I2" s="38" t="s">
        <v>32</v>
      </c>
      <c r="J2" s="39" t="s">
        <v>860</v>
      </c>
      <c r="K2" s="40"/>
      <c r="L2" s="41" t="s">
        <v>34</v>
      </c>
      <c r="M2" s="38"/>
      <c r="N2" s="38"/>
      <c r="O2" s="38"/>
      <c r="P2" s="38"/>
      <c r="Q2" s="38"/>
      <c r="R2" s="38"/>
      <c r="S2" s="38"/>
      <c r="T2" s="38"/>
      <c r="U2" s="38"/>
      <c r="V2" s="42" t="s">
        <v>875</v>
      </c>
    </row>
    <row r="3" spans="1:22" ht="144">
      <c r="A3" s="38">
        <v>2</v>
      </c>
      <c r="B3" s="38" t="s">
        <v>38</v>
      </c>
      <c r="C3" s="39" t="s">
        <v>26</v>
      </c>
      <c r="D3" s="38" t="s">
        <v>27</v>
      </c>
      <c r="E3" s="41" t="s">
        <v>39</v>
      </c>
      <c r="F3" s="38" t="s">
        <v>39</v>
      </c>
      <c r="G3" s="38" t="s">
        <v>40</v>
      </c>
      <c r="H3" s="38" t="s">
        <v>41</v>
      </c>
      <c r="I3" s="38" t="s">
        <v>32</v>
      </c>
      <c r="J3" s="39" t="s">
        <v>860</v>
      </c>
      <c r="K3" s="40"/>
      <c r="L3" s="41" t="s">
        <v>34</v>
      </c>
      <c r="M3" s="38"/>
      <c r="N3" s="38"/>
      <c r="O3" s="38"/>
      <c r="P3" s="38"/>
      <c r="Q3" s="38"/>
      <c r="R3" s="38"/>
      <c r="S3" s="38"/>
      <c r="T3" s="38"/>
      <c r="U3" s="38"/>
      <c r="V3" s="42" t="s">
        <v>875</v>
      </c>
    </row>
    <row r="4" spans="1:22" ht="208">
      <c r="A4" s="38">
        <v>3</v>
      </c>
      <c r="B4" s="38" t="s">
        <v>44</v>
      </c>
      <c r="C4" s="39" t="s">
        <v>26</v>
      </c>
      <c r="D4" s="38" t="s">
        <v>45</v>
      </c>
      <c r="E4" s="41" t="s">
        <v>46</v>
      </c>
      <c r="F4" s="38" t="s">
        <v>47</v>
      </c>
      <c r="G4" s="38" t="s">
        <v>48</v>
      </c>
      <c r="H4" s="38" t="s">
        <v>41</v>
      </c>
      <c r="I4" s="38" t="s">
        <v>32</v>
      </c>
      <c r="J4" s="39" t="s">
        <v>860</v>
      </c>
      <c r="K4" s="40"/>
      <c r="L4" s="41" t="s">
        <v>34</v>
      </c>
      <c r="M4" s="38"/>
      <c r="N4" s="38"/>
      <c r="O4" s="38"/>
      <c r="P4" s="38"/>
      <c r="Q4" s="38"/>
      <c r="R4" s="38"/>
      <c r="S4" s="38"/>
      <c r="T4" s="38"/>
      <c r="U4" s="38"/>
      <c r="V4" s="42" t="s">
        <v>875</v>
      </c>
    </row>
    <row r="5" spans="1:22" ht="272">
      <c r="A5" s="38">
        <v>4</v>
      </c>
      <c r="B5" s="38" t="s">
        <v>50</v>
      </c>
      <c r="C5" s="39" t="s">
        <v>26</v>
      </c>
      <c r="D5" s="38" t="s">
        <v>45</v>
      </c>
      <c r="E5" s="41" t="s">
        <v>51</v>
      </c>
      <c r="F5" s="38" t="s">
        <v>51</v>
      </c>
      <c r="G5" s="38" t="s">
        <v>52</v>
      </c>
      <c r="H5" s="38" t="s">
        <v>53</v>
      </c>
      <c r="I5" s="38" t="s">
        <v>32</v>
      </c>
      <c r="J5" s="39" t="s">
        <v>860</v>
      </c>
      <c r="K5" s="40"/>
      <c r="L5" s="41" t="s">
        <v>54</v>
      </c>
      <c r="M5" s="38" t="s">
        <v>55</v>
      </c>
      <c r="N5" s="38"/>
      <c r="O5" s="38"/>
      <c r="P5" s="38"/>
      <c r="Q5" s="38"/>
      <c r="R5" s="38"/>
      <c r="S5" s="38"/>
      <c r="T5" s="38"/>
      <c r="U5" s="38"/>
      <c r="V5" s="42" t="s">
        <v>875</v>
      </c>
    </row>
    <row r="6" spans="1:22" ht="176">
      <c r="A6" s="38">
        <v>5</v>
      </c>
      <c r="B6" s="38" t="s">
        <v>58</v>
      </c>
      <c r="C6" s="39" t="s">
        <v>26</v>
      </c>
      <c r="D6" s="38" t="s">
        <v>45</v>
      </c>
      <c r="E6" s="41" t="s">
        <v>59</v>
      </c>
      <c r="F6" s="38" t="s">
        <v>60</v>
      </c>
      <c r="G6" s="38" t="s">
        <v>61</v>
      </c>
      <c r="H6" s="38" t="s">
        <v>53</v>
      </c>
      <c r="I6" s="38" t="s">
        <v>32</v>
      </c>
      <c r="J6" s="39" t="s">
        <v>860</v>
      </c>
      <c r="K6" s="40"/>
      <c r="L6" s="41" t="s">
        <v>62</v>
      </c>
      <c r="M6" s="38"/>
      <c r="N6" s="38"/>
      <c r="O6" s="38"/>
      <c r="P6" s="38"/>
      <c r="Q6" s="38"/>
      <c r="R6" s="38"/>
      <c r="S6" s="38"/>
      <c r="T6" s="38"/>
      <c r="U6" s="38"/>
      <c r="V6" s="42" t="s">
        <v>875</v>
      </c>
    </row>
    <row r="7" spans="1:22" ht="224">
      <c r="A7" s="38">
        <v>6</v>
      </c>
      <c r="B7" s="38" t="s">
        <v>65</v>
      </c>
      <c r="C7" s="39" t="s">
        <v>26</v>
      </c>
      <c r="D7" s="38" t="s">
        <v>66</v>
      </c>
      <c r="E7" s="41" t="s">
        <v>67</v>
      </c>
      <c r="F7" s="38" t="s">
        <v>68</v>
      </c>
      <c r="G7" s="38" t="s">
        <v>69</v>
      </c>
      <c r="H7" s="38"/>
      <c r="I7" s="38" t="s">
        <v>32</v>
      </c>
      <c r="J7" s="39" t="s">
        <v>860</v>
      </c>
      <c r="K7" s="40"/>
      <c r="L7" s="41" t="s">
        <v>876</v>
      </c>
      <c r="M7" s="38"/>
      <c r="N7" s="38"/>
      <c r="O7" s="38"/>
      <c r="P7" s="38"/>
      <c r="Q7" s="38"/>
      <c r="R7" s="38"/>
      <c r="S7" s="38"/>
      <c r="T7" s="38"/>
      <c r="U7" s="38"/>
      <c r="V7" s="42" t="s">
        <v>875</v>
      </c>
    </row>
    <row r="8" spans="1:22" ht="144">
      <c r="A8" s="38">
        <v>7</v>
      </c>
      <c r="B8" s="38" t="s">
        <v>72</v>
      </c>
      <c r="C8" s="39" t="s">
        <v>26</v>
      </c>
      <c r="D8" s="38" t="s">
        <v>66</v>
      </c>
      <c r="E8" s="41" t="s">
        <v>67</v>
      </c>
      <c r="F8" s="38" t="s">
        <v>73</v>
      </c>
      <c r="G8" s="38" t="s">
        <v>74</v>
      </c>
      <c r="H8" s="38"/>
      <c r="I8" s="38" t="s">
        <v>32</v>
      </c>
      <c r="J8" s="39" t="s">
        <v>860</v>
      </c>
      <c r="K8" s="40"/>
      <c r="L8" s="41" t="s">
        <v>876</v>
      </c>
      <c r="M8" s="38"/>
      <c r="N8" s="38"/>
      <c r="O8" s="38"/>
      <c r="P8" s="38"/>
      <c r="Q8" s="38"/>
      <c r="R8" s="38"/>
      <c r="S8" s="38"/>
      <c r="T8" s="38"/>
      <c r="U8" s="38"/>
      <c r="V8" s="42" t="s">
        <v>875</v>
      </c>
    </row>
    <row r="9" spans="1:22" ht="192">
      <c r="A9" s="38">
        <v>8</v>
      </c>
      <c r="B9" s="38" t="s">
        <v>89</v>
      </c>
      <c r="C9" s="39" t="s">
        <v>26</v>
      </c>
      <c r="D9" s="38" t="s">
        <v>66</v>
      </c>
      <c r="E9" s="41" t="s">
        <v>67</v>
      </c>
      <c r="F9" s="38" t="s">
        <v>90</v>
      </c>
      <c r="G9" s="38" t="s">
        <v>91</v>
      </c>
      <c r="H9" s="38"/>
      <c r="I9" s="38" t="s">
        <v>32</v>
      </c>
      <c r="J9" s="39" t="s">
        <v>860</v>
      </c>
      <c r="K9" s="40"/>
      <c r="L9" s="41"/>
      <c r="M9" s="38"/>
      <c r="N9" s="38"/>
      <c r="O9" s="38"/>
      <c r="P9" s="38"/>
      <c r="Q9" s="38"/>
      <c r="R9" s="38"/>
      <c r="S9" s="38"/>
      <c r="T9" s="38"/>
      <c r="U9" s="38"/>
      <c r="V9" s="42" t="s">
        <v>875</v>
      </c>
    </row>
    <row r="10" spans="1:22" ht="409.5">
      <c r="A10" s="38">
        <v>9</v>
      </c>
      <c r="B10" s="38" t="s">
        <v>95</v>
      </c>
      <c r="C10" s="39" t="s">
        <v>26</v>
      </c>
      <c r="D10" s="38" t="s">
        <v>66</v>
      </c>
      <c r="E10" s="41" t="s">
        <v>96</v>
      </c>
      <c r="F10" s="38" t="s">
        <v>97</v>
      </c>
      <c r="G10" s="38" t="s">
        <v>98</v>
      </c>
      <c r="H10" s="38"/>
      <c r="I10" s="38" t="s">
        <v>32</v>
      </c>
      <c r="J10" s="39" t="s">
        <v>860</v>
      </c>
      <c r="K10" s="40"/>
      <c r="L10" s="41"/>
      <c r="M10" s="38"/>
      <c r="N10" s="38"/>
      <c r="O10" s="38"/>
      <c r="P10" s="38"/>
      <c r="Q10" s="38"/>
      <c r="R10" s="38"/>
      <c r="S10" s="38"/>
      <c r="T10" s="38"/>
      <c r="U10" s="38"/>
      <c r="V10" s="42" t="s">
        <v>875</v>
      </c>
    </row>
    <row r="11" spans="1:22" ht="96">
      <c r="A11" s="38">
        <v>10</v>
      </c>
      <c r="B11" s="38" t="s">
        <v>112</v>
      </c>
      <c r="C11" s="39" t="s">
        <v>26</v>
      </c>
      <c r="D11" s="38" t="s">
        <v>66</v>
      </c>
      <c r="E11" s="41" t="s">
        <v>103</v>
      </c>
      <c r="F11" s="38" t="s">
        <v>113</v>
      </c>
      <c r="G11" s="38" t="s">
        <v>114</v>
      </c>
      <c r="H11" s="38"/>
      <c r="I11" s="38" t="s">
        <v>32</v>
      </c>
      <c r="J11" s="39" t="s">
        <v>860</v>
      </c>
      <c r="K11" s="40"/>
      <c r="L11" s="41"/>
      <c r="M11" s="38"/>
      <c r="N11" s="38"/>
      <c r="O11" s="38"/>
      <c r="P11" s="38"/>
      <c r="Q11" s="38"/>
      <c r="R11" s="38"/>
      <c r="S11" s="38"/>
      <c r="T11" s="38"/>
      <c r="U11" s="38"/>
      <c r="V11" s="42" t="s">
        <v>875</v>
      </c>
    </row>
    <row r="12" spans="1:22" ht="176">
      <c r="A12" s="38">
        <v>11</v>
      </c>
      <c r="B12" s="38" t="s">
        <v>123</v>
      </c>
      <c r="C12" s="39" t="s">
        <v>26</v>
      </c>
      <c r="D12" s="38" t="s">
        <v>66</v>
      </c>
      <c r="E12" s="41" t="s">
        <v>117</v>
      </c>
      <c r="F12" s="38" t="s">
        <v>124</v>
      </c>
      <c r="G12" s="38" t="s">
        <v>125</v>
      </c>
      <c r="H12" s="38"/>
      <c r="I12" s="38" t="s">
        <v>32</v>
      </c>
      <c r="J12" s="39" t="s">
        <v>860</v>
      </c>
      <c r="K12" s="40"/>
      <c r="L12" s="41"/>
      <c r="M12" s="38"/>
      <c r="N12" s="38"/>
      <c r="O12" s="38"/>
      <c r="P12" s="38"/>
      <c r="Q12" s="38"/>
      <c r="R12" s="38"/>
      <c r="S12" s="38"/>
      <c r="T12" s="38"/>
      <c r="U12" s="38"/>
      <c r="V12" s="42" t="s">
        <v>875</v>
      </c>
    </row>
    <row r="13" spans="1:22" ht="208">
      <c r="A13" s="38">
        <v>12</v>
      </c>
      <c r="B13" s="38" t="s">
        <v>127</v>
      </c>
      <c r="C13" s="39" t="s">
        <v>26</v>
      </c>
      <c r="D13" s="38" t="s">
        <v>66</v>
      </c>
      <c r="E13" s="41" t="s">
        <v>128</v>
      </c>
      <c r="F13" s="38" t="s">
        <v>129</v>
      </c>
      <c r="G13" s="38" t="s">
        <v>130</v>
      </c>
      <c r="H13" s="38"/>
      <c r="I13" s="38" t="s">
        <v>32</v>
      </c>
      <c r="J13" s="39" t="s">
        <v>860</v>
      </c>
      <c r="K13" s="40"/>
      <c r="L13" s="41"/>
      <c r="M13" s="38"/>
      <c r="N13" s="38"/>
      <c r="O13" s="38"/>
      <c r="P13" s="38"/>
      <c r="Q13" s="38"/>
      <c r="R13" s="38"/>
      <c r="S13" s="38"/>
      <c r="T13" s="38"/>
      <c r="U13" s="38"/>
      <c r="V13" s="42" t="s">
        <v>875</v>
      </c>
    </row>
    <row r="14" spans="1:22" ht="192">
      <c r="A14" s="38">
        <v>13</v>
      </c>
      <c r="B14" s="38" t="s">
        <v>142</v>
      </c>
      <c r="C14" s="39" t="s">
        <v>26</v>
      </c>
      <c r="D14" s="38" t="s">
        <v>66</v>
      </c>
      <c r="E14" s="41" t="s">
        <v>134</v>
      </c>
      <c r="F14" s="38" t="s">
        <v>143</v>
      </c>
      <c r="G14" s="38" t="s">
        <v>144</v>
      </c>
      <c r="H14" s="38"/>
      <c r="I14" s="38" t="s">
        <v>32</v>
      </c>
      <c r="J14" s="39" t="s">
        <v>860</v>
      </c>
      <c r="K14" s="40"/>
      <c r="L14" s="41"/>
      <c r="M14" s="38"/>
      <c r="N14" s="38"/>
      <c r="O14" s="38"/>
      <c r="P14" s="38"/>
      <c r="Q14" s="38"/>
      <c r="R14" s="38"/>
      <c r="S14" s="38"/>
      <c r="T14" s="38"/>
      <c r="U14" s="38"/>
      <c r="V14" s="42" t="s">
        <v>875</v>
      </c>
    </row>
    <row r="15" spans="1:22" ht="112">
      <c r="A15" s="38">
        <v>14</v>
      </c>
      <c r="B15" s="38" t="s">
        <v>147</v>
      </c>
      <c r="C15" s="39" t="s">
        <v>26</v>
      </c>
      <c r="D15" s="38" t="s">
        <v>66</v>
      </c>
      <c r="E15" s="41" t="s">
        <v>134</v>
      </c>
      <c r="F15" s="38" t="s">
        <v>148</v>
      </c>
      <c r="G15" s="38" t="s">
        <v>149</v>
      </c>
      <c r="H15" s="38"/>
      <c r="I15" s="38" t="s">
        <v>32</v>
      </c>
      <c r="J15" s="39" t="s">
        <v>860</v>
      </c>
      <c r="K15" s="40"/>
      <c r="L15" s="41"/>
      <c r="M15" s="38"/>
      <c r="N15" s="38"/>
      <c r="O15" s="38"/>
      <c r="P15" s="38"/>
      <c r="Q15" s="38"/>
      <c r="R15" s="38"/>
      <c r="S15" s="38"/>
      <c r="T15" s="38"/>
      <c r="U15" s="38"/>
      <c r="V15" s="42" t="s">
        <v>875</v>
      </c>
    </row>
    <row r="16" spans="1:22" ht="208">
      <c r="A16" s="38">
        <v>15</v>
      </c>
      <c r="B16" s="38" t="s">
        <v>151</v>
      </c>
      <c r="C16" s="39" t="s">
        <v>26</v>
      </c>
      <c r="D16" s="38" t="s">
        <v>66</v>
      </c>
      <c r="E16" s="41" t="s">
        <v>134</v>
      </c>
      <c r="F16" s="38" t="s">
        <v>152</v>
      </c>
      <c r="G16" s="38" t="s">
        <v>153</v>
      </c>
      <c r="H16" s="38"/>
      <c r="I16" s="38" t="s">
        <v>32</v>
      </c>
      <c r="J16" s="39" t="s">
        <v>860</v>
      </c>
      <c r="K16" s="40"/>
      <c r="L16" s="41"/>
      <c r="M16" s="38"/>
      <c r="N16" s="38"/>
      <c r="O16" s="38"/>
      <c r="P16" s="38"/>
      <c r="Q16" s="38"/>
      <c r="R16" s="38"/>
      <c r="S16" s="38"/>
      <c r="T16" s="38"/>
      <c r="U16" s="38"/>
      <c r="V16" s="42" t="s">
        <v>875</v>
      </c>
    </row>
    <row r="17" spans="1:22" ht="112">
      <c r="A17" s="38">
        <v>16</v>
      </c>
      <c r="B17" s="38" t="s">
        <v>156</v>
      </c>
      <c r="C17" s="39" t="s">
        <v>26</v>
      </c>
      <c r="D17" s="38" t="s">
        <v>66</v>
      </c>
      <c r="E17" s="41" t="s">
        <v>134</v>
      </c>
      <c r="F17" s="38" t="s">
        <v>157</v>
      </c>
      <c r="G17" s="38" t="s">
        <v>158</v>
      </c>
      <c r="H17" s="38"/>
      <c r="I17" s="38" t="s">
        <v>32</v>
      </c>
      <c r="J17" s="39" t="s">
        <v>860</v>
      </c>
      <c r="K17" s="40"/>
      <c r="L17" s="41"/>
      <c r="M17" s="38"/>
      <c r="N17" s="38"/>
      <c r="O17" s="38"/>
      <c r="P17" s="38"/>
      <c r="Q17" s="38"/>
      <c r="R17" s="38"/>
      <c r="S17" s="38"/>
      <c r="T17" s="38"/>
      <c r="U17" s="38"/>
      <c r="V17" s="42" t="s">
        <v>875</v>
      </c>
    </row>
    <row r="18" spans="1:22" ht="240">
      <c r="A18" s="38">
        <v>17</v>
      </c>
      <c r="B18" s="38" t="s">
        <v>166</v>
      </c>
      <c r="C18" s="39" t="s">
        <v>26</v>
      </c>
      <c r="D18" s="38" t="s">
        <v>66</v>
      </c>
      <c r="E18" s="41" t="s">
        <v>162</v>
      </c>
      <c r="F18" s="38" t="s">
        <v>167</v>
      </c>
      <c r="G18" s="38" t="s">
        <v>168</v>
      </c>
      <c r="H18" s="38"/>
      <c r="I18" s="38" t="s">
        <v>32</v>
      </c>
      <c r="J18" s="39" t="s">
        <v>860</v>
      </c>
      <c r="K18" s="40"/>
      <c r="L18" s="41"/>
      <c r="M18" s="38"/>
      <c r="N18" s="38"/>
      <c r="O18" s="38"/>
      <c r="P18" s="38"/>
      <c r="Q18" s="38"/>
      <c r="R18" s="38"/>
      <c r="S18" s="38"/>
      <c r="T18" s="38"/>
      <c r="U18" s="38"/>
      <c r="V18" s="42" t="s">
        <v>875</v>
      </c>
    </row>
    <row r="19" spans="1:22" ht="224">
      <c r="A19" s="38">
        <v>18</v>
      </c>
      <c r="B19" s="38" t="s">
        <v>177</v>
      </c>
      <c r="C19" s="39" t="s">
        <v>26</v>
      </c>
      <c r="D19" s="38" t="s">
        <v>66</v>
      </c>
      <c r="E19" s="41" t="s">
        <v>171</v>
      </c>
      <c r="F19" s="38" t="s">
        <v>178</v>
      </c>
      <c r="G19" s="38" t="s">
        <v>179</v>
      </c>
      <c r="H19" s="38"/>
      <c r="I19" s="38" t="s">
        <v>32</v>
      </c>
      <c r="J19" s="39" t="s">
        <v>860</v>
      </c>
      <c r="K19" s="40"/>
      <c r="L19" s="41"/>
      <c r="M19" s="38"/>
      <c r="N19" s="38"/>
      <c r="O19" s="38"/>
      <c r="P19" s="38"/>
      <c r="Q19" s="38"/>
      <c r="R19" s="38"/>
      <c r="S19" s="38"/>
      <c r="T19" s="38"/>
      <c r="U19" s="38"/>
      <c r="V19" s="42" t="s">
        <v>875</v>
      </c>
    </row>
    <row r="20" spans="1:22" ht="112">
      <c r="A20" s="38">
        <v>19</v>
      </c>
      <c r="B20" s="38" t="s">
        <v>181</v>
      </c>
      <c r="C20" s="39" t="s">
        <v>26</v>
      </c>
      <c r="D20" s="38" t="s">
        <v>66</v>
      </c>
      <c r="E20" s="41" t="s">
        <v>171</v>
      </c>
      <c r="F20" s="38" t="s">
        <v>182</v>
      </c>
      <c r="G20" s="38" t="s">
        <v>183</v>
      </c>
      <c r="H20" s="38"/>
      <c r="I20" s="38" t="s">
        <v>32</v>
      </c>
      <c r="J20" s="39" t="s">
        <v>860</v>
      </c>
      <c r="K20" s="40"/>
      <c r="L20" s="41"/>
      <c r="M20" s="38"/>
      <c r="N20" s="38"/>
      <c r="O20" s="38"/>
      <c r="P20" s="38"/>
      <c r="Q20" s="38"/>
      <c r="R20" s="38"/>
      <c r="S20" s="38"/>
      <c r="T20" s="38"/>
      <c r="U20" s="38"/>
      <c r="V20" s="42" t="s">
        <v>875</v>
      </c>
    </row>
    <row r="21" spans="1:22" ht="176">
      <c r="A21" s="38">
        <v>20</v>
      </c>
      <c r="B21" s="38" t="s">
        <v>190</v>
      </c>
      <c r="C21" s="39" t="s">
        <v>26</v>
      </c>
      <c r="D21" s="38" t="s">
        <v>66</v>
      </c>
      <c r="E21" s="41" t="s">
        <v>171</v>
      </c>
      <c r="F21" s="38" t="s">
        <v>191</v>
      </c>
      <c r="G21" s="38" t="s">
        <v>192</v>
      </c>
      <c r="H21" s="38"/>
      <c r="I21" s="38" t="s">
        <v>32</v>
      </c>
      <c r="J21" s="39" t="s">
        <v>860</v>
      </c>
      <c r="K21" s="40"/>
      <c r="L21" s="41"/>
      <c r="M21" s="38"/>
      <c r="N21" s="38"/>
      <c r="O21" s="38"/>
      <c r="P21" s="38"/>
      <c r="Q21" s="38"/>
      <c r="R21" s="38"/>
      <c r="S21" s="38"/>
      <c r="T21" s="38"/>
      <c r="U21" s="38"/>
      <c r="V21" s="42" t="s">
        <v>875</v>
      </c>
    </row>
    <row r="22" spans="1:22" ht="144">
      <c r="A22" s="38">
        <v>21</v>
      </c>
      <c r="B22" s="38" t="s">
        <v>198</v>
      </c>
      <c r="C22" s="39" t="s">
        <v>26</v>
      </c>
      <c r="D22" s="38" t="s">
        <v>66</v>
      </c>
      <c r="E22" s="41" t="s">
        <v>171</v>
      </c>
      <c r="F22" s="38" t="s">
        <v>79</v>
      </c>
      <c r="G22" s="38" t="s">
        <v>199</v>
      </c>
      <c r="H22" s="38"/>
      <c r="I22" s="38" t="s">
        <v>32</v>
      </c>
      <c r="J22" s="39" t="s">
        <v>860</v>
      </c>
      <c r="K22" s="40"/>
      <c r="L22" s="41"/>
      <c r="M22" s="38"/>
      <c r="N22" s="38"/>
      <c r="O22" s="38"/>
      <c r="P22" s="38"/>
      <c r="Q22" s="38"/>
      <c r="R22" s="38"/>
      <c r="S22" s="38"/>
      <c r="T22" s="38"/>
      <c r="U22" s="38"/>
      <c r="V22" s="42" t="s">
        <v>875</v>
      </c>
    </row>
    <row r="23" spans="1:22" ht="112">
      <c r="A23" s="38">
        <v>22</v>
      </c>
      <c r="B23" s="38" t="s">
        <v>202</v>
      </c>
      <c r="C23" s="39" t="s">
        <v>26</v>
      </c>
      <c r="D23" s="38" t="s">
        <v>66</v>
      </c>
      <c r="E23" s="41" t="s">
        <v>171</v>
      </c>
      <c r="F23" s="38" t="s">
        <v>203</v>
      </c>
      <c r="G23" s="38" t="s">
        <v>204</v>
      </c>
      <c r="H23" s="38"/>
      <c r="I23" s="38" t="s">
        <v>32</v>
      </c>
      <c r="J23" s="39" t="s">
        <v>860</v>
      </c>
      <c r="K23" s="40"/>
      <c r="L23" s="41"/>
      <c r="M23" s="38"/>
      <c r="N23" s="38"/>
      <c r="O23" s="38"/>
      <c r="P23" s="38"/>
      <c r="Q23" s="38"/>
      <c r="R23" s="38"/>
      <c r="S23" s="38"/>
      <c r="T23" s="38"/>
      <c r="U23" s="38"/>
      <c r="V23" s="42" t="s">
        <v>875</v>
      </c>
    </row>
    <row r="24" spans="1:22" ht="192">
      <c r="A24" s="38">
        <v>23</v>
      </c>
      <c r="B24" s="38" t="s">
        <v>233</v>
      </c>
      <c r="C24" s="39" t="s">
        <v>26</v>
      </c>
      <c r="D24" s="38" t="s">
        <v>66</v>
      </c>
      <c r="E24" s="41" t="s">
        <v>234</v>
      </c>
      <c r="F24" s="38" t="s">
        <v>234</v>
      </c>
      <c r="G24" s="38" t="s">
        <v>235</v>
      </c>
      <c r="H24" s="38"/>
      <c r="I24" s="38" t="s">
        <v>32</v>
      </c>
      <c r="J24" s="39" t="s">
        <v>860</v>
      </c>
      <c r="K24" s="40"/>
      <c r="L24" s="41"/>
      <c r="M24" s="38"/>
      <c r="N24" s="38"/>
      <c r="O24" s="38"/>
      <c r="P24" s="38"/>
      <c r="Q24" s="38"/>
      <c r="R24" s="38"/>
      <c r="S24" s="38"/>
      <c r="T24" s="38"/>
      <c r="U24" s="38"/>
      <c r="V24" s="42" t="s">
        <v>875</v>
      </c>
    </row>
    <row r="25" spans="1:22" ht="409.5">
      <c r="A25" s="38">
        <v>24</v>
      </c>
      <c r="B25" s="38" t="s">
        <v>242</v>
      </c>
      <c r="C25" s="39" t="s">
        <v>26</v>
      </c>
      <c r="D25" s="38" t="s">
        <v>66</v>
      </c>
      <c r="E25" s="41" t="s">
        <v>239</v>
      </c>
      <c r="F25" s="38" t="s">
        <v>243</v>
      </c>
      <c r="G25" s="38" t="s">
        <v>244</v>
      </c>
      <c r="H25" s="38" t="s">
        <v>245</v>
      </c>
      <c r="I25" s="38" t="s">
        <v>32</v>
      </c>
      <c r="J25" s="39" t="s">
        <v>860</v>
      </c>
      <c r="K25" s="40"/>
      <c r="L25" s="41"/>
      <c r="M25" s="38"/>
      <c r="N25" s="38"/>
      <c r="O25" s="38"/>
      <c r="P25" s="38"/>
      <c r="Q25" s="38"/>
      <c r="R25" s="38"/>
      <c r="S25" s="38"/>
      <c r="T25" s="38"/>
      <c r="U25" s="38"/>
      <c r="V25" s="42" t="s">
        <v>875</v>
      </c>
    </row>
    <row r="26" spans="1:22" ht="409.5">
      <c r="A26" s="38">
        <v>25</v>
      </c>
      <c r="B26" s="38" t="s">
        <v>247</v>
      </c>
      <c r="C26" s="39" t="s">
        <v>26</v>
      </c>
      <c r="D26" s="38" t="s">
        <v>66</v>
      </c>
      <c r="E26" s="41" t="s">
        <v>239</v>
      </c>
      <c r="F26" s="38" t="s">
        <v>248</v>
      </c>
      <c r="G26" s="38" t="s">
        <v>249</v>
      </c>
      <c r="H26" s="38" t="s">
        <v>245</v>
      </c>
      <c r="I26" s="38" t="s">
        <v>32</v>
      </c>
      <c r="J26" s="39" t="s">
        <v>860</v>
      </c>
      <c r="K26" s="40"/>
      <c r="L26" s="41"/>
      <c r="M26" s="38"/>
      <c r="N26" s="38"/>
      <c r="O26" s="38"/>
      <c r="P26" s="38"/>
      <c r="Q26" s="38"/>
      <c r="R26" s="38"/>
      <c r="S26" s="38"/>
      <c r="T26" s="38"/>
      <c r="U26" s="38"/>
      <c r="V26" s="42" t="s">
        <v>875</v>
      </c>
    </row>
    <row r="27" spans="1:22" ht="409.5">
      <c r="A27" s="38">
        <v>26</v>
      </c>
      <c r="B27" s="38" t="s">
        <v>252</v>
      </c>
      <c r="C27" s="39" t="s">
        <v>26</v>
      </c>
      <c r="D27" s="38" t="s">
        <v>66</v>
      </c>
      <c r="E27" s="41" t="s">
        <v>239</v>
      </c>
      <c r="F27" s="38" t="s">
        <v>253</v>
      </c>
      <c r="G27" s="38" t="s">
        <v>254</v>
      </c>
      <c r="H27" s="38" t="s">
        <v>245</v>
      </c>
      <c r="I27" s="38" t="s">
        <v>32</v>
      </c>
      <c r="J27" s="39" t="s">
        <v>860</v>
      </c>
      <c r="K27" s="40"/>
      <c r="L27" s="41"/>
      <c r="M27" s="38"/>
      <c r="N27" s="38"/>
      <c r="O27" s="38"/>
      <c r="P27" s="38"/>
      <c r="Q27" s="38"/>
      <c r="R27" s="38"/>
      <c r="S27" s="38"/>
      <c r="T27" s="38"/>
      <c r="U27" s="38"/>
      <c r="V27" s="42" t="s">
        <v>875</v>
      </c>
    </row>
    <row r="28" spans="1:22" ht="208">
      <c r="A28" s="38">
        <v>27</v>
      </c>
      <c r="B28" s="38" t="s">
        <v>262</v>
      </c>
      <c r="C28" s="39" t="s">
        <v>26</v>
      </c>
      <c r="D28" s="38" t="s">
        <v>66</v>
      </c>
      <c r="E28" s="41" t="s">
        <v>257</v>
      </c>
      <c r="F28" s="38" t="s">
        <v>263</v>
      </c>
      <c r="G28" s="38" t="s">
        <v>264</v>
      </c>
      <c r="H28" s="38"/>
      <c r="I28" s="38" t="s">
        <v>32</v>
      </c>
      <c r="J28" s="39" t="s">
        <v>860</v>
      </c>
      <c r="K28" s="40"/>
      <c r="L28" s="41"/>
      <c r="M28" s="38"/>
      <c r="N28" s="38"/>
      <c r="O28" s="38"/>
      <c r="P28" s="38"/>
      <c r="Q28" s="38"/>
      <c r="R28" s="38"/>
      <c r="S28" s="38"/>
      <c r="T28" s="38"/>
      <c r="U28" s="38"/>
      <c r="V28" s="42" t="s">
        <v>875</v>
      </c>
    </row>
    <row r="29" spans="1:22" ht="208">
      <c r="A29" s="38">
        <v>28</v>
      </c>
      <c r="B29" s="38" t="s">
        <v>266</v>
      </c>
      <c r="C29" s="39" t="s">
        <v>26</v>
      </c>
      <c r="D29" s="38" t="s">
        <v>66</v>
      </c>
      <c r="E29" s="41" t="s">
        <v>257</v>
      </c>
      <c r="F29" s="38" t="s">
        <v>267</v>
      </c>
      <c r="G29" s="38" t="s">
        <v>268</v>
      </c>
      <c r="H29" s="38"/>
      <c r="I29" s="38" t="s">
        <v>32</v>
      </c>
      <c r="J29" s="39" t="s">
        <v>860</v>
      </c>
      <c r="K29" s="40"/>
      <c r="L29" s="41"/>
      <c r="M29" s="38"/>
      <c r="N29" s="38"/>
      <c r="O29" s="38"/>
      <c r="P29" s="38"/>
      <c r="Q29" s="38"/>
      <c r="R29" s="38"/>
      <c r="S29" s="38"/>
      <c r="T29" s="38"/>
      <c r="U29" s="38"/>
      <c r="V29" s="42" t="s">
        <v>875</v>
      </c>
    </row>
    <row r="30" spans="1:22" ht="144">
      <c r="A30" s="38">
        <v>29</v>
      </c>
      <c r="B30" s="38" t="s">
        <v>276</v>
      </c>
      <c r="C30" s="39" t="s">
        <v>26</v>
      </c>
      <c r="D30" s="38" t="s">
        <v>66</v>
      </c>
      <c r="E30" s="41" t="s">
        <v>271</v>
      </c>
      <c r="F30" s="38" t="s">
        <v>277</v>
      </c>
      <c r="G30" s="38" t="s">
        <v>278</v>
      </c>
      <c r="H30" s="38"/>
      <c r="I30" s="38" t="s">
        <v>32</v>
      </c>
      <c r="J30" s="39" t="s">
        <v>860</v>
      </c>
      <c r="K30" s="40"/>
      <c r="L30" s="41"/>
      <c r="M30" s="38"/>
      <c r="N30" s="38"/>
      <c r="O30" s="38"/>
      <c r="P30" s="38"/>
      <c r="Q30" s="38"/>
      <c r="R30" s="38"/>
      <c r="S30" s="38"/>
      <c r="T30" s="38"/>
      <c r="U30" s="38"/>
      <c r="V30" s="42" t="s">
        <v>875</v>
      </c>
    </row>
    <row r="31" spans="1:22" ht="240">
      <c r="A31" s="38">
        <v>30</v>
      </c>
      <c r="B31" s="38" t="s">
        <v>282</v>
      </c>
      <c r="C31" s="39" t="s">
        <v>26</v>
      </c>
      <c r="D31" s="38" t="s">
        <v>66</v>
      </c>
      <c r="E31" s="41" t="s">
        <v>271</v>
      </c>
      <c r="F31" s="38" t="s">
        <v>283</v>
      </c>
      <c r="G31" s="38" t="s">
        <v>284</v>
      </c>
      <c r="H31" s="38"/>
      <c r="I31" s="38" t="s">
        <v>32</v>
      </c>
      <c r="J31" s="39" t="s">
        <v>860</v>
      </c>
      <c r="K31" s="40"/>
      <c r="L31" s="41"/>
      <c r="M31" s="38"/>
      <c r="N31" s="38"/>
      <c r="O31" s="38"/>
      <c r="P31" s="38"/>
      <c r="Q31" s="38"/>
      <c r="R31" s="38"/>
      <c r="S31" s="38"/>
      <c r="T31" s="38"/>
      <c r="U31" s="38"/>
      <c r="V31" s="42" t="s">
        <v>875</v>
      </c>
    </row>
    <row r="32" spans="1:22" ht="112">
      <c r="A32" s="38">
        <v>31</v>
      </c>
      <c r="B32" s="38" t="s">
        <v>290</v>
      </c>
      <c r="C32" s="39" t="s">
        <v>26</v>
      </c>
      <c r="D32" s="38" t="s">
        <v>66</v>
      </c>
      <c r="E32" s="41" t="s">
        <v>287</v>
      </c>
      <c r="F32" s="38" t="s">
        <v>291</v>
      </c>
      <c r="G32" s="38" t="s">
        <v>292</v>
      </c>
      <c r="H32" s="38"/>
      <c r="I32" s="38" t="s">
        <v>32</v>
      </c>
      <c r="J32" s="39" t="s">
        <v>860</v>
      </c>
      <c r="K32" s="40"/>
      <c r="L32" s="41"/>
      <c r="M32" s="38"/>
      <c r="N32" s="38"/>
      <c r="O32" s="38"/>
      <c r="P32" s="38"/>
      <c r="Q32" s="38"/>
      <c r="R32" s="38"/>
      <c r="S32" s="38"/>
      <c r="T32" s="38"/>
      <c r="U32" s="38"/>
      <c r="V32" s="42" t="s">
        <v>875</v>
      </c>
    </row>
    <row r="33" spans="1:22" ht="112">
      <c r="A33" s="38">
        <v>32</v>
      </c>
      <c r="B33" s="38" t="s">
        <v>294</v>
      </c>
      <c r="C33" s="39" t="s">
        <v>26</v>
      </c>
      <c r="D33" s="38" t="s">
        <v>66</v>
      </c>
      <c r="E33" s="41" t="s">
        <v>287</v>
      </c>
      <c r="F33" s="38" t="s">
        <v>295</v>
      </c>
      <c r="G33" s="38" t="s">
        <v>296</v>
      </c>
      <c r="H33" s="38"/>
      <c r="I33" s="38" t="s">
        <v>32</v>
      </c>
      <c r="J33" s="39" t="s">
        <v>860</v>
      </c>
      <c r="K33" s="40"/>
      <c r="L33" s="41"/>
      <c r="M33" s="38"/>
      <c r="N33" s="38"/>
      <c r="O33" s="38"/>
      <c r="P33" s="38"/>
      <c r="Q33" s="38"/>
      <c r="R33" s="38"/>
      <c r="S33" s="38"/>
      <c r="T33" s="38"/>
      <c r="U33" s="38"/>
      <c r="V33" s="42" t="s">
        <v>875</v>
      </c>
    </row>
    <row r="34" spans="1:22" ht="176">
      <c r="A34" s="38">
        <v>33</v>
      </c>
      <c r="B34" s="38" t="s">
        <v>312</v>
      </c>
      <c r="C34" s="39" t="s">
        <v>26</v>
      </c>
      <c r="D34" s="38" t="s">
        <v>66</v>
      </c>
      <c r="E34" s="41" t="s">
        <v>299</v>
      </c>
      <c r="F34" s="38" t="s">
        <v>313</v>
      </c>
      <c r="G34" s="38" t="s">
        <v>314</v>
      </c>
      <c r="H34" s="38"/>
      <c r="I34" s="38" t="s">
        <v>32</v>
      </c>
      <c r="J34" s="39" t="s">
        <v>860</v>
      </c>
      <c r="K34" s="40"/>
      <c r="L34" s="41"/>
      <c r="M34" s="38"/>
      <c r="N34" s="38"/>
      <c r="O34" s="38"/>
      <c r="P34" s="38"/>
      <c r="Q34" s="38"/>
      <c r="R34" s="38"/>
      <c r="S34" s="38"/>
      <c r="T34" s="38"/>
      <c r="U34" s="38"/>
      <c r="V34" s="42" t="s">
        <v>875</v>
      </c>
    </row>
    <row r="35" spans="1:22" ht="192">
      <c r="A35" s="38">
        <v>34</v>
      </c>
      <c r="B35" s="38" t="s">
        <v>332</v>
      </c>
      <c r="C35" s="39" t="s">
        <v>26</v>
      </c>
      <c r="D35" s="38" t="s">
        <v>66</v>
      </c>
      <c r="E35" s="41" t="s">
        <v>318</v>
      </c>
      <c r="F35" s="38" t="s">
        <v>333</v>
      </c>
      <c r="G35" s="38" t="s">
        <v>334</v>
      </c>
      <c r="H35" s="38"/>
      <c r="I35" s="38" t="s">
        <v>32</v>
      </c>
      <c r="J35" s="39" t="s">
        <v>860</v>
      </c>
      <c r="K35" s="40"/>
      <c r="L35" s="41"/>
      <c r="M35" s="38"/>
      <c r="N35" s="38"/>
      <c r="O35" s="38"/>
      <c r="P35" s="38"/>
      <c r="Q35" s="38"/>
      <c r="R35" s="38"/>
      <c r="S35" s="38"/>
      <c r="T35" s="38"/>
      <c r="U35" s="38"/>
      <c r="V35" s="42" t="s">
        <v>875</v>
      </c>
    </row>
    <row r="36" spans="1:22" ht="192">
      <c r="A36" s="38">
        <v>35</v>
      </c>
      <c r="B36" s="38" t="s">
        <v>338</v>
      </c>
      <c r="C36" s="39" t="s">
        <v>26</v>
      </c>
      <c r="D36" s="38" t="s">
        <v>66</v>
      </c>
      <c r="E36" s="41" t="s">
        <v>318</v>
      </c>
      <c r="F36" s="38" t="s">
        <v>339</v>
      </c>
      <c r="G36" s="38" t="s">
        <v>340</v>
      </c>
      <c r="H36" s="38"/>
      <c r="I36" s="38" t="s">
        <v>32</v>
      </c>
      <c r="J36" s="39" t="s">
        <v>860</v>
      </c>
      <c r="K36" s="40"/>
      <c r="L36" s="41"/>
      <c r="M36" s="38"/>
      <c r="N36" s="38"/>
      <c r="O36" s="38"/>
      <c r="P36" s="38"/>
      <c r="Q36" s="38"/>
      <c r="R36" s="38"/>
      <c r="S36" s="38"/>
      <c r="T36" s="38"/>
      <c r="U36" s="38"/>
      <c r="V36" s="42" t="s">
        <v>875</v>
      </c>
    </row>
    <row r="37" spans="1:22" ht="224">
      <c r="A37" s="38">
        <v>36</v>
      </c>
      <c r="B37" s="38" t="s">
        <v>348</v>
      </c>
      <c r="C37" s="39" t="s">
        <v>26</v>
      </c>
      <c r="D37" s="38" t="s">
        <v>66</v>
      </c>
      <c r="E37" s="41" t="s">
        <v>345</v>
      </c>
      <c r="F37" s="38" t="s">
        <v>349</v>
      </c>
      <c r="G37" s="38" t="s">
        <v>350</v>
      </c>
      <c r="H37" s="38"/>
      <c r="I37" s="38" t="s">
        <v>32</v>
      </c>
      <c r="J37" s="39" t="s">
        <v>860</v>
      </c>
      <c r="K37" s="40"/>
      <c r="L37" s="41"/>
      <c r="M37" s="38"/>
      <c r="N37" s="38"/>
      <c r="O37" s="38"/>
      <c r="P37" s="38"/>
      <c r="Q37" s="38"/>
      <c r="R37" s="38"/>
      <c r="S37" s="38"/>
      <c r="T37" s="38"/>
      <c r="U37" s="38"/>
      <c r="V37" s="42" t="s">
        <v>875</v>
      </c>
    </row>
    <row r="38" spans="1:22" ht="112">
      <c r="A38" s="38">
        <v>37</v>
      </c>
      <c r="B38" s="38" t="s">
        <v>352</v>
      </c>
      <c r="C38" s="39" t="s">
        <v>26</v>
      </c>
      <c r="D38" s="38" t="s">
        <v>66</v>
      </c>
      <c r="E38" s="41" t="s">
        <v>345</v>
      </c>
      <c r="F38" s="38" t="s">
        <v>353</v>
      </c>
      <c r="G38" s="38" t="s">
        <v>354</v>
      </c>
      <c r="H38" s="38"/>
      <c r="I38" s="38" t="s">
        <v>32</v>
      </c>
      <c r="J38" s="39" t="s">
        <v>860</v>
      </c>
      <c r="K38" s="40"/>
      <c r="L38" s="41"/>
      <c r="M38" s="38"/>
      <c r="N38" s="38"/>
      <c r="O38" s="38"/>
      <c r="P38" s="38"/>
      <c r="Q38" s="38"/>
      <c r="R38" s="38"/>
      <c r="S38" s="38"/>
      <c r="T38" s="38"/>
      <c r="U38" s="38"/>
      <c r="V38" s="42" t="s">
        <v>875</v>
      </c>
    </row>
    <row r="39" spans="1:22" ht="128">
      <c r="A39" s="38">
        <v>38</v>
      </c>
      <c r="B39" s="38" t="s">
        <v>356</v>
      </c>
      <c r="C39" s="39" t="s">
        <v>26</v>
      </c>
      <c r="D39" s="38" t="s">
        <v>66</v>
      </c>
      <c r="E39" s="41" t="s">
        <v>345</v>
      </c>
      <c r="F39" s="38" t="s">
        <v>357</v>
      </c>
      <c r="G39" s="38" t="s">
        <v>358</v>
      </c>
      <c r="H39" s="38"/>
      <c r="I39" s="38" t="s">
        <v>32</v>
      </c>
      <c r="J39" s="39" t="s">
        <v>860</v>
      </c>
      <c r="K39" s="40"/>
      <c r="L39" s="41"/>
      <c r="M39" s="38"/>
      <c r="N39" s="38"/>
      <c r="O39" s="38"/>
      <c r="P39" s="38"/>
      <c r="Q39" s="38"/>
      <c r="R39" s="38"/>
      <c r="S39" s="38"/>
      <c r="T39" s="38"/>
      <c r="U39" s="38"/>
      <c r="V39" s="42" t="s">
        <v>875</v>
      </c>
    </row>
    <row r="40" spans="1:22" ht="176">
      <c r="A40" s="38">
        <v>39</v>
      </c>
      <c r="B40" s="38" t="s">
        <v>363</v>
      </c>
      <c r="C40" s="39" t="s">
        <v>26</v>
      </c>
      <c r="D40" s="38" t="s">
        <v>66</v>
      </c>
      <c r="E40" s="41" t="s">
        <v>345</v>
      </c>
      <c r="F40" s="38" t="s">
        <v>364</v>
      </c>
      <c r="G40" s="38" t="s">
        <v>365</v>
      </c>
      <c r="H40" s="38"/>
      <c r="I40" s="38" t="s">
        <v>32</v>
      </c>
      <c r="J40" s="39" t="s">
        <v>860</v>
      </c>
      <c r="K40" s="40"/>
      <c r="L40" s="41"/>
      <c r="M40" s="38"/>
      <c r="N40" s="38"/>
      <c r="O40" s="38"/>
      <c r="P40" s="38"/>
      <c r="Q40" s="38"/>
      <c r="R40" s="38"/>
      <c r="S40" s="38"/>
      <c r="T40" s="38"/>
      <c r="U40" s="38"/>
      <c r="V40" s="42" t="s">
        <v>875</v>
      </c>
    </row>
    <row r="41" spans="1:22" ht="208">
      <c r="A41" s="38">
        <v>40</v>
      </c>
      <c r="B41" s="38" t="s">
        <v>371</v>
      </c>
      <c r="C41" s="39" t="s">
        <v>26</v>
      </c>
      <c r="D41" s="38" t="s">
        <v>66</v>
      </c>
      <c r="E41" s="41" t="s">
        <v>368</v>
      </c>
      <c r="F41" s="38" t="s">
        <v>372</v>
      </c>
      <c r="G41" s="38" t="s">
        <v>373</v>
      </c>
      <c r="H41" s="38"/>
      <c r="I41" s="38" t="s">
        <v>32</v>
      </c>
      <c r="J41" s="39" t="s">
        <v>860</v>
      </c>
      <c r="K41" s="40"/>
      <c r="L41" s="41"/>
      <c r="M41" s="38"/>
      <c r="N41" s="38"/>
      <c r="O41" s="38"/>
      <c r="P41" s="38"/>
      <c r="Q41" s="38"/>
      <c r="R41" s="38"/>
      <c r="S41" s="38"/>
      <c r="T41" s="38"/>
      <c r="U41" s="38"/>
      <c r="V41" s="42" t="s">
        <v>875</v>
      </c>
    </row>
    <row r="42" spans="1:22" ht="144">
      <c r="A42" s="38">
        <v>41</v>
      </c>
      <c r="B42" s="38" t="s">
        <v>379</v>
      </c>
      <c r="C42" s="39" t="s">
        <v>26</v>
      </c>
      <c r="D42" s="38" t="s">
        <v>66</v>
      </c>
      <c r="E42" s="41" t="s">
        <v>377</v>
      </c>
      <c r="F42" s="38" t="s">
        <v>380</v>
      </c>
      <c r="G42" s="38" t="s">
        <v>381</v>
      </c>
      <c r="H42" s="38"/>
      <c r="I42" s="38" t="s">
        <v>32</v>
      </c>
      <c r="J42" s="39" t="s">
        <v>860</v>
      </c>
      <c r="K42" s="40"/>
      <c r="L42" s="41"/>
      <c r="M42" s="38"/>
      <c r="N42" s="38"/>
      <c r="O42" s="38"/>
      <c r="P42" s="38"/>
      <c r="Q42" s="38"/>
      <c r="R42" s="38"/>
      <c r="S42" s="38"/>
      <c r="T42" s="38"/>
      <c r="U42" s="38"/>
      <c r="V42" s="42" t="s">
        <v>875</v>
      </c>
    </row>
    <row r="43" spans="1:22" ht="192">
      <c r="A43" s="38">
        <v>42</v>
      </c>
      <c r="B43" s="38" t="s">
        <v>398</v>
      </c>
      <c r="C43" s="39" t="s">
        <v>26</v>
      </c>
      <c r="D43" s="38" t="s">
        <v>384</v>
      </c>
      <c r="E43" s="41" t="s">
        <v>385</v>
      </c>
      <c r="F43" s="38" t="s">
        <v>399</v>
      </c>
      <c r="G43" s="38" t="s">
        <v>400</v>
      </c>
      <c r="H43" s="38"/>
      <c r="I43" s="38" t="s">
        <v>32</v>
      </c>
      <c r="J43" s="39" t="s">
        <v>860</v>
      </c>
      <c r="K43" s="40"/>
      <c r="L43" s="41"/>
      <c r="M43" s="38"/>
      <c r="N43" s="38"/>
      <c r="O43" s="38"/>
      <c r="P43" s="38"/>
      <c r="Q43" s="38"/>
      <c r="R43" s="38"/>
      <c r="S43" s="38"/>
      <c r="T43" s="38"/>
      <c r="U43" s="38"/>
      <c r="V43" s="42" t="s">
        <v>875</v>
      </c>
    </row>
    <row r="44" spans="1:22" ht="352">
      <c r="A44" s="38">
        <v>43</v>
      </c>
      <c r="B44" s="38" t="s">
        <v>417</v>
      </c>
      <c r="C44" s="39" t="s">
        <v>26</v>
      </c>
      <c r="D44" s="38" t="s">
        <v>384</v>
      </c>
      <c r="E44" s="41" t="s">
        <v>411</v>
      </c>
      <c r="F44" s="38" t="s">
        <v>418</v>
      </c>
      <c r="G44" s="38" t="s">
        <v>419</v>
      </c>
      <c r="H44" s="38"/>
      <c r="I44" s="38" t="s">
        <v>32</v>
      </c>
      <c r="J44" s="39" t="s">
        <v>860</v>
      </c>
      <c r="K44" s="40"/>
      <c r="L44" s="41"/>
      <c r="M44" s="38"/>
      <c r="N44" s="38"/>
      <c r="O44" s="38"/>
      <c r="P44" s="38"/>
      <c r="Q44" s="38"/>
      <c r="R44" s="38"/>
      <c r="S44" s="38"/>
      <c r="T44" s="38"/>
      <c r="U44" s="38"/>
      <c r="V44" s="42" t="s">
        <v>875</v>
      </c>
    </row>
    <row r="45" spans="1:22" ht="409.5">
      <c r="A45" s="38">
        <v>44</v>
      </c>
      <c r="B45" s="38" t="s">
        <v>428</v>
      </c>
      <c r="C45" s="39" t="s">
        <v>26</v>
      </c>
      <c r="D45" s="38" t="s">
        <v>384</v>
      </c>
      <c r="E45" s="41" t="s">
        <v>411</v>
      </c>
      <c r="F45" s="38" t="s">
        <v>429</v>
      </c>
      <c r="G45" s="38" t="s">
        <v>430</v>
      </c>
      <c r="H45" s="38"/>
      <c r="I45" s="38" t="s">
        <v>32</v>
      </c>
      <c r="J45" s="39" t="s">
        <v>860</v>
      </c>
      <c r="K45" s="40"/>
      <c r="L45" s="41"/>
      <c r="M45" s="38"/>
      <c r="N45" s="38"/>
      <c r="O45" s="38"/>
      <c r="P45" s="38"/>
      <c r="Q45" s="38"/>
      <c r="R45" s="38"/>
      <c r="S45" s="38"/>
      <c r="T45" s="38"/>
      <c r="U45" s="38"/>
      <c r="V45" s="42" t="s">
        <v>875</v>
      </c>
    </row>
    <row r="46" spans="1:22" ht="224">
      <c r="A46" s="38">
        <v>45</v>
      </c>
      <c r="B46" s="38" t="s">
        <v>433</v>
      </c>
      <c r="C46" s="39" t="s">
        <v>26</v>
      </c>
      <c r="D46" s="38" t="s">
        <v>384</v>
      </c>
      <c r="E46" s="41" t="s">
        <v>434</v>
      </c>
      <c r="F46" s="38" t="s">
        <v>435</v>
      </c>
      <c r="G46" s="38" t="s">
        <v>436</v>
      </c>
      <c r="H46" s="38"/>
      <c r="I46" s="38" t="s">
        <v>32</v>
      </c>
      <c r="J46" s="39" t="s">
        <v>860</v>
      </c>
      <c r="K46" s="40"/>
      <c r="L46" s="41"/>
      <c r="M46" s="38"/>
      <c r="N46" s="38"/>
      <c r="O46" s="38"/>
      <c r="P46" s="38"/>
      <c r="Q46" s="38"/>
      <c r="R46" s="38"/>
      <c r="S46" s="38"/>
      <c r="T46" s="38"/>
      <c r="U46" s="38"/>
      <c r="V46" s="42" t="s">
        <v>875</v>
      </c>
    </row>
    <row r="47" spans="1:22" ht="304">
      <c r="A47" s="38">
        <v>46</v>
      </c>
      <c r="B47" s="38" t="s">
        <v>442</v>
      </c>
      <c r="C47" s="39" t="s">
        <v>26</v>
      </c>
      <c r="D47" s="38" t="s">
        <v>384</v>
      </c>
      <c r="E47" s="41" t="s">
        <v>443</v>
      </c>
      <c r="F47" s="38" t="s">
        <v>443</v>
      </c>
      <c r="G47" s="38" t="s">
        <v>444</v>
      </c>
      <c r="H47" s="38"/>
      <c r="I47" s="38" t="s">
        <v>32</v>
      </c>
      <c r="J47" s="39" t="s">
        <v>860</v>
      </c>
      <c r="K47" s="40"/>
      <c r="L47" s="41"/>
      <c r="M47" s="38"/>
      <c r="N47" s="38"/>
      <c r="O47" s="38"/>
      <c r="P47" s="38"/>
      <c r="Q47" s="38"/>
      <c r="R47" s="38"/>
      <c r="S47" s="38"/>
      <c r="T47" s="38"/>
      <c r="U47" s="38"/>
      <c r="V47" s="42" t="s">
        <v>875</v>
      </c>
    </row>
    <row r="48" spans="1:22" ht="176">
      <c r="A48" s="38">
        <v>47</v>
      </c>
      <c r="B48" s="38" t="s">
        <v>451</v>
      </c>
      <c r="C48" s="39" t="s">
        <v>26</v>
      </c>
      <c r="D48" s="38" t="s">
        <v>384</v>
      </c>
      <c r="E48" s="41" t="s">
        <v>448</v>
      </c>
      <c r="F48" s="38" t="s">
        <v>452</v>
      </c>
      <c r="G48" s="38" t="s">
        <v>453</v>
      </c>
      <c r="H48" s="38"/>
      <c r="I48" s="38" t="s">
        <v>32</v>
      </c>
      <c r="J48" s="39" t="s">
        <v>860</v>
      </c>
      <c r="K48" s="40"/>
      <c r="L48" s="41"/>
      <c r="M48" s="38"/>
      <c r="N48" s="38"/>
      <c r="O48" s="38"/>
      <c r="P48" s="38"/>
      <c r="Q48" s="38"/>
      <c r="R48" s="38"/>
      <c r="S48" s="38"/>
      <c r="T48" s="38"/>
      <c r="U48" s="38"/>
      <c r="V48" s="42" t="s">
        <v>875</v>
      </c>
    </row>
    <row r="49" spans="1:22" ht="336">
      <c r="A49" s="38">
        <v>48</v>
      </c>
      <c r="B49" s="38" t="s">
        <v>463</v>
      </c>
      <c r="C49" s="39" t="s">
        <v>26</v>
      </c>
      <c r="D49" s="38" t="s">
        <v>384</v>
      </c>
      <c r="E49" s="41" t="s">
        <v>464</v>
      </c>
      <c r="F49" s="38" t="s">
        <v>465</v>
      </c>
      <c r="G49" s="38" t="s">
        <v>466</v>
      </c>
      <c r="H49" s="38"/>
      <c r="I49" s="38" t="s">
        <v>32</v>
      </c>
      <c r="J49" s="39" t="s">
        <v>860</v>
      </c>
      <c r="K49" s="40"/>
      <c r="L49" s="41"/>
      <c r="M49" s="38"/>
      <c r="N49" s="38"/>
      <c r="O49" s="38"/>
      <c r="P49" s="38"/>
      <c r="Q49" s="38"/>
      <c r="R49" s="38"/>
      <c r="S49" s="38"/>
      <c r="T49" s="38"/>
      <c r="U49" s="38"/>
      <c r="V49" s="42" t="s">
        <v>875</v>
      </c>
    </row>
    <row r="50" spans="1:22" ht="112">
      <c r="A50" s="38">
        <v>49</v>
      </c>
      <c r="B50" s="38" t="s">
        <v>469</v>
      </c>
      <c r="C50" s="39" t="s">
        <v>26</v>
      </c>
      <c r="D50" s="38" t="s">
        <v>384</v>
      </c>
      <c r="E50" s="41" t="s">
        <v>464</v>
      </c>
      <c r="F50" s="38" t="s">
        <v>470</v>
      </c>
      <c r="G50" s="38" t="s">
        <v>471</v>
      </c>
      <c r="H50" s="38"/>
      <c r="I50" s="38" t="s">
        <v>32</v>
      </c>
      <c r="J50" s="39" t="s">
        <v>860</v>
      </c>
      <c r="K50" s="40"/>
      <c r="L50" s="41"/>
      <c r="M50" s="38"/>
      <c r="N50" s="38"/>
      <c r="O50" s="38"/>
      <c r="P50" s="38"/>
      <c r="Q50" s="38"/>
      <c r="R50" s="38"/>
      <c r="S50" s="38"/>
      <c r="T50" s="38"/>
      <c r="U50" s="38"/>
      <c r="V50" s="42" t="s">
        <v>875</v>
      </c>
    </row>
    <row r="51" spans="1:22" ht="176">
      <c r="A51" s="38">
        <v>50</v>
      </c>
      <c r="B51" s="38" t="s">
        <v>469</v>
      </c>
      <c r="C51" s="39" t="s">
        <v>26</v>
      </c>
      <c r="D51" s="38" t="s">
        <v>384</v>
      </c>
      <c r="E51" s="41" t="s">
        <v>464</v>
      </c>
      <c r="F51" s="38" t="s">
        <v>474</v>
      </c>
      <c r="G51" s="38" t="s">
        <v>475</v>
      </c>
      <c r="H51" s="38"/>
      <c r="I51" s="38" t="s">
        <v>32</v>
      </c>
      <c r="J51" s="39" t="s">
        <v>860</v>
      </c>
      <c r="K51" s="40"/>
      <c r="L51" s="41"/>
      <c r="M51" s="38"/>
      <c r="N51" s="38"/>
      <c r="O51" s="38"/>
      <c r="P51" s="38"/>
      <c r="Q51" s="38"/>
      <c r="R51" s="38"/>
      <c r="S51" s="38"/>
      <c r="T51" s="38"/>
      <c r="U51" s="38"/>
      <c r="V51" s="42" t="s">
        <v>875</v>
      </c>
    </row>
    <row r="52" spans="1:22" ht="224">
      <c r="A52" s="38">
        <v>51</v>
      </c>
      <c r="B52" s="38" t="s">
        <v>478</v>
      </c>
      <c r="C52" s="39" t="s">
        <v>26</v>
      </c>
      <c r="D52" s="38" t="s">
        <v>384</v>
      </c>
      <c r="E52" s="41" t="s">
        <v>464</v>
      </c>
      <c r="F52" s="38" t="s">
        <v>479</v>
      </c>
      <c r="G52" s="38" t="s">
        <v>480</v>
      </c>
      <c r="H52" s="38"/>
      <c r="I52" s="38" t="s">
        <v>32</v>
      </c>
      <c r="J52" s="39" t="s">
        <v>860</v>
      </c>
      <c r="K52" s="40"/>
      <c r="L52" s="41"/>
      <c r="M52" s="38"/>
      <c r="N52" s="38"/>
      <c r="O52" s="38"/>
      <c r="P52" s="38"/>
      <c r="Q52" s="38"/>
      <c r="R52" s="38"/>
      <c r="S52" s="38"/>
      <c r="T52" s="38"/>
      <c r="U52" s="38"/>
      <c r="V52" s="42" t="s">
        <v>875</v>
      </c>
    </row>
    <row r="53" spans="1:22" ht="240">
      <c r="A53" s="38">
        <v>52</v>
      </c>
      <c r="B53" s="38" t="s">
        <v>513</v>
      </c>
      <c r="C53" s="39" t="s">
        <v>26</v>
      </c>
      <c r="D53" s="38" t="s">
        <v>384</v>
      </c>
      <c r="E53" s="41" t="s">
        <v>514</v>
      </c>
      <c r="F53" s="38" t="s">
        <v>515</v>
      </c>
      <c r="G53" s="38" t="s">
        <v>516</v>
      </c>
      <c r="H53" s="38"/>
      <c r="I53" s="38" t="s">
        <v>32</v>
      </c>
      <c r="J53" s="39" t="s">
        <v>860</v>
      </c>
      <c r="K53" s="40"/>
      <c r="L53" s="41"/>
      <c r="M53" s="38"/>
      <c r="N53" s="38"/>
      <c r="O53" s="38"/>
      <c r="P53" s="38"/>
      <c r="Q53" s="38"/>
      <c r="R53" s="38"/>
      <c r="S53" s="38"/>
      <c r="T53" s="38"/>
      <c r="U53" s="38"/>
      <c r="V53" s="42" t="s">
        <v>875</v>
      </c>
    </row>
    <row r="54" spans="1:22" ht="208">
      <c r="A54" s="38">
        <v>53</v>
      </c>
      <c r="B54" s="38" t="s">
        <v>518</v>
      </c>
      <c r="C54" s="39" t="s">
        <v>26</v>
      </c>
      <c r="D54" s="38" t="s">
        <v>384</v>
      </c>
      <c r="E54" s="41" t="s">
        <v>514</v>
      </c>
      <c r="F54" s="38" t="s">
        <v>519</v>
      </c>
      <c r="G54" s="38" t="s">
        <v>520</v>
      </c>
      <c r="H54" s="38"/>
      <c r="I54" s="38" t="s">
        <v>32</v>
      </c>
      <c r="J54" s="39" t="s">
        <v>860</v>
      </c>
      <c r="K54" s="40"/>
      <c r="L54" s="41"/>
      <c r="M54" s="38"/>
      <c r="N54" s="38"/>
      <c r="O54" s="38"/>
      <c r="P54" s="38"/>
      <c r="Q54" s="38"/>
      <c r="R54" s="38"/>
      <c r="S54" s="38"/>
      <c r="T54" s="38"/>
      <c r="U54" s="38"/>
      <c r="V54" s="42" t="s">
        <v>875</v>
      </c>
    </row>
    <row r="55" spans="1:22" ht="224">
      <c r="A55" s="38">
        <v>54</v>
      </c>
      <c r="B55" s="38" t="s">
        <v>522</v>
      </c>
      <c r="C55" s="39" t="s">
        <v>26</v>
      </c>
      <c r="D55" s="38" t="s">
        <v>384</v>
      </c>
      <c r="E55" s="41" t="s">
        <v>514</v>
      </c>
      <c r="F55" s="38" t="s">
        <v>523</v>
      </c>
      <c r="G55" s="38" t="s">
        <v>524</v>
      </c>
      <c r="H55" s="38"/>
      <c r="I55" s="38" t="s">
        <v>32</v>
      </c>
      <c r="J55" s="39" t="s">
        <v>860</v>
      </c>
      <c r="K55" s="40"/>
      <c r="L55" s="41"/>
      <c r="M55" s="38"/>
      <c r="N55" s="38"/>
      <c r="O55" s="38"/>
      <c r="P55" s="38"/>
      <c r="Q55" s="38"/>
      <c r="R55" s="38"/>
      <c r="S55" s="38"/>
      <c r="T55" s="38"/>
      <c r="U55" s="38"/>
      <c r="V55" s="42" t="s">
        <v>875</v>
      </c>
    </row>
    <row r="56" spans="1:22" ht="192">
      <c r="A56" s="38">
        <v>55</v>
      </c>
      <c r="B56" s="38" t="s">
        <v>553</v>
      </c>
      <c r="C56" s="39" t="s">
        <v>26</v>
      </c>
      <c r="D56" s="38" t="s">
        <v>384</v>
      </c>
      <c r="E56" s="41" t="s">
        <v>536</v>
      </c>
      <c r="F56" s="38" t="s">
        <v>554</v>
      </c>
      <c r="G56" s="38" t="s">
        <v>555</v>
      </c>
      <c r="H56" s="38"/>
      <c r="I56" s="38" t="s">
        <v>32</v>
      </c>
      <c r="J56" s="39" t="s">
        <v>860</v>
      </c>
      <c r="K56" s="40"/>
      <c r="L56" s="41"/>
      <c r="M56" s="38"/>
      <c r="N56" s="38"/>
      <c r="O56" s="38"/>
      <c r="P56" s="38"/>
      <c r="Q56" s="38"/>
      <c r="R56" s="38"/>
      <c r="S56" s="38"/>
      <c r="T56" s="38"/>
      <c r="U56" s="38"/>
      <c r="V56" s="42" t="s">
        <v>875</v>
      </c>
    </row>
    <row r="57" spans="1:22" ht="128">
      <c r="A57" s="38">
        <v>56</v>
      </c>
      <c r="B57" s="38" t="s">
        <v>587</v>
      </c>
      <c r="C57" s="39" t="s">
        <v>26</v>
      </c>
      <c r="D57" s="38" t="s">
        <v>384</v>
      </c>
      <c r="E57" s="41" t="s">
        <v>564</v>
      </c>
      <c r="F57" s="38" t="s">
        <v>588</v>
      </c>
      <c r="G57" s="38" t="s">
        <v>589</v>
      </c>
      <c r="H57" s="38"/>
      <c r="I57" s="38" t="s">
        <v>32</v>
      </c>
      <c r="J57" s="39" t="s">
        <v>860</v>
      </c>
      <c r="K57" s="40"/>
      <c r="L57" s="41"/>
      <c r="M57" s="38"/>
      <c r="N57" s="38"/>
      <c r="O57" s="38"/>
      <c r="P57" s="38"/>
      <c r="Q57" s="38"/>
      <c r="R57" s="38"/>
      <c r="S57" s="38"/>
      <c r="T57" s="38"/>
      <c r="U57" s="38"/>
      <c r="V57" s="42" t="s">
        <v>875</v>
      </c>
    </row>
    <row r="58" spans="1:22" ht="144">
      <c r="A58" s="38">
        <v>57</v>
      </c>
      <c r="B58" s="38" t="s">
        <v>609</v>
      </c>
      <c r="C58" s="39" t="s">
        <v>26</v>
      </c>
      <c r="D58" s="38" t="s">
        <v>384</v>
      </c>
      <c r="E58" s="41" t="s">
        <v>605</v>
      </c>
      <c r="F58" s="38" t="s">
        <v>610</v>
      </c>
      <c r="G58" s="38" t="s">
        <v>611</v>
      </c>
      <c r="H58" s="38"/>
      <c r="I58" s="38" t="s">
        <v>32</v>
      </c>
      <c r="J58" s="39" t="s">
        <v>860</v>
      </c>
      <c r="K58" s="40"/>
      <c r="L58" s="41"/>
      <c r="M58" s="38"/>
      <c r="N58" s="38"/>
      <c r="O58" s="38"/>
      <c r="P58" s="38"/>
      <c r="Q58" s="38"/>
      <c r="R58" s="38"/>
      <c r="S58" s="38"/>
      <c r="T58" s="38"/>
      <c r="U58" s="38"/>
      <c r="V58" s="42" t="s">
        <v>875</v>
      </c>
    </row>
    <row r="59" spans="1:22" ht="409.5">
      <c r="A59" s="38">
        <v>58</v>
      </c>
      <c r="B59" s="38" t="s">
        <v>621</v>
      </c>
      <c r="C59" s="39" t="s">
        <v>26</v>
      </c>
      <c r="D59" s="38" t="s">
        <v>384</v>
      </c>
      <c r="E59" s="41" t="s">
        <v>605</v>
      </c>
      <c r="F59" s="38" t="s">
        <v>622</v>
      </c>
      <c r="G59" s="38" t="s">
        <v>623</v>
      </c>
      <c r="H59" s="38"/>
      <c r="I59" s="38" t="s">
        <v>32</v>
      </c>
      <c r="J59" s="39" t="s">
        <v>860</v>
      </c>
      <c r="K59" s="40"/>
      <c r="L59" s="41"/>
      <c r="M59" s="38"/>
      <c r="N59" s="38"/>
      <c r="O59" s="38"/>
      <c r="P59" s="38"/>
      <c r="Q59" s="38"/>
      <c r="R59" s="38"/>
      <c r="S59" s="38"/>
      <c r="T59" s="38"/>
      <c r="U59" s="38"/>
      <c r="V59" s="42" t="s">
        <v>875</v>
      </c>
    </row>
    <row r="60" spans="1:22" ht="176">
      <c r="A60" s="38">
        <v>59</v>
      </c>
      <c r="B60" s="38" t="s">
        <v>637</v>
      </c>
      <c r="C60" s="39" t="s">
        <v>26</v>
      </c>
      <c r="D60" s="38" t="s">
        <v>384</v>
      </c>
      <c r="E60" s="41" t="s">
        <v>635</v>
      </c>
      <c r="F60" s="38" t="s">
        <v>638</v>
      </c>
      <c r="G60" s="38" t="s">
        <v>639</v>
      </c>
      <c r="H60" s="38"/>
      <c r="I60" s="38" t="s">
        <v>32</v>
      </c>
      <c r="J60" s="39" t="s">
        <v>860</v>
      </c>
      <c r="K60" s="40"/>
      <c r="L60" s="41"/>
      <c r="M60" s="38"/>
      <c r="N60" s="38"/>
      <c r="O60" s="38"/>
      <c r="P60" s="38"/>
      <c r="Q60" s="38"/>
      <c r="R60" s="38"/>
      <c r="S60" s="38"/>
      <c r="T60" s="38"/>
      <c r="U60" s="38"/>
      <c r="V60" s="42" t="s">
        <v>875</v>
      </c>
    </row>
    <row r="61" spans="1:22" ht="144">
      <c r="A61" s="38">
        <v>60</v>
      </c>
      <c r="B61" s="38" t="s">
        <v>646</v>
      </c>
      <c r="C61" s="39" t="s">
        <v>26</v>
      </c>
      <c r="D61" s="38" t="s">
        <v>384</v>
      </c>
      <c r="E61" s="41" t="s">
        <v>643</v>
      </c>
      <c r="F61" s="38" t="s">
        <v>647</v>
      </c>
      <c r="G61" s="38" t="s">
        <v>648</v>
      </c>
      <c r="H61" s="38"/>
      <c r="I61" s="38" t="s">
        <v>32</v>
      </c>
      <c r="J61" s="39" t="s">
        <v>860</v>
      </c>
      <c r="K61" s="40"/>
      <c r="L61" s="41"/>
      <c r="M61" s="38"/>
      <c r="N61" s="38"/>
      <c r="O61" s="38"/>
      <c r="P61" s="38"/>
      <c r="Q61" s="38"/>
      <c r="R61" s="38"/>
      <c r="S61" s="38"/>
      <c r="T61" s="38"/>
      <c r="U61" s="38"/>
      <c r="V61" s="42" t="s">
        <v>875</v>
      </c>
    </row>
    <row r="62" spans="1:22" ht="144">
      <c r="A62" s="38">
        <v>61</v>
      </c>
      <c r="B62" s="38" t="s">
        <v>695</v>
      </c>
      <c r="C62" s="39" t="s">
        <v>26</v>
      </c>
      <c r="D62" s="38" t="s">
        <v>384</v>
      </c>
      <c r="E62" s="41" t="s">
        <v>690</v>
      </c>
      <c r="F62" s="38" t="s">
        <v>696</v>
      </c>
      <c r="G62" s="38" t="s">
        <v>697</v>
      </c>
      <c r="H62" s="38"/>
      <c r="I62" s="38" t="s">
        <v>32</v>
      </c>
      <c r="J62" s="39" t="s">
        <v>860</v>
      </c>
      <c r="K62" s="40"/>
      <c r="L62" s="41"/>
      <c r="M62" s="38"/>
      <c r="N62" s="38"/>
      <c r="O62" s="38"/>
      <c r="P62" s="38"/>
      <c r="Q62" s="38"/>
      <c r="R62" s="38"/>
      <c r="S62" s="38"/>
      <c r="T62" s="38"/>
      <c r="U62" s="38"/>
      <c r="V62" s="42" t="s">
        <v>875</v>
      </c>
    </row>
    <row r="63" spans="1:22" ht="48">
      <c r="A63" s="38">
        <v>62</v>
      </c>
      <c r="B63" s="38" t="s">
        <v>858</v>
      </c>
      <c r="C63" s="38" t="s">
        <v>858</v>
      </c>
      <c r="D63" s="38" t="s">
        <v>858</v>
      </c>
      <c r="E63" s="38" t="s">
        <v>858</v>
      </c>
      <c r="F63" s="38" t="s">
        <v>858</v>
      </c>
      <c r="G63" s="38" t="s">
        <v>859</v>
      </c>
      <c r="H63" s="38"/>
      <c r="I63" s="38" t="s">
        <v>136</v>
      </c>
      <c r="J63" s="39" t="s">
        <v>860</v>
      </c>
      <c r="K63" s="40"/>
      <c r="L63" s="41" t="s">
        <v>92</v>
      </c>
      <c r="M63" s="38"/>
      <c r="N63" s="38"/>
      <c r="O63" s="38"/>
      <c r="P63" s="38"/>
      <c r="Q63" s="38"/>
      <c r="R63" s="38"/>
      <c r="S63" s="38"/>
      <c r="T63" s="38"/>
      <c r="U63" s="38" t="s">
        <v>37</v>
      </c>
      <c r="V63" s="43">
        <f t="shared" ref="V63:V67" si="0">IF(U63="Not Started",0%,IF(U63="Started",50%,IF(U63="Ready for review",70%,IF(U63="Reviewed - Content",80%,IF(U63="Reviewed - Format",90%,IF(U63="Done",100%,""))))))</f>
        <v>0</v>
      </c>
    </row>
    <row r="64" spans="1:22" ht="48">
      <c r="A64" s="38">
        <v>63</v>
      </c>
      <c r="B64" s="38" t="s">
        <v>861</v>
      </c>
      <c r="C64" s="38" t="s">
        <v>861</v>
      </c>
      <c r="D64" s="38" t="s">
        <v>861</v>
      </c>
      <c r="E64" s="38" t="s">
        <v>861</v>
      </c>
      <c r="F64" s="38" t="s">
        <v>861</v>
      </c>
      <c r="G64" s="38" t="s">
        <v>877</v>
      </c>
      <c r="H64" s="38"/>
      <c r="I64" s="38" t="s">
        <v>136</v>
      </c>
      <c r="J64" s="39" t="s">
        <v>860</v>
      </c>
      <c r="K64" s="40"/>
      <c r="L64" s="41" t="s">
        <v>878</v>
      </c>
      <c r="M64" s="38"/>
      <c r="N64" s="38"/>
      <c r="O64" s="38"/>
      <c r="P64" s="38" t="s">
        <v>879</v>
      </c>
      <c r="Q64" s="38"/>
      <c r="R64" s="38"/>
      <c r="S64" s="38"/>
      <c r="T64" s="38"/>
      <c r="U64" s="38" t="s">
        <v>37</v>
      </c>
      <c r="V64" s="43">
        <f t="shared" si="0"/>
        <v>0</v>
      </c>
    </row>
    <row r="65" spans="1:22" ht="48">
      <c r="A65" s="38">
        <v>64</v>
      </c>
      <c r="B65" s="38" t="s">
        <v>864</v>
      </c>
      <c r="C65" s="38" t="s">
        <v>865</v>
      </c>
      <c r="D65" s="38" t="s">
        <v>864</v>
      </c>
      <c r="E65" s="38" t="s">
        <v>864</v>
      </c>
      <c r="F65" s="38" t="s">
        <v>864</v>
      </c>
      <c r="G65" s="38" t="s">
        <v>866</v>
      </c>
      <c r="H65" s="38"/>
      <c r="I65" s="38" t="s">
        <v>136</v>
      </c>
      <c r="J65" s="39" t="s">
        <v>860</v>
      </c>
      <c r="K65" s="40"/>
      <c r="L65" s="41" t="s">
        <v>92</v>
      </c>
      <c r="M65" s="38"/>
      <c r="N65" s="38"/>
      <c r="O65" s="38"/>
      <c r="P65" s="38"/>
      <c r="Q65" s="38"/>
      <c r="R65" s="38"/>
      <c r="S65" s="38"/>
      <c r="T65" s="38"/>
      <c r="U65" s="38" t="s">
        <v>37</v>
      </c>
      <c r="V65" s="43">
        <f t="shared" si="0"/>
        <v>0</v>
      </c>
    </row>
    <row r="66" spans="1:22" ht="96">
      <c r="A66" s="38">
        <v>65</v>
      </c>
      <c r="B66" s="38" t="s">
        <v>867</v>
      </c>
      <c r="C66" s="38" t="s">
        <v>868</v>
      </c>
      <c r="D66" s="38" t="s">
        <v>867</v>
      </c>
      <c r="E66" s="38" t="s">
        <v>867</v>
      </c>
      <c r="F66" s="38" t="s">
        <v>867</v>
      </c>
      <c r="G66" s="38" t="s">
        <v>869</v>
      </c>
      <c r="H66" s="38"/>
      <c r="I66" s="38" t="s">
        <v>136</v>
      </c>
      <c r="J66" s="39" t="s">
        <v>860</v>
      </c>
      <c r="K66" s="40"/>
      <c r="L66" s="41" t="s">
        <v>92</v>
      </c>
      <c r="M66" s="38"/>
      <c r="N66" s="38"/>
      <c r="O66" s="38"/>
      <c r="P66" s="38"/>
      <c r="Q66" s="38"/>
      <c r="R66" s="38"/>
      <c r="S66" s="38"/>
      <c r="T66" s="38"/>
      <c r="U66" s="38" t="s">
        <v>37</v>
      </c>
      <c r="V66" s="43">
        <f t="shared" si="0"/>
        <v>0</v>
      </c>
    </row>
    <row r="67" spans="1:22" ht="128">
      <c r="A67" s="38">
        <v>66</v>
      </c>
      <c r="B67" s="38" t="s">
        <v>870</v>
      </c>
      <c r="C67" s="38" t="s">
        <v>871</v>
      </c>
      <c r="D67" s="38" t="s">
        <v>870</v>
      </c>
      <c r="E67" s="38" t="s">
        <v>870</v>
      </c>
      <c r="F67" s="38" t="s">
        <v>870</v>
      </c>
      <c r="G67" s="38" t="s">
        <v>872</v>
      </c>
      <c r="H67" s="38"/>
      <c r="I67" s="38" t="s">
        <v>136</v>
      </c>
      <c r="J67" s="39" t="s">
        <v>860</v>
      </c>
      <c r="K67" s="40"/>
      <c r="L67" s="41" t="s">
        <v>92</v>
      </c>
      <c r="M67" s="38"/>
      <c r="N67" s="38"/>
      <c r="O67" s="38"/>
      <c r="P67" s="38" t="s">
        <v>873</v>
      </c>
      <c r="Q67" s="38"/>
      <c r="R67" s="38"/>
      <c r="S67" s="38"/>
      <c r="T67" s="38"/>
      <c r="U67" s="38" t="s">
        <v>37</v>
      </c>
      <c r="V67" s="43">
        <f t="shared" si="0"/>
        <v>0</v>
      </c>
    </row>
  </sheetData>
  <autoFilter ref="A1:V1" xr:uid="{63E7B456-01C2-4E57-97D9-B84B33331D11}"/>
  <conditionalFormatting sqref="V2:V67">
    <cfRule type="expression" dxfId="14" priority="1">
      <formula>V2=100%</formula>
    </cfRule>
    <cfRule type="expression" dxfId="13" priority="2">
      <formula>V2=90%</formula>
    </cfRule>
    <cfRule type="expression" dxfId="12" priority="3">
      <formula>V2=80%</formula>
    </cfRule>
    <cfRule type="expression" dxfId="11" priority="4">
      <formula>V2=70%</formula>
    </cfRule>
    <cfRule type="expression" dxfId="10" priority="5">
      <formula>V2=50%</formula>
    </cfRule>
    <cfRule type="expression" dxfId="9" priority="6">
      <formula>V2=0%</formula>
    </cfRule>
  </conditionalFormatting>
  <dataValidations count="5">
    <dataValidation type="list" allowBlank="1" showInputMessage="1" showErrorMessage="1" sqref="O2:O67" xr:uid="{0035DB34-2F0C-48E4-A455-F96E51617337}">
      <formula1>"1. Fully met,2. Partly met,3. Not able to meet,4. Not part of offer"</formula1>
    </dataValidation>
    <dataValidation type="list" allowBlank="1" showInputMessage="1" showErrorMessage="1" sqref="U2:U67" xr:uid="{D2C8A60C-B52D-4AED-9DB8-B9D01CEB67E7}">
      <formula1>"Not Started,Started,Ready for review,Reviewed - Content,Reviewed - Format,Done"</formula1>
    </dataValidation>
    <dataValidation type="list" allowBlank="1" showInputMessage="1" showErrorMessage="1" sqref="Q2:S67" xr:uid="{B486B37D-25AB-43AA-8AE2-7A3124F08E72}">
      <formula1>"Yes,No"</formula1>
    </dataValidation>
    <dataValidation type="list" allowBlank="1" showInputMessage="1" showErrorMessage="1" sqref="J2:J67" xr:uid="{EFC51CF4-B159-4089-879C-AB534EA28462}">
      <formula1>"Check,Answer,Verify"</formula1>
    </dataValidation>
    <dataValidation type="list" allowBlank="1" showInputMessage="1" showErrorMessage="1" sqref="I2:I67" xr:uid="{AFA776A1-31DF-432E-9AD3-FBA196C99311}">
      <formula1>"MK - Minimumskrav,IK - Informationskrav,K - Konkurrencekrav,O - Option"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40318-F893-4E69-BAE6-650B9B84C183}">
  <sheetPr>
    <tabColor theme="6"/>
  </sheetPr>
  <dimension ref="A1:D26"/>
  <sheetViews>
    <sheetView zoomScale="75" workbookViewId="0">
      <selection activeCell="D11" sqref="D11"/>
    </sheetView>
  </sheetViews>
  <sheetFormatPr defaultColWidth="8.765625" defaultRowHeight="16"/>
  <cols>
    <col min="1" max="1" width="54.765625" customWidth="1"/>
    <col min="2" max="2" width="23.69140625" customWidth="1"/>
    <col min="3" max="3" width="31" style="36" customWidth="1"/>
  </cols>
  <sheetData>
    <row r="1" spans="1:4">
      <c r="A1" s="4" t="s">
        <v>880</v>
      </c>
      <c r="B1" s="4" t="s">
        <v>881</v>
      </c>
      <c r="C1" s="37" t="s">
        <v>18</v>
      </c>
    </row>
    <row r="2" spans="1:4">
      <c r="A2" s="53" t="s">
        <v>882</v>
      </c>
      <c r="B2" s="55" t="s">
        <v>883</v>
      </c>
      <c r="C2" s="38"/>
      <c r="D2" t="s">
        <v>884</v>
      </c>
    </row>
    <row r="3" spans="1:4">
      <c r="A3" s="53" t="s">
        <v>885</v>
      </c>
      <c r="B3" s="53" t="s">
        <v>886</v>
      </c>
      <c r="C3" s="38"/>
      <c r="D3" t="s">
        <v>884</v>
      </c>
    </row>
    <row r="4" spans="1:4">
      <c r="A4" s="53" t="s">
        <v>887</v>
      </c>
      <c r="B4" s="53" t="s">
        <v>888</v>
      </c>
      <c r="C4" s="38"/>
      <c r="D4" t="s">
        <v>889</v>
      </c>
    </row>
    <row r="5" spans="1:4">
      <c r="A5" s="53" t="s">
        <v>890</v>
      </c>
      <c r="B5" s="53" t="s">
        <v>891</v>
      </c>
      <c r="C5" s="38"/>
      <c r="D5" t="s">
        <v>889</v>
      </c>
    </row>
    <row r="6" spans="1:4">
      <c r="A6" s="53" t="s">
        <v>892</v>
      </c>
      <c r="B6" s="53" t="s">
        <v>893</v>
      </c>
      <c r="C6" s="38"/>
      <c r="D6" t="s">
        <v>889</v>
      </c>
    </row>
    <row r="7" spans="1:4">
      <c r="A7" s="53" t="s">
        <v>894</v>
      </c>
      <c r="B7" s="53"/>
      <c r="C7" s="38"/>
    </row>
    <row r="8" spans="1:4">
      <c r="A8" s="53" t="s">
        <v>895</v>
      </c>
      <c r="B8" s="53" t="s">
        <v>896</v>
      </c>
      <c r="C8" s="38"/>
      <c r="D8" t="s">
        <v>889</v>
      </c>
    </row>
    <row r="9" spans="1:4">
      <c r="A9" s="53" t="s">
        <v>897</v>
      </c>
      <c r="B9" s="53" t="s">
        <v>898</v>
      </c>
      <c r="C9" s="38"/>
      <c r="D9" t="s">
        <v>889</v>
      </c>
    </row>
    <row r="10" spans="1:4">
      <c r="A10" s="54" t="s">
        <v>899</v>
      </c>
      <c r="B10" s="54" t="s">
        <v>900</v>
      </c>
      <c r="D10" t="s">
        <v>889</v>
      </c>
    </row>
    <row r="11" spans="1:4">
      <c r="A11" s="92" t="s">
        <v>901</v>
      </c>
      <c r="B11" s="93"/>
      <c r="C11" s="94"/>
    </row>
    <row r="12" spans="1:4">
      <c r="A12" s="53" t="s">
        <v>902</v>
      </c>
      <c r="B12" s="53" t="s">
        <v>903</v>
      </c>
      <c r="C12" s="38"/>
      <c r="D12" t="s">
        <v>889</v>
      </c>
    </row>
    <row r="13" spans="1:4">
      <c r="A13" s="53" t="s">
        <v>904</v>
      </c>
      <c r="B13" s="53" t="s">
        <v>905</v>
      </c>
      <c r="C13" s="38"/>
      <c r="D13" t="s">
        <v>889</v>
      </c>
    </row>
    <row r="14" spans="1:4">
      <c r="A14" s="3" t="s">
        <v>906</v>
      </c>
      <c r="B14" s="3" t="s">
        <v>907</v>
      </c>
      <c r="C14" s="38" t="s">
        <v>908</v>
      </c>
      <c r="D14" t="s">
        <v>889</v>
      </c>
    </row>
    <row r="15" spans="1:4">
      <c r="A15" s="53" t="s">
        <v>909</v>
      </c>
      <c r="B15" s="53" t="s">
        <v>910</v>
      </c>
      <c r="C15" s="38"/>
      <c r="D15" t="s">
        <v>889</v>
      </c>
    </row>
    <row r="16" spans="1:4">
      <c r="A16" s="53" t="s">
        <v>911</v>
      </c>
      <c r="B16" s="53" t="s">
        <v>910</v>
      </c>
      <c r="C16" s="38"/>
      <c r="D16" t="s">
        <v>889</v>
      </c>
    </row>
    <row r="17" spans="1:4">
      <c r="A17" s="54" t="s">
        <v>912</v>
      </c>
      <c r="B17" s="54" t="s">
        <v>913</v>
      </c>
      <c r="C17" s="38"/>
      <c r="D17" t="s">
        <v>889</v>
      </c>
    </row>
    <row r="18" spans="1:4" ht="32">
      <c r="A18" s="3" t="s">
        <v>914</v>
      </c>
      <c r="B18" s="3" t="s">
        <v>915</v>
      </c>
      <c r="C18" s="38" t="s">
        <v>916</v>
      </c>
      <c r="D18" t="s">
        <v>889</v>
      </c>
    </row>
    <row r="19" spans="1:4">
      <c r="A19" s="3" t="s">
        <v>917</v>
      </c>
      <c r="B19" s="3" t="s">
        <v>918</v>
      </c>
      <c r="C19" s="38"/>
      <c r="D19" t="s">
        <v>79</v>
      </c>
    </row>
    <row r="20" spans="1:4">
      <c r="A20" s="53" t="s">
        <v>919</v>
      </c>
      <c r="B20" s="53" t="s">
        <v>920</v>
      </c>
      <c r="C20" s="38"/>
      <c r="D20" t="s">
        <v>79</v>
      </c>
    </row>
    <row r="21" spans="1:4">
      <c r="A21" s="53" t="s">
        <v>921</v>
      </c>
      <c r="B21" s="53" t="s">
        <v>922</v>
      </c>
      <c r="C21" s="38"/>
      <c r="D21" t="s">
        <v>889</v>
      </c>
    </row>
    <row r="22" spans="1:4">
      <c r="A22" s="53" t="s">
        <v>923</v>
      </c>
      <c r="B22" s="53" t="s">
        <v>924</v>
      </c>
      <c r="C22" s="38"/>
      <c r="D22" t="s">
        <v>889</v>
      </c>
    </row>
    <row r="23" spans="1:4">
      <c r="A23" s="53" t="s">
        <v>925</v>
      </c>
      <c r="B23" s="3" t="s">
        <v>926</v>
      </c>
      <c r="C23" s="38"/>
      <c r="D23" t="s">
        <v>889</v>
      </c>
    </row>
    <row r="24" spans="1:4">
      <c r="A24" s="3" t="s">
        <v>927</v>
      </c>
      <c r="B24" s="3" t="s">
        <v>928</v>
      </c>
      <c r="C24" s="38"/>
      <c r="D24" t="s">
        <v>79</v>
      </c>
    </row>
    <row r="25" spans="1:4">
      <c r="A25" s="3" t="s">
        <v>929</v>
      </c>
      <c r="B25" s="3" t="s">
        <v>928</v>
      </c>
      <c r="C25" s="38"/>
      <c r="D25" t="s">
        <v>79</v>
      </c>
    </row>
    <row r="26" spans="1:4">
      <c r="A26" s="3" t="s">
        <v>930</v>
      </c>
      <c r="B26" s="3" t="s">
        <v>928</v>
      </c>
      <c r="C26" s="38"/>
      <c r="D26" t="s">
        <v>79</v>
      </c>
    </row>
  </sheetData>
  <mergeCells count="1">
    <mergeCell ref="A11: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95E5-44A8-46E2-8F73-F5908619E989}">
  <sheetPr>
    <tabColor theme="7" tint="0.79998168889431442"/>
  </sheetPr>
  <dimension ref="B5:I49"/>
  <sheetViews>
    <sheetView topLeftCell="A26" workbookViewId="0">
      <selection activeCell="C39" sqref="C39"/>
    </sheetView>
  </sheetViews>
  <sheetFormatPr defaultColWidth="8.765625" defaultRowHeight="16"/>
  <cols>
    <col min="3" max="3" width="26" bestFit="1" customWidth="1"/>
    <col min="4" max="6" width="15.765625" bestFit="1" customWidth="1"/>
    <col min="7" max="7" width="28.07421875" bestFit="1" customWidth="1"/>
    <col min="8" max="8" width="15.765625" bestFit="1" customWidth="1"/>
  </cols>
  <sheetData>
    <row r="5" spans="2:9" ht="16.5" thickBot="1"/>
    <row r="6" spans="2:9">
      <c r="B6" s="12"/>
      <c r="C6" s="13"/>
      <c r="D6" s="13"/>
      <c r="E6" s="13"/>
      <c r="F6" s="13"/>
      <c r="G6" s="13"/>
      <c r="H6" s="13"/>
      <c r="I6" s="14"/>
    </row>
    <row r="7" spans="2:9">
      <c r="B7" s="15"/>
      <c r="C7" s="16"/>
      <c r="D7" s="16"/>
      <c r="E7" s="16"/>
      <c r="F7" s="16"/>
      <c r="G7" s="16"/>
      <c r="H7" s="16"/>
      <c r="I7" s="17"/>
    </row>
    <row r="8" spans="2:9">
      <c r="B8" s="15"/>
      <c r="C8" s="4" t="s">
        <v>931</v>
      </c>
      <c r="D8" s="23">
        <f>COUNTIF('Production Plan'!B:B,"&lt;&gt;")-1</f>
        <v>218</v>
      </c>
      <c r="E8" s="16"/>
      <c r="F8" s="16"/>
      <c r="G8" s="4" t="s">
        <v>932</v>
      </c>
      <c r="H8" s="23">
        <f>COUNTIF('IK-krav'!B:B,"&lt;&gt;")-1</f>
        <v>66</v>
      </c>
      <c r="I8" s="17"/>
    </row>
    <row r="9" spans="2:9">
      <c r="B9" s="15"/>
      <c r="C9" s="22"/>
      <c r="D9" s="16"/>
      <c r="E9" s="16"/>
      <c r="F9" s="16"/>
      <c r="G9" s="16"/>
      <c r="H9" s="16"/>
      <c r="I9" s="17"/>
    </row>
    <row r="10" spans="2:9">
      <c r="B10" s="15"/>
      <c r="C10" s="16"/>
      <c r="D10" s="16"/>
      <c r="E10" s="16"/>
      <c r="F10" s="16"/>
      <c r="G10" s="16"/>
      <c r="H10" s="16"/>
      <c r="I10" s="17"/>
    </row>
    <row r="11" spans="2:9">
      <c r="B11" s="15"/>
      <c r="C11" s="16"/>
      <c r="D11" s="16"/>
      <c r="E11" s="97" t="s">
        <v>933</v>
      </c>
      <c r="F11" s="98"/>
      <c r="G11" s="95" t="s">
        <v>934</v>
      </c>
      <c r="H11" s="96"/>
      <c r="I11" s="17"/>
    </row>
    <row r="12" spans="2:9">
      <c r="B12" s="15"/>
      <c r="C12" s="16"/>
      <c r="D12" s="16"/>
      <c r="E12" s="6" t="s">
        <v>935</v>
      </c>
      <c r="F12" s="6" t="s">
        <v>936</v>
      </c>
      <c r="G12" s="8" t="s">
        <v>935</v>
      </c>
      <c r="H12" s="8" t="s">
        <v>936</v>
      </c>
      <c r="I12" s="17"/>
    </row>
    <row r="13" spans="2:9">
      <c r="B13" s="15"/>
      <c r="C13" s="7" t="s">
        <v>37</v>
      </c>
      <c r="D13" s="33"/>
      <c r="E13" s="23">
        <f>COUNTIF('Production Plan'!X:X,Status!$C$13)</f>
        <v>161</v>
      </c>
      <c r="F13" s="24">
        <f>E13/$D$8</f>
        <v>0.73853211009174313</v>
      </c>
      <c r="G13" s="23">
        <f>COUNTIF('IK-krav'!U:U,Status!C13)</f>
        <v>5</v>
      </c>
      <c r="H13" s="24">
        <f>G13/$D$8</f>
        <v>2.2935779816513763E-2</v>
      </c>
      <c r="I13" s="17"/>
    </row>
    <row r="14" spans="2:9">
      <c r="B14" s="15"/>
      <c r="C14" s="7" t="s">
        <v>57</v>
      </c>
      <c r="D14" s="34"/>
      <c r="E14" s="23">
        <f>COUNTIF('Production Plan'!X:X,Status!C14)</f>
        <v>17</v>
      </c>
      <c r="F14" s="24">
        <f t="shared" ref="F14:H18" si="0">E14/$D$8</f>
        <v>7.7981651376146793E-2</v>
      </c>
      <c r="G14" s="23">
        <f>COUNTIF('IK-krav'!U:U,Status!C14)</f>
        <v>0</v>
      </c>
      <c r="H14" s="24">
        <f t="shared" si="0"/>
        <v>0</v>
      </c>
      <c r="I14" s="17"/>
    </row>
    <row r="15" spans="2:9">
      <c r="B15" s="15"/>
      <c r="C15" s="7" t="s">
        <v>86</v>
      </c>
      <c r="D15" s="33"/>
      <c r="E15" s="23">
        <f>COUNTIF('Production Plan'!X:X,Status!C15)</f>
        <v>31</v>
      </c>
      <c r="F15" s="24">
        <f t="shared" si="0"/>
        <v>0.14220183486238533</v>
      </c>
      <c r="G15" s="23">
        <f>COUNTIF('IK-krav'!U:U,Status!C15)</f>
        <v>0</v>
      </c>
      <c r="H15" s="24">
        <f t="shared" si="0"/>
        <v>0</v>
      </c>
      <c r="I15" s="17"/>
    </row>
    <row r="16" spans="2:9">
      <c r="B16" s="15"/>
      <c r="C16" s="7" t="s">
        <v>937</v>
      </c>
      <c r="D16" s="33"/>
      <c r="E16" s="23">
        <f>COUNTIF('Production Plan'!X:X,Status!C16)</f>
        <v>0</v>
      </c>
      <c r="F16" s="24">
        <f t="shared" si="0"/>
        <v>0</v>
      </c>
      <c r="G16" s="23">
        <f>COUNTIF('IK-krav'!U:U,Status!C16)</f>
        <v>0</v>
      </c>
      <c r="H16" s="24">
        <f t="shared" si="0"/>
        <v>0</v>
      </c>
      <c r="I16" s="17"/>
    </row>
    <row r="17" spans="2:9">
      <c r="B17" s="15"/>
      <c r="C17" s="7" t="s">
        <v>938</v>
      </c>
      <c r="D17" s="33"/>
      <c r="E17" s="23">
        <f>COUNTIF('Production Plan'!X:X,Status!C17)</f>
        <v>0</v>
      </c>
      <c r="F17" s="24">
        <f t="shared" si="0"/>
        <v>0</v>
      </c>
      <c r="G17" s="23">
        <f>COUNTIF('IK-krav'!U:U,Status!C17)</f>
        <v>0</v>
      </c>
      <c r="H17" s="24">
        <f t="shared" si="0"/>
        <v>0</v>
      </c>
      <c r="I17" s="17"/>
    </row>
    <row r="18" spans="2:9">
      <c r="B18" s="15"/>
      <c r="C18" s="7" t="s">
        <v>801</v>
      </c>
      <c r="D18" s="34"/>
      <c r="E18" s="23">
        <f>COUNTIF('Production Plan'!X:X,Status!C18)</f>
        <v>5</v>
      </c>
      <c r="F18" s="24">
        <f t="shared" si="0"/>
        <v>2.2935779816513763E-2</v>
      </c>
      <c r="G18" s="23">
        <f>COUNTIF('IK-krav'!U:U,Status!C18)</f>
        <v>0</v>
      </c>
      <c r="H18" s="24">
        <f t="shared" si="0"/>
        <v>0</v>
      </c>
      <c r="I18" s="17"/>
    </row>
    <row r="19" spans="2:9">
      <c r="B19" s="15"/>
      <c r="C19" s="26" t="s">
        <v>939</v>
      </c>
      <c r="D19" s="27"/>
      <c r="E19" s="28">
        <f t="shared" ref="E19:H19" si="1">SUM(E13:E18)</f>
        <v>214</v>
      </c>
      <c r="F19" s="29">
        <f t="shared" si="1"/>
        <v>0.98165137614678899</v>
      </c>
      <c r="G19" s="28">
        <f t="shared" si="1"/>
        <v>5</v>
      </c>
      <c r="H19" s="29">
        <f t="shared" si="1"/>
        <v>2.2935779816513763E-2</v>
      </c>
      <c r="I19" s="17"/>
    </row>
    <row r="20" spans="2:9">
      <c r="B20" s="15"/>
      <c r="C20" s="26" t="s">
        <v>940</v>
      </c>
      <c r="D20" s="27"/>
      <c r="E20" s="27">
        <f>$D$8-E19</f>
        <v>4</v>
      </c>
      <c r="F20" s="30">
        <f>100%-F19</f>
        <v>1.834862385321101E-2</v>
      </c>
      <c r="G20" s="31">
        <f>$D$8-G19</f>
        <v>213</v>
      </c>
      <c r="H20" s="30">
        <f>100%-H19</f>
        <v>0.97706422018348627</v>
      </c>
      <c r="I20" s="17"/>
    </row>
    <row r="21" spans="2:9">
      <c r="B21" s="15"/>
      <c r="C21" s="16"/>
      <c r="E21" s="16"/>
      <c r="F21" s="18"/>
      <c r="G21" s="16"/>
      <c r="H21" s="18"/>
      <c r="I21" s="17"/>
    </row>
    <row r="22" spans="2:9" ht="16.5" thickBot="1">
      <c r="B22" s="19"/>
      <c r="C22" s="20"/>
      <c r="D22" s="20"/>
      <c r="E22" s="20"/>
      <c r="F22" s="20"/>
      <c r="G22" s="20"/>
      <c r="H22" s="20"/>
      <c r="I22" s="21"/>
    </row>
    <row r="24" spans="2:9" ht="16.5" thickBot="1"/>
    <row r="25" spans="2:9">
      <c r="B25" s="12"/>
      <c r="C25" s="13"/>
      <c r="D25" s="13"/>
      <c r="E25" s="13"/>
      <c r="F25" s="13"/>
      <c r="G25" s="13"/>
      <c r="H25" s="13"/>
      <c r="I25" s="14"/>
    </row>
    <row r="26" spans="2:9">
      <c r="B26" s="15"/>
      <c r="C26" s="16"/>
      <c r="D26" s="16"/>
      <c r="E26" s="16"/>
      <c r="F26" s="16"/>
      <c r="G26" s="16"/>
      <c r="H26" s="16"/>
      <c r="I26" s="17"/>
    </row>
    <row r="27" spans="2:9">
      <c r="B27" s="15"/>
      <c r="C27" s="16"/>
      <c r="D27" s="16"/>
      <c r="E27" s="97" t="s">
        <v>933</v>
      </c>
      <c r="F27" s="98"/>
      <c r="G27" s="95" t="s">
        <v>934</v>
      </c>
      <c r="H27" s="96"/>
      <c r="I27" s="17"/>
    </row>
    <row r="28" spans="2:9">
      <c r="B28" s="15"/>
      <c r="C28" s="7" t="s">
        <v>14</v>
      </c>
      <c r="D28" s="32"/>
      <c r="E28" s="11" t="s">
        <v>941</v>
      </c>
      <c r="F28" s="2" t="s">
        <v>936</v>
      </c>
      <c r="G28" s="5" t="s">
        <v>935</v>
      </c>
      <c r="H28" s="5" t="s">
        <v>936</v>
      </c>
      <c r="I28" s="17"/>
    </row>
    <row r="29" spans="2:9">
      <c r="B29" s="15"/>
      <c r="C29" s="7" t="s">
        <v>54</v>
      </c>
      <c r="D29" s="32"/>
      <c r="E29" s="25">
        <f>COUNTIF('Production Plan'!O:O,C29)</f>
        <v>29</v>
      </c>
      <c r="F29" s="24">
        <f>E29/$D$8</f>
        <v>0.13302752293577982</v>
      </c>
      <c r="G29" s="25">
        <f>COUNTIF('IK-krav'!U:U,E29)</f>
        <v>0</v>
      </c>
      <c r="H29" s="24">
        <f>G29/$D$8</f>
        <v>0</v>
      </c>
      <c r="I29" s="17"/>
    </row>
    <row r="30" spans="2:9">
      <c r="B30" s="15"/>
      <c r="C30" s="7" t="s">
        <v>200</v>
      </c>
      <c r="D30" s="32"/>
      <c r="E30" s="25">
        <f>COUNTIF('Production Plan'!O:O,C30)</f>
        <v>15</v>
      </c>
      <c r="F30" s="24">
        <f t="shared" ref="F30:H45" si="2">E30/$D$8</f>
        <v>6.8807339449541288E-2</v>
      </c>
      <c r="G30" s="25">
        <f>COUNTIF('IK-krav'!U:U,E30)</f>
        <v>0</v>
      </c>
      <c r="H30" s="24">
        <f t="shared" si="2"/>
        <v>0</v>
      </c>
      <c r="I30" s="17"/>
    </row>
    <row r="31" spans="2:9">
      <c r="B31" s="15"/>
      <c r="C31" s="7" t="s">
        <v>131</v>
      </c>
      <c r="D31" s="32"/>
      <c r="E31" s="25">
        <f>COUNTIF('Production Plan'!O:O,C31)</f>
        <v>2</v>
      </c>
      <c r="F31" s="24">
        <f t="shared" si="2"/>
        <v>9.1743119266055051E-3</v>
      </c>
      <c r="G31" s="25">
        <f>COUNTIF('IK-krav'!U:U,E31)</f>
        <v>0</v>
      </c>
      <c r="H31" s="24">
        <f t="shared" si="2"/>
        <v>0</v>
      </c>
      <c r="I31" s="17"/>
    </row>
    <row r="32" spans="2:9">
      <c r="B32" s="15"/>
      <c r="C32" s="7" t="s">
        <v>70</v>
      </c>
      <c r="D32" s="32"/>
      <c r="E32" s="25">
        <f>COUNTIF('Production Plan'!O:O,C32)</f>
        <v>25</v>
      </c>
      <c r="F32" s="24">
        <f t="shared" ref="F32:F42" si="3">E32/$D$8</f>
        <v>0.11467889908256881</v>
      </c>
      <c r="G32" s="25">
        <f>COUNTIF('IK-krav'!U:U,E32)</f>
        <v>0</v>
      </c>
      <c r="H32" s="24">
        <f t="shared" ref="H32:H42" si="4">G32/$D$8</f>
        <v>0</v>
      </c>
      <c r="I32" s="17"/>
    </row>
    <row r="33" spans="2:9">
      <c r="B33" s="15"/>
      <c r="C33" s="7" t="s">
        <v>154</v>
      </c>
      <c r="D33" s="32"/>
      <c r="E33" s="25">
        <f>COUNTIF('Production Plan'!O:O,C33)</f>
        <v>1</v>
      </c>
      <c r="F33" s="24">
        <f t="shared" ref="F33" si="5">E33/$D$8</f>
        <v>4.5871559633027525E-3</v>
      </c>
      <c r="G33" s="25">
        <f>COUNTIF('IK-krav'!U:U,E33)</f>
        <v>0</v>
      </c>
      <c r="H33" s="24">
        <f t="shared" ref="H33" si="6">G33/$D$8</f>
        <v>0</v>
      </c>
      <c r="I33" s="17"/>
    </row>
    <row r="34" spans="2:9">
      <c r="B34" s="15"/>
      <c r="C34" s="7" t="s">
        <v>942</v>
      </c>
      <c r="D34" s="32"/>
      <c r="E34" s="25">
        <f>COUNTIF('Production Plan'!O:O,C34)</f>
        <v>0</v>
      </c>
      <c r="F34" s="24">
        <f t="shared" ref="F34" si="7">E34/$D$8</f>
        <v>0</v>
      </c>
      <c r="G34" s="25">
        <f>COUNTIF('IK-krav'!U:U,E34)</f>
        <v>0</v>
      </c>
      <c r="H34" s="24">
        <f t="shared" ref="H34" si="8">G34/$D$8</f>
        <v>0</v>
      </c>
      <c r="I34" s="17"/>
    </row>
    <row r="35" spans="2:9">
      <c r="B35" s="15"/>
      <c r="C35" s="7" t="s">
        <v>34</v>
      </c>
      <c r="D35" s="32"/>
      <c r="E35" s="25">
        <f>COUNTIF('Production Plan'!O:O,C35)</f>
        <v>17</v>
      </c>
      <c r="F35" s="24">
        <f t="shared" si="3"/>
        <v>7.7981651376146793E-2</v>
      </c>
      <c r="G35" s="25">
        <f>COUNTIF('IK-krav'!U:U,E35)</f>
        <v>0</v>
      </c>
      <c r="H35" s="24">
        <f t="shared" si="4"/>
        <v>0</v>
      </c>
      <c r="I35" s="17"/>
    </row>
    <row r="36" spans="2:9">
      <c r="B36" s="15"/>
      <c r="C36" s="7" t="s">
        <v>62</v>
      </c>
      <c r="D36" s="32"/>
      <c r="E36" s="25">
        <f>COUNTIF('Production Plan'!O:O,C36)</f>
        <v>6</v>
      </c>
      <c r="F36" s="24">
        <f t="shared" si="3"/>
        <v>2.7522935779816515E-2</v>
      </c>
      <c r="G36" s="25">
        <f>COUNTIF('IK-krav'!U:U,E36)</f>
        <v>0</v>
      </c>
      <c r="H36" s="24">
        <f t="shared" si="4"/>
        <v>0</v>
      </c>
      <c r="I36" s="17"/>
    </row>
    <row r="37" spans="2:9">
      <c r="B37" s="15"/>
      <c r="C37" s="7" t="s">
        <v>75</v>
      </c>
      <c r="D37" s="32"/>
      <c r="E37" s="25">
        <f>COUNTIF('Production Plan'!O:O,C37)</f>
        <v>16</v>
      </c>
      <c r="F37" s="24">
        <f t="shared" ref="F37:F38" si="9">E37/$D$8</f>
        <v>7.3394495412844041E-2</v>
      </c>
      <c r="G37" s="25">
        <f>COUNTIF('IK-krav'!U:U,E37)</f>
        <v>0</v>
      </c>
      <c r="H37" s="24">
        <f t="shared" ref="H37:H38" si="10">G37/$D$8</f>
        <v>0</v>
      </c>
      <c r="I37" s="17"/>
    </row>
    <row r="38" spans="2:9">
      <c r="B38" s="15"/>
      <c r="C38" s="7" t="s">
        <v>943</v>
      </c>
      <c r="D38" s="32"/>
      <c r="E38" s="25">
        <f>COUNTIF('Production Plan'!O:O,C38)</f>
        <v>0</v>
      </c>
      <c r="F38" s="24">
        <f t="shared" si="9"/>
        <v>0</v>
      </c>
      <c r="G38" s="25">
        <f>COUNTIF('IK-krav'!U:U,E38)</f>
        <v>0</v>
      </c>
      <c r="H38" s="24">
        <f t="shared" si="10"/>
        <v>0</v>
      </c>
      <c r="I38" s="17"/>
    </row>
    <row r="39" spans="2:9">
      <c r="B39" s="15"/>
      <c r="C39" s="74" t="s">
        <v>424</v>
      </c>
      <c r="D39" s="32"/>
      <c r="E39" s="75">
        <f>COUNTIF('Production Plan'!O:O,C39)</f>
        <v>11</v>
      </c>
      <c r="F39" s="76">
        <f t="shared" ref="F39" si="11">E39/$D$8</f>
        <v>5.0458715596330278E-2</v>
      </c>
      <c r="G39" s="75">
        <f>COUNTIF('IK-krav'!U:U,E39)</f>
        <v>0</v>
      </c>
      <c r="H39" s="76">
        <f t="shared" ref="H39" si="12">G39/$D$8</f>
        <v>0</v>
      </c>
      <c r="I39" s="17"/>
    </row>
    <row r="40" spans="2:9">
      <c r="B40" s="15"/>
      <c r="C40" s="7" t="s">
        <v>99</v>
      </c>
      <c r="D40" s="32"/>
      <c r="E40" s="25">
        <f>COUNTIF('Production Plan'!O:O,C40)</f>
        <v>11</v>
      </c>
      <c r="F40" s="24">
        <f t="shared" si="3"/>
        <v>5.0458715596330278E-2</v>
      </c>
      <c r="G40" s="25">
        <f>COUNTIF('IK-krav'!U:U,E40)</f>
        <v>0</v>
      </c>
      <c r="H40" s="24">
        <f t="shared" si="4"/>
        <v>0</v>
      </c>
      <c r="I40" s="17"/>
    </row>
    <row r="41" spans="2:9">
      <c r="B41" s="15"/>
      <c r="C41" s="7" t="s">
        <v>608</v>
      </c>
      <c r="D41" s="32"/>
      <c r="E41" s="25">
        <f>COUNTIF('Production Plan'!O:O,C41)</f>
        <v>12</v>
      </c>
      <c r="F41" s="24">
        <f t="shared" si="3"/>
        <v>5.5045871559633031E-2</v>
      </c>
      <c r="G41" s="25">
        <f>COUNTIF('IK-krav'!U:U,E41)</f>
        <v>0</v>
      </c>
      <c r="H41" s="24">
        <f t="shared" si="4"/>
        <v>0</v>
      </c>
      <c r="I41" s="17"/>
    </row>
    <row r="42" spans="2:9">
      <c r="B42" s="15"/>
      <c r="C42" s="7" t="s">
        <v>835</v>
      </c>
      <c r="D42" s="32"/>
      <c r="E42" s="25">
        <f>COUNTIF('Production Plan'!O:O,C42)</f>
        <v>9</v>
      </c>
      <c r="F42" s="24">
        <f t="shared" si="3"/>
        <v>4.1284403669724773E-2</v>
      </c>
      <c r="G42" s="25">
        <f>COUNTIF('IK-krav'!U:U,E42)</f>
        <v>0</v>
      </c>
      <c r="H42" s="24">
        <f t="shared" si="4"/>
        <v>0</v>
      </c>
      <c r="I42" s="17"/>
    </row>
    <row r="43" spans="2:9">
      <c r="B43" s="15"/>
      <c r="C43" s="7" t="s">
        <v>92</v>
      </c>
      <c r="D43" s="32"/>
      <c r="E43" s="25">
        <f>COUNTIF('Production Plan'!O:O,C43)</f>
        <v>27</v>
      </c>
      <c r="F43" s="24">
        <f t="shared" ref="F43" si="13">E43/$D$8</f>
        <v>0.12385321100917432</v>
      </c>
      <c r="G43" s="25">
        <f>COUNTIF('IK-krav'!U:U,E43)</f>
        <v>0</v>
      </c>
      <c r="H43" s="24">
        <f t="shared" ref="H43" si="14">G43/$D$8</f>
        <v>0</v>
      </c>
      <c r="I43" s="17"/>
    </row>
    <row r="44" spans="2:9">
      <c r="B44" s="15"/>
      <c r="C44" s="7" t="s">
        <v>800</v>
      </c>
      <c r="D44" s="32"/>
      <c r="E44" s="25">
        <f>COUNTIF('Production Plan'!O:O,C44)</f>
        <v>6</v>
      </c>
      <c r="F44" s="24">
        <f t="shared" ref="F44" si="15">E44/$D$8</f>
        <v>2.7522935779816515E-2</v>
      </c>
      <c r="G44" s="25">
        <f>COUNTIF('IK-krav'!U:U,E44)</f>
        <v>0</v>
      </c>
      <c r="H44" s="24">
        <f t="shared" ref="H44" si="16">G44/$D$8</f>
        <v>0</v>
      </c>
      <c r="I44" s="17"/>
    </row>
    <row r="45" spans="2:9">
      <c r="B45" s="15"/>
      <c r="C45" s="7" t="s">
        <v>159</v>
      </c>
      <c r="D45" s="32"/>
      <c r="E45" s="25">
        <f>COUNTIF('Production Plan'!O:O,C45)</f>
        <v>30</v>
      </c>
      <c r="F45" s="24">
        <f t="shared" si="2"/>
        <v>0.13761467889908258</v>
      </c>
      <c r="G45" s="25">
        <f>COUNTIF('IK-krav'!U:U,E45)</f>
        <v>0</v>
      </c>
      <c r="H45" s="24">
        <f t="shared" si="2"/>
        <v>0</v>
      </c>
      <c r="I45" s="17"/>
    </row>
    <row r="46" spans="2:9">
      <c r="B46" s="15"/>
      <c r="C46" s="26" t="s">
        <v>939</v>
      </c>
      <c r="D46" s="27"/>
      <c r="E46" s="27">
        <f>SUM(E29:E45)</f>
        <v>217</v>
      </c>
      <c r="F46" s="70">
        <f>SUM(F29:F45)</f>
        <v>0.99541284403669739</v>
      </c>
      <c r="G46" s="27">
        <f>SUM(G29:G45)</f>
        <v>0</v>
      </c>
      <c r="H46" s="70">
        <f>SUM(H29:H45)</f>
        <v>0</v>
      </c>
      <c r="I46" s="17"/>
    </row>
    <row r="47" spans="2:9">
      <c r="B47" s="15"/>
      <c r="C47" s="26" t="s">
        <v>940</v>
      </c>
      <c r="D47" s="27"/>
      <c r="E47" s="27">
        <f>$D$8-E46</f>
        <v>1</v>
      </c>
      <c r="F47" s="30">
        <f>100%-F46</f>
        <v>4.5871559633026138E-3</v>
      </c>
      <c r="G47" s="27">
        <f>$D$8-G46</f>
        <v>218</v>
      </c>
      <c r="H47" s="30">
        <f>100%-H46</f>
        <v>1</v>
      </c>
      <c r="I47" s="17"/>
    </row>
    <row r="48" spans="2:9">
      <c r="B48" s="15"/>
      <c r="C48" s="16"/>
      <c r="D48" s="16"/>
      <c r="E48" s="16"/>
      <c r="F48" s="16"/>
      <c r="G48" s="16"/>
      <c r="H48" s="16"/>
      <c r="I48" s="17"/>
    </row>
    <row r="49" spans="2:9" ht="16.5" thickBot="1">
      <c r="B49" s="19"/>
      <c r="C49" s="20"/>
      <c r="D49" s="20"/>
      <c r="E49" s="20"/>
      <c r="F49" s="20"/>
      <c r="G49" s="20"/>
      <c r="H49" s="20"/>
      <c r="I49" s="21"/>
    </row>
  </sheetData>
  <mergeCells count="4">
    <mergeCell ref="G27:H27"/>
    <mergeCell ref="G11:H11"/>
    <mergeCell ref="E27:F27"/>
    <mergeCell ref="E11:F11"/>
  </mergeCells>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193A8-FB5F-46DF-940E-2691CCA2F8B9}">
  <sheetPr>
    <tabColor theme="5"/>
  </sheetPr>
  <dimension ref="A1:H20"/>
  <sheetViews>
    <sheetView topLeftCell="A16" workbookViewId="0">
      <selection activeCell="F16" sqref="F16"/>
    </sheetView>
  </sheetViews>
  <sheetFormatPr defaultColWidth="8.765625" defaultRowHeight="16"/>
  <cols>
    <col min="1" max="1" width="3" bestFit="1" customWidth="1"/>
    <col min="2" max="2" width="26" bestFit="1" customWidth="1"/>
    <col min="3" max="3" width="13" customWidth="1"/>
    <col min="4" max="4" width="69.4609375" customWidth="1"/>
    <col min="5" max="5" width="13.69140625" style="9" customWidth="1"/>
    <col min="6" max="6" width="45.69140625" customWidth="1"/>
    <col min="7" max="7" width="14.765625" style="9" customWidth="1"/>
    <col min="8" max="8" width="26.4609375" customWidth="1"/>
  </cols>
  <sheetData>
    <row r="1" spans="1:8">
      <c r="A1" s="35" t="s">
        <v>0</v>
      </c>
      <c r="B1" s="35" t="s">
        <v>944</v>
      </c>
      <c r="C1" s="35" t="s">
        <v>945</v>
      </c>
      <c r="D1" s="35" t="s">
        <v>946</v>
      </c>
      <c r="E1" s="35" t="s">
        <v>947</v>
      </c>
      <c r="F1" s="35" t="s">
        <v>860</v>
      </c>
      <c r="G1" s="35" t="s">
        <v>948</v>
      </c>
      <c r="H1" s="35" t="s">
        <v>18</v>
      </c>
    </row>
    <row r="2" spans="1:8" ht="96">
      <c r="A2" s="3">
        <v>1</v>
      </c>
      <c r="B2" s="3" t="s">
        <v>949</v>
      </c>
      <c r="C2" s="3" t="s">
        <v>950</v>
      </c>
      <c r="D2" s="38" t="s">
        <v>951</v>
      </c>
      <c r="E2" s="10"/>
      <c r="F2" s="3"/>
      <c r="G2" s="10"/>
      <c r="H2" s="3"/>
    </row>
    <row r="3" spans="1:8" ht="112">
      <c r="A3" s="3">
        <v>2</v>
      </c>
      <c r="B3" s="3" t="s">
        <v>952</v>
      </c>
      <c r="C3" s="3" t="s">
        <v>950</v>
      </c>
      <c r="D3" s="38" t="s">
        <v>953</v>
      </c>
      <c r="E3" s="10"/>
      <c r="F3" s="3"/>
      <c r="G3" s="10"/>
      <c r="H3" s="3"/>
    </row>
    <row r="4" spans="1:8" ht="64">
      <c r="A4" s="3">
        <v>4</v>
      </c>
      <c r="B4" s="3" t="s">
        <v>954</v>
      </c>
      <c r="C4" s="3" t="s">
        <v>950</v>
      </c>
      <c r="D4" s="38" t="s">
        <v>955</v>
      </c>
      <c r="E4" s="10"/>
      <c r="F4" s="3"/>
      <c r="G4" s="10"/>
      <c r="H4" s="3"/>
    </row>
    <row r="5" spans="1:8" ht="128">
      <c r="A5" s="3">
        <v>5</v>
      </c>
      <c r="B5" s="86" t="s">
        <v>956</v>
      </c>
      <c r="C5" s="85" t="s">
        <v>950</v>
      </c>
      <c r="D5" s="86" t="s">
        <v>957</v>
      </c>
      <c r="E5" s="10"/>
      <c r="F5" s="3"/>
      <c r="G5" s="10"/>
      <c r="H5" s="3"/>
    </row>
    <row r="6" spans="1:8" ht="96">
      <c r="A6" s="3">
        <v>6</v>
      </c>
      <c r="B6" s="3" t="s">
        <v>958</v>
      </c>
      <c r="C6" s="3" t="s">
        <v>950</v>
      </c>
      <c r="D6" s="38" t="s">
        <v>959</v>
      </c>
      <c r="E6" s="10"/>
      <c r="F6" s="3"/>
      <c r="G6" s="10"/>
      <c r="H6" s="3"/>
    </row>
    <row r="7" spans="1:8" ht="74.150000000000006" customHeight="1">
      <c r="A7" s="3">
        <v>7</v>
      </c>
      <c r="B7" s="3" t="s">
        <v>960</v>
      </c>
      <c r="C7" s="3" t="s">
        <v>950</v>
      </c>
      <c r="D7" s="38" t="s">
        <v>961</v>
      </c>
      <c r="E7" s="10"/>
      <c r="F7" s="3"/>
      <c r="G7" s="10"/>
      <c r="H7" s="3"/>
    </row>
    <row r="8" spans="1:8" ht="320">
      <c r="A8" s="3">
        <v>8</v>
      </c>
      <c r="B8" s="86" t="s">
        <v>962</v>
      </c>
      <c r="C8" s="85" t="s">
        <v>950</v>
      </c>
      <c r="D8" s="86" t="s">
        <v>963</v>
      </c>
      <c r="E8" s="10"/>
      <c r="F8" s="3"/>
      <c r="G8" s="10"/>
      <c r="H8" s="3"/>
    </row>
    <row r="9" spans="1:8" ht="176">
      <c r="A9" s="3">
        <v>9</v>
      </c>
      <c r="B9" s="87" t="s">
        <v>964</v>
      </c>
      <c r="C9" s="85" t="s">
        <v>950</v>
      </c>
      <c r="D9" s="86" t="s">
        <v>965</v>
      </c>
      <c r="E9" s="10"/>
      <c r="F9" s="3"/>
      <c r="G9" s="10"/>
      <c r="H9" s="3"/>
    </row>
    <row r="10" spans="1:8" ht="224">
      <c r="A10" s="3">
        <v>10</v>
      </c>
      <c r="B10" s="87" t="s">
        <v>966</v>
      </c>
      <c r="C10" s="88" t="s">
        <v>950</v>
      </c>
      <c r="D10" s="89" t="s">
        <v>967</v>
      </c>
      <c r="E10" s="10"/>
      <c r="F10" s="3"/>
      <c r="G10" s="10"/>
      <c r="H10" s="3"/>
    </row>
    <row r="11" spans="1:8" ht="272">
      <c r="A11" s="64">
        <v>11</v>
      </c>
      <c r="B11" s="87" t="s">
        <v>964</v>
      </c>
      <c r="C11" s="85" t="s">
        <v>950</v>
      </c>
      <c r="D11" s="86" t="s">
        <v>968</v>
      </c>
      <c r="E11" s="69"/>
      <c r="F11" s="61"/>
      <c r="G11" s="69"/>
      <c r="H11" s="61"/>
    </row>
    <row r="12" spans="1:8" ht="208">
      <c r="A12" s="64">
        <v>12</v>
      </c>
      <c r="B12" s="85" t="s">
        <v>969</v>
      </c>
      <c r="C12" s="85" t="s">
        <v>950</v>
      </c>
      <c r="D12" s="86" t="s">
        <v>970</v>
      </c>
      <c r="E12" s="10"/>
      <c r="F12" s="3"/>
      <c r="G12" s="10"/>
      <c r="H12" s="3"/>
    </row>
    <row r="13" spans="1:8" ht="144">
      <c r="A13" s="3">
        <v>13</v>
      </c>
      <c r="B13" s="85" t="s">
        <v>969</v>
      </c>
      <c r="C13" s="85" t="s">
        <v>950</v>
      </c>
      <c r="D13" s="86" t="s">
        <v>971</v>
      </c>
      <c r="E13" s="10"/>
      <c r="F13" s="3"/>
      <c r="G13" s="10"/>
      <c r="H13" s="3"/>
    </row>
    <row r="14" spans="1:8" ht="160">
      <c r="A14" s="3">
        <v>14</v>
      </c>
      <c r="B14" s="86" t="s">
        <v>591</v>
      </c>
      <c r="C14" s="85" t="s">
        <v>54</v>
      </c>
      <c r="D14" s="86" t="s">
        <v>972</v>
      </c>
      <c r="E14" s="10"/>
      <c r="F14" s="3"/>
      <c r="G14" s="10"/>
      <c r="H14" s="3"/>
    </row>
    <row r="15" spans="1:8" ht="80">
      <c r="A15" s="3">
        <v>15</v>
      </c>
      <c r="B15" s="85" t="s">
        <v>973</v>
      </c>
      <c r="C15" s="85" t="s">
        <v>800</v>
      </c>
      <c r="D15" s="86" t="s">
        <v>974</v>
      </c>
      <c r="E15" s="10"/>
      <c r="F15" s="3"/>
      <c r="G15" s="10"/>
      <c r="H15" s="3"/>
    </row>
    <row r="16" spans="1:8" ht="400">
      <c r="A16" s="3">
        <v>16</v>
      </c>
      <c r="B16" s="85" t="s">
        <v>975</v>
      </c>
      <c r="C16" s="85" t="s">
        <v>800</v>
      </c>
      <c r="D16" s="86" t="s">
        <v>976</v>
      </c>
      <c r="E16" s="10"/>
      <c r="F16" s="3"/>
      <c r="G16" s="10"/>
      <c r="H16" s="3"/>
    </row>
    <row r="17" spans="1:8" ht="409.5">
      <c r="A17" s="3">
        <v>17</v>
      </c>
      <c r="B17" s="85" t="s">
        <v>977</v>
      </c>
      <c r="C17" s="85" t="s">
        <v>835</v>
      </c>
      <c r="D17" s="86" t="s">
        <v>978</v>
      </c>
      <c r="E17" s="10"/>
      <c r="F17" s="3"/>
      <c r="G17" s="10"/>
      <c r="H17" s="3"/>
    </row>
    <row r="18" spans="1:8">
      <c r="A18" s="3">
        <v>18</v>
      </c>
      <c r="B18" s="3"/>
      <c r="C18" s="3"/>
      <c r="D18" s="3"/>
      <c r="E18" s="10"/>
      <c r="F18" s="3"/>
      <c r="G18" s="10"/>
      <c r="H18" s="3"/>
    </row>
    <row r="19" spans="1:8">
      <c r="A19" s="3">
        <v>19</v>
      </c>
      <c r="B19" s="3"/>
      <c r="C19" s="3"/>
      <c r="D19" s="3"/>
      <c r="E19" s="10"/>
      <c r="F19" s="3"/>
      <c r="G19" s="10"/>
      <c r="H19" s="3"/>
    </row>
    <row r="20" spans="1:8">
      <c r="A20" s="3">
        <v>20</v>
      </c>
      <c r="B20" s="3"/>
      <c r="C20" s="3"/>
      <c r="D20" s="3"/>
      <c r="E20" s="10"/>
      <c r="F20" s="3"/>
      <c r="G20" s="10"/>
      <c r="H20"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13420-B748-487C-BB29-F92D086DD6B8}">
  <sheetPr filterMode="1"/>
  <dimension ref="A1:J1009"/>
  <sheetViews>
    <sheetView workbookViewId="0">
      <selection activeCell="D1015" sqref="D1015"/>
    </sheetView>
  </sheetViews>
  <sheetFormatPr defaultColWidth="8.765625" defaultRowHeight="16"/>
  <cols>
    <col min="1" max="1" width="6.07421875" bestFit="1" customWidth="1"/>
    <col min="3" max="3" width="30.69140625" customWidth="1"/>
    <col min="4" max="4" width="38" customWidth="1"/>
    <col min="5" max="5" width="27.765625" bestFit="1" customWidth="1"/>
    <col min="6" max="6" width="40" customWidth="1"/>
    <col min="7" max="7" width="11.69140625" bestFit="1" customWidth="1"/>
    <col min="8" max="8" width="14.3046875" style="9" bestFit="1" customWidth="1"/>
    <col min="9" max="9" width="43.4609375" customWidth="1"/>
    <col min="10" max="10" width="37" customWidth="1"/>
  </cols>
  <sheetData>
    <row r="1" spans="1:10">
      <c r="A1" s="4" t="s">
        <v>979</v>
      </c>
      <c r="B1" s="4" t="s">
        <v>980</v>
      </c>
      <c r="C1" s="4" t="s">
        <v>6</v>
      </c>
      <c r="D1" s="4" t="s">
        <v>981</v>
      </c>
      <c r="E1" s="4" t="s">
        <v>982</v>
      </c>
      <c r="F1" s="4" t="s">
        <v>983</v>
      </c>
      <c r="G1" s="4" t="s">
        <v>984</v>
      </c>
      <c r="H1" s="4" t="s">
        <v>985</v>
      </c>
      <c r="I1" s="4" t="s">
        <v>986</v>
      </c>
      <c r="J1" s="4" t="s">
        <v>18</v>
      </c>
    </row>
    <row r="2" spans="1:10">
      <c r="A2" s="3" t="str">
        <f>'Production Plan'!B2</f>
        <v>4.1.1.</v>
      </c>
      <c r="B2" s="3" t="str">
        <f>VLOOKUP(A2,'Production Plan'!B:T,14,FALSE)</f>
        <v>Cristina</v>
      </c>
      <c r="C2" s="3" t="str">
        <f>VLOOKUP(A2,'Production Plan'!B:G,5,FALSE)</f>
        <v>Implementeringsplan</v>
      </c>
      <c r="D2" s="3" t="s">
        <v>987</v>
      </c>
      <c r="E2" s="3" t="s">
        <v>988</v>
      </c>
      <c r="F2" s="3" t="s">
        <v>989</v>
      </c>
      <c r="G2" s="3" t="s">
        <v>990</v>
      </c>
      <c r="H2" s="10">
        <v>46023</v>
      </c>
      <c r="I2" s="3" t="s">
        <v>991</v>
      </c>
      <c r="J2" s="3"/>
    </row>
    <row r="3" spans="1:10" hidden="1">
      <c r="A3" t="str">
        <f>'Production Plan'!B3</f>
        <v>4.2.1.</v>
      </c>
      <c r="B3" s="3" t="str">
        <f>VLOOKUP(A3,'Production Plan'!B:T,14,FALSE)</f>
        <v>Cristina</v>
      </c>
    </row>
    <row r="4" spans="1:10" hidden="1">
      <c r="A4" t="str">
        <f>'Production Plan'!B4</f>
        <v>5.1.1.1.</v>
      </c>
      <c r="B4" s="3" t="str">
        <f>VLOOKUP(A4,'Production Plan'!B:T,14,FALSE)</f>
        <v>Cristina</v>
      </c>
    </row>
    <row r="5" spans="1:10" hidden="1">
      <c r="A5" t="str">
        <f>'Production Plan'!B5</f>
        <v>5.1.2.1.</v>
      </c>
      <c r="B5" s="3" t="str">
        <f>VLOOKUP(A5,'Production Plan'!B:T,14,FALSE)</f>
        <v>Anton</v>
      </c>
    </row>
    <row r="6" spans="1:10" hidden="1">
      <c r="A6" t="str">
        <f>'Production Plan'!B6</f>
        <v>5.1.3.1.</v>
      </c>
      <c r="B6" s="3" t="str">
        <f>VLOOKUP(A6,'Production Plan'!B:T,14,FALSE)</f>
        <v>Kaare</v>
      </c>
    </row>
    <row r="7" spans="1:10" hidden="1">
      <c r="A7" t="str">
        <f>'Production Plan'!B7</f>
        <v>5.2.1.1.</v>
      </c>
      <c r="B7" s="3" t="str">
        <f>VLOOKUP(A7,'Production Plan'!B:T,14,FALSE)</f>
        <v>Bjørn Henrik</v>
      </c>
    </row>
    <row r="8" spans="1:10" hidden="1">
      <c r="A8" t="str">
        <f>'Production Plan'!B8</f>
        <v>5.2.1.2.</v>
      </c>
      <c r="B8" s="3" t="str">
        <f>VLOOKUP(A8,'Production Plan'!B:T,14,FALSE)</f>
        <v>Arve</v>
      </c>
    </row>
    <row r="9" spans="1:10" hidden="1">
      <c r="A9" t="str">
        <f>'Production Plan'!B9</f>
        <v>5.2.1.3.</v>
      </c>
      <c r="B9" s="3" t="str">
        <f>VLOOKUP(A9,'Production Plan'!B:T,14,FALSE)</f>
        <v>Arve</v>
      </c>
    </row>
    <row r="10" spans="1:10" hidden="1">
      <c r="A10" t="str">
        <f>'Production Plan'!B10</f>
        <v>5.2.1.4.</v>
      </c>
      <c r="B10" s="3" t="str">
        <f>VLOOKUP(A10,'Production Plan'!B:T,14,FALSE)</f>
        <v>Anton</v>
      </c>
    </row>
    <row r="11" spans="1:10" hidden="1">
      <c r="A11" t="str">
        <f>'Production Plan'!B11</f>
        <v>5.2.1.5.</v>
      </c>
      <c r="B11" s="3" t="str">
        <f>VLOOKUP(A11,'Production Plan'!B:T,14,FALSE)</f>
        <v>Anton</v>
      </c>
    </row>
    <row r="12" spans="1:10" hidden="1">
      <c r="A12" t="str">
        <f>'Production Plan'!B12</f>
        <v>5.2.1.6.</v>
      </c>
      <c r="B12" s="3" t="str">
        <f>VLOOKUP(A12,'Production Plan'!B:T,14,FALSE)</f>
        <v>Anita</v>
      </c>
    </row>
    <row r="13" spans="1:10" hidden="1">
      <c r="A13" t="str">
        <f>'Production Plan'!B13</f>
        <v>5.2.2.1.</v>
      </c>
      <c r="B13" s="3" t="str">
        <f>VLOOKUP(A13,'Production Plan'!B:T,14,FALSE)</f>
        <v>Axel</v>
      </c>
    </row>
    <row r="14" spans="1:10" hidden="1">
      <c r="A14" t="str">
        <f>'Production Plan'!B14</f>
        <v>5.2.3.1.</v>
      </c>
      <c r="B14" s="3" t="str">
        <f>VLOOKUP(A14,'Production Plan'!B:T,14,FALSE)</f>
        <v>Axel</v>
      </c>
    </row>
    <row r="15" spans="1:10" hidden="1">
      <c r="A15" t="str">
        <f>'Production Plan'!B15</f>
        <v>5.2.3.2.</v>
      </c>
      <c r="B15" s="3" t="str">
        <f>VLOOKUP(A15,'Production Plan'!B:T,14,FALSE)</f>
        <v>Bjørn Henrik</v>
      </c>
    </row>
    <row r="16" spans="1:10" hidden="1">
      <c r="A16" t="str">
        <f>'Production Plan'!B16</f>
        <v>5.2.3.3.</v>
      </c>
      <c r="B16" s="3" t="str">
        <f>VLOOKUP(A16,'Production Plan'!B:T,14,FALSE)</f>
        <v>Anton</v>
      </c>
    </row>
    <row r="17" spans="1:2" hidden="1">
      <c r="A17" t="str">
        <f>'Production Plan'!B17</f>
        <v>5.2.3.4.</v>
      </c>
      <c r="B17" s="3" t="str">
        <f>VLOOKUP(A17,'Production Plan'!B:T,14,FALSE)</f>
        <v>Anton</v>
      </c>
    </row>
    <row r="18" spans="1:2" hidden="1">
      <c r="A18" t="str">
        <f>'Production Plan'!B18</f>
        <v>5.2.3.5.</v>
      </c>
      <c r="B18" s="3" t="str">
        <f>VLOOKUP(A18,'Production Plan'!B:T,14,FALSE)</f>
        <v>Anita</v>
      </c>
    </row>
    <row r="19" spans="1:2" hidden="1">
      <c r="A19" t="str">
        <f>'Production Plan'!B19</f>
        <v>5.2.4.1.</v>
      </c>
      <c r="B19" s="3" t="str">
        <f>VLOOKUP(A19,'Production Plan'!B:T,14,FALSE)</f>
        <v>Anton</v>
      </c>
    </row>
    <row r="20" spans="1:2" hidden="1">
      <c r="A20" t="str">
        <f>'Production Plan'!B20</f>
        <v>5.2.4.2.</v>
      </c>
      <c r="B20" s="3" t="str">
        <f>VLOOKUP(A20,'Production Plan'!B:T,14,FALSE)</f>
        <v>Bjørn Henrik</v>
      </c>
    </row>
    <row r="21" spans="1:2" hidden="1">
      <c r="A21" t="str">
        <f>'Production Plan'!B21</f>
        <v>5.2.4.3.</v>
      </c>
      <c r="B21" s="3" t="str">
        <f>VLOOKUP(A21,'Production Plan'!B:T,14,FALSE)</f>
        <v>Anita</v>
      </c>
    </row>
    <row r="22" spans="1:2" hidden="1">
      <c r="A22" t="str">
        <f>'Production Plan'!B22</f>
        <v>5.2.5.1.</v>
      </c>
      <c r="B22" s="3" t="str">
        <f>VLOOKUP(A22,'Production Plan'!B:T,14,FALSE)</f>
        <v>Husein</v>
      </c>
    </row>
    <row r="23" spans="1:2" hidden="1">
      <c r="A23" t="str">
        <f>'Production Plan'!B24</f>
        <v>5.2.6.1.</v>
      </c>
      <c r="B23" s="3" t="str">
        <f>VLOOKUP(A23,'Production Plan'!B:T,14,FALSE)</f>
        <v>Husein</v>
      </c>
    </row>
    <row r="24" spans="1:2" hidden="1">
      <c r="A24" t="str">
        <f>'Production Plan'!B25</f>
        <v>5.2.6.2.</v>
      </c>
      <c r="B24" s="3" t="str">
        <f>VLOOKUP(A24,'Production Plan'!B:T,14,FALSE)</f>
        <v>Anton</v>
      </c>
    </row>
    <row r="25" spans="1:2" hidden="1">
      <c r="A25" t="str">
        <f>'Production Plan'!B26</f>
        <v>5.2.6.3.</v>
      </c>
      <c r="B25" s="3" t="str">
        <f>VLOOKUP(A25,'Production Plan'!B:T,14,FALSE)</f>
        <v>Bjørn Henrik</v>
      </c>
    </row>
    <row r="26" spans="1:2" hidden="1">
      <c r="A26" t="str">
        <f>'Production Plan'!B27</f>
        <v>5.2.6.4.</v>
      </c>
      <c r="B26" s="3" t="str">
        <f>VLOOKUP(A26,'Production Plan'!B:T,14,FALSE)</f>
        <v>Bjørn Henrik</v>
      </c>
    </row>
    <row r="27" spans="1:2" hidden="1">
      <c r="A27" t="str">
        <f>'Production Plan'!B28</f>
        <v>5.2.6.5.</v>
      </c>
      <c r="B27" s="3" t="str">
        <f>VLOOKUP(A27,'Production Plan'!B:T,14,FALSE)</f>
        <v>Linn</v>
      </c>
    </row>
    <row r="28" spans="1:2" hidden="1">
      <c r="A28" t="str">
        <f>'Production Plan'!B29</f>
        <v>5.2.6.6.</v>
      </c>
      <c r="B28" s="3" t="str">
        <f>VLOOKUP(A28,'Production Plan'!B:T,14,FALSE)</f>
        <v>Morten</v>
      </c>
    </row>
    <row r="29" spans="1:2" hidden="1">
      <c r="A29" t="str">
        <f>'Production Plan'!B30</f>
        <v>5.2.7.1.</v>
      </c>
      <c r="B29" s="3" t="str">
        <f>VLOOKUP(A29,'Production Plan'!B:T,14,FALSE)</f>
        <v>Morten</v>
      </c>
    </row>
    <row r="30" spans="1:2" hidden="1">
      <c r="A30" t="str">
        <f>'Production Plan'!B31</f>
        <v>5.2.7.2.</v>
      </c>
      <c r="B30" s="3" t="str">
        <f>VLOOKUP(A30,'Production Plan'!B:T,14,FALSE)</f>
        <v>Morten</v>
      </c>
    </row>
    <row r="31" spans="1:2" hidden="1">
      <c r="A31" t="str">
        <f>'Production Plan'!B32</f>
        <v>5.2.8.1.</v>
      </c>
      <c r="B31" s="3" t="str">
        <f>VLOOKUP(A31,'Production Plan'!B:T,14,FALSE)</f>
        <v>Bjørn Henrik</v>
      </c>
    </row>
    <row r="32" spans="1:2" hidden="1">
      <c r="A32" t="str">
        <f>'Production Plan'!B33</f>
        <v>5.2.8.2</v>
      </c>
      <c r="B32" s="3" t="str">
        <f>VLOOKUP(A32,'Production Plan'!B:T,14,FALSE)</f>
        <v>Bjørn Henrik</v>
      </c>
    </row>
    <row r="33" spans="1:2" hidden="1">
      <c r="A33" t="str">
        <f>'Production Plan'!B34</f>
        <v>5.2.8.3.</v>
      </c>
      <c r="B33" s="3" t="str">
        <f>VLOOKUP(A33,'Production Plan'!B:T,14,FALSE)</f>
        <v>Anton</v>
      </c>
    </row>
    <row r="34" spans="1:2" hidden="1">
      <c r="A34" t="str">
        <f>'Production Plan'!B35</f>
        <v>5.2.8.4.</v>
      </c>
      <c r="B34" s="3" t="str">
        <f>VLOOKUP(A34,'Production Plan'!B:T,14,FALSE)</f>
        <v>Bjørn Henrik</v>
      </c>
    </row>
    <row r="35" spans="1:2" hidden="1">
      <c r="A35" t="str">
        <f>'Production Plan'!B36</f>
        <v>5.2.8.5.</v>
      </c>
      <c r="B35" s="3" t="str">
        <f>VLOOKUP(A35,'Production Plan'!B:T,14,FALSE)</f>
        <v>Bjørn Henrik</v>
      </c>
    </row>
    <row r="36" spans="1:2" hidden="1">
      <c r="A36" t="str">
        <f>'Production Plan'!B37</f>
        <v>5.2.8.6.</v>
      </c>
      <c r="B36" s="3" t="str">
        <f>VLOOKUP(A36,'Production Plan'!B:T,14,FALSE)</f>
        <v>Bjørn Henrik</v>
      </c>
    </row>
    <row r="37" spans="1:2" hidden="1">
      <c r="A37" t="str">
        <f>'Production Plan'!B38</f>
        <v>5.2.8.7.</v>
      </c>
      <c r="B37" s="3" t="str">
        <f>VLOOKUP(A37,'Production Plan'!B:T,14,FALSE)</f>
        <v>Anton</v>
      </c>
    </row>
    <row r="38" spans="1:2" hidden="1">
      <c r="A38" t="str">
        <f>'Production Plan'!B39</f>
        <v>5.2.8.8.</v>
      </c>
      <c r="B38" s="3" t="str">
        <f>VLOOKUP(A38,'Production Plan'!B:T,14,FALSE)</f>
        <v>Morten</v>
      </c>
    </row>
    <row r="39" spans="1:2" hidden="1">
      <c r="A39" t="str">
        <f>'Production Plan'!B40</f>
        <v>5.2.8.9.</v>
      </c>
      <c r="B39" s="3" t="str">
        <f>VLOOKUP(A39,'Production Plan'!B:T,14,FALSE)</f>
        <v>Arve</v>
      </c>
    </row>
    <row r="40" spans="1:2" hidden="1">
      <c r="A40" t="str">
        <f>'Production Plan'!B41</f>
        <v>5.2.8.10.</v>
      </c>
      <c r="B40" s="3" t="str">
        <f>VLOOKUP(A40,'Production Plan'!B:T,14,FALSE)</f>
        <v>Olga</v>
      </c>
    </row>
    <row r="41" spans="1:2" hidden="1">
      <c r="A41" t="str">
        <f>'Production Plan'!B42</f>
        <v>5.2.8.11.</v>
      </c>
      <c r="B41" s="3" t="str">
        <f>VLOOKUP(A41,'Production Plan'!B:T,14,FALSE)</f>
        <v>Anita</v>
      </c>
    </row>
    <row r="42" spans="1:2" hidden="1">
      <c r="A42" t="str">
        <f>'Production Plan'!B43</f>
        <v>5.2.8.12.</v>
      </c>
      <c r="B42" s="3" t="str">
        <f>VLOOKUP(A42,'Production Plan'!B:T,14,FALSE)</f>
        <v>Anton</v>
      </c>
    </row>
    <row r="43" spans="1:2" hidden="1">
      <c r="A43" t="str">
        <f>'Production Plan'!B44</f>
        <v>5.2.8.13.</v>
      </c>
      <c r="B43" s="3" t="str">
        <f>VLOOKUP(A43,'Production Plan'!B:T,14,FALSE)</f>
        <v>Morten</v>
      </c>
    </row>
    <row r="44" spans="1:2" hidden="1">
      <c r="A44" t="str">
        <f>'Production Plan'!B48</f>
        <v>5.2.9.1.</v>
      </c>
      <c r="B44" s="3" t="str">
        <f>VLOOKUP(A44,'Production Plan'!B:T,14,FALSE)</f>
        <v>Arve</v>
      </c>
    </row>
    <row r="45" spans="1:2" hidden="1">
      <c r="A45" t="str">
        <f>'Production Plan'!B49</f>
        <v>5.2.9.2.</v>
      </c>
      <c r="B45" s="3" t="str">
        <f>VLOOKUP(A45,'Production Plan'!B:T,14,FALSE)</f>
        <v>Arve</v>
      </c>
    </row>
    <row r="46" spans="1:2" hidden="1">
      <c r="A46" t="str">
        <f>'Production Plan'!B50</f>
        <v>5.2.9.3.</v>
      </c>
      <c r="B46" s="3" t="str">
        <f>VLOOKUP(A46,'Production Plan'!B:T,14,FALSE)</f>
        <v>Arve</v>
      </c>
    </row>
    <row r="47" spans="1:2" hidden="1">
      <c r="A47" t="str">
        <f>'Production Plan'!B51</f>
        <v>5.2.9.4.</v>
      </c>
      <c r="B47" s="3" t="str">
        <f>VLOOKUP(A47,'Production Plan'!B:T,14,FALSE)</f>
        <v>Arve</v>
      </c>
    </row>
    <row r="48" spans="1:2" hidden="1">
      <c r="A48" t="str">
        <f>'Production Plan'!B52</f>
        <v>5.2.9.5.</v>
      </c>
      <c r="B48" s="3" t="str">
        <f>VLOOKUP(A48,'Production Plan'!B:T,14,FALSE)</f>
        <v>Arve</v>
      </c>
    </row>
    <row r="49" spans="1:2" hidden="1">
      <c r="A49" t="str">
        <f>'Production Plan'!B53</f>
        <v>5.2.9.6.</v>
      </c>
      <c r="B49" s="3" t="str">
        <f>VLOOKUP(A49,'Production Plan'!B:T,14,FALSE)</f>
        <v>Arve</v>
      </c>
    </row>
    <row r="50" spans="1:2" hidden="1">
      <c r="A50" t="str">
        <f>'Production Plan'!B54</f>
        <v>5.2.9.7.</v>
      </c>
      <c r="B50" s="3" t="str">
        <f>VLOOKUP(A50,'Production Plan'!B:T,14,FALSE)</f>
        <v>Arve</v>
      </c>
    </row>
    <row r="51" spans="1:2" hidden="1">
      <c r="A51" t="str">
        <f>'Production Plan'!B55</f>
        <v>5.2.10.1.</v>
      </c>
      <c r="B51" s="3" t="str">
        <f>VLOOKUP(A51,'Production Plan'!B:T,14,FALSE)</f>
        <v>Axel</v>
      </c>
    </row>
    <row r="52" spans="1:2" hidden="1">
      <c r="A52" t="str">
        <f>'Production Plan'!B57</f>
        <v>5.2.11.1.</v>
      </c>
      <c r="B52" s="3" t="str">
        <f>VLOOKUP(A52,'Production Plan'!B:T,14,FALSE)</f>
        <v>Axel</v>
      </c>
    </row>
    <row r="53" spans="1:2" hidden="1">
      <c r="A53" t="str">
        <f>'Production Plan'!B58</f>
        <v>5.2.11.2.</v>
      </c>
      <c r="B53" s="3" t="str">
        <f>VLOOKUP(A53,'Production Plan'!B:T,14,FALSE)</f>
        <v>Bjørn Henrik</v>
      </c>
    </row>
    <row r="54" spans="1:2" hidden="1">
      <c r="A54" t="str">
        <f>'Production Plan'!B59</f>
        <v>5.2.11.3</v>
      </c>
      <c r="B54" s="3" t="str">
        <f>VLOOKUP(A54,'Production Plan'!B:T,14,FALSE)</f>
        <v>Bjørn Henrik</v>
      </c>
    </row>
    <row r="55" spans="1:2" hidden="1">
      <c r="A55" t="str">
        <f>'Production Plan'!B62</f>
        <v>5.2.12.1.</v>
      </c>
      <c r="B55" s="3" t="str">
        <f>VLOOKUP(A55,'Production Plan'!B:T,14,FALSE)</f>
        <v>Morten</v>
      </c>
    </row>
    <row r="56" spans="1:2" hidden="1">
      <c r="A56" t="str">
        <f>'Production Plan'!B63</f>
        <v>5.2.12.2</v>
      </c>
      <c r="B56" s="3" t="str">
        <f>VLOOKUP(A56,'Production Plan'!B:T,14,FALSE)</f>
        <v>Morten</v>
      </c>
    </row>
    <row r="57" spans="1:2" hidden="1">
      <c r="A57" t="str">
        <f>'Production Plan'!B66</f>
        <v>5.2.13.1.</v>
      </c>
      <c r="B57" s="3" t="str">
        <f>VLOOKUP(A57,'Production Plan'!B:T,14,FALSE)</f>
        <v>Axel</v>
      </c>
    </row>
    <row r="58" spans="1:2" hidden="1">
      <c r="A58" t="str">
        <f>'Production Plan'!B67</f>
        <v>5.2.13.2.</v>
      </c>
      <c r="B58" s="3" t="str">
        <f>VLOOKUP(A58,'Production Plan'!B:T,14,FALSE)</f>
        <v>Axel</v>
      </c>
    </row>
    <row r="59" spans="1:2" hidden="1">
      <c r="A59" t="str">
        <f>'Production Plan'!B69</f>
        <v>5.2.14.1.</v>
      </c>
      <c r="B59" s="3" t="str">
        <f>VLOOKUP(A59,'Production Plan'!B:T,14,FALSE)</f>
        <v>Anton</v>
      </c>
    </row>
    <row r="60" spans="1:2" hidden="1">
      <c r="A60" t="str">
        <f>'Production Plan'!B70</f>
        <v>5.2.14.2.</v>
      </c>
      <c r="B60" s="3" t="str">
        <f>VLOOKUP(A60,'Production Plan'!B:T,14,FALSE)</f>
        <v>Anton</v>
      </c>
    </row>
    <row r="61" spans="1:2" hidden="1">
      <c r="A61" t="str">
        <f>'Production Plan'!B72</f>
        <v>5.2.15.1.</v>
      </c>
      <c r="B61" s="3" t="str">
        <f>VLOOKUP(A61,'Production Plan'!B:T,14,FALSE)</f>
        <v>Arve</v>
      </c>
    </row>
    <row r="62" spans="1:2" hidden="1">
      <c r="A62" t="str">
        <f>'Production Plan'!B73</f>
        <v>5.2.15.2.</v>
      </c>
      <c r="B62" s="3" t="str">
        <f>VLOOKUP(A62,'Production Plan'!B:T,14,FALSE)</f>
        <v>Arve</v>
      </c>
    </row>
    <row r="63" spans="1:2" hidden="1">
      <c r="A63" t="str">
        <f>'Production Plan'!B74</f>
        <v>5.2.15.3.</v>
      </c>
      <c r="B63" s="3" t="str">
        <f>VLOOKUP(A63,'Production Plan'!B:T,14,FALSE)</f>
        <v>Arve</v>
      </c>
    </row>
    <row r="64" spans="1:2" hidden="1">
      <c r="A64" t="str">
        <f>'Production Plan'!B75</f>
        <v>5.2.15.4.</v>
      </c>
      <c r="B64" s="3" t="str">
        <f>VLOOKUP(A64,'Production Plan'!B:T,14,FALSE)</f>
        <v>Axel</v>
      </c>
    </row>
    <row r="65" spans="1:2" hidden="1">
      <c r="A65" t="str">
        <f>'Production Plan'!B78</f>
        <v>5.2.16.1.</v>
      </c>
      <c r="B65" s="3" t="str">
        <f>VLOOKUP(A65,'Production Plan'!B:T,14,FALSE)</f>
        <v>Bjørn Henrik</v>
      </c>
    </row>
    <row r="66" spans="1:2" hidden="1">
      <c r="A66" t="str">
        <f>'Production Plan'!B79</f>
        <v>5.2.16.2.</v>
      </c>
      <c r="B66" s="3" t="str">
        <f>VLOOKUP(A66,'Production Plan'!B:T,14,FALSE)</f>
        <v>Bjørn Henrik</v>
      </c>
    </row>
    <row r="67" spans="1:2" hidden="1">
      <c r="A67" t="str">
        <f>'Production Plan'!B80</f>
        <v>5.2.16.3.</v>
      </c>
      <c r="B67" s="3" t="str">
        <f>VLOOKUP(A67,'Production Plan'!B:T,14,FALSE)</f>
        <v>Bjørn Henrik</v>
      </c>
    </row>
    <row r="68" spans="1:2" hidden="1">
      <c r="A68" t="str">
        <f>'Production Plan'!B82</f>
        <v>5.2.17.1.</v>
      </c>
      <c r="B68" s="3" t="str">
        <f>VLOOKUP(A68,'Production Plan'!B:T,14,FALSE)</f>
        <v>Bjørn Henrik</v>
      </c>
    </row>
    <row r="69" spans="1:2" hidden="1">
      <c r="A69" t="str">
        <f>'Production Plan'!B83</f>
        <v>5.2.17.2.</v>
      </c>
      <c r="B69" s="3" t="str">
        <f>VLOOKUP(A69,'Production Plan'!B:T,14,FALSE)</f>
        <v>Bjørn Henrik</v>
      </c>
    </row>
    <row r="70" spans="1:2" hidden="1">
      <c r="A70" t="str">
        <f>'Production Plan'!B84</f>
        <v>5.2.17.3.</v>
      </c>
      <c r="B70" s="3" t="str">
        <f>VLOOKUP(A70,'Production Plan'!B:T,14,FALSE)</f>
        <v>Bjørn Henrik</v>
      </c>
    </row>
    <row r="71" spans="1:2" hidden="1">
      <c r="A71" t="str">
        <f>'Production Plan'!B85</f>
        <v>5.2.17.4.</v>
      </c>
      <c r="B71" s="3" t="str">
        <f>VLOOKUP(A71,'Production Plan'!B:T,14,FALSE)</f>
        <v>Bjørn Henrik</v>
      </c>
    </row>
    <row r="72" spans="1:2" hidden="1">
      <c r="A72" t="str">
        <f>'Production Plan'!B86</f>
        <v>5.2.17.5.</v>
      </c>
      <c r="B72" s="3" t="str">
        <f>VLOOKUP(A72,'Production Plan'!B:T,14,FALSE)</f>
        <v>Bjørn Henrik</v>
      </c>
    </row>
    <row r="73" spans="1:2" hidden="1">
      <c r="A73" t="str">
        <f>'Production Plan'!B88</f>
        <v>5.2.18.1.</v>
      </c>
      <c r="B73" s="3" t="str">
        <f>VLOOKUP(A73,'Production Plan'!B:T,14,FALSE)</f>
        <v>Morten</v>
      </c>
    </row>
    <row r="74" spans="1:2" hidden="1">
      <c r="A74" t="str">
        <f>'Production Plan'!B90</f>
        <v>5.2.19.1.</v>
      </c>
      <c r="B74" s="3" t="str">
        <f>VLOOKUP(A74,'Production Plan'!B:T,14,FALSE)</f>
        <v>Morten</v>
      </c>
    </row>
    <row r="75" spans="1:2" hidden="1">
      <c r="A75" t="str">
        <f>'Production Plan'!B91</f>
        <v>5.3.1.1.</v>
      </c>
      <c r="B75" s="3" t="str">
        <f>VLOOKUP(A75,'Production Plan'!B:T,14,FALSE)</f>
        <v>Anton</v>
      </c>
    </row>
    <row r="76" spans="1:2" hidden="1">
      <c r="A76" t="str">
        <f>'Production Plan'!B92</f>
        <v>5.3.1.2.</v>
      </c>
      <c r="B76" s="3" t="str">
        <f>VLOOKUP(A76,'Production Plan'!B:T,14,FALSE)</f>
        <v>Anton</v>
      </c>
    </row>
    <row r="77" spans="1:2" hidden="1">
      <c r="A77" t="str">
        <f>'Production Plan'!B93</f>
        <v>5.3.1.3.</v>
      </c>
      <c r="B77" s="3" t="str">
        <f>VLOOKUP(A77,'Production Plan'!B:T,14,FALSE)</f>
        <v>Anton</v>
      </c>
    </row>
    <row r="78" spans="1:2" hidden="1">
      <c r="A78" t="str">
        <f>'Production Plan'!B94</f>
        <v>5.3.1.4.</v>
      </c>
      <c r="B78" s="3" t="str">
        <f>VLOOKUP(A78,'Production Plan'!B:T,14,FALSE)</f>
        <v>Morten</v>
      </c>
    </row>
    <row r="79" spans="1:2" hidden="1">
      <c r="A79" t="str">
        <f>'Production Plan'!B95</f>
        <v>5.3.1.5.</v>
      </c>
      <c r="B79" s="3" t="str">
        <f>VLOOKUP(A79,'Production Plan'!B:T,14,FALSE)</f>
        <v>Morten</v>
      </c>
    </row>
    <row r="80" spans="1:2" hidden="1">
      <c r="A80" t="str">
        <f>'Production Plan'!B96</f>
        <v>5.3.1.1.1.</v>
      </c>
      <c r="B80" s="3" t="str">
        <f>VLOOKUP(A80,'Production Plan'!B:T,14,FALSE)</f>
        <v>Kaare</v>
      </c>
    </row>
    <row r="81" spans="1:2" hidden="1">
      <c r="A81" t="str">
        <f>'Production Plan'!B97</f>
        <v>5.3.1.1.2.</v>
      </c>
      <c r="B81" s="3" t="str">
        <f>VLOOKUP(A81,'Production Plan'!B:T,14,FALSE)</f>
        <v>Kaare</v>
      </c>
    </row>
    <row r="82" spans="1:2" hidden="1">
      <c r="A82" t="str">
        <f>'Production Plan'!B99</f>
        <v>5.3.2.1</v>
      </c>
      <c r="B82" s="3" t="str">
        <f>VLOOKUP(A82,'Production Plan'!B:T,14,FALSE)</f>
        <v>Anton</v>
      </c>
    </row>
    <row r="83" spans="1:2" hidden="1">
      <c r="A83" t="str">
        <f>'Production Plan'!B100</f>
        <v>5.3.2.2</v>
      </c>
      <c r="B83" s="3" t="str">
        <f>VLOOKUP(A83,'Production Plan'!B:T,14,FALSE)</f>
        <v>Morten</v>
      </c>
    </row>
    <row r="84" spans="1:2" hidden="1">
      <c r="A84" t="str">
        <f>'Production Plan'!B101</f>
        <v>5.3.2.3</v>
      </c>
      <c r="B84" s="3" t="str">
        <f>VLOOKUP(A84,'Production Plan'!B:T,14,FALSE)</f>
        <v>CloudOps</v>
      </c>
    </row>
    <row r="85" spans="1:2" hidden="1">
      <c r="A85" t="str">
        <f>'Production Plan'!B102</f>
        <v>5.3.2.4</v>
      </c>
      <c r="B85" s="3" t="str">
        <f>VLOOKUP(A85,'Production Plan'!B:T,14,FALSE)</f>
        <v>CloudOps</v>
      </c>
    </row>
    <row r="86" spans="1:2" hidden="1">
      <c r="A86" t="str">
        <f>'Production Plan'!B103</f>
        <v>5.3.2.5</v>
      </c>
      <c r="B86" s="3" t="str">
        <f>VLOOKUP(A86,'Production Plan'!B:T,14,FALSE)</f>
        <v>CloudOps</v>
      </c>
    </row>
    <row r="87" spans="1:2" hidden="1">
      <c r="A87" t="str">
        <f>'Production Plan'!B104</f>
        <v>5.3.3.1.1</v>
      </c>
      <c r="B87" s="3" t="str">
        <f>VLOOKUP(A87,'Production Plan'!B:T,14,FALSE)</f>
        <v>Morten</v>
      </c>
    </row>
    <row r="88" spans="1:2" hidden="1">
      <c r="A88" t="str">
        <f>'Production Plan'!B105</f>
        <v>5.3.3.1.2</v>
      </c>
      <c r="B88" s="3" t="str">
        <f>VLOOKUP(A88,'Production Plan'!B:T,14,FALSE)</f>
        <v>Olga</v>
      </c>
    </row>
    <row r="89" spans="1:2" hidden="1">
      <c r="A89" t="str">
        <f>'Production Plan'!B106</f>
        <v>5.3.3.2.1</v>
      </c>
      <c r="B89" s="3" t="str">
        <f>VLOOKUP(A89,'Production Plan'!B:T,14,FALSE)</f>
        <v>Anton</v>
      </c>
    </row>
    <row r="90" spans="1:2" hidden="1">
      <c r="A90" t="str">
        <f>'Production Plan'!B107</f>
        <v>5.3.4.1</v>
      </c>
      <c r="B90" s="3" t="str">
        <f>VLOOKUP(A90,'Production Plan'!B:T,14,FALSE)</f>
        <v>Anton</v>
      </c>
    </row>
    <row r="91" spans="1:2" hidden="1">
      <c r="A91" t="str">
        <f>'Production Plan'!B108</f>
        <v>5.3.4.2</v>
      </c>
      <c r="B91" s="3" t="str">
        <f>VLOOKUP(A91,'Production Plan'!B:T,14,FALSE)</f>
        <v>Morten</v>
      </c>
    </row>
    <row r="92" spans="1:2" hidden="1">
      <c r="A92" t="str">
        <f>'Production Plan'!B109</f>
        <v>5.3.4.3</v>
      </c>
      <c r="B92" s="3" t="str">
        <f>VLOOKUP(A92,'Production Plan'!B:T,14,FALSE)</f>
        <v>Anton</v>
      </c>
    </row>
    <row r="93" spans="1:2" hidden="1">
      <c r="A93" t="str">
        <f>'Production Plan'!B110</f>
        <v>5.3.4.4</v>
      </c>
      <c r="B93" s="3" t="str">
        <f>VLOOKUP(A93,'Production Plan'!B:T,14,FALSE)</f>
        <v>Morten</v>
      </c>
    </row>
    <row r="94" spans="1:2" hidden="1">
      <c r="A94" t="str">
        <f>'Production Plan'!B111</f>
        <v>5.3.5.1</v>
      </c>
      <c r="B94" s="3" t="str">
        <f>VLOOKUP(A94,'Production Plan'!B:T,14,FALSE)</f>
        <v>Morten</v>
      </c>
    </row>
    <row r="95" spans="1:2" hidden="1">
      <c r="A95" t="str">
        <f>'Production Plan'!B112</f>
        <v>5.3.5.2</v>
      </c>
      <c r="B95" s="3" t="str">
        <f>VLOOKUP(A95,'Production Plan'!B:T,14,FALSE)</f>
        <v>Anita</v>
      </c>
    </row>
    <row r="96" spans="1:2" hidden="1">
      <c r="A96" t="str">
        <f>'Production Plan'!B113</f>
        <v>5.3.5.2</v>
      </c>
      <c r="B96" s="3" t="str">
        <f>VLOOKUP(A96,'Production Plan'!B:T,14,FALSE)</f>
        <v>Anita</v>
      </c>
    </row>
    <row r="97" spans="1:2" hidden="1">
      <c r="A97" t="str">
        <f>'Production Plan'!B114</f>
        <v>5.3.5.3</v>
      </c>
      <c r="B97" s="3" t="str">
        <f>VLOOKUP(A97,'Production Plan'!B:T,14,FALSE)</f>
        <v>Morten</v>
      </c>
    </row>
    <row r="98" spans="1:2" hidden="1">
      <c r="A98" t="str">
        <f>'Production Plan'!B115</f>
        <v>5.3.5.4</v>
      </c>
      <c r="B98" s="3" t="str">
        <f>VLOOKUP(A98,'Production Plan'!B:T,14,FALSE)</f>
        <v>Morten</v>
      </c>
    </row>
    <row r="99" spans="1:2" hidden="1">
      <c r="A99" t="str">
        <f>'Production Plan'!B116</f>
        <v>5.3.6.1.1.</v>
      </c>
      <c r="B99" s="3" t="str">
        <f>VLOOKUP(A99,'Production Plan'!B:T,14,FALSE)</f>
        <v>Anton</v>
      </c>
    </row>
    <row r="100" spans="1:2" hidden="1">
      <c r="A100" t="str">
        <f>'Production Plan'!B117</f>
        <v>5.3.6.2.1</v>
      </c>
      <c r="B100" s="3" t="str">
        <f>VLOOKUP(A100,'Production Plan'!B:T,14,FALSE)</f>
        <v>Anita</v>
      </c>
    </row>
    <row r="101" spans="1:2" hidden="1">
      <c r="A101" t="str">
        <f>'Production Plan'!B118</f>
        <v>5.3.6.2.2</v>
      </c>
      <c r="B101" s="3" t="str">
        <f>VLOOKUP(A101,'Production Plan'!B:T,14,FALSE)</f>
        <v>Anita</v>
      </c>
    </row>
    <row r="102" spans="1:2" hidden="1">
      <c r="A102" t="str">
        <f>'Production Plan'!B119</f>
        <v>5.3.6.2.3</v>
      </c>
      <c r="B102" s="3" t="str">
        <f>VLOOKUP(A102,'Production Plan'!B:T,14,FALSE)</f>
        <v>Anita</v>
      </c>
    </row>
    <row r="103" spans="1:2" hidden="1">
      <c r="A103" t="str">
        <f>'Production Plan'!B120</f>
        <v>5.3.6.2.4</v>
      </c>
      <c r="B103" s="3" t="str">
        <f>VLOOKUP(A103,'Production Plan'!B:T,14,FALSE)</f>
        <v>Anita</v>
      </c>
    </row>
    <row r="104" spans="1:2" hidden="1">
      <c r="A104" t="str">
        <f>'Production Plan'!B121</f>
        <v>5.3.6.2.5</v>
      </c>
      <c r="B104" s="3" t="str">
        <f>VLOOKUP(A104,'Production Plan'!B:T,14,FALSE)</f>
        <v>Anita</v>
      </c>
    </row>
    <row r="105" spans="1:2" hidden="1">
      <c r="A105" t="str">
        <f>'Production Plan'!B122</f>
        <v>5.3.6.2.6</v>
      </c>
      <c r="B105" s="3" t="str">
        <f>VLOOKUP(A105,'Production Plan'!B:T,14,FALSE)</f>
        <v>Anita</v>
      </c>
    </row>
    <row r="106" spans="1:2" hidden="1">
      <c r="A106" t="str">
        <f>'Production Plan'!B123</f>
        <v>5.3.6.2.7</v>
      </c>
      <c r="B106" s="3" t="str">
        <f>VLOOKUP(A106,'Production Plan'!B:T,14,FALSE)</f>
        <v>Anita</v>
      </c>
    </row>
    <row r="107" spans="1:2" hidden="1">
      <c r="A107" t="str">
        <f>'Production Plan'!B124</f>
        <v>5.3.7.1</v>
      </c>
      <c r="B107" s="3" t="str">
        <f>VLOOKUP(A107,'Production Plan'!B:T,14,FALSE)</f>
        <v>Morten</v>
      </c>
    </row>
    <row r="108" spans="1:2" hidden="1">
      <c r="A108" t="str">
        <f>'Production Plan'!B125</f>
        <v>5.3.7.2</v>
      </c>
      <c r="B108" s="3" t="str">
        <f>VLOOKUP(A108,'Production Plan'!B:T,14,FALSE)</f>
        <v>Morten</v>
      </c>
    </row>
    <row r="109" spans="1:2" hidden="1">
      <c r="A109" t="str">
        <f>'Production Plan'!B126</f>
        <v>5.3.7.3</v>
      </c>
      <c r="B109" s="3" t="str">
        <f>VLOOKUP(A109,'Production Plan'!B:T,14,FALSE)</f>
        <v>Morten</v>
      </c>
    </row>
    <row r="110" spans="1:2" hidden="1">
      <c r="A110" t="str">
        <f>'Production Plan'!B127</f>
        <v>5.3.7.4</v>
      </c>
      <c r="B110" s="3" t="str">
        <f>VLOOKUP(A110,'Production Plan'!B:T,14,FALSE)</f>
        <v>CloudOps</v>
      </c>
    </row>
    <row r="111" spans="1:2" hidden="1">
      <c r="A111" t="str">
        <f>'Production Plan'!B128</f>
        <v>5.3.7.5</v>
      </c>
      <c r="B111" s="3" t="str">
        <f>VLOOKUP(A111,'Production Plan'!B:T,14,FALSE)</f>
        <v>CloudOps</v>
      </c>
    </row>
    <row r="112" spans="1:2" hidden="1">
      <c r="A112" t="str">
        <f>'Production Plan'!B129</f>
        <v>5.3.7.6</v>
      </c>
      <c r="B112" s="3" t="str">
        <f>VLOOKUP(A112,'Production Plan'!B:T,14,FALSE)</f>
        <v>CloudOps</v>
      </c>
    </row>
    <row r="113" spans="1:2" hidden="1">
      <c r="A113" t="str">
        <f>'Production Plan'!B130</f>
        <v>5.3.7.1.1</v>
      </c>
      <c r="B113" s="3" t="str">
        <f>VLOOKUP(A113,'Production Plan'!B:T,14,FALSE)</f>
        <v>Anton</v>
      </c>
    </row>
    <row r="114" spans="1:2" hidden="1">
      <c r="A114" t="str">
        <f>'Production Plan'!B131</f>
        <v>5.3.7.1.2</v>
      </c>
      <c r="B114" s="3" t="str">
        <f>VLOOKUP(A114,'Production Plan'!B:T,14,FALSE)</f>
        <v>Anton</v>
      </c>
    </row>
    <row r="115" spans="1:2" hidden="1">
      <c r="A115" t="str">
        <f>'Production Plan'!B132</f>
        <v>5.3.7.1.3</v>
      </c>
      <c r="B115" s="3" t="str">
        <f>VLOOKUP(A115,'Production Plan'!B:T,14,FALSE)</f>
        <v>Anton</v>
      </c>
    </row>
    <row r="116" spans="1:2" hidden="1">
      <c r="A116" t="str">
        <f>'Production Plan'!B133</f>
        <v>5.3.7.1.4</v>
      </c>
      <c r="B116" s="3" t="str">
        <f>VLOOKUP(A116,'Production Plan'!B:T,14,FALSE)</f>
        <v>Morten</v>
      </c>
    </row>
    <row r="117" spans="1:2" hidden="1">
      <c r="A117" t="str">
        <f>'Production Plan'!B134</f>
        <v>5.3.7.1.5</v>
      </c>
      <c r="B117" s="3" t="str">
        <f>VLOOKUP(A117,'Production Plan'!B:T,14,FALSE)</f>
        <v>Anton</v>
      </c>
    </row>
    <row r="118" spans="1:2" hidden="1">
      <c r="A118" t="str">
        <f>'Production Plan'!B135</f>
        <v>5.3.7.1.6</v>
      </c>
      <c r="B118" s="3" t="str">
        <f>VLOOKUP(A118,'Production Plan'!B:T,14,FALSE)</f>
        <v>Anita</v>
      </c>
    </row>
    <row r="119" spans="1:2" hidden="1">
      <c r="A119" t="str">
        <f>'Production Plan'!B136</f>
        <v>5.3.7.1.7</v>
      </c>
      <c r="B119" s="3" t="str">
        <f>VLOOKUP(A119,'Production Plan'!B:T,14,FALSE)</f>
        <v>anton</v>
      </c>
    </row>
    <row r="120" spans="1:2" hidden="1">
      <c r="A120" t="str">
        <f>'Production Plan'!B137</f>
        <v>5.3.7.2.1.</v>
      </c>
      <c r="B120" s="3" t="str">
        <f>VLOOKUP(A120,'Production Plan'!B:T,14,FALSE)</f>
        <v>Morten</v>
      </c>
    </row>
    <row r="121" spans="1:2" hidden="1">
      <c r="A121" t="str">
        <f>'Production Plan'!B138</f>
        <v>5.3.7.2.2.</v>
      </c>
      <c r="B121" s="3" t="str">
        <f>VLOOKUP(A121,'Production Plan'!B:T,14,FALSE)</f>
        <v>Morten</v>
      </c>
    </row>
    <row r="122" spans="1:2" hidden="1">
      <c r="A122" t="str">
        <f>'Production Plan'!B139</f>
        <v>5.3.7.2.3.</v>
      </c>
      <c r="B122" s="3" t="str">
        <f>VLOOKUP(A122,'Production Plan'!B:T,14,FALSE)</f>
        <v>Morten</v>
      </c>
    </row>
    <row r="123" spans="1:2" hidden="1">
      <c r="A123" t="str">
        <f>'Production Plan'!B140</f>
        <v>5.3.7.2.4.</v>
      </c>
      <c r="B123" s="3" t="str">
        <f>VLOOKUP(A123,'Production Plan'!B:T,14,FALSE)</f>
        <v>Anita</v>
      </c>
    </row>
    <row r="124" spans="1:2" hidden="1">
      <c r="A124" t="str">
        <f>'Production Plan'!B141</f>
        <v>5.3.7.2.5.</v>
      </c>
      <c r="B124" s="3" t="str">
        <f>VLOOKUP(A124,'Production Plan'!B:T,14,FALSE)</f>
        <v>Anita</v>
      </c>
    </row>
    <row r="125" spans="1:2" hidden="1">
      <c r="A125" t="str">
        <f>'Production Plan'!B142</f>
        <v>5.3.7.2.6.</v>
      </c>
      <c r="B125" s="3" t="str">
        <f>VLOOKUP(A125,'Production Plan'!B:T,14,FALSE)</f>
        <v>Anita</v>
      </c>
    </row>
    <row r="126" spans="1:2" hidden="1">
      <c r="A126" t="str">
        <f>'Production Plan'!B143</f>
        <v>5.3.7.2.7.</v>
      </c>
      <c r="B126" s="3" t="str">
        <f>VLOOKUP(A126,'Production Plan'!B:T,14,FALSE)</f>
        <v>Morten</v>
      </c>
    </row>
    <row r="127" spans="1:2" hidden="1">
      <c r="A127" t="str">
        <f>'Production Plan'!B144</f>
        <v>5.3.7.2.8.</v>
      </c>
      <c r="B127" s="3" t="str">
        <f>VLOOKUP(A127,'Production Plan'!B:T,14,FALSE)</f>
        <v>Anita</v>
      </c>
    </row>
    <row r="128" spans="1:2" hidden="1">
      <c r="A128" t="str">
        <f>'Production Plan'!B145</f>
        <v>5.3.7.2.9.</v>
      </c>
      <c r="B128" s="3" t="str">
        <f>VLOOKUP(A128,'Production Plan'!B:T,14,FALSE)</f>
        <v>Anita</v>
      </c>
    </row>
    <row r="129" spans="1:2" hidden="1">
      <c r="A129" t="str">
        <f>'Production Plan'!B146</f>
        <v>5.3.7.2.10.</v>
      </c>
      <c r="B129" s="3" t="str">
        <f>VLOOKUP(A129,'Production Plan'!B:T,14,FALSE)</f>
        <v>Anita</v>
      </c>
    </row>
    <row r="130" spans="1:2" hidden="1">
      <c r="A130" t="str">
        <f>'Production Plan'!B147</f>
        <v>5.3.7.2.11.</v>
      </c>
      <c r="B130" s="3" t="str">
        <f>VLOOKUP(A130,'Production Plan'!B:T,14,FALSE)</f>
        <v>Anita</v>
      </c>
    </row>
    <row r="131" spans="1:2" hidden="1">
      <c r="A131" t="str">
        <f>'Production Plan'!B148</f>
        <v>5.3.8.1.1.</v>
      </c>
      <c r="B131" s="3" t="str">
        <f>VLOOKUP(A131,'Production Plan'!B:T,14,FALSE)</f>
        <v>Mithun</v>
      </c>
    </row>
    <row r="132" spans="1:2" hidden="1">
      <c r="A132" t="str">
        <f>'Production Plan'!B149</f>
        <v>5.3.8.1.2.</v>
      </c>
      <c r="B132" s="3" t="str">
        <f>VLOOKUP(A132,'Production Plan'!B:T,14,FALSE)</f>
        <v>Olga</v>
      </c>
    </row>
    <row r="133" spans="1:2" hidden="1">
      <c r="A133" t="str">
        <f>'Production Plan'!B150</f>
        <v>5.3.8.1.3.</v>
      </c>
      <c r="B133" s="3" t="str">
        <f>VLOOKUP(A133,'Production Plan'!B:T,14,FALSE)</f>
        <v>Mithun</v>
      </c>
    </row>
    <row r="134" spans="1:2" hidden="1">
      <c r="A134" t="str">
        <f>'Production Plan'!B151</f>
        <v>5.3.8.1.4.</v>
      </c>
      <c r="B134" s="3" t="str">
        <f>VLOOKUP(A134,'Production Plan'!B:T,14,FALSE)</f>
        <v>Mithun</v>
      </c>
    </row>
    <row r="135" spans="1:2" hidden="1">
      <c r="A135" t="str">
        <f>'Production Plan'!B152</f>
        <v>5.3.8.1.5.</v>
      </c>
      <c r="B135" s="3" t="str">
        <f>VLOOKUP(A135,'Production Plan'!B:T,14,FALSE)</f>
        <v>Olga</v>
      </c>
    </row>
    <row r="136" spans="1:2" hidden="1">
      <c r="A136" t="str">
        <f>'Production Plan'!B154</f>
        <v>5.3.8.2.1.1.</v>
      </c>
      <c r="B136" s="3" t="str">
        <f>VLOOKUP(A136,'Production Plan'!B:T,14,FALSE)</f>
        <v>Axel</v>
      </c>
    </row>
    <row r="137" spans="1:2" hidden="1">
      <c r="A137" t="str">
        <f>'Production Plan'!B156</f>
        <v>5.3.8.2.2.1.</v>
      </c>
      <c r="B137" s="3" t="str">
        <f>VLOOKUP(A137,'Production Plan'!B:T,14,FALSE)</f>
        <v>Axel</v>
      </c>
    </row>
    <row r="138" spans="1:2" hidden="1">
      <c r="A138" t="str">
        <f>'Production Plan'!B157</f>
        <v>5.3.8.2.2.2.</v>
      </c>
      <c r="B138" s="3" t="str">
        <f>VLOOKUP(A138,'Production Plan'!B:T,14,FALSE)</f>
        <v>Olga</v>
      </c>
    </row>
    <row r="139" spans="1:2" hidden="1">
      <c r="A139" t="str">
        <f>'Production Plan'!B158</f>
        <v>5.3.8.2.3.1.</v>
      </c>
      <c r="B139" s="3" t="str">
        <f>VLOOKUP(A139,'Production Plan'!B:T,14,FALSE)</f>
        <v>Mithun</v>
      </c>
    </row>
    <row r="140" spans="1:2" hidden="1">
      <c r="A140" t="str">
        <f>'Production Plan'!B159</f>
        <v>5.3.8.2.3.2.</v>
      </c>
      <c r="B140" s="3" t="str">
        <f>VLOOKUP(A140,'Production Plan'!B:T,14,FALSE)</f>
        <v>Mithun</v>
      </c>
    </row>
    <row r="141" spans="1:2" hidden="1">
      <c r="A141" t="str">
        <f>'Production Plan'!B160</f>
        <v>5.3.8.2.4.1.</v>
      </c>
      <c r="B141" s="3" t="str">
        <f>VLOOKUP(A141,'Production Plan'!B:T,14,FALSE)</f>
        <v>Kaare</v>
      </c>
    </row>
    <row r="142" spans="1:2" hidden="1">
      <c r="A142" t="str">
        <f>'Production Plan'!B161</f>
        <v>5.3.8.2.5.1.</v>
      </c>
      <c r="B142" s="3" t="str">
        <f>VLOOKUP(A142,'Production Plan'!B:T,14,FALSE)</f>
        <v>Mithun</v>
      </c>
    </row>
    <row r="143" spans="1:2" hidden="1">
      <c r="A143" t="str">
        <f>'Production Plan'!B162</f>
        <v>5.3.8.2.5.2.</v>
      </c>
      <c r="B143" s="3" t="str">
        <f>VLOOKUP(A143,'Production Plan'!B:T,14,FALSE)</f>
        <v>Mithun</v>
      </c>
    </row>
    <row r="144" spans="1:2" hidden="1">
      <c r="A144" t="str">
        <f>'Production Plan'!B163</f>
        <v>5.3.8.2.6.1</v>
      </c>
      <c r="B144" s="3" t="str">
        <f>VLOOKUP(A144,'Production Plan'!B:T,14,FALSE)</f>
        <v>Mithun</v>
      </c>
    </row>
    <row r="145" spans="1:2" hidden="1">
      <c r="A145" t="str">
        <f>'Production Plan'!B164</f>
        <v>5.3.8.2.7.1.1.</v>
      </c>
      <c r="B145" s="3" t="str">
        <f>VLOOKUP(A145,'Production Plan'!B:T,14,FALSE)</f>
        <v>Olga</v>
      </c>
    </row>
    <row r="146" spans="1:2" hidden="1">
      <c r="A146" t="str">
        <f>'Production Plan'!B165</f>
        <v>5.3.8.2.7.1.2.</v>
      </c>
      <c r="B146" s="3" t="str">
        <f>VLOOKUP(A146,'Production Plan'!B:T,14,FALSE)</f>
        <v>Olga</v>
      </c>
    </row>
    <row r="147" spans="1:2" hidden="1">
      <c r="A147" t="str">
        <f>'Production Plan'!B166</f>
        <v>5.3.8.2.7.1.3.</v>
      </c>
      <c r="B147" s="3" t="str">
        <f>VLOOKUP(A147,'Production Plan'!B:T,14,FALSE)</f>
        <v>Olga</v>
      </c>
    </row>
    <row r="148" spans="1:2" hidden="1">
      <c r="A148" t="str">
        <f>'Production Plan'!B167</f>
        <v>5.3.8.2.7.1.4.</v>
      </c>
      <c r="B148" s="3" t="str">
        <f>VLOOKUP(A148,'Production Plan'!B:T,14,FALSE)</f>
        <v>Olga</v>
      </c>
    </row>
    <row r="149" spans="1:2" hidden="1">
      <c r="A149" t="str">
        <f>'Production Plan'!B168</f>
        <v>5.3.8.2.7.2.1.</v>
      </c>
      <c r="B149" s="3" t="str">
        <f>VLOOKUP(A149,'Production Plan'!B:T,14,FALSE)</f>
        <v>Olga</v>
      </c>
    </row>
    <row r="150" spans="1:2" hidden="1">
      <c r="A150" t="str">
        <f>'Production Plan'!B169</f>
        <v>5.3.8.2.7.2.2.</v>
      </c>
      <c r="B150" s="3" t="str">
        <f>VLOOKUP(A150,'Production Plan'!B:T,14,FALSE)</f>
        <v>Olga</v>
      </c>
    </row>
    <row r="151" spans="1:2" hidden="1">
      <c r="A151" t="str">
        <f>'Production Plan'!B171</f>
        <v>5.3.8.2.8.1.</v>
      </c>
      <c r="B151" s="3" t="str">
        <f>VLOOKUP(A151,'Production Plan'!B:T,14,FALSE)</f>
        <v>CloudOps</v>
      </c>
    </row>
    <row r="152" spans="1:2" hidden="1">
      <c r="A152" t="str">
        <f>'Production Plan'!B172</f>
        <v>5.3.8.2.8.2.</v>
      </c>
      <c r="B152" s="3" t="str">
        <f>VLOOKUP(A152,'Production Plan'!B:T,14,FALSE)</f>
        <v>Willy</v>
      </c>
    </row>
    <row r="153" spans="1:2" hidden="1">
      <c r="A153" t="str">
        <f>'Production Plan'!B173</f>
        <v>5.4.1.1.</v>
      </c>
      <c r="B153" s="3" t="str">
        <f>VLOOKUP(A153,'Production Plan'!B:T,14,FALSE)</f>
        <v>Mithun</v>
      </c>
    </row>
    <row r="154" spans="1:2" hidden="1">
      <c r="A154" t="str">
        <f>'Production Plan'!B174</f>
        <v>5.4.2.1.</v>
      </c>
      <c r="B154" s="3" t="str">
        <f>VLOOKUP(A154,'Production Plan'!B:T,14,FALSE)</f>
        <v>Mithun</v>
      </c>
    </row>
    <row r="155" spans="1:2" hidden="1">
      <c r="A155" t="str">
        <f>'Production Plan'!B175</f>
        <v>B1-01</v>
      </c>
      <c r="B155" s="3" t="str">
        <f>VLOOKUP(A155,'Production Plan'!B:T,14,FALSE)</f>
        <v>Cristina</v>
      </c>
    </row>
    <row r="156" spans="1:2" hidden="1">
      <c r="A156" t="str">
        <f>'Production Plan'!B176</f>
        <v>B1-02</v>
      </c>
      <c r="B156" s="3" t="str">
        <f>VLOOKUP(A156,'Production Plan'!B:T,14,FALSE)</f>
        <v>Cristina</v>
      </c>
    </row>
    <row r="157" spans="1:2" hidden="1">
      <c r="A157" t="str">
        <f>'Production Plan'!B177</f>
        <v>B1-03</v>
      </c>
      <c r="B157" s="3" t="str">
        <f>VLOOKUP(A157,'Production Plan'!B:T,14,FALSE)</f>
        <v>Cristina</v>
      </c>
    </row>
    <row r="158" spans="1:2" hidden="1">
      <c r="A158" t="str">
        <f>'Production Plan'!B178</f>
        <v>B1-04</v>
      </c>
      <c r="B158" s="3" t="str">
        <f>VLOOKUP(A158,'Production Plan'!B:T,14,FALSE)</f>
        <v>Cristina</v>
      </c>
    </row>
    <row r="159" spans="1:2" hidden="1">
      <c r="A159" t="str">
        <f>'Production Plan'!B179</f>
        <v>B1-05</v>
      </c>
      <c r="B159" s="3" t="str">
        <f>VLOOKUP(A159,'Production Plan'!B:T,14,FALSE)</f>
        <v>Cristina</v>
      </c>
    </row>
    <row r="160" spans="1:2" hidden="1">
      <c r="A160" t="str">
        <f>'Production Plan'!B180</f>
        <v>B1-06</v>
      </c>
      <c r="B160" s="3" t="str">
        <f>VLOOKUP(A160,'Production Plan'!B:T,14,FALSE)</f>
        <v>Cristina</v>
      </c>
    </row>
    <row r="161" spans="1:2" hidden="1">
      <c r="A161" t="str">
        <f>'Production Plan'!B181</f>
        <v>B1-07</v>
      </c>
      <c r="B161" s="3" t="str">
        <f>VLOOKUP(A161,'Production Plan'!B:T,14,FALSE)</f>
        <v>Olga</v>
      </c>
    </row>
    <row r="162" spans="1:2" hidden="1">
      <c r="A162" t="str">
        <f>'Production Plan'!B182</f>
        <v>B1-08</v>
      </c>
      <c r="B162" s="3" t="str">
        <f>VLOOKUP(A162,'Production Plan'!B:T,14,FALSE)</f>
        <v>Cristina</v>
      </c>
    </row>
    <row r="163" spans="1:2" hidden="1">
      <c r="A163" t="str">
        <f>'Production Plan'!B183</f>
        <v>B1-09</v>
      </c>
      <c r="B163" s="3" t="str">
        <f>VLOOKUP(A163,'Production Plan'!B:T,14,FALSE)</f>
        <v>Cristina</v>
      </c>
    </row>
    <row r="164" spans="1:2" hidden="1">
      <c r="A164" t="str">
        <f>'Production Plan'!B184</f>
        <v>B1-10</v>
      </c>
      <c r="B164" s="3" t="str">
        <f>VLOOKUP(A164,'Production Plan'!B:T,14,FALSE)</f>
        <v>Cristina</v>
      </c>
    </row>
    <row r="165" spans="1:2" hidden="1">
      <c r="A165" t="str">
        <f>'Production Plan'!B185</f>
        <v>B1-11</v>
      </c>
      <c r="B165" s="3" t="str">
        <f>VLOOKUP(A165,'Production Plan'!B:T,14,FALSE)</f>
        <v>Kaare</v>
      </c>
    </row>
    <row r="166" spans="1:2" hidden="1">
      <c r="A166" t="str">
        <f>'Production Plan'!B186</f>
        <v>B1-12</v>
      </c>
      <c r="B166" s="3" t="str">
        <f>VLOOKUP(A166,'Production Plan'!B:T,14,FALSE)</f>
        <v>Kaare</v>
      </c>
    </row>
    <row r="167" spans="1:2" hidden="1">
      <c r="A167" t="str">
        <f>'Production Plan'!B187</f>
        <v>B1-13</v>
      </c>
      <c r="B167" s="3" t="str">
        <f>VLOOKUP(A167,'Production Plan'!B:T,14,FALSE)</f>
        <v>Cristina</v>
      </c>
    </row>
    <row r="168" spans="1:2" hidden="1">
      <c r="A168" t="str">
        <f>'Production Plan'!B188</f>
        <v>B1-14</v>
      </c>
      <c r="B168" s="3" t="str">
        <f>VLOOKUP(A168,'Production Plan'!B:T,14,FALSE)</f>
        <v>Cristina</v>
      </c>
    </row>
    <row r="169" spans="1:2" hidden="1">
      <c r="A169" t="str">
        <f>'Production Plan'!B189</f>
        <v>B1-15</v>
      </c>
      <c r="B169" s="3" t="str">
        <f>VLOOKUP(A169,'Production Plan'!B:T,14,FALSE)</f>
        <v>Cristina</v>
      </c>
    </row>
    <row r="170" spans="1:2" hidden="1">
      <c r="A170" t="str">
        <f>'Production Plan'!B190</f>
        <v>B1-16</v>
      </c>
      <c r="B170" s="3" t="str">
        <f>VLOOKUP(A170,'Production Plan'!B:T,14,FALSE)</f>
        <v>Anton</v>
      </c>
    </row>
    <row r="171" spans="1:2" hidden="1">
      <c r="A171" t="str">
        <f>'Production Plan'!B191</f>
        <v>B1-17</v>
      </c>
      <c r="B171" s="3" t="str">
        <f>VLOOKUP(A171,'Production Plan'!B:T,14,FALSE)</f>
        <v>Cristina</v>
      </c>
    </row>
    <row r="172" spans="1:2" hidden="1">
      <c r="A172" t="str">
        <f>'Production Plan'!B192</f>
        <v>B1-18</v>
      </c>
      <c r="B172" s="3" t="str">
        <f>VLOOKUP(A172,'Production Plan'!B:T,14,FALSE)</f>
        <v>Cristina</v>
      </c>
    </row>
    <row r="173" spans="1:2" hidden="1">
      <c r="A173" t="str">
        <f>'Production Plan'!B193</f>
        <v>B2A-01</v>
      </c>
      <c r="B173" s="3" t="str">
        <f>VLOOKUP(A173,'Production Plan'!B:T,14,FALSE)</f>
        <v>Olga</v>
      </c>
    </row>
    <row r="174" spans="1:2" hidden="1">
      <c r="A174" t="str">
        <f>'Production Plan'!B194</f>
        <v>B2A-02</v>
      </c>
      <c r="B174" s="3" t="str">
        <f>VLOOKUP(A174,'Production Plan'!B:T,14,FALSE)</f>
        <v>Olga</v>
      </c>
    </row>
    <row r="175" spans="1:2" hidden="1">
      <c r="A175" t="str">
        <f>'Production Plan'!B195</f>
        <v>B2A-03</v>
      </c>
      <c r="B175" s="3" t="str">
        <f>VLOOKUP(A175,'Production Plan'!B:T,14,FALSE)</f>
        <v>Olga</v>
      </c>
    </row>
    <row r="176" spans="1:2" hidden="1">
      <c r="A176" t="str">
        <f>'Production Plan'!B196</f>
        <v>B2B-01</v>
      </c>
      <c r="B176" s="3" t="str">
        <f>VLOOKUP(A176,'Production Plan'!B:T,14,FALSE)</f>
        <v>Mithun</v>
      </c>
    </row>
    <row r="177" spans="1:2" hidden="1">
      <c r="A177" t="str">
        <f>'Production Plan'!B197</f>
        <v>B2B-02</v>
      </c>
      <c r="B177" s="3" t="str">
        <f>VLOOKUP(A177,'Production Plan'!B:T,14,FALSE)</f>
        <v>Anita</v>
      </c>
    </row>
    <row r="178" spans="1:2" hidden="1">
      <c r="A178" t="str">
        <f>'Production Plan'!B198</f>
        <v>B4-01</v>
      </c>
      <c r="B178" s="3" t="str">
        <f>VLOOKUP(A178,'Production Plan'!B:T,14,FALSE)</f>
        <v>Johan</v>
      </c>
    </row>
    <row r="179" spans="1:2" hidden="1">
      <c r="A179" t="str">
        <f>'Production Plan'!B199</f>
        <v>B4-02</v>
      </c>
      <c r="B179" s="3" t="str">
        <f>VLOOKUP(A179,'Production Plan'!B:T,14,FALSE)</f>
        <v>CloudOps</v>
      </c>
    </row>
    <row r="180" spans="1:2" hidden="1">
      <c r="A180" t="str">
        <f>'Production Plan'!B200</f>
        <v>B4-03</v>
      </c>
      <c r="B180" s="3" t="str">
        <f>VLOOKUP(A180,'Production Plan'!B:T,14,FALSE)</f>
        <v>CloudOps</v>
      </c>
    </row>
    <row r="181" spans="1:2" hidden="1">
      <c r="A181" t="str">
        <f>'Production Plan'!B201</f>
        <v>B4-04</v>
      </c>
      <c r="B181" s="3" t="str">
        <f>VLOOKUP(A181,'Production Plan'!B:T,14,FALSE)</f>
        <v>Johan</v>
      </c>
    </row>
    <row r="182" spans="1:2" hidden="1">
      <c r="A182" t="str">
        <f>'Production Plan'!B202</f>
        <v>B4-05</v>
      </c>
      <c r="B182" s="3" t="str">
        <f>VLOOKUP(A182,'Production Plan'!B:T,14,FALSE)</f>
        <v>Johan</v>
      </c>
    </row>
    <row r="183" spans="1:2" hidden="1">
      <c r="A183" t="str">
        <f>'Production Plan'!B203</f>
        <v>B4-06</v>
      </c>
      <c r="B183" s="3" t="str">
        <f>VLOOKUP(A183,'Production Plan'!B:T,14,FALSE)</f>
        <v>Johan</v>
      </c>
    </row>
    <row r="184" spans="1:2" hidden="1">
      <c r="A184" t="str">
        <f>'Production Plan'!B204</f>
        <v>B4-07</v>
      </c>
      <c r="B184" s="3" t="str">
        <f>VLOOKUP(A184,'Production Plan'!B:T,14,FALSE)</f>
        <v>Johan</v>
      </c>
    </row>
    <row r="185" spans="1:2" hidden="1">
      <c r="A185" t="str">
        <f>'Production Plan'!B205</f>
        <v>B4-08</v>
      </c>
      <c r="B185" s="3" t="str">
        <f>VLOOKUP(A185,'Production Plan'!B:T,14,FALSE)</f>
        <v>Johan</v>
      </c>
    </row>
    <row r="186" spans="1:2" hidden="1">
      <c r="A186" t="str">
        <f>'Production Plan'!B206</f>
        <v>B6-01</v>
      </c>
      <c r="B186" s="3" t="str">
        <f>VLOOKUP(A186,'Production Plan'!B:T,14,FALSE)</f>
        <v>Mandip</v>
      </c>
    </row>
    <row r="187" spans="1:2" hidden="1">
      <c r="A187" t="str">
        <f>'Production Plan'!B207</f>
        <v>B6-02</v>
      </c>
      <c r="B187" s="3" t="str">
        <f>VLOOKUP(A187,'Production Plan'!B:T,14,FALSE)</f>
        <v>Mandip</v>
      </c>
    </row>
    <row r="188" spans="1:2" hidden="1">
      <c r="A188" t="str">
        <f>'Production Plan'!B208</f>
        <v>B6-03</v>
      </c>
      <c r="B188" s="3" t="str">
        <f>VLOOKUP(A188,'Production Plan'!B:T,14,FALSE)</f>
        <v>Mandip</v>
      </c>
    </row>
    <row r="189" spans="1:2" hidden="1">
      <c r="A189" t="str">
        <f>'Production Plan'!B209</f>
        <v>B6-04</v>
      </c>
      <c r="B189" s="3" t="str">
        <f>VLOOKUP(A189,'Production Plan'!B:T,14,FALSE)</f>
        <v>Mandip</v>
      </c>
    </row>
    <row r="190" spans="1:2" hidden="1">
      <c r="A190" t="str">
        <f>'Production Plan'!B210</f>
        <v>B6-05</v>
      </c>
      <c r="B190" s="3" t="str">
        <f>VLOOKUP(A190,'Production Plan'!B:T,14,FALSE)</f>
        <v>Mandip</v>
      </c>
    </row>
    <row r="191" spans="1:2" hidden="1">
      <c r="A191" t="str">
        <f>'Production Plan'!B211</f>
        <v>B6-06</v>
      </c>
      <c r="B191" s="3" t="str">
        <f>VLOOKUP(A191,'Production Plan'!B:T,14,FALSE)</f>
        <v>Mandip</v>
      </c>
    </row>
    <row r="192" spans="1:2" hidden="1">
      <c r="A192" t="str">
        <f>'Production Plan'!B212</f>
        <v>B6-07</v>
      </c>
      <c r="B192" s="3" t="str">
        <f>VLOOKUP(A192,'Production Plan'!B:T,14,FALSE)</f>
        <v>Mandip</v>
      </c>
    </row>
    <row r="193" spans="1:2" hidden="1">
      <c r="A193" t="str">
        <f>'Production Plan'!B213</f>
        <v>B6-08</v>
      </c>
      <c r="B193" s="3" t="str">
        <f>VLOOKUP(A193,'Production Plan'!B:T,14,FALSE)</f>
        <v>Mandip</v>
      </c>
    </row>
    <row r="194" spans="1:2" hidden="1">
      <c r="A194" t="str">
        <f>'Production Plan'!B214</f>
        <v>Tilbudsbrevet</v>
      </c>
      <c r="B194" s="3" t="str">
        <f>VLOOKUP(A194,'Production Plan'!B:T,14,FALSE)</f>
        <v>Anita</v>
      </c>
    </row>
    <row r="195" spans="1:2" hidden="1">
      <c r="A195" t="str">
        <f>'Production Plan'!B215</f>
        <v>Tilbudsliste</v>
      </c>
      <c r="B195" s="3" t="str">
        <f>VLOOKUP(A195,'Production Plan'!B:T,14,FALSE)</f>
        <v>Anton</v>
      </c>
    </row>
    <row r="196" spans="1:2" hidden="1">
      <c r="A196" t="str">
        <f>'Production Plan'!B216</f>
        <v>Licensbetingelser</v>
      </c>
      <c r="B196" s="3" t="str">
        <f>VLOOKUP(A196,'Production Plan'!B:T,14,FALSE)</f>
        <v>Anita</v>
      </c>
    </row>
    <row r="197" spans="1:2" hidden="1">
      <c r="A197" t="str">
        <f>'Production Plan'!B217</f>
        <v>Underleverandør (hvis anvendes)</v>
      </c>
      <c r="B197" s="3" t="str">
        <f>VLOOKUP(A197,'Production Plan'!B:T,14,FALSE)</f>
        <v>Anita</v>
      </c>
    </row>
    <row r="198" spans="1:2" hidden="1">
      <c r="A198" t="str">
        <f>'Production Plan'!B218</f>
        <v>Egenerklæring vedrørende russiske enheder m.v.</v>
      </c>
      <c r="B198" s="3" t="str">
        <f>VLOOKUP(A198,'Production Plan'!B:T,14,FALSE)</f>
        <v>Anita</v>
      </c>
    </row>
    <row r="199" spans="1:2" hidden="1">
      <c r="A199" t="e">
        <f>'Production Plan'!#REF!</f>
        <v>#REF!</v>
      </c>
      <c r="B199" s="3" t="e">
        <f>VLOOKUP(A199,'Production Plan'!B:T,14,FALSE)</f>
        <v>#REF!</v>
      </c>
    </row>
    <row r="200" spans="1:2" hidden="1">
      <c r="A200" t="e">
        <f>'Production Plan'!#REF!</f>
        <v>#REF!</v>
      </c>
      <c r="B200" s="3" t="e">
        <f>VLOOKUP(A200,'Production Plan'!B:T,14,FALSE)</f>
        <v>#REF!</v>
      </c>
    </row>
    <row r="201" spans="1:2" hidden="1">
      <c r="A201" t="e">
        <f>'Production Plan'!#REF!</f>
        <v>#REF!</v>
      </c>
      <c r="B201" s="3" t="e">
        <f>VLOOKUP(A201,'Production Plan'!B:T,14,FALSE)</f>
        <v>#REF!</v>
      </c>
    </row>
    <row r="202" spans="1:2" hidden="1">
      <c r="A202" t="e">
        <f>'Production Plan'!#REF!</f>
        <v>#REF!</v>
      </c>
      <c r="B202" s="3" t="e">
        <f>VLOOKUP(A202,'Production Plan'!B:T,14,FALSE)</f>
        <v>#REF!</v>
      </c>
    </row>
    <row r="203" spans="1:2" hidden="1">
      <c r="A203" t="e">
        <f>'Production Plan'!#REF!</f>
        <v>#REF!</v>
      </c>
      <c r="B203" s="3" t="e">
        <f>VLOOKUP(A203,'Production Plan'!B:T,14,FALSE)</f>
        <v>#REF!</v>
      </c>
    </row>
    <row r="204" spans="1:2" hidden="1">
      <c r="A204" t="e">
        <f>'Production Plan'!#REF!</f>
        <v>#REF!</v>
      </c>
      <c r="B204" s="3" t="e">
        <f>VLOOKUP(A204,'Production Plan'!B:T,14,FALSE)</f>
        <v>#REF!</v>
      </c>
    </row>
    <row r="205" spans="1:2" hidden="1">
      <c r="A205" t="e">
        <f>'Production Plan'!#REF!</f>
        <v>#REF!</v>
      </c>
      <c r="B205" s="3" t="e">
        <f>VLOOKUP(A205,'Production Plan'!B:T,14,FALSE)</f>
        <v>#REF!</v>
      </c>
    </row>
    <row r="206" spans="1:2" hidden="1">
      <c r="A206" t="e">
        <f>'Production Plan'!#REF!</f>
        <v>#REF!</v>
      </c>
      <c r="B206" s="3" t="e">
        <f>VLOOKUP(A206,'Production Plan'!B:T,14,FALSE)</f>
        <v>#REF!</v>
      </c>
    </row>
    <row r="207" spans="1:2" hidden="1">
      <c r="A207" t="e">
        <f>'Production Plan'!#REF!</f>
        <v>#REF!</v>
      </c>
      <c r="B207" s="3" t="e">
        <f>VLOOKUP(A207,'Production Plan'!B:T,14,FALSE)</f>
        <v>#REF!</v>
      </c>
    </row>
    <row r="208" spans="1:2" hidden="1">
      <c r="A208" t="e">
        <f>'Production Plan'!#REF!</f>
        <v>#REF!</v>
      </c>
      <c r="B208" s="3" t="e">
        <f>VLOOKUP(A208,'Production Plan'!B:T,14,FALSE)</f>
        <v>#REF!</v>
      </c>
    </row>
    <row r="209" spans="1:2" hidden="1">
      <c r="A209" t="e">
        <f>'Production Plan'!#REF!</f>
        <v>#REF!</v>
      </c>
      <c r="B209" s="3" t="e">
        <f>VLOOKUP(A209,'Production Plan'!B:T,14,FALSE)</f>
        <v>#REF!</v>
      </c>
    </row>
    <row r="210" spans="1:2" hidden="1">
      <c r="A210" t="e">
        <f>'Production Plan'!#REF!</f>
        <v>#REF!</v>
      </c>
      <c r="B210" s="3" t="e">
        <f>VLOOKUP(A210,'Production Plan'!B:T,14,FALSE)</f>
        <v>#REF!</v>
      </c>
    </row>
    <row r="211" spans="1:2" hidden="1">
      <c r="A211" t="e">
        <f>'Production Plan'!#REF!</f>
        <v>#REF!</v>
      </c>
      <c r="B211" s="3" t="e">
        <f>VLOOKUP(A211,'Production Plan'!B:T,14,FALSE)</f>
        <v>#REF!</v>
      </c>
    </row>
    <row r="212" spans="1:2" hidden="1">
      <c r="A212" t="e">
        <f>'Production Plan'!#REF!</f>
        <v>#REF!</v>
      </c>
      <c r="B212" s="3" t="e">
        <f>VLOOKUP(A212,'Production Plan'!B:T,14,FALSE)</f>
        <v>#REF!</v>
      </c>
    </row>
    <row r="213" spans="1:2" hidden="1">
      <c r="A213" t="e">
        <f>'Production Plan'!#REF!</f>
        <v>#REF!</v>
      </c>
      <c r="B213" s="3" t="e">
        <f>VLOOKUP(A213,'Production Plan'!B:T,14,FALSE)</f>
        <v>#REF!</v>
      </c>
    </row>
    <row r="214" spans="1:2" hidden="1">
      <c r="A214" t="e">
        <f>'Production Plan'!#REF!</f>
        <v>#REF!</v>
      </c>
      <c r="B214" s="3" t="e">
        <f>VLOOKUP(A214,'Production Plan'!B:T,14,FALSE)</f>
        <v>#REF!</v>
      </c>
    </row>
    <row r="215" spans="1:2" hidden="1">
      <c r="A215" t="e">
        <f>'Production Plan'!#REF!</f>
        <v>#REF!</v>
      </c>
      <c r="B215" s="3" t="e">
        <f>VLOOKUP(A215,'Production Plan'!B:T,14,FALSE)</f>
        <v>#REF!</v>
      </c>
    </row>
    <row r="216" spans="1:2" hidden="1">
      <c r="A216" t="e">
        <f>'Production Plan'!#REF!</f>
        <v>#REF!</v>
      </c>
      <c r="B216" s="3" t="e">
        <f>VLOOKUP(A216,'Production Plan'!B:T,14,FALSE)</f>
        <v>#REF!</v>
      </c>
    </row>
    <row r="217" spans="1:2" hidden="1">
      <c r="A217" t="e">
        <f>'Production Plan'!#REF!</f>
        <v>#REF!</v>
      </c>
      <c r="B217" s="3" t="e">
        <f>VLOOKUP(A217,'Production Plan'!B:T,14,FALSE)</f>
        <v>#REF!</v>
      </c>
    </row>
    <row r="218" spans="1:2" hidden="1">
      <c r="A218" t="e">
        <f>'Production Plan'!#REF!</f>
        <v>#REF!</v>
      </c>
      <c r="B218" s="3" t="e">
        <f>VLOOKUP(A218,'Production Plan'!B:T,14,FALSE)</f>
        <v>#REF!</v>
      </c>
    </row>
    <row r="219" spans="1:2" hidden="1">
      <c r="A219" t="e">
        <f>'Production Plan'!#REF!</f>
        <v>#REF!</v>
      </c>
      <c r="B219" s="3" t="e">
        <f>VLOOKUP(A219,'Production Plan'!B:T,14,FALSE)</f>
        <v>#REF!</v>
      </c>
    </row>
    <row r="220" spans="1:2" hidden="1">
      <c r="A220" t="e">
        <f>'Production Plan'!#REF!</f>
        <v>#REF!</v>
      </c>
      <c r="B220" s="3" t="e">
        <f>VLOOKUP(A220,'Production Plan'!B:T,14,FALSE)</f>
        <v>#REF!</v>
      </c>
    </row>
    <row r="221" spans="1:2" hidden="1">
      <c r="A221" t="e">
        <f>'Production Plan'!#REF!</f>
        <v>#REF!</v>
      </c>
      <c r="B221" s="3" t="e">
        <f>VLOOKUP(A221,'Production Plan'!B:T,14,FALSE)</f>
        <v>#REF!</v>
      </c>
    </row>
    <row r="222" spans="1:2" hidden="1">
      <c r="A222" t="e">
        <f>'Production Plan'!#REF!</f>
        <v>#REF!</v>
      </c>
      <c r="B222" s="3" t="e">
        <f>VLOOKUP(A222,'Production Plan'!B:T,14,FALSE)</f>
        <v>#REF!</v>
      </c>
    </row>
    <row r="223" spans="1:2" hidden="1">
      <c r="A223" t="e">
        <f>'Production Plan'!#REF!</f>
        <v>#REF!</v>
      </c>
      <c r="B223" s="3" t="e">
        <f>VLOOKUP(A223,'Production Plan'!B:T,14,FALSE)</f>
        <v>#REF!</v>
      </c>
    </row>
    <row r="224" spans="1:2" hidden="1">
      <c r="A224" t="e">
        <f>'Production Plan'!#REF!</f>
        <v>#REF!</v>
      </c>
      <c r="B224" s="3" t="e">
        <f>VLOOKUP(A224,'Production Plan'!B:T,14,FALSE)</f>
        <v>#REF!</v>
      </c>
    </row>
    <row r="225" spans="1:2" hidden="1">
      <c r="A225" t="e">
        <f>'Production Plan'!#REF!</f>
        <v>#REF!</v>
      </c>
      <c r="B225" s="3" t="e">
        <f>VLOOKUP(A225,'Production Plan'!B:T,14,FALSE)</f>
        <v>#REF!</v>
      </c>
    </row>
    <row r="226" spans="1:2" hidden="1">
      <c r="A226" t="e">
        <f>'Production Plan'!#REF!</f>
        <v>#REF!</v>
      </c>
      <c r="B226" s="3" t="e">
        <f>VLOOKUP(A226,'Production Plan'!B:T,14,FALSE)</f>
        <v>#REF!</v>
      </c>
    </row>
    <row r="227" spans="1:2" hidden="1">
      <c r="A227" t="e">
        <f>'Production Plan'!#REF!</f>
        <v>#REF!</v>
      </c>
      <c r="B227" s="3" t="e">
        <f>VLOOKUP(A227,'Production Plan'!B:T,14,FALSE)</f>
        <v>#REF!</v>
      </c>
    </row>
    <row r="228" spans="1:2" hidden="1">
      <c r="A228" t="e">
        <f>'Production Plan'!#REF!</f>
        <v>#REF!</v>
      </c>
      <c r="B228" s="3" t="e">
        <f>VLOOKUP(A228,'Production Plan'!B:T,14,FALSE)</f>
        <v>#REF!</v>
      </c>
    </row>
    <row r="229" spans="1:2" hidden="1">
      <c r="A229" t="e">
        <f>'Production Plan'!#REF!</f>
        <v>#REF!</v>
      </c>
      <c r="B229" s="3" t="e">
        <f>VLOOKUP(A229,'Production Plan'!B:T,14,FALSE)</f>
        <v>#REF!</v>
      </c>
    </row>
    <row r="230" spans="1:2" hidden="1">
      <c r="A230" t="e">
        <f>'Production Plan'!#REF!</f>
        <v>#REF!</v>
      </c>
      <c r="B230" s="3" t="e">
        <f>VLOOKUP(A230,'Production Plan'!B:T,14,FALSE)</f>
        <v>#REF!</v>
      </c>
    </row>
    <row r="231" spans="1:2" hidden="1">
      <c r="A231" t="e">
        <f>'Production Plan'!#REF!</f>
        <v>#REF!</v>
      </c>
      <c r="B231" s="3" t="e">
        <f>VLOOKUP(A231,'Production Plan'!B:T,14,FALSE)</f>
        <v>#REF!</v>
      </c>
    </row>
    <row r="232" spans="1:2" hidden="1">
      <c r="A232" t="e">
        <f>'Production Plan'!#REF!</f>
        <v>#REF!</v>
      </c>
      <c r="B232" s="3" t="e">
        <f>VLOOKUP(A232,'Production Plan'!B:T,14,FALSE)</f>
        <v>#REF!</v>
      </c>
    </row>
    <row r="233" spans="1:2" hidden="1">
      <c r="A233" t="e">
        <f>'Production Plan'!#REF!</f>
        <v>#REF!</v>
      </c>
      <c r="B233" s="3" t="e">
        <f>VLOOKUP(A233,'Production Plan'!B:T,14,FALSE)</f>
        <v>#REF!</v>
      </c>
    </row>
    <row r="234" spans="1:2" hidden="1">
      <c r="A234" t="e">
        <f>'Production Plan'!#REF!</f>
        <v>#REF!</v>
      </c>
      <c r="B234" s="3" t="e">
        <f>VLOOKUP(A234,'Production Plan'!B:T,14,FALSE)</f>
        <v>#REF!</v>
      </c>
    </row>
    <row r="235" spans="1:2" hidden="1">
      <c r="A235" t="e">
        <f>'Production Plan'!#REF!</f>
        <v>#REF!</v>
      </c>
      <c r="B235" s="3" t="e">
        <f>VLOOKUP(A235,'Production Plan'!B:T,14,FALSE)</f>
        <v>#REF!</v>
      </c>
    </row>
    <row r="236" spans="1:2" hidden="1">
      <c r="A236" t="e">
        <f>'Production Plan'!#REF!</f>
        <v>#REF!</v>
      </c>
      <c r="B236" s="3" t="e">
        <f>VLOOKUP(A236,'Production Plan'!B:T,14,FALSE)</f>
        <v>#REF!</v>
      </c>
    </row>
    <row r="237" spans="1:2" hidden="1">
      <c r="A237" t="e">
        <f>'Production Plan'!#REF!</f>
        <v>#REF!</v>
      </c>
      <c r="B237" s="3" t="e">
        <f>VLOOKUP(A237,'Production Plan'!B:T,14,FALSE)</f>
        <v>#REF!</v>
      </c>
    </row>
    <row r="238" spans="1:2" hidden="1">
      <c r="A238" t="e">
        <f>'Production Plan'!#REF!</f>
        <v>#REF!</v>
      </c>
      <c r="B238" s="3" t="e">
        <f>VLOOKUP(A238,'Production Plan'!B:T,14,FALSE)</f>
        <v>#REF!</v>
      </c>
    </row>
    <row r="239" spans="1:2" hidden="1">
      <c r="A239" t="e">
        <f>'Production Plan'!#REF!</f>
        <v>#REF!</v>
      </c>
      <c r="B239" s="3" t="e">
        <f>VLOOKUP(A239,'Production Plan'!B:T,14,FALSE)</f>
        <v>#REF!</v>
      </c>
    </row>
    <row r="240" spans="1:2" hidden="1">
      <c r="A240" t="e">
        <f>'Production Plan'!#REF!</f>
        <v>#REF!</v>
      </c>
      <c r="B240" s="3" t="e">
        <f>VLOOKUP(A240,'Production Plan'!B:T,14,FALSE)</f>
        <v>#REF!</v>
      </c>
    </row>
    <row r="241" spans="1:2" hidden="1">
      <c r="A241" t="e">
        <f>'Production Plan'!#REF!</f>
        <v>#REF!</v>
      </c>
      <c r="B241" s="3" t="e">
        <f>VLOOKUP(A241,'Production Plan'!B:T,14,FALSE)</f>
        <v>#REF!</v>
      </c>
    </row>
    <row r="242" spans="1:2" hidden="1">
      <c r="A242" t="e">
        <f>'Production Plan'!#REF!</f>
        <v>#REF!</v>
      </c>
      <c r="B242" s="3" t="e">
        <f>VLOOKUP(A242,'Production Plan'!B:T,14,FALSE)</f>
        <v>#REF!</v>
      </c>
    </row>
    <row r="243" spans="1:2" hidden="1">
      <c r="A243" t="e">
        <f>'Production Plan'!#REF!</f>
        <v>#REF!</v>
      </c>
      <c r="B243" s="3" t="e">
        <f>VLOOKUP(A243,'Production Plan'!B:T,14,FALSE)</f>
        <v>#REF!</v>
      </c>
    </row>
    <row r="244" spans="1:2" hidden="1">
      <c r="A244" t="e">
        <f>'Production Plan'!#REF!</f>
        <v>#REF!</v>
      </c>
      <c r="B244" s="3" t="e">
        <f>VLOOKUP(A244,'Production Plan'!B:T,14,FALSE)</f>
        <v>#REF!</v>
      </c>
    </row>
    <row r="245" spans="1:2" hidden="1">
      <c r="A245" t="e">
        <f>'Production Plan'!#REF!</f>
        <v>#REF!</v>
      </c>
      <c r="B245" s="3" t="e">
        <f>VLOOKUP(A245,'Production Plan'!B:T,14,FALSE)</f>
        <v>#REF!</v>
      </c>
    </row>
    <row r="246" spans="1:2" hidden="1">
      <c r="A246" t="e">
        <f>'Production Plan'!#REF!</f>
        <v>#REF!</v>
      </c>
      <c r="B246" s="3" t="e">
        <f>VLOOKUP(A246,'Production Plan'!B:T,14,FALSE)</f>
        <v>#REF!</v>
      </c>
    </row>
    <row r="247" spans="1:2" hidden="1">
      <c r="A247" t="e">
        <f>'Production Plan'!#REF!</f>
        <v>#REF!</v>
      </c>
      <c r="B247" s="3" t="e">
        <f>VLOOKUP(A247,'Production Plan'!B:T,14,FALSE)</f>
        <v>#REF!</v>
      </c>
    </row>
    <row r="248" spans="1:2" hidden="1">
      <c r="A248" t="e">
        <f>'Production Plan'!#REF!</f>
        <v>#REF!</v>
      </c>
      <c r="B248" s="3" t="e">
        <f>VLOOKUP(A248,'Production Plan'!B:T,14,FALSE)</f>
        <v>#REF!</v>
      </c>
    </row>
    <row r="249" spans="1:2" hidden="1">
      <c r="A249" t="e">
        <f>'Production Plan'!#REF!</f>
        <v>#REF!</v>
      </c>
      <c r="B249" s="3" t="e">
        <f>VLOOKUP(A249,'Production Plan'!B:T,14,FALSE)</f>
        <v>#REF!</v>
      </c>
    </row>
    <row r="250" spans="1:2" hidden="1">
      <c r="A250" t="e">
        <f>'Production Plan'!#REF!</f>
        <v>#REF!</v>
      </c>
      <c r="B250" s="3" t="e">
        <f>VLOOKUP(A250,'Production Plan'!B:T,14,FALSE)</f>
        <v>#REF!</v>
      </c>
    </row>
    <row r="251" spans="1:2" hidden="1">
      <c r="A251" t="e">
        <f>'Production Plan'!#REF!</f>
        <v>#REF!</v>
      </c>
      <c r="B251" s="3" t="e">
        <f>VLOOKUP(A251,'Production Plan'!B:T,14,FALSE)</f>
        <v>#REF!</v>
      </c>
    </row>
    <row r="252" spans="1:2" hidden="1">
      <c r="A252" t="e">
        <f>'Production Plan'!#REF!</f>
        <v>#REF!</v>
      </c>
      <c r="B252" s="3" t="e">
        <f>VLOOKUP(A252,'Production Plan'!B:T,14,FALSE)</f>
        <v>#REF!</v>
      </c>
    </row>
    <row r="253" spans="1:2" hidden="1">
      <c r="A253" t="e">
        <f>'Production Plan'!#REF!</f>
        <v>#REF!</v>
      </c>
      <c r="B253" s="3" t="e">
        <f>VLOOKUP(A253,'Production Plan'!B:T,14,FALSE)</f>
        <v>#REF!</v>
      </c>
    </row>
    <row r="254" spans="1:2" hidden="1">
      <c r="A254" t="e">
        <f>'Production Plan'!#REF!</f>
        <v>#REF!</v>
      </c>
      <c r="B254" s="3" t="e">
        <f>VLOOKUP(A254,'Production Plan'!B:T,14,FALSE)</f>
        <v>#REF!</v>
      </c>
    </row>
    <row r="255" spans="1:2" hidden="1">
      <c r="A255" t="e">
        <f>'Production Plan'!#REF!</f>
        <v>#REF!</v>
      </c>
      <c r="B255" s="3" t="e">
        <f>VLOOKUP(A255,'Production Plan'!B:T,14,FALSE)</f>
        <v>#REF!</v>
      </c>
    </row>
    <row r="256" spans="1:2" hidden="1">
      <c r="A256" t="e">
        <f>'Production Plan'!#REF!</f>
        <v>#REF!</v>
      </c>
      <c r="B256" s="3" t="e">
        <f>VLOOKUP(A256,'Production Plan'!B:T,14,FALSE)</f>
        <v>#REF!</v>
      </c>
    </row>
    <row r="257" spans="1:2" hidden="1">
      <c r="A257" t="e">
        <f>'Production Plan'!#REF!</f>
        <v>#REF!</v>
      </c>
      <c r="B257" s="3" t="e">
        <f>VLOOKUP(A257,'Production Plan'!B:T,14,FALSE)</f>
        <v>#REF!</v>
      </c>
    </row>
    <row r="258" spans="1:2" hidden="1">
      <c r="A258" t="e">
        <f>'Production Plan'!#REF!</f>
        <v>#REF!</v>
      </c>
      <c r="B258" s="3" t="e">
        <f>VLOOKUP(A258,'Production Plan'!B:T,14,FALSE)</f>
        <v>#REF!</v>
      </c>
    </row>
    <row r="259" spans="1:2" hidden="1">
      <c r="A259" t="e">
        <f>'Production Plan'!#REF!</f>
        <v>#REF!</v>
      </c>
      <c r="B259" s="3" t="e">
        <f>VLOOKUP(A259,'Production Plan'!B:T,14,FALSE)</f>
        <v>#REF!</v>
      </c>
    </row>
    <row r="260" spans="1:2" hidden="1">
      <c r="A260" t="e">
        <f>'Production Plan'!#REF!</f>
        <v>#REF!</v>
      </c>
      <c r="B260" s="3" t="e">
        <f>VLOOKUP(A260,'Production Plan'!B:T,14,FALSE)</f>
        <v>#REF!</v>
      </c>
    </row>
    <row r="261" spans="1:2" hidden="1">
      <c r="A261" t="e">
        <f>'Production Plan'!#REF!</f>
        <v>#REF!</v>
      </c>
      <c r="B261" s="3" t="e">
        <f>VLOOKUP(A261,'Production Plan'!B:T,14,FALSE)</f>
        <v>#REF!</v>
      </c>
    </row>
    <row r="262" spans="1:2" hidden="1">
      <c r="A262" t="e">
        <f>'Production Plan'!#REF!</f>
        <v>#REF!</v>
      </c>
      <c r="B262" s="3" t="e">
        <f>VLOOKUP(A262,'Production Plan'!B:T,14,FALSE)</f>
        <v>#REF!</v>
      </c>
    </row>
    <row r="263" spans="1:2" hidden="1">
      <c r="A263" t="e">
        <f>'Production Plan'!#REF!</f>
        <v>#REF!</v>
      </c>
      <c r="B263" s="3" t="e">
        <f>VLOOKUP(A263,'Production Plan'!B:T,14,FALSE)</f>
        <v>#REF!</v>
      </c>
    </row>
    <row r="264" spans="1:2" hidden="1">
      <c r="A264" t="e">
        <f>'Production Plan'!#REF!</f>
        <v>#REF!</v>
      </c>
      <c r="B264" s="3" t="e">
        <f>VLOOKUP(A264,'Production Plan'!B:T,14,FALSE)</f>
        <v>#REF!</v>
      </c>
    </row>
    <row r="265" spans="1:2" hidden="1">
      <c r="A265" t="e">
        <f>'Production Plan'!#REF!</f>
        <v>#REF!</v>
      </c>
      <c r="B265" s="3" t="e">
        <f>VLOOKUP(A265,'Production Plan'!B:T,14,FALSE)</f>
        <v>#REF!</v>
      </c>
    </row>
    <row r="266" spans="1:2" hidden="1">
      <c r="A266" t="e">
        <f>'Production Plan'!#REF!</f>
        <v>#REF!</v>
      </c>
      <c r="B266" s="3" t="e">
        <f>VLOOKUP(A266,'Production Plan'!B:T,14,FALSE)</f>
        <v>#REF!</v>
      </c>
    </row>
    <row r="267" spans="1:2" hidden="1">
      <c r="A267" t="e">
        <f>'Production Plan'!#REF!</f>
        <v>#REF!</v>
      </c>
      <c r="B267" s="3" t="e">
        <f>VLOOKUP(A267,'Production Plan'!B:T,14,FALSE)</f>
        <v>#REF!</v>
      </c>
    </row>
    <row r="268" spans="1:2" hidden="1">
      <c r="A268" t="e">
        <f>'Production Plan'!#REF!</f>
        <v>#REF!</v>
      </c>
      <c r="B268" s="3" t="e">
        <f>VLOOKUP(A268,'Production Plan'!B:T,14,FALSE)</f>
        <v>#REF!</v>
      </c>
    </row>
    <row r="269" spans="1:2" hidden="1">
      <c r="A269" t="e">
        <f>'Production Plan'!#REF!</f>
        <v>#REF!</v>
      </c>
      <c r="B269" s="3" t="e">
        <f>VLOOKUP(A269,'Production Plan'!B:T,14,FALSE)</f>
        <v>#REF!</v>
      </c>
    </row>
    <row r="270" spans="1:2" hidden="1">
      <c r="A270" t="e">
        <f>'Production Plan'!#REF!</f>
        <v>#REF!</v>
      </c>
      <c r="B270" s="3" t="e">
        <f>VLOOKUP(A270,'Production Plan'!B:T,14,FALSE)</f>
        <v>#REF!</v>
      </c>
    </row>
    <row r="271" spans="1:2" hidden="1">
      <c r="A271" t="e">
        <f>'Production Plan'!#REF!</f>
        <v>#REF!</v>
      </c>
      <c r="B271" s="3" t="e">
        <f>VLOOKUP(A271,'Production Plan'!B:T,14,FALSE)</f>
        <v>#REF!</v>
      </c>
    </row>
    <row r="272" spans="1:2" hidden="1">
      <c r="A272" t="e">
        <f>'Production Plan'!#REF!</f>
        <v>#REF!</v>
      </c>
      <c r="B272" s="3" t="e">
        <f>VLOOKUP(A272,'Production Plan'!B:T,14,FALSE)</f>
        <v>#REF!</v>
      </c>
    </row>
    <row r="273" spans="1:2" hidden="1">
      <c r="A273" t="e">
        <f>'Production Plan'!#REF!</f>
        <v>#REF!</v>
      </c>
      <c r="B273" s="3" t="e">
        <f>VLOOKUP(A273,'Production Plan'!B:T,14,FALSE)</f>
        <v>#REF!</v>
      </c>
    </row>
    <row r="274" spans="1:2" hidden="1">
      <c r="A274" t="e">
        <f>'Production Plan'!#REF!</f>
        <v>#REF!</v>
      </c>
      <c r="B274" s="3" t="e">
        <f>VLOOKUP(A274,'Production Plan'!B:T,14,FALSE)</f>
        <v>#REF!</v>
      </c>
    </row>
    <row r="275" spans="1:2" hidden="1">
      <c r="A275" t="e">
        <f>'Production Plan'!#REF!</f>
        <v>#REF!</v>
      </c>
      <c r="B275" s="3" t="e">
        <f>VLOOKUP(A275,'Production Plan'!B:T,14,FALSE)</f>
        <v>#REF!</v>
      </c>
    </row>
    <row r="276" spans="1:2" hidden="1">
      <c r="A276" t="e">
        <f>'Production Plan'!#REF!</f>
        <v>#REF!</v>
      </c>
      <c r="B276" s="3" t="e">
        <f>VLOOKUP(A276,'Production Plan'!B:T,14,FALSE)</f>
        <v>#REF!</v>
      </c>
    </row>
    <row r="277" spans="1:2" hidden="1">
      <c r="A277" t="e">
        <f>'Production Plan'!#REF!</f>
        <v>#REF!</v>
      </c>
      <c r="B277" s="3" t="e">
        <f>VLOOKUP(A277,'Production Plan'!B:T,14,FALSE)</f>
        <v>#REF!</v>
      </c>
    </row>
    <row r="278" spans="1:2" hidden="1">
      <c r="A278" t="e">
        <f>'Production Plan'!#REF!</f>
        <v>#REF!</v>
      </c>
      <c r="B278" s="3" t="e">
        <f>VLOOKUP(A278,'Production Plan'!B:T,14,FALSE)</f>
        <v>#REF!</v>
      </c>
    </row>
    <row r="279" spans="1:2" hidden="1">
      <c r="A279" t="e">
        <f>'Production Plan'!#REF!</f>
        <v>#REF!</v>
      </c>
      <c r="B279" s="3" t="e">
        <f>VLOOKUP(A279,'Production Plan'!B:T,14,FALSE)</f>
        <v>#REF!</v>
      </c>
    </row>
    <row r="280" spans="1:2" hidden="1">
      <c r="A280" t="e">
        <f>'Production Plan'!#REF!</f>
        <v>#REF!</v>
      </c>
      <c r="B280" s="3" t="e">
        <f>VLOOKUP(A280,'Production Plan'!B:T,14,FALSE)</f>
        <v>#REF!</v>
      </c>
    </row>
    <row r="281" spans="1:2" hidden="1">
      <c r="A281" t="e">
        <f>'Production Plan'!#REF!</f>
        <v>#REF!</v>
      </c>
      <c r="B281" s="3" t="e">
        <f>VLOOKUP(A281,'Production Plan'!B:T,14,FALSE)</f>
        <v>#REF!</v>
      </c>
    </row>
    <row r="282" spans="1:2" hidden="1">
      <c r="A282" t="e">
        <f>'Production Plan'!#REF!</f>
        <v>#REF!</v>
      </c>
      <c r="B282" s="3" t="e">
        <f>VLOOKUP(A282,'Production Plan'!B:T,14,FALSE)</f>
        <v>#REF!</v>
      </c>
    </row>
    <row r="283" spans="1:2" hidden="1">
      <c r="A283" t="e">
        <f>'Production Plan'!#REF!</f>
        <v>#REF!</v>
      </c>
      <c r="B283" s="3" t="e">
        <f>VLOOKUP(A283,'Production Plan'!B:T,14,FALSE)</f>
        <v>#REF!</v>
      </c>
    </row>
    <row r="284" spans="1:2" hidden="1">
      <c r="A284" t="e">
        <f>'Production Plan'!#REF!</f>
        <v>#REF!</v>
      </c>
      <c r="B284" s="3" t="e">
        <f>VLOOKUP(A284,'Production Plan'!B:T,14,FALSE)</f>
        <v>#REF!</v>
      </c>
    </row>
    <row r="285" spans="1:2" hidden="1">
      <c r="A285" t="e">
        <f>'Production Plan'!#REF!</f>
        <v>#REF!</v>
      </c>
      <c r="B285" s="3" t="e">
        <f>VLOOKUP(A285,'Production Plan'!B:T,14,FALSE)</f>
        <v>#REF!</v>
      </c>
    </row>
    <row r="286" spans="1:2" hidden="1">
      <c r="A286" t="e">
        <f>'Production Plan'!#REF!</f>
        <v>#REF!</v>
      </c>
      <c r="B286" s="3" t="e">
        <f>VLOOKUP(A286,'Production Plan'!B:T,14,FALSE)</f>
        <v>#REF!</v>
      </c>
    </row>
    <row r="287" spans="1:2" hidden="1">
      <c r="A287" t="e">
        <f>'Production Plan'!#REF!</f>
        <v>#REF!</v>
      </c>
      <c r="B287" s="3" t="e">
        <f>VLOOKUP(A287,'Production Plan'!B:T,14,FALSE)</f>
        <v>#REF!</v>
      </c>
    </row>
    <row r="288" spans="1:2" hidden="1">
      <c r="A288" t="e">
        <f>'Production Plan'!#REF!</f>
        <v>#REF!</v>
      </c>
      <c r="B288" s="3" t="e">
        <f>VLOOKUP(A288,'Production Plan'!B:T,14,FALSE)</f>
        <v>#REF!</v>
      </c>
    </row>
    <row r="289" spans="1:2" hidden="1">
      <c r="A289" t="e">
        <f>'Production Plan'!#REF!</f>
        <v>#REF!</v>
      </c>
      <c r="B289" s="3" t="e">
        <f>VLOOKUP(A289,'Production Plan'!B:T,14,FALSE)</f>
        <v>#REF!</v>
      </c>
    </row>
    <row r="290" spans="1:2" hidden="1">
      <c r="A290" t="str">
        <f>'Production Plan'!B219</f>
        <v>Kontrakt</v>
      </c>
      <c r="B290" s="3" t="str">
        <f>VLOOKUP(A290,'Production Plan'!B:T,14,FALSE)</f>
        <v>Mandip</v>
      </c>
    </row>
    <row r="291" spans="1:2" hidden="1">
      <c r="A291">
        <f>'Production Plan'!B220</f>
        <v>0</v>
      </c>
      <c r="B291" s="3" t="e">
        <f>VLOOKUP(A291,'Production Plan'!B:T,14,FALSE)</f>
        <v>#N/A</v>
      </c>
    </row>
    <row r="292" spans="1:2" hidden="1">
      <c r="A292">
        <f>'Production Plan'!B221</f>
        <v>0</v>
      </c>
      <c r="B292" s="3" t="e">
        <f>VLOOKUP(A292,'Production Plan'!B:T,14,FALSE)</f>
        <v>#N/A</v>
      </c>
    </row>
    <row r="293" spans="1:2" hidden="1">
      <c r="A293">
        <f>'Production Plan'!B222</f>
        <v>0</v>
      </c>
      <c r="B293" s="3" t="e">
        <f>VLOOKUP(A293,'Production Plan'!B:T,14,FALSE)</f>
        <v>#N/A</v>
      </c>
    </row>
    <row r="294" spans="1:2" hidden="1">
      <c r="A294">
        <f>'Production Plan'!B223</f>
        <v>0</v>
      </c>
      <c r="B294" s="3" t="e">
        <f>VLOOKUP(A294,'Production Plan'!B:T,14,FALSE)</f>
        <v>#N/A</v>
      </c>
    </row>
    <row r="295" spans="1:2" hidden="1">
      <c r="A295">
        <f>'Production Plan'!B224</f>
        <v>0</v>
      </c>
      <c r="B295" s="3" t="e">
        <f>VLOOKUP(A295,'Production Plan'!B:T,14,FALSE)</f>
        <v>#N/A</v>
      </c>
    </row>
    <row r="296" spans="1:2" hidden="1">
      <c r="A296">
        <f>'Production Plan'!B225</f>
        <v>0</v>
      </c>
      <c r="B296" s="3" t="e">
        <f>VLOOKUP(A296,'Production Plan'!B:T,14,FALSE)</f>
        <v>#N/A</v>
      </c>
    </row>
    <row r="297" spans="1:2" hidden="1">
      <c r="A297">
        <f>'Production Plan'!B226</f>
        <v>0</v>
      </c>
      <c r="B297" s="3" t="e">
        <f>VLOOKUP(A297,'Production Plan'!B:T,14,FALSE)</f>
        <v>#N/A</v>
      </c>
    </row>
    <row r="298" spans="1:2" hidden="1">
      <c r="A298">
        <f>'Production Plan'!B227</f>
        <v>0</v>
      </c>
      <c r="B298" s="3" t="e">
        <f>VLOOKUP(A298,'Production Plan'!B:T,14,FALSE)</f>
        <v>#N/A</v>
      </c>
    </row>
    <row r="299" spans="1:2" hidden="1">
      <c r="A299">
        <f>'Production Plan'!B228</f>
        <v>0</v>
      </c>
      <c r="B299" s="3" t="e">
        <f>VLOOKUP(A299,'Production Plan'!B:T,14,FALSE)</f>
        <v>#N/A</v>
      </c>
    </row>
    <row r="300" spans="1:2" hidden="1">
      <c r="A300">
        <f>'Production Plan'!B229</f>
        <v>0</v>
      </c>
      <c r="B300" s="3" t="e">
        <f>VLOOKUP(A300,'Production Plan'!B:T,14,FALSE)</f>
        <v>#N/A</v>
      </c>
    </row>
    <row r="301" spans="1:2" hidden="1">
      <c r="A301">
        <f>'Production Plan'!B230</f>
        <v>0</v>
      </c>
      <c r="B301" s="3" t="e">
        <f>VLOOKUP(A301,'Production Plan'!B:T,14,FALSE)</f>
        <v>#N/A</v>
      </c>
    </row>
    <row r="302" spans="1:2" hidden="1">
      <c r="A302">
        <f>'Production Plan'!B231</f>
        <v>0</v>
      </c>
      <c r="B302" s="3" t="e">
        <f>VLOOKUP(A302,'Production Plan'!B:T,14,FALSE)</f>
        <v>#N/A</v>
      </c>
    </row>
    <row r="303" spans="1:2" hidden="1">
      <c r="A303">
        <f>'Production Plan'!B232</f>
        <v>0</v>
      </c>
      <c r="B303" s="3" t="e">
        <f>VLOOKUP(A303,'Production Plan'!B:T,14,FALSE)</f>
        <v>#N/A</v>
      </c>
    </row>
    <row r="304" spans="1:2" hidden="1">
      <c r="A304">
        <f>'Production Plan'!B233</f>
        <v>0</v>
      </c>
      <c r="B304" s="3" t="e">
        <f>VLOOKUP(A304,'Production Plan'!B:T,14,FALSE)</f>
        <v>#N/A</v>
      </c>
    </row>
    <row r="305" spans="1:2" hidden="1">
      <c r="A305">
        <f>'Production Plan'!B234</f>
        <v>0</v>
      </c>
      <c r="B305" s="3" t="e">
        <f>VLOOKUP(A305,'Production Plan'!B:T,14,FALSE)</f>
        <v>#N/A</v>
      </c>
    </row>
    <row r="306" spans="1:2" hidden="1">
      <c r="A306">
        <f>'Production Plan'!B235</f>
        <v>0</v>
      </c>
      <c r="B306" s="3" t="e">
        <f>VLOOKUP(A306,'Production Plan'!B:T,14,FALSE)</f>
        <v>#N/A</v>
      </c>
    </row>
    <row r="307" spans="1:2" hidden="1">
      <c r="A307">
        <f>'Production Plan'!B236</f>
        <v>0</v>
      </c>
      <c r="B307" s="3" t="e">
        <f>VLOOKUP(A307,'Production Plan'!B:T,14,FALSE)</f>
        <v>#N/A</v>
      </c>
    </row>
    <row r="308" spans="1:2" hidden="1">
      <c r="A308">
        <f>'Production Plan'!B237</f>
        <v>0</v>
      </c>
      <c r="B308" s="3" t="e">
        <f>VLOOKUP(A308,'Production Plan'!B:T,14,FALSE)</f>
        <v>#N/A</v>
      </c>
    </row>
    <row r="309" spans="1:2" hidden="1">
      <c r="A309">
        <f>'Production Plan'!B238</f>
        <v>0</v>
      </c>
      <c r="B309" s="3" t="e">
        <f>VLOOKUP(A309,'Production Plan'!B:T,14,FALSE)</f>
        <v>#N/A</v>
      </c>
    </row>
    <row r="310" spans="1:2" hidden="1">
      <c r="A310">
        <f>'Production Plan'!B239</f>
        <v>0</v>
      </c>
      <c r="B310" s="3" t="e">
        <f>VLOOKUP(A310,'Production Plan'!B:T,14,FALSE)</f>
        <v>#N/A</v>
      </c>
    </row>
    <row r="311" spans="1:2" hidden="1">
      <c r="A311">
        <f>'Production Plan'!B240</f>
        <v>0</v>
      </c>
      <c r="B311" s="3" t="e">
        <f>VLOOKUP(A311,'Production Plan'!B:T,14,FALSE)</f>
        <v>#N/A</v>
      </c>
    </row>
    <row r="312" spans="1:2" hidden="1">
      <c r="A312">
        <f>'Production Plan'!B241</f>
        <v>0</v>
      </c>
      <c r="B312" s="3" t="e">
        <f>VLOOKUP(A312,'Production Plan'!B:T,14,FALSE)</f>
        <v>#N/A</v>
      </c>
    </row>
    <row r="313" spans="1:2" hidden="1">
      <c r="A313">
        <f>'Production Plan'!B242</f>
        <v>0</v>
      </c>
      <c r="B313" s="3" t="e">
        <f>VLOOKUP(A313,'Production Plan'!B:T,14,FALSE)</f>
        <v>#N/A</v>
      </c>
    </row>
    <row r="314" spans="1:2" hidden="1">
      <c r="A314">
        <f>'Production Plan'!B243</f>
        <v>0</v>
      </c>
      <c r="B314" s="3" t="e">
        <f>VLOOKUP(A314,'Production Plan'!B:T,14,FALSE)</f>
        <v>#N/A</v>
      </c>
    </row>
    <row r="315" spans="1:2" hidden="1">
      <c r="A315">
        <f>'Production Plan'!B244</f>
        <v>0</v>
      </c>
      <c r="B315" s="3" t="e">
        <f>VLOOKUP(A315,'Production Plan'!B:T,14,FALSE)</f>
        <v>#N/A</v>
      </c>
    </row>
    <row r="316" spans="1:2" hidden="1">
      <c r="A316">
        <f>'Production Plan'!B245</f>
        <v>0</v>
      </c>
      <c r="B316" s="3" t="e">
        <f>VLOOKUP(A316,'Production Plan'!B:T,14,FALSE)</f>
        <v>#N/A</v>
      </c>
    </row>
    <row r="317" spans="1:2" hidden="1">
      <c r="A317">
        <f>'Production Plan'!B246</f>
        <v>0</v>
      </c>
      <c r="B317" s="3" t="e">
        <f>VLOOKUP(A317,'Production Plan'!B:T,14,FALSE)</f>
        <v>#N/A</v>
      </c>
    </row>
    <row r="318" spans="1:2" hidden="1">
      <c r="A318">
        <f>'Production Plan'!B247</f>
        <v>0</v>
      </c>
      <c r="B318" s="3" t="e">
        <f>VLOOKUP(A318,'Production Plan'!B:T,14,FALSE)</f>
        <v>#N/A</v>
      </c>
    </row>
    <row r="319" spans="1:2" hidden="1">
      <c r="A319">
        <f>'Production Plan'!B248</f>
        <v>0</v>
      </c>
      <c r="B319" s="3" t="e">
        <f>VLOOKUP(A319,'Production Plan'!B:T,14,FALSE)</f>
        <v>#N/A</v>
      </c>
    </row>
    <row r="320" spans="1:2" hidden="1">
      <c r="A320">
        <f>'Production Plan'!B249</f>
        <v>0</v>
      </c>
      <c r="B320" s="3" t="e">
        <f>VLOOKUP(A320,'Production Plan'!B:T,14,FALSE)</f>
        <v>#N/A</v>
      </c>
    </row>
    <row r="321" spans="1:2" hidden="1">
      <c r="A321">
        <f>'Production Plan'!B250</f>
        <v>0</v>
      </c>
      <c r="B321" s="3" t="e">
        <f>VLOOKUP(A321,'Production Plan'!B:T,14,FALSE)</f>
        <v>#N/A</v>
      </c>
    </row>
    <row r="322" spans="1:2" hidden="1">
      <c r="A322">
        <f>'Production Plan'!B251</f>
        <v>0</v>
      </c>
      <c r="B322" s="3" t="e">
        <f>VLOOKUP(A322,'Production Plan'!B:T,14,FALSE)</f>
        <v>#N/A</v>
      </c>
    </row>
    <row r="323" spans="1:2" hidden="1">
      <c r="A323">
        <f>'Production Plan'!B252</f>
        <v>0</v>
      </c>
      <c r="B323" s="3" t="e">
        <f>VLOOKUP(A323,'Production Plan'!B:T,14,FALSE)</f>
        <v>#N/A</v>
      </c>
    </row>
    <row r="324" spans="1:2" hidden="1">
      <c r="A324">
        <f>'Production Plan'!B253</f>
        <v>0</v>
      </c>
      <c r="B324" s="3" t="e">
        <f>VLOOKUP(A324,'Production Plan'!B:T,14,FALSE)</f>
        <v>#N/A</v>
      </c>
    </row>
    <row r="325" spans="1:2" hidden="1">
      <c r="A325">
        <f>'Production Plan'!B254</f>
        <v>0</v>
      </c>
      <c r="B325" s="3" t="e">
        <f>VLOOKUP(A325,'Production Plan'!B:T,14,FALSE)</f>
        <v>#N/A</v>
      </c>
    </row>
    <row r="326" spans="1:2" hidden="1">
      <c r="A326">
        <f>'Production Plan'!B255</f>
        <v>0</v>
      </c>
      <c r="B326" s="3" t="e">
        <f>VLOOKUP(A326,'Production Plan'!B:T,14,FALSE)</f>
        <v>#N/A</v>
      </c>
    </row>
    <row r="327" spans="1:2" hidden="1">
      <c r="A327">
        <f>'Production Plan'!B256</f>
        <v>0</v>
      </c>
      <c r="B327" s="3" t="e">
        <f>VLOOKUP(A327,'Production Plan'!B:T,14,FALSE)</f>
        <v>#N/A</v>
      </c>
    </row>
    <row r="328" spans="1:2" hidden="1">
      <c r="A328">
        <f>'Production Plan'!B257</f>
        <v>0</v>
      </c>
      <c r="B328" s="3" t="e">
        <f>VLOOKUP(A328,'Production Plan'!B:T,14,FALSE)</f>
        <v>#N/A</v>
      </c>
    </row>
    <row r="329" spans="1:2" hidden="1">
      <c r="A329">
        <f>'Production Plan'!B258</f>
        <v>0</v>
      </c>
      <c r="B329" s="3" t="e">
        <f>VLOOKUP(A329,'Production Plan'!B:T,14,FALSE)</f>
        <v>#N/A</v>
      </c>
    </row>
    <row r="330" spans="1:2" hidden="1">
      <c r="A330">
        <f>'Production Plan'!B259</f>
        <v>0</v>
      </c>
      <c r="B330" s="3" t="e">
        <f>VLOOKUP(A330,'Production Plan'!B:T,14,FALSE)</f>
        <v>#N/A</v>
      </c>
    </row>
    <row r="331" spans="1:2" hidden="1">
      <c r="A331">
        <f>'Production Plan'!B260</f>
        <v>0</v>
      </c>
      <c r="B331" s="3" t="e">
        <f>VLOOKUP(A331,'Production Plan'!B:T,14,FALSE)</f>
        <v>#N/A</v>
      </c>
    </row>
    <row r="332" spans="1:2" hidden="1">
      <c r="A332">
        <f>'Production Plan'!B261</f>
        <v>0</v>
      </c>
      <c r="B332" s="3" t="e">
        <f>VLOOKUP(A332,'Production Plan'!B:T,14,FALSE)</f>
        <v>#N/A</v>
      </c>
    </row>
    <row r="333" spans="1:2" hidden="1">
      <c r="A333">
        <f>'Production Plan'!B262</f>
        <v>0</v>
      </c>
      <c r="B333" s="3" t="e">
        <f>VLOOKUP(A333,'Production Plan'!B:T,14,FALSE)</f>
        <v>#N/A</v>
      </c>
    </row>
    <row r="334" spans="1:2" hidden="1">
      <c r="A334">
        <f>'Production Plan'!B263</f>
        <v>0</v>
      </c>
      <c r="B334" s="3" t="e">
        <f>VLOOKUP(A334,'Production Plan'!B:T,14,FALSE)</f>
        <v>#N/A</v>
      </c>
    </row>
    <row r="335" spans="1:2" hidden="1">
      <c r="A335">
        <f>'Production Plan'!B264</f>
        <v>0</v>
      </c>
      <c r="B335" s="3" t="e">
        <f>VLOOKUP(A335,'Production Plan'!B:T,14,FALSE)</f>
        <v>#N/A</v>
      </c>
    </row>
    <row r="336" spans="1:2" hidden="1">
      <c r="A336">
        <f>'Production Plan'!B265</f>
        <v>0</v>
      </c>
      <c r="B336" s="3" t="e">
        <f>VLOOKUP(A336,'Production Plan'!B:T,14,FALSE)</f>
        <v>#N/A</v>
      </c>
    </row>
    <row r="337" spans="1:2" hidden="1">
      <c r="A337">
        <f>'Production Plan'!B266</f>
        <v>0</v>
      </c>
      <c r="B337" s="3" t="e">
        <f>VLOOKUP(A337,'Production Plan'!B:T,14,FALSE)</f>
        <v>#N/A</v>
      </c>
    </row>
    <row r="338" spans="1:2" hidden="1">
      <c r="A338">
        <f>'Production Plan'!B267</f>
        <v>0</v>
      </c>
      <c r="B338" s="3" t="e">
        <f>VLOOKUP(A338,'Production Plan'!B:T,14,FALSE)</f>
        <v>#N/A</v>
      </c>
    </row>
    <row r="339" spans="1:2" hidden="1">
      <c r="A339">
        <f>'Production Plan'!B268</f>
        <v>0</v>
      </c>
      <c r="B339" s="3" t="e">
        <f>VLOOKUP(A339,'Production Plan'!B:T,14,FALSE)</f>
        <v>#N/A</v>
      </c>
    </row>
    <row r="340" spans="1:2" hidden="1">
      <c r="A340">
        <f>'Production Plan'!B269</f>
        <v>0</v>
      </c>
      <c r="B340" s="3" t="e">
        <f>VLOOKUP(A340,'Production Plan'!B:T,14,FALSE)</f>
        <v>#N/A</v>
      </c>
    </row>
    <row r="341" spans="1:2" hidden="1">
      <c r="A341">
        <f>'Production Plan'!B270</f>
        <v>0</v>
      </c>
      <c r="B341" s="3" t="e">
        <f>VLOOKUP(A341,'Production Plan'!B:T,14,FALSE)</f>
        <v>#N/A</v>
      </c>
    </row>
    <row r="342" spans="1:2" hidden="1">
      <c r="A342">
        <f>'Production Plan'!B271</f>
        <v>0</v>
      </c>
      <c r="B342" s="3" t="e">
        <f>VLOOKUP(A342,'Production Plan'!B:T,14,FALSE)</f>
        <v>#N/A</v>
      </c>
    </row>
    <row r="343" spans="1:2" hidden="1">
      <c r="A343">
        <f>'Production Plan'!B272</f>
        <v>0</v>
      </c>
      <c r="B343" s="3" t="e">
        <f>VLOOKUP(A343,'Production Plan'!B:T,14,FALSE)</f>
        <v>#N/A</v>
      </c>
    </row>
    <row r="344" spans="1:2" hidden="1">
      <c r="A344">
        <f>'Production Plan'!B273</f>
        <v>0</v>
      </c>
      <c r="B344" s="3" t="e">
        <f>VLOOKUP(A344,'Production Plan'!B:T,14,FALSE)</f>
        <v>#N/A</v>
      </c>
    </row>
    <row r="345" spans="1:2" hidden="1">
      <c r="A345">
        <f>'Production Plan'!B274</f>
        <v>0</v>
      </c>
      <c r="B345" s="3" t="e">
        <f>VLOOKUP(A345,'Production Plan'!B:T,14,FALSE)</f>
        <v>#N/A</v>
      </c>
    </row>
    <row r="346" spans="1:2" hidden="1">
      <c r="A346">
        <f>'Production Plan'!B275</f>
        <v>0</v>
      </c>
      <c r="B346" s="3" t="e">
        <f>VLOOKUP(A346,'Production Plan'!B:T,14,FALSE)</f>
        <v>#N/A</v>
      </c>
    </row>
    <row r="347" spans="1:2" hidden="1">
      <c r="A347">
        <f>'Production Plan'!B276</f>
        <v>0</v>
      </c>
      <c r="B347" s="3" t="e">
        <f>VLOOKUP(A347,'Production Plan'!B:T,14,FALSE)</f>
        <v>#N/A</v>
      </c>
    </row>
    <row r="348" spans="1:2" hidden="1">
      <c r="A348">
        <f>'Production Plan'!B277</f>
        <v>0</v>
      </c>
      <c r="B348" s="3" t="e">
        <f>VLOOKUP(A348,'Production Plan'!B:T,14,FALSE)</f>
        <v>#N/A</v>
      </c>
    </row>
    <row r="349" spans="1:2" hidden="1">
      <c r="A349">
        <f>'Production Plan'!B278</f>
        <v>0</v>
      </c>
      <c r="B349" s="3" t="e">
        <f>VLOOKUP(A349,'Production Plan'!B:T,14,FALSE)</f>
        <v>#N/A</v>
      </c>
    </row>
    <row r="350" spans="1:2" hidden="1">
      <c r="A350">
        <f>'Production Plan'!B279</f>
        <v>0</v>
      </c>
      <c r="B350" s="3" t="e">
        <f>VLOOKUP(A350,'Production Plan'!B:T,14,FALSE)</f>
        <v>#N/A</v>
      </c>
    </row>
    <row r="351" spans="1:2" hidden="1">
      <c r="A351">
        <f>'Production Plan'!B280</f>
        <v>0</v>
      </c>
      <c r="B351" s="3" t="e">
        <f>VLOOKUP(A351,'Production Plan'!B:T,14,FALSE)</f>
        <v>#N/A</v>
      </c>
    </row>
    <row r="352" spans="1:2" hidden="1">
      <c r="A352">
        <f>'Production Plan'!B281</f>
        <v>0</v>
      </c>
      <c r="B352" s="3" t="e">
        <f>VLOOKUP(A352,'Production Plan'!B:T,14,FALSE)</f>
        <v>#N/A</v>
      </c>
    </row>
    <row r="353" spans="1:2" hidden="1">
      <c r="A353">
        <f>'Production Plan'!B282</f>
        <v>0</v>
      </c>
      <c r="B353" s="3" t="e">
        <f>VLOOKUP(A353,'Production Plan'!B:T,14,FALSE)</f>
        <v>#N/A</v>
      </c>
    </row>
    <row r="354" spans="1:2" hidden="1">
      <c r="A354">
        <f>'Production Plan'!B283</f>
        <v>0</v>
      </c>
      <c r="B354" s="3" t="e">
        <f>VLOOKUP(A354,'Production Plan'!B:T,14,FALSE)</f>
        <v>#N/A</v>
      </c>
    </row>
    <row r="355" spans="1:2" hidden="1">
      <c r="A355">
        <f>'Production Plan'!B284</f>
        <v>0</v>
      </c>
      <c r="B355" s="3" t="e">
        <f>VLOOKUP(A355,'Production Plan'!B:T,14,FALSE)</f>
        <v>#N/A</v>
      </c>
    </row>
    <row r="356" spans="1:2" hidden="1">
      <c r="A356">
        <f>'Production Plan'!B285</f>
        <v>0</v>
      </c>
      <c r="B356" s="3" t="e">
        <f>VLOOKUP(A356,'Production Plan'!B:T,14,FALSE)</f>
        <v>#N/A</v>
      </c>
    </row>
    <row r="357" spans="1:2" hidden="1">
      <c r="A357">
        <f>'Production Plan'!B286</f>
        <v>0</v>
      </c>
      <c r="B357" s="3" t="e">
        <f>VLOOKUP(A357,'Production Plan'!B:T,14,FALSE)</f>
        <v>#N/A</v>
      </c>
    </row>
    <row r="358" spans="1:2" hidden="1">
      <c r="A358">
        <f>'Production Plan'!B287</f>
        <v>0</v>
      </c>
      <c r="B358" s="3" t="e">
        <f>VLOOKUP(A358,'Production Plan'!B:T,14,FALSE)</f>
        <v>#N/A</v>
      </c>
    </row>
    <row r="359" spans="1:2" hidden="1">
      <c r="A359">
        <f>'Production Plan'!B288</f>
        <v>0</v>
      </c>
      <c r="B359" s="3" t="e">
        <f>VLOOKUP(A359,'Production Plan'!B:T,14,FALSE)</f>
        <v>#N/A</v>
      </c>
    </row>
    <row r="360" spans="1:2" hidden="1">
      <c r="A360">
        <f>'Production Plan'!B289</f>
        <v>0</v>
      </c>
      <c r="B360" s="3" t="e">
        <f>VLOOKUP(A360,'Production Plan'!B:T,14,FALSE)</f>
        <v>#N/A</v>
      </c>
    </row>
    <row r="361" spans="1:2" hidden="1">
      <c r="A361">
        <f>'Production Plan'!B290</f>
        <v>0</v>
      </c>
      <c r="B361" s="3" t="e">
        <f>VLOOKUP(A361,'Production Plan'!B:T,14,FALSE)</f>
        <v>#N/A</v>
      </c>
    </row>
    <row r="362" spans="1:2" hidden="1">
      <c r="A362">
        <f>'Production Plan'!B291</f>
        <v>0</v>
      </c>
      <c r="B362" s="3" t="e">
        <f>VLOOKUP(A362,'Production Plan'!B:T,14,FALSE)</f>
        <v>#N/A</v>
      </c>
    </row>
    <row r="363" spans="1:2" hidden="1">
      <c r="A363">
        <f>'Production Plan'!B292</f>
        <v>0</v>
      </c>
      <c r="B363" s="3" t="e">
        <f>VLOOKUP(A363,'Production Plan'!B:T,14,FALSE)</f>
        <v>#N/A</v>
      </c>
    </row>
    <row r="364" spans="1:2" hidden="1">
      <c r="A364">
        <f>'Production Plan'!B293</f>
        <v>0</v>
      </c>
      <c r="B364" s="3" t="e">
        <f>VLOOKUP(A364,'Production Plan'!B:T,14,FALSE)</f>
        <v>#N/A</v>
      </c>
    </row>
    <row r="365" spans="1:2" hidden="1">
      <c r="A365">
        <f>'Production Plan'!B294</f>
        <v>0</v>
      </c>
      <c r="B365" s="3" t="e">
        <f>VLOOKUP(A365,'Production Plan'!B:T,14,FALSE)</f>
        <v>#N/A</v>
      </c>
    </row>
    <row r="366" spans="1:2" hidden="1">
      <c r="A366">
        <f>'Production Plan'!B295</f>
        <v>0</v>
      </c>
      <c r="B366" s="3" t="e">
        <f>VLOOKUP(A366,'Production Plan'!B:T,14,FALSE)</f>
        <v>#N/A</v>
      </c>
    </row>
    <row r="367" spans="1:2" hidden="1">
      <c r="A367">
        <f>'Production Plan'!B296</f>
        <v>0</v>
      </c>
      <c r="B367" s="3" t="e">
        <f>VLOOKUP(A367,'Production Plan'!B:T,14,FALSE)</f>
        <v>#N/A</v>
      </c>
    </row>
    <row r="368" spans="1:2" hidden="1">
      <c r="A368">
        <f>'Production Plan'!B297</f>
        <v>0</v>
      </c>
      <c r="B368" s="3" t="e">
        <f>VLOOKUP(A368,'Production Plan'!B:T,14,FALSE)</f>
        <v>#N/A</v>
      </c>
    </row>
    <row r="369" spans="1:2" hidden="1">
      <c r="A369">
        <f>'Production Plan'!B298</f>
        <v>0</v>
      </c>
      <c r="B369" s="3" t="e">
        <f>VLOOKUP(A369,'Production Plan'!B:T,14,FALSE)</f>
        <v>#N/A</v>
      </c>
    </row>
    <row r="370" spans="1:2" hidden="1">
      <c r="A370">
        <f>'Production Plan'!B299</f>
        <v>0</v>
      </c>
      <c r="B370" s="3" t="e">
        <f>VLOOKUP(A370,'Production Plan'!B:T,14,FALSE)</f>
        <v>#N/A</v>
      </c>
    </row>
    <row r="371" spans="1:2" hidden="1">
      <c r="A371">
        <f>'Production Plan'!B300</f>
        <v>0</v>
      </c>
      <c r="B371" s="3" t="e">
        <f>VLOOKUP(A371,'Production Plan'!B:T,14,FALSE)</f>
        <v>#N/A</v>
      </c>
    </row>
    <row r="372" spans="1:2" hidden="1">
      <c r="A372">
        <f>'Production Plan'!B301</f>
        <v>0</v>
      </c>
      <c r="B372" s="3" t="e">
        <f>VLOOKUP(A372,'Production Plan'!B:T,14,FALSE)</f>
        <v>#N/A</v>
      </c>
    </row>
    <row r="373" spans="1:2" hidden="1">
      <c r="A373">
        <f>'Production Plan'!B302</f>
        <v>0</v>
      </c>
      <c r="B373" s="3" t="e">
        <f>VLOOKUP(A373,'Production Plan'!B:T,14,FALSE)</f>
        <v>#N/A</v>
      </c>
    </row>
    <row r="374" spans="1:2" hidden="1">
      <c r="A374">
        <f>'Production Plan'!B303</f>
        <v>0</v>
      </c>
      <c r="B374" s="3" t="e">
        <f>VLOOKUP(A374,'Production Plan'!B:T,14,FALSE)</f>
        <v>#N/A</v>
      </c>
    </row>
    <row r="375" spans="1:2" hidden="1">
      <c r="A375">
        <f>'Production Plan'!B304</f>
        <v>0</v>
      </c>
      <c r="B375" s="3" t="e">
        <f>VLOOKUP(A375,'Production Plan'!B:T,14,FALSE)</f>
        <v>#N/A</v>
      </c>
    </row>
    <row r="376" spans="1:2" hidden="1">
      <c r="A376">
        <f>'Production Plan'!B305</f>
        <v>0</v>
      </c>
      <c r="B376" s="3" t="e">
        <f>VLOOKUP(A376,'Production Plan'!B:T,14,FALSE)</f>
        <v>#N/A</v>
      </c>
    </row>
    <row r="377" spans="1:2" hidden="1">
      <c r="A377">
        <f>'Production Plan'!B306</f>
        <v>0</v>
      </c>
      <c r="B377" s="3" t="e">
        <f>VLOOKUP(A377,'Production Plan'!B:T,14,FALSE)</f>
        <v>#N/A</v>
      </c>
    </row>
    <row r="378" spans="1:2" hidden="1">
      <c r="A378">
        <f>'Production Plan'!B307</f>
        <v>0</v>
      </c>
      <c r="B378" s="3" t="e">
        <f>VLOOKUP(A378,'Production Plan'!B:T,14,FALSE)</f>
        <v>#N/A</v>
      </c>
    </row>
    <row r="379" spans="1:2" hidden="1">
      <c r="A379">
        <f>'Production Plan'!B308</f>
        <v>0</v>
      </c>
      <c r="B379" s="3" t="e">
        <f>VLOOKUP(A379,'Production Plan'!B:T,14,FALSE)</f>
        <v>#N/A</v>
      </c>
    </row>
    <row r="380" spans="1:2" hidden="1">
      <c r="A380">
        <f>'Production Plan'!B309</f>
        <v>0</v>
      </c>
      <c r="B380" s="3" t="e">
        <f>VLOOKUP(A380,'Production Plan'!B:T,14,FALSE)</f>
        <v>#N/A</v>
      </c>
    </row>
    <row r="381" spans="1:2" hidden="1">
      <c r="A381">
        <f>'Production Plan'!B310</f>
        <v>0</v>
      </c>
      <c r="B381" s="3" t="e">
        <f>VLOOKUP(A381,'Production Plan'!B:T,14,FALSE)</f>
        <v>#N/A</v>
      </c>
    </row>
    <row r="382" spans="1:2" hidden="1">
      <c r="A382">
        <f>'Production Plan'!B311</f>
        <v>0</v>
      </c>
      <c r="B382" s="3" t="e">
        <f>VLOOKUP(A382,'Production Plan'!B:T,14,FALSE)</f>
        <v>#N/A</v>
      </c>
    </row>
    <row r="383" spans="1:2" hidden="1">
      <c r="A383">
        <f>'Production Plan'!B312</f>
        <v>0</v>
      </c>
      <c r="B383" s="3" t="e">
        <f>VLOOKUP(A383,'Production Plan'!B:T,14,FALSE)</f>
        <v>#N/A</v>
      </c>
    </row>
    <row r="384" spans="1:2" hidden="1">
      <c r="A384">
        <f>'Production Plan'!B313</f>
        <v>0</v>
      </c>
      <c r="B384" s="3" t="e">
        <f>VLOOKUP(A384,'Production Plan'!B:T,14,FALSE)</f>
        <v>#N/A</v>
      </c>
    </row>
    <row r="385" spans="1:2" hidden="1">
      <c r="A385">
        <f>'Production Plan'!B314</f>
        <v>0</v>
      </c>
      <c r="B385" s="3" t="e">
        <f>VLOOKUP(A385,'Production Plan'!B:T,14,FALSE)</f>
        <v>#N/A</v>
      </c>
    </row>
    <row r="386" spans="1:2" hidden="1">
      <c r="A386">
        <f>'Production Plan'!B315</f>
        <v>0</v>
      </c>
      <c r="B386" s="3" t="e">
        <f>VLOOKUP(A386,'Production Plan'!B:T,14,FALSE)</f>
        <v>#N/A</v>
      </c>
    </row>
    <row r="387" spans="1:2" hidden="1">
      <c r="A387">
        <f>'Production Plan'!B316</f>
        <v>0</v>
      </c>
      <c r="B387" s="3" t="e">
        <f>VLOOKUP(A387,'Production Plan'!B:T,14,FALSE)</f>
        <v>#N/A</v>
      </c>
    </row>
    <row r="388" spans="1:2" hidden="1">
      <c r="A388">
        <f>'Production Plan'!B317</f>
        <v>0</v>
      </c>
      <c r="B388" s="3" t="e">
        <f>VLOOKUP(A388,'Production Plan'!B:T,14,FALSE)</f>
        <v>#N/A</v>
      </c>
    </row>
    <row r="389" spans="1:2" hidden="1">
      <c r="A389">
        <f>'Production Plan'!B318</f>
        <v>0</v>
      </c>
      <c r="B389" s="3" t="e">
        <f>VLOOKUP(A389,'Production Plan'!B:T,14,FALSE)</f>
        <v>#N/A</v>
      </c>
    </row>
    <row r="390" spans="1:2" hidden="1">
      <c r="A390">
        <f>'Production Plan'!B319</f>
        <v>0</v>
      </c>
      <c r="B390" s="3" t="e">
        <f>VLOOKUP(A390,'Production Plan'!B:T,14,FALSE)</f>
        <v>#N/A</v>
      </c>
    </row>
    <row r="391" spans="1:2" hidden="1">
      <c r="A391">
        <f>'Production Plan'!B320</f>
        <v>0</v>
      </c>
      <c r="B391" s="3" t="e">
        <f>VLOOKUP(A391,'Production Plan'!B:T,14,FALSE)</f>
        <v>#N/A</v>
      </c>
    </row>
    <row r="392" spans="1:2" hidden="1">
      <c r="A392">
        <f>'Production Plan'!B321</f>
        <v>0</v>
      </c>
      <c r="B392" s="3" t="e">
        <f>VLOOKUP(A392,'Production Plan'!B:T,14,FALSE)</f>
        <v>#N/A</v>
      </c>
    </row>
    <row r="393" spans="1:2" hidden="1">
      <c r="A393">
        <f>'Production Plan'!B322</f>
        <v>0</v>
      </c>
      <c r="B393" s="3" t="e">
        <f>VLOOKUP(A393,'Production Plan'!B:T,14,FALSE)</f>
        <v>#N/A</v>
      </c>
    </row>
    <row r="394" spans="1:2" hidden="1">
      <c r="A394">
        <f>'Production Plan'!B323</f>
        <v>0</v>
      </c>
      <c r="B394" s="3" t="e">
        <f>VLOOKUP(A394,'Production Plan'!B:T,14,FALSE)</f>
        <v>#N/A</v>
      </c>
    </row>
    <row r="395" spans="1:2" hidden="1">
      <c r="A395">
        <f>'Production Plan'!B324</f>
        <v>0</v>
      </c>
      <c r="B395" s="3" t="e">
        <f>VLOOKUP(A395,'Production Plan'!B:T,14,FALSE)</f>
        <v>#N/A</v>
      </c>
    </row>
    <row r="396" spans="1:2" hidden="1">
      <c r="A396">
        <f>'Production Plan'!B325</f>
        <v>0</v>
      </c>
      <c r="B396" s="3" t="e">
        <f>VLOOKUP(A396,'Production Plan'!B:T,14,FALSE)</f>
        <v>#N/A</v>
      </c>
    </row>
    <row r="397" spans="1:2" hidden="1">
      <c r="A397">
        <f>'Production Plan'!B326</f>
        <v>0</v>
      </c>
      <c r="B397" s="3" t="e">
        <f>VLOOKUP(A397,'Production Plan'!B:T,14,FALSE)</f>
        <v>#N/A</v>
      </c>
    </row>
    <row r="398" spans="1:2" hidden="1">
      <c r="A398">
        <f>'Production Plan'!B327</f>
        <v>0</v>
      </c>
      <c r="B398" s="3" t="e">
        <f>VLOOKUP(A398,'Production Plan'!B:T,14,FALSE)</f>
        <v>#N/A</v>
      </c>
    </row>
    <row r="399" spans="1:2" hidden="1">
      <c r="A399">
        <f>'Production Plan'!B328</f>
        <v>0</v>
      </c>
      <c r="B399" s="3" t="e">
        <f>VLOOKUP(A399,'Production Plan'!B:T,14,FALSE)</f>
        <v>#N/A</v>
      </c>
    </row>
    <row r="400" spans="1:2" hidden="1">
      <c r="A400">
        <f>'Production Plan'!B329</f>
        <v>0</v>
      </c>
      <c r="B400" s="3" t="e">
        <f>VLOOKUP(A400,'Production Plan'!B:T,14,FALSE)</f>
        <v>#N/A</v>
      </c>
    </row>
    <row r="401" spans="1:2" hidden="1">
      <c r="A401">
        <f>'Production Plan'!B330</f>
        <v>0</v>
      </c>
      <c r="B401" s="3" t="e">
        <f>VLOOKUP(A401,'Production Plan'!B:T,14,FALSE)</f>
        <v>#N/A</v>
      </c>
    </row>
    <row r="402" spans="1:2" hidden="1">
      <c r="A402">
        <f>'Production Plan'!B331</f>
        <v>0</v>
      </c>
      <c r="B402" s="3" t="e">
        <f>VLOOKUP(A402,'Production Plan'!B:T,14,FALSE)</f>
        <v>#N/A</v>
      </c>
    </row>
    <row r="403" spans="1:2" hidden="1">
      <c r="A403">
        <f>'Production Plan'!B332</f>
        <v>0</v>
      </c>
      <c r="B403" s="3" t="e">
        <f>VLOOKUP(A403,'Production Plan'!B:T,14,FALSE)</f>
        <v>#N/A</v>
      </c>
    </row>
    <row r="404" spans="1:2" hidden="1">
      <c r="A404">
        <f>'Production Plan'!B333</f>
        <v>0</v>
      </c>
      <c r="B404" s="3" t="e">
        <f>VLOOKUP(A404,'Production Plan'!B:T,14,FALSE)</f>
        <v>#N/A</v>
      </c>
    </row>
    <row r="405" spans="1:2" hidden="1">
      <c r="A405">
        <f>'Production Plan'!B334</f>
        <v>0</v>
      </c>
      <c r="B405" s="3" t="e">
        <f>VLOOKUP(A405,'Production Plan'!B:T,14,FALSE)</f>
        <v>#N/A</v>
      </c>
    </row>
    <row r="406" spans="1:2" hidden="1">
      <c r="A406">
        <f>'Production Plan'!B335</f>
        <v>0</v>
      </c>
      <c r="B406" s="3" t="e">
        <f>VLOOKUP(A406,'Production Plan'!B:T,14,FALSE)</f>
        <v>#N/A</v>
      </c>
    </row>
    <row r="407" spans="1:2" hidden="1">
      <c r="A407">
        <f>'Production Plan'!B336</f>
        <v>0</v>
      </c>
      <c r="B407" s="3" t="e">
        <f>VLOOKUP(A407,'Production Plan'!B:T,14,FALSE)</f>
        <v>#N/A</v>
      </c>
    </row>
    <row r="408" spans="1:2" hidden="1">
      <c r="A408">
        <f>'Production Plan'!B337</f>
        <v>0</v>
      </c>
      <c r="B408" s="3" t="e">
        <f>VLOOKUP(A408,'Production Plan'!B:T,14,FALSE)</f>
        <v>#N/A</v>
      </c>
    </row>
    <row r="409" spans="1:2" hidden="1">
      <c r="A409">
        <f>'Production Plan'!B338</f>
        <v>0</v>
      </c>
      <c r="B409" s="3" t="e">
        <f>VLOOKUP(A409,'Production Plan'!B:T,14,FALSE)</f>
        <v>#N/A</v>
      </c>
    </row>
    <row r="410" spans="1:2" hidden="1">
      <c r="A410">
        <f>'Production Plan'!B339</f>
        <v>0</v>
      </c>
      <c r="B410" s="3" t="e">
        <f>VLOOKUP(A410,'Production Plan'!B:T,14,FALSE)</f>
        <v>#N/A</v>
      </c>
    </row>
    <row r="411" spans="1:2" hidden="1">
      <c r="A411">
        <f>'Production Plan'!B340</f>
        <v>0</v>
      </c>
      <c r="B411" s="3" t="e">
        <f>VLOOKUP(A411,'Production Plan'!B:T,14,FALSE)</f>
        <v>#N/A</v>
      </c>
    </row>
    <row r="412" spans="1:2" hidden="1">
      <c r="A412">
        <f>'Production Plan'!B341</f>
        <v>0</v>
      </c>
      <c r="B412" s="3" t="e">
        <f>VLOOKUP(A412,'Production Plan'!B:T,14,FALSE)</f>
        <v>#N/A</v>
      </c>
    </row>
    <row r="413" spans="1:2" hidden="1">
      <c r="A413">
        <f>'Production Plan'!B342</f>
        <v>0</v>
      </c>
      <c r="B413" s="3" t="e">
        <f>VLOOKUP(A413,'Production Plan'!B:T,14,FALSE)</f>
        <v>#N/A</v>
      </c>
    </row>
    <row r="414" spans="1:2" hidden="1">
      <c r="A414">
        <f>'Production Plan'!B343</f>
        <v>0</v>
      </c>
      <c r="B414" s="3" t="e">
        <f>VLOOKUP(A414,'Production Plan'!B:T,14,FALSE)</f>
        <v>#N/A</v>
      </c>
    </row>
    <row r="415" spans="1:2" hidden="1">
      <c r="A415">
        <f>'Production Plan'!B344</f>
        <v>0</v>
      </c>
      <c r="B415" s="3" t="e">
        <f>VLOOKUP(A415,'Production Plan'!B:T,14,FALSE)</f>
        <v>#N/A</v>
      </c>
    </row>
    <row r="416" spans="1:2" hidden="1">
      <c r="A416">
        <f>'Production Plan'!B345</f>
        <v>0</v>
      </c>
      <c r="B416" s="3" t="e">
        <f>VLOOKUP(A416,'Production Plan'!B:T,14,FALSE)</f>
        <v>#N/A</v>
      </c>
    </row>
    <row r="417" spans="1:2" hidden="1">
      <c r="A417">
        <f>'Production Plan'!B346</f>
        <v>0</v>
      </c>
      <c r="B417" s="3" t="e">
        <f>VLOOKUP(A417,'Production Plan'!B:T,14,FALSE)</f>
        <v>#N/A</v>
      </c>
    </row>
    <row r="418" spans="1:2" hidden="1">
      <c r="A418">
        <f>'Production Plan'!B347</f>
        <v>0</v>
      </c>
      <c r="B418" s="3" t="e">
        <f>VLOOKUP(A418,'Production Plan'!B:T,14,FALSE)</f>
        <v>#N/A</v>
      </c>
    </row>
    <row r="419" spans="1:2" hidden="1">
      <c r="A419">
        <f>'Production Plan'!B348</f>
        <v>0</v>
      </c>
      <c r="B419" s="3" t="e">
        <f>VLOOKUP(A419,'Production Plan'!B:T,14,FALSE)</f>
        <v>#N/A</v>
      </c>
    </row>
    <row r="420" spans="1:2" hidden="1">
      <c r="A420">
        <f>'Production Plan'!B349</f>
        <v>0</v>
      </c>
      <c r="B420" s="3" t="e">
        <f>VLOOKUP(A420,'Production Plan'!B:T,14,FALSE)</f>
        <v>#N/A</v>
      </c>
    </row>
    <row r="421" spans="1:2" hidden="1">
      <c r="A421">
        <f>'Production Plan'!B350</f>
        <v>0</v>
      </c>
      <c r="B421" s="3" t="e">
        <f>VLOOKUP(A421,'Production Plan'!B:T,14,FALSE)</f>
        <v>#N/A</v>
      </c>
    </row>
    <row r="422" spans="1:2" hidden="1">
      <c r="A422">
        <f>'Production Plan'!B351</f>
        <v>0</v>
      </c>
      <c r="B422" s="3" t="e">
        <f>VLOOKUP(A422,'Production Plan'!B:T,14,FALSE)</f>
        <v>#N/A</v>
      </c>
    </row>
    <row r="423" spans="1:2" hidden="1">
      <c r="A423">
        <f>'Production Plan'!B352</f>
        <v>0</v>
      </c>
      <c r="B423" s="3" t="e">
        <f>VLOOKUP(A423,'Production Plan'!B:T,14,FALSE)</f>
        <v>#N/A</v>
      </c>
    </row>
    <row r="424" spans="1:2" hidden="1">
      <c r="A424">
        <f>'Production Plan'!B353</f>
        <v>0</v>
      </c>
      <c r="B424" s="3" t="e">
        <f>VLOOKUP(A424,'Production Plan'!B:T,14,FALSE)</f>
        <v>#N/A</v>
      </c>
    </row>
    <row r="425" spans="1:2" hidden="1">
      <c r="A425">
        <f>'Production Plan'!B354</f>
        <v>0</v>
      </c>
      <c r="B425" s="3" t="e">
        <f>VLOOKUP(A425,'Production Plan'!B:T,14,FALSE)</f>
        <v>#N/A</v>
      </c>
    </row>
    <row r="426" spans="1:2" hidden="1">
      <c r="A426">
        <f>'Production Plan'!B355</f>
        <v>0</v>
      </c>
      <c r="B426" s="3" t="e">
        <f>VLOOKUP(A426,'Production Plan'!B:T,14,FALSE)</f>
        <v>#N/A</v>
      </c>
    </row>
    <row r="427" spans="1:2" hidden="1">
      <c r="A427">
        <f>'Production Plan'!B356</f>
        <v>0</v>
      </c>
      <c r="B427" s="3" t="e">
        <f>VLOOKUP(A427,'Production Plan'!B:T,14,FALSE)</f>
        <v>#N/A</v>
      </c>
    </row>
    <row r="428" spans="1:2" hidden="1">
      <c r="A428">
        <f>'Production Plan'!B357</f>
        <v>0</v>
      </c>
      <c r="B428" s="3" t="e">
        <f>VLOOKUP(A428,'Production Plan'!B:T,14,FALSE)</f>
        <v>#N/A</v>
      </c>
    </row>
    <row r="429" spans="1:2" hidden="1">
      <c r="A429">
        <f>'Production Plan'!B358</f>
        <v>0</v>
      </c>
      <c r="B429" s="3" t="e">
        <f>VLOOKUP(A429,'Production Plan'!B:T,14,FALSE)</f>
        <v>#N/A</v>
      </c>
    </row>
    <row r="430" spans="1:2" hidden="1">
      <c r="A430">
        <f>'Production Plan'!B359</f>
        <v>0</v>
      </c>
      <c r="B430" s="3" t="e">
        <f>VLOOKUP(A430,'Production Plan'!B:T,14,FALSE)</f>
        <v>#N/A</v>
      </c>
    </row>
    <row r="431" spans="1:2" hidden="1">
      <c r="A431">
        <f>'Production Plan'!B360</f>
        <v>0</v>
      </c>
      <c r="B431" s="3" t="e">
        <f>VLOOKUP(A431,'Production Plan'!B:T,14,FALSE)</f>
        <v>#N/A</v>
      </c>
    </row>
    <row r="432" spans="1:2" hidden="1">
      <c r="A432">
        <f>'Production Plan'!B361</f>
        <v>0</v>
      </c>
      <c r="B432" s="3" t="e">
        <f>VLOOKUP(A432,'Production Plan'!B:T,14,FALSE)</f>
        <v>#N/A</v>
      </c>
    </row>
    <row r="433" spans="1:2" hidden="1">
      <c r="A433">
        <f>'Production Plan'!B362</f>
        <v>0</v>
      </c>
      <c r="B433" s="3" t="e">
        <f>VLOOKUP(A433,'Production Plan'!B:T,14,FALSE)</f>
        <v>#N/A</v>
      </c>
    </row>
    <row r="434" spans="1:2" hidden="1">
      <c r="A434">
        <f>'Production Plan'!B363</f>
        <v>0</v>
      </c>
      <c r="B434" s="3" t="e">
        <f>VLOOKUP(A434,'Production Plan'!B:T,14,FALSE)</f>
        <v>#N/A</v>
      </c>
    </row>
    <row r="435" spans="1:2" hidden="1">
      <c r="A435">
        <f>'Production Plan'!B364</f>
        <v>0</v>
      </c>
      <c r="B435" s="3" t="e">
        <f>VLOOKUP(A435,'Production Plan'!B:T,14,FALSE)</f>
        <v>#N/A</v>
      </c>
    </row>
    <row r="436" spans="1:2" hidden="1">
      <c r="A436">
        <f>'Production Plan'!B365</f>
        <v>0</v>
      </c>
      <c r="B436" s="3" t="e">
        <f>VLOOKUP(A436,'Production Plan'!B:T,14,FALSE)</f>
        <v>#N/A</v>
      </c>
    </row>
    <row r="437" spans="1:2" hidden="1">
      <c r="A437">
        <f>'Production Plan'!B366</f>
        <v>0</v>
      </c>
      <c r="B437" s="3" t="e">
        <f>VLOOKUP(A437,'Production Plan'!B:T,14,FALSE)</f>
        <v>#N/A</v>
      </c>
    </row>
    <row r="438" spans="1:2" hidden="1">
      <c r="A438">
        <f>'Production Plan'!B367</f>
        <v>0</v>
      </c>
      <c r="B438" s="3" t="e">
        <f>VLOOKUP(A438,'Production Plan'!B:T,14,FALSE)</f>
        <v>#N/A</v>
      </c>
    </row>
    <row r="439" spans="1:2" hidden="1">
      <c r="A439">
        <f>'Production Plan'!B368</f>
        <v>0</v>
      </c>
      <c r="B439" s="3" t="e">
        <f>VLOOKUP(A439,'Production Plan'!B:T,14,FALSE)</f>
        <v>#N/A</v>
      </c>
    </row>
    <row r="440" spans="1:2" hidden="1">
      <c r="A440">
        <f>'Production Plan'!B369</f>
        <v>0</v>
      </c>
      <c r="B440" s="3" t="e">
        <f>VLOOKUP(A440,'Production Plan'!B:T,14,FALSE)</f>
        <v>#N/A</v>
      </c>
    </row>
    <row r="441" spans="1:2" hidden="1">
      <c r="A441">
        <f>'Production Plan'!B370</f>
        <v>0</v>
      </c>
      <c r="B441" s="3" t="e">
        <f>VLOOKUP(A441,'Production Plan'!B:T,14,FALSE)</f>
        <v>#N/A</v>
      </c>
    </row>
    <row r="442" spans="1:2" hidden="1">
      <c r="A442">
        <f>'Production Plan'!B371</f>
        <v>0</v>
      </c>
      <c r="B442" s="3" t="e">
        <f>VLOOKUP(A442,'Production Plan'!B:T,14,FALSE)</f>
        <v>#N/A</v>
      </c>
    </row>
    <row r="443" spans="1:2" hidden="1">
      <c r="A443">
        <f>'Production Plan'!B372</f>
        <v>0</v>
      </c>
      <c r="B443" s="3" t="e">
        <f>VLOOKUP(A443,'Production Plan'!B:T,14,FALSE)</f>
        <v>#N/A</v>
      </c>
    </row>
    <row r="444" spans="1:2" hidden="1">
      <c r="A444">
        <f>'Production Plan'!B373</f>
        <v>0</v>
      </c>
      <c r="B444" s="3" t="e">
        <f>VLOOKUP(A444,'Production Plan'!B:T,14,FALSE)</f>
        <v>#N/A</v>
      </c>
    </row>
    <row r="445" spans="1:2" hidden="1">
      <c r="A445">
        <f>'Production Plan'!B374</f>
        <v>0</v>
      </c>
      <c r="B445" s="3" t="e">
        <f>VLOOKUP(A445,'Production Plan'!B:T,14,FALSE)</f>
        <v>#N/A</v>
      </c>
    </row>
    <row r="446" spans="1:2" hidden="1">
      <c r="A446">
        <f>'Production Plan'!B375</f>
        <v>0</v>
      </c>
      <c r="B446" s="3" t="e">
        <f>VLOOKUP(A446,'Production Plan'!B:T,14,FALSE)</f>
        <v>#N/A</v>
      </c>
    </row>
    <row r="447" spans="1:2" hidden="1">
      <c r="A447">
        <f>'Production Plan'!B376</f>
        <v>0</v>
      </c>
      <c r="B447" s="3" t="e">
        <f>VLOOKUP(A447,'Production Plan'!B:T,14,FALSE)</f>
        <v>#N/A</v>
      </c>
    </row>
    <row r="448" spans="1:2" hidden="1">
      <c r="A448">
        <f>'Production Plan'!B377</f>
        <v>0</v>
      </c>
      <c r="B448" s="3" t="e">
        <f>VLOOKUP(A448,'Production Plan'!B:T,14,FALSE)</f>
        <v>#N/A</v>
      </c>
    </row>
    <row r="449" spans="1:2" hidden="1">
      <c r="A449">
        <f>'Production Plan'!B378</f>
        <v>0</v>
      </c>
      <c r="B449" s="3" t="e">
        <f>VLOOKUP(A449,'Production Plan'!B:T,14,FALSE)</f>
        <v>#N/A</v>
      </c>
    </row>
    <row r="450" spans="1:2" hidden="1">
      <c r="A450">
        <f>'Production Plan'!B379</f>
        <v>0</v>
      </c>
      <c r="B450" s="3" t="e">
        <f>VLOOKUP(A450,'Production Plan'!B:T,14,FALSE)</f>
        <v>#N/A</v>
      </c>
    </row>
    <row r="451" spans="1:2" hidden="1">
      <c r="A451">
        <f>'Production Plan'!B380</f>
        <v>0</v>
      </c>
      <c r="B451" s="3" t="e">
        <f>VLOOKUP(A451,'Production Plan'!B:T,14,FALSE)</f>
        <v>#N/A</v>
      </c>
    </row>
    <row r="452" spans="1:2" hidden="1">
      <c r="A452">
        <f>'Production Plan'!B381</f>
        <v>0</v>
      </c>
      <c r="B452" s="3" t="e">
        <f>VLOOKUP(A452,'Production Plan'!B:T,14,FALSE)</f>
        <v>#N/A</v>
      </c>
    </row>
    <row r="453" spans="1:2" hidden="1">
      <c r="A453">
        <f>'Production Plan'!B382</f>
        <v>0</v>
      </c>
      <c r="B453" s="3" t="e">
        <f>VLOOKUP(A453,'Production Plan'!B:T,14,FALSE)</f>
        <v>#N/A</v>
      </c>
    </row>
    <row r="454" spans="1:2" hidden="1">
      <c r="A454">
        <f>'Production Plan'!B383</f>
        <v>0</v>
      </c>
      <c r="B454" s="3" t="e">
        <f>VLOOKUP(A454,'Production Plan'!B:T,14,FALSE)</f>
        <v>#N/A</v>
      </c>
    </row>
    <row r="455" spans="1:2" hidden="1">
      <c r="A455">
        <f>'Production Plan'!B384</f>
        <v>0</v>
      </c>
      <c r="B455" s="3" t="e">
        <f>VLOOKUP(A455,'Production Plan'!B:T,14,FALSE)</f>
        <v>#N/A</v>
      </c>
    </row>
    <row r="456" spans="1:2" hidden="1">
      <c r="A456">
        <f>'Production Plan'!B385</f>
        <v>0</v>
      </c>
      <c r="B456" s="3" t="e">
        <f>VLOOKUP(A456,'Production Plan'!B:T,14,FALSE)</f>
        <v>#N/A</v>
      </c>
    </row>
    <row r="457" spans="1:2" hidden="1">
      <c r="A457">
        <f>'Production Plan'!B386</f>
        <v>0</v>
      </c>
      <c r="B457" s="3" t="e">
        <f>VLOOKUP(A457,'Production Plan'!B:T,14,FALSE)</f>
        <v>#N/A</v>
      </c>
    </row>
    <row r="458" spans="1:2" hidden="1">
      <c r="A458">
        <f>'Production Plan'!B387</f>
        <v>0</v>
      </c>
      <c r="B458" s="3" t="e">
        <f>VLOOKUP(A458,'Production Plan'!B:T,14,FALSE)</f>
        <v>#N/A</v>
      </c>
    </row>
    <row r="459" spans="1:2" hidden="1">
      <c r="A459">
        <f>'Production Plan'!B388</f>
        <v>0</v>
      </c>
      <c r="B459" s="3" t="e">
        <f>VLOOKUP(A459,'Production Plan'!B:T,14,FALSE)</f>
        <v>#N/A</v>
      </c>
    </row>
    <row r="460" spans="1:2" hidden="1">
      <c r="A460">
        <f>'Production Plan'!B389</f>
        <v>0</v>
      </c>
      <c r="B460" s="3" t="e">
        <f>VLOOKUP(A460,'Production Plan'!B:T,14,FALSE)</f>
        <v>#N/A</v>
      </c>
    </row>
    <row r="461" spans="1:2" hidden="1">
      <c r="A461">
        <f>'Production Plan'!B390</f>
        <v>0</v>
      </c>
      <c r="B461" s="3" t="e">
        <f>VLOOKUP(A461,'Production Plan'!B:T,14,FALSE)</f>
        <v>#N/A</v>
      </c>
    </row>
    <row r="462" spans="1:2" hidden="1">
      <c r="A462">
        <f>'Production Plan'!B391</f>
        <v>0</v>
      </c>
      <c r="B462" s="3" t="e">
        <f>VLOOKUP(A462,'Production Plan'!B:T,14,FALSE)</f>
        <v>#N/A</v>
      </c>
    </row>
    <row r="463" spans="1:2" hidden="1">
      <c r="A463">
        <f>'Production Plan'!B392</f>
        <v>0</v>
      </c>
      <c r="B463" s="3" t="e">
        <f>VLOOKUP(A463,'Production Plan'!B:T,14,FALSE)</f>
        <v>#N/A</v>
      </c>
    </row>
    <row r="464" spans="1:2" hidden="1">
      <c r="A464">
        <f>'Production Plan'!B393</f>
        <v>0</v>
      </c>
      <c r="B464" s="3" t="e">
        <f>VLOOKUP(A464,'Production Plan'!B:T,14,FALSE)</f>
        <v>#N/A</v>
      </c>
    </row>
    <row r="465" spans="1:2" hidden="1">
      <c r="A465">
        <f>'Production Plan'!B394</f>
        <v>0</v>
      </c>
      <c r="B465" s="3" t="e">
        <f>VLOOKUP(A465,'Production Plan'!B:T,14,FALSE)</f>
        <v>#N/A</v>
      </c>
    </row>
    <row r="466" spans="1:2" hidden="1">
      <c r="A466">
        <f>'Production Plan'!B395</f>
        <v>0</v>
      </c>
      <c r="B466" s="3" t="e">
        <f>VLOOKUP(A466,'Production Plan'!B:T,14,FALSE)</f>
        <v>#N/A</v>
      </c>
    </row>
    <row r="467" spans="1:2" hidden="1">
      <c r="A467">
        <f>'Production Plan'!B396</f>
        <v>0</v>
      </c>
      <c r="B467" s="3" t="e">
        <f>VLOOKUP(A467,'Production Plan'!B:T,14,FALSE)</f>
        <v>#N/A</v>
      </c>
    </row>
    <row r="468" spans="1:2" hidden="1">
      <c r="A468">
        <f>'Production Plan'!B397</f>
        <v>0</v>
      </c>
      <c r="B468" s="3" t="e">
        <f>VLOOKUP(A468,'Production Plan'!B:T,14,FALSE)</f>
        <v>#N/A</v>
      </c>
    </row>
    <row r="469" spans="1:2" hidden="1">
      <c r="A469">
        <f>'Production Plan'!B398</f>
        <v>0</v>
      </c>
      <c r="B469" s="3" t="e">
        <f>VLOOKUP(A469,'Production Plan'!B:T,14,FALSE)</f>
        <v>#N/A</v>
      </c>
    </row>
    <row r="470" spans="1:2" hidden="1">
      <c r="A470">
        <f>'Production Plan'!B399</f>
        <v>0</v>
      </c>
      <c r="B470" s="3" t="e">
        <f>VLOOKUP(A470,'Production Plan'!B:T,14,FALSE)</f>
        <v>#N/A</v>
      </c>
    </row>
    <row r="471" spans="1:2" hidden="1">
      <c r="A471">
        <f>'Production Plan'!B400</f>
        <v>0</v>
      </c>
      <c r="B471" s="3" t="e">
        <f>VLOOKUP(A471,'Production Plan'!B:T,14,FALSE)</f>
        <v>#N/A</v>
      </c>
    </row>
    <row r="472" spans="1:2" hidden="1">
      <c r="A472">
        <f>'Production Plan'!B401</f>
        <v>0</v>
      </c>
      <c r="B472" s="3" t="e">
        <f>VLOOKUP(A472,'Production Plan'!B:T,14,FALSE)</f>
        <v>#N/A</v>
      </c>
    </row>
    <row r="473" spans="1:2" hidden="1">
      <c r="A473">
        <f>'Production Plan'!B402</f>
        <v>0</v>
      </c>
      <c r="B473" s="3" t="e">
        <f>VLOOKUP(A473,'Production Plan'!B:T,14,FALSE)</f>
        <v>#N/A</v>
      </c>
    </row>
    <row r="474" spans="1:2" hidden="1">
      <c r="A474">
        <f>'Production Plan'!B403</f>
        <v>0</v>
      </c>
      <c r="B474" s="3" t="e">
        <f>VLOOKUP(A474,'Production Plan'!B:T,14,FALSE)</f>
        <v>#N/A</v>
      </c>
    </row>
    <row r="475" spans="1:2" hidden="1">
      <c r="A475">
        <f>'Production Plan'!B404</f>
        <v>0</v>
      </c>
      <c r="B475" s="3" t="e">
        <f>VLOOKUP(A475,'Production Plan'!B:T,14,FALSE)</f>
        <v>#N/A</v>
      </c>
    </row>
    <row r="476" spans="1:2" hidden="1">
      <c r="A476">
        <f>'Production Plan'!B405</f>
        <v>0</v>
      </c>
      <c r="B476" s="3" t="e">
        <f>VLOOKUP(A476,'Production Plan'!B:T,14,FALSE)</f>
        <v>#N/A</v>
      </c>
    </row>
    <row r="477" spans="1:2" hidden="1">
      <c r="A477">
        <f>'Production Plan'!B406</f>
        <v>0</v>
      </c>
      <c r="B477" s="3" t="e">
        <f>VLOOKUP(A477,'Production Plan'!B:T,14,FALSE)</f>
        <v>#N/A</v>
      </c>
    </row>
    <row r="478" spans="1:2" hidden="1">
      <c r="A478">
        <f>'Production Plan'!B407</f>
        <v>0</v>
      </c>
      <c r="B478" s="3" t="e">
        <f>VLOOKUP(A478,'Production Plan'!B:T,14,FALSE)</f>
        <v>#N/A</v>
      </c>
    </row>
    <row r="479" spans="1:2" hidden="1">
      <c r="A479">
        <f>'Production Plan'!B408</f>
        <v>0</v>
      </c>
      <c r="B479" s="3" t="e">
        <f>VLOOKUP(A479,'Production Plan'!B:T,14,FALSE)</f>
        <v>#N/A</v>
      </c>
    </row>
    <row r="480" spans="1:2" hidden="1">
      <c r="A480">
        <f>'Production Plan'!B409</f>
        <v>0</v>
      </c>
      <c r="B480" s="3" t="e">
        <f>VLOOKUP(A480,'Production Plan'!B:T,14,FALSE)</f>
        <v>#N/A</v>
      </c>
    </row>
    <row r="481" spans="1:2" hidden="1">
      <c r="A481">
        <f>'Production Plan'!B410</f>
        <v>0</v>
      </c>
      <c r="B481" s="3" t="e">
        <f>VLOOKUP(A481,'Production Plan'!B:T,14,FALSE)</f>
        <v>#N/A</v>
      </c>
    </row>
    <row r="482" spans="1:2" hidden="1">
      <c r="A482">
        <f>'Production Plan'!B411</f>
        <v>0</v>
      </c>
      <c r="B482" s="3" t="e">
        <f>VLOOKUP(A482,'Production Plan'!B:T,14,FALSE)</f>
        <v>#N/A</v>
      </c>
    </row>
    <row r="483" spans="1:2" hidden="1">
      <c r="A483">
        <f>'Production Plan'!B412</f>
        <v>0</v>
      </c>
      <c r="B483" s="3" t="e">
        <f>VLOOKUP(A483,'Production Plan'!B:T,14,FALSE)</f>
        <v>#N/A</v>
      </c>
    </row>
    <row r="484" spans="1:2" hidden="1">
      <c r="A484">
        <f>'Production Plan'!B413</f>
        <v>0</v>
      </c>
      <c r="B484" s="3" t="e">
        <f>VLOOKUP(A484,'Production Plan'!B:T,14,FALSE)</f>
        <v>#N/A</v>
      </c>
    </row>
    <row r="485" spans="1:2" hidden="1">
      <c r="A485">
        <f>'Production Plan'!B414</f>
        <v>0</v>
      </c>
      <c r="B485" s="3" t="e">
        <f>VLOOKUP(A485,'Production Plan'!B:T,14,FALSE)</f>
        <v>#N/A</v>
      </c>
    </row>
    <row r="486" spans="1:2" hidden="1">
      <c r="A486">
        <f>'Production Plan'!B415</f>
        <v>0</v>
      </c>
      <c r="B486" s="3" t="e">
        <f>VLOOKUP(A486,'Production Plan'!B:T,14,FALSE)</f>
        <v>#N/A</v>
      </c>
    </row>
    <row r="487" spans="1:2" hidden="1">
      <c r="A487">
        <f>'Production Plan'!B416</f>
        <v>0</v>
      </c>
      <c r="B487" s="3" t="e">
        <f>VLOOKUP(A487,'Production Plan'!B:T,14,FALSE)</f>
        <v>#N/A</v>
      </c>
    </row>
    <row r="488" spans="1:2" hidden="1">
      <c r="A488">
        <f>'Production Plan'!B417</f>
        <v>0</v>
      </c>
      <c r="B488" s="3" t="e">
        <f>VLOOKUP(A488,'Production Plan'!B:T,14,FALSE)</f>
        <v>#N/A</v>
      </c>
    </row>
    <row r="489" spans="1:2" hidden="1">
      <c r="A489">
        <f>'Production Plan'!B418</f>
        <v>0</v>
      </c>
      <c r="B489" s="3" t="e">
        <f>VLOOKUP(A489,'Production Plan'!B:T,14,FALSE)</f>
        <v>#N/A</v>
      </c>
    </row>
    <row r="490" spans="1:2" hidden="1">
      <c r="A490">
        <f>'Production Plan'!B419</f>
        <v>0</v>
      </c>
      <c r="B490" s="3" t="e">
        <f>VLOOKUP(A490,'Production Plan'!B:T,14,FALSE)</f>
        <v>#N/A</v>
      </c>
    </row>
    <row r="491" spans="1:2" hidden="1">
      <c r="A491">
        <f>'Production Plan'!B420</f>
        <v>0</v>
      </c>
      <c r="B491" s="3" t="e">
        <f>VLOOKUP(A491,'Production Plan'!B:T,14,FALSE)</f>
        <v>#N/A</v>
      </c>
    </row>
    <row r="492" spans="1:2" hidden="1">
      <c r="A492">
        <f>'Production Plan'!B421</f>
        <v>0</v>
      </c>
      <c r="B492" s="3" t="e">
        <f>VLOOKUP(A492,'Production Plan'!B:T,14,FALSE)</f>
        <v>#N/A</v>
      </c>
    </row>
    <row r="493" spans="1:2" hidden="1">
      <c r="A493">
        <f>'Production Plan'!B422</f>
        <v>0</v>
      </c>
      <c r="B493" s="3" t="e">
        <f>VLOOKUP(A493,'Production Plan'!B:T,14,FALSE)</f>
        <v>#N/A</v>
      </c>
    </row>
    <row r="494" spans="1:2" hidden="1">
      <c r="A494">
        <f>'Production Plan'!B423</f>
        <v>0</v>
      </c>
      <c r="B494" s="3" t="e">
        <f>VLOOKUP(A494,'Production Plan'!B:T,14,FALSE)</f>
        <v>#N/A</v>
      </c>
    </row>
    <row r="495" spans="1:2" hidden="1">
      <c r="A495">
        <f>'Production Plan'!B424</f>
        <v>0</v>
      </c>
      <c r="B495" s="3" t="e">
        <f>VLOOKUP(A495,'Production Plan'!B:T,14,FALSE)</f>
        <v>#N/A</v>
      </c>
    </row>
    <row r="496" spans="1:2" hidden="1">
      <c r="A496">
        <f>'Production Plan'!B425</f>
        <v>0</v>
      </c>
      <c r="B496" s="3" t="e">
        <f>VLOOKUP(A496,'Production Plan'!B:T,14,FALSE)</f>
        <v>#N/A</v>
      </c>
    </row>
    <row r="497" spans="1:2" hidden="1">
      <c r="A497">
        <f>'Production Plan'!B426</f>
        <v>0</v>
      </c>
      <c r="B497" s="3" t="e">
        <f>VLOOKUP(A497,'Production Plan'!B:T,14,FALSE)</f>
        <v>#N/A</v>
      </c>
    </row>
    <row r="498" spans="1:2" hidden="1">
      <c r="A498">
        <f>'Production Plan'!B427</f>
        <v>0</v>
      </c>
      <c r="B498" s="3" t="e">
        <f>VLOOKUP(A498,'Production Plan'!B:T,14,FALSE)</f>
        <v>#N/A</v>
      </c>
    </row>
    <row r="499" spans="1:2" hidden="1">
      <c r="A499">
        <f>'Production Plan'!B428</f>
        <v>0</v>
      </c>
      <c r="B499" s="3" t="e">
        <f>VLOOKUP(A499,'Production Plan'!B:T,14,FALSE)</f>
        <v>#N/A</v>
      </c>
    </row>
    <row r="500" spans="1:2" hidden="1">
      <c r="A500">
        <f>'Production Plan'!B429</f>
        <v>0</v>
      </c>
      <c r="B500" s="3" t="e">
        <f>VLOOKUP(A500,'Production Plan'!B:T,14,FALSE)</f>
        <v>#N/A</v>
      </c>
    </row>
    <row r="501" spans="1:2" hidden="1">
      <c r="A501">
        <f>'Production Plan'!B430</f>
        <v>0</v>
      </c>
      <c r="B501" s="3" t="e">
        <f>VLOOKUP(A501,'Production Plan'!B:T,14,FALSE)</f>
        <v>#N/A</v>
      </c>
    </row>
    <row r="502" spans="1:2" hidden="1">
      <c r="A502">
        <f>'Production Plan'!B431</f>
        <v>0</v>
      </c>
      <c r="B502" s="3" t="e">
        <f>VLOOKUP(A502,'Production Plan'!B:T,14,FALSE)</f>
        <v>#N/A</v>
      </c>
    </row>
    <row r="503" spans="1:2" hidden="1">
      <c r="A503">
        <f>'Production Plan'!B432</f>
        <v>0</v>
      </c>
      <c r="B503" s="3" t="e">
        <f>VLOOKUP(A503,'Production Plan'!B:T,14,FALSE)</f>
        <v>#N/A</v>
      </c>
    </row>
    <row r="504" spans="1:2" hidden="1">
      <c r="A504">
        <f>'Production Plan'!B433</f>
        <v>0</v>
      </c>
      <c r="B504" s="3" t="e">
        <f>VLOOKUP(A504,'Production Plan'!B:T,14,FALSE)</f>
        <v>#N/A</v>
      </c>
    </row>
    <row r="505" spans="1:2" hidden="1">
      <c r="A505">
        <f>'Production Plan'!B434</f>
        <v>0</v>
      </c>
      <c r="B505" s="3" t="e">
        <f>VLOOKUP(A505,'Production Plan'!B:T,14,FALSE)</f>
        <v>#N/A</v>
      </c>
    </row>
    <row r="506" spans="1:2" hidden="1">
      <c r="A506">
        <f>'Production Plan'!B435</f>
        <v>0</v>
      </c>
      <c r="B506" s="3" t="e">
        <f>VLOOKUP(A506,'Production Plan'!B:T,14,FALSE)</f>
        <v>#N/A</v>
      </c>
    </row>
    <row r="507" spans="1:2" hidden="1">
      <c r="A507">
        <f>'Production Plan'!B436</f>
        <v>0</v>
      </c>
      <c r="B507" s="3" t="e">
        <f>VLOOKUP(A507,'Production Plan'!B:T,14,FALSE)</f>
        <v>#N/A</v>
      </c>
    </row>
    <row r="508" spans="1:2" hidden="1">
      <c r="A508">
        <f>'Production Plan'!B437</f>
        <v>0</v>
      </c>
      <c r="B508" s="3" t="e">
        <f>VLOOKUP(A508,'Production Plan'!B:T,14,FALSE)</f>
        <v>#N/A</v>
      </c>
    </row>
    <row r="509" spans="1:2" hidden="1">
      <c r="A509">
        <f>'Production Plan'!B438</f>
        <v>0</v>
      </c>
      <c r="B509" s="3" t="e">
        <f>VLOOKUP(A509,'Production Plan'!B:T,14,FALSE)</f>
        <v>#N/A</v>
      </c>
    </row>
    <row r="510" spans="1:2" hidden="1">
      <c r="A510">
        <f>'Production Plan'!B439</f>
        <v>0</v>
      </c>
      <c r="B510" s="3" t="e">
        <f>VLOOKUP(A510,'Production Plan'!B:T,14,FALSE)</f>
        <v>#N/A</v>
      </c>
    </row>
    <row r="511" spans="1:2" hidden="1">
      <c r="A511">
        <f>'Production Plan'!B440</f>
        <v>0</v>
      </c>
      <c r="B511" s="3" t="e">
        <f>VLOOKUP(A511,'Production Plan'!B:T,14,FALSE)</f>
        <v>#N/A</v>
      </c>
    </row>
    <row r="512" spans="1:2" hidden="1">
      <c r="A512">
        <f>'Production Plan'!B441</f>
        <v>0</v>
      </c>
      <c r="B512" s="3" t="e">
        <f>VLOOKUP(A512,'Production Plan'!B:T,14,FALSE)</f>
        <v>#N/A</v>
      </c>
    </row>
    <row r="513" spans="1:2" hidden="1">
      <c r="A513">
        <f>'Production Plan'!B442</f>
        <v>0</v>
      </c>
      <c r="B513" s="3" t="e">
        <f>VLOOKUP(A513,'Production Plan'!B:T,14,FALSE)</f>
        <v>#N/A</v>
      </c>
    </row>
    <row r="514" spans="1:2" hidden="1">
      <c r="A514">
        <f>'Production Plan'!B443</f>
        <v>0</v>
      </c>
      <c r="B514" s="3" t="e">
        <f>VLOOKUP(A514,'Production Plan'!B:T,14,FALSE)</f>
        <v>#N/A</v>
      </c>
    </row>
    <row r="515" spans="1:2" hidden="1">
      <c r="A515">
        <f>'Production Plan'!B444</f>
        <v>0</v>
      </c>
      <c r="B515" s="3" t="e">
        <f>VLOOKUP(A515,'Production Plan'!B:T,14,FALSE)</f>
        <v>#N/A</v>
      </c>
    </row>
    <row r="516" spans="1:2" hidden="1">
      <c r="A516">
        <f>'Production Plan'!B445</f>
        <v>0</v>
      </c>
      <c r="B516" s="3" t="e">
        <f>VLOOKUP(A516,'Production Plan'!B:T,14,FALSE)</f>
        <v>#N/A</v>
      </c>
    </row>
    <row r="517" spans="1:2" hidden="1">
      <c r="A517">
        <f>'Production Plan'!B446</f>
        <v>0</v>
      </c>
      <c r="B517" s="3" t="e">
        <f>VLOOKUP(A517,'Production Plan'!B:T,14,FALSE)</f>
        <v>#N/A</v>
      </c>
    </row>
    <row r="518" spans="1:2" hidden="1">
      <c r="A518">
        <f>'Production Plan'!B447</f>
        <v>0</v>
      </c>
      <c r="B518" s="3" t="e">
        <f>VLOOKUP(A518,'Production Plan'!B:T,14,FALSE)</f>
        <v>#N/A</v>
      </c>
    </row>
    <row r="519" spans="1:2" hidden="1">
      <c r="A519">
        <f>'Production Plan'!B448</f>
        <v>0</v>
      </c>
      <c r="B519" s="3" t="e">
        <f>VLOOKUP(A519,'Production Plan'!B:T,14,FALSE)</f>
        <v>#N/A</v>
      </c>
    </row>
    <row r="520" spans="1:2" hidden="1">
      <c r="A520">
        <f>'Production Plan'!B449</f>
        <v>0</v>
      </c>
      <c r="B520" s="3" t="e">
        <f>VLOOKUP(A520,'Production Plan'!B:T,14,FALSE)</f>
        <v>#N/A</v>
      </c>
    </row>
    <row r="521" spans="1:2" hidden="1">
      <c r="A521">
        <f>'Production Plan'!B450</f>
        <v>0</v>
      </c>
      <c r="B521" s="3" t="e">
        <f>VLOOKUP(A521,'Production Plan'!B:T,14,FALSE)</f>
        <v>#N/A</v>
      </c>
    </row>
    <row r="522" spans="1:2" hidden="1">
      <c r="A522">
        <f>'Production Plan'!B451</f>
        <v>0</v>
      </c>
      <c r="B522" s="3" t="e">
        <f>VLOOKUP(A522,'Production Plan'!B:T,14,FALSE)</f>
        <v>#N/A</v>
      </c>
    </row>
    <row r="523" spans="1:2" hidden="1">
      <c r="A523">
        <f>'Production Plan'!B452</f>
        <v>0</v>
      </c>
      <c r="B523" s="3" t="e">
        <f>VLOOKUP(A523,'Production Plan'!B:T,14,FALSE)</f>
        <v>#N/A</v>
      </c>
    </row>
    <row r="524" spans="1:2" hidden="1">
      <c r="A524">
        <f>'Production Plan'!B453</f>
        <v>0</v>
      </c>
      <c r="B524" s="3" t="e">
        <f>VLOOKUP(A524,'Production Plan'!B:T,14,FALSE)</f>
        <v>#N/A</v>
      </c>
    </row>
    <row r="525" spans="1:2" hidden="1">
      <c r="A525">
        <f>'Production Plan'!B454</f>
        <v>0</v>
      </c>
      <c r="B525" s="3" t="e">
        <f>VLOOKUP(A525,'Production Plan'!B:T,14,FALSE)</f>
        <v>#N/A</v>
      </c>
    </row>
    <row r="526" spans="1:2" hidden="1">
      <c r="A526">
        <f>'Production Plan'!B455</f>
        <v>0</v>
      </c>
      <c r="B526" s="3" t="e">
        <f>VLOOKUP(A526,'Production Plan'!B:T,14,FALSE)</f>
        <v>#N/A</v>
      </c>
    </row>
    <row r="527" spans="1:2" hidden="1">
      <c r="A527">
        <f>'Production Plan'!B456</f>
        <v>0</v>
      </c>
      <c r="B527" s="3" t="e">
        <f>VLOOKUP(A527,'Production Plan'!B:T,14,FALSE)</f>
        <v>#N/A</v>
      </c>
    </row>
    <row r="528" spans="1:2" hidden="1">
      <c r="A528">
        <f>'Production Plan'!B457</f>
        <v>0</v>
      </c>
      <c r="B528" s="3" t="e">
        <f>VLOOKUP(A528,'Production Plan'!B:T,14,FALSE)</f>
        <v>#N/A</v>
      </c>
    </row>
    <row r="529" spans="1:2" hidden="1">
      <c r="A529">
        <f>'Production Plan'!B458</f>
        <v>0</v>
      </c>
      <c r="B529" s="3" t="e">
        <f>VLOOKUP(A529,'Production Plan'!B:T,14,FALSE)</f>
        <v>#N/A</v>
      </c>
    </row>
    <row r="530" spans="1:2" hidden="1">
      <c r="A530">
        <f>'Production Plan'!B459</f>
        <v>0</v>
      </c>
      <c r="B530" s="3" t="e">
        <f>VLOOKUP(A530,'Production Plan'!B:T,14,FALSE)</f>
        <v>#N/A</v>
      </c>
    </row>
    <row r="531" spans="1:2" hidden="1">
      <c r="A531">
        <f>'Production Plan'!B460</f>
        <v>0</v>
      </c>
      <c r="B531" s="3" t="e">
        <f>VLOOKUP(A531,'Production Plan'!B:T,14,FALSE)</f>
        <v>#N/A</v>
      </c>
    </row>
    <row r="532" spans="1:2" hidden="1">
      <c r="A532">
        <f>'Production Plan'!B461</f>
        <v>0</v>
      </c>
      <c r="B532" s="3" t="e">
        <f>VLOOKUP(A532,'Production Plan'!B:T,14,FALSE)</f>
        <v>#N/A</v>
      </c>
    </row>
    <row r="533" spans="1:2" hidden="1">
      <c r="A533">
        <f>'Production Plan'!B462</f>
        <v>0</v>
      </c>
      <c r="B533" s="3" t="e">
        <f>VLOOKUP(A533,'Production Plan'!B:T,14,FALSE)</f>
        <v>#N/A</v>
      </c>
    </row>
    <row r="534" spans="1:2" hidden="1">
      <c r="A534">
        <f>'Production Plan'!B463</f>
        <v>0</v>
      </c>
      <c r="B534" s="3" t="e">
        <f>VLOOKUP(A534,'Production Plan'!B:T,14,FALSE)</f>
        <v>#N/A</v>
      </c>
    </row>
    <row r="535" spans="1:2" hidden="1">
      <c r="A535">
        <f>'Production Plan'!B464</f>
        <v>0</v>
      </c>
      <c r="B535" s="3" t="e">
        <f>VLOOKUP(A535,'Production Plan'!B:T,14,FALSE)</f>
        <v>#N/A</v>
      </c>
    </row>
    <row r="536" spans="1:2" hidden="1">
      <c r="A536">
        <f>'Production Plan'!B465</f>
        <v>0</v>
      </c>
      <c r="B536" s="3" t="e">
        <f>VLOOKUP(A536,'Production Plan'!B:T,14,FALSE)</f>
        <v>#N/A</v>
      </c>
    </row>
    <row r="537" spans="1:2" hidden="1">
      <c r="A537">
        <f>'Production Plan'!B466</f>
        <v>0</v>
      </c>
      <c r="B537" s="3" t="e">
        <f>VLOOKUP(A537,'Production Plan'!B:T,14,FALSE)</f>
        <v>#N/A</v>
      </c>
    </row>
    <row r="538" spans="1:2" hidden="1">
      <c r="A538">
        <f>'Production Plan'!B467</f>
        <v>0</v>
      </c>
      <c r="B538" s="3" t="e">
        <f>VLOOKUP(A538,'Production Plan'!B:T,14,FALSE)</f>
        <v>#N/A</v>
      </c>
    </row>
    <row r="539" spans="1:2" hidden="1">
      <c r="A539">
        <f>'Production Plan'!B468</f>
        <v>0</v>
      </c>
      <c r="B539" s="3" t="e">
        <f>VLOOKUP(A539,'Production Plan'!B:T,14,FALSE)</f>
        <v>#N/A</v>
      </c>
    </row>
    <row r="540" spans="1:2" hidden="1">
      <c r="A540">
        <f>'Production Plan'!B469</f>
        <v>0</v>
      </c>
      <c r="B540" s="3" t="e">
        <f>VLOOKUP(A540,'Production Plan'!B:T,14,FALSE)</f>
        <v>#N/A</v>
      </c>
    </row>
    <row r="541" spans="1:2" hidden="1">
      <c r="A541">
        <f>'Production Plan'!B470</f>
        <v>0</v>
      </c>
      <c r="B541" s="3" t="e">
        <f>VLOOKUP(A541,'Production Plan'!B:T,14,FALSE)</f>
        <v>#N/A</v>
      </c>
    </row>
    <row r="542" spans="1:2" hidden="1">
      <c r="A542">
        <f>'Production Plan'!B471</f>
        <v>0</v>
      </c>
      <c r="B542" s="3" t="e">
        <f>VLOOKUP(A542,'Production Plan'!B:T,14,FALSE)</f>
        <v>#N/A</v>
      </c>
    </row>
    <row r="543" spans="1:2" hidden="1">
      <c r="A543">
        <f>'Production Plan'!B472</f>
        <v>0</v>
      </c>
      <c r="B543" s="3" t="e">
        <f>VLOOKUP(A543,'Production Plan'!B:T,14,FALSE)</f>
        <v>#N/A</v>
      </c>
    </row>
    <row r="544" spans="1:2" hidden="1">
      <c r="A544">
        <f>'Production Plan'!B473</f>
        <v>0</v>
      </c>
      <c r="B544" s="3" t="e">
        <f>VLOOKUP(A544,'Production Plan'!B:T,14,FALSE)</f>
        <v>#N/A</v>
      </c>
    </row>
    <row r="545" spans="1:2" hidden="1">
      <c r="A545">
        <f>'Production Plan'!B474</f>
        <v>0</v>
      </c>
      <c r="B545" s="3" t="e">
        <f>VLOOKUP(A545,'Production Plan'!B:T,14,FALSE)</f>
        <v>#N/A</v>
      </c>
    </row>
    <row r="546" spans="1:2" hidden="1">
      <c r="A546">
        <f>'Production Plan'!B475</f>
        <v>0</v>
      </c>
      <c r="B546" s="3" t="e">
        <f>VLOOKUP(A546,'Production Plan'!B:T,14,FALSE)</f>
        <v>#N/A</v>
      </c>
    </row>
    <row r="547" spans="1:2" hidden="1">
      <c r="A547">
        <f>'Production Plan'!B476</f>
        <v>0</v>
      </c>
      <c r="B547" s="3" t="e">
        <f>VLOOKUP(A547,'Production Plan'!B:T,14,FALSE)</f>
        <v>#N/A</v>
      </c>
    </row>
    <row r="548" spans="1:2" hidden="1">
      <c r="A548">
        <f>'Production Plan'!B477</f>
        <v>0</v>
      </c>
      <c r="B548" s="3" t="e">
        <f>VLOOKUP(A548,'Production Plan'!B:T,14,FALSE)</f>
        <v>#N/A</v>
      </c>
    </row>
    <row r="549" spans="1:2" hidden="1">
      <c r="A549">
        <f>'Production Plan'!B478</f>
        <v>0</v>
      </c>
      <c r="B549" s="3" t="e">
        <f>VLOOKUP(A549,'Production Plan'!B:T,14,FALSE)</f>
        <v>#N/A</v>
      </c>
    </row>
    <row r="550" spans="1:2" hidden="1">
      <c r="A550">
        <f>'Production Plan'!B479</f>
        <v>0</v>
      </c>
      <c r="B550" s="3" t="e">
        <f>VLOOKUP(A550,'Production Plan'!B:T,14,FALSE)</f>
        <v>#N/A</v>
      </c>
    </row>
    <row r="551" spans="1:2" hidden="1">
      <c r="A551">
        <f>'Production Plan'!B480</f>
        <v>0</v>
      </c>
      <c r="B551" s="3" t="e">
        <f>VLOOKUP(A551,'Production Plan'!B:T,14,FALSE)</f>
        <v>#N/A</v>
      </c>
    </row>
    <row r="552" spans="1:2" hidden="1">
      <c r="A552">
        <f>'Production Plan'!B481</f>
        <v>0</v>
      </c>
      <c r="B552" s="3" t="e">
        <f>VLOOKUP(A552,'Production Plan'!B:T,14,FALSE)</f>
        <v>#N/A</v>
      </c>
    </row>
    <row r="553" spans="1:2" hidden="1">
      <c r="A553">
        <f>'Production Plan'!B482</f>
        <v>0</v>
      </c>
      <c r="B553" s="3" t="e">
        <f>VLOOKUP(A553,'Production Plan'!B:T,14,FALSE)</f>
        <v>#N/A</v>
      </c>
    </row>
    <row r="554" spans="1:2" hidden="1">
      <c r="A554">
        <f>'Production Plan'!B483</f>
        <v>0</v>
      </c>
      <c r="B554" s="3" t="e">
        <f>VLOOKUP(A554,'Production Plan'!B:T,14,FALSE)</f>
        <v>#N/A</v>
      </c>
    </row>
    <row r="555" spans="1:2" hidden="1">
      <c r="A555">
        <f>'Production Plan'!B484</f>
        <v>0</v>
      </c>
      <c r="B555" s="3" t="e">
        <f>VLOOKUP(A555,'Production Plan'!B:T,14,FALSE)</f>
        <v>#N/A</v>
      </c>
    </row>
    <row r="556" spans="1:2" hidden="1">
      <c r="A556">
        <f>'Production Plan'!B485</f>
        <v>0</v>
      </c>
      <c r="B556" s="3" t="e">
        <f>VLOOKUP(A556,'Production Plan'!B:T,14,FALSE)</f>
        <v>#N/A</v>
      </c>
    </row>
    <row r="557" spans="1:2" hidden="1">
      <c r="A557">
        <f>'Production Plan'!B486</f>
        <v>0</v>
      </c>
      <c r="B557" s="3" t="e">
        <f>VLOOKUP(A557,'Production Plan'!B:T,14,FALSE)</f>
        <v>#N/A</v>
      </c>
    </row>
    <row r="558" spans="1:2" hidden="1">
      <c r="A558">
        <f>'Production Plan'!B487</f>
        <v>0</v>
      </c>
      <c r="B558" s="3" t="e">
        <f>VLOOKUP(A558,'Production Plan'!B:T,14,FALSE)</f>
        <v>#N/A</v>
      </c>
    </row>
    <row r="559" spans="1:2" hidden="1">
      <c r="A559">
        <f>'Production Plan'!B488</f>
        <v>0</v>
      </c>
      <c r="B559" s="3" t="e">
        <f>VLOOKUP(A559,'Production Plan'!B:T,14,FALSE)</f>
        <v>#N/A</v>
      </c>
    </row>
    <row r="560" spans="1:2" hidden="1">
      <c r="A560">
        <f>'Production Plan'!B489</f>
        <v>0</v>
      </c>
      <c r="B560" s="3" t="e">
        <f>VLOOKUP(A560,'Production Plan'!B:T,14,FALSE)</f>
        <v>#N/A</v>
      </c>
    </row>
    <row r="561" spans="1:2" hidden="1">
      <c r="A561">
        <f>'Production Plan'!B490</f>
        <v>0</v>
      </c>
      <c r="B561" s="3" t="e">
        <f>VLOOKUP(A561,'Production Plan'!B:T,14,FALSE)</f>
        <v>#N/A</v>
      </c>
    </row>
    <row r="562" spans="1:2" hidden="1">
      <c r="A562">
        <f>'Production Plan'!B491</f>
        <v>0</v>
      </c>
      <c r="B562" s="3" t="e">
        <f>VLOOKUP(A562,'Production Plan'!B:T,14,FALSE)</f>
        <v>#N/A</v>
      </c>
    </row>
    <row r="563" spans="1:2" hidden="1">
      <c r="A563">
        <f>'Production Plan'!B492</f>
        <v>0</v>
      </c>
      <c r="B563" s="3" t="e">
        <f>VLOOKUP(A563,'Production Plan'!B:T,14,FALSE)</f>
        <v>#N/A</v>
      </c>
    </row>
    <row r="564" spans="1:2" hidden="1">
      <c r="A564">
        <f>'Production Plan'!B493</f>
        <v>0</v>
      </c>
      <c r="B564" s="3" t="e">
        <f>VLOOKUP(A564,'Production Plan'!B:T,14,FALSE)</f>
        <v>#N/A</v>
      </c>
    </row>
    <row r="565" spans="1:2" hidden="1">
      <c r="A565">
        <f>'Production Plan'!B494</f>
        <v>0</v>
      </c>
      <c r="B565" s="3" t="e">
        <f>VLOOKUP(A565,'Production Plan'!B:T,14,FALSE)</f>
        <v>#N/A</v>
      </c>
    </row>
    <row r="566" spans="1:2" hidden="1">
      <c r="A566">
        <f>'Production Plan'!B495</f>
        <v>0</v>
      </c>
      <c r="B566" s="3" t="e">
        <f>VLOOKUP(A566,'Production Plan'!B:T,14,FALSE)</f>
        <v>#N/A</v>
      </c>
    </row>
    <row r="567" spans="1:2" hidden="1">
      <c r="A567">
        <f>'Production Plan'!B496</f>
        <v>0</v>
      </c>
      <c r="B567" s="3" t="e">
        <f>VLOOKUP(A567,'Production Plan'!B:T,14,FALSE)</f>
        <v>#N/A</v>
      </c>
    </row>
    <row r="568" spans="1:2" hidden="1">
      <c r="A568">
        <f>'Production Plan'!B497</f>
        <v>0</v>
      </c>
      <c r="B568" s="3" t="e">
        <f>VLOOKUP(A568,'Production Plan'!B:T,14,FALSE)</f>
        <v>#N/A</v>
      </c>
    </row>
    <row r="569" spans="1:2" hidden="1">
      <c r="A569">
        <f>'Production Plan'!B498</f>
        <v>0</v>
      </c>
      <c r="B569" s="3" t="e">
        <f>VLOOKUP(A569,'Production Plan'!B:T,14,FALSE)</f>
        <v>#N/A</v>
      </c>
    </row>
    <row r="570" spans="1:2" hidden="1">
      <c r="A570">
        <f>'Production Plan'!B499</f>
        <v>0</v>
      </c>
      <c r="B570" s="3" t="e">
        <f>VLOOKUP(A570,'Production Plan'!B:T,14,FALSE)</f>
        <v>#N/A</v>
      </c>
    </row>
    <row r="571" spans="1:2" hidden="1">
      <c r="A571">
        <f>'Production Plan'!B500</f>
        <v>0</v>
      </c>
      <c r="B571" s="3" t="e">
        <f>VLOOKUP(A571,'Production Plan'!B:T,14,FALSE)</f>
        <v>#N/A</v>
      </c>
    </row>
    <row r="572" spans="1:2" hidden="1">
      <c r="A572">
        <f>'Production Plan'!B501</f>
        <v>0</v>
      </c>
      <c r="B572" s="3" t="e">
        <f>VLOOKUP(A572,'Production Plan'!B:T,14,FALSE)</f>
        <v>#N/A</v>
      </c>
    </row>
    <row r="573" spans="1:2" hidden="1">
      <c r="A573">
        <f>'Production Plan'!B502</f>
        <v>0</v>
      </c>
      <c r="B573" s="3" t="e">
        <f>VLOOKUP(A573,'Production Plan'!B:T,14,FALSE)</f>
        <v>#N/A</v>
      </c>
    </row>
    <row r="574" spans="1:2" hidden="1">
      <c r="A574">
        <f>'Production Plan'!B503</f>
        <v>0</v>
      </c>
      <c r="B574" s="3" t="e">
        <f>VLOOKUP(A574,'Production Plan'!B:T,14,FALSE)</f>
        <v>#N/A</v>
      </c>
    </row>
    <row r="575" spans="1:2" hidden="1">
      <c r="A575">
        <f>'Production Plan'!B504</f>
        <v>0</v>
      </c>
      <c r="B575" s="3" t="e">
        <f>VLOOKUP(A575,'Production Plan'!B:T,14,FALSE)</f>
        <v>#N/A</v>
      </c>
    </row>
    <row r="576" spans="1:2" hidden="1">
      <c r="A576">
        <f>'Production Plan'!B505</f>
        <v>0</v>
      </c>
      <c r="B576" s="3" t="e">
        <f>VLOOKUP(A576,'Production Plan'!B:T,14,FALSE)</f>
        <v>#N/A</v>
      </c>
    </row>
    <row r="577" spans="1:2" hidden="1">
      <c r="A577">
        <f>'Production Plan'!B506</f>
        <v>0</v>
      </c>
      <c r="B577" s="3" t="e">
        <f>VLOOKUP(A577,'Production Plan'!B:T,14,FALSE)</f>
        <v>#N/A</v>
      </c>
    </row>
    <row r="578" spans="1:2" hidden="1">
      <c r="A578">
        <f>'Production Plan'!B507</f>
        <v>0</v>
      </c>
      <c r="B578" s="3" t="e">
        <f>VLOOKUP(A578,'Production Plan'!B:T,14,FALSE)</f>
        <v>#N/A</v>
      </c>
    </row>
    <row r="579" spans="1:2" hidden="1">
      <c r="A579">
        <f>'Production Plan'!B508</f>
        <v>0</v>
      </c>
      <c r="B579" s="3" t="e">
        <f>VLOOKUP(A579,'Production Plan'!B:T,14,FALSE)</f>
        <v>#N/A</v>
      </c>
    </row>
    <row r="580" spans="1:2" hidden="1">
      <c r="A580">
        <f>'Production Plan'!B509</f>
        <v>0</v>
      </c>
      <c r="B580" s="3" t="e">
        <f>VLOOKUP(A580,'Production Plan'!B:T,14,FALSE)</f>
        <v>#N/A</v>
      </c>
    </row>
    <row r="581" spans="1:2" hidden="1">
      <c r="A581">
        <f>'Production Plan'!B510</f>
        <v>0</v>
      </c>
      <c r="B581" s="3" t="e">
        <f>VLOOKUP(A581,'Production Plan'!B:T,14,FALSE)</f>
        <v>#N/A</v>
      </c>
    </row>
    <row r="582" spans="1:2" hidden="1">
      <c r="A582">
        <f>'Production Plan'!B511</f>
        <v>0</v>
      </c>
      <c r="B582" s="3" t="e">
        <f>VLOOKUP(A582,'Production Plan'!B:T,14,FALSE)</f>
        <v>#N/A</v>
      </c>
    </row>
    <row r="583" spans="1:2" hidden="1">
      <c r="A583">
        <f>'Production Plan'!B512</f>
        <v>0</v>
      </c>
      <c r="B583" s="3" t="e">
        <f>VLOOKUP(A583,'Production Plan'!B:T,14,FALSE)</f>
        <v>#N/A</v>
      </c>
    </row>
    <row r="584" spans="1:2" hidden="1">
      <c r="A584">
        <f>'Production Plan'!B513</f>
        <v>0</v>
      </c>
      <c r="B584" s="3" t="e">
        <f>VLOOKUP(A584,'Production Plan'!B:T,14,FALSE)</f>
        <v>#N/A</v>
      </c>
    </row>
    <row r="585" spans="1:2" hidden="1">
      <c r="A585">
        <f>'Production Plan'!B514</f>
        <v>0</v>
      </c>
      <c r="B585" s="3" t="e">
        <f>VLOOKUP(A585,'Production Plan'!B:T,14,FALSE)</f>
        <v>#N/A</v>
      </c>
    </row>
    <row r="586" spans="1:2" hidden="1">
      <c r="A586">
        <f>'Production Plan'!B515</f>
        <v>0</v>
      </c>
      <c r="B586" s="3" t="e">
        <f>VLOOKUP(A586,'Production Plan'!B:T,14,FALSE)</f>
        <v>#N/A</v>
      </c>
    </row>
    <row r="587" spans="1:2" hidden="1">
      <c r="A587">
        <f>'Production Plan'!B516</f>
        <v>0</v>
      </c>
      <c r="B587" s="3" t="e">
        <f>VLOOKUP(A587,'Production Plan'!B:T,14,FALSE)</f>
        <v>#N/A</v>
      </c>
    </row>
    <row r="588" spans="1:2" hidden="1">
      <c r="A588">
        <f>'Production Plan'!B517</f>
        <v>0</v>
      </c>
      <c r="B588" s="3" t="e">
        <f>VLOOKUP(A588,'Production Plan'!B:T,14,FALSE)</f>
        <v>#N/A</v>
      </c>
    </row>
    <row r="589" spans="1:2" hidden="1">
      <c r="A589">
        <f>'Production Plan'!B518</f>
        <v>0</v>
      </c>
      <c r="B589" s="3" t="e">
        <f>VLOOKUP(A589,'Production Plan'!B:T,14,FALSE)</f>
        <v>#N/A</v>
      </c>
    </row>
    <row r="590" spans="1:2" hidden="1">
      <c r="A590">
        <f>'Production Plan'!B519</f>
        <v>0</v>
      </c>
      <c r="B590" s="3" t="e">
        <f>VLOOKUP(A590,'Production Plan'!B:T,14,FALSE)</f>
        <v>#N/A</v>
      </c>
    </row>
    <row r="591" spans="1:2" hidden="1">
      <c r="A591">
        <f>'Production Plan'!B520</f>
        <v>0</v>
      </c>
      <c r="B591" s="3" t="e">
        <f>VLOOKUP(A591,'Production Plan'!B:T,14,FALSE)</f>
        <v>#N/A</v>
      </c>
    </row>
    <row r="592" spans="1:2" hidden="1">
      <c r="A592">
        <f>'Production Plan'!B521</f>
        <v>0</v>
      </c>
      <c r="B592" s="3" t="e">
        <f>VLOOKUP(A592,'Production Plan'!B:T,14,FALSE)</f>
        <v>#N/A</v>
      </c>
    </row>
    <row r="593" spans="1:2" hidden="1">
      <c r="A593">
        <f>'Production Plan'!B522</f>
        <v>0</v>
      </c>
      <c r="B593" s="3" t="e">
        <f>VLOOKUP(A593,'Production Plan'!B:T,14,FALSE)</f>
        <v>#N/A</v>
      </c>
    </row>
    <row r="594" spans="1:2" hidden="1">
      <c r="A594">
        <f>'Production Plan'!B523</f>
        <v>0</v>
      </c>
      <c r="B594" s="3" t="e">
        <f>VLOOKUP(A594,'Production Plan'!B:T,14,FALSE)</f>
        <v>#N/A</v>
      </c>
    </row>
    <row r="595" spans="1:2" hidden="1">
      <c r="A595">
        <f>'Production Plan'!B524</f>
        <v>0</v>
      </c>
      <c r="B595" s="3" t="e">
        <f>VLOOKUP(A595,'Production Plan'!B:T,14,FALSE)</f>
        <v>#N/A</v>
      </c>
    </row>
    <row r="596" spans="1:2" hidden="1">
      <c r="A596">
        <f>'Production Plan'!B525</f>
        <v>0</v>
      </c>
      <c r="B596" s="3" t="e">
        <f>VLOOKUP(A596,'Production Plan'!B:T,14,FALSE)</f>
        <v>#N/A</v>
      </c>
    </row>
    <row r="597" spans="1:2" hidden="1">
      <c r="A597">
        <f>'Production Plan'!B526</f>
        <v>0</v>
      </c>
      <c r="B597" s="3" t="e">
        <f>VLOOKUP(A597,'Production Plan'!B:T,14,FALSE)</f>
        <v>#N/A</v>
      </c>
    </row>
    <row r="598" spans="1:2" hidden="1">
      <c r="A598">
        <f>'Production Plan'!B527</f>
        <v>0</v>
      </c>
      <c r="B598" s="3" t="e">
        <f>VLOOKUP(A598,'Production Plan'!B:T,14,FALSE)</f>
        <v>#N/A</v>
      </c>
    </row>
    <row r="599" spans="1:2" hidden="1">
      <c r="A599">
        <f>'Production Plan'!B528</f>
        <v>0</v>
      </c>
      <c r="B599" s="3" t="e">
        <f>VLOOKUP(A599,'Production Plan'!B:T,14,FALSE)</f>
        <v>#N/A</v>
      </c>
    </row>
    <row r="600" spans="1:2" hidden="1">
      <c r="A600">
        <f>'Production Plan'!B529</f>
        <v>0</v>
      </c>
      <c r="B600" s="3" t="e">
        <f>VLOOKUP(A600,'Production Plan'!B:T,14,FALSE)</f>
        <v>#N/A</v>
      </c>
    </row>
    <row r="601" spans="1:2" hidden="1">
      <c r="A601">
        <f>'Production Plan'!B530</f>
        <v>0</v>
      </c>
      <c r="B601" s="3" t="e">
        <f>VLOOKUP(A601,'Production Plan'!B:T,14,FALSE)</f>
        <v>#N/A</v>
      </c>
    </row>
    <row r="602" spans="1:2" hidden="1">
      <c r="A602">
        <f>'Production Plan'!B531</f>
        <v>0</v>
      </c>
      <c r="B602" s="3" t="e">
        <f>VLOOKUP(A602,'Production Plan'!B:T,14,FALSE)</f>
        <v>#N/A</v>
      </c>
    </row>
    <row r="603" spans="1:2" hidden="1">
      <c r="A603">
        <f>'Production Plan'!B532</f>
        <v>0</v>
      </c>
      <c r="B603" s="3" t="e">
        <f>VLOOKUP(A603,'Production Plan'!B:T,14,FALSE)</f>
        <v>#N/A</v>
      </c>
    </row>
    <row r="604" spans="1:2" hidden="1">
      <c r="A604">
        <f>'Production Plan'!B533</f>
        <v>0</v>
      </c>
      <c r="B604" s="3" t="e">
        <f>VLOOKUP(A604,'Production Plan'!B:T,14,FALSE)</f>
        <v>#N/A</v>
      </c>
    </row>
    <row r="605" spans="1:2" hidden="1">
      <c r="A605">
        <f>'Production Plan'!B534</f>
        <v>0</v>
      </c>
      <c r="B605" s="3" t="e">
        <f>VLOOKUP(A605,'Production Plan'!B:T,14,FALSE)</f>
        <v>#N/A</v>
      </c>
    </row>
    <row r="606" spans="1:2" hidden="1">
      <c r="A606">
        <f>'Production Plan'!B535</f>
        <v>0</v>
      </c>
      <c r="B606" s="3" t="e">
        <f>VLOOKUP(A606,'Production Plan'!B:T,14,FALSE)</f>
        <v>#N/A</v>
      </c>
    </row>
    <row r="607" spans="1:2" hidden="1">
      <c r="A607">
        <f>'Production Plan'!B536</f>
        <v>0</v>
      </c>
      <c r="B607" s="3" t="e">
        <f>VLOOKUP(A607,'Production Plan'!B:T,14,FALSE)</f>
        <v>#N/A</v>
      </c>
    </row>
    <row r="608" spans="1:2" hidden="1">
      <c r="A608">
        <f>'Production Plan'!B537</f>
        <v>0</v>
      </c>
      <c r="B608" s="3" t="e">
        <f>VLOOKUP(A608,'Production Plan'!B:T,14,FALSE)</f>
        <v>#N/A</v>
      </c>
    </row>
    <row r="609" spans="1:2" hidden="1">
      <c r="A609">
        <f>'Production Plan'!B538</f>
        <v>0</v>
      </c>
      <c r="B609" s="3" t="e">
        <f>VLOOKUP(A609,'Production Plan'!B:T,14,FALSE)</f>
        <v>#N/A</v>
      </c>
    </row>
    <row r="610" spans="1:2" hidden="1">
      <c r="A610">
        <f>'Production Plan'!B539</f>
        <v>0</v>
      </c>
      <c r="B610" s="3" t="e">
        <f>VLOOKUP(A610,'Production Plan'!B:T,14,FALSE)</f>
        <v>#N/A</v>
      </c>
    </row>
    <row r="611" spans="1:2" hidden="1">
      <c r="A611">
        <f>'Production Plan'!B540</f>
        <v>0</v>
      </c>
      <c r="B611" s="3" t="e">
        <f>VLOOKUP(A611,'Production Plan'!B:T,14,FALSE)</f>
        <v>#N/A</v>
      </c>
    </row>
    <row r="612" spans="1:2" hidden="1">
      <c r="A612">
        <f>'Production Plan'!B541</f>
        <v>0</v>
      </c>
      <c r="B612" s="3" t="e">
        <f>VLOOKUP(A612,'Production Plan'!B:T,14,FALSE)</f>
        <v>#N/A</v>
      </c>
    </row>
    <row r="613" spans="1:2" hidden="1">
      <c r="A613">
        <f>'Production Plan'!B542</f>
        <v>0</v>
      </c>
      <c r="B613" s="3" t="e">
        <f>VLOOKUP(A613,'Production Plan'!B:T,14,FALSE)</f>
        <v>#N/A</v>
      </c>
    </row>
    <row r="614" spans="1:2" hidden="1">
      <c r="A614">
        <f>'Production Plan'!B543</f>
        <v>0</v>
      </c>
      <c r="B614" s="3" t="e">
        <f>VLOOKUP(A614,'Production Plan'!B:T,14,FALSE)</f>
        <v>#N/A</v>
      </c>
    </row>
    <row r="615" spans="1:2" hidden="1">
      <c r="A615">
        <f>'Production Plan'!B544</f>
        <v>0</v>
      </c>
      <c r="B615" s="3" t="e">
        <f>VLOOKUP(A615,'Production Plan'!B:T,14,FALSE)</f>
        <v>#N/A</v>
      </c>
    </row>
    <row r="616" spans="1:2" hidden="1">
      <c r="A616">
        <f>'Production Plan'!B545</f>
        <v>0</v>
      </c>
      <c r="B616" s="3" t="e">
        <f>VLOOKUP(A616,'Production Plan'!B:T,14,FALSE)</f>
        <v>#N/A</v>
      </c>
    </row>
    <row r="617" spans="1:2" hidden="1">
      <c r="A617">
        <f>'Production Plan'!B546</f>
        <v>0</v>
      </c>
      <c r="B617" s="3" t="e">
        <f>VLOOKUP(A617,'Production Plan'!B:T,14,FALSE)</f>
        <v>#N/A</v>
      </c>
    </row>
    <row r="618" spans="1:2" hidden="1">
      <c r="A618">
        <f>'Production Plan'!B547</f>
        <v>0</v>
      </c>
      <c r="B618" s="3" t="e">
        <f>VLOOKUP(A618,'Production Plan'!B:T,14,FALSE)</f>
        <v>#N/A</v>
      </c>
    </row>
    <row r="619" spans="1:2" hidden="1">
      <c r="A619">
        <f>'Production Plan'!B548</f>
        <v>0</v>
      </c>
      <c r="B619" s="3" t="e">
        <f>VLOOKUP(A619,'Production Plan'!B:T,14,FALSE)</f>
        <v>#N/A</v>
      </c>
    </row>
    <row r="620" spans="1:2" hidden="1">
      <c r="A620">
        <f>'Production Plan'!B549</f>
        <v>0</v>
      </c>
      <c r="B620" s="3" t="e">
        <f>VLOOKUP(A620,'Production Plan'!B:T,14,FALSE)</f>
        <v>#N/A</v>
      </c>
    </row>
    <row r="621" spans="1:2" hidden="1">
      <c r="A621">
        <f>'Production Plan'!B550</f>
        <v>0</v>
      </c>
      <c r="B621" s="3" t="e">
        <f>VLOOKUP(A621,'Production Plan'!B:T,14,FALSE)</f>
        <v>#N/A</v>
      </c>
    </row>
    <row r="622" spans="1:2" hidden="1">
      <c r="A622">
        <f>'Production Plan'!B551</f>
        <v>0</v>
      </c>
      <c r="B622" s="3" t="e">
        <f>VLOOKUP(A622,'Production Plan'!B:T,14,FALSE)</f>
        <v>#N/A</v>
      </c>
    </row>
    <row r="623" spans="1:2" hidden="1">
      <c r="A623">
        <f>'Production Plan'!B552</f>
        <v>0</v>
      </c>
      <c r="B623" s="3" t="e">
        <f>VLOOKUP(A623,'Production Plan'!B:T,14,FALSE)</f>
        <v>#N/A</v>
      </c>
    </row>
    <row r="624" spans="1:2" hidden="1">
      <c r="A624">
        <f>'Production Plan'!B553</f>
        <v>0</v>
      </c>
      <c r="B624" s="3" t="e">
        <f>VLOOKUP(A624,'Production Plan'!B:T,14,FALSE)</f>
        <v>#N/A</v>
      </c>
    </row>
    <row r="625" spans="1:2" hidden="1">
      <c r="A625">
        <f>'Production Plan'!B554</f>
        <v>0</v>
      </c>
      <c r="B625" s="3" t="e">
        <f>VLOOKUP(A625,'Production Plan'!B:T,14,FALSE)</f>
        <v>#N/A</v>
      </c>
    </row>
    <row r="626" spans="1:2" hidden="1">
      <c r="A626">
        <f>'Production Plan'!B555</f>
        <v>0</v>
      </c>
      <c r="B626" s="3" t="e">
        <f>VLOOKUP(A626,'Production Plan'!B:T,14,FALSE)</f>
        <v>#N/A</v>
      </c>
    </row>
    <row r="627" spans="1:2" hidden="1">
      <c r="A627">
        <f>'Production Plan'!B556</f>
        <v>0</v>
      </c>
      <c r="B627" s="3" t="e">
        <f>VLOOKUP(A627,'Production Plan'!B:T,14,FALSE)</f>
        <v>#N/A</v>
      </c>
    </row>
    <row r="628" spans="1:2" hidden="1">
      <c r="A628">
        <f>'Production Plan'!B557</f>
        <v>0</v>
      </c>
      <c r="B628" s="3" t="e">
        <f>VLOOKUP(A628,'Production Plan'!B:T,14,FALSE)</f>
        <v>#N/A</v>
      </c>
    </row>
    <row r="629" spans="1:2" hidden="1">
      <c r="A629">
        <f>'Production Plan'!B558</f>
        <v>0</v>
      </c>
      <c r="B629" s="3" t="e">
        <f>VLOOKUP(A629,'Production Plan'!B:T,14,FALSE)</f>
        <v>#N/A</v>
      </c>
    </row>
    <row r="630" spans="1:2" hidden="1">
      <c r="A630">
        <f>'Production Plan'!B559</f>
        <v>0</v>
      </c>
      <c r="B630" s="3" t="e">
        <f>VLOOKUP(A630,'Production Plan'!B:T,14,FALSE)</f>
        <v>#N/A</v>
      </c>
    </row>
    <row r="631" spans="1:2" hidden="1">
      <c r="A631">
        <f>'Production Plan'!B560</f>
        <v>0</v>
      </c>
      <c r="B631" s="3" t="e">
        <f>VLOOKUP(A631,'Production Plan'!B:T,14,FALSE)</f>
        <v>#N/A</v>
      </c>
    </row>
    <row r="632" spans="1:2" hidden="1">
      <c r="A632">
        <f>'Production Plan'!B561</f>
        <v>0</v>
      </c>
      <c r="B632" s="3" t="e">
        <f>VLOOKUP(A632,'Production Plan'!B:T,14,FALSE)</f>
        <v>#N/A</v>
      </c>
    </row>
    <row r="633" spans="1:2" hidden="1">
      <c r="A633">
        <f>'Production Plan'!B562</f>
        <v>0</v>
      </c>
      <c r="B633" s="3" t="e">
        <f>VLOOKUP(A633,'Production Plan'!B:T,14,FALSE)</f>
        <v>#N/A</v>
      </c>
    </row>
    <row r="634" spans="1:2" hidden="1">
      <c r="A634">
        <f>'Production Plan'!B563</f>
        <v>0</v>
      </c>
      <c r="B634" s="3" t="e">
        <f>VLOOKUP(A634,'Production Plan'!B:T,14,FALSE)</f>
        <v>#N/A</v>
      </c>
    </row>
    <row r="635" spans="1:2" hidden="1">
      <c r="A635">
        <f>'Production Plan'!B564</f>
        <v>0</v>
      </c>
      <c r="B635" s="3" t="e">
        <f>VLOOKUP(A635,'Production Plan'!B:T,14,FALSE)</f>
        <v>#N/A</v>
      </c>
    </row>
    <row r="636" spans="1:2" hidden="1">
      <c r="A636">
        <f>'Production Plan'!B565</f>
        <v>0</v>
      </c>
      <c r="B636" s="3" t="e">
        <f>VLOOKUP(A636,'Production Plan'!B:T,14,FALSE)</f>
        <v>#N/A</v>
      </c>
    </row>
    <row r="637" spans="1:2" hidden="1">
      <c r="A637">
        <f>'Production Plan'!B566</f>
        <v>0</v>
      </c>
      <c r="B637" s="3" t="e">
        <f>VLOOKUP(A637,'Production Plan'!B:T,14,FALSE)</f>
        <v>#N/A</v>
      </c>
    </row>
    <row r="638" spans="1:2" hidden="1">
      <c r="A638">
        <f>'Production Plan'!B567</f>
        <v>0</v>
      </c>
      <c r="B638" s="3" t="e">
        <f>VLOOKUP(A638,'Production Plan'!B:T,14,FALSE)</f>
        <v>#N/A</v>
      </c>
    </row>
    <row r="639" spans="1:2" hidden="1">
      <c r="A639">
        <f>'Production Plan'!B568</f>
        <v>0</v>
      </c>
      <c r="B639" s="3" t="e">
        <f>VLOOKUP(A639,'Production Plan'!B:T,14,FALSE)</f>
        <v>#N/A</v>
      </c>
    </row>
    <row r="640" spans="1:2" hidden="1">
      <c r="A640">
        <f>'Production Plan'!B569</f>
        <v>0</v>
      </c>
      <c r="B640" s="3" t="e">
        <f>VLOOKUP(A640,'Production Plan'!B:T,14,FALSE)</f>
        <v>#N/A</v>
      </c>
    </row>
    <row r="641" spans="1:2" hidden="1">
      <c r="A641">
        <f>'Production Plan'!B570</f>
        <v>0</v>
      </c>
      <c r="B641" s="3" t="e">
        <f>VLOOKUP(A641,'Production Plan'!B:T,14,FALSE)</f>
        <v>#N/A</v>
      </c>
    </row>
    <row r="642" spans="1:2" hidden="1">
      <c r="A642">
        <f>'Production Plan'!B571</f>
        <v>0</v>
      </c>
      <c r="B642" s="3" t="e">
        <f>VLOOKUP(A642,'Production Plan'!B:T,14,FALSE)</f>
        <v>#N/A</v>
      </c>
    </row>
    <row r="643" spans="1:2" hidden="1">
      <c r="A643">
        <f>'Production Plan'!B572</f>
        <v>0</v>
      </c>
      <c r="B643" s="3" t="e">
        <f>VLOOKUP(A643,'Production Plan'!B:T,14,FALSE)</f>
        <v>#N/A</v>
      </c>
    </row>
    <row r="644" spans="1:2" hidden="1">
      <c r="A644">
        <f>'Production Plan'!B573</f>
        <v>0</v>
      </c>
      <c r="B644" s="3" t="e">
        <f>VLOOKUP(A644,'Production Plan'!B:T,14,FALSE)</f>
        <v>#N/A</v>
      </c>
    </row>
    <row r="645" spans="1:2" hidden="1">
      <c r="A645">
        <f>'Production Plan'!B574</f>
        <v>0</v>
      </c>
      <c r="B645" s="3" t="e">
        <f>VLOOKUP(A645,'Production Plan'!B:T,14,FALSE)</f>
        <v>#N/A</v>
      </c>
    </row>
    <row r="646" spans="1:2" hidden="1">
      <c r="A646">
        <f>'Production Plan'!B575</f>
        <v>0</v>
      </c>
      <c r="B646" s="3" t="e">
        <f>VLOOKUP(A646,'Production Plan'!B:T,14,FALSE)</f>
        <v>#N/A</v>
      </c>
    </row>
    <row r="647" spans="1:2" hidden="1">
      <c r="A647">
        <f>'Production Plan'!B576</f>
        <v>0</v>
      </c>
      <c r="B647" s="3" t="e">
        <f>VLOOKUP(A647,'Production Plan'!B:T,14,FALSE)</f>
        <v>#N/A</v>
      </c>
    </row>
    <row r="648" spans="1:2" hidden="1">
      <c r="A648">
        <f>'Production Plan'!B577</f>
        <v>0</v>
      </c>
      <c r="B648" s="3" t="e">
        <f>VLOOKUP(A648,'Production Plan'!B:T,14,FALSE)</f>
        <v>#N/A</v>
      </c>
    </row>
    <row r="649" spans="1:2" hidden="1">
      <c r="A649">
        <f>'Production Plan'!B578</f>
        <v>0</v>
      </c>
      <c r="B649" s="3" t="e">
        <f>VLOOKUP(A649,'Production Plan'!B:T,14,FALSE)</f>
        <v>#N/A</v>
      </c>
    </row>
    <row r="650" spans="1:2" hidden="1">
      <c r="A650">
        <f>'Production Plan'!B579</f>
        <v>0</v>
      </c>
      <c r="B650" s="3" t="e">
        <f>VLOOKUP(A650,'Production Plan'!B:T,14,FALSE)</f>
        <v>#N/A</v>
      </c>
    </row>
    <row r="651" spans="1:2" hidden="1">
      <c r="A651">
        <f>'Production Plan'!B580</f>
        <v>0</v>
      </c>
      <c r="B651" s="3" t="e">
        <f>VLOOKUP(A651,'Production Plan'!B:T,14,FALSE)</f>
        <v>#N/A</v>
      </c>
    </row>
    <row r="652" spans="1:2" hidden="1">
      <c r="A652">
        <f>'Production Plan'!B581</f>
        <v>0</v>
      </c>
      <c r="B652" s="3" t="e">
        <f>VLOOKUP(A652,'Production Plan'!B:T,14,FALSE)</f>
        <v>#N/A</v>
      </c>
    </row>
    <row r="653" spans="1:2" hidden="1">
      <c r="A653">
        <f>'Production Plan'!B582</f>
        <v>0</v>
      </c>
      <c r="B653" s="3" t="e">
        <f>VLOOKUP(A653,'Production Plan'!B:T,14,FALSE)</f>
        <v>#N/A</v>
      </c>
    </row>
    <row r="654" spans="1:2" hidden="1">
      <c r="A654">
        <f>'Production Plan'!B583</f>
        <v>0</v>
      </c>
      <c r="B654" s="3" t="e">
        <f>VLOOKUP(A654,'Production Plan'!B:T,14,FALSE)</f>
        <v>#N/A</v>
      </c>
    </row>
    <row r="655" spans="1:2" hidden="1">
      <c r="A655">
        <f>'Production Plan'!B584</f>
        <v>0</v>
      </c>
      <c r="B655" s="3" t="e">
        <f>VLOOKUP(A655,'Production Plan'!B:T,14,FALSE)</f>
        <v>#N/A</v>
      </c>
    </row>
    <row r="656" spans="1:2" hidden="1">
      <c r="A656">
        <f>'Production Plan'!B585</f>
        <v>0</v>
      </c>
      <c r="B656" s="3" t="e">
        <f>VLOOKUP(A656,'Production Plan'!B:T,14,FALSE)</f>
        <v>#N/A</v>
      </c>
    </row>
    <row r="657" spans="1:2" hidden="1">
      <c r="A657">
        <f>'Production Plan'!B586</f>
        <v>0</v>
      </c>
      <c r="B657" s="3" t="e">
        <f>VLOOKUP(A657,'Production Plan'!B:T,14,FALSE)</f>
        <v>#N/A</v>
      </c>
    </row>
    <row r="658" spans="1:2" hidden="1">
      <c r="A658">
        <f>'Production Plan'!B587</f>
        <v>0</v>
      </c>
      <c r="B658" s="3" t="e">
        <f>VLOOKUP(A658,'Production Plan'!B:T,14,FALSE)</f>
        <v>#N/A</v>
      </c>
    </row>
    <row r="659" spans="1:2" hidden="1">
      <c r="A659">
        <f>'Production Plan'!B588</f>
        <v>0</v>
      </c>
      <c r="B659" s="3" t="e">
        <f>VLOOKUP(A659,'Production Plan'!B:T,14,FALSE)</f>
        <v>#N/A</v>
      </c>
    </row>
    <row r="660" spans="1:2" hidden="1">
      <c r="A660">
        <f>'Production Plan'!B589</f>
        <v>0</v>
      </c>
      <c r="B660" s="3" t="e">
        <f>VLOOKUP(A660,'Production Plan'!B:T,14,FALSE)</f>
        <v>#N/A</v>
      </c>
    </row>
    <row r="661" spans="1:2" hidden="1">
      <c r="A661">
        <f>'Production Plan'!B590</f>
        <v>0</v>
      </c>
      <c r="B661" s="3" t="e">
        <f>VLOOKUP(A661,'Production Plan'!B:T,14,FALSE)</f>
        <v>#N/A</v>
      </c>
    </row>
    <row r="662" spans="1:2" hidden="1">
      <c r="A662">
        <f>'Production Plan'!B591</f>
        <v>0</v>
      </c>
      <c r="B662" s="3" t="e">
        <f>VLOOKUP(A662,'Production Plan'!B:T,14,FALSE)</f>
        <v>#N/A</v>
      </c>
    </row>
    <row r="663" spans="1:2" hidden="1">
      <c r="A663">
        <f>'Production Plan'!B592</f>
        <v>0</v>
      </c>
      <c r="B663" s="3" t="e">
        <f>VLOOKUP(A663,'Production Plan'!B:T,14,FALSE)</f>
        <v>#N/A</v>
      </c>
    </row>
    <row r="664" spans="1:2" hidden="1">
      <c r="A664">
        <f>'Production Plan'!B593</f>
        <v>0</v>
      </c>
      <c r="B664" s="3" t="e">
        <f>VLOOKUP(A664,'Production Plan'!B:T,14,FALSE)</f>
        <v>#N/A</v>
      </c>
    </row>
    <row r="665" spans="1:2" hidden="1">
      <c r="A665">
        <f>'Production Plan'!B594</f>
        <v>0</v>
      </c>
      <c r="B665" s="3" t="e">
        <f>VLOOKUP(A665,'Production Plan'!B:T,14,FALSE)</f>
        <v>#N/A</v>
      </c>
    </row>
    <row r="666" spans="1:2" hidden="1">
      <c r="A666">
        <f>'Production Plan'!B595</f>
        <v>0</v>
      </c>
      <c r="B666" s="3" t="e">
        <f>VLOOKUP(A666,'Production Plan'!B:T,14,FALSE)</f>
        <v>#N/A</v>
      </c>
    </row>
    <row r="667" spans="1:2" hidden="1">
      <c r="A667">
        <f>'Production Plan'!B596</f>
        <v>0</v>
      </c>
      <c r="B667" s="3" t="e">
        <f>VLOOKUP(A667,'Production Plan'!B:T,14,FALSE)</f>
        <v>#N/A</v>
      </c>
    </row>
    <row r="668" spans="1:2" hidden="1">
      <c r="A668">
        <f>'Production Plan'!B597</f>
        <v>0</v>
      </c>
      <c r="B668" s="3" t="e">
        <f>VLOOKUP(A668,'Production Plan'!B:T,14,FALSE)</f>
        <v>#N/A</v>
      </c>
    </row>
    <row r="669" spans="1:2" hidden="1">
      <c r="A669">
        <f>'Production Plan'!B598</f>
        <v>0</v>
      </c>
      <c r="B669" s="3" t="e">
        <f>VLOOKUP(A669,'Production Plan'!B:T,14,FALSE)</f>
        <v>#N/A</v>
      </c>
    </row>
    <row r="670" spans="1:2" hidden="1">
      <c r="A670">
        <f>'Production Plan'!B599</f>
        <v>0</v>
      </c>
      <c r="B670" s="3" t="e">
        <f>VLOOKUP(A670,'Production Plan'!B:T,14,FALSE)</f>
        <v>#N/A</v>
      </c>
    </row>
    <row r="671" spans="1:2" hidden="1">
      <c r="A671">
        <f>'Production Plan'!B600</f>
        <v>0</v>
      </c>
      <c r="B671" s="3" t="e">
        <f>VLOOKUP(A671,'Production Plan'!B:T,14,FALSE)</f>
        <v>#N/A</v>
      </c>
    </row>
    <row r="672" spans="1:2" hidden="1">
      <c r="A672">
        <f>'Production Plan'!B601</f>
        <v>0</v>
      </c>
      <c r="B672" s="3" t="e">
        <f>VLOOKUP(A672,'Production Plan'!B:T,14,FALSE)</f>
        <v>#N/A</v>
      </c>
    </row>
    <row r="673" spans="1:2" hidden="1">
      <c r="A673">
        <f>'Production Plan'!B602</f>
        <v>0</v>
      </c>
      <c r="B673" s="3" t="e">
        <f>VLOOKUP(A673,'Production Plan'!B:T,14,FALSE)</f>
        <v>#N/A</v>
      </c>
    </row>
    <row r="674" spans="1:2" hidden="1">
      <c r="A674">
        <f>'Production Plan'!B603</f>
        <v>0</v>
      </c>
      <c r="B674" s="3" t="e">
        <f>VLOOKUP(A674,'Production Plan'!B:T,14,FALSE)</f>
        <v>#N/A</v>
      </c>
    </row>
    <row r="675" spans="1:2" hidden="1">
      <c r="A675">
        <f>'Production Plan'!B604</f>
        <v>0</v>
      </c>
      <c r="B675" s="3" t="e">
        <f>VLOOKUP(A675,'Production Plan'!B:T,14,FALSE)</f>
        <v>#N/A</v>
      </c>
    </row>
    <row r="676" spans="1:2" hidden="1">
      <c r="A676">
        <f>'Production Plan'!B605</f>
        <v>0</v>
      </c>
      <c r="B676" s="3" t="e">
        <f>VLOOKUP(A676,'Production Plan'!B:T,14,FALSE)</f>
        <v>#N/A</v>
      </c>
    </row>
    <row r="677" spans="1:2" hidden="1">
      <c r="A677">
        <f>'Production Plan'!B606</f>
        <v>0</v>
      </c>
      <c r="B677" s="3" t="e">
        <f>VLOOKUP(A677,'Production Plan'!B:T,14,FALSE)</f>
        <v>#N/A</v>
      </c>
    </row>
    <row r="678" spans="1:2" hidden="1">
      <c r="A678">
        <f>'Production Plan'!B607</f>
        <v>0</v>
      </c>
      <c r="B678" s="3" t="e">
        <f>VLOOKUP(A678,'Production Plan'!B:T,14,FALSE)</f>
        <v>#N/A</v>
      </c>
    </row>
    <row r="679" spans="1:2" hidden="1">
      <c r="A679">
        <f>'Production Plan'!B608</f>
        <v>0</v>
      </c>
      <c r="B679" s="3" t="e">
        <f>VLOOKUP(A679,'Production Plan'!B:T,14,FALSE)</f>
        <v>#N/A</v>
      </c>
    </row>
    <row r="680" spans="1:2" hidden="1">
      <c r="A680">
        <f>'Production Plan'!B609</f>
        <v>0</v>
      </c>
      <c r="B680" s="3" t="e">
        <f>VLOOKUP(A680,'Production Plan'!B:T,14,FALSE)</f>
        <v>#N/A</v>
      </c>
    </row>
    <row r="681" spans="1:2" hidden="1">
      <c r="A681">
        <f>'Production Plan'!B610</f>
        <v>0</v>
      </c>
      <c r="B681" s="3" t="e">
        <f>VLOOKUP(A681,'Production Plan'!B:T,14,FALSE)</f>
        <v>#N/A</v>
      </c>
    </row>
    <row r="682" spans="1:2" hidden="1">
      <c r="A682">
        <f>'Production Plan'!B611</f>
        <v>0</v>
      </c>
      <c r="B682" s="3" t="e">
        <f>VLOOKUP(A682,'Production Plan'!B:T,14,FALSE)</f>
        <v>#N/A</v>
      </c>
    </row>
    <row r="683" spans="1:2" hidden="1">
      <c r="A683">
        <f>'Production Plan'!B612</f>
        <v>0</v>
      </c>
      <c r="B683" s="3" t="e">
        <f>VLOOKUP(A683,'Production Plan'!B:T,14,FALSE)</f>
        <v>#N/A</v>
      </c>
    </row>
    <row r="684" spans="1:2" hidden="1">
      <c r="A684">
        <f>'Production Plan'!B613</f>
        <v>0</v>
      </c>
      <c r="B684" s="3" t="e">
        <f>VLOOKUP(A684,'Production Plan'!B:T,14,FALSE)</f>
        <v>#N/A</v>
      </c>
    </row>
    <row r="685" spans="1:2" hidden="1">
      <c r="A685">
        <f>'Production Plan'!B614</f>
        <v>0</v>
      </c>
      <c r="B685" s="3" t="e">
        <f>VLOOKUP(A685,'Production Plan'!B:T,14,FALSE)</f>
        <v>#N/A</v>
      </c>
    </row>
    <row r="686" spans="1:2" hidden="1">
      <c r="A686">
        <f>'Production Plan'!B615</f>
        <v>0</v>
      </c>
      <c r="B686" s="3" t="e">
        <f>VLOOKUP(A686,'Production Plan'!B:T,14,FALSE)</f>
        <v>#N/A</v>
      </c>
    </row>
    <row r="687" spans="1:2" hidden="1">
      <c r="A687">
        <f>'Production Plan'!B616</f>
        <v>0</v>
      </c>
      <c r="B687" s="3" t="e">
        <f>VLOOKUP(A687,'Production Plan'!B:T,14,FALSE)</f>
        <v>#N/A</v>
      </c>
    </row>
    <row r="688" spans="1:2" hidden="1">
      <c r="A688">
        <f>'Production Plan'!B617</f>
        <v>0</v>
      </c>
      <c r="B688" s="3" t="e">
        <f>VLOOKUP(A688,'Production Plan'!B:T,14,FALSE)</f>
        <v>#N/A</v>
      </c>
    </row>
    <row r="689" spans="1:2" hidden="1">
      <c r="A689">
        <f>'Production Plan'!B618</f>
        <v>0</v>
      </c>
      <c r="B689" s="3" t="e">
        <f>VLOOKUP(A689,'Production Plan'!B:T,14,FALSE)</f>
        <v>#N/A</v>
      </c>
    </row>
    <row r="690" spans="1:2" hidden="1">
      <c r="A690">
        <f>'Production Plan'!B619</f>
        <v>0</v>
      </c>
      <c r="B690" s="3" t="e">
        <f>VLOOKUP(A690,'Production Plan'!B:T,14,FALSE)</f>
        <v>#N/A</v>
      </c>
    </row>
    <row r="691" spans="1:2" hidden="1">
      <c r="A691">
        <f>'Production Plan'!B620</f>
        <v>0</v>
      </c>
      <c r="B691" s="3" t="e">
        <f>VLOOKUP(A691,'Production Plan'!B:T,14,FALSE)</f>
        <v>#N/A</v>
      </c>
    </row>
    <row r="692" spans="1:2" hidden="1">
      <c r="A692">
        <f>'Production Plan'!B621</f>
        <v>0</v>
      </c>
      <c r="B692" s="3" t="e">
        <f>VLOOKUP(A692,'Production Plan'!B:T,14,FALSE)</f>
        <v>#N/A</v>
      </c>
    </row>
    <row r="693" spans="1:2" hidden="1">
      <c r="A693">
        <f>'Production Plan'!B622</f>
        <v>0</v>
      </c>
      <c r="B693" s="3" t="e">
        <f>VLOOKUP(A693,'Production Plan'!B:T,14,FALSE)</f>
        <v>#N/A</v>
      </c>
    </row>
    <row r="694" spans="1:2" hidden="1">
      <c r="A694">
        <f>'Production Plan'!B623</f>
        <v>0</v>
      </c>
      <c r="B694" s="3" t="e">
        <f>VLOOKUP(A694,'Production Plan'!B:T,14,FALSE)</f>
        <v>#N/A</v>
      </c>
    </row>
    <row r="695" spans="1:2" hidden="1">
      <c r="A695">
        <f>'Production Plan'!B624</f>
        <v>0</v>
      </c>
      <c r="B695" s="3" t="e">
        <f>VLOOKUP(A695,'Production Plan'!B:T,14,FALSE)</f>
        <v>#N/A</v>
      </c>
    </row>
    <row r="696" spans="1:2" hidden="1">
      <c r="A696">
        <f>'Production Plan'!B625</f>
        <v>0</v>
      </c>
      <c r="B696" s="3" t="e">
        <f>VLOOKUP(A696,'Production Plan'!B:T,14,FALSE)</f>
        <v>#N/A</v>
      </c>
    </row>
    <row r="697" spans="1:2" hidden="1">
      <c r="A697">
        <f>'Production Plan'!B626</f>
        <v>0</v>
      </c>
      <c r="B697" s="3" t="e">
        <f>VLOOKUP(A697,'Production Plan'!B:T,14,FALSE)</f>
        <v>#N/A</v>
      </c>
    </row>
    <row r="698" spans="1:2" hidden="1">
      <c r="A698">
        <f>'Production Plan'!B627</f>
        <v>0</v>
      </c>
      <c r="B698" s="3" t="e">
        <f>VLOOKUP(A698,'Production Plan'!B:T,14,FALSE)</f>
        <v>#N/A</v>
      </c>
    </row>
    <row r="699" spans="1:2" hidden="1">
      <c r="A699">
        <f>'Production Plan'!B628</f>
        <v>0</v>
      </c>
      <c r="B699" s="3" t="e">
        <f>VLOOKUP(A699,'Production Plan'!B:T,14,FALSE)</f>
        <v>#N/A</v>
      </c>
    </row>
    <row r="700" spans="1:2" hidden="1">
      <c r="A700">
        <f>'Production Plan'!B629</f>
        <v>0</v>
      </c>
      <c r="B700" s="3" t="e">
        <f>VLOOKUP(A700,'Production Plan'!B:T,14,FALSE)</f>
        <v>#N/A</v>
      </c>
    </row>
    <row r="701" spans="1:2" hidden="1">
      <c r="A701">
        <f>'Production Plan'!B630</f>
        <v>0</v>
      </c>
      <c r="B701" s="3" t="e">
        <f>VLOOKUP(A701,'Production Plan'!B:T,14,FALSE)</f>
        <v>#N/A</v>
      </c>
    </row>
    <row r="702" spans="1:2" hidden="1">
      <c r="A702">
        <f>'Production Plan'!B631</f>
        <v>0</v>
      </c>
      <c r="B702" s="3" t="e">
        <f>VLOOKUP(A702,'Production Plan'!B:T,14,FALSE)</f>
        <v>#N/A</v>
      </c>
    </row>
    <row r="703" spans="1:2" hidden="1">
      <c r="A703">
        <f>'Production Plan'!B632</f>
        <v>0</v>
      </c>
      <c r="B703" s="3" t="e">
        <f>VLOOKUP(A703,'Production Plan'!B:T,14,FALSE)</f>
        <v>#N/A</v>
      </c>
    </row>
    <row r="704" spans="1:2" hidden="1">
      <c r="A704">
        <f>'Production Plan'!B633</f>
        <v>0</v>
      </c>
      <c r="B704" s="3" t="e">
        <f>VLOOKUP(A704,'Production Plan'!B:T,14,FALSE)</f>
        <v>#N/A</v>
      </c>
    </row>
    <row r="705" spans="1:2" hidden="1">
      <c r="A705">
        <f>'Production Plan'!B634</f>
        <v>0</v>
      </c>
      <c r="B705" s="3" t="e">
        <f>VLOOKUP(A705,'Production Plan'!B:T,14,FALSE)</f>
        <v>#N/A</v>
      </c>
    </row>
    <row r="706" spans="1:2" hidden="1">
      <c r="A706">
        <f>'Production Plan'!B635</f>
        <v>0</v>
      </c>
      <c r="B706" s="3" t="e">
        <f>VLOOKUP(A706,'Production Plan'!B:T,14,FALSE)</f>
        <v>#N/A</v>
      </c>
    </row>
    <row r="707" spans="1:2" hidden="1">
      <c r="A707">
        <f>'Production Plan'!B636</f>
        <v>0</v>
      </c>
      <c r="B707" s="3" t="e">
        <f>VLOOKUP(A707,'Production Plan'!B:T,14,FALSE)</f>
        <v>#N/A</v>
      </c>
    </row>
    <row r="708" spans="1:2" hidden="1">
      <c r="A708">
        <f>'Production Plan'!B637</f>
        <v>0</v>
      </c>
      <c r="B708" s="3" t="e">
        <f>VLOOKUP(A708,'Production Plan'!B:T,14,FALSE)</f>
        <v>#N/A</v>
      </c>
    </row>
    <row r="709" spans="1:2" hidden="1">
      <c r="A709">
        <f>'Production Plan'!B638</f>
        <v>0</v>
      </c>
      <c r="B709" s="3" t="e">
        <f>VLOOKUP(A709,'Production Plan'!B:T,14,FALSE)</f>
        <v>#N/A</v>
      </c>
    </row>
    <row r="710" spans="1:2" hidden="1">
      <c r="A710">
        <f>'Production Plan'!B639</f>
        <v>0</v>
      </c>
      <c r="B710" s="3" t="e">
        <f>VLOOKUP(A710,'Production Plan'!B:T,14,FALSE)</f>
        <v>#N/A</v>
      </c>
    </row>
    <row r="711" spans="1:2" hidden="1">
      <c r="A711">
        <f>'Production Plan'!B640</f>
        <v>0</v>
      </c>
      <c r="B711" s="3" t="e">
        <f>VLOOKUP(A711,'Production Plan'!B:T,14,FALSE)</f>
        <v>#N/A</v>
      </c>
    </row>
    <row r="712" spans="1:2" hidden="1">
      <c r="A712">
        <f>'Production Plan'!B641</f>
        <v>0</v>
      </c>
      <c r="B712" s="3" t="e">
        <f>VLOOKUP(A712,'Production Plan'!B:T,14,FALSE)</f>
        <v>#N/A</v>
      </c>
    </row>
    <row r="713" spans="1:2" hidden="1">
      <c r="A713">
        <f>'Production Plan'!B642</f>
        <v>0</v>
      </c>
      <c r="B713" s="3" t="e">
        <f>VLOOKUP(A713,'Production Plan'!B:T,14,FALSE)</f>
        <v>#N/A</v>
      </c>
    </row>
    <row r="714" spans="1:2" hidden="1">
      <c r="A714">
        <f>'Production Plan'!B643</f>
        <v>0</v>
      </c>
      <c r="B714" s="3" t="e">
        <f>VLOOKUP(A714,'Production Plan'!B:T,14,FALSE)</f>
        <v>#N/A</v>
      </c>
    </row>
    <row r="715" spans="1:2" hidden="1">
      <c r="A715">
        <f>'Production Plan'!B644</f>
        <v>0</v>
      </c>
      <c r="B715" s="3" t="e">
        <f>VLOOKUP(A715,'Production Plan'!B:T,14,FALSE)</f>
        <v>#N/A</v>
      </c>
    </row>
    <row r="716" spans="1:2" hidden="1">
      <c r="A716">
        <f>'Production Plan'!B645</f>
        <v>0</v>
      </c>
      <c r="B716" s="3" t="e">
        <f>VLOOKUP(A716,'Production Plan'!B:T,14,FALSE)</f>
        <v>#N/A</v>
      </c>
    </row>
    <row r="717" spans="1:2" hidden="1">
      <c r="A717">
        <f>'Production Plan'!B646</f>
        <v>0</v>
      </c>
      <c r="B717" s="3" t="e">
        <f>VLOOKUP(A717,'Production Plan'!B:T,14,FALSE)</f>
        <v>#N/A</v>
      </c>
    </row>
    <row r="718" spans="1:2" hidden="1">
      <c r="A718">
        <f>'Production Plan'!B647</f>
        <v>0</v>
      </c>
      <c r="B718" s="3" t="e">
        <f>VLOOKUP(A718,'Production Plan'!B:T,14,FALSE)</f>
        <v>#N/A</v>
      </c>
    </row>
    <row r="719" spans="1:2" hidden="1">
      <c r="A719">
        <f>'Production Plan'!B648</f>
        <v>0</v>
      </c>
      <c r="B719" s="3" t="e">
        <f>VLOOKUP(A719,'Production Plan'!B:T,14,FALSE)</f>
        <v>#N/A</v>
      </c>
    </row>
    <row r="720" spans="1:2" hidden="1">
      <c r="A720">
        <f>'Production Plan'!B649</f>
        <v>0</v>
      </c>
      <c r="B720" s="3" t="e">
        <f>VLOOKUP(A720,'Production Plan'!B:T,14,FALSE)</f>
        <v>#N/A</v>
      </c>
    </row>
    <row r="721" spans="1:2" hidden="1">
      <c r="A721">
        <f>'Production Plan'!B650</f>
        <v>0</v>
      </c>
      <c r="B721" s="3" t="e">
        <f>VLOOKUP(A721,'Production Plan'!B:T,14,FALSE)</f>
        <v>#N/A</v>
      </c>
    </row>
    <row r="722" spans="1:2" hidden="1">
      <c r="A722">
        <f>'Production Plan'!B651</f>
        <v>0</v>
      </c>
      <c r="B722" s="3" t="e">
        <f>VLOOKUP(A722,'Production Plan'!B:T,14,FALSE)</f>
        <v>#N/A</v>
      </c>
    </row>
    <row r="723" spans="1:2" hidden="1">
      <c r="A723">
        <f>'Production Plan'!B652</f>
        <v>0</v>
      </c>
      <c r="B723" s="3" t="e">
        <f>VLOOKUP(A723,'Production Plan'!B:T,14,FALSE)</f>
        <v>#N/A</v>
      </c>
    </row>
    <row r="724" spans="1:2" hidden="1">
      <c r="A724">
        <f>'Production Plan'!B653</f>
        <v>0</v>
      </c>
      <c r="B724" s="3" t="e">
        <f>VLOOKUP(A724,'Production Plan'!B:T,14,FALSE)</f>
        <v>#N/A</v>
      </c>
    </row>
    <row r="725" spans="1:2" hidden="1">
      <c r="A725">
        <f>'Production Plan'!B654</f>
        <v>0</v>
      </c>
      <c r="B725" s="3" t="e">
        <f>VLOOKUP(A725,'Production Plan'!B:T,14,FALSE)</f>
        <v>#N/A</v>
      </c>
    </row>
    <row r="726" spans="1:2" hidden="1">
      <c r="A726">
        <f>'Production Plan'!B655</f>
        <v>0</v>
      </c>
      <c r="B726" s="3" t="e">
        <f>VLOOKUP(A726,'Production Plan'!B:T,14,FALSE)</f>
        <v>#N/A</v>
      </c>
    </row>
    <row r="727" spans="1:2" hidden="1">
      <c r="A727">
        <f>'Production Plan'!B656</f>
        <v>0</v>
      </c>
      <c r="B727" s="3" t="e">
        <f>VLOOKUP(A727,'Production Plan'!B:T,14,FALSE)</f>
        <v>#N/A</v>
      </c>
    </row>
    <row r="728" spans="1:2" hidden="1">
      <c r="A728">
        <f>'Production Plan'!B657</f>
        <v>0</v>
      </c>
      <c r="B728" s="3" t="e">
        <f>VLOOKUP(A728,'Production Plan'!B:T,14,FALSE)</f>
        <v>#N/A</v>
      </c>
    </row>
    <row r="729" spans="1:2" hidden="1">
      <c r="A729">
        <f>'Production Plan'!B658</f>
        <v>0</v>
      </c>
      <c r="B729" s="3" t="e">
        <f>VLOOKUP(A729,'Production Plan'!B:T,14,FALSE)</f>
        <v>#N/A</v>
      </c>
    </row>
    <row r="730" spans="1:2" hidden="1">
      <c r="A730">
        <f>'Production Plan'!B659</f>
        <v>0</v>
      </c>
      <c r="B730" s="3" t="e">
        <f>VLOOKUP(A730,'Production Plan'!B:T,14,FALSE)</f>
        <v>#N/A</v>
      </c>
    </row>
    <row r="731" spans="1:2" hidden="1">
      <c r="A731">
        <f>'Production Plan'!B660</f>
        <v>0</v>
      </c>
      <c r="B731" s="3" t="e">
        <f>VLOOKUP(A731,'Production Plan'!B:T,14,FALSE)</f>
        <v>#N/A</v>
      </c>
    </row>
    <row r="732" spans="1:2" hidden="1">
      <c r="A732">
        <f>'Production Plan'!B661</f>
        <v>0</v>
      </c>
      <c r="B732" s="3" t="e">
        <f>VLOOKUP(A732,'Production Plan'!B:T,14,FALSE)</f>
        <v>#N/A</v>
      </c>
    </row>
    <row r="733" spans="1:2" hidden="1">
      <c r="A733">
        <f>'Production Plan'!B662</f>
        <v>0</v>
      </c>
      <c r="B733" s="3" t="e">
        <f>VLOOKUP(A733,'Production Plan'!B:T,14,FALSE)</f>
        <v>#N/A</v>
      </c>
    </row>
    <row r="734" spans="1:2" hidden="1">
      <c r="A734">
        <f>'Production Plan'!B663</f>
        <v>0</v>
      </c>
      <c r="B734" s="3" t="e">
        <f>VLOOKUP(A734,'Production Plan'!B:T,14,FALSE)</f>
        <v>#N/A</v>
      </c>
    </row>
    <row r="735" spans="1:2" hidden="1">
      <c r="A735">
        <f>'Production Plan'!B664</f>
        <v>0</v>
      </c>
      <c r="B735" s="3" t="e">
        <f>VLOOKUP(A735,'Production Plan'!B:T,14,FALSE)</f>
        <v>#N/A</v>
      </c>
    </row>
    <row r="736" spans="1:2" hidden="1">
      <c r="A736">
        <f>'Production Plan'!B665</f>
        <v>0</v>
      </c>
      <c r="B736" s="3" t="e">
        <f>VLOOKUP(A736,'Production Plan'!B:T,14,FALSE)</f>
        <v>#N/A</v>
      </c>
    </row>
    <row r="737" spans="1:2" hidden="1">
      <c r="A737">
        <f>'Production Plan'!B666</f>
        <v>0</v>
      </c>
      <c r="B737" s="3" t="e">
        <f>VLOOKUP(A737,'Production Plan'!B:T,14,FALSE)</f>
        <v>#N/A</v>
      </c>
    </row>
    <row r="738" spans="1:2" hidden="1">
      <c r="A738">
        <f>'Production Plan'!B667</f>
        <v>0</v>
      </c>
      <c r="B738" s="3" t="e">
        <f>VLOOKUP(A738,'Production Plan'!B:T,14,FALSE)</f>
        <v>#N/A</v>
      </c>
    </row>
    <row r="739" spans="1:2" hidden="1">
      <c r="A739">
        <f>'Production Plan'!B668</f>
        <v>0</v>
      </c>
      <c r="B739" s="3" t="e">
        <f>VLOOKUP(A739,'Production Plan'!B:T,14,FALSE)</f>
        <v>#N/A</v>
      </c>
    </row>
    <row r="740" spans="1:2" hidden="1">
      <c r="A740">
        <f>'Production Plan'!B669</f>
        <v>0</v>
      </c>
      <c r="B740" s="3" t="e">
        <f>VLOOKUP(A740,'Production Plan'!B:T,14,FALSE)</f>
        <v>#N/A</v>
      </c>
    </row>
    <row r="741" spans="1:2" hidden="1">
      <c r="A741">
        <f>'Production Plan'!B670</f>
        <v>0</v>
      </c>
      <c r="B741" s="3" t="e">
        <f>VLOOKUP(A741,'Production Plan'!B:T,14,FALSE)</f>
        <v>#N/A</v>
      </c>
    </row>
    <row r="742" spans="1:2" hidden="1">
      <c r="A742">
        <f>'Production Plan'!B671</f>
        <v>0</v>
      </c>
      <c r="B742" s="3" t="e">
        <f>VLOOKUP(A742,'Production Plan'!B:T,14,FALSE)</f>
        <v>#N/A</v>
      </c>
    </row>
    <row r="743" spans="1:2" hidden="1">
      <c r="A743">
        <f>'Production Plan'!B672</f>
        <v>0</v>
      </c>
      <c r="B743" s="3" t="e">
        <f>VLOOKUP(A743,'Production Plan'!B:T,14,FALSE)</f>
        <v>#N/A</v>
      </c>
    </row>
    <row r="744" spans="1:2" hidden="1">
      <c r="A744">
        <f>'Production Plan'!B673</f>
        <v>0</v>
      </c>
      <c r="B744" s="3" t="e">
        <f>VLOOKUP(A744,'Production Plan'!B:T,14,FALSE)</f>
        <v>#N/A</v>
      </c>
    </row>
    <row r="745" spans="1:2" hidden="1">
      <c r="A745">
        <f>'Production Plan'!B674</f>
        <v>0</v>
      </c>
      <c r="B745" s="3" t="e">
        <f>VLOOKUP(A745,'Production Plan'!B:T,14,FALSE)</f>
        <v>#N/A</v>
      </c>
    </row>
    <row r="746" spans="1:2" hidden="1">
      <c r="A746">
        <f>'Production Plan'!B675</f>
        <v>0</v>
      </c>
      <c r="B746" s="3" t="e">
        <f>VLOOKUP(A746,'Production Plan'!B:T,14,FALSE)</f>
        <v>#N/A</v>
      </c>
    </row>
    <row r="747" spans="1:2" hidden="1">
      <c r="A747">
        <f>'Production Plan'!B676</f>
        <v>0</v>
      </c>
      <c r="B747" s="3" t="e">
        <f>VLOOKUP(A747,'Production Plan'!B:T,14,FALSE)</f>
        <v>#N/A</v>
      </c>
    </row>
    <row r="748" spans="1:2" hidden="1">
      <c r="A748">
        <f>'Production Plan'!B677</f>
        <v>0</v>
      </c>
      <c r="B748" s="3" t="e">
        <f>VLOOKUP(A748,'Production Plan'!B:T,14,FALSE)</f>
        <v>#N/A</v>
      </c>
    </row>
    <row r="749" spans="1:2" hidden="1">
      <c r="A749">
        <f>'Production Plan'!B678</f>
        <v>0</v>
      </c>
      <c r="B749" s="3" t="e">
        <f>VLOOKUP(A749,'Production Plan'!B:T,14,FALSE)</f>
        <v>#N/A</v>
      </c>
    </row>
    <row r="750" spans="1:2" hidden="1">
      <c r="A750">
        <f>'Production Plan'!B679</f>
        <v>0</v>
      </c>
      <c r="B750" s="3" t="e">
        <f>VLOOKUP(A750,'Production Plan'!B:T,14,FALSE)</f>
        <v>#N/A</v>
      </c>
    </row>
    <row r="751" spans="1:2" hidden="1">
      <c r="A751">
        <f>'Production Plan'!B680</f>
        <v>0</v>
      </c>
      <c r="B751" s="3" t="e">
        <f>VLOOKUP(A751,'Production Plan'!B:T,14,FALSE)</f>
        <v>#N/A</v>
      </c>
    </row>
    <row r="752" spans="1:2" hidden="1">
      <c r="A752">
        <f>'Production Plan'!B681</f>
        <v>0</v>
      </c>
      <c r="B752" s="3" t="e">
        <f>VLOOKUP(A752,'Production Plan'!B:T,14,FALSE)</f>
        <v>#N/A</v>
      </c>
    </row>
    <row r="753" spans="1:2" hidden="1">
      <c r="A753">
        <f>'Production Plan'!B682</f>
        <v>0</v>
      </c>
      <c r="B753" s="3" t="e">
        <f>VLOOKUP(A753,'Production Plan'!B:T,14,FALSE)</f>
        <v>#N/A</v>
      </c>
    </row>
    <row r="754" spans="1:2" hidden="1">
      <c r="A754">
        <f>'Production Plan'!B683</f>
        <v>0</v>
      </c>
      <c r="B754" s="3" t="e">
        <f>VLOOKUP(A754,'Production Plan'!B:T,14,FALSE)</f>
        <v>#N/A</v>
      </c>
    </row>
    <row r="755" spans="1:2" hidden="1">
      <c r="A755">
        <f>'Production Plan'!B684</f>
        <v>0</v>
      </c>
      <c r="B755" s="3" t="e">
        <f>VLOOKUP(A755,'Production Plan'!B:T,14,FALSE)</f>
        <v>#N/A</v>
      </c>
    </row>
    <row r="756" spans="1:2" hidden="1">
      <c r="A756">
        <f>'Production Plan'!B685</f>
        <v>0</v>
      </c>
      <c r="B756" s="3" t="e">
        <f>VLOOKUP(A756,'Production Plan'!B:T,14,FALSE)</f>
        <v>#N/A</v>
      </c>
    </row>
    <row r="757" spans="1:2" hidden="1">
      <c r="A757">
        <f>'Production Plan'!B686</f>
        <v>0</v>
      </c>
      <c r="B757" s="3" t="e">
        <f>VLOOKUP(A757,'Production Plan'!B:T,14,FALSE)</f>
        <v>#N/A</v>
      </c>
    </row>
    <row r="758" spans="1:2" hidden="1">
      <c r="A758">
        <f>'Production Plan'!B687</f>
        <v>0</v>
      </c>
      <c r="B758" s="3" t="e">
        <f>VLOOKUP(A758,'Production Plan'!B:T,14,FALSE)</f>
        <v>#N/A</v>
      </c>
    </row>
    <row r="759" spans="1:2" hidden="1">
      <c r="A759">
        <f>'Production Plan'!B688</f>
        <v>0</v>
      </c>
      <c r="B759" s="3" t="e">
        <f>VLOOKUP(A759,'Production Plan'!B:T,14,FALSE)</f>
        <v>#N/A</v>
      </c>
    </row>
    <row r="760" spans="1:2" hidden="1">
      <c r="A760">
        <f>'Production Plan'!B689</f>
        <v>0</v>
      </c>
      <c r="B760" s="3" t="e">
        <f>VLOOKUP(A760,'Production Plan'!B:T,14,FALSE)</f>
        <v>#N/A</v>
      </c>
    </row>
    <row r="761" spans="1:2" hidden="1">
      <c r="A761">
        <f>'Production Plan'!B690</f>
        <v>0</v>
      </c>
      <c r="B761" s="3" t="e">
        <f>VLOOKUP(A761,'Production Plan'!B:T,14,FALSE)</f>
        <v>#N/A</v>
      </c>
    </row>
    <row r="762" spans="1:2" hidden="1">
      <c r="A762">
        <f>'Production Plan'!B691</f>
        <v>0</v>
      </c>
      <c r="B762" s="3" t="e">
        <f>VLOOKUP(A762,'Production Plan'!B:T,14,FALSE)</f>
        <v>#N/A</v>
      </c>
    </row>
    <row r="763" spans="1:2" hidden="1">
      <c r="A763">
        <f>'Production Plan'!B692</f>
        <v>0</v>
      </c>
      <c r="B763" s="3" t="e">
        <f>VLOOKUP(A763,'Production Plan'!B:T,14,FALSE)</f>
        <v>#N/A</v>
      </c>
    </row>
    <row r="764" spans="1:2" hidden="1">
      <c r="A764">
        <f>'Production Plan'!B693</f>
        <v>0</v>
      </c>
      <c r="B764" s="3" t="e">
        <f>VLOOKUP(A764,'Production Plan'!B:T,14,FALSE)</f>
        <v>#N/A</v>
      </c>
    </row>
    <row r="765" spans="1:2" hidden="1">
      <c r="A765">
        <f>'Production Plan'!B694</f>
        <v>0</v>
      </c>
      <c r="B765" s="3" t="e">
        <f>VLOOKUP(A765,'Production Plan'!B:T,14,FALSE)</f>
        <v>#N/A</v>
      </c>
    </row>
    <row r="766" spans="1:2" hidden="1">
      <c r="A766">
        <f>'Production Plan'!B695</f>
        <v>0</v>
      </c>
      <c r="B766" s="3" t="e">
        <f>VLOOKUP(A766,'Production Plan'!B:T,14,FALSE)</f>
        <v>#N/A</v>
      </c>
    </row>
    <row r="767" spans="1:2" hidden="1">
      <c r="A767">
        <f>'Production Plan'!B696</f>
        <v>0</v>
      </c>
      <c r="B767" s="3" t="e">
        <f>VLOOKUP(A767,'Production Plan'!B:T,14,FALSE)</f>
        <v>#N/A</v>
      </c>
    </row>
    <row r="768" spans="1:2" hidden="1">
      <c r="A768">
        <f>'Production Plan'!B697</f>
        <v>0</v>
      </c>
      <c r="B768" s="3" t="e">
        <f>VLOOKUP(A768,'Production Plan'!B:T,14,FALSE)</f>
        <v>#N/A</v>
      </c>
    </row>
    <row r="769" spans="1:2" hidden="1">
      <c r="A769">
        <f>'Production Plan'!B698</f>
        <v>0</v>
      </c>
      <c r="B769" s="3" t="e">
        <f>VLOOKUP(A769,'Production Plan'!B:T,14,FALSE)</f>
        <v>#N/A</v>
      </c>
    </row>
    <row r="770" spans="1:2" hidden="1">
      <c r="A770">
        <f>'Production Plan'!B699</f>
        <v>0</v>
      </c>
      <c r="B770" s="3" t="e">
        <f>VLOOKUP(A770,'Production Plan'!B:T,14,FALSE)</f>
        <v>#N/A</v>
      </c>
    </row>
    <row r="771" spans="1:2" hidden="1">
      <c r="A771">
        <f>'Production Plan'!B700</f>
        <v>0</v>
      </c>
      <c r="B771" s="3" t="e">
        <f>VLOOKUP(A771,'Production Plan'!B:T,14,FALSE)</f>
        <v>#N/A</v>
      </c>
    </row>
    <row r="772" spans="1:2" hidden="1">
      <c r="A772">
        <f>'Production Plan'!B701</f>
        <v>0</v>
      </c>
      <c r="B772" s="3" t="e">
        <f>VLOOKUP(A772,'Production Plan'!B:T,14,FALSE)</f>
        <v>#N/A</v>
      </c>
    </row>
    <row r="773" spans="1:2" hidden="1">
      <c r="A773">
        <f>'Production Plan'!B702</f>
        <v>0</v>
      </c>
      <c r="B773" s="3" t="e">
        <f>VLOOKUP(A773,'Production Plan'!B:T,14,FALSE)</f>
        <v>#N/A</v>
      </c>
    </row>
    <row r="774" spans="1:2" hidden="1">
      <c r="A774">
        <f>'Production Plan'!B703</f>
        <v>0</v>
      </c>
      <c r="B774" s="3" t="e">
        <f>VLOOKUP(A774,'Production Plan'!B:T,14,FALSE)</f>
        <v>#N/A</v>
      </c>
    </row>
    <row r="775" spans="1:2" hidden="1">
      <c r="A775">
        <f>'Production Plan'!B704</f>
        <v>0</v>
      </c>
      <c r="B775" s="3" t="e">
        <f>VLOOKUP(A775,'Production Plan'!B:T,14,FALSE)</f>
        <v>#N/A</v>
      </c>
    </row>
    <row r="776" spans="1:2" hidden="1">
      <c r="A776">
        <f>'Production Plan'!B705</f>
        <v>0</v>
      </c>
      <c r="B776" s="3" t="e">
        <f>VLOOKUP(A776,'Production Plan'!B:T,14,FALSE)</f>
        <v>#N/A</v>
      </c>
    </row>
    <row r="777" spans="1:2" hidden="1">
      <c r="A777">
        <f>'Production Plan'!B706</f>
        <v>0</v>
      </c>
      <c r="B777" s="3" t="e">
        <f>VLOOKUP(A777,'Production Plan'!B:T,14,FALSE)</f>
        <v>#N/A</v>
      </c>
    </row>
    <row r="778" spans="1:2" hidden="1">
      <c r="A778">
        <f>'Production Plan'!B707</f>
        <v>0</v>
      </c>
      <c r="B778" s="3" t="e">
        <f>VLOOKUP(A778,'Production Plan'!B:T,14,FALSE)</f>
        <v>#N/A</v>
      </c>
    </row>
    <row r="779" spans="1:2" hidden="1">
      <c r="A779">
        <f>'Production Plan'!B708</f>
        <v>0</v>
      </c>
      <c r="B779" s="3" t="e">
        <f>VLOOKUP(A779,'Production Plan'!B:T,14,FALSE)</f>
        <v>#N/A</v>
      </c>
    </row>
    <row r="780" spans="1:2" hidden="1">
      <c r="A780">
        <f>'Production Plan'!B709</f>
        <v>0</v>
      </c>
      <c r="B780" s="3" t="e">
        <f>VLOOKUP(A780,'Production Plan'!B:T,14,FALSE)</f>
        <v>#N/A</v>
      </c>
    </row>
    <row r="781" spans="1:2" hidden="1">
      <c r="A781">
        <f>'Production Plan'!B710</f>
        <v>0</v>
      </c>
      <c r="B781" s="3" t="e">
        <f>VLOOKUP(A781,'Production Plan'!B:T,14,FALSE)</f>
        <v>#N/A</v>
      </c>
    </row>
    <row r="782" spans="1:2" hidden="1">
      <c r="A782">
        <f>'Production Plan'!B711</f>
        <v>0</v>
      </c>
      <c r="B782" s="3" t="e">
        <f>VLOOKUP(A782,'Production Plan'!B:T,14,FALSE)</f>
        <v>#N/A</v>
      </c>
    </row>
    <row r="783" spans="1:2" hidden="1">
      <c r="A783">
        <f>'Production Plan'!B712</f>
        <v>0</v>
      </c>
      <c r="B783" s="3" t="e">
        <f>VLOOKUP(A783,'Production Plan'!B:T,14,FALSE)</f>
        <v>#N/A</v>
      </c>
    </row>
    <row r="784" spans="1:2" hidden="1">
      <c r="A784">
        <f>'Production Plan'!B713</f>
        <v>0</v>
      </c>
      <c r="B784" s="3" t="e">
        <f>VLOOKUP(A784,'Production Plan'!B:T,14,FALSE)</f>
        <v>#N/A</v>
      </c>
    </row>
    <row r="785" spans="1:2" hidden="1">
      <c r="A785">
        <f>'Production Plan'!B714</f>
        <v>0</v>
      </c>
      <c r="B785" s="3" t="e">
        <f>VLOOKUP(A785,'Production Plan'!B:T,14,FALSE)</f>
        <v>#N/A</v>
      </c>
    </row>
    <row r="786" spans="1:2" hidden="1">
      <c r="A786">
        <f>'Production Plan'!B715</f>
        <v>0</v>
      </c>
      <c r="B786" s="3" t="e">
        <f>VLOOKUP(A786,'Production Plan'!B:T,14,FALSE)</f>
        <v>#N/A</v>
      </c>
    </row>
    <row r="787" spans="1:2" hidden="1">
      <c r="A787">
        <f>'Production Plan'!B716</f>
        <v>0</v>
      </c>
      <c r="B787" s="3" t="e">
        <f>VLOOKUP(A787,'Production Plan'!B:T,14,FALSE)</f>
        <v>#N/A</v>
      </c>
    </row>
    <row r="788" spans="1:2" hidden="1">
      <c r="A788">
        <f>'Production Plan'!B717</f>
        <v>0</v>
      </c>
      <c r="B788" s="3" t="e">
        <f>VLOOKUP(A788,'Production Plan'!B:T,14,FALSE)</f>
        <v>#N/A</v>
      </c>
    </row>
    <row r="789" spans="1:2" hidden="1">
      <c r="A789">
        <f>'Production Plan'!B718</f>
        <v>0</v>
      </c>
      <c r="B789" s="3" t="e">
        <f>VLOOKUP(A789,'Production Plan'!B:T,14,FALSE)</f>
        <v>#N/A</v>
      </c>
    </row>
    <row r="790" spans="1:2" hidden="1">
      <c r="A790">
        <f>'Production Plan'!B719</f>
        <v>0</v>
      </c>
      <c r="B790" s="3" t="e">
        <f>VLOOKUP(A790,'Production Plan'!B:T,14,FALSE)</f>
        <v>#N/A</v>
      </c>
    </row>
    <row r="791" spans="1:2" hidden="1">
      <c r="A791">
        <f>'Production Plan'!B720</f>
        <v>0</v>
      </c>
      <c r="B791" s="3" t="e">
        <f>VLOOKUP(A791,'Production Plan'!B:T,14,FALSE)</f>
        <v>#N/A</v>
      </c>
    </row>
    <row r="792" spans="1:2" hidden="1">
      <c r="A792">
        <f>'Production Plan'!B721</f>
        <v>0</v>
      </c>
      <c r="B792" s="3" t="e">
        <f>VLOOKUP(A792,'Production Plan'!B:T,14,FALSE)</f>
        <v>#N/A</v>
      </c>
    </row>
    <row r="793" spans="1:2" hidden="1">
      <c r="A793">
        <f>'Production Plan'!B722</f>
        <v>0</v>
      </c>
      <c r="B793" s="3" t="e">
        <f>VLOOKUP(A793,'Production Plan'!B:T,14,FALSE)</f>
        <v>#N/A</v>
      </c>
    </row>
    <row r="794" spans="1:2" hidden="1">
      <c r="A794">
        <f>'Production Plan'!B723</f>
        <v>0</v>
      </c>
      <c r="B794" s="3" t="e">
        <f>VLOOKUP(A794,'Production Plan'!B:T,14,FALSE)</f>
        <v>#N/A</v>
      </c>
    </row>
    <row r="795" spans="1:2" hidden="1">
      <c r="A795">
        <f>'Production Plan'!B724</f>
        <v>0</v>
      </c>
      <c r="B795" s="3" t="e">
        <f>VLOOKUP(A795,'Production Plan'!B:T,14,FALSE)</f>
        <v>#N/A</v>
      </c>
    </row>
    <row r="796" spans="1:2" hidden="1">
      <c r="A796">
        <f>'Production Plan'!B725</f>
        <v>0</v>
      </c>
      <c r="B796" s="3" t="e">
        <f>VLOOKUP(A796,'Production Plan'!B:T,14,FALSE)</f>
        <v>#N/A</v>
      </c>
    </row>
    <row r="797" spans="1:2" hidden="1">
      <c r="A797">
        <f>'Production Plan'!B726</f>
        <v>0</v>
      </c>
      <c r="B797" s="3" t="e">
        <f>VLOOKUP(A797,'Production Plan'!B:T,14,FALSE)</f>
        <v>#N/A</v>
      </c>
    </row>
    <row r="798" spans="1:2" hidden="1">
      <c r="A798">
        <f>'Production Plan'!B727</f>
        <v>0</v>
      </c>
      <c r="B798" s="3" t="e">
        <f>VLOOKUP(A798,'Production Plan'!B:T,14,FALSE)</f>
        <v>#N/A</v>
      </c>
    </row>
    <row r="799" spans="1:2" hidden="1">
      <c r="A799">
        <f>'Production Plan'!B728</f>
        <v>0</v>
      </c>
      <c r="B799" s="3" t="e">
        <f>VLOOKUP(A799,'Production Plan'!B:T,14,FALSE)</f>
        <v>#N/A</v>
      </c>
    </row>
    <row r="800" spans="1:2" hidden="1">
      <c r="A800">
        <f>'Production Plan'!B729</f>
        <v>0</v>
      </c>
      <c r="B800" s="3" t="e">
        <f>VLOOKUP(A800,'Production Plan'!B:T,14,FALSE)</f>
        <v>#N/A</v>
      </c>
    </row>
    <row r="801" spans="1:2" hidden="1">
      <c r="A801">
        <f>'Production Plan'!B730</f>
        <v>0</v>
      </c>
      <c r="B801" s="3" t="e">
        <f>VLOOKUP(A801,'Production Plan'!B:T,14,FALSE)</f>
        <v>#N/A</v>
      </c>
    </row>
    <row r="802" spans="1:2" hidden="1">
      <c r="A802">
        <f>'Production Plan'!B731</f>
        <v>0</v>
      </c>
      <c r="B802" s="3" t="e">
        <f>VLOOKUP(A802,'Production Plan'!B:T,14,FALSE)</f>
        <v>#N/A</v>
      </c>
    </row>
    <row r="803" spans="1:2" hidden="1">
      <c r="A803">
        <f>'Production Plan'!B732</f>
        <v>0</v>
      </c>
      <c r="B803" s="3" t="e">
        <f>VLOOKUP(A803,'Production Plan'!B:T,14,FALSE)</f>
        <v>#N/A</v>
      </c>
    </row>
    <row r="804" spans="1:2" hidden="1">
      <c r="A804">
        <f>'Production Plan'!B733</f>
        <v>0</v>
      </c>
      <c r="B804" s="3" t="e">
        <f>VLOOKUP(A804,'Production Plan'!B:T,14,FALSE)</f>
        <v>#N/A</v>
      </c>
    </row>
    <row r="805" spans="1:2" hidden="1">
      <c r="A805">
        <f>'Production Plan'!B734</f>
        <v>0</v>
      </c>
      <c r="B805" s="3" t="e">
        <f>VLOOKUP(A805,'Production Plan'!B:T,14,FALSE)</f>
        <v>#N/A</v>
      </c>
    </row>
    <row r="806" spans="1:2" hidden="1">
      <c r="A806">
        <f>'Production Plan'!B735</f>
        <v>0</v>
      </c>
      <c r="B806" s="3" t="e">
        <f>VLOOKUP(A806,'Production Plan'!B:T,14,FALSE)</f>
        <v>#N/A</v>
      </c>
    </row>
    <row r="807" spans="1:2" hidden="1">
      <c r="A807">
        <f>'Production Plan'!B736</f>
        <v>0</v>
      </c>
      <c r="B807" s="3" t="e">
        <f>VLOOKUP(A807,'Production Plan'!B:T,14,FALSE)</f>
        <v>#N/A</v>
      </c>
    </row>
    <row r="808" spans="1:2" hidden="1">
      <c r="A808">
        <f>'Production Plan'!B737</f>
        <v>0</v>
      </c>
      <c r="B808" s="3" t="e">
        <f>VLOOKUP(A808,'Production Plan'!B:T,14,FALSE)</f>
        <v>#N/A</v>
      </c>
    </row>
    <row r="809" spans="1:2" hidden="1">
      <c r="A809">
        <f>'Production Plan'!B738</f>
        <v>0</v>
      </c>
      <c r="B809" s="3" t="e">
        <f>VLOOKUP(A809,'Production Plan'!B:T,14,FALSE)</f>
        <v>#N/A</v>
      </c>
    </row>
    <row r="810" spans="1:2" hidden="1">
      <c r="A810">
        <f>'Production Plan'!B739</f>
        <v>0</v>
      </c>
      <c r="B810" s="3" t="e">
        <f>VLOOKUP(A810,'Production Plan'!B:T,14,FALSE)</f>
        <v>#N/A</v>
      </c>
    </row>
    <row r="811" spans="1:2" hidden="1">
      <c r="A811">
        <f>'Production Plan'!B740</f>
        <v>0</v>
      </c>
      <c r="B811" s="3" t="e">
        <f>VLOOKUP(A811,'Production Plan'!B:T,14,FALSE)</f>
        <v>#N/A</v>
      </c>
    </row>
    <row r="812" spans="1:2" hidden="1">
      <c r="A812">
        <f>'Production Plan'!B741</f>
        <v>0</v>
      </c>
      <c r="B812" s="3" t="e">
        <f>VLOOKUP(A812,'Production Plan'!B:T,14,FALSE)</f>
        <v>#N/A</v>
      </c>
    </row>
    <row r="813" spans="1:2" hidden="1">
      <c r="A813">
        <f>'Production Plan'!B742</f>
        <v>0</v>
      </c>
      <c r="B813" s="3" t="e">
        <f>VLOOKUP(A813,'Production Plan'!B:T,14,FALSE)</f>
        <v>#N/A</v>
      </c>
    </row>
    <row r="814" spans="1:2" hidden="1">
      <c r="A814">
        <f>'Production Plan'!B743</f>
        <v>0</v>
      </c>
      <c r="B814" s="3" t="e">
        <f>VLOOKUP(A814,'Production Plan'!B:T,14,FALSE)</f>
        <v>#N/A</v>
      </c>
    </row>
    <row r="815" spans="1:2" hidden="1">
      <c r="A815">
        <f>'Production Plan'!B744</f>
        <v>0</v>
      </c>
      <c r="B815" s="3" t="e">
        <f>VLOOKUP(A815,'Production Plan'!B:T,14,FALSE)</f>
        <v>#N/A</v>
      </c>
    </row>
    <row r="816" spans="1:2" hidden="1">
      <c r="A816">
        <f>'Production Plan'!B745</f>
        <v>0</v>
      </c>
      <c r="B816" s="3" t="e">
        <f>VLOOKUP(A816,'Production Plan'!B:T,14,FALSE)</f>
        <v>#N/A</v>
      </c>
    </row>
    <row r="817" spans="1:2" hidden="1">
      <c r="A817">
        <f>'Production Plan'!B746</f>
        <v>0</v>
      </c>
      <c r="B817" s="3" t="e">
        <f>VLOOKUP(A817,'Production Plan'!B:T,14,FALSE)</f>
        <v>#N/A</v>
      </c>
    </row>
    <row r="818" spans="1:2" hidden="1">
      <c r="A818">
        <f>'Production Plan'!B747</f>
        <v>0</v>
      </c>
      <c r="B818" s="3" t="e">
        <f>VLOOKUP(A818,'Production Plan'!B:T,14,FALSE)</f>
        <v>#N/A</v>
      </c>
    </row>
    <row r="819" spans="1:2" hidden="1">
      <c r="A819">
        <f>'Production Plan'!B748</f>
        <v>0</v>
      </c>
      <c r="B819" s="3" t="e">
        <f>VLOOKUP(A819,'Production Plan'!B:T,14,FALSE)</f>
        <v>#N/A</v>
      </c>
    </row>
    <row r="820" spans="1:2" hidden="1">
      <c r="A820">
        <f>'Production Plan'!B749</f>
        <v>0</v>
      </c>
      <c r="B820" s="3" t="e">
        <f>VLOOKUP(A820,'Production Plan'!B:T,14,FALSE)</f>
        <v>#N/A</v>
      </c>
    </row>
    <row r="821" spans="1:2" hidden="1">
      <c r="A821">
        <f>'Production Plan'!B750</f>
        <v>0</v>
      </c>
      <c r="B821" s="3" t="e">
        <f>VLOOKUP(A821,'Production Plan'!B:T,14,FALSE)</f>
        <v>#N/A</v>
      </c>
    </row>
    <row r="822" spans="1:2" hidden="1">
      <c r="A822">
        <f>'Production Plan'!B751</f>
        <v>0</v>
      </c>
      <c r="B822" s="3" t="e">
        <f>VLOOKUP(A822,'Production Plan'!B:T,14,FALSE)</f>
        <v>#N/A</v>
      </c>
    </row>
    <row r="823" spans="1:2" hidden="1">
      <c r="A823">
        <f>'Production Plan'!B752</f>
        <v>0</v>
      </c>
      <c r="B823" s="3" t="e">
        <f>VLOOKUP(A823,'Production Plan'!B:T,14,FALSE)</f>
        <v>#N/A</v>
      </c>
    </row>
    <row r="824" spans="1:2" hidden="1">
      <c r="A824">
        <f>'Production Plan'!B753</f>
        <v>0</v>
      </c>
      <c r="B824" s="3" t="e">
        <f>VLOOKUP(A824,'Production Plan'!B:T,14,FALSE)</f>
        <v>#N/A</v>
      </c>
    </row>
    <row r="825" spans="1:2" hidden="1">
      <c r="A825">
        <f>'Production Plan'!B754</f>
        <v>0</v>
      </c>
      <c r="B825" s="3" t="e">
        <f>VLOOKUP(A825,'Production Plan'!B:T,14,FALSE)</f>
        <v>#N/A</v>
      </c>
    </row>
    <row r="826" spans="1:2" hidden="1">
      <c r="A826">
        <f>'Production Plan'!B755</f>
        <v>0</v>
      </c>
      <c r="B826" s="3" t="e">
        <f>VLOOKUP(A826,'Production Plan'!B:T,14,FALSE)</f>
        <v>#N/A</v>
      </c>
    </row>
    <row r="827" spans="1:2" hidden="1">
      <c r="A827">
        <f>'Production Plan'!B756</f>
        <v>0</v>
      </c>
      <c r="B827" s="3" t="e">
        <f>VLOOKUP(A827,'Production Plan'!B:T,14,FALSE)</f>
        <v>#N/A</v>
      </c>
    </row>
    <row r="828" spans="1:2" hidden="1">
      <c r="A828">
        <f>'Production Plan'!B757</f>
        <v>0</v>
      </c>
      <c r="B828" s="3" t="e">
        <f>VLOOKUP(A828,'Production Plan'!B:T,14,FALSE)</f>
        <v>#N/A</v>
      </c>
    </row>
    <row r="829" spans="1:2" hidden="1">
      <c r="A829">
        <f>'Production Plan'!B758</f>
        <v>0</v>
      </c>
      <c r="B829" s="3" t="e">
        <f>VLOOKUP(A829,'Production Plan'!B:T,14,FALSE)</f>
        <v>#N/A</v>
      </c>
    </row>
    <row r="830" spans="1:2" hidden="1">
      <c r="A830">
        <f>'Production Plan'!B759</f>
        <v>0</v>
      </c>
      <c r="B830" s="3" t="e">
        <f>VLOOKUP(A830,'Production Plan'!B:T,14,FALSE)</f>
        <v>#N/A</v>
      </c>
    </row>
    <row r="831" spans="1:2" hidden="1">
      <c r="A831">
        <f>'Production Plan'!B760</f>
        <v>0</v>
      </c>
      <c r="B831" s="3" t="e">
        <f>VLOOKUP(A831,'Production Plan'!B:T,14,FALSE)</f>
        <v>#N/A</v>
      </c>
    </row>
    <row r="832" spans="1:2" hidden="1">
      <c r="A832">
        <f>'Production Plan'!B761</f>
        <v>0</v>
      </c>
      <c r="B832" s="3" t="e">
        <f>VLOOKUP(A832,'Production Plan'!B:T,14,FALSE)</f>
        <v>#N/A</v>
      </c>
    </row>
    <row r="833" spans="1:2" hidden="1">
      <c r="A833">
        <f>'Production Plan'!B762</f>
        <v>0</v>
      </c>
      <c r="B833" s="3" t="e">
        <f>VLOOKUP(A833,'Production Plan'!B:T,14,FALSE)</f>
        <v>#N/A</v>
      </c>
    </row>
    <row r="834" spans="1:2" hidden="1">
      <c r="A834">
        <f>'Production Plan'!B763</f>
        <v>0</v>
      </c>
      <c r="B834" s="3" t="e">
        <f>VLOOKUP(A834,'Production Plan'!B:T,14,FALSE)</f>
        <v>#N/A</v>
      </c>
    </row>
    <row r="835" spans="1:2" hidden="1">
      <c r="A835">
        <f>'Production Plan'!B764</f>
        <v>0</v>
      </c>
      <c r="B835" s="3" t="e">
        <f>VLOOKUP(A835,'Production Plan'!B:T,14,FALSE)</f>
        <v>#N/A</v>
      </c>
    </row>
    <row r="836" spans="1:2" hidden="1">
      <c r="A836">
        <f>'Production Plan'!B765</f>
        <v>0</v>
      </c>
      <c r="B836" s="3" t="e">
        <f>VLOOKUP(A836,'Production Plan'!B:T,14,FALSE)</f>
        <v>#N/A</v>
      </c>
    </row>
    <row r="837" spans="1:2" hidden="1">
      <c r="A837">
        <f>'Production Plan'!B766</f>
        <v>0</v>
      </c>
      <c r="B837" s="3" t="e">
        <f>VLOOKUP(A837,'Production Plan'!B:T,14,FALSE)</f>
        <v>#N/A</v>
      </c>
    </row>
    <row r="838" spans="1:2" hidden="1">
      <c r="A838">
        <f>'Production Plan'!B767</f>
        <v>0</v>
      </c>
      <c r="B838" s="3" t="e">
        <f>VLOOKUP(A838,'Production Plan'!B:T,14,FALSE)</f>
        <v>#N/A</v>
      </c>
    </row>
    <row r="839" spans="1:2" hidden="1">
      <c r="A839">
        <f>'Production Plan'!B768</f>
        <v>0</v>
      </c>
      <c r="B839" s="3" t="e">
        <f>VLOOKUP(A839,'Production Plan'!B:T,14,FALSE)</f>
        <v>#N/A</v>
      </c>
    </row>
    <row r="840" spans="1:2" hidden="1">
      <c r="A840">
        <f>'Production Plan'!B769</f>
        <v>0</v>
      </c>
      <c r="B840" s="3" t="e">
        <f>VLOOKUP(A840,'Production Plan'!B:T,14,FALSE)</f>
        <v>#N/A</v>
      </c>
    </row>
    <row r="841" spans="1:2" hidden="1">
      <c r="A841">
        <f>'Production Plan'!B770</f>
        <v>0</v>
      </c>
      <c r="B841" s="3" t="e">
        <f>VLOOKUP(A841,'Production Plan'!B:T,14,FALSE)</f>
        <v>#N/A</v>
      </c>
    </row>
    <row r="842" spans="1:2" hidden="1">
      <c r="A842">
        <f>'Production Plan'!B771</f>
        <v>0</v>
      </c>
      <c r="B842" s="3" t="e">
        <f>VLOOKUP(A842,'Production Plan'!B:T,14,FALSE)</f>
        <v>#N/A</v>
      </c>
    </row>
    <row r="843" spans="1:2" hidden="1">
      <c r="A843">
        <f>'Production Plan'!B772</f>
        <v>0</v>
      </c>
      <c r="B843" s="3" t="e">
        <f>VLOOKUP(A843,'Production Plan'!B:T,14,FALSE)</f>
        <v>#N/A</v>
      </c>
    </row>
    <row r="844" spans="1:2" hidden="1">
      <c r="A844">
        <f>'Production Plan'!B773</f>
        <v>0</v>
      </c>
      <c r="B844" s="3" t="e">
        <f>VLOOKUP(A844,'Production Plan'!B:T,14,FALSE)</f>
        <v>#N/A</v>
      </c>
    </row>
    <row r="845" spans="1:2" hidden="1">
      <c r="A845">
        <f>'Production Plan'!B774</f>
        <v>0</v>
      </c>
      <c r="B845" s="3" t="e">
        <f>VLOOKUP(A845,'Production Plan'!B:T,14,FALSE)</f>
        <v>#N/A</v>
      </c>
    </row>
    <row r="846" spans="1:2" hidden="1">
      <c r="A846">
        <f>'Production Plan'!B775</f>
        <v>0</v>
      </c>
      <c r="B846" s="3" t="e">
        <f>VLOOKUP(A846,'Production Plan'!B:T,14,FALSE)</f>
        <v>#N/A</v>
      </c>
    </row>
    <row r="847" spans="1:2" hidden="1">
      <c r="A847">
        <f>'Production Plan'!B776</f>
        <v>0</v>
      </c>
      <c r="B847" s="3" t="e">
        <f>VLOOKUP(A847,'Production Plan'!B:T,14,FALSE)</f>
        <v>#N/A</v>
      </c>
    </row>
    <row r="848" spans="1:2" hidden="1">
      <c r="A848">
        <f>'Production Plan'!B777</f>
        <v>0</v>
      </c>
      <c r="B848" s="3" t="e">
        <f>VLOOKUP(A848,'Production Plan'!B:T,14,FALSE)</f>
        <v>#N/A</v>
      </c>
    </row>
    <row r="849" spans="1:2" hidden="1">
      <c r="A849">
        <f>'Production Plan'!B778</f>
        <v>0</v>
      </c>
      <c r="B849" s="3" t="e">
        <f>VLOOKUP(A849,'Production Plan'!B:T,14,FALSE)</f>
        <v>#N/A</v>
      </c>
    </row>
    <row r="850" spans="1:2" hidden="1">
      <c r="A850">
        <f>'Production Plan'!B779</f>
        <v>0</v>
      </c>
      <c r="B850" s="3" t="e">
        <f>VLOOKUP(A850,'Production Plan'!B:T,14,FALSE)</f>
        <v>#N/A</v>
      </c>
    </row>
    <row r="851" spans="1:2" hidden="1">
      <c r="A851">
        <f>'Production Plan'!B780</f>
        <v>0</v>
      </c>
      <c r="B851" s="3" t="e">
        <f>VLOOKUP(A851,'Production Plan'!B:T,14,FALSE)</f>
        <v>#N/A</v>
      </c>
    </row>
    <row r="852" spans="1:2" hidden="1">
      <c r="A852">
        <f>'Production Plan'!B781</f>
        <v>0</v>
      </c>
      <c r="B852" s="3" t="e">
        <f>VLOOKUP(A852,'Production Plan'!B:T,14,FALSE)</f>
        <v>#N/A</v>
      </c>
    </row>
    <row r="853" spans="1:2" hidden="1">
      <c r="A853">
        <f>'Production Plan'!B782</f>
        <v>0</v>
      </c>
      <c r="B853" s="3" t="e">
        <f>VLOOKUP(A853,'Production Plan'!B:T,14,FALSE)</f>
        <v>#N/A</v>
      </c>
    </row>
    <row r="854" spans="1:2" hidden="1">
      <c r="A854">
        <f>'Production Plan'!B783</f>
        <v>0</v>
      </c>
      <c r="B854" s="3" t="e">
        <f>VLOOKUP(A854,'Production Plan'!B:T,14,FALSE)</f>
        <v>#N/A</v>
      </c>
    </row>
    <row r="855" spans="1:2" hidden="1">
      <c r="A855">
        <f>'Production Plan'!B784</f>
        <v>0</v>
      </c>
      <c r="B855" s="3" t="e">
        <f>VLOOKUP(A855,'Production Plan'!B:T,14,FALSE)</f>
        <v>#N/A</v>
      </c>
    </row>
    <row r="856" spans="1:2" hidden="1">
      <c r="A856">
        <f>'Production Plan'!B785</f>
        <v>0</v>
      </c>
      <c r="B856" s="3" t="e">
        <f>VLOOKUP(A856,'Production Plan'!B:T,14,FALSE)</f>
        <v>#N/A</v>
      </c>
    </row>
    <row r="857" spans="1:2" hidden="1">
      <c r="A857">
        <f>'Production Plan'!B786</f>
        <v>0</v>
      </c>
      <c r="B857" s="3" t="e">
        <f>VLOOKUP(A857,'Production Plan'!B:T,14,FALSE)</f>
        <v>#N/A</v>
      </c>
    </row>
    <row r="858" spans="1:2" hidden="1">
      <c r="A858">
        <f>'Production Plan'!B787</f>
        <v>0</v>
      </c>
      <c r="B858" s="3" t="e">
        <f>VLOOKUP(A858,'Production Plan'!B:T,14,FALSE)</f>
        <v>#N/A</v>
      </c>
    </row>
    <row r="859" spans="1:2" hidden="1">
      <c r="A859">
        <f>'Production Plan'!B788</f>
        <v>0</v>
      </c>
      <c r="B859" s="3" t="e">
        <f>VLOOKUP(A859,'Production Plan'!B:T,14,FALSE)</f>
        <v>#N/A</v>
      </c>
    </row>
    <row r="860" spans="1:2" hidden="1">
      <c r="A860">
        <f>'Production Plan'!B789</f>
        <v>0</v>
      </c>
      <c r="B860" s="3" t="e">
        <f>VLOOKUP(A860,'Production Plan'!B:T,14,FALSE)</f>
        <v>#N/A</v>
      </c>
    </row>
    <row r="861" spans="1:2" hidden="1">
      <c r="A861">
        <f>'Production Plan'!B790</f>
        <v>0</v>
      </c>
      <c r="B861" s="3" t="e">
        <f>VLOOKUP(A861,'Production Plan'!B:T,14,FALSE)</f>
        <v>#N/A</v>
      </c>
    </row>
    <row r="862" spans="1:2" hidden="1">
      <c r="A862">
        <f>'Production Plan'!B791</f>
        <v>0</v>
      </c>
      <c r="B862" s="3" t="e">
        <f>VLOOKUP(A862,'Production Plan'!B:T,14,FALSE)</f>
        <v>#N/A</v>
      </c>
    </row>
    <row r="863" spans="1:2" hidden="1">
      <c r="A863">
        <f>'Production Plan'!B792</f>
        <v>0</v>
      </c>
      <c r="B863" s="3" t="e">
        <f>VLOOKUP(A863,'Production Plan'!B:T,14,FALSE)</f>
        <v>#N/A</v>
      </c>
    </row>
    <row r="864" spans="1:2" hidden="1">
      <c r="A864">
        <f>'Production Plan'!B793</f>
        <v>0</v>
      </c>
      <c r="B864" s="3" t="e">
        <f>VLOOKUP(A864,'Production Plan'!B:T,14,FALSE)</f>
        <v>#N/A</v>
      </c>
    </row>
    <row r="865" spans="1:2" hidden="1">
      <c r="A865">
        <f>'Production Plan'!B794</f>
        <v>0</v>
      </c>
      <c r="B865" s="3" t="e">
        <f>VLOOKUP(A865,'Production Plan'!B:T,14,FALSE)</f>
        <v>#N/A</v>
      </c>
    </row>
    <row r="866" spans="1:2" hidden="1">
      <c r="A866">
        <f>'Production Plan'!B795</f>
        <v>0</v>
      </c>
      <c r="B866" s="3" t="e">
        <f>VLOOKUP(A866,'Production Plan'!B:T,14,FALSE)</f>
        <v>#N/A</v>
      </c>
    </row>
    <row r="867" spans="1:2" hidden="1">
      <c r="A867">
        <f>'Production Plan'!B796</f>
        <v>0</v>
      </c>
      <c r="B867" s="3" t="e">
        <f>VLOOKUP(A867,'Production Plan'!B:T,14,FALSE)</f>
        <v>#N/A</v>
      </c>
    </row>
    <row r="868" spans="1:2" hidden="1">
      <c r="A868">
        <f>'Production Plan'!B797</f>
        <v>0</v>
      </c>
      <c r="B868" s="3" t="e">
        <f>VLOOKUP(A868,'Production Plan'!B:T,14,FALSE)</f>
        <v>#N/A</v>
      </c>
    </row>
    <row r="869" spans="1:2" hidden="1">
      <c r="A869">
        <f>'Production Plan'!B798</f>
        <v>0</v>
      </c>
      <c r="B869" s="3" t="e">
        <f>VLOOKUP(A869,'Production Plan'!B:T,14,FALSE)</f>
        <v>#N/A</v>
      </c>
    </row>
    <row r="870" spans="1:2" hidden="1">
      <c r="A870">
        <f>'Production Plan'!B799</f>
        <v>0</v>
      </c>
      <c r="B870" s="3" t="e">
        <f>VLOOKUP(A870,'Production Plan'!B:T,14,FALSE)</f>
        <v>#N/A</v>
      </c>
    </row>
    <row r="871" spans="1:2" hidden="1">
      <c r="A871">
        <f>'Production Plan'!B800</f>
        <v>0</v>
      </c>
      <c r="B871" s="3" t="e">
        <f>VLOOKUP(A871,'Production Plan'!B:T,14,FALSE)</f>
        <v>#N/A</v>
      </c>
    </row>
    <row r="872" spans="1:2" hidden="1">
      <c r="A872">
        <f>'Production Plan'!B801</f>
        <v>0</v>
      </c>
      <c r="B872" s="3" t="e">
        <f>VLOOKUP(A872,'Production Plan'!B:T,14,FALSE)</f>
        <v>#N/A</v>
      </c>
    </row>
    <row r="873" spans="1:2" hidden="1">
      <c r="A873">
        <f>'Production Plan'!B802</f>
        <v>0</v>
      </c>
      <c r="B873" s="3" t="e">
        <f>VLOOKUP(A873,'Production Plan'!B:T,14,FALSE)</f>
        <v>#N/A</v>
      </c>
    </row>
    <row r="874" spans="1:2" hidden="1">
      <c r="A874">
        <f>'Production Plan'!B803</f>
        <v>0</v>
      </c>
      <c r="B874" s="3" t="e">
        <f>VLOOKUP(A874,'Production Plan'!B:T,14,FALSE)</f>
        <v>#N/A</v>
      </c>
    </row>
    <row r="875" spans="1:2" hidden="1">
      <c r="A875">
        <f>'Production Plan'!B804</f>
        <v>0</v>
      </c>
      <c r="B875" s="3" t="e">
        <f>VLOOKUP(A875,'Production Plan'!B:T,14,FALSE)</f>
        <v>#N/A</v>
      </c>
    </row>
    <row r="876" spans="1:2" hidden="1">
      <c r="A876">
        <f>'Production Plan'!B805</f>
        <v>0</v>
      </c>
      <c r="B876" s="3" t="e">
        <f>VLOOKUP(A876,'Production Plan'!B:T,14,FALSE)</f>
        <v>#N/A</v>
      </c>
    </row>
    <row r="877" spans="1:2" hidden="1">
      <c r="A877">
        <f>'Production Plan'!B806</f>
        <v>0</v>
      </c>
      <c r="B877" s="3" t="e">
        <f>VLOOKUP(A877,'Production Plan'!B:T,14,FALSE)</f>
        <v>#N/A</v>
      </c>
    </row>
    <row r="878" spans="1:2" hidden="1">
      <c r="A878">
        <f>'Production Plan'!B807</f>
        <v>0</v>
      </c>
      <c r="B878" s="3" t="e">
        <f>VLOOKUP(A878,'Production Plan'!B:T,14,FALSE)</f>
        <v>#N/A</v>
      </c>
    </row>
    <row r="879" spans="1:2" hidden="1">
      <c r="A879">
        <f>'Production Plan'!B808</f>
        <v>0</v>
      </c>
      <c r="B879" s="3" t="e">
        <f>VLOOKUP(A879,'Production Plan'!B:T,14,FALSE)</f>
        <v>#N/A</v>
      </c>
    </row>
    <row r="880" spans="1:2" hidden="1">
      <c r="A880">
        <f>'Production Plan'!B809</f>
        <v>0</v>
      </c>
      <c r="B880" s="3" t="e">
        <f>VLOOKUP(A880,'Production Plan'!B:T,14,FALSE)</f>
        <v>#N/A</v>
      </c>
    </row>
    <row r="881" spans="1:2" hidden="1">
      <c r="A881">
        <f>'Production Plan'!B810</f>
        <v>0</v>
      </c>
      <c r="B881" s="3" t="e">
        <f>VLOOKUP(A881,'Production Plan'!B:T,14,FALSE)</f>
        <v>#N/A</v>
      </c>
    </row>
    <row r="882" spans="1:2" hidden="1">
      <c r="A882">
        <f>'Production Plan'!B811</f>
        <v>0</v>
      </c>
      <c r="B882" s="3" t="e">
        <f>VLOOKUP(A882,'Production Plan'!B:T,14,FALSE)</f>
        <v>#N/A</v>
      </c>
    </row>
    <row r="883" spans="1:2" hidden="1">
      <c r="A883">
        <f>'Production Plan'!B812</f>
        <v>0</v>
      </c>
      <c r="B883" s="3" t="e">
        <f>VLOOKUP(A883,'Production Plan'!B:T,14,FALSE)</f>
        <v>#N/A</v>
      </c>
    </row>
    <row r="884" spans="1:2" hidden="1">
      <c r="A884">
        <f>'Production Plan'!B813</f>
        <v>0</v>
      </c>
      <c r="B884" s="3" t="e">
        <f>VLOOKUP(A884,'Production Plan'!B:T,14,FALSE)</f>
        <v>#N/A</v>
      </c>
    </row>
    <row r="885" spans="1:2" hidden="1">
      <c r="A885">
        <f>'Production Plan'!B814</f>
        <v>0</v>
      </c>
      <c r="B885" s="3" t="e">
        <f>VLOOKUP(A885,'Production Plan'!B:T,14,FALSE)</f>
        <v>#N/A</v>
      </c>
    </row>
    <row r="886" spans="1:2" hidden="1">
      <c r="A886">
        <f>'Production Plan'!B815</f>
        <v>0</v>
      </c>
      <c r="B886" s="3" t="e">
        <f>VLOOKUP(A886,'Production Plan'!B:T,14,FALSE)</f>
        <v>#N/A</v>
      </c>
    </row>
    <row r="887" spans="1:2" hidden="1">
      <c r="A887">
        <f>'Production Plan'!B816</f>
        <v>0</v>
      </c>
      <c r="B887" s="3" t="e">
        <f>VLOOKUP(A887,'Production Plan'!B:T,14,FALSE)</f>
        <v>#N/A</v>
      </c>
    </row>
    <row r="888" spans="1:2" hidden="1">
      <c r="A888">
        <f>'Production Plan'!B817</f>
        <v>0</v>
      </c>
      <c r="B888" s="3" t="e">
        <f>VLOOKUP(A888,'Production Plan'!B:T,14,FALSE)</f>
        <v>#N/A</v>
      </c>
    </row>
    <row r="889" spans="1:2" hidden="1">
      <c r="A889">
        <f>'Production Plan'!B818</f>
        <v>0</v>
      </c>
      <c r="B889" s="3" t="e">
        <f>VLOOKUP(A889,'Production Plan'!B:T,14,FALSE)</f>
        <v>#N/A</v>
      </c>
    </row>
    <row r="890" spans="1:2" hidden="1">
      <c r="A890">
        <f>'Production Plan'!B819</f>
        <v>0</v>
      </c>
      <c r="B890" s="3" t="e">
        <f>VLOOKUP(A890,'Production Plan'!B:T,14,FALSE)</f>
        <v>#N/A</v>
      </c>
    </row>
    <row r="891" spans="1:2" hidden="1">
      <c r="A891">
        <f>'Production Plan'!B820</f>
        <v>0</v>
      </c>
      <c r="B891" s="3" t="e">
        <f>VLOOKUP(A891,'Production Plan'!B:T,14,FALSE)</f>
        <v>#N/A</v>
      </c>
    </row>
    <row r="892" spans="1:2" hidden="1">
      <c r="A892">
        <f>'Production Plan'!B821</f>
        <v>0</v>
      </c>
      <c r="B892" s="3" t="e">
        <f>VLOOKUP(A892,'Production Plan'!B:T,14,FALSE)</f>
        <v>#N/A</v>
      </c>
    </row>
    <row r="893" spans="1:2" hidden="1">
      <c r="A893">
        <f>'Production Plan'!B822</f>
        <v>0</v>
      </c>
      <c r="B893" s="3" t="e">
        <f>VLOOKUP(A893,'Production Plan'!B:T,14,FALSE)</f>
        <v>#N/A</v>
      </c>
    </row>
    <row r="894" spans="1:2" hidden="1">
      <c r="A894">
        <f>'Production Plan'!B823</f>
        <v>0</v>
      </c>
      <c r="B894" s="3" t="e">
        <f>VLOOKUP(A894,'Production Plan'!B:T,14,FALSE)</f>
        <v>#N/A</v>
      </c>
    </row>
    <row r="895" spans="1:2" hidden="1">
      <c r="A895">
        <f>'Production Plan'!B824</f>
        <v>0</v>
      </c>
      <c r="B895" s="3" t="e">
        <f>VLOOKUP(A895,'Production Plan'!B:T,14,FALSE)</f>
        <v>#N/A</v>
      </c>
    </row>
    <row r="896" spans="1:2" hidden="1">
      <c r="A896">
        <f>'Production Plan'!B825</f>
        <v>0</v>
      </c>
      <c r="B896" s="3" t="e">
        <f>VLOOKUP(A896,'Production Plan'!B:T,14,FALSE)</f>
        <v>#N/A</v>
      </c>
    </row>
    <row r="897" spans="1:2" hidden="1">
      <c r="A897">
        <f>'Production Plan'!B826</f>
        <v>0</v>
      </c>
      <c r="B897" s="3" t="e">
        <f>VLOOKUP(A897,'Production Plan'!B:T,14,FALSE)</f>
        <v>#N/A</v>
      </c>
    </row>
    <row r="898" spans="1:2" hidden="1">
      <c r="A898">
        <f>'Production Plan'!B827</f>
        <v>0</v>
      </c>
      <c r="B898" s="3" t="e">
        <f>VLOOKUP(A898,'Production Plan'!B:T,14,FALSE)</f>
        <v>#N/A</v>
      </c>
    </row>
    <row r="899" spans="1:2" hidden="1">
      <c r="A899">
        <f>'Production Plan'!B828</f>
        <v>0</v>
      </c>
      <c r="B899" s="3" t="e">
        <f>VLOOKUP(A899,'Production Plan'!B:T,14,FALSE)</f>
        <v>#N/A</v>
      </c>
    </row>
    <row r="900" spans="1:2" hidden="1">
      <c r="A900">
        <f>'Production Plan'!B829</f>
        <v>0</v>
      </c>
      <c r="B900" s="3" t="e">
        <f>VLOOKUP(A900,'Production Plan'!B:T,14,FALSE)</f>
        <v>#N/A</v>
      </c>
    </row>
    <row r="901" spans="1:2" hidden="1">
      <c r="A901">
        <f>'Production Plan'!B830</f>
        <v>0</v>
      </c>
      <c r="B901" s="3" t="e">
        <f>VLOOKUP(A901,'Production Plan'!B:T,14,FALSE)</f>
        <v>#N/A</v>
      </c>
    </row>
    <row r="902" spans="1:2" hidden="1">
      <c r="A902">
        <f>'Production Plan'!B831</f>
        <v>0</v>
      </c>
      <c r="B902" s="3" t="e">
        <f>VLOOKUP(A902,'Production Plan'!B:T,14,FALSE)</f>
        <v>#N/A</v>
      </c>
    </row>
    <row r="903" spans="1:2" hidden="1">
      <c r="A903">
        <f>'Production Plan'!B832</f>
        <v>0</v>
      </c>
      <c r="B903" s="3" t="e">
        <f>VLOOKUP(A903,'Production Plan'!B:T,14,FALSE)</f>
        <v>#N/A</v>
      </c>
    </row>
    <row r="904" spans="1:2" hidden="1">
      <c r="A904">
        <f>'Production Plan'!B833</f>
        <v>0</v>
      </c>
      <c r="B904" s="3" t="e">
        <f>VLOOKUP(A904,'Production Plan'!B:T,14,FALSE)</f>
        <v>#N/A</v>
      </c>
    </row>
    <row r="905" spans="1:2" hidden="1">
      <c r="A905">
        <f>'Production Plan'!B834</f>
        <v>0</v>
      </c>
      <c r="B905" s="3" t="e">
        <f>VLOOKUP(A905,'Production Plan'!B:T,14,FALSE)</f>
        <v>#N/A</v>
      </c>
    </row>
    <row r="906" spans="1:2" hidden="1">
      <c r="A906">
        <f>'Production Plan'!B835</f>
        <v>0</v>
      </c>
      <c r="B906" s="3" t="e">
        <f>VLOOKUP(A906,'Production Plan'!B:T,14,FALSE)</f>
        <v>#N/A</v>
      </c>
    </row>
    <row r="907" spans="1:2" hidden="1">
      <c r="A907">
        <f>'Production Plan'!B836</f>
        <v>0</v>
      </c>
      <c r="B907" s="3" t="e">
        <f>VLOOKUP(A907,'Production Plan'!B:T,14,FALSE)</f>
        <v>#N/A</v>
      </c>
    </row>
    <row r="908" spans="1:2" hidden="1">
      <c r="A908">
        <f>'Production Plan'!B837</f>
        <v>0</v>
      </c>
      <c r="B908" s="3" t="e">
        <f>VLOOKUP(A908,'Production Plan'!B:T,14,FALSE)</f>
        <v>#N/A</v>
      </c>
    </row>
    <row r="909" spans="1:2" hidden="1">
      <c r="A909">
        <f>'Production Plan'!B838</f>
        <v>0</v>
      </c>
      <c r="B909" s="3" t="e">
        <f>VLOOKUP(A909,'Production Plan'!B:T,14,FALSE)</f>
        <v>#N/A</v>
      </c>
    </row>
    <row r="910" spans="1:2" hidden="1">
      <c r="A910">
        <f>'Production Plan'!B839</f>
        <v>0</v>
      </c>
      <c r="B910" s="3" t="e">
        <f>VLOOKUP(A910,'Production Plan'!B:T,14,FALSE)</f>
        <v>#N/A</v>
      </c>
    </row>
    <row r="911" spans="1:2" hidden="1">
      <c r="A911">
        <f>'Production Plan'!B840</f>
        <v>0</v>
      </c>
      <c r="B911" s="3" t="e">
        <f>VLOOKUP(A911,'Production Plan'!B:T,14,FALSE)</f>
        <v>#N/A</v>
      </c>
    </row>
    <row r="912" spans="1:2" hidden="1">
      <c r="A912">
        <f>'Production Plan'!B841</f>
        <v>0</v>
      </c>
      <c r="B912" s="3" t="e">
        <f>VLOOKUP(A912,'Production Plan'!B:T,14,FALSE)</f>
        <v>#N/A</v>
      </c>
    </row>
    <row r="913" spans="1:2" hidden="1">
      <c r="A913">
        <f>'Production Plan'!B842</f>
        <v>0</v>
      </c>
      <c r="B913" s="3" t="e">
        <f>VLOOKUP(A913,'Production Plan'!B:T,14,FALSE)</f>
        <v>#N/A</v>
      </c>
    </row>
    <row r="914" spans="1:2" hidden="1">
      <c r="A914">
        <f>'Production Plan'!B843</f>
        <v>0</v>
      </c>
      <c r="B914" s="3" t="e">
        <f>VLOOKUP(A914,'Production Plan'!B:T,14,FALSE)</f>
        <v>#N/A</v>
      </c>
    </row>
    <row r="915" spans="1:2" hidden="1">
      <c r="A915">
        <f>'Production Plan'!B844</f>
        <v>0</v>
      </c>
      <c r="B915" s="3" t="e">
        <f>VLOOKUP(A915,'Production Plan'!B:T,14,FALSE)</f>
        <v>#N/A</v>
      </c>
    </row>
    <row r="916" spans="1:2" hidden="1">
      <c r="A916">
        <f>'Production Plan'!B845</f>
        <v>0</v>
      </c>
      <c r="B916" s="3" t="e">
        <f>VLOOKUP(A916,'Production Plan'!B:T,14,FALSE)</f>
        <v>#N/A</v>
      </c>
    </row>
    <row r="917" spans="1:2" hidden="1">
      <c r="A917">
        <f>'Production Plan'!B846</f>
        <v>0</v>
      </c>
      <c r="B917" s="3" t="e">
        <f>VLOOKUP(A917,'Production Plan'!B:T,14,FALSE)</f>
        <v>#N/A</v>
      </c>
    </row>
    <row r="918" spans="1:2" hidden="1">
      <c r="A918">
        <f>'Production Plan'!B847</f>
        <v>0</v>
      </c>
      <c r="B918" s="3" t="e">
        <f>VLOOKUP(A918,'Production Plan'!B:T,14,FALSE)</f>
        <v>#N/A</v>
      </c>
    </row>
    <row r="919" spans="1:2" hidden="1">
      <c r="A919">
        <f>'Production Plan'!B848</f>
        <v>0</v>
      </c>
      <c r="B919" s="3" t="e">
        <f>VLOOKUP(A919,'Production Plan'!B:T,14,FALSE)</f>
        <v>#N/A</v>
      </c>
    </row>
    <row r="920" spans="1:2" hidden="1">
      <c r="A920">
        <f>'Production Plan'!B849</f>
        <v>0</v>
      </c>
      <c r="B920" s="3" t="e">
        <f>VLOOKUP(A920,'Production Plan'!B:T,14,FALSE)</f>
        <v>#N/A</v>
      </c>
    </row>
    <row r="921" spans="1:2" hidden="1">
      <c r="A921">
        <f>'Production Plan'!B850</f>
        <v>0</v>
      </c>
      <c r="B921" s="3" t="e">
        <f>VLOOKUP(A921,'Production Plan'!B:T,14,FALSE)</f>
        <v>#N/A</v>
      </c>
    </row>
    <row r="922" spans="1:2" hidden="1">
      <c r="A922">
        <f>'Production Plan'!B851</f>
        <v>0</v>
      </c>
      <c r="B922" s="3" t="e">
        <f>VLOOKUP(A922,'Production Plan'!B:T,14,FALSE)</f>
        <v>#N/A</v>
      </c>
    </row>
    <row r="923" spans="1:2" hidden="1">
      <c r="A923">
        <f>'Production Plan'!B852</f>
        <v>0</v>
      </c>
      <c r="B923" s="3" t="e">
        <f>VLOOKUP(A923,'Production Plan'!B:T,14,FALSE)</f>
        <v>#N/A</v>
      </c>
    </row>
    <row r="924" spans="1:2" hidden="1">
      <c r="A924">
        <f>'Production Plan'!B853</f>
        <v>0</v>
      </c>
      <c r="B924" s="3" t="e">
        <f>VLOOKUP(A924,'Production Plan'!B:T,14,FALSE)</f>
        <v>#N/A</v>
      </c>
    </row>
    <row r="925" spans="1:2" hidden="1">
      <c r="A925">
        <f>'Production Plan'!B854</f>
        <v>0</v>
      </c>
      <c r="B925" s="3" t="e">
        <f>VLOOKUP(A925,'Production Plan'!B:T,14,FALSE)</f>
        <v>#N/A</v>
      </c>
    </row>
    <row r="926" spans="1:2" hidden="1">
      <c r="A926">
        <f>'Production Plan'!B855</f>
        <v>0</v>
      </c>
      <c r="B926" s="3" t="e">
        <f>VLOOKUP(A926,'Production Plan'!B:T,14,FALSE)</f>
        <v>#N/A</v>
      </c>
    </row>
    <row r="927" spans="1:2" hidden="1">
      <c r="A927">
        <f>'Production Plan'!B856</f>
        <v>0</v>
      </c>
      <c r="B927" s="3" t="e">
        <f>VLOOKUP(A927,'Production Plan'!B:T,14,FALSE)</f>
        <v>#N/A</v>
      </c>
    </row>
    <row r="928" spans="1:2" hidden="1">
      <c r="A928">
        <f>'Production Plan'!B857</f>
        <v>0</v>
      </c>
      <c r="B928" s="3" t="e">
        <f>VLOOKUP(A928,'Production Plan'!B:T,14,FALSE)</f>
        <v>#N/A</v>
      </c>
    </row>
    <row r="929" spans="1:2" hidden="1">
      <c r="A929">
        <f>'Production Plan'!B858</f>
        <v>0</v>
      </c>
      <c r="B929" s="3" t="e">
        <f>VLOOKUP(A929,'Production Plan'!B:T,14,FALSE)</f>
        <v>#N/A</v>
      </c>
    </row>
    <row r="930" spans="1:2" hidden="1">
      <c r="A930">
        <f>'Production Plan'!B859</f>
        <v>0</v>
      </c>
      <c r="B930" s="3" t="e">
        <f>VLOOKUP(A930,'Production Plan'!B:T,14,FALSE)</f>
        <v>#N/A</v>
      </c>
    </row>
    <row r="931" spans="1:2" hidden="1">
      <c r="A931">
        <f>'Production Plan'!B860</f>
        <v>0</v>
      </c>
      <c r="B931" s="3" t="e">
        <f>VLOOKUP(A931,'Production Plan'!B:T,14,FALSE)</f>
        <v>#N/A</v>
      </c>
    </row>
    <row r="932" spans="1:2" hidden="1">
      <c r="A932">
        <f>'Production Plan'!B861</f>
        <v>0</v>
      </c>
      <c r="B932" s="3" t="e">
        <f>VLOOKUP(A932,'Production Plan'!B:T,14,FALSE)</f>
        <v>#N/A</v>
      </c>
    </row>
    <row r="933" spans="1:2" hidden="1">
      <c r="A933">
        <f>'Production Plan'!B862</f>
        <v>0</v>
      </c>
      <c r="B933" s="3" t="e">
        <f>VLOOKUP(A933,'Production Plan'!B:T,14,FALSE)</f>
        <v>#N/A</v>
      </c>
    </row>
    <row r="934" spans="1:2" hidden="1">
      <c r="A934">
        <f>'Production Plan'!B863</f>
        <v>0</v>
      </c>
      <c r="B934" s="3" t="e">
        <f>VLOOKUP(A934,'Production Plan'!B:T,14,FALSE)</f>
        <v>#N/A</v>
      </c>
    </row>
    <row r="935" spans="1:2" hidden="1">
      <c r="A935">
        <f>'Production Plan'!B864</f>
        <v>0</v>
      </c>
      <c r="B935" s="3" t="e">
        <f>VLOOKUP(A935,'Production Plan'!B:T,14,FALSE)</f>
        <v>#N/A</v>
      </c>
    </row>
    <row r="936" spans="1:2" hidden="1">
      <c r="A936">
        <f>'Production Plan'!B865</f>
        <v>0</v>
      </c>
      <c r="B936" s="3" t="e">
        <f>VLOOKUP(A936,'Production Plan'!B:T,14,FALSE)</f>
        <v>#N/A</v>
      </c>
    </row>
    <row r="937" spans="1:2" hidden="1">
      <c r="A937">
        <f>'Production Plan'!B866</f>
        <v>0</v>
      </c>
      <c r="B937" s="3" t="e">
        <f>VLOOKUP(A937,'Production Plan'!B:T,14,FALSE)</f>
        <v>#N/A</v>
      </c>
    </row>
    <row r="938" spans="1:2" hidden="1">
      <c r="A938">
        <f>'Production Plan'!B867</f>
        <v>0</v>
      </c>
      <c r="B938" s="3" t="e">
        <f>VLOOKUP(A938,'Production Plan'!B:T,14,FALSE)</f>
        <v>#N/A</v>
      </c>
    </row>
    <row r="939" spans="1:2" hidden="1">
      <c r="A939">
        <f>'Production Plan'!B868</f>
        <v>0</v>
      </c>
      <c r="B939" s="3" t="e">
        <f>VLOOKUP(A939,'Production Plan'!B:T,14,FALSE)</f>
        <v>#N/A</v>
      </c>
    </row>
    <row r="940" spans="1:2" hidden="1">
      <c r="A940">
        <f>'Production Plan'!B869</f>
        <v>0</v>
      </c>
      <c r="B940" s="3" t="e">
        <f>VLOOKUP(A940,'Production Plan'!B:T,14,FALSE)</f>
        <v>#N/A</v>
      </c>
    </row>
    <row r="941" spans="1:2" hidden="1">
      <c r="A941">
        <f>'Production Plan'!B870</f>
        <v>0</v>
      </c>
      <c r="B941" s="3" t="e">
        <f>VLOOKUP(A941,'Production Plan'!B:T,14,FALSE)</f>
        <v>#N/A</v>
      </c>
    </row>
    <row r="942" spans="1:2" hidden="1">
      <c r="A942">
        <f>'Production Plan'!B871</f>
        <v>0</v>
      </c>
      <c r="B942" s="3" t="e">
        <f>VLOOKUP(A942,'Production Plan'!B:T,14,FALSE)</f>
        <v>#N/A</v>
      </c>
    </row>
    <row r="943" spans="1:2" hidden="1">
      <c r="A943">
        <f>'Production Plan'!B872</f>
        <v>0</v>
      </c>
      <c r="B943" s="3" t="e">
        <f>VLOOKUP(A943,'Production Plan'!B:T,14,FALSE)</f>
        <v>#N/A</v>
      </c>
    </row>
    <row r="944" spans="1:2" hidden="1">
      <c r="A944">
        <f>'Production Plan'!B873</f>
        <v>0</v>
      </c>
      <c r="B944" s="3" t="e">
        <f>VLOOKUP(A944,'Production Plan'!B:T,14,FALSE)</f>
        <v>#N/A</v>
      </c>
    </row>
    <row r="945" spans="1:2" hidden="1">
      <c r="A945">
        <f>'Production Plan'!B874</f>
        <v>0</v>
      </c>
      <c r="B945" s="3" t="e">
        <f>VLOOKUP(A945,'Production Plan'!B:T,14,FALSE)</f>
        <v>#N/A</v>
      </c>
    </row>
    <row r="946" spans="1:2" hidden="1">
      <c r="A946">
        <f>'Production Plan'!B875</f>
        <v>0</v>
      </c>
      <c r="B946" s="3" t="e">
        <f>VLOOKUP(A946,'Production Plan'!B:T,14,FALSE)</f>
        <v>#N/A</v>
      </c>
    </row>
    <row r="947" spans="1:2" hidden="1">
      <c r="A947">
        <f>'Production Plan'!B876</f>
        <v>0</v>
      </c>
      <c r="B947" s="3" t="e">
        <f>VLOOKUP(A947,'Production Plan'!B:T,14,FALSE)</f>
        <v>#N/A</v>
      </c>
    </row>
    <row r="948" spans="1:2" hidden="1">
      <c r="A948">
        <f>'Production Plan'!B877</f>
        <v>0</v>
      </c>
      <c r="B948" s="3" t="e">
        <f>VLOOKUP(A948,'Production Plan'!B:T,14,FALSE)</f>
        <v>#N/A</v>
      </c>
    </row>
    <row r="949" spans="1:2" hidden="1">
      <c r="A949">
        <f>'Production Plan'!B878</f>
        <v>0</v>
      </c>
      <c r="B949" s="3" t="e">
        <f>VLOOKUP(A949,'Production Plan'!B:T,14,FALSE)</f>
        <v>#N/A</v>
      </c>
    </row>
    <row r="950" spans="1:2" hidden="1">
      <c r="A950">
        <f>'Production Plan'!B879</f>
        <v>0</v>
      </c>
      <c r="B950" s="3" t="e">
        <f>VLOOKUP(A950,'Production Plan'!B:T,14,FALSE)</f>
        <v>#N/A</v>
      </c>
    </row>
    <row r="951" spans="1:2" hidden="1">
      <c r="A951">
        <f>'Production Plan'!B880</f>
        <v>0</v>
      </c>
      <c r="B951" s="3" t="e">
        <f>VLOOKUP(A951,'Production Plan'!B:T,14,FALSE)</f>
        <v>#N/A</v>
      </c>
    </row>
    <row r="952" spans="1:2" hidden="1">
      <c r="A952">
        <f>'Production Plan'!B881</f>
        <v>0</v>
      </c>
      <c r="B952" s="3" t="e">
        <f>VLOOKUP(A952,'Production Plan'!B:T,14,FALSE)</f>
        <v>#N/A</v>
      </c>
    </row>
    <row r="953" spans="1:2" hidden="1">
      <c r="A953">
        <f>'Production Plan'!B882</f>
        <v>0</v>
      </c>
      <c r="B953" s="3" t="e">
        <f>VLOOKUP(A953,'Production Plan'!B:T,14,FALSE)</f>
        <v>#N/A</v>
      </c>
    </row>
    <row r="954" spans="1:2" hidden="1">
      <c r="A954">
        <f>'Production Plan'!B883</f>
        <v>0</v>
      </c>
      <c r="B954" s="3" t="e">
        <f>VLOOKUP(A954,'Production Plan'!B:T,14,FALSE)</f>
        <v>#N/A</v>
      </c>
    </row>
    <row r="955" spans="1:2" hidden="1">
      <c r="A955">
        <f>'Production Plan'!B884</f>
        <v>0</v>
      </c>
      <c r="B955" s="3" t="e">
        <f>VLOOKUP(A955,'Production Plan'!B:T,14,FALSE)</f>
        <v>#N/A</v>
      </c>
    </row>
    <row r="956" spans="1:2" hidden="1">
      <c r="A956">
        <f>'Production Plan'!B885</f>
        <v>0</v>
      </c>
      <c r="B956" s="3" t="e">
        <f>VLOOKUP(A956,'Production Plan'!B:T,14,FALSE)</f>
        <v>#N/A</v>
      </c>
    </row>
    <row r="957" spans="1:2" hidden="1">
      <c r="A957">
        <f>'Production Plan'!B886</f>
        <v>0</v>
      </c>
      <c r="B957" s="3" t="e">
        <f>VLOOKUP(A957,'Production Plan'!B:T,14,FALSE)</f>
        <v>#N/A</v>
      </c>
    </row>
    <row r="958" spans="1:2" hidden="1">
      <c r="A958">
        <f>'Production Plan'!B887</f>
        <v>0</v>
      </c>
      <c r="B958" s="3" t="e">
        <f>VLOOKUP(A958,'Production Plan'!B:T,14,FALSE)</f>
        <v>#N/A</v>
      </c>
    </row>
    <row r="959" spans="1:2" hidden="1">
      <c r="A959">
        <f>'Production Plan'!B888</f>
        <v>0</v>
      </c>
      <c r="B959" s="3" t="e">
        <f>VLOOKUP(A959,'Production Plan'!B:T,14,FALSE)</f>
        <v>#N/A</v>
      </c>
    </row>
    <row r="960" spans="1:2" hidden="1">
      <c r="A960">
        <f>'Production Plan'!B889</f>
        <v>0</v>
      </c>
      <c r="B960" s="3" t="e">
        <f>VLOOKUP(A960,'Production Plan'!B:T,14,FALSE)</f>
        <v>#N/A</v>
      </c>
    </row>
    <row r="961" spans="1:2" hidden="1">
      <c r="A961">
        <f>'Production Plan'!B890</f>
        <v>0</v>
      </c>
      <c r="B961" s="3" t="e">
        <f>VLOOKUP(A961,'Production Plan'!B:T,14,FALSE)</f>
        <v>#N/A</v>
      </c>
    </row>
    <row r="962" spans="1:2" hidden="1">
      <c r="A962">
        <f>'Production Plan'!B891</f>
        <v>0</v>
      </c>
      <c r="B962" s="3" t="e">
        <f>VLOOKUP(A962,'Production Plan'!B:T,14,FALSE)</f>
        <v>#N/A</v>
      </c>
    </row>
    <row r="963" spans="1:2" hidden="1">
      <c r="A963">
        <f>'Production Plan'!B892</f>
        <v>0</v>
      </c>
      <c r="B963" s="3" t="e">
        <f>VLOOKUP(A963,'Production Plan'!B:T,14,FALSE)</f>
        <v>#N/A</v>
      </c>
    </row>
    <row r="964" spans="1:2" hidden="1">
      <c r="A964">
        <f>'Production Plan'!B893</f>
        <v>0</v>
      </c>
      <c r="B964" s="3" t="e">
        <f>VLOOKUP(A964,'Production Plan'!B:T,14,FALSE)</f>
        <v>#N/A</v>
      </c>
    </row>
    <row r="965" spans="1:2" hidden="1">
      <c r="A965">
        <f>'Production Plan'!B894</f>
        <v>0</v>
      </c>
      <c r="B965" s="3" t="e">
        <f>VLOOKUP(A965,'Production Plan'!B:T,14,FALSE)</f>
        <v>#N/A</v>
      </c>
    </row>
    <row r="966" spans="1:2" hidden="1">
      <c r="A966">
        <f>'Production Plan'!B895</f>
        <v>0</v>
      </c>
      <c r="B966" s="3" t="e">
        <f>VLOOKUP(A966,'Production Plan'!B:T,14,FALSE)</f>
        <v>#N/A</v>
      </c>
    </row>
    <row r="967" spans="1:2" hidden="1">
      <c r="A967">
        <f>'Production Plan'!B896</f>
        <v>0</v>
      </c>
      <c r="B967" s="3" t="e">
        <f>VLOOKUP(A967,'Production Plan'!B:T,14,FALSE)</f>
        <v>#N/A</v>
      </c>
    </row>
    <row r="968" spans="1:2" hidden="1">
      <c r="A968">
        <f>'Production Plan'!B897</f>
        <v>0</v>
      </c>
      <c r="B968" s="3" t="e">
        <f>VLOOKUP(A968,'Production Plan'!B:T,14,FALSE)</f>
        <v>#N/A</v>
      </c>
    </row>
    <row r="969" spans="1:2" hidden="1">
      <c r="A969">
        <f>'Production Plan'!B898</f>
        <v>0</v>
      </c>
      <c r="B969" s="3" t="e">
        <f>VLOOKUP(A969,'Production Plan'!B:T,14,FALSE)</f>
        <v>#N/A</v>
      </c>
    </row>
    <row r="970" spans="1:2" hidden="1">
      <c r="A970">
        <f>'Production Plan'!B899</f>
        <v>0</v>
      </c>
      <c r="B970" s="3" t="e">
        <f>VLOOKUP(A970,'Production Plan'!B:T,14,FALSE)</f>
        <v>#N/A</v>
      </c>
    </row>
    <row r="971" spans="1:2" hidden="1">
      <c r="A971">
        <f>'Production Plan'!B900</f>
        <v>0</v>
      </c>
      <c r="B971" s="3" t="e">
        <f>VLOOKUP(A971,'Production Plan'!B:T,14,FALSE)</f>
        <v>#N/A</v>
      </c>
    </row>
    <row r="972" spans="1:2" hidden="1">
      <c r="A972">
        <f>'Production Plan'!B901</f>
        <v>0</v>
      </c>
      <c r="B972" s="3" t="e">
        <f>VLOOKUP(A972,'Production Plan'!B:T,14,FALSE)</f>
        <v>#N/A</v>
      </c>
    </row>
    <row r="973" spans="1:2" hidden="1">
      <c r="A973">
        <f>'Production Plan'!B902</f>
        <v>0</v>
      </c>
      <c r="B973" s="3" t="e">
        <f>VLOOKUP(A973,'Production Plan'!B:T,14,FALSE)</f>
        <v>#N/A</v>
      </c>
    </row>
    <row r="974" spans="1:2" hidden="1">
      <c r="A974">
        <f>'Production Plan'!B903</f>
        <v>0</v>
      </c>
      <c r="B974" s="3" t="e">
        <f>VLOOKUP(A974,'Production Plan'!B:T,14,FALSE)</f>
        <v>#N/A</v>
      </c>
    </row>
    <row r="975" spans="1:2" hidden="1">
      <c r="A975">
        <f>'Production Plan'!B904</f>
        <v>0</v>
      </c>
      <c r="B975" s="3" t="e">
        <f>VLOOKUP(A975,'Production Plan'!B:T,14,FALSE)</f>
        <v>#N/A</v>
      </c>
    </row>
    <row r="976" spans="1:2" hidden="1">
      <c r="A976">
        <f>'Production Plan'!B905</f>
        <v>0</v>
      </c>
      <c r="B976" s="3" t="e">
        <f>VLOOKUP(A976,'Production Plan'!B:T,14,FALSE)</f>
        <v>#N/A</v>
      </c>
    </row>
    <row r="977" spans="1:2" hidden="1">
      <c r="A977">
        <f>'Production Plan'!B906</f>
        <v>0</v>
      </c>
      <c r="B977" s="3" t="e">
        <f>VLOOKUP(A977,'Production Plan'!B:T,14,FALSE)</f>
        <v>#N/A</v>
      </c>
    </row>
    <row r="978" spans="1:2" hidden="1">
      <c r="A978">
        <f>'Production Plan'!B907</f>
        <v>0</v>
      </c>
      <c r="B978" s="3" t="e">
        <f>VLOOKUP(A978,'Production Plan'!B:T,14,FALSE)</f>
        <v>#N/A</v>
      </c>
    </row>
    <row r="979" spans="1:2" hidden="1">
      <c r="A979">
        <f>'Production Plan'!B908</f>
        <v>0</v>
      </c>
      <c r="B979" s="3" t="e">
        <f>VLOOKUP(A979,'Production Plan'!B:T,14,FALSE)</f>
        <v>#N/A</v>
      </c>
    </row>
    <row r="980" spans="1:2" hidden="1">
      <c r="A980">
        <f>'Production Plan'!B909</f>
        <v>0</v>
      </c>
      <c r="B980" s="3" t="e">
        <f>VLOOKUP(A980,'Production Plan'!B:T,14,FALSE)</f>
        <v>#N/A</v>
      </c>
    </row>
    <row r="981" spans="1:2" hidden="1">
      <c r="A981">
        <f>'Production Plan'!B910</f>
        <v>0</v>
      </c>
      <c r="B981" s="3" t="e">
        <f>VLOOKUP(A981,'Production Plan'!B:T,14,FALSE)</f>
        <v>#N/A</v>
      </c>
    </row>
    <row r="982" spans="1:2" hidden="1">
      <c r="A982">
        <f>'Production Plan'!B911</f>
        <v>0</v>
      </c>
      <c r="B982" s="3" t="e">
        <f>VLOOKUP(A982,'Production Plan'!B:T,14,FALSE)</f>
        <v>#N/A</v>
      </c>
    </row>
    <row r="983" spans="1:2" hidden="1">
      <c r="A983">
        <f>'Production Plan'!B912</f>
        <v>0</v>
      </c>
      <c r="B983" s="3" t="e">
        <f>VLOOKUP(A983,'Production Plan'!B:T,14,FALSE)</f>
        <v>#N/A</v>
      </c>
    </row>
    <row r="984" spans="1:2" hidden="1">
      <c r="A984">
        <f>'Production Plan'!B913</f>
        <v>0</v>
      </c>
      <c r="B984" s="3" t="e">
        <f>VLOOKUP(A984,'Production Plan'!B:T,14,FALSE)</f>
        <v>#N/A</v>
      </c>
    </row>
    <row r="985" spans="1:2" hidden="1">
      <c r="A985">
        <f>'Production Plan'!B914</f>
        <v>0</v>
      </c>
      <c r="B985" s="3" t="e">
        <f>VLOOKUP(A985,'Production Plan'!B:T,14,FALSE)</f>
        <v>#N/A</v>
      </c>
    </row>
    <row r="986" spans="1:2" hidden="1">
      <c r="A986">
        <f>'Production Plan'!B915</f>
        <v>0</v>
      </c>
      <c r="B986" s="3" t="e">
        <f>VLOOKUP(A986,'Production Plan'!B:T,14,FALSE)</f>
        <v>#N/A</v>
      </c>
    </row>
    <row r="987" spans="1:2" hidden="1">
      <c r="A987">
        <f>'Production Plan'!B916</f>
        <v>0</v>
      </c>
      <c r="B987" s="3" t="e">
        <f>VLOOKUP(A987,'Production Plan'!B:T,14,FALSE)</f>
        <v>#N/A</v>
      </c>
    </row>
    <row r="988" spans="1:2" hidden="1">
      <c r="A988">
        <f>'Production Plan'!B917</f>
        <v>0</v>
      </c>
      <c r="B988" s="3" t="e">
        <f>VLOOKUP(A988,'Production Plan'!B:T,14,FALSE)</f>
        <v>#N/A</v>
      </c>
    </row>
    <row r="989" spans="1:2" hidden="1">
      <c r="A989">
        <f>'Production Plan'!B918</f>
        <v>0</v>
      </c>
      <c r="B989" s="3" t="e">
        <f>VLOOKUP(A989,'Production Plan'!B:T,14,FALSE)</f>
        <v>#N/A</v>
      </c>
    </row>
    <row r="990" spans="1:2" hidden="1">
      <c r="A990">
        <f>'Production Plan'!B919</f>
        <v>0</v>
      </c>
      <c r="B990" s="3" t="e">
        <f>VLOOKUP(A990,'Production Plan'!B:T,14,FALSE)</f>
        <v>#N/A</v>
      </c>
    </row>
    <row r="991" spans="1:2" hidden="1">
      <c r="A991">
        <f>'Production Plan'!B920</f>
        <v>0</v>
      </c>
      <c r="B991" s="3" t="e">
        <f>VLOOKUP(A991,'Production Plan'!B:T,14,FALSE)</f>
        <v>#N/A</v>
      </c>
    </row>
    <row r="992" spans="1:2" hidden="1">
      <c r="A992">
        <f>'Production Plan'!B921</f>
        <v>0</v>
      </c>
      <c r="B992" s="3" t="e">
        <f>VLOOKUP(A992,'Production Plan'!B:T,14,FALSE)</f>
        <v>#N/A</v>
      </c>
    </row>
    <row r="993" spans="1:10" hidden="1">
      <c r="A993">
        <f>'Production Plan'!B922</f>
        <v>0</v>
      </c>
      <c r="B993" s="3" t="e">
        <f>VLOOKUP(A993,'Production Plan'!B:T,14,FALSE)</f>
        <v>#N/A</v>
      </c>
    </row>
    <row r="994" spans="1:10" hidden="1">
      <c r="A994">
        <f>'Production Plan'!B923</f>
        <v>0</v>
      </c>
      <c r="B994" s="3" t="e">
        <f>VLOOKUP(A994,'Production Plan'!B:T,14,FALSE)</f>
        <v>#N/A</v>
      </c>
    </row>
    <row r="995" spans="1:10" hidden="1">
      <c r="A995">
        <f>'Production Plan'!B924</f>
        <v>0</v>
      </c>
      <c r="B995" s="3" t="e">
        <f>VLOOKUP(A995,'Production Plan'!B:T,14,FALSE)</f>
        <v>#N/A</v>
      </c>
    </row>
    <row r="996" spans="1:10" hidden="1">
      <c r="A996">
        <f>'Production Plan'!B925</f>
        <v>0</v>
      </c>
      <c r="B996" s="3" t="e">
        <f>VLOOKUP(A996,'Production Plan'!B:T,14,FALSE)</f>
        <v>#N/A</v>
      </c>
    </row>
    <row r="997" spans="1:10" hidden="1">
      <c r="A997">
        <f>'Production Plan'!B926</f>
        <v>0</v>
      </c>
      <c r="B997" s="3" t="e">
        <f>VLOOKUP(A997,'Production Plan'!B:T,14,FALSE)</f>
        <v>#N/A</v>
      </c>
    </row>
    <row r="998" spans="1:10" hidden="1">
      <c r="A998">
        <f>'Production Plan'!B927</f>
        <v>0</v>
      </c>
      <c r="B998" s="3" t="e">
        <f>VLOOKUP(A998,'Production Plan'!B:T,14,FALSE)</f>
        <v>#N/A</v>
      </c>
    </row>
    <row r="999" spans="1:10" hidden="1">
      <c r="A999">
        <f>'Production Plan'!B928</f>
        <v>0</v>
      </c>
      <c r="B999" s="3" t="e">
        <f>VLOOKUP(A999,'Production Plan'!B:T,14,FALSE)</f>
        <v>#N/A</v>
      </c>
    </row>
    <row r="1000" spans="1:10" hidden="1">
      <c r="A1000">
        <f>'Production Plan'!B929</f>
        <v>0</v>
      </c>
      <c r="B1000" s="3" t="e">
        <f>VLOOKUP(A1000,'Production Plan'!B:T,14,FALSE)</f>
        <v>#N/A</v>
      </c>
    </row>
    <row r="1001" spans="1:10">
      <c r="A1001" s="3"/>
      <c r="B1001" s="3"/>
      <c r="C1001" s="3"/>
      <c r="D1001" s="3"/>
      <c r="E1001" s="3"/>
      <c r="F1001" s="3"/>
      <c r="G1001" s="3"/>
      <c r="H1001" s="10"/>
      <c r="I1001" s="3"/>
      <c r="J1001" s="3"/>
    </row>
    <row r="1002" spans="1:10">
      <c r="A1002" s="3"/>
      <c r="B1002" s="3"/>
      <c r="C1002" s="3"/>
      <c r="D1002" s="3"/>
      <c r="E1002" s="3"/>
      <c r="F1002" s="3"/>
      <c r="G1002" s="3"/>
      <c r="H1002" s="10"/>
      <c r="I1002" s="3"/>
      <c r="J1002" s="3"/>
    </row>
    <row r="1003" spans="1:10">
      <c r="A1003" s="3"/>
      <c r="B1003" s="3"/>
      <c r="C1003" s="3"/>
      <c r="D1003" s="3"/>
      <c r="E1003" s="3"/>
      <c r="F1003" s="3"/>
      <c r="G1003" s="3"/>
      <c r="H1003" s="10"/>
      <c r="I1003" s="3"/>
      <c r="J1003" s="3"/>
    </row>
    <row r="1004" spans="1:10">
      <c r="A1004" s="3"/>
      <c r="B1004" s="3"/>
      <c r="C1004" s="3"/>
      <c r="D1004" s="3"/>
      <c r="E1004" s="3"/>
      <c r="F1004" s="3"/>
      <c r="G1004" s="3"/>
      <c r="H1004" s="10"/>
      <c r="I1004" s="3"/>
      <c r="J1004" s="3"/>
    </row>
    <row r="1005" spans="1:10">
      <c r="A1005" s="3"/>
      <c r="B1005" s="3"/>
      <c r="C1005" s="3"/>
      <c r="D1005" s="3"/>
      <c r="E1005" s="3"/>
      <c r="F1005" s="3"/>
      <c r="G1005" s="3"/>
      <c r="H1005" s="10"/>
      <c r="I1005" s="3"/>
      <c r="J1005" s="3"/>
    </row>
    <row r="1006" spans="1:10">
      <c r="A1006" s="3"/>
      <c r="B1006" s="3"/>
      <c r="C1006" s="3"/>
      <c r="D1006" s="3"/>
      <c r="E1006" s="3"/>
      <c r="F1006" s="3"/>
      <c r="G1006" s="3"/>
      <c r="H1006" s="10"/>
      <c r="I1006" s="3"/>
      <c r="J1006" s="3"/>
    </row>
    <row r="1007" spans="1:10">
      <c r="A1007" s="3"/>
      <c r="B1007" s="3"/>
      <c r="C1007" s="3"/>
      <c r="D1007" s="3"/>
      <c r="E1007" s="3"/>
      <c r="F1007" s="3"/>
      <c r="G1007" s="3"/>
      <c r="H1007" s="10"/>
      <c r="I1007" s="3"/>
      <c r="J1007" s="3"/>
    </row>
    <row r="1008" spans="1:10">
      <c r="A1008" s="3"/>
      <c r="B1008" s="3"/>
      <c r="C1008" s="3"/>
      <c r="D1008" s="3"/>
      <c r="E1008" s="3"/>
      <c r="F1008" s="3"/>
      <c r="G1008" s="3"/>
      <c r="H1008" s="10"/>
      <c r="I1008" s="3"/>
      <c r="J1008" s="3"/>
    </row>
    <row r="1009" spans="1:10">
      <c r="A1009" s="3"/>
      <c r="B1009" s="3"/>
      <c r="C1009" s="3"/>
      <c r="D1009" s="3"/>
      <c r="E1009" s="3"/>
      <c r="F1009" s="3"/>
      <c r="G1009" s="3"/>
      <c r="H1009" s="10"/>
      <c r="I1009" s="3"/>
      <c r="J1009" s="3"/>
    </row>
  </sheetData>
  <autoFilter ref="A1:L1000" xr:uid="{72713420-B748-487C-BB29-F92D086DD6B8}">
    <filterColumn colId="1">
      <filters>
        <filter val="Yes"/>
      </filters>
    </filterColumn>
  </autoFilter>
  <dataValidations count="1">
    <dataValidation type="list" allowBlank="1" showInputMessage="1" showErrorMessage="1" sqref="E2:E1048576" xr:uid="{299AFAD3-69D3-4E99-BFB7-D497CC43FD2A}">
      <formula1>"Disqualification/Non-conditional,Decreases chances of winning,No effect"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8DFA9-9E70-486E-9EFA-7B1D2508D3E5}">
  <sheetPr filterMode="1"/>
  <dimension ref="A1:M453"/>
  <sheetViews>
    <sheetView workbookViewId="0">
      <selection activeCell="N457" sqref="N457"/>
    </sheetView>
  </sheetViews>
  <sheetFormatPr defaultColWidth="8.765625" defaultRowHeight="16"/>
  <cols>
    <col min="1" max="1" width="6.4609375" bestFit="1" customWidth="1"/>
    <col min="2" max="2" width="8.3046875" bestFit="1" customWidth="1"/>
    <col min="3" max="3" width="40.69140625" customWidth="1"/>
    <col min="4" max="4" width="20" bestFit="1" customWidth="1"/>
    <col min="5" max="5" width="27.765625" bestFit="1" customWidth="1"/>
    <col min="6" max="6" width="29.4609375" bestFit="1" customWidth="1"/>
    <col min="7" max="8" width="31" customWidth="1"/>
    <col min="9" max="9" width="32.3046875" bestFit="1" customWidth="1"/>
    <col min="10" max="10" width="19.4609375" customWidth="1"/>
    <col min="11" max="11" width="13" bestFit="1" customWidth="1"/>
    <col min="12" max="12" width="46" bestFit="1" customWidth="1"/>
  </cols>
  <sheetData>
    <row r="1" spans="1:13">
      <c r="A1" s="4" t="s">
        <v>979</v>
      </c>
      <c r="B1" s="4" t="s">
        <v>980</v>
      </c>
      <c r="C1" s="4" t="s">
        <v>6</v>
      </c>
      <c r="D1" s="4" t="s">
        <v>992</v>
      </c>
      <c r="E1" s="4" t="s">
        <v>993</v>
      </c>
      <c r="F1" s="4" t="s">
        <v>983</v>
      </c>
      <c r="G1" s="4" t="s">
        <v>994</v>
      </c>
      <c r="H1" s="4" t="s">
        <v>18</v>
      </c>
      <c r="I1" s="4" t="s">
        <v>995</v>
      </c>
      <c r="J1" s="4" t="s">
        <v>996</v>
      </c>
      <c r="K1" s="4" t="s">
        <v>997</v>
      </c>
      <c r="L1" s="4" t="s">
        <v>998</v>
      </c>
      <c r="M1" s="4" t="s">
        <v>999</v>
      </c>
    </row>
    <row r="2" spans="1:13">
      <c r="A2" s="3" t="str">
        <f>'Production Plan'!B2</f>
        <v>4.1.1.</v>
      </c>
      <c r="B2" s="3">
        <f>VLOOKUP(A2,'Production Plan'!B:U,15,FALSE)</f>
        <v>0</v>
      </c>
      <c r="C2" s="3" t="str">
        <f>VLOOKUP(A2,'Production Plan'!B:G,5,FALSE)</f>
        <v>Implementeringsplan</v>
      </c>
      <c r="D2" s="3" t="s">
        <v>987</v>
      </c>
      <c r="E2" s="3" t="s">
        <v>1000</v>
      </c>
      <c r="F2" s="3" t="s">
        <v>1001</v>
      </c>
      <c r="G2" s="3" t="s">
        <v>1002</v>
      </c>
      <c r="H2" s="3"/>
      <c r="I2" s="3" t="s">
        <v>1003</v>
      </c>
      <c r="J2" s="3" t="s">
        <v>990</v>
      </c>
      <c r="K2" s="10">
        <v>46023</v>
      </c>
      <c r="L2" s="3" t="s">
        <v>1004</v>
      </c>
      <c r="M2" s="3"/>
    </row>
    <row r="3" spans="1:13">
      <c r="A3" s="3" t="str">
        <f>'Production Plan'!B3</f>
        <v>4.2.1.</v>
      </c>
      <c r="B3" s="3">
        <f>VLOOKUP(A3,'Production Plan'!B:U,15,FALSE)</f>
        <v>0</v>
      </c>
      <c r="C3" s="3" t="str">
        <f>VLOOKUP(A3,'Production Plan'!B:G,5,FALSE)</f>
        <v>Tidsplan for optioner</v>
      </c>
      <c r="D3" s="3" t="s">
        <v>987</v>
      </c>
      <c r="E3" s="3" t="s">
        <v>1005</v>
      </c>
      <c r="F3" s="3" t="s">
        <v>1006</v>
      </c>
      <c r="G3" s="3" t="s">
        <v>1007</v>
      </c>
      <c r="H3" s="3"/>
      <c r="I3" s="3" t="s">
        <v>1008</v>
      </c>
      <c r="J3" s="3" t="s">
        <v>990</v>
      </c>
      <c r="K3" s="10">
        <v>46023</v>
      </c>
      <c r="L3" s="3" t="s">
        <v>1009</v>
      </c>
      <c r="M3" s="3"/>
    </row>
    <row r="4" spans="1:13" hidden="1">
      <c r="A4" s="3" t="str">
        <f>'Production Plan'!B4</f>
        <v>5.1.1.1.</v>
      </c>
      <c r="B4" s="3">
        <f>VLOOKUP(A4,'Production Plan'!B:U,15,FALSE)</f>
        <v>0</v>
      </c>
      <c r="C4" s="3" t="str">
        <f>VLOOKUP(A4,'Production Plan'!B:G,5,FALSE)</f>
        <v>Prøveplan</v>
      </c>
      <c r="D4" s="3"/>
      <c r="E4" s="3"/>
      <c r="F4" s="3"/>
      <c r="G4" s="3"/>
      <c r="H4" s="3"/>
      <c r="I4" s="3"/>
      <c r="J4" s="3"/>
      <c r="K4" s="3"/>
      <c r="L4" s="3"/>
    </row>
    <row r="5" spans="1:13">
      <c r="A5" s="3" t="str">
        <f>'Production Plan'!B5</f>
        <v>5.1.2.1.</v>
      </c>
      <c r="B5" s="3" t="str">
        <f>VLOOKUP(A5,'Production Plan'!B:U,15,FALSE)</f>
        <v>Tony, Cristian</v>
      </c>
      <c r="C5" s="3" t="str">
        <f>VLOOKUP(A5,'Production Plan'!B:G,5,FALSE)</f>
        <v>Uddannelse</v>
      </c>
      <c r="D5" s="3" t="s">
        <v>987</v>
      </c>
      <c r="E5" s="3" t="s">
        <v>1010</v>
      </c>
      <c r="F5" s="3" t="s">
        <v>1011</v>
      </c>
      <c r="G5" s="3" t="s">
        <v>1012</v>
      </c>
      <c r="H5" s="3" t="s">
        <v>1013</v>
      </c>
      <c r="I5" s="3" t="s">
        <v>1014</v>
      </c>
      <c r="J5" s="3" t="s">
        <v>990</v>
      </c>
      <c r="K5" s="10">
        <v>46023</v>
      </c>
      <c r="L5" s="3" t="s">
        <v>1015</v>
      </c>
      <c r="M5" s="3"/>
    </row>
    <row r="6" spans="1:13" hidden="1">
      <c r="A6" s="3" t="str">
        <f>'Production Plan'!B6</f>
        <v>5.1.3.1.</v>
      </c>
      <c r="B6" s="3">
        <f>VLOOKUP(A6,'Production Plan'!B:U,15,FALSE)</f>
        <v>0</v>
      </c>
      <c r="C6" s="3" t="str">
        <f>VLOOKUP(A6,'Production Plan'!B:G,5,FALSE)</f>
        <v>Migreringsplan</v>
      </c>
      <c r="D6" s="3"/>
      <c r="E6" s="3"/>
      <c r="F6" s="3"/>
      <c r="G6" s="3"/>
      <c r="H6" s="3"/>
      <c r="I6" s="3"/>
      <c r="J6" s="3"/>
      <c r="K6" s="10"/>
      <c r="L6" s="3"/>
    </row>
    <row r="7" spans="1:13">
      <c r="A7" s="3" t="str">
        <f>'Production Plan'!B7</f>
        <v>5.2.1.1.</v>
      </c>
      <c r="B7" s="3">
        <f>VLOOKUP(A7,'Production Plan'!B:U,15,FALSE)</f>
        <v>0</v>
      </c>
      <c r="C7" s="3" t="str">
        <f>VLOOKUP(A7,'Production Plan'!B:G,5,FALSE)</f>
        <v>Opmærkning af sager og dokumenter</v>
      </c>
      <c r="D7" s="3" t="s">
        <v>987</v>
      </c>
      <c r="E7" s="3" t="s">
        <v>1000</v>
      </c>
      <c r="F7" s="3" t="s">
        <v>1016</v>
      </c>
      <c r="G7" s="3" t="s">
        <v>1017</v>
      </c>
      <c r="H7" s="3" t="s">
        <v>1018</v>
      </c>
      <c r="I7" s="3" t="s">
        <v>1019</v>
      </c>
      <c r="J7" s="3" t="s">
        <v>990</v>
      </c>
      <c r="K7" s="10">
        <v>46023</v>
      </c>
      <c r="L7" s="3" t="s">
        <v>79</v>
      </c>
      <c r="M7" s="3"/>
    </row>
    <row r="8" spans="1:13" hidden="1">
      <c r="A8" s="3" t="str">
        <f>'Production Plan'!B8</f>
        <v>5.2.1.2.</v>
      </c>
      <c r="B8" s="3">
        <f>VLOOKUP(A8,'Production Plan'!B:U,15,FALSE)</f>
        <v>0</v>
      </c>
      <c r="C8" s="3" t="str">
        <f>VLOOKUP(A8,'Production Plan'!B:G,5,FALSE)</f>
        <v>Konfliktløsning</v>
      </c>
      <c r="D8" s="3"/>
      <c r="E8" s="3"/>
      <c r="F8" s="3"/>
      <c r="G8" s="3"/>
      <c r="H8" s="3"/>
      <c r="I8" s="3"/>
      <c r="J8" s="3"/>
      <c r="K8" s="10"/>
      <c r="L8" s="3"/>
    </row>
    <row r="9" spans="1:13" hidden="1">
      <c r="A9" s="3" t="str">
        <f>'Production Plan'!B9</f>
        <v>5.2.1.3.</v>
      </c>
      <c r="B9" s="3">
        <f>VLOOKUP(A9,'Production Plan'!B:U,15,FALSE)</f>
        <v>0</v>
      </c>
      <c r="C9" s="3" t="str">
        <f>VLOOKUP(A9,'Production Plan'!B:G,5,FALSE)</f>
        <v>-</v>
      </c>
      <c r="D9" s="3"/>
      <c r="E9" s="3"/>
      <c r="F9" s="3"/>
      <c r="G9" s="3"/>
      <c r="H9" s="3"/>
      <c r="I9" s="3"/>
      <c r="J9" s="3"/>
      <c r="K9" s="10"/>
      <c r="L9" s="3"/>
    </row>
    <row r="10" spans="1:13" hidden="1">
      <c r="A10" s="3" t="str">
        <f>'Production Plan'!B10</f>
        <v>5.2.1.4.</v>
      </c>
      <c r="B10" s="3">
        <f>VLOOKUP(A10,'Production Plan'!B:U,15,FALSE)</f>
        <v>0</v>
      </c>
      <c r="C10" s="3" t="str">
        <f>VLOOKUP(A10,'Production Plan'!B:G,5,FALSE)</f>
        <v>-</v>
      </c>
      <c r="D10" s="3"/>
      <c r="E10" s="3"/>
      <c r="F10" s="3"/>
      <c r="G10" s="3"/>
      <c r="H10" s="3"/>
      <c r="I10" s="3"/>
      <c r="J10" s="3"/>
      <c r="K10" s="10"/>
      <c r="L10" s="3"/>
    </row>
    <row r="11" spans="1:13" hidden="1">
      <c r="A11" s="3" t="str">
        <f>'Production Plan'!B11</f>
        <v>5.2.1.5.</v>
      </c>
      <c r="B11" s="3">
        <f>VLOOKUP(A11,'Production Plan'!B:U,15,FALSE)</f>
        <v>0</v>
      </c>
      <c r="C11" s="3" t="str">
        <f>VLOOKUP(A11,'Production Plan'!B:G,5,FALSE)</f>
        <v>-</v>
      </c>
      <c r="D11" s="3"/>
      <c r="E11" s="3"/>
      <c r="F11" s="3"/>
      <c r="G11" s="3"/>
      <c r="H11" s="3"/>
      <c r="I11" s="3"/>
      <c r="J11" s="3"/>
      <c r="K11" s="10"/>
      <c r="L11" s="3"/>
    </row>
    <row r="12" spans="1:13" hidden="1">
      <c r="A12" s="3" t="str">
        <f>'Production Plan'!B12</f>
        <v>5.2.1.6.</v>
      </c>
      <c r="B12" s="3">
        <f>VLOOKUP(A12,'Production Plan'!B:U,15,FALSE)</f>
        <v>0</v>
      </c>
      <c r="C12" s="3" t="str">
        <f>VLOOKUP(A12,'Production Plan'!B:G,5,FALSE)</f>
        <v>Understøttelse af Elektronisk Sags- og Dokumenthåndtering</v>
      </c>
    </row>
    <row r="13" spans="1:13" hidden="1">
      <c r="A13" s="3" t="str">
        <f>'Production Plan'!B13</f>
        <v>5.2.2.1.</v>
      </c>
      <c r="B13" s="3">
        <f>VLOOKUP(A13,'Production Plan'!B:U,15,FALSE)</f>
        <v>0</v>
      </c>
      <c r="C13" s="3" t="str">
        <f>VLOOKUP(A13,'Production Plan'!B:G,5,FALSE)</f>
        <v>Ejendomsdata</v>
      </c>
    </row>
    <row r="14" spans="1:13" hidden="1">
      <c r="A14" s="3" t="str">
        <f>'Production Plan'!B14</f>
        <v>5.2.3.1.</v>
      </c>
      <c r="B14" s="3">
        <f>VLOOKUP(A14,'Production Plan'!B:U,15,FALSE)</f>
        <v>0</v>
      </c>
      <c r="C14" s="3" t="str">
        <f>VLOOKUP(A14,'Production Plan'!B:G,5,FALSE)</f>
        <v>-</v>
      </c>
    </row>
    <row r="15" spans="1:13" hidden="1">
      <c r="A15" s="3" t="str">
        <f>'Production Plan'!B15</f>
        <v>5.2.3.2.</v>
      </c>
      <c r="B15" s="3">
        <f>VLOOKUP(A15,'Production Plan'!B:U,15,FALSE)</f>
        <v>0</v>
      </c>
      <c r="C15" s="3" t="str">
        <f>VLOOKUP(A15,'Production Plan'!B:G,5,FALSE)</f>
        <v>-</v>
      </c>
    </row>
    <row r="16" spans="1:13" hidden="1">
      <c r="A16" s="3" t="str">
        <f>'Production Plan'!B16</f>
        <v>5.2.3.3.</v>
      </c>
      <c r="B16" s="3">
        <f>VLOOKUP(A16,'Production Plan'!B:U,15,FALSE)</f>
        <v>0</v>
      </c>
      <c r="C16" s="3" t="str">
        <f>VLOOKUP(A16,'Production Plan'!B:G,5,FALSE)</f>
        <v>-</v>
      </c>
    </row>
    <row r="17" spans="1:3" hidden="1">
      <c r="A17" s="3" t="str">
        <f>'Production Plan'!B17</f>
        <v>5.2.3.4.</v>
      </c>
      <c r="B17" s="3">
        <f>VLOOKUP(A17,'Production Plan'!B:U,15,FALSE)</f>
        <v>0</v>
      </c>
      <c r="C17" s="3" t="str">
        <f>VLOOKUP(A17,'Production Plan'!B:G,5,FALSE)</f>
        <v>-</v>
      </c>
    </row>
    <row r="18" spans="1:3" hidden="1">
      <c r="A18" s="3" t="str">
        <f>'Production Plan'!B18</f>
        <v>5.2.3.5.</v>
      </c>
      <c r="B18" s="3">
        <f>VLOOKUP(A18,'Production Plan'!B:U,15,FALSE)</f>
        <v>0</v>
      </c>
      <c r="C18" s="3" t="str">
        <f>VLOOKUP(A18,'Production Plan'!B:G,5,FALSE)</f>
        <v>Interessent roller</v>
      </c>
    </row>
    <row r="19" spans="1:3" hidden="1">
      <c r="A19" s="3" t="str">
        <f>'Production Plan'!B19</f>
        <v>5.2.4.1.</v>
      </c>
      <c r="B19" s="3">
        <f>VLOOKUP(A19,'Production Plan'!B:U,15,FALSE)</f>
        <v>0</v>
      </c>
      <c r="C19" s="3" t="str">
        <f>VLOOKUP(A19,'Production Plan'!B:G,5,FALSE)</f>
        <v xml:space="preserve">Sagsopslag og visning </v>
      </c>
    </row>
    <row r="20" spans="1:3" hidden="1">
      <c r="A20" s="3" t="str">
        <f>'Production Plan'!B20</f>
        <v>5.2.4.2.</v>
      </c>
      <c r="B20" s="3">
        <f>VLOOKUP(A20,'Production Plan'!B:U,15,FALSE)</f>
        <v>0</v>
      </c>
      <c r="C20" s="3" t="str">
        <f>VLOOKUP(A20,'Production Plan'!B:G,5,FALSE)</f>
        <v xml:space="preserve">Løbende registrering af sagsændringer </v>
      </c>
    </row>
    <row r="21" spans="1:3" hidden="1">
      <c r="A21" s="3" t="str">
        <f>'Production Plan'!B21</f>
        <v>5.2.4.3.</v>
      </c>
      <c r="B21" s="3">
        <f>VLOOKUP(A21,'Production Plan'!B:U,15,FALSE)</f>
        <v>0</v>
      </c>
      <c r="C21" s="3" t="str">
        <f>VLOOKUP(A21,'Production Plan'!B:G,5,FALSE)</f>
        <v>Søgning, sortering, filtrering og eksport</v>
      </c>
    </row>
    <row r="22" spans="1:3" hidden="1">
      <c r="A22" s="3" t="str">
        <f>'Production Plan'!B22</f>
        <v>5.2.5.1.</v>
      </c>
      <c r="B22" s="3">
        <f>VLOOKUP(A22,'Production Plan'!B:U,15,FALSE)</f>
        <v>0</v>
      </c>
      <c r="C22" s="3" t="str">
        <f>VLOOKUP(A22,'Production Plan'!B:G,5,FALSE)</f>
        <v>GIS visning af sager</v>
      </c>
    </row>
    <row r="23" spans="1:3" hidden="1">
      <c r="A23" s="3" t="str">
        <f>'Production Plan'!B24</f>
        <v>5.2.6.1.</v>
      </c>
      <c r="B23" s="3">
        <f>VLOOKUP(A23,'Production Plan'!B:U,15,FALSE)</f>
        <v>0</v>
      </c>
      <c r="C23" s="3" t="str">
        <f>VLOOKUP(A23,'Production Plan'!B:G,5,FALSE)</f>
        <v>-</v>
      </c>
    </row>
    <row r="24" spans="1:3" hidden="1">
      <c r="A24" s="3" t="str">
        <f>'Production Plan'!B25</f>
        <v>5.2.6.2.</v>
      </c>
      <c r="B24" s="3">
        <f>VLOOKUP(A24,'Production Plan'!B:U,15,FALSE)</f>
        <v>0</v>
      </c>
      <c r="C24" s="3" t="str">
        <f>VLOOKUP(A24,'Production Plan'!B:G,5,FALSE)</f>
        <v>-</v>
      </c>
    </row>
    <row r="25" spans="1:3" hidden="1">
      <c r="A25" s="3" t="str">
        <f>'Production Plan'!B26</f>
        <v>5.2.6.3.</v>
      </c>
      <c r="B25" s="3">
        <f>VLOOKUP(A25,'Production Plan'!B:U,15,FALSE)</f>
        <v>0</v>
      </c>
      <c r="C25" s="3" t="str">
        <f>VLOOKUP(A25,'Production Plan'!B:G,5,FALSE)</f>
        <v>Sags/journalnoter</v>
      </c>
    </row>
    <row r="26" spans="1:3" hidden="1">
      <c r="A26" s="3" t="str">
        <f>'Production Plan'!B27</f>
        <v>5.2.6.4.</v>
      </c>
      <c r="B26" s="3">
        <f>VLOOKUP(A26,'Production Plan'!B:U,15,FALSE)</f>
        <v>0</v>
      </c>
      <c r="C26" s="3" t="str">
        <f>VLOOKUP(A26,'Production Plan'!B:G,5,FALSE)</f>
        <v>Overblik på sagen</v>
      </c>
    </row>
    <row r="27" spans="1:3" hidden="1">
      <c r="A27" s="3" t="str">
        <f>'Production Plan'!B28</f>
        <v>5.2.6.5.</v>
      </c>
      <c r="B27" s="3">
        <f>VLOOKUP(A27,'Production Plan'!B:U,15,FALSE)</f>
        <v>0</v>
      </c>
      <c r="C27" s="3" t="str">
        <f>VLOOKUP(A27,'Production Plan'!B:G,5,FALSE)</f>
        <v>Ansøgninger og anmeldelser på sagen</v>
      </c>
    </row>
    <row r="28" spans="1:3" hidden="1">
      <c r="A28" s="3" t="str">
        <f>'Production Plan'!B29</f>
        <v>5.2.6.6.</v>
      </c>
      <c r="B28" s="3">
        <f>VLOOKUP(A28,'Production Plan'!B:U,15,FALSE)</f>
        <v>0</v>
      </c>
      <c r="C28" s="3" t="str">
        <f>VLOOKUP(A28,'Production Plan'!B:G,5,FALSE)</f>
        <v>Overblik på sagsdokumenter</v>
      </c>
    </row>
    <row r="29" spans="1:3" hidden="1">
      <c r="A29" s="3" t="str">
        <f>'Production Plan'!B30</f>
        <v>5.2.7.1.</v>
      </c>
      <c r="B29" s="3">
        <f>VLOOKUP(A29,'Production Plan'!B:U,15,FALSE)</f>
        <v>0</v>
      </c>
      <c r="C29" s="3" t="str">
        <f>VLOOKUP(A29,'Production Plan'!B:G,5,FALSE)</f>
        <v xml:space="preserve">Sagsoverblik og adviseringer </v>
      </c>
    </row>
    <row r="30" spans="1:3" hidden="1">
      <c r="A30" s="3" t="str">
        <f>'Production Plan'!B31</f>
        <v>5.2.7.2.</v>
      </c>
      <c r="B30" s="3">
        <f>VLOOKUP(A30,'Production Plan'!B:U,15,FALSE)</f>
        <v>0</v>
      </c>
      <c r="C30" s="3" t="str">
        <f>VLOOKUP(A30,'Production Plan'!B:G,5,FALSE)</f>
        <v>Tilpasset overbliksvisning og sortering</v>
      </c>
    </row>
    <row r="31" spans="1:3" hidden="1">
      <c r="A31" s="3" t="str">
        <f>'Production Plan'!B32</f>
        <v>5.2.8.1.</v>
      </c>
      <c r="B31" s="3">
        <f>VLOOKUP(A31,'Production Plan'!B:U,15,FALSE)</f>
        <v>0</v>
      </c>
      <c r="C31" s="3" t="str">
        <f>VLOOKUP(A31,'Production Plan'!B:G,5,FALSE)</f>
        <v>-</v>
      </c>
    </row>
    <row r="32" spans="1:3" hidden="1">
      <c r="A32" s="3" t="str">
        <f>'Production Plan'!B33</f>
        <v>5.2.8.2</v>
      </c>
      <c r="B32" s="3">
        <f>VLOOKUP(A32,'Production Plan'!B:U,15,FALSE)</f>
        <v>0</v>
      </c>
      <c r="C32" s="3" t="str">
        <f>VLOOKUP(A32,'Production Plan'!B:G,5,FALSE)</f>
        <v>-</v>
      </c>
    </row>
    <row r="33" spans="1:3" hidden="1">
      <c r="A33" s="3" t="str">
        <f>'Production Plan'!B34</f>
        <v>5.2.8.3.</v>
      </c>
      <c r="B33" s="3">
        <f>VLOOKUP(A33,'Production Plan'!B:U,15,FALSE)</f>
        <v>0</v>
      </c>
      <c r="C33" s="3" t="str">
        <f>VLOOKUP(A33,'Production Plan'!B:G,5,FALSE)</f>
        <v>-</v>
      </c>
    </row>
    <row r="34" spans="1:3" hidden="1">
      <c r="A34" s="3" t="str">
        <f>'Production Plan'!B35</f>
        <v>5.2.8.4.</v>
      </c>
      <c r="B34" s="3">
        <f>VLOOKUP(A34,'Production Plan'!B:U,15,FALSE)</f>
        <v>0</v>
      </c>
      <c r="C34" s="3" t="str">
        <f>VLOOKUP(A34,'Production Plan'!B:G,5,FALSE)</f>
        <v>Sagsstatus</v>
      </c>
    </row>
    <row r="35" spans="1:3" hidden="1">
      <c r="A35" s="3" t="str">
        <f>'Production Plan'!B36</f>
        <v>5.2.8.5.</v>
      </c>
      <c r="B35" s="3">
        <f>VLOOKUP(A35,'Production Plan'!B:U,15,FALSE)</f>
        <v>0</v>
      </c>
      <c r="C35" s="3" t="str">
        <f>VLOOKUP(A35,'Production Plan'!B:G,5,FALSE)</f>
        <v>Håndtering af modtaget information</v>
      </c>
    </row>
    <row r="36" spans="1:3" hidden="1">
      <c r="A36" s="3" t="str">
        <f>'Production Plan'!B37</f>
        <v>5.2.8.6.</v>
      </c>
      <c r="B36" s="3">
        <f>VLOOKUP(A36,'Production Plan'!B:U,15,FALSE)</f>
        <v>0</v>
      </c>
      <c r="C36" s="3" t="str">
        <f>VLOOKUP(A36,'Production Plan'!B:G,5,FALSE)</f>
        <v>-</v>
      </c>
    </row>
    <row r="37" spans="1:3" hidden="1">
      <c r="A37" s="3" t="str">
        <f>'Production Plan'!B38</f>
        <v>5.2.8.7.</v>
      </c>
      <c r="B37" s="3">
        <f>VLOOKUP(A37,'Production Plan'!B:U,15,FALSE)</f>
        <v>0</v>
      </c>
      <c r="C37" s="3" t="str">
        <f>VLOOKUP(A37,'Production Plan'!B:G,5,FALSE)</f>
        <v>-</v>
      </c>
    </row>
    <row r="38" spans="1:3" hidden="1">
      <c r="A38" s="3" t="str">
        <f>'Production Plan'!B39</f>
        <v>5.2.8.8.</v>
      </c>
      <c r="B38" s="3">
        <f>VLOOKUP(A38,'Production Plan'!B:U,15,FALSE)</f>
        <v>0</v>
      </c>
      <c r="C38" s="3" t="str">
        <f>VLOOKUP(A38,'Production Plan'!B:G,5,FALSE)</f>
        <v>Kommunikation</v>
      </c>
    </row>
    <row r="39" spans="1:3" hidden="1">
      <c r="A39" s="3" t="str">
        <f>'Production Plan'!B40</f>
        <v>5.2.8.9.</v>
      </c>
      <c r="B39" s="3">
        <f>VLOOKUP(A39,'Production Plan'!B:U,15,FALSE)</f>
        <v>0</v>
      </c>
      <c r="C39" s="3" t="str">
        <f>VLOOKUP(A39,'Production Plan'!B:G,5,FALSE)</f>
        <v>-</v>
      </c>
    </row>
    <row r="40" spans="1:3" hidden="1">
      <c r="A40" s="3" t="str">
        <f>'Production Plan'!B41</f>
        <v>5.2.8.10.</v>
      </c>
      <c r="B40" s="3">
        <f>VLOOKUP(A40,'Production Plan'!B:U,15,FALSE)</f>
        <v>0</v>
      </c>
      <c r="C40" s="3" t="str">
        <f>VLOOKUP(A40,'Production Plan'!B:G,5,FALSE)</f>
        <v>-</v>
      </c>
    </row>
    <row r="41" spans="1:3" hidden="1">
      <c r="A41" s="3" t="str">
        <f>'Production Plan'!B42</f>
        <v>5.2.8.11.</v>
      </c>
      <c r="B41" s="3">
        <f>VLOOKUP(A41,'Production Plan'!B:U,15,FALSE)</f>
        <v>0</v>
      </c>
      <c r="C41" s="3" t="str">
        <f>VLOOKUP(A41,'Production Plan'!B:G,5,FALSE)</f>
        <v>Dokumenthåndtering i løsningen</v>
      </c>
    </row>
    <row r="42" spans="1:3" hidden="1">
      <c r="A42" s="3" t="str">
        <f>'Production Plan'!B43</f>
        <v>5.2.8.12.</v>
      </c>
      <c r="B42" s="3">
        <f>VLOOKUP(A42,'Production Plan'!B:U,15,FALSE)</f>
        <v>0</v>
      </c>
      <c r="C42" s="3" t="str">
        <f>VLOOKUP(A42,'Production Plan'!B:G,5,FALSE)</f>
        <v>-</v>
      </c>
    </row>
    <row r="43" spans="1:3" hidden="1">
      <c r="A43" s="3" t="str">
        <f>'Production Plan'!B44</f>
        <v>5.2.8.13.</v>
      </c>
      <c r="B43" s="3">
        <f>VLOOKUP(A43,'Production Plan'!B:U,15,FALSE)</f>
        <v>0</v>
      </c>
      <c r="C43" s="3" t="str">
        <f>VLOOKUP(A43,'Production Plan'!B:G,5,FALSE)</f>
        <v>-</v>
      </c>
    </row>
    <row r="44" spans="1:3" hidden="1">
      <c r="A44" s="3" t="str">
        <f>'Production Plan'!B48</f>
        <v>5.2.9.1.</v>
      </c>
      <c r="B44" s="3">
        <f>VLOOKUP(A44,'Production Plan'!B:U,15,FALSE)</f>
        <v>0</v>
      </c>
      <c r="C44" s="3" t="str">
        <f>VLOOKUP(A44,'Production Plan'!B:G,5,FALSE)</f>
        <v>-</v>
      </c>
    </row>
    <row r="45" spans="1:3" hidden="1">
      <c r="A45" s="3" t="str">
        <f>'Production Plan'!B49</f>
        <v>5.2.9.2.</v>
      </c>
      <c r="B45" s="3">
        <f>VLOOKUP(A45,'Production Plan'!B:U,15,FALSE)</f>
        <v>0</v>
      </c>
      <c r="C45" s="3" t="str">
        <f>VLOOKUP(A45,'Production Plan'!B:G,5,FALSE)</f>
        <v>-</v>
      </c>
    </row>
    <row r="46" spans="1:3" hidden="1">
      <c r="A46" s="3" t="str">
        <f>'Production Plan'!B50</f>
        <v>5.2.9.3.</v>
      </c>
      <c r="B46" s="3">
        <f>VLOOKUP(A46,'Production Plan'!B:U,15,FALSE)</f>
        <v>0</v>
      </c>
      <c r="C46" s="3" t="str">
        <f>VLOOKUP(A46,'Production Plan'!B:G,5,FALSE)</f>
        <v>-</v>
      </c>
    </row>
    <row r="47" spans="1:3" hidden="1">
      <c r="A47" s="3" t="str">
        <f>'Production Plan'!B51</f>
        <v>5.2.9.4.</v>
      </c>
      <c r="B47" s="3">
        <f>VLOOKUP(A47,'Production Plan'!B:U,15,FALSE)</f>
        <v>0</v>
      </c>
      <c r="C47" s="3" t="str">
        <f>VLOOKUP(A47,'Production Plan'!B:G,5,FALSE)</f>
        <v>-</v>
      </c>
    </row>
    <row r="48" spans="1:3" hidden="1">
      <c r="A48" s="3" t="str">
        <f>'Production Plan'!B52</f>
        <v>5.2.9.5.</v>
      </c>
      <c r="B48" s="3">
        <f>VLOOKUP(A48,'Production Plan'!B:U,15,FALSE)</f>
        <v>0</v>
      </c>
      <c r="C48" s="3" t="str">
        <f>VLOOKUP(A48,'Production Plan'!B:G,5,FALSE)</f>
        <v>-</v>
      </c>
    </row>
    <row r="49" spans="1:3" hidden="1">
      <c r="A49" s="3" t="str">
        <f>'Production Plan'!B53</f>
        <v>5.2.9.6.</v>
      </c>
      <c r="B49" s="3">
        <f>VLOOKUP(A49,'Production Plan'!B:U,15,FALSE)</f>
        <v>0</v>
      </c>
      <c r="C49" s="3" t="str">
        <f>VLOOKUP(A49,'Production Plan'!B:G,5,FALSE)</f>
        <v>-</v>
      </c>
    </row>
    <row r="50" spans="1:3" hidden="1">
      <c r="A50" s="3" t="str">
        <f>'Production Plan'!B54</f>
        <v>5.2.9.7.</v>
      </c>
      <c r="B50" s="3">
        <f>VLOOKUP(A50,'Production Plan'!B:U,15,FALSE)</f>
        <v>0</v>
      </c>
      <c r="C50" s="3" t="str">
        <f>VLOOKUP(A50,'Production Plan'!B:G,5,FALSE)</f>
        <v>-</v>
      </c>
    </row>
    <row r="51" spans="1:3" hidden="1">
      <c r="A51" s="3" t="str">
        <f>'Production Plan'!B55</f>
        <v>5.2.10.1.</v>
      </c>
      <c r="B51" s="3">
        <f>VLOOKUP(A51,'Production Plan'!B:U,15,FALSE)</f>
        <v>0</v>
      </c>
      <c r="C51" s="3" t="str">
        <f>VLOOKUP(A51,'Production Plan'!B:G,5,FALSE)</f>
        <v>Dataafgrænsning af sager</v>
      </c>
    </row>
    <row r="52" spans="1:3" hidden="1">
      <c r="A52" s="3" t="str">
        <f>'Production Plan'!B57</f>
        <v>5.2.11.1.</v>
      </c>
      <c r="B52" s="3">
        <f>VLOOKUP(A52,'Production Plan'!B:U,15,FALSE)</f>
        <v>0</v>
      </c>
      <c r="C52" s="3" t="str">
        <f>VLOOKUP(A52,'Production Plan'!B:G,5,FALSE)</f>
        <v>Sagsbehandlingstid og servicemålstid</v>
      </c>
    </row>
    <row r="53" spans="1:3" hidden="1">
      <c r="A53" s="3" t="str">
        <f>'Production Plan'!B58</f>
        <v>5.2.11.2.</v>
      </c>
      <c r="B53" s="3">
        <f>VLOOKUP(A53,'Production Plan'!B:U,15,FALSE)</f>
        <v>0</v>
      </c>
      <c r="C53" s="3" t="str">
        <f>VLOOKUP(A53,'Production Plan'!B:G,5,FALSE)</f>
        <v>Servicemålstid start/stop</v>
      </c>
    </row>
    <row r="54" spans="1:3" hidden="1">
      <c r="A54" s="3" t="str">
        <f>'Production Plan'!B59</f>
        <v>5.2.11.3</v>
      </c>
      <c r="B54" s="3">
        <f>VLOOKUP(A54,'Production Plan'!B:U,15,FALSE)</f>
        <v>0</v>
      </c>
      <c r="C54" s="3" t="str">
        <f>VLOOKUP(A54,'Production Plan'!B:G,5,FALSE)</f>
        <v>Sagsbehandlingstid for ikke-BOM sager</v>
      </c>
    </row>
    <row r="55" spans="1:3" hidden="1">
      <c r="A55" s="3" t="str">
        <f>'Production Plan'!B62</f>
        <v>5.2.12.1.</v>
      </c>
      <c r="B55" s="3">
        <f>VLOOKUP(A55,'Production Plan'!B:U,15,FALSE)</f>
        <v>0</v>
      </c>
      <c r="C55" s="3" t="str">
        <f>VLOOKUP(A55,'Production Plan'!B:G,5,FALSE)</f>
        <v>Sagens overblik</v>
      </c>
    </row>
    <row r="56" spans="1:3" hidden="1">
      <c r="A56" s="3" t="str">
        <f>'Production Plan'!B63</f>
        <v>5.2.12.2</v>
      </c>
      <c r="B56" s="3">
        <f>VLOOKUP(A56,'Production Plan'!B:U,15,FALSE)</f>
        <v>0</v>
      </c>
      <c r="C56" s="3" t="str">
        <f>VLOOKUP(A56,'Production Plan'!B:G,5,FALSE)</f>
        <v>Understøtte sagsflow</v>
      </c>
    </row>
    <row r="57" spans="1:3" hidden="1">
      <c r="A57" s="3" t="str">
        <f>'Production Plan'!B66</f>
        <v>5.2.13.1.</v>
      </c>
      <c r="B57" s="3" t="str">
        <f>VLOOKUP(A57,'Production Plan'!B:U,15,FALSE)</f>
        <v>Jarle</v>
      </c>
      <c r="C57" s="3" t="str">
        <f>VLOOKUP(A57,'Production Plan'!B:G,5,FALSE)</f>
        <v>Sagsoprettelse via standardskabelon</v>
      </c>
    </row>
    <row r="58" spans="1:3" hidden="1">
      <c r="A58" s="3" t="str">
        <f>'Production Plan'!B67</f>
        <v>5.2.13.2.</v>
      </c>
      <c r="B58" s="3" t="str">
        <f>VLOOKUP(A58,'Production Plan'!B:U,15,FALSE)</f>
        <v>Jarle</v>
      </c>
      <c r="C58" s="3" t="str">
        <f>VLOOKUP(A58,'Production Plan'!B:G,5,FALSE)</f>
        <v>Standardsagers procesunderstøttelse</v>
      </c>
    </row>
    <row r="59" spans="1:3" hidden="1">
      <c r="A59" s="3" t="str">
        <f>'Production Plan'!B69</f>
        <v>5.2.14.1.</v>
      </c>
      <c r="B59" s="3">
        <f>VLOOKUP(A59,'Production Plan'!B:U,15,FALSE)</f>
        <v>0</v>
      </c>
      <c r="C59" s="3" t="str">
        <f>VLOOKUP(A59,'Production Plan'!B:G,5,FALSE)</f>
        <v>Advis funktion</v>
      </c>
    </row>
    <row r="60" spans="1:3" hidden="1">
      <c r="A60" s="3" t="str">
        <f>'Production Plan'!B70</f>
        <v>5.2.14.2.</v>
      </c>
      <c r="B60" s="3">
        <f>VLOOKUP(A60,'Production Plan'!B:U,15,FALSE)</f>
        <v>0</v>
      </c>
      <c r="C60" s="3" t="str">
        <f>VLOOKUP(A60,'Production Plan'!B:G,5,FALSE)</f>
        <v>Tilpasning af advis</v>
      </c>
    </row>
    <row r="61" spans="1:3" hidden="1">
      <c r="A61" s="3" t="str">
        <f>'Production Plan'!B72</f>
        <v>5.2.15.1.</v>
      </c>
      <c r="B61" s="3">
        <f>VLOOKUP(A61,'Production Plan'!B:U,15,FALSE)</f>
        <v>0</v>
      </c>
      <c r="C61" s="3" t="str">
        <f>VLOOKUP(A61,'Production Plan'!B:G,5,FALSE)</f>
        <v>Markering af dokumenter til FilArkiv</v>
      </c>
    </row>
    <row r="62" spans="1:3" hidden="1">
      <c r="A62" s="3" t="str">
        <f>'Production Plan'!B73</f>
        <v>5.2.15.2.</v>
      </c>
      <c r="B62" s="3">
        <f>VLOOKUP(A62,'Production Plan'!B:U,15,FALSE)</f>
        <v>0</v>
      </c>
      <c r="C62" s="3" t="str">
        <f>VLOOKUP(A62,'Production Plan'!B:G,5,FALSE)</f>
        <v>Håndtering af navne- og adressebeskyttelse</v>
      </c>
    </row>
    <row r="63" spans="1:3" hidden="1">
      <c r="A63" s="3" t="str">
        <f>'Production Plan'!B74</f>
        <v>5.2.15.3.</v>
      </c>
      <c r="B63" s="3">
        <f>VLOOKUP(A63,'Production Plan'!B:U,15,FALSE)</f>
        <v>0</v>
      </c>
      <c r="C63" s="3" t="str">
        <f>VLOOKUP(A63,'Production Plan'!B:G,5,FALSE)</f>
        <v>Overførsel af sagens data og dokumentation</v>
      </c>
    </row>
    <row r="64" spans="1:3" hidden="1">
      <c r="A64" s="3" t="str">
        <f>'Production Plan'!B75</f>
        <v>5.2.15.4.</v>
      </c>
      <c r="B64" s="3" t="str">
        <f>VLOOKUP(A64,'Production Plan'!B:U,15,FALSE)</f>
        <v>Merge project</v>
      </c>
      <c r="C64" s="3" t="str">
        <f>VLOOKUP(A64,'Production Plan'!B:G,5,FALSE)</f>
        <v>Status på overførsel og fejlhåndtering</v>
      </c>
    </row>
    <row r="65" spans="1:3" hidden="1">
      <c r="A65" s="3" t="str">
        <f>'Production Plan'!B78</f>
        <v>5.2.16.1.</v>
      </c>
      <c r="B65" s="3">
        <f>VLOOKUP(A65,'Production Plan'!B:U,15,FALSE)</f>
        <v>0</v>
      </c>
      <c r="C65" s="3" t="str">
        <f>VLOOKUP(A65,'Production Plan'!B:G,5,FALSE)</f>
        <v xml:space="preserve">Håndtering af servicemålssager </v>
      </c>
    </row>
    <row r="66" spans="1:3" hidden="1">
      <c r="A66" s="3" t="str">
        <f>'Production Plan'!B79</f>
        <v>5.2.16.2.</v>
      </c>
      <c r="B66" s="3" t="str">
        <f>VLOOKUP(A66,'Production Plan'!B:U,15,FALSE)</f>
        <v>Bjørn Tore</v>
      </c>
      <c r="C66" s="3" t="str">
        <f>VLOOKUP(A66,'Production Plan'!B:G,5,FALSE)</f>
        <v xml:space="preserve">Data på tværs af servicemålskategorier </v>
      </c>
    </row>
    <row r="67" spans="1:3" hidden="1">
      <c r="A67" s="3" t="str">
        <f>'Production Plan'!B80</f>
        <v>5.2.16.3.</v>
      </c>
      <c r="B67" s="3">
        <f>VLOOKUP(A67,'Production Plan'!B:U,15,FALSE)</f>
        <v>0</v>
      </c>
      <c r="C67" s="3" t="str">
        <f>VLOOKUP(A67,'Production Plan'!B:G,5,FALSE)</f>
        <v>Data på enkelte sager</v>
      </c>
    </row>
    <row r="68" spans="1:3" hidden="1">
      <c r="A68" s="3" t="str">
        <f>'Production Plan'!B82</f>
        <v>5.2.17.1.</v>
      </c>
      <c r="B68" s="3">
        <f>VLOOKUP(A68,'Production Plan'!B:U,15,FALSE)</f>
        <v>0</v>
      </c>
      <c r="C68" s="3" t="str">
        <f>VLOOKUP(A68,'Production Plan'!B:G,5,FALSE)</f>
        <v>Registrering af tid på sager</v>
      </c>
    </row>
    <row r="69" spans="1:3" hidden="1">
      <c r="A69" s="3" t="str">
        <f>'Production Plan'!B83</f>
        <v>5.2.17.2.</v>
      </c>
      <c r="B69" s="3">
        <f>VLOOKUP(A69,'Production Plan'!B:U,15,FALSE)</f>
        <v>0</v>
      </c>
      <c r="C69" s="3" t="str">
        <f>VLOOKUP(A69,'Production Plan'!B:G,5,FALSE)</f>
        <v>Registrering af anden tid</v>
      </c>
    </row>
    <row r="70" spans="1:3" hidden="1">
      <c r="A70" s="3" t="str">
        <f>'Production Plan'!B84</f>
        <v>5.2.17.3.</v>
      </c>
      <c r="B70" s="3">
        <f>VLOOKUP(A70,'Production Plan'!B:U,15,FALSE)</f>
        <v>0</v>
      </c>
      <c r="C70" s="3" t="str">
        <f>VLOOKUP(A70,'Production Plan'!B:G,5,FALSE)</f>
        <v xml:space="preserve">Visning af tidsregistreringer </v>
      </c>
    </row>
    <row r="71" spans="1:3" hidden="1">
      <c r="A71" s="3" t="str">
        <f>'Production Plan'!B85</f>
        <v>5.2.17.4.</v>
      </c>
      <c r="B71" s="3">
        <f>VLOOKUP(A71,'Production Plan'!B:U,15,FALSE)</f>
        <v>0</v>
      </c>
      <c r="C71" s="3" t="str">
        <f>VLOOKUP(A71,'Production Plan'!B:G,5,FALSE)</f>
        <v xml:space="preserve">Registreringstyper </v>
      </c>
    </row>
    <row r="72" spans="1:3" hidden="1">
      <c r="A72" s="3" t="str">
        <f>'Production Plan'!B86</f>
        <v>5.2.17.5.</v>
      </c>
      <c r="B72" s="3">
        <f>VLOOKUP(A72,'Production Plan'!B:U,15,FALSE)</f>
        <v>0</v>
      </c>
      <c r="C72" s="3" t="str">
        <f>VLOOKUP(A72,'Production Plan'!B:G,5,FALSE)</f>
        <v>Driftsstyring og ledelsesoverblik</v>
      </c>
    </row>
    <row r="73" spans="1:3" hidden="1">
      <c r="A73" s="3" t="str">
        <f>'Production Plan'!B88</f>
        <v>5.2.18.1.</v>
      </c>
      <c r="B73" s="3" t="str">
        <f>VLOOKUP(A73,'Production Plan'!B:U,15,FALSE)</f>
        <v>Bjørn tore</v>
      </c>
      <c r="C73" s="3" t="str">
        <f>VLOOKUP(A73,'Production Plan'!B:G,5,FALSE)</f>
        <v>Rapportering og dataoverførsel</v>
      </c>
    </row>
    <row r="74" spans="1:3" hidden="1">
      <c r="A74" s="3" t="str">
        <f>'Production Plan'!B90</f>
        <v>5.2.19.1.</v>
      </c>
      <c r="B74" s="3">
        <f>VLOOKUP(A74,'Production Plan'!B:U,15,FALSE)</f>
        <v>0</v>
      </c>
      <c r="C74" s="3" t="str">
        <f>VLOOKUP(A74,'Production Plan'!B:G,5,FALSE)</f>
        <v xml:space="preserve">Anvendelse af AI og algoritmer </v>
      </c>
    </row>
    <row r="75" spans="1:3" hidden="1">
      <c r="A75" s="3" t="str">
        <f>'Production Plan'!B91</f>
        <v>5.3.1.1.</v>
      </c>
      <c r="B75" s="3">
        <f>VLOOKUP(A75,'Production Plan'!B:U,15,FALSE)</f>
        <v>0</v>
      </c>
      <c r="C75" s="3" t="str">
        <f>VLOOKUP(A75,'Production Plan'!B:G,5,FALSE)</f>
        <v>Autentiske kopier af kommunikation</v>
      </c>
    </row>
    <row r="76" spans="1:3" hidden="1">
      <c r="A76" s="3" t="str">
        <f>'Production Plan'!B92</f>
        <v>5.3.1.2.</v>
      </c>
      <c r="B76" s="3">
        <f>VLOOKUP(A76,'Production Plan'!B:U,15,FALSE)</f>
        <v>0</v>
      </c>
      <c r="C76" s="3" t="str">
        <f>VLOOKUP(A76,'Production Plan'!B:G,5,FALSE)</f>
        <v>PDF/A-formaterne</v>
      </c>
    </row>
    <row r="77" spans="1:3" hidden="1">
      <c r="A77" s="3" t="str">
        <f>'Production Plan'!B93</f>
        <v>5.3.1.3.</v>
      </c>
      <c r="B77" s="3">
        <f>VLOOKUP(A77,'Production Plan'!B:U,15,FALSE)</f>
        <v>0</v>
      </c>
      <c r="C77" s="3" t="str">
        <f>VLOOKUP(A77,'Production Plan'!B:G,5,FALSE)</f>
        <v>Automatisk datering af breve</v>
      </c>
    </row>
    <row r="78" spans="1:3" hidden="1">
      <c r="A78" s="3" t="str">
        <f>'Production Plan'!B94</f>
        <v>5.3.1.4.</v>
      </c>
      <c r="B78" s="3">
        <f>VLOOKUP(A78,'Production Plan'!B:U,15,FALSE)</f>
        <v>0</v>
      </c>
      <c r="C78" s="3" t="str">
        <f>VLOOKUP(A78,'Production Plan'!B:G,5,FALSE)</f>
        <v>Notatpligt</v>
      </c>
    </row>
    <row r="79" spans="1:3" hidden="1">
      <c r="A79" s="3" t="str">
        <f>'Production Plan'!B95</f>
        <v>5.3.1.5.</v>
      </c>
      <c r="B79" s="3">
        <f>VLOOKUP(A79,'Production Plan'!B:U,15,FALSE)</f>
        <v>0</v>
      </c>
      <c r="C79" s="3" t="str">
        <f>VLOOKUP(A79,'Production Plan'!B:G,5,FALSE)</f>
        <v>Understøttelse af aktindsigter</v>
      </c>
    </row>
    <row r="80" spans="1:3" hidden="1">
      <c r="A80" s="3" t="str">
        <f>'Production Plan'!B96</f>
        <v>5.3.1.1.1.</v>
      </c>
      <c r="B80" s="3">
        <f>VLOOKUP(A80,'Production Plan'!B:U,15,FALSE)</f>
        <v>0</v>
      </c>
      <c r="C80" s="3" t="str">
        <f>VLOOKUP(A80,'Production Plan'!B:G,5,FALSE)</f>
        <v>Arkivering til Stadsarkivet</v>
      </c>
    </row>
    <row r="81" spans="1:3" hidden="1">
      <c r="A81" s="3" t="str">
        <f>'Production Plan'!B97</f>
        <v>5.3.1.1.2.</v>
      </c>
      <c r="B81" s="3">
        <f>VLOOKUP(A81,'Production Plan'!B:U,15,FALSE)</f>
        <v>0</v>
      </c>
      <c r="C81" s="3" t="str">
        <f>VLOOKUP(A81,'Production Plan'!B:G,5,FALSE)</f>
        <v>Sletning af bevaringsværdige data</v>
      </c>
    </row>
    <row r="82" spans="1:3" hidden="1">
      <c r="A82" s="3" t="str">
        <f>'Production Plan'!B99</f>
        <v>5.3.2.1</v>
      </c>
      <c r="B82" s="3">
        <f>VLOOKUP(A82,'Production Plan'!B:U,15,FALSE)</f>
        <v>0</v>
      </c>
      <c r="C82" s="3" t="str">
        <f>VLOOKUP(A82,'Production Plan'!B:G,5,FALSE)</f>
        <v>Hosting og miljøer</v>
      </c>
    </row>
    <row r="83" spans="1:3" hidden="1">
      <c r="A83" s="3" t="str">
        <f>'Production Plan'!B100</f>
        <v>5.3.2.2</v>
      </c>
      <c r="B83" s="3">
        <f>VLOOKUP(A83,'Production Plan'!B:U,15,FALSE)</f>
        <v>0</v>
      </c>
      <c r="C83" s="3" t="str">
        <f>VLOOKUP(A83,'Production Plan'!B:G,5,FALSE)</f>
        <v>Løst koblet arkitektur</v>
      </c>
    </row>
    <row r="84" spans="1:3" hidden="1">
      <c r="A84" s="3" t="str">
        <f>'Production Plan'!B101</f>
        <v>5.3.2.3</v>
      </c>
      <c r="B84" s="3">
        <f>VLOOKUP(A84,'Production Plan'!B:U,15,FALSE)</f>
        <v>0</v>
      </c>
      <c r="C84" s="3" t="str">
        <f>VLOOKUP(A84,'Production Plan'!B:G,5,FALSE)</f>
        <v>Segmentering af komponenter</v>
      </c>
    </row>
    <row r="85" spans="1:3" hidden="1">
      <c r="A85" s="3" t="str">
        <f>'Production Plan'!B102</f>
        <v>5.3.2.4</v>
      </c>
      <c r="B85" s="3">
        <f>VLOOKUP(A85,'Production Plan'!B:U,15,FALSE)</f>
        <v>0</v>
      </c>
      <c r="C85" s="3" t="str">
        <f>VLOOKUP(A85,'Production Plan'!B:G,5,FALSE)</f>
        <v>Adskillelse af data</v>
      </c>
    </row>
    <row r="86" spans="1:3" hidden="1">
      <c r="A86" s="3" t="str">
        <f>'Production Plan'!B103</f>
        <v>5.3.2.5</v>
      </c>
      <c r="B86" s="3">
        <f>VLOOKUP(A86,'Production Plan'!B:U,15,FALSE)</f>
        <v>0</v>
      </c>
      <c r="C86" s="3" t="str">
        <f>VLOOKUP(A86,'Production Plan'!B:G,5,FALSE)</f>
        <v>Beskyttelse mod angreb</v>
      </c>
    </row>
    <row r="87" spans="1:3" hidden="1">
      <c r="A87" s="3" t="str">
        <f>'Production Plan'!B104</f>
        <v>5.3.3.1.1</v>
      </c>
      <c r="B87" s="3">
        <f>VLOOKUP(A87,'Production Plan'!B:U,15,FALSE)</f>
        <v>0</v>
      </c>
      <c r="C87" s="3" t="str">
        <f>VLOOKUP(A87,'Production Plan'!B:G,5,FALSE)</f>
        <v>Datakvalitet og -integritet i Systemet</v>
      </c>
    </row>
    <row r="88" spans="1:3" hidden="1">
      <c r="A88" s="3" t="str">
        <f>'Production Plan'!B105</f>
        <v>5.3.3.1.2</v>
      </c>
      <c r="B88" s="3">
        <f>VLOOKUP(A88,'Production Plan'!B:U,15,FALSE)</f>
        <v>0</v>
      </c>
      <c r="C88" s="3" t="str">
        <f>VLOOKUP(A88,'Production Plan'!B:G,5,FALSE)</f>
        <v>Fejlmeldinger ved dataoverførsel</v>
      </c>
    </row>
    <row r="89" spans="1:3" hidden="1">
      <c r="A89" s="3" t="str">
        <f>'Production Plan'!B106</f>
        <v>5.3.3.2.1</v>
      </c>
      <c r="B89" s="3">
        <f>VLOOKUP(A89,'Production Plan'!B:U,15,FALSE)</f>
        <v>0</v>
      </c>
      <c r="C89" s="3" t="str">
        <f>VLOOKUP(A89,'Production Plan'!B:G,5,FALSE)</f>
        <v>Systemets begrebsmodel</v>
      </c>
    </row>
    <row r="90" spans="1:3" hidden="1">
      <c r="A90" s="3" t="str">
        <f>'Production Plan'!B107</f>
        <v>5.3.4.1</v>
      </c>
      <c r="B90" s="3">
        <f>VLOOKUP(A90,'Production Plan'!B:U,15,FALSE)</f>
        <v>0</v>
      </c>
      <c r="C90" s="3" t="str">
        <f>VLOOKUP(A90,'Production Plan'!B:G,5,FALSE)</f>
        <v>Sprog</v>
      </c>
    </row>
    <row r="91" spans="1:3" hidden="1">
      <c r="A91" s="3" t="str">
        <f>'Production Plan'!B108</f>
        <v>5.3.4.2</v>
      </c>
      <c r="B91" s="3">
        <f>VLOOKUP(A91,'Production Plan'!B:U,15,FALSE)</f>
        <v>0</v>
      </c>
      <c r="C91" s="3" t="str">
        <f>VLOOKUP(A91,'Production Plan'!B:G,5,FALSE)</f>
        <v>Fejltekster og meddelelser</v>
      </c>
    </row>
    <row r="92" spans="1:3" hidden="1">
      <c r="A92" s="3" t="str">
        <f>'Production Plan'!B109</f>
        <v>5.3.4.3</v>
      </c>
      <c r="B92" s="3">
        <f>VLOOKUP(A92,'Production Plan'!B:U,15,FALSE)</f>
        <v>0</v>
      </c>
      <c r="C92" s="3" t="str">
        <f>VLOOKUP(A92,'Production Plan'!B:G,5,FALSE)</f>
        <v>Stavekontrol</v>
      </c>
    </row>
    <row r="93" spans="1:3" hidden="1">
      <c r="A93" s="3" t="str">
        <f>'Production Plan'!B110</f>
        <v>5.3.4.4</v>
      </c>
      <c r="B93" s="3">
        <f>VLOOKUP(A93,'Production Plan'!B:U,15,FALSE)</f>
        <v>0</v>
      </c>
      <c r="C93" s="3" t="str">
        <f>VLOOKUP(A93,'Production Plan'!B:G,5,FALSE)</f>
        <v>Danske tegn og specialtegn</v>
      </c>
    </row>
    <row r="94" spans="1:3" hidden="1">
      <c r="A94" s="3" t="str">
        <f>'Production Plan'!B111</f>
        <v>5.3.5.1</v>
      </c>
      <c r="B94" s="3">
        <f>VLOOKUP(A94,'Production Plan'!B:U,15,FALSE)</f>
        <v>0</v>
      </c>
      <c r="C94" s="3" t="str">
        <f>VLOOKUP(A94,'Production Plan'!B:G,5,FALSE)</f>
        <v>Brugernes oplevelse af pålidelighed og robusthed</v>
      </c>
    </row>
    <row r="95" spans="1:3" hidden="1">
      <c r="A95" s="3" t="str">
        <f>'Production Plan'!B112</f>
        <v>5.3.5.2</v>
      </c>
      <c r="B95" s="3">
        <f>VLOOKUP(A95,'Production Plan'!B:U,15,FALSE)</f>
        <v>0</v>
      </c>
      <c r="C95" s="3" t="str">
        <f>VLOOKUP(A95,'Production Plan'!B:G,5,FALSE)</f>
        <v>Vedhæftede filtyper</v>
      </c>
    </row>
    <row r="96" spans="1:3" hidden="1">
      <c r="A96" s="3" t="str">
        <f>'Production Plan'!B113</f>
        <v>5.3.5.2</v>
      </c>
      <c r="B96" s="3">
        <f>VLOOKUP(A96,'Production Plan'!B:U,15,FALSE)</f>
        <v>0</v>
      </c>
      <c r="C96" s="3" t="str">
        <f>VLOOKUP(A96,'Production Plan'!B:G,5,FALSE)</f>
        <v>Vedhæftede filtyper</v>
      </c>
    </row>
    <row r="97" spans="1:3" hidden="1">
      <c r="A97" s="3" t="str">
        <f>'Production Plan'!B114</f>
        <v>5.3.5.3</v>
      </c>
      <c r="B97" s="3">
        <f>VLOOKUP(A97,'Production Plan'!B:U,15,FALSE)</f>
        <v>0</v>
      </c>
      <c r="C97" s="3" t="str">
        <f>VLOOKUP(A97,'Production Plan'!B:G,5,FALSE)</f>
        <v>Genoptagelse af arbejde efter nedbrud</v>
      </c>
    </row>
    <row r="98" spans="1:3" hidden="1">
      <c r="A98" s="3" t="str">
        <f>'Production Plan'!B115</f>
        <v>5.3.5.4</v>
      </c>
      <c r="B98" s="3">
        <f>VLOOKUP(A98,'Production Plan'!B:U,15,FALSE)</f>
        <v>0</v>
      </c>
      <c r="C98" s="3" t="str">
        <f>VLOOKUP(A98,'Production Plan'!B:G,5,FALSE)</f>
        <v>Fejltilstand ved forkert input</v>
      </c>
    </row>
    <row r="99" spans="1:3" hidden="1">
      <c r="A99" s="3" t="str">
        <f>'Production Plan'!B116</f>
        <v>5.3.6.1.1.</v>
      </c>
      <c r="B99" s="3">
        <f>VLOOKUP(A99,'Production Plan'!B:U,15,FALSE)</f>
        <v>0</v>
      </c>
      <c r="C99" s="3" t="str">
        <f>VLOOKUP(A99,'Production Plan'!B:G,5,FALSE)</f>
        <v>Webløsning</v>
      </c>
    </row>
    <row r="100" spans="1:3" hidden="1">
      <c r="A100" s="3" t="str">
        <f>'Production Plan'!B117</f>
        <v>5.3.6.2.1</v>
      </c>
      <c r="B100" s="3">
        <f>VLOOKUP(A100,'Production Plan'!B:U,15,FALSE)</f>
        <v>0</v>
      </c>
      <c r="C100" s="3" t="str">
        <f>VLOOKUP(A100,'Production Plan'!B:G,5,FALSE)</f>
        <v>Microsoft Windows 11 Enterprise</v>
      </c>
    </row>
    <row r="101" spans="1:3" hidden="1">
      <c r="A101" s="3" t="str">
        <f>'Production Plan'!B118</f>
        <v>5.3.6.2.2</v>
      </c>
      <c r="B101" s="3">
        <f>VLOOKUP(A101,'Production Plan'!B:U,15,FALSE)</f>
        <v>0</v>
      </c>
      <c r="C101" s="3" t="str">
        <f>VLOOKUP(A101,'Production Plan'!B:G,5,FALSE)</f>
        <v>Silent installation og afinstallation</v>
      </c>
    </row>
    <row r="102" spans="1:3" hidden="1">
      <c r="A102" s="3" t="str">
        <f>'Production Plan'!B119</f>
        <v>5.3.6.2.3</v>
      </c>
      <c r="B102" s="3">
        <f>VLOOKUP(A102,'Production Plan'!B:U,15,FALSE)</f>
        <v>0</v>
      </c>
      <c r="C102" s="3" t="str">
        <f>VLOOKUP(A102,'Production Plan'!B:G,5,FALSE)</f>
        <v>Softwarepakkers installationsmedie</v>
      </c>
    </row>
    <row r="103" spans="1:3" hidden="1">
      <c r="A103" s="3" t="str">
        <f>'Production Plan'!B120</f>
        <v>5.3.6.2.4</v>
      </c>
      <c r="B103" s="3">
        <f>VLOOKUP(A103,'Production Plan'!B:U,15,FALSE)</f>
        <v>0</v>
      </c>
      <c r="C103" s="3" t="str">
        <f>VLOOKUP(A103,'Production Plan'!B:G,5,FALSE)</f>
        <v>Versionsstyring på softwarepakker</v>
      </c>
    </row>
    <row r="104" spans="1:3" hidden="1">
      <c r="A104" s="3" t="str">
        <f>'Production Plan'!B121</f>
        <v>5.3.6.2.5</v>
      </c>
      <c r="B104" s="3">
        <f>VLOOKUP(A104,'Production Plan'!B:U,15,FALSE)</f>
        <v>0</v>
      </c>
      <c r="C104" s="3" t="str">
        <f>VLOOKUP(A104,'Production Plan'!B:G,5,FALSE)</f>
        <v>Signerede filer</v>
      </c>
    </row>
    <row r="105" spans="1:3" hidden="1">
      <c r="A105" s="3" t="str">
        <f>'Production Plan'!B122</f>
        <v>5.3.6.2.6</v>
      </c>
      <c r="B105" s="3">
        <f>VLOOKUP(A105,'Production Plan'!B:U,15,FALSE)</f>
        <v>0</v>
      </c>
      <c r="C105" s="3" t="str">
        <f>VLOOKUP(A105,'Production Plan'!B:G,5,FALSE)</f>
        <v>Softwarepakker og afhængigheder til PC-model</v>
      </c>
    </row>
    <row r="106" spans="1:3" hidden="1">
      <c r="A106" s="3" t="str">
        <f>'Production Plan'!B123</f>
        <v>5.3.6.2.7</v>
      </c>
      <c r="B106" s="3">
        <f>VLOOKUP(A106,'Production Plan'!B:U,15,FALSE)</f>
        <v>0</v>
      </c>
      <c r="C106" s="3" t="str">
        <f>VLOOKUP(A106,'Production Plan'!B:G,5,FALSE)</f>
        <v>Licensnøgler og installering</v>
      </c>
    </row>
    <row r="107" spans="1:3" hidden="1">
      <c r="A107" s="3" t="str">
        <f>'Production Plan'!B124</f>
        <v>5.3.7.1</v>
      </c>
      <c r="B107" s="3">
        <f>VLOOKUP(A107,'Production Plan'!B:U,15,FALSE)</f>
        <v>0</v>
      </c>
      <c r="C107" s="3" t="str">
        <f>VLOOKUP(A107,'Production Plan'!B:G,5,FALSE)</f>
        <v>CIA</v>
      </c>
    </row>
    <row r="108" spans="1:3" hidden="1">
      <c r="A108" s="3" t="str">
        <f>'Production Plan'!B125</f>
        <v>5.3.7.2</v>
      </c>
      <c r="B108" s="3">
        <f>VLOOKUP(A108,'Production Plan'!B:U,15,FALSE)</f>
        <v>0</v>
      </c>
      <c r="C108" s="3" t="str">
        <f>VLOOKUP(A108,'Production Plan'!B:G,5,FALSE)</f>
        <v>Privacy by design</v>
      </c>
    </row>
    <row r="109" spans="1:3" hidden="1">
      <c r="A109" s="3" t="str">
        <f>'Production Plan'!B126</f>
        <v>5.3.7.3</v>
      </c>
      <c r="B109" s="3">
        <f>VLOOKUP(A109,'Production Plan'!B:U,15,FALSE)</f>
        <v>0</v>
      </c>
      <c r="C109" s="3" t="str">
        <f>VLOOKUP(A109,'Production Plan'!B:G,5,FALSE)</f>
        <v>Security by default</v>
      </c>
    </row>
    <row r="110" spans="1:3" hidden="1">
      <c r="A110" s="3" t="str">
        <f>'Production Plan'!B127</f>
        <v>5.3.7.4</v>
      </c>
      <c r="B110" s="3">
        <f>VLOOKUP(A110,'Production Plan'!B:U,15,FALSE)</f>
        <v>0</v>
      </c>
      <c r="C110" s="3" t="str">
        <f>VLOOKUP(A110,'Production Plan'!B:G,5,FALSE)</f>
        <v>Kryptering af webtrafik</v>
      </c>
    </row>
    <row r="111" spans="1:3" hidden="1">
      <c r="A111" s="3" t="str">
        <f>'Production Plan'!B128</f>
        <v>5.3.7.5</v>
      </c>
      <c r="B111" s="3">
        <f>VLOOKUP(A111,'Production Plan'!B:U,15,FALSE)</f>
        <v>0</v>
      </c>
      <c r="C111" s="3" t="str">
        <f>VLOOKUP(A111,'Production Plan'!B:G,5,FALSE)</f>
        <v>Cipher Strength</v>
      </c>
    </row>
    <row r="112" spans="1:3" hidden="1">
      <c r="A112" s="3" t="str">
        <f>'Production Plan'!B129</f>
        <v>5.3.7.6</v>
      </c>
      <c r="B112" s="3">
        <f>VLOOKUP(A112,'Production Plan'!B:U,15,FALSE)</f>
        <v>0</v>
      </c>
      <c r="C112" s="3" t="str">
        <f>VLOOKUP(A112,'Production Plan'!B:G,5,FALSE)</f>
        <v>Kryptering baseret på certifikater</v>
      </c>
    </row>
    <row r="113" spans="1:3" hidden="1">
      <c r="A113" s="3" t="str">
        <f>'Production Plan'!B130</f>
        <v>5.3.7.1.1</v>
      </c>
      <c r="B113" s="3">
        <f>VLOOKUP(A113,'Production Plan'!B:U,15,FALSE)</f>
        <v>0</v>
      </c>
      <c r="C113" s="3" t="str">
        <f>VLOOKUP(A113,'Production Plan'!B:G,5,FALSE)</f>
        <v>Autentifikation af Brugere</v>
      </c>
    </row>
    <row r="114" spans="1:3" hidden="1">
      <c r="A114" s="3" t="str">
        <f>'Production Plan'!B131</f>
        <v>5.3.7.1.2</v>
      </c>
      <c r="B114" s="3">
        <f>VLOOKUP(A114,'Production Plan'!B:U,15,FALSE)</f>
        <v>0</v>
      </c>
      <c r="C114" s="3" t="str">
        <f>VLOOKUP(A114,'Production Plan'!B:G,5,FALSE)</f>
        <v>Single sign-on for Brugere</v>
      </c>
    </row>
    <row r="115" spans="1:3" hidden="1">
      <c r="A115" s="3" t="str">
        <f>'Production Plan'!B132</f>
        <v>5.3.7.1.3</v>
      </c>
      <c r="B115" s="3">
        <f>VLOOKUP(A115,'Production Plan'!B:U,15,FALSE)</f>
        <v>0</v>
      </c>
      <c r="C115" s="3" t="str">
        <f>VLOOKUP(A115,'Production Plan'!B:G,5,FALSE)</f>
        <v>Sessioner</v>
      </c>
    </row>
    <row r="116" spans="1:3" hidden="1">
      <c r="A116" s="3" t="str">
        <f>'Production Plan'!B133</f>
        <v>5.3.7.1.4</v>
      </c>
      <c r="B116" s="3">
        <f>VLOOKUP(A116,'Production Plan'!B:U,15,FALSE)</f>
        <v>0</v>
      </c>
      <c r="C116" s="3" t="str">
        <f>VLOOKUP(A116,'Production Plan'!B:G,5,FALSE)</f>
        <v>Håndtering af session timeout</v>
      </c>
    </row>
    <row r="117" spans="1:3" hidden="1">
      <c r="A117" s="3" t="str">
        <f>'Production Plan'!B134</f>
        <v>5.3.7.1.5</v>
      </c>
      <c r="B117" s="3">
        <f>VLOOKUP(A117,'Production Plan'!B:U,15,FALSE)</f>
        <v>0</v>
      </c>
      <c r="C117" s="3" t="str">
        <f>VLOOKUP(A117,'Production Plan'!B:G,5,FALSE)</f>
        <v>Autorisation af Brugere</v>
      </c>
    </row>
    <row r="118" spans="1:3" hidden="1">
      <c r="A118" s="3" t="str">
        <f>'Production Plan'!B135</f>
        <v>5.3.7.1.6</v>
      </c>
      <c r="B118" s="3">
        <f>VLOOKUP(A118,'Production Plan'!B:U,15,FALSE)</f>
        <v>0</v>
      </c>
      <c r="C118" s="3" t="str">
        <f>VLOOKUP(A118,'Production Plan'!B:G,5,FALSE)</f>
        <v>Systemets rettighedsmodel</v>
      </c>
    </row>
    <row r="119" spans="1:3" hidden="1">
      <c r="A119" s="3" t="str">
        <f>'Production Plan'!B136</f>
        <v>5.3.7.1.7</v>
      </c>
      <c r="B119" s="3">
        <f>VLOOKUP(A119,'Production Plan'!B:U,15,FALSE)</f>
        <v>0</v>
      </c>
      <c r="C119" s="3" t="str">
        <f>VLOOKUP(A119,'Production Plan'!B:G,5,FALSE)</f>
        <v>Dataafgrænsning</v>
      </c>
    </row>
    <row r="120" spans="1:3" hidden="1">
      <c r="A120" s="3" t="str">
        <f>'Production Plan'!B137</f>
        <v>5.3.7.2.1.</v>
      </c>
      <c r="B120" s="3">
        <f>VLOOKUP(A120,'Production Plan'!B:U,15,FALSE)</f>
        <v>0</v>
      </c>
      <c r="C120" s="3" t="str">
        <f>VLOOKUP(A120,'Production Plan'!B:G,5,FALSE)</f>
        <v>Transaktionslogning</v>
      </c>
    </row>
    <row r="121" spans="1:3" hidden="1">
      <c r="A121" s="3" t="str">
        <f>'Production Plan'!B138</f>
        <v>5.3.7.2.2.</v>
      </c>
      <c r="B121" s="3">
        <f>VLOOKUP(A121,'Production Plan'!B:U,15,FALSE)</f>
        <v>0</v>
      </c>
      <c r="C121" s="3" t="str">
        <f>VLOOKUP(A121,'Production Plan'!B:G,5,FALSE)</f>
        <v>Administratorlogning</v>
      </c>
    </row>
    <row r="122" spans="1:3" hidden="1">
      <c r="A122" s="3" t="str">
        <f>'Production Plan'!B139</f>
        <v>5.3.7.2.3.</v>
      </c>
      <c r="B122" s="3">
        <f>VLOOKUP(A122,'Production Plan'!B:U,15,FALSE)</f>
        <v>0</v>
      </c>
      <c r="C122" s="3" t="str">
        <f>VLOOKUP(A122,'Production Plan'!B:G,5,FALSE)</f>
        <v>Systemlogning</v>
      </c>
    </row>
    <row r="123" spans="1:3" hidden="1">
      <c r="A123" s="3" t="str">
        <f>'Production Plan'!B140</f>
        <v>5.3.7.2.4.</v>
      </c>
      <c r="B123" s="3">
        <f>VLOOKUP(A123,'Production Plan'!B:U,15,FALSE)</f>
        <v>0</v>
      </c>
      <c r="C123" s="3" t="str">
        <f>VLOOKUP(A123,'Production Plan'!B:G,5,FALSE)</f>
        <v>Unik identifikation af Brugere</v>
      </c>
    </row>
    <row r="124" spans="1:3" hidden="1">
      <c r="A124" s="3" t="str">
        <f>'Production Plan'!B141</f>
        <v>5.3.7.2.5.</v>
      </c>
      <c r="B124" s="3">
        <f>VLOOKUP(A124,'Production Plan'!B:U,15,FALSE)</f>
        <v>0</v>
      </c>
      <c r="C124" s="3" t="str">
        <f>VLOOKUP(A124,'Production Plan'!B:G,5,FALSE)</f>
        <v>Unik identifikation af Borgere</v>
      </c>
    </row>
    <row r="125" spans="1:3" hidden="1">
      <c r="A125" s="3" t="str">
        <f>'Production Plan'!B142</f>
        <v>5.3.7.2.6.</v>
      </c>
      <c r="B125" s="3">
        <f>VLOOKUP(A125,'Production Plan'!B:U,15,FALSE)</f>
        <v>0</v>
      </c>
      <c r="C125" s="3" t="str">
        <f>VLOOKUP(A125,'Production Plan'!B:G,5,FALSE)</f>
        <v>Integritet af logs - Manuel ændring og sletning</v>
      </c>
    </row>
    <row r="126" spans="1:3" hidden="1">
      <c r="A126" s="3" t="str">
        <f>'Production Plan'!B143</f>
        <v>5.3.7.2.7.</v>
      </c>
      <c r="B126" s="3">
        <f>VLOOKUP(A126,'Production Plan'!B:U,15,FALSE)</f>
        <v>0</v>
      </c>
      <c r="C126" s="3" t="str">
        <f>VLOOKUP(A126,'Production Plan'!B:G,5,FALSE)</f>
        <v>Beskyttelse af log</v>
      </c>
    </row>
    <row r="127" spans="1:3" hidden="1">
      <c r="A127" s="3" t="str">
        <f>'Production Plan'!B144</f>
        <v>5.3.7.2.8.</v>
      </c>
      <c r="B127" s="3">
        <f>VLOOKUP(A127,'Production Plan'!B:U,15,FALSE)</f>
        <v>0</v>
      </c>
      <c r="C127" s="3" t="str">
        <f>VLOOKUP(A127,'Production Plan'!B:G,5,FALSE)</f>
        <v>Tidsstempling af logs</v>
      </c>
    </row>
    <row r="128" spans="1:3" hidden="1">
      <c r="A128" s="3" t="str">
        <f>'Production Plan'!B145</f>
        <v>5.3.7.2.9.</v>
      </c>
      <c r="B128" s="3">
        <f>VLOOKUP(A128,'Production Plan'!B:U,15,FALSE)</f>
        <v>0</v>
      </c>
      <c r="C128" s="3" t="str">
        <f>VLOOKUP(A128,'Production Plan'!B:G,5,FALSE)</f>
        <v>Format for dato og tid</v>
      </c>
    </row>
    <row r="129" spans="1:3" hidden="1">
      <c r="A129" s="3" t="str">
        <f>'Production Plan'!B146</f>
        <v>5.3.7.2.10.</v>
      </c>
      <c r="B129" s="3">
        <f>VLOOKUP(A129,'Production Plan'!B:U,15,FALSE)</f>
        <v>0</v>
      </c>
      <c r="C129" s="3" t="str">
        <f>VLOOKUP(A129,'Production Plan'!B:G,5,FALSE)</f>
        <v>Filformat på logs</v>
      </c>
    </row>
    <row r="130" spans="1:3" hidden="1">
      <c r="A130" s="3" t="str">
        <f>'Production Plan'!B147</f>
        <v>5.3.7.2.11.</v>
      </c>
      <c r="B130" s="3">
        <f>VLOOKUP(A130,'Production Plan'!B:U,15,FALSE)</f>
        <v>0</v>
      </c>
      <c r="C130" s="3" t="str">
        <f>VLOOKUP(A130,'Production Plan'!B:G,5,FALSE)</f>
        <v>Sletning af logdata indeholdende Personoplysninger</v>
      </c>
    </row>
    <row r="131" spans="1:3" hidden="1">
      <c r="A131" s="3" t="str">
        <f>'Production Plan'!B148</f>
        <v>5.3.8.1.1.</v>
      </c>
      <c r="B131" s="3">
        <f>VLOOKUP(A131,'Production Plan'!B:U,15,FALSE)</f>
        <v>0</v>
      </c>
      <c r="C131" s="3" t="str">
        <f>VLOOKUP(A131,'Production Plan'!B:G,5,FALSE)</f>
        <v>Udstilling af webservices</v>
      </c>
    </row>
    <row r="132" spans="1:3" hidden="1">
      <c r="A132" s="3" t="str">
        <f>'Production Plan'!B149</f>
        <v>5.3.8.1.2.</v>
      </c>
      <c r="B132" s="3">
        <f>VLOOKUP(A132,'Production Plan'!B:U,15,FALSE)</f>
        <v>0</v>
      </c>
      <c r="C132" s="3" t="str">
        <f>VLOOKUP(A132,'Production Plan'!B:G,5,FALSE)</f>
        <v>Kvalitet af webservices</v>
      </c>
    </row>
    <row r="133" spans="1:3" hidden="1">
      <c r="A133" s="3" t="str">
        <f>'Production Plan'!B150</f>
        <v>5.3.8.1.3.</v>
      </c>
      <c r="B133" s="3">
        <f>VLOOKUP(A133,'Production Plan'!B:U,15,FALSE)</f>
        <v>0</v>
      </c>
      <c r="C133" s="3" t="str">
        <f>VLOOKUP(A133,'Production Plan'!B:G,5,FALSE)</f>
        <v>Beskyttelse af udstillede webservices via certifikat</v>
      </c>
    </row>
    <row r="134" spans="1:3" hidden="1">
      <c r="A134" s="3" t="str">
        <f>'Production Plan'!B151</f>
        <v>5.3.8.1.4.</v>
      </c>
      <c r="B134" s="3">
        <f>VLOOKUP(A134,'Production Plan'!B:U,15,FALSE)</f>
        <v>0</v>
      </c>
      <c r="C134" s="3" t="str">
        <f>VLOOKUP(A134,'Production Plan'!B:G,5,FALSE)</f>
        <v>Anvendelse af Kundens data og Systemets API’er</v>
      </c>
    </row>
    <row r="135" spans="1:3" hidden="1">
      <c r="A135" s="3" t="str">
        <f>'Production Plan'!B152</f>
        <v>5.3.8.1.5.</v>
      </c>
      <c r="B135" s="3">
        <f>VLOOKUP(A135,'Production Plan'!B:U,15,FALSE)</f>
        <v>0</v>
      </c>
      <c r="C135" s="3" t="str">
        <f>VLOOKUP(A135,'Production Plan'!B:G,5,FALSE)</f>
        <v>Kvalitet af integrationer</v>
      </c>
    </row>
    <row r="136" spans="1:3" hidden="1">
      <c r="A136" s="3" t="str">
        <f>'Production Plan'!B154</f>
        <v>5.3.8.2.1.1.</v>
      </c>
      <c r="B136" s="3">
        <f>VLOOKUP(A136,'Production Plan'!B:U,15,FALSE)</f>
        <v>0</v>
      </c>
      <c r="C136" s="3" t="str">
        <f>VLOOKUP(A136,'Production Plan'!B:G,5,FALSE)</f>
        <v>Byg og Miljø (BOM)</v>
      </c>
    </row>
    <row r="137" spans="1:3" hidden="1">
      <c r="A137" s="3" t="str">
        <f>'Production Plan'!B156</f>
        <v>5.3.8.2.2.1.</v>
      </c>
      <c r="B137" s="3">
        <f>VLOOKUP(A137,'Production Plan'!B:U,15,FALSE)</f>
        <v>0</v>
      </c>
      <c r="C137" s="3" t="str">
        <f>VLOOKUP(A137,'Production Plan'!B:G,5,FALSE)</f>
        <v>Grunddata</v>
      </c>
    </row>
    <row r="138" spans="1:3" hidden="1">
      <c r="A138" s="3" t="str">
        <f>'Production Plan'!B157</f>
        <v>5.3.8.2.2.2.</v>
      </c>
      <c r="B138" s="3" t="str">
        <f>VLOOKUP(A138,'Production Plan'!B:U,15,FALSE)</f>
        <v>Torben</v>
      </c>
      <c r="C138" s="3" t="str">
        <f>VLOOKUP(A138,'Production Plan'!B:G,5,FALSE)</f>
        <v>Indlæsning af CPR-data</v>
      </c>
    </row>
    <row r="139" spans="1:3" hidden="1">
      <c r="A139" s="3" t="str">
        <f>'Production Plan'!B158</f>
        <v>5.3.8.2.3.1.</v>
      </c>
      <c r="B139" s="3">
        <f>VLOOKUP(A139,'Production Plan'!B:U,15,FALSE)</f>
        <v>0</v>
      </c>
      <c r="C139" s="3" t="str">
        <f>VLOOKUP(A139,'Production Plan'!B:G,5,FALSE)</f>
        <v>Linkintegrationer</v>
      </c>
    </row>
    <row r="140" spans="1:3" hidden="1">
      <c r="A140" s="3" t="str">
        <f>'Production Plan'!B159</f>
        <v>5.3.8.2.3.2.</v>
      </c>
      <c r="B140" s="3">
        <f>VLOOKUP(A140,'Production Plan'!B:U,15,FALSE)</f>
        <v>0</v>
      </c>
      <c r="C140" s="3" t="str">
        <f>VLOOKUP(A140,'Production Plan'!B:G,5,FALSE)</f>
        <v>Systemets linkintegrationer</v>
      </c>
    </row>
    <row r="141" spans="1:3" hidden="1">
      <c r="A141" s="3" t="str">
        <f>'Production Plan'!B160</f>
        <v>5.3.8.2.4.1.</v>
      </c>
      <c r="B141" s="3">
        <f>VLOOKUP(A141,'Production Plan'!B:U,15,FALSE)</f>
        <v>0</v>
      </c>
      <c r="C141" s="3" t="str">
        <f>VLOOKUP(A141,'Production Plan'!B:G,5,FALSE)</f>
        <v>Arkivering af byggesager</v>
      </c>
    </row>
    <row r="142" spans="1:3" hidden="1">
      <c r="A142" s="3" t="str">
        <f>'Production Plan'!B161</f>
        <v>5.3.8.2.5.1.</v>
      </c>
      <c r="B142" s="3">
        <f>VLOOKUP(A142,'Production Plan'!B:U,15,FALSE)</f>
        <v>0</v>
      </c>
      <c r="C142" s="3" t="str">
        <f>VLOOKUP(A142,'Production Plan'!B:G,5,FALSE)</f>
        <v>Integration til Fælleskommunal Sags- og Dokumentindeks</v>
      </c>
    </row>
    <row r="143" spans="1:3" hidden="1">
      <c r="A143" s="3" t="str">
        <f>'Production Plan'!B162</f>
        <v>5.3.8.2.5.2.</v>
      </c>
      <c r="B143" s="3">
        <f>VLOOKUP(A143,'Production Plan'!B:U,15,FALSE)</f>
        <v>0</v>
      </c>
      <c r="C143" s="3" t="str">
        <f>VLOOKUP(A143,'Production Plan'!B:G,5,FALSE)</f>
        <v>Opmærkning af sager</v>
      </c>
    </row>
    <row r="144" spans="1:3" hidden="1">
      <c r="A144" s="3" t="str">
        <f>'Production Plan'!B163</f>
        <v>5.3.8.2.6.1</v>
      </c>
      <c r="B144" s="3">
        <f>VLOOKUP(A144,'Production Plan'!B:U,15,FALSE)</f>
        <v>0</v>
      </c>
      <c r="C144" s="3" t="str">
        <f>VLOOKUP(A144,'Production Plan'!B:G,5,FALSE)</f>
        <v>Integration til FLIS</v>
      </c>
    </row>
    <row r="145" spans="1:3" hidden="1">
      <c r="A145" s="3" t="str">
        <f>'Production Plan'!B164</f>
        <v>5.3.8.2.7.1.1.</v>
      </c>
      <c r="B145" s="3">
        <f>VLOOKUP(A145,'Production Plan'!B:U,15,FALSE)</f>
        <v>0</v>
      </c>
      <c r="C145" s="3" t="str">
        <f>VLOOKUP(A145,'Production Plan'!B:G,5,FALSE)</f>
        <v>Afsendelse af Digital Post</v>
      </c>
    </row>
    <row r="146" spans="1:3" hidden="1">
      <c r="A146" s="3" t="str">
        <f>'Production Plan'!B165</f>
        <v>5.3.8.2.7.1.2.</v>
      </c>
      <c r="B146" s="3" t="str">
        <f>VLOOKUP(A146,'Production Plan'!B:U,15,FALSE)</f>
        <v>Tajinder</v>
      </c>
      <c r="C146" s="3" t="str">
        <f>VLOOKUP(A146,'Production Plan'!B:G,5,FALSE)</f>
        <v>Fjernprint af breve</v>
      </c>
    </row>
    <row r="147" spans="1:3" hidden="1">
      <c r="A147" s="3" t="str">
        <f>'Production Plan'!B166</f>
        <v>5.3.8.2.7.1.3.</v>
      </c>
      <c r="B147" s="3" t="str">
        <f>VLOOKUP(A147,'Production Plan'!B:U,15,FALSE)</f>
        <v>Tajinder</v>
      </c>
      <c r="C147" s="3" t="str">
        <f>VLOOKUP(A147,'Production Plan'!B:G,5,FALSE)</f>
        <v>Anvendelse af MeMo-opmærkning ved afsendelse af Digital Post</v>
      </c>
    </row>
    <row r="148" spans="1:3" hidden="1">
      <c r="A148" s="3" t="str">
        <f>'Production Plan'!B167</f>
        <v>5.3.8.2.7.1.4.</v>
      </c>
      <c r="B148" s="3" t="str">
        <f>VLOOKUP(A148,'Production Plan'!B:U,15,FALSE)</f>
        <v>Tajinder</v>
      </c>
      <c r="C148" s="3" t="str">
        <f>VLOOKUP(A148,'Production Plan'!B:G,5,FALSE)</f>
        <v>Understøttelse af ’actions’ ved afsendelse af Digital Post</v>
      </c>
    </row>
    <row r="149" spans="1:3" hidden="1">
      <c r="A149" s="3" t="str">
        <f>'Production Plan'!B168</f>
        <v>5.3.8.2.7.2.1.</v>
      </c>
      <c r="B149" s="3" t="str">
        <f>VLOOKUP(A149,'Production Plan'!B:U,15,FALSE)</f>
        <v>Tajinder</v>
      </c>
      <c r="C149" s="3" t="str">
        <f>VLOOKUP(A149,'Production Plan'!B:G,5,FALSE)</f>
        <v>Modtagelse af Digital Post</v>
      </c>
    </row>
    <row r="150" spans="1:3" hidden="1">
      <c r="A150" s="3" t="str">
        <f>'Production Plan'!B169</f>
        <v>5.3.8.2.7.2.2.</v>
      </c>
      <c r="B150" s="3" t="str">
        <f>VLOOKUP(A150,'Production Plan'!B:U,15,FALSE)</f>
        <v>Tajinder</v>
      </c>
      <c r="C150" s="3" t="str">
        <f>VLOOKUP(A150,'Production Plan'!B:G,5,FALSE)</f>
        <v>Anvendelse af MeMo-opmærkning ved modtagelse af Digital Post</v>
      </c>
    </row>
    <row r="151" spans="1:3" hidden="1">
      <c r="A151" s="3" t="str">
        <f>'Production Plan'!B171</f>
        <v>5.3.8.2.8.1.</v>
      </c>
      <c r="B151" s="3">
        <f>VLOOKUP(A151,'Production Plan'!B:U,15,FALSE)</f>
        <v>0</v>
      </c>
      <c r="C151" s="3" t="str">
        <f>VLOOKUP(A151,'Production Plan'!B:G,5,FALSE)</f>
        <v>Overførsel af logs til Kundens SIEM-system</v>
      </c>
    </row>
    <row r="152" spans="1:3" hidden="1">
      <c r="A152" s="3" t="str">
        <f>'Production Plan'!B172</f>
        <v>5.3.8.2.8.2.</v>
      </c>
      <c r="B152" s="3">
        <f>VLOOKUP(A152,'Production Plan'!B:U,15,FALSE)</f>
        <v>0</v>
      </c>
      <c r="C152" s="3" t="str">
        <f>VLOOKUP(A152,'Production Plan'!B:G,5,FALSE)</f>
        <v>Logudtræk og logoverførsel til Kundens SIEM-system</v>
      </c>
    </row>
    <row r="153" spans="1:3" hidden="1">
      <c r="A153" s="3" t="str">
        <f>'Production Plan'!B173</f>
        <v>5.4.1.1.</v>
      </c>
      <c r="B153" s="3">
        <f>VLOOKUP(A153,'Production Plan'!B:U,15,FALSE)</f>
        <v>0</v>
      </c>
      <c r="C153" s="3" t="str">
        <f>VLOOKUP(A153,'Production Plan'!B:G,5,FALSE)</f>
        <v>Integration til Kundens debitorsystem</v>
      </c>
    </row>
    <row r="154" spans="1:3" hidden="1">
      <c r="A154" s="3" t="str">
        <f>'Production Plan'!B174</f>
        <v>5.4.2.1.</v>
      </c>
      <c r="B154" s="3">
        <f>VLOOKUP(A154,'Production Plan'!B:U,15,FALSE)</f>
        <v>0</v>
      </c>
      <c r="C154" s="3" t="str">
        <f>VLOOKUP(A154,'Production Plan'!B:G,5,FALSE)</f>
        <v>Integration til AI Assist</v>
      </c>
    </row>
    <row r="155" spans="1:3" hidden="1">
      <c r="A155" s="3" t="str">
        <f>'Production Plan'!B175</f>
        <v>B1-01</v>
      </c>
      <c r="B155" s="3">
        <f>VLOOKUP(A155,'Production Plan'!B:U,15,FALSE)</f>
        <v>0</v>
      </c>
      <c r="C155" s="3" t="str">
        <f>VLOOKUP(A155,'Production Plan'!B:G,5,FALSE)</f>
        <v>Projektlederansvar for implementering</v>
      </c>
    </row>
    <row r="156" spans="1:3" hidden="1">
      <c r="A156" s="3" t="str">
        <f>'Production Plan'!B176</f>
        <v>B1-02</v>
      </c>
      <c r="B156" s="3">
        <f>VLOOKUP(A156,'Production Plan'!B:U,15,FALSE)</f>
        <v>0</v>
      </c>
      <c r="C156" s="3" t="str">
        <f>VLOOKUP(A156,'Production Plan'!B:G,5,FALSE)</f>
        <v>Integration til BOM (Byg og Miljø – BYG)</v>
      </c>
    </row>
    <row r="157" spans="1:3" hidden="1">
      <c r="A157" s="3" t="str">
        <f>'Production Plan'!B177</f>
        <v>B1-03</v>
      </c>
      <c r="B157" s="3">
        <f>VLOOKUP(A157,'Production Plan'!B:U,15,FALSE)</f>
        <v>0</v>
      </c>
      <c r="C157" s="3" t="str">
        <f>VLOOKUP(A157,'Production Plan'!B:G,5,FALSE)</f>
        <v>Integration til Grunddata / Datafordeleren</v>
      </c>
    </row>
    <row r="158" spans="1:3" hidden="1">
      <c r="A158" s="3" t="str">
        <f>'Production Plan'!B178</f>
        <v>B1-04</v>
      </c>
      <c r="B158" s="3">
        <f>VLOOKUP(A158,'Production Plan'!B:U,15,FALSE)</f>
        <v>0</v>
      </c>
      <c r="C158" s="3" t="str">
        <f>VLOOKUP(A158,'Production Plan'!B:G,5,FALSE)</f>
        <v>Integration til Filarkiv</v>
      </c>
    </row>
    <row r="159" spans="1:3" hidden="1">
      <c r="A159" s="3" t="str">
        <f>'Production Plan'!B179</f>
        <v>B1-05</v>
      </c>
      <c r="B159" s="3">
        <f>VLOOKUP(A159,'Production Plan'!B:U,15,FALSE)</f>
        <v>0</v>
      </c>
      <c r="C159" s="3" t="str">
        <f>VLOOKUP(A159,'Production Plan'!B:G,5,FALSE)</f>
        <v>Integration til SIEM (LogPoint)</v>
      </c>
    </row>
    <row r="160" spans="1:3" hidden="1">
      <c r="A160" s="3" t="str">
        <f>'Production Plan'!B180</f>
        <v>B1-06</v>
      </c>
      <c r="B160" s="3">
        <f>VLOOKUP(A160,'Production Plan'!B:U,15,FALSE)</f>
        <v>0</v>
      </c>
      <c r="C160" s="3" t="str">
        <f>VLOOKUP(A160,'Production Plan'!B:G,5,FALSE)</f>
        <v>Integration til Adgangsstyring (FKA eller Entra ID)</v>
      </c>
    </row>
    <row r="161" spans="1:3" hidden="1">
      <c r="A161" s="3" t="str">
        <f>'Production Plan'!B181</f>
        <v>B1-07</v>
      </c>
      <c r="B161" s="3" t="str">
        <f>VLOOKUP(A161,'Production Plan'!B:U,15,FALSE)</f>
        <v>Tajinder</v>
      </c>
      <c r="C161" s="3" t="str">
        <f>VLOOKUP(A161,'Production Plan'!B:G,5,FALSE)</f>
        <v>Integration til Digital Post (NgDP/KKI)</v>
      </c>
    </row>
    <row r="162" spans="1:3" hidden="1">
      <c r="A162" s="3" t="str">
        <f>'Production Plan'!B182</f>
        <v>B1-08</v>
      </c>
      <c r="B162" s="3">
        <f>VLOOKUP(A162,'Production Plan'!B:U,15,FALSE)</f>
        <v>0</v>
      </c>
      <c r="C162" s="3" t="str">
        <f>VLOOKUP(A162,'Production Plan'!B:G,5,FALSE)</f>
        <v>Integration til Minbyggesag.dk</v>
      </c>
    </row>
    <row r="163" spans="1:3" hidden="1">
      <c r="A163" s="3" t="str">
        <f>'Production Plan'!B183</f>
        <v>B1-09</v>
      </c>
      <c r="B163" s="3">
        <f>VLOOKUP(A163,'Production Plan'!B:U,15,FALSE)</f>
        <v>0</v>
      </c>
      <c r="C163" s="3" t="str">
        <f>VLOOKUP(A163,'Production Plan'!B:G,5,FALSE)</f>
        <v>Integration til GIS (SpatialSuite)</v>
      </c>
    </row>
    <row r="164" spans="1:3" hidden="1">
      <c r="A164" s="3" t="str">
        <f>'Production Plan'!B184</f>
        <v>B1-10</v>
      </c>
      <c r="B164" s="3">
        <f>VLOOKUP(A164,'Production Plan'!B:U,15,FALSE)</f>
        <v>0</v>
      </c>
      <c r="C164" s="3" t="str">
        <f>VLOOKUP(A164,'Production Plan'!B:G,5,FALSE)</f>
        <v>Integration til FLIS (Fælleskommunal Ledelsesinformation)</v>
      </c>
    </row>
    <row r="165" spans="1:3" hidden="1">
      <c r="A165" s="3" t="str">
        <f>'Production Plan'!B185</f>
        <v>B1-11</v>
      </c>
      <c r="B165" s="3">
        <f>VLOOKUP(A165,'Production Plan'!B:U,15,FALSE)</f>
        <v>0</v>
      </c>
      <c r="C165" s="3" t="str">
        <f>VLOOKUP(A165,'Production Plan'!B:G,5,FALSE)</f>
        <v>Datamigrering fra KMD Nova</v>
      </c>
    </row>
    <row r="166" spans="1:3" hidden="1">
      <c r="A166" s="3" t="str">
        <f>'Production Plan'!B186</f>
        <v>B1-12</v>
      </c>
      <c r="B166" s="3">
        <f>VLOOKUP(A166,'Production Plan'!B:U,15,FALSE)</f>
        <v>0</v>
      </c>
      <c r="C166" s="3" t="str">
        <f>VLOOKUP(A166,'Production Plan'!B:G,5,FALSE)</f>
        <v>Beredskabsplan og roll-back ved migrering</v>
      </c>
    </row>
    <row r="167" spans="1:3" hidden="1">
      <c r="A167" s="3" t="str">
        <f>'Production Plan'!B187</f>
        <v>B1-13</v>
      </c>
      <c r="B167" s="3">
        <f>VLOOKUP(A167,'Production Plan'!B:U,15,FALSE)</f>
        <v>0</v>
      </c>
      <c r="C167" s="3" t="str">
        <f>VLOOKUP(A167,'Production Plan'!B:G,5,FALSE)</f>
        <v>Gennemførelse af Integrationsprøve</v>
      </c>
    </row>
    <row r="168" spans="1:3" hidden="1">
      <c r="A168" s="3" t="str">
        <f>'Production Plan'!B188</f>
        <v>B1-14</v>
      </c>
      <c r="B168" s="3">
        <f>VLOOKUP(A168,'Production Plan'!B:U,15,FALSE)</f>
        <v>0</v>
      </c>
      <c r="C168" s="3" t="str">
        <f>VLOOKUP(A168,'Production Plan'!B:G,5,FALSE)</f>
        <v>Gennemførelse af Overtagelsesprøve</v>
      </c>
    </row>
    <row r="169" spans="1:3" hidden="1">
      <c r="A169" s="3" t="str">
        <f>'Production Plan'!B189</f>
        <v>B1-15</v>
      </c>
      <c r="B169" s="3">
        <f>VLOOKUP(A169,'Production Plan'!B:U,15,FALSE)</f>
        <v>0</v>
      </c>
      <c r="C169" s="3" t="str">
        <f>VLOOKUP(A169,'Production Plan'!B:G,5,FALSE)</f>
        <v>Gennemførelse af Driftsprøve (30 dage)</v>
      </c>
    </row>
    <row r="170" spans="1:3" hidden="1">
      <c r="A170" s="3" t="str">
        <f>'Production Plan'!B190</f>
        <v>B1-16</v>
      </c>
      <c r="B170" s="3">
        <f>VLOOKUP(A170,'Production Plan'!B:U,15,FALSE)</f>
        <v>0</v>
      </c>
      <c r="C170" s="3" t="str">
        <f>VLOOKUP(A170,'Production Plan'!B:G,5,FALSE)</f>
        <v>Uddannelse af Kundens brugere</v>
      </c>
    </row>
    <row r="171" spans="1:3" hidden="1">
      <c r="A171" s="3" t="str">
        <f>'Production Plan'!B191</f>
        <v>B1-17</v>
      </c>
      <c r="B171" s="3">
        <f>VLOOKUP(A171,'Production Plan'!B:U,15,FALSE)</f>
        <v>0</v>
      </c>
      <c r="C171" s="3" t="str">
        <f>VLOOKUP(A171,'Production Plan'!B:G,5,FALSE)</f>
        <v>Planlægning uden om administrative fryseperioder</v>
      </c>
    </row>
    <row r="172" spans="1:3" hidden="1">
      <c r="A172" s="3" t="str">
        <f>'Production Plan'!B192</f>
        <v>B1-18</v>
      </c>
      <c r="B172" s="3">
        <f>VLOOKUP(A172,'Production Plan'!B:U,15,FALSE)</f>
        <v>0</v>
      </c>
      <c r="C172" s="3" t="str">
        <f>VLOOKUP(A172,'Production Plan'!B:G,5,FALSE)</f>
        <v>Ibrugtagningstilladelse fra Koncern IT</v>
      </c>
    </row>
    <row r="173" spans="1:3" hidden="1">
      <c r="A173" s="3" t="str">
        <f>'Production Plan'!B193</f>
        <v>B2A-01</v>
      </c>
      <c r="B173" s="3" t="str">
        <f>VLOOKUP(A173,'Production Plan'!B:U,15,FALSE)</f>
        <v>Tajinder</v>
      </c>
      <c r="C173" s="3" t="str">
        <f>VLOOKUP(A173,'Production Plan'!B:G,5,FALSE)</f>
        <v>Integration til NgDP via KKI-integrationsplatform</v>
      </c>
    </row>
    <row r="174" spans="1:3" hidden="1">
      <c r="A174" s="3" t="str">
        <f>'Production Plan'!B194</f>
        <v>B2A-02</v>
      </c>
      <c r="B174" s="3" t="str">
        <f>VLOOKUP(A174,'Production Plan'!B:U,15,FALSE)</f>
        <v>Tajinder</v>
      </c>
      <c r="C174" s="3" t="str">
        <f>VLOOKUP(A174,'Production Plan'!B:G,5,FALSE)</f>
        <v>Afsendelse af Digital Post via KKI</v>
      </c>
    </row>
    <row r="175" spans="1:3" hidden="1">
      <c r="A175" s="3" t="str">
        <f>'Production Plan'!B195</f>
        <v>B2A-03</v>
      </c>
      <c r="B175" s="3" t="str">
        <f>VLOOKUP(A175,'Production Plan'!B:U,15,FALSE)</f>
        <v>Tajinder</v>
      </c>
      <c r="C175" s="3" t="str">
        <f>VLOOKUP(A175,'Production Plan'!B:G,5,FALSE)</f>
        <v>Modtagelse af Digital Post via KKI</v>
      </c>
    </row>
    <row r="176" spans="1:3" hidden="1">
      <c r="A176" s="3" t="str">
        <f>'Production Plan'!B196</f>
        <v>B2B-01</v>
      </c>
      <c r="B176" s="3">
        <f>VLOOKUP(A176,'Production Plan'!B:U,15,FALSE)</f>
        <v>0</v>
      </c>
      <c r="C176" s="3" t="str">
        <f>VLOOKUP(A176,'Production Plan'!B:G,5,FALSE)</f>
        <v>Levering af logs til KK SIEM (LogPoint)</v>
      </c>
    </row>
    <row r="177" spans="1:3" hidden="1">
      <c r="A177" s="3" t="str">
        <f>'Production Plan'!B197</f>
        <v>B2B-02</v>
      </c>
      <c r="B177" s="3">
        <f>VLOOKUP(A177,'Production Plan'!B:U,15,FALSE)</f>
        <v>0</v>
      </c>
      <c r="C177" s="3" t="str">
        <f>VLOOKUP(A177,'Production Plan'!B:G,5,FALSE)</f>
        <v>Dokumentation af logsyntaks og -indhold</v>
      </c>
    </row>
    <row r="178" spans="1:3" hidden="1">
      <c r="A178" s="3" t="str">
        <f>'Production Plan'!B198</f>
        <v>B4-01</v>
      </c>
      <c r="B178" s="3">
        <f>VLOOKUP(A178,'Production Plan'!B:U,15,FALSE)</f>
        <v>0</v>
      </c>
      <c r="C178" s="3" t="str">
        <f>VLOOKUP(A178,'Production Plan'!B:G,5,FALSE)</f>
        <v>Driftseffektivitet (oppetid) min. 99,00 %</v>
      </c>
    </row>
    <row r="179" spans="1:3" hidden="1">
      <c r="A179" s="3" t="str">
        <f>'Production Plan'!B199</f>
        <v>B4-02</v>
      </c>
      <c r="B179" s="3">
        <f>VLOOKUP(A179,'Production Plan'!B:U,15,FALSE)</f>
        <v>0</v>
      </c>
      <c r="C179" s="3" t="str">
        <f>VLOOKUP(A179,'Production Plan'!B:G,5,FALSE)</f>
        <v>Ønsket svartid: maks. 2 sekunder (90 %)</v>
      </c>
    </row>
    <row r="180" spans="1:3" hidden="1">
      <c r="A180" s="3" t="str">
        <f>'Production Plan'!B200</f>
        <v>B4-03</v>
      </c>
      <c r="B180" s="3">
        <f>VLOOKUP(A180,'Production Plan'!B:U,15,FALSE)</f>
        <v>0</v>
      </c>
      <c r="C180" s="3" t="str">
        <f>VLOOKUP(A180,'Production Plan'!B:G,5,FALSE)</f>
        <v>Maksimal svartid: maks. 4 sekunder (95 %)</v>
      </c>
    </row>
    <row r="181" spans="1:3" hidden="1">
      <c r="A181" s="3" t="str">
        <f>'Production Plan'!B201</f>
        <v>B4-04</v>
      </c>
      <c r="B181" s="3">
        <f>VLOOKUP(A181,'Production Plan'!B:U,15,FALSE)</f>
        <v>0</v>
      </c>
      <c r="C181" s="3" t="str">
        <f>VLOOKUP(A181,'Production Plan'!B:G,5,FALSE)</f>
        <v>Første respons inden 1 time (90 % af henvendelser)</v>
      </c>
    </row>
    <row r="182" spans="1:3" hidden="1">
      <c r="A182" s="3" t="str">
        <f>'Production Plan'!B202</f>
        <v>B4-05</v>
      </c>
      <c r="B182" s="3">
        <f>VLOOKUP(A182,'Production Plan'!B:U,15,FALSE)</f>
        <v>0</v>
      </c>
      <c r="C182" s="3" t="str">
        <f>VLOOKUP(A182,'Production Plan'!B:G,5,FALSE)</f>
        <v>Support via professionelt ITSM-system</v>
      </c>
    </row>
    <row r="183" spans="1:3" hidden="1">
      <c r="A183" s="3" t="str">
        <f>'Production Plan'!B203</f>
        <v>B4-06</v>
      </c>
      <c r="B183" s="3">
        <f>VLOOKUP(A183,'Production Plan'!B:U,15,FALSE)</f>
        <v>0</v>
      </c>
      <c r="C183" s="3" t="str">
        <f>VLOOKUP(A183,'Production Plan'!B:G,5,FALSE)</f>
        <v>Afhjælpning af fejl påbegyndes inden 12 timer</v>
      </c>
    </row>
    <row r="184" spans="1:3" hidden="1">
      <c r="A184" s="3" t="str">
        <f>'Production Plan'!B204</f>
        <v>B4-07</v>
      </c>
      <c r="B184" s="3">
        <f>VLOOKUP(A184,'Production Plan'!B:U,15,FALSE)</f>
        <v>0</v>
      </c>
      <c r="C184" s="3" t="str">
        <f>VLOOKUP(A184,'Production Plan'!B:G,5,FALSE)</f>
        <v>Backup med adskilt opbevaring og årlig restore-test</v>
      </c>
    </row>
    <row r="185" spans="1:3" hidden="1">
      <c r="A185" s="3" t="str">
        <f>'Production Plan'!B205</f>
        <v>B4-08</v>
      </c>
      <c r="B185" s="3">
        <f>VLOOKUP(A185,'Production Plan'!B:U,15,FALSE)</f>
        <v>0</v>
      </c>
      <c r="C185" s="3" t="str">
        <f>VLOOKUP(A185,'Production Plan'!B:G,5,FALSE)</f>
        <v>Månedlig SLA-afrapportering</v>
      </c>
    </row>
    <row r="186" spans="1:3" hidden="1">
      <c r="A186" s="3" t="str">
        <f>'Production Plan'!B206</f>
        <v>B6-01</v>
      </c>
      <c r="B186" s="3">
        <f>VLOOKUP(A186,'Production Plan'!B:U,15,FALSE)</f>
        <v>0</v>
      </c>
      <c r="C186" s="3" t="str">
        <f>VLOOKUP(A186,'Production Plan'!B:G,5,FALSE)</f>
        <v>Behandling kun efter dokumenteret instruks</v>
      </c>
    </row>
    <row r="187" spans="1:3" hidden="1">
      <c r="A187" s="3" t="str">
        <f>'Production Plan'!B207</f>
        <v>B6-02</v>
      </c>
      <c r="B187" s="3">
        <f>VLOOKUP(A187,'Production Plan'!B:U,15,FALSE)</f>
        <v>0</v>
      </c>
      <c r="C187" s="3" t="str">
        <f>VLOOKUP(A187,'Production Plan'!B:G,5,FALSE)</f>
        <v>Fortrolighed for medarbejdere med adgang til persondata</v>
      </c>
    </row>
    <row r="188" spans="1:3" hidden="1">
      <c r="A188" s="3" t="str">
        <f>'Production Plan'!B208</f>
        <v>B6-03</v>
      </c>
      <c r="B188" s="3">
        <f>VLOOKUP(A188,'Production Plan'!B:U,15,FALSE)</f>
        <v>0</v>
      </c>
      <c r="C188" s="3" t="str">
        <f>VLOOKUP(A188,'Production Plan'!B:G,5,FALSE)</f>
        <v>Tekniske og organisatoriske sikkerhedsforanstaltninger</v>
      </c>
    </row>
    <row r="189" spans="1:3" hidden="1">
      <c r="A189" s="3" t="str">
        <f>'Production Plan'!B209</f>
        <v>B6-04</v>
      </c>
      <c r="B189" s="3">
        <f>VLOOKUP(A189,'Production Plan'!B:U,15,FALSE)</f>
        <v>0</v>
      </c>
      <c r="C189" s="3" t="str">
        <f>VLOOKUP(A189,'Production Plan'!B:G,5,FALSE)</f>
        <v>Underdatabehandlere skal godkendes af Kunden</v>
      </c>
    </row>
    <row r="190" spans="1:3" hidden="1">
      <c r="A190" s="3" t="str">
        <f>'Production Plan'!B210</f>
        <v>B6-05</v>
      </c>
      <c r="B190" s="3">
        <f>VLOOKUP(A190,'Production Plan'!B:U,15,FALSE)</f>
        <v>0</v>
      </c>
      <c r="C190" s="3" t="str">
        <f>VLOOKUP(A190,'Production Plan'!B:G,5,FALSE)</f>
        <v>Underretning om brud på persondatasikkerheden inden 24 timer</v>
      </c>
    </row>
    <row r="191" spans="1:3" hidden="1">
      <c r="A191" s="3" t="str">
        <f>'Production Plan'!B211</f>
        <v>B6-06</v>
      </c>
      <c r="B191" s="3">
        <f>VLOOKUP(A191,'Production Plan'!B:U,15,FALSE)</f>
        <v>0</v>
      </c>
      <c r="C191" s="3" t="str">
        <f>VLOOKUP(A191,'Production Plan'!B:G,5,FALSE)</f>
        <v>Sletning eller returnering af data ved kontraktophør</v>
      </c>
    </row>
    <row r="192" spans="1:3" hidden="1">
      <c r="A192" s="3" t="str">
        <f>'Production Plan'!B212</f>
        <v>B6-07</v>
      </c>
      <c r="B192" s="3">
        <f>VLOOKUP(A192,'Production Plan'!B:U,15,FALSE)</f>
        <v>0</v>
      </c>
      <c r="C192" s="3" t="str">
        <f>VLOOKUP(A192,'Production Plan'!B:G,5,FALSE)</f>
        <v>Ret til audit og inspektion</v>
      </c>
    </row>
    <row r="193" spans="1:3" hidden="1">
      <c r="A193" s="3" t="str">
        <f>'Production Plan'!B213</f>
        <v>B6-08</v>
      </c>
      <c r="B193" s="3">
        <f>VLOOKUP(A193,'Production Plan'!B:U,15,FALSE)</f>
        <v>0</v>
      </c>
      <c r="C193" s="3" t="str">
        <f>VLOOKUP(A193,'Production Plan'!B:G,5,FALSE)</f>
        <v>Ingen overførsel til tredjelande uden godkendelse</v>
      </c>
    </row>
    <row r="194" spans="1:3" hidden="1">
      <c r="A194" s="3" t="str">
        <f>'Production Plan'!B214</f>
        <v>Tilbudsbrevet</v>
      </c>
      <c r="B194" s="3">
        <f>VLOOKUP(A194,'Production Plan'!B:U,15,FALSE)</f>
        <v>0</v>
      </c>
      <c r="C194" s="3" t="str">
        <f>VLOOKUP(A194,'Production Plan'!B:G,5,FALSE)</f>
        <v>Tilbudsbrevet</v>
      </c>
    </row>
    <row r="195" spans="1:3" hidden="1">
      <c r="A195" s="3" t="str">
        <f>'Production Plan'!B215</f>
        <v>Tilbudsliste</v>
      </c>
      <c r="B195" s="3">
        <f>VLOOKUP(A195,'Production Plan'!B:U,15,FALSE)</f>
        <v>0</v>
      </c>
      <c r="C195" s="3" t="str">
        <f>VLOOKUP(A195,'Production Plan'!B:G,5,FALSE)</f>
        <v>Tilbudsliste</v>
      </c>
    </row>
    <row r="196" spans="1:3" hidden="1">
      <c r="A196" s="3" t="str">
        <f>'Production Plan'!B216</f>
        <v>Licensbetingelser</v>
      </c>
      <c r="B196" s="3">
        <f>VLOOKUP(A196,'Production Plan'!B:U,15,FALSE)</f>
        <v>0</v>
      </c>
      <c r="C196" s="3" t="str">
        <f>VLOOKUP(A196,'Production Plan'!B:G,5,FALSE)</f>
        <v>Licensbetingelser</v>
      </c>
    </row>
    <row r="197" spans="1:3" hidden="1">
      <c r="A197" s="3" t="str">
        <f>'Production Plan'!B217</f>
        <v>Underleverandør (hvis anvendes)</v>
      </c>
      <c r="B197" s="3">
        <f>VLOOKUP(A197,'Production Plan'!B:U,15,FALSE)</f>
        <v>0</v>
      </c>
      <c r="C197" s="3" t="str">
        <f>VLOOKUP(A197,'Production Plan'!B:G,5,FALSE)</f>
        <v>Underleverandør (hvis anvendes)</v>
      </c>
    </row>
    <row r="198" spans="1:3" hidden="1">
      <c r="A198" s="3" t="str">
        <f>'Production Plan'!B218</f>
        <v>Egenerklæring vedrørende russiske enheder m.v.</v>
      </c>
      <c r="B198" s="3">
        <f>VLOOKUP(A198,'Production Plan'!B:U,15,FALSE)</f>
        <v>0</v>
      </c>
      <c r="C198" s="3" t="str">
        <f>VLOOKUP(A198,'Production Plan'!B:G,5,FALSE)</f>
        <v>Egenerklæring vedrørende russiske enheder m.v.</v>
      </c>
    </row>
    <row r="199" spans="1:3" hidden="1">
      <c r="A199" s="3" t="e">
        <f>'Production Plan'!#REF!</f>
        <v>#REF!</v>
      </c>
      <c r="B199" s="3" t="e">
        <f>VLOOKUP(A199,'Production Plan'!B:U,15,FALSE)</f>
        <v>#REF!</v>
      </c>
      <c r="C199" s="3" t="e">
        <f>VLOOKUP(A199,'Production Plan'!B:G,5,FALSE)</f>
        <v>#REF!</v>
      </c>
    </row>
    <row r="200" spans="1:3" hidden="1">
      <c r="A200" s="3" t="e">
        <f>'Production Plan'!#REF!</f>
        <v>#REF!</v>
      </c>
      <c r="B200" s="3" t="e">
        <f>VLOOKUP(A200,'Production Plan'!B:U,15,FALSE)</f>
        <v>#REF!</v>
      </c>
      <c r="C200" s="3" t="e">
        <f>VLOOKUP(A200,'Production Plan'!B:G,5,FALSE)</f>
        <v>#REF!</v>
      </c>
    </row>
    <row r="201" spans="1:3" hidden="1">
      <c r="A201" s="3" t="e">
        <f>'Production Plan'!#REF!</f>
        <v>#REF!</v>
      </c>
      <c r="B201" s="3" t="e">
        <f>VLOOKUP(A201,'Production Plan'!B:U,15,FALSE)</f>
        <v>#REF!</v>
      </c>
      <c r="C201" s="3" t="e">
        <f>VLOOKUP(A201,'Production Plan'!B:G,5,FALSE)</f>
        <v>#REF!</v>
      </c>
    </row>
    <row r="202" spans="1:3" hidden="1">
      <c r="A202" s="3" t="e">
        <f>'Production Plan'!#REF!</f>
        <v>#REF!</v>
      </c>
      <c r="B202" s="3" t="e">
        <f>VLOOKUP(A202,'Production Plan'!B:U,15,FALSE)</f>
        <v>#REF!</v>
      </c>
      <c r="C202" s="3" t="e">
        <f>VLOOKUP(A202,'Production Plan'!B:G,5,FALSE)</f>
        <v>#REF!</v>
      </c>
    </row>
    <row r="203" spans="1:3" hidden="1">
      <c r="A203" s="3" t="e">
        <f>'Production Plan'!#REF!</f>
        <v>#REF!</v>
      </c>
      <c r="B203" s="3" t="e">
        <f>VLOOKUP(A203,'Production Plan'!B:U,15,FALSE)</f>
        <v>#REF!</v>
      </c>
      <c r="C203" s="3" t="e">
        <f>VLOOKUP(A203,'Production Plan'!B:G,5,FALSE)</f>
        <v>#REF!</v>
      </c>
    </row>
    <row r="204" spans="1:3" hidden="1">
      <c r="A204" s="3" t="e">
        <f>'Production Plan'!#REF!</f>
        <v>#REF!</v>
      </c>
      <c r="B204" s="3" t="e">
        <f>VLOOKUP(A204,'Production Plan'!B:U,15,FALSE)</f>
        <v>#REF!</v>
      </c>
      <c r="C204" s="3" t="e">
        <f>VLOOKUP(A204,'Production Plan'!B:G,5,FALSE)</f>
        <v>#REF!</v>
      </c>
    </row>
    <row r="205" spans="1:3" hidden="1">
      <c r="A205" s="3" t="e">
        <f>'Production Plan'!#REF!</f>
        <v>#REF!</v>
      </c>
      <c r="B205" s="3" t="e">
        <f>VLOOKUP(A205,'Production Plan'!B:U,15,FALSE)</f>
        <v>#REF!</v>
      </c>
      <c r="C205" s="3" t="e">
        <f>VLOOKUP(A205,'Production Plan'!B:G,5,FALSE)</f>
        <v>#REF!</v>
      </c>
    </row>
    <row r="206" spans="1:3" hidden="1">
      <c r="A206" s="3" t="e">
        <f>'Production Plan'!#REF!</f>
        <v>#REF!</v>
      </c>
      <c r="B206" s="3" t="e">
        <f>VLOOKUP(A206,'Production Plan'!B:U,15,FALSE)</f>
        <v>#REF!</v>
      </c>
      <c r="C206" s="3" t="e">
        <f>VLOOKUP(A206,'Production Plan'!B:G,5,FALSE)</f>
        <v>#REF!</v>
      </c>
    </row>
    <row r="207" spans="1:3" hidden="1">
      <c r="A207" s="3" t="e">
        <f>'Production Plan'!#REF!</f>
        <v>#REF!</v>
      </c>
      <c r="B207" s="3" t="e">
        <f>VLOOKUP(A207,'Production Plan'!B:U,15,FALSE)</f>
        <v>#REF!</v>
      </c>
      <c r="C207" s="3" t="e">
        <f>VLOOKUP(A207,'Production Plan'!B:G,5,FALSE)</f>
        <v>#REF!</v>
      </c>
    </row>
    <row r="208" spans="1:3" hidden="1">
      <c r="A208" s="3" t="e">
        <f>'Production Plan'!#REF!</f>
        <v>#REF!</v>
      </c>
      <c r="B208" s="3" t="e">
        <f>VLOOKUP(A208,'Production Plan'!B:U,15,FALSE)</f>
        <v>#REF!</v>
      </c>
      <c r="C208" s="3" t="e">
        <f>VLOOKUP(A208,'Production Plan'!B:G,5,FALSE)</f>
        <v>#REF!</v>
      </c>
    </row>
    <row r="209" spans="1:3" hidden="1">
      <c r="A209" s="3" t="e">
        <f>'Production Plan'!#REF!</f>
        <v>#REF!</v>
      </c>
      <c r="B209" s="3" t="e">
        <f>VLOOKUP(A209,'Production Plan'!B:U,15,FALSE)</f>
        <v>#REF!</v>
      </c>
      <c r="C209" s="3" t="e">
        <f>VLOOKUP(A209,'Production Plan'!B:G,5,FALSE)</f>
        <v>#REF!</v>
      </c>
    </row>
    <row r="210" spans="1:3" hidden="1">
      <c r="A210" s="3" t="e">
        <f>'Production Plan'!#REF!</f>
        <v>#REF!</v>
      </c>
      <c r="B210" s="3" t="e">
        <f>VLOOKUP(A210,'Production Plan'!B:U,15,FALSE)</f>
        <v>#REF!</v>
      </c>
      <c r="C210" s="3" t="e">
        <f>VLOOKUP(A210,'Production Plan'!B:G,5,FALSE)</f>
        <v>#REF!</v>
      </c>
    </row>
    <row r="211" spans="1:3" hidden="1">
      <c r="A211" s="3" t="e">
        <f>'Production Plan'!#REF!</f>
        <v>#REF!</v>
      </c>
      <c r="B211" s="3" t="e">
        <f>VLOOKUP(A211,'Production Plan'!B:U,15,FALSE)</f>
        <v>#REF!</v>
      </c>
      <c r="C211" s="3" t="e">
        <f>VLOOKUP(A211,'Production Plan'!B:G,5,FALSE)</f>
        <v>#REF!</v>
      </c>
    </row>
    <row r="212" spans="1:3" hidden="1">
      <c r="A212" s="3" t="e">
        <f>'Production Plan'!#REF!</f>
        <v>#REF!</v>
      </c>
      <c r="B212" s="3" t="e">
        <f>VLOOKUP(A212,'Production Plan'!B:U,15,FALSE)</f>
        <v>#REF!</v>
      </c>
      <c r="C212" s="3" t="e">
        <f>VLOOKUP(A212,'Production Plan'!B:G,5,FALSE)</f>
        <v>#REF!</v>
      </c>
    </row>
    <row r="213" spans="1:3" hidden="1">
      <c r="A213" s="3" t="e">
        <f>'Production Plan'!#REF!</f>
        <v>#REF!</v>
      </c>
      <c r="B213" s="3" t="e">
        <f>VLOOKUP(A213,'Production Plan'!B:U,15,FALSE)</f>
        <v>#REF!</v>
      </c>
      <c r="C213" s="3" t="e">
        <f>VLOOKUP(A213,'Production Plan'!B:G,5,FALSE)</f>
        <v>#REF!</v>
      </c>
    </row>
    <row r="214" spans="1:3" hidden="1">
      <c r="A214" s="3" t="e">
        <f>'Production Plan'!#REF!</f>
        <v>#REF!</v>
      </c>
      <c r="B214" s="3" t="e">
        <f>VLOOKUP(A214,'Production Plan'!B:U,15,FALSE)</f>
        <v>#REF!</v>
      </c>
      <c r="C214" s="3" t="e">
        <f>VLOOKUP(A214,'Production Plan'!B:G,5,FALSE)</f>
        <v>#REF!</v>
      </c>
    </row>
    <row r="215" spans="1:3" hidden="1">
      <c r="A215" s="3" t="e">
        <f>'Production Plan'!#REF!</f>
        <v>#REF!</v>
      </c>
      <c r="B215" s="3" t="e">
        <f>VLOOKUP(A215,'Production Plan'!B:U,15,FALSE)</f>
        <v>#REF!</v>
      </c>
      <c r="C215" s="3" t="e">
        <f>VLOOKUP(A215,'Production Plan'!B:G,5,FALSE)</f>
        <v>#REF!</v>
      </c>
    </row>
    <row r="216" spans="1:3" hidden="1">
      <c r="A216" s="3" t="e">
        <f>'Production Plan'!#REF!</f>
        <v>#REF!</v>
      </c>
      <c r="B216" s="3" t="e">
        <f>VLOOKUP(A216,'Production Plan'!B:U,15,FALSE)</f>
        <v>#REF!</v>
      </c>
      <c r="C216" s="3" t="e">
        <f>VLOOKUP(A216,'Production Plan'!B:G,5,FALSE)</f>
        <v>#REF!</v>
      </c>
    </row>
    <row r="217" spans="1:3" hidden="1">
      <c r="A217" s="3" t="e">
        <f>'Production Plan'!#REF!</f>
        <v>#REF!</v>
      </c>
      <c r="B217" s="3" t="e">
        <f>VLOOKUP(A217,'Production Plan'!B:U,15,FALSE)</f>
        <v>#REF!</v>
      </c>
      <c r="C217" s="3" t="e">
        <f>VLOOKUP(A217,'Production Plan'!B:G,5,FALSE)</f>
        <v>#REF!</v>
      </c>
    </row>
    <row r="218" spans="1:3" hidden="1">
      <c r="A218" s="3" t="e">
        <f>'Production Plan'!#REF!</f>
        <v>#REF!</v>
      </c>
      <c r="B218" s="3" t="e">
        <f>VLOOKUP(A218,'Production Plan'!B:U,15,FALSE)</f>
        <v>#REF!</v>
      </c>
      <c r="C218" s="3" t="e">
        <f>VLOOKUP(A218,'Production Plan'!B:G,5,FALSE)</f>
        <v>#REF!</v>
      </c>
    </row>
    <row r="219" spans="1:3" hidden="1">
      <c r="A219" s="3" t="e">
        <f>'Production Plan'!#REF!</f>
        <v>#REF!</v>
      </c>
      <c r="B219" s="3" t="e">
        <f>VLOOKUP(A219,'Production Plan'!B:U,15,FALSE)</f>
        <v>#REF!</v>
      </c>
      <c r="C219" s="3" t="e">
        <f>VLOOKUP(A219,'Production Plan'!B:G,5,FALSE)</f>
        <v>#REF!</v>
      </c>
    </row>
    <row r="220" spans="1:3" hidden="1">
      <c r="A220" s="3" t="e">
        <f>'Production Plan'!#REF!</f>
        <v>#REF!</v>
      </c>
      <c r="B220" s="3" t="e">
        <f>VLOOKUP(A220,'Production Plan'!B:U,15,FALSE)</f>
        <v>#REF!</v>
      </c>
      <c r="C220" s="3" t="e">
        <f>VLOOKUP(A220,'Production Plan'!B:G,5,FALSE)</f>
        <v>#REF!</v>
      </c>
    </row>
    <row r="221" spans="1:3" hidden="1">
      <c r="A221" s="3" t="e">
        <f>'Production Plan'!#REF!</f>
        <v>#REF!</v>
      </c>
      <c r="B221" s="3" t="e">
        <f>VLOOKUP(A221,'Production Plan'!B:U,15,FALSE)</f>
        <v>#REF!</v>
      </c>
      <c r="C221" s="3" t="e">
        <f>VLOOKUP(A221,'Production Plan'!B:G,5,FALSE)</f>
        <v>#REF!</v>
      </c>
    </row>
    <row r="222" spans="1:3" hidden="1">
      <c r="A222" s="3" t="e">
        <f>'Production Plan'!#REF!</f>
        <v>#REF!</v>
      </c>
      <c r="B222" s="3" t="e">
        <f>VLOOKUP(A222,'Production Plan'!B:U,15,FALSE)</f>
        <v>#REF!</v>
      </c>
      <c r="C222" s="3" t="e">
        <f>VLOOKUP(A222,'Production Plan'!B:G,5,FALSE)</f>
        <v>#REF!</v>
      </c>
    </row>
    <row r="223" spans="1:3" hidden="1">
      <c r="A223" s="3" t="e">
        <f>'Production Plan'!#REF!</f>
        <v>#REF!</v>
      </c>
      <c r="B223" s="3" t="e">
        <f>VLOOKUP(A223,'Production Plan'!B:U,15,FALSE)</f>
        <v>#REF!</v>
      </c>
      <c r="C223" s="3" t="e">
        <f>VLOOKUP(A223,'Production Plan'!B:G,5,FALSE)</f>
        <v>#REF!</v>
      </c>
    </row>
    <row r="224" spans="1:3" hidden="1">
      <c r="A224" s="3" t="e">
        <f>'Production Plan'!#REF!</f>
        <v>#REF!</v>
      </c>
      <c r="B224" s="3" t="e">
        <f>VLOOKUP(A224,'Production Plan'!B:U,15,FALSE)</f>
        <v>#REF!</v>
      </c>
      <c r="C224" s="3" t="e">
        <f>VLOOKUP(A224,'Production Plan'!B:G,5,FALSE)</f>
        <v>#REF!</v>
      </c>
    </row>
    <row r="225" spans="1:3" hidden="1">
      <c r="A225" s="3" t="e">
        <f>'Production Plan'!#REF!</f>
        <v>#REF!</v>
      </c>
      <c r="B225" s="3" t="e">
        <f>VLOOKUP(A225,'Production Plan'!B:U,15,FALSE)</f>
        <v>#REF!</v>
      </c>
      <c r="C225" s="3" t="e">
        <f>VLOOKUP(A225,'Production Plan'!B:G,5,FALSE)</f>
        <v>#REF!</v>
      </c>
    </row>
    <row r="226" spans="1:3" hidden="1">
      <c r="A226" s="3" t="e">
        <f>'Production Plan'!#REF!</f>
        <v>#REF!</v>
      </c>
      <c r="B226" s="3" t="e">
        <f>VLOOKUP(A226,'Production Plan'!B:U,15,FALSE)</f>
        <v>#REF!</v>
      </c>
      <c r="C226" s="3" t="e">
        <f>VLOOKUP(A226,'Production Plan'!B:G,5,FALSE)</f>
        <v>#REF!</v>
      </c>
    </row>
    <row r="227" spans="1:3" hidden="1">
      <c r="A227" s="3" t="e">
        <f>'Production Plan'!#REF!</f>
        <v>#REF!</v>
      </c>
      <c r="B227" s="3" t="e">
        <f>VLOOKUP(A227,'Production Plan'!B:U,15,FALSE)</f>
        <v>#REF!</v>
      </c>
      <c r="C227" s="3" t="e">
        <f>VLOOKUP(A227,'Production Plan'!B:G,5,FALSE)</f>
        <v>#REF!</v>
      </c>
    </row>
    <row r="228" spans="1:3" hidden="1">
      <c r="A228" s="3" t="e">
        <f>'Production Plan'!#REF!</f>
        <v>#REF!</v>
      </c>
      <c r="B228" s="3" t="e">
        <f>VLOOKUP(A228,'Production Plan'!B:U,15,FALSE)</f>
        <v>#REF!</v>
      </c>
      <c r="C228" s="3" t="e">
        <f>VLOOKUP(A228,'Production Plan'!B:G,5,FALSE)</f>
        <v>#REF!</v>
      </c>
    </row>
    <row r="229" spans="1:3" hidden="1">
      <c r="A229" s="3" t="e">
        <f>'Production Plan'!#REF!</f>
        <v>#REF!</v>
      </c>
      <c r="B229" s="3" t="e">
        <f>VLOOKUP(A229,'Production Plan'!B:U,15,FALSE)</f>
        <v>#REF!</v>
      </c>
      <c r="C229" s="3" t="e">
        <f>VLOOKUP(A229,'Production Plan'!B:G,5,FALSE)</f>
        <v>#REF!</v>
      </c>
    </row>
    <row r="230" spans="1:3" hidden="1">
      <c r="A230" s="3" t="e">
        <f>'Production Plan'!#REF!</f>
        <v>#REF!</v>
      </c>
      <c r="B230" s="3" t="e">
        <f>VLOOKUP(A230,'Production Plan'!B:U,15,FALSE)</f>
        <v>#REF!</v>
      </c>
      <c r="C230" s="3" t="e">
        <f>VLOOKUP(A230,'Production Plan'!B:G,5,FALSE)</f>
        <v>#REF!</v>
      </c>
    </row>
    <row r="231" spans="1:3" hidden="1">
      <c r="A231" s="3" t="e">
        <f>'Production Plan'!#REF!</f>
        <v>#REF!</v>
      </c>
      <c r="B231" s="3" t="e">
        <f>VLOOKUP(A231,'Production Plan'!B:U,15,FALSE)</f>
        <v>#REF!</v>
      </c>
      <c r="C231" s="3" t="e">
        <f>VLOOKUP(A231,'Production Plan'!B:G,5,FALSE)</f>
        <v>#REF!</v>
      </c>
    </row>
    <row r="232" spans="1:3" hidden="1">
      <c r="A232" s="3" t="e">
        <f>'Production Plan'!#REF!</f>
        <v>#REF!</v>
      </c>
      <c r="B232" s="3" t="e">
        <f>VLOOKUP(A232,'Production Plan'!B:U,15,FALSE)</f>
        <v>#REF!</v>
      </c>
      <c r="C232" s="3" t="e">
        <f>VLOOKUP(A232,'Production Plan'!B:G,5,FALSE)</f>
        <v>#REF!</v>
      </c>
    </row>
    <row r="233" spans="1:3" hidden="1">
      <c r="A233" s="3" t="e">
        <f>'Production Plan'!#REF!</f>
        <v>#REF!</v>
      </c>
      <c r="B233" s="3" t="e">
        <f>VLOOKUP(A233,'Production Plan'!B:U,15,FALSE)</f>
        <v>#REF!</v>
      </c>
      <c r="C233" s="3" t="e">
        <f>VLOOKUP(A233,'Production Plan'!B:G,5,FALSE)</f>
        <v>#REF!</v>
      </c>
    </row>
    <row r="234" spans="1:3" hidden="1">
      <c r="A234" s="3" t="e">
        <f>'Production Plan'!#REF!</f>
        <v>#REF!</v>
      </c>
      <c r="B234" s="3" t="e">
        <f>VLOOKUP(A234,'Production Plan'!B:U,15,FALSE)</f>
        <v>#REF!</v>
      </c>
      <c r="C234" s="3" t="e">
        <f>VLOOKUP(A234,'Production Plan'!B:G,5,FALSE)</f>
        <v>#REF!</v>
      </c>
    </row>
    <row r="235" spans="1:3" hidden="1">
      <c r="A235" s="3" t="e">
        <f>'Production Plan'!#REF!</f>
        <v>#REF!</v>
      </c>
      <c r="B235" s="3" t="e">
        <f>VLOOKUP(A235,'Production Plan'!B:U,15,FALSE)</f>
        <v>#REF!</v>
      </c>
      <c r="C235" s="3" t="e">
        <f>VLOOKUP(A235,'Production Plan'!B:G,5,FALSE)</f>
        <v>#REF!</v>
      </c>
    </row>
    <row r="236" spans="1:3" hidden="1">
      <c r="A236" s="3" t="e">
        <f>'Production Plan'!#REF!</f>
        <v>#REF!</v>
      </c>
      <c r="B236" s="3" t="e">
        <f>VLOOKUP(A236,'Production Plan'!B:U,15,FALSE)</f>
        <v>#REF!</v>
      </c>
      <c r="C236" s="3" t="e">
        <f>VLOOKUP(A236,'Production Plan'!B:G,5,FALSE)</f>
        <v>#REF!</v>
      </c>
    </row>
    <row r="237" spans="1:3" hidden="1">
      <c r="A237" s="3" t="e">
        <f>'Production Plan'!#REF!</f>
        <v>#REF!</v>
      </c>
      <c r="B237" s="3" t="e">
        <f>VLOOKUP(A237,'Production Plan'!B:U,15,FALSE)</f>
        <v>#REF!</v>
      </c>
      <c r="C237" s="3" t="e">
        <f>VLOOKUP(A237,'Production Plan'!B:G,5,FALSE)</f>
        <v>#REF!</v>
      </c>
    </row>
    <row r="238" spans="1:3" hidden="1">
      <c r="A238" s="3" t="e">
        <f>'Production Plan'!#REF!</f>
        <v>#REF!</v>
      </c>
      <c r="B238" s="3" t="e">
        <f>VLOOKUP(A238,'Production Plan'!B:U,15,FALSE)</f>
        <v>#REF!</v>
      </c>
      <c r="C238" s="3" t="e">
        <f>VLOOKUP(A238,'Production Plan'!B:G,5,FALSE)</f>
        <v>#REF!</v>
      </c>
    </row>
    <row r="239" spans="1:3" hidden="1">
      <c r="A239" s="3" t="e">
        <f>'Production Plan'!#REF!</f>
        <v>#REF!</v>
      </c>
      <c r="B239" s="3" t="e">
        <f>VLOOKUP(A239,'Production Plan'!B:U,15,FALSE)</f>
        <v>#REF!</v>
      </c>
      <c r="C239" s="3" t="e">
        <f>VLOOKUP(A239,'Production Plan'!B:G,5,FALSE)</f>
        <v>#REF!</v>
      </c>
    </row>
    <row r="240" spans="1:3" hidden="1">
      <c r="A240" s="3" t="e">
        <f>'Production Plan'!#REF!</f>
        <v>#REF!</v>
      </c>
      <c r="B240" s="3" t="e">
        <f>VLOOKUP(A240,'Production Plan'!B:U,15,FALSE)</f>
        <v>#REF!</v>
      </c>
      <c r="C240" s="3" t="e">
        <f>VLOOKUP(A240,'Production Plan'!B:G,5,FALSE)</f>
        <v>#REF!</v>
      </c>
    </row>
    <row r="241" spans="1:3" hidden="1">
      <c r="A241" s="3" t="e">
        <f>'Production Plan'!#REF!</f>
        <v>#REF!</v>
      </c>
      <c r="B241" s="3" t="e">
        <f>VLOOKUP(A241,'Production Plan'!B:U,15,FALSE)</f>
        <v>#REF!</v>
      </c>
      <c r="C241" s="3" t="e">
        <f>VLOOKUP(A241,'Production Plan'!B:G,5,FALSE)</f>
        <v>#REF!</v>
      </c>
    </row>
    <row r="242" spans="1:3" hidden="1">
      <c r="A242" s="3" t="e">
        <f>'Production Plan'!#REF!</f>
        <v>#REF!</v>
      </c>
      <c r="B242" s="3" t="e">
        <f>VLOOKUP(A242,'Production Plan'!B:U,15,FALSE)</f>
        <v>#REF!</v>
      </c>
      <c r="C242" s="3" t="e">
        <f>VLOOKUP(A242,'Production Plan'!B:G,5,FALSE)</f>
        <v>#REF!</v>
      </c>
    </row>
    <row r="243" spans="1:3" hidden="1">
      <c r="A243" s="3" t="e">
        <f>'Production Plan'!#REF!</f>
        <v>#REF!</v>
      </c>
      <c r="B243" s="3" t="e">
        <f>VLOOKUP(A243,'Production Plan'!B:U,15,FALSE)</f>
        <v>#REF!</v>
      </c>
      <c r="C243" s="3" t="e">
        <f>VLOOKUP(A243,'Production Plan'!B:G,5,FALSE)</f>
        <v>#REF!</v>
      </c>
    </row>
    <row r="244" spans="1:3" hidden="1">
      <c r="A244" s="3" t="e">
        <f>'Production Plan'!#REF!</f>
        <v>#REF!</v>
      </c>
      <c r="B244" s="3" t="e">
        <f>VLOOKUP(A244,'Production Plan'!B:U,15,FALSE)</f>
        <v>#REF!</v>
      </c>
      <c r="C244" s="3" t="e">
        <f>VLOOKUP(A244,'Production Plan'!B:G,5,FALSE)</f>
        <v>#REF!</v>
      </c>
    </row>
    <row r="245" spans="1:3" hidden="1">
      <c r="A245" s="3" t="e">
        <f>'Production Plan'!#REF!</f>
        <v>#REF!</v>
      </c>
      <c r="B245" s="3" t="e">
        <f>VLOOKUP(A245,'Production Plan'!B:U,15,FALSE)</f>
        <v>#REF!</v>
      </c>
      <c r="C245" s="3" t="e">
        <f>VLOOKUP(A245,'Production Plan'!B:G,5,FALSE)</f>
        <v>#REF!</v>
      </c>
    </row>
    <row r="246" spans="1:3" hidden="1">
      <c r="A246" s="3" t="e">
        <f>'Production Plan'!#REF!</f>
        <v>#REF!</v>
      </c>
      <c r="B246" s="3" t="e">
        <f>VLOOKUP(A246,'Production Plan'!B:U,15,FALSE)</f>
        <v>#REF!</v>
      </c>
      <c r="C246" s="3" t="e">
        <f>VLOOKUP(A246,'Production Plan'!B:G,5,FALSE)</f>
        <v>#REF!</v>
      </c>
    </row>
    <row r="247" spans="1:3" hidden="1">
      <c r="A247" s="3" t="e">
        <f>'Production Plan'!#REF!</f>
        <v>#REF!</v>
      </c>
      <c r="B247" s="3" t="e">
        <f>VLOOKUP(A247,'Production Plan'!B:U,15,FALSE)</f>
        <v>#REF!</v>
      </c>
      <c r="C247" s="3" t="e">
        <f>VLOOKUP(A247,'Production Plan'!B:G,5,FALSE)</f>
        <v>#REF!</v>
      </c>
    </row>
    <row r="248" spans="1:3" hidden="1">
      <c r="A248" s="3" t="e">
        <f>'Production Plan'!#REF!</f>
        <v>#REF!</v>
      </c>
      <c r="B248" s="3" t="e">
        <f>VLOOKUP(A248,'Production Plan'!B:U,15,FALSE)</f>
        <v>#REF!</v>
      </c>
      <c r="C248" s="3" t="e">
        <f>VLOOKUP(A248,'Production Plan'!B:G,5,FALSE)</f>
        <v>#REF!</v>
      </c>
    </row>
    <row r="249" spans="1:3" hidden="1">
      <c r="A249" s="3" t="e">
        <f>'Production Plan'!#REF!</f>
        <v>#REF!</v>
      </c>
      <c r="B249" s="3" t="e">
        <f>VLOOKUP(A249,'Production Plan'!B:U,15,FALSE)</f>
        <v>#REF!</v>
      </c>
      <c r="C249" s="3" t="e">
        <f>VLOOKUP(A249,'Production Plan'!B:G,5,FALSE)</f>
        <v>#REF!</v>
      </c>
    </row>
    <row r="250" spans="1:3" hidden="1">
      <c r="A250" s="3" t="e">
        <f>'Production Plan'!#REF!</f>
        <v>#REF!</v>
      </c>
      <c r="B250" s="3" t="e">
        <f>VLOOKUP(A250,'Production Plan'!B:U,15,FALSE)</f>
        <v>#REF!</v>
      </c>
      <c r="C250" s="3" t="e">
        <f>VLOOKUP(A250,'Production Plan'!B:G,5,FALSE)</f>
        <v>#REF!</v>
      </c>
    </row>
    <row r="251" spans="1:3" hidden="1">
      <c r="A251" s="3" t="e">
        <f>'Production Plan'!#REF!</f>
        <v>#REF!</v>
      </c>
      <c r="B251" s="3" t="e">
        <f>VLOOKUP(A251,'Production Plan'!B:U,15,FALSE)</f>
        <v>#REF!</v>
      </c>
      <c r="C251" s="3" t="e">
        <f>VLOOKUP(A251,'Production Plan'!B:G,5,FALSE)</f>
        <v>#REF!</v>
      </c>
    </row>
    <row r="252" spans="1:3" hidden="1">
      <c r="A252" s="3" t="e">
        <f>'Production Plan'!#REF!</f>
        <v>#REF!</v>
      </c>
      <c r="B252" s="3" t="e">
        <f>VLOOKUP(A252,'Production Plan'!B:U,15,FALSE)</f>
        <v>#REF!</v>
      </c>
      <c r="C252" s="3" t="e">
        <f>VLOOKUP(A252,'Production Plan'!B:G,5,FALSE)</f>
        <v>#REF!</v>
      </c>
    </row>
    <row r="253" spans="1:3" hidden="1">
      <c r="A253" s="3" t="e">
        <f>'Production Plan'!#REF!</f>
        <v>#REF!</v>
      </c>
      <c r="B253" s="3" t="e">
        <f>VLOOKUP(A253,'Production Plan'!B:U,15,FALSE)</f>
        <v>#REF!</v>
      </c>
      <c r="C253" s="3" t="e">
        <f>VLOOKUP(A253,'Production Plan'!B:G,5,FALSE)</f>
        <v>#REF!</v>
      </c>
    </row>
    <row r="254" spans="1:3" hidden="1">
      <c r="A254" s="3" t="e">
        <f>'Production Plan'!#REF!</f>
        <v>#REF!</v>
      </c>
      <c r="B254" s="3" t="e">
        <f>VLOOKUP(A254,'Production Plan'!B:U,15,FALSE)</f>
        <v>#REF!</v>
      </c>
      <c r="C254" s="3" t="e">
        <f>VLOOKUP(A254,'Production Plan'!B:G,5,FALSE)</f>
        <v>#REF!</v>
      </c>
    </row>
    <row r="255" spans="1:3" hidden="1">
      <c r="A255" s="3" t="e">
        <f>'Production Plan'!#REF!</f>
        <v>#REF!</v>
      </c>
      <c r="B255" s="3" t="e">
        <f>VLOOKUP(A255,'Production Plan'!B:U,15,FALSE)</f>
        <v>#REF!</v>
      </c>
      <c r="C255" s="3" t="e">
        <f>VLOOKUP(A255,'Production Plan'!B:G,5,FALSE)</f>
        <v>#REF!</v>
      </c>
    </row>
    <row r="256" spans="1:3" hidden="1">
      <c r="A256" s="3" t="e">
        <f>'Production Plan'!#REF!</f>
        <v>#REF!</v>
      </c>
      <c r="B256" s="3" t="e">
        <f>VLOOKUP(A256,'Production Plan'!B:U,15,FALSE)</f>
        <v>#REF!</v>
      </c>
      <c r="C256" s="3" t="e">
        <f>VLOOKUP(A256,'Production Plan'!B:G,5,FALSE)</f>
        <v>#REF!</v>
      </c>
    </row>
    <row r="257" spans="1:3" hidden="1">
      <c r="A257" s="3" t="e">
        <f>'Production Plan'!#REF!</f>
        <v>#REF!</v>
      </c>
      <c r="B257" s="3" t="e">
        <f>VLOOKUP(A257,'Production Plan'!B:U,15,FALSE)</f>
        <v>#REF!</v>
      </c>
      <c r="C257" s="3" t="e">
        <f>VLOOKUP(A257,'Production Plan'!B:G,5,FALSE)</f>
        <v>#REF!</v>
      </c>
    </row>
    <row r="258" spans="1:3" hidden="1">
      <c r="A258" s="3" t="e">
        <f>'Production Plan'!#REF!</f>
        <v>#REF!</v>
      </c>
      <c r="B258" s="3" t="e">
        <f>VLOOKUP(A258,'Production Plan'!B:U,15,FALSE)</f>
        <v>#REF!</v>
      </c>
      <c r="C258" s="3" t="e">
        <f>VLOOKUP(A258,'Production Plan'!B:G,5,FALSE)</f>
        <v>#REF!</v>
      </c>
    </row>
    <row r="259" spans="1:3" hidden="1">
      <c r="A259" s="3" t="e">
        <f>'Production Plan'!#REF!</f>
        <v>#REF!</v>
      </c>
      <c r="B259" s="3" t="e">
        <f>VLOOKUP(A259,'Production Plan'!B:U,15,FALSE)</f>
        <v>#REF!</v>
      </c>
      <c r="C259" s="3" t="e">
        <f>VLOOKUP(A259,'Production Plan'!B:G,5,FALSE)</f>
        <v>#REF!</v>
      </c>
    </row>
    <row r="260" spans="1:3" hidden="1">
      <c r="A260" s="3" t="e">
        <f>'Production Plan'!#REF!</f>
        <v>#REF!</v>
      </c>
      <c r="B260" s="3" t="e">
        <f>VLOOKUP(A260,'Production Plan'!B:U,15,FALSE)</f>
        <v>#REF!</v>
      </c>
      <c r="C260" s="3" t="e">
        <f>VLOOKUP(A260,'Production Plan'!B:G,5,FALSE)</f>
        <v>#REF!</v>
      </c>
    </row>
    <row r="261" spans="1:3" hidden="1">
      <c r="A261" s="3" t="e">
        <f>'Production Plan'!#REF!</f>
        <v>#REF!</v>
      </c>
      <c r="B261" s="3" t="e">
        <f>VLOOKUP(A261,'Production Plan'!B:U,15,FALSE)</f>
        <v>#REF!</v>
      </c>
      <c r="C261" s="3" t="e">
        <f>VLOOKUP(A261,'Production Plan'!B:G,5,FALSE)</f>
        <v>#REF!</v>
      </c>
    </row>
    <row r="262" spans="1:3" hidden="1">
      <c r="A262" s="3" t="e">
        <f>'Production Plan'!#REF!</f>
        <v>#REF!</v>
      </c>
      <c r="B262" s="3" t="e">
        <f>VLOOKUP(A262,'Production Plan'!B:U,15,FALSE)</f>
        <v>#REF!</v>
      </c>
      <c r="C262" s="3" t="e">
        <f>VLOOKUP(A262,'Production Plan'!B:G,5,FALSE)</f>
        <v>#REF!</v>
      </c>
    </row>
    <row r="263" spans="1:3" hidden="1">
      <c r="A263" s="3" t="e">
        <f>'Production Plan'!#REF!</f>
        <v>#REF!</v>
      </c>
      <c r="B263" s="3" t="e">
        <f>VLOOKUP(A263,'Production Plan'!B:U,15,FALSE)</f>
        <v>#REF!</v>
      </c>
      <c r="C263" s="3" t="e">
        <f>VLOOKUP(A263,'Production Plan'!B:G,5,FALSE)</f>
        <v>#REF!</v>
      </c>
    </row>
    <row r="264" spans="1:3" hidden="1">
      <c r="A264" s="3" t="e">
        <f>'Production Plan'!#REF!</f>
        <v>#REF!</v>
      </c>
      <c r="B264" s="3" t="e">
        <f>VLOOKUP(A264,'Production Plan'!B:U,15,FALSE)</f>
        <v>#REF!</v>
      </c>
      <c r="C264" s="3" t="e">
        <f>VLOOKUP(A264,'Production Plan'!B:G,5,FALSE)</f>
        <v>#REF!</v>
      </c>
    </row>
    <row r="265" spans="1:3" hidden="1">
      <c r="A265" s="3" t="e">
        <f>'Production Plan'!#REF!</f>
        <v>#REF!</v>
      </c>
      <c r="B265" s="3" t="e">
        <f>VLOOKUP(A265,'Production Plan'!B:U,15,FALSE)</f>
        <v>#REF!</v>
      </c>
      <c r="C265" s="3" t="e">
        <f>VLOOKUP(A265,'Production Plan'!B:G,5,FALSE)</f>
        <v>#REF!</v>
      </c>
    </row>
    <row r="266" spans="1:3" hidden="1">
      <c r="A266" s="3" t="e">
        <f>'Production Plan'!#REF!</f>
        <v>#REF!</v>
      </c>
      <c r="B266" s="3" t="e">
        <f>VLOOKUP(A266,'Production Plan'!B:U,15,FALSE)</f>
        <v>#REF!</v>
      </c>
      <c r="C266" s="3" t="e">
        <f>VLOOKUP(A266,'Production Plan'!B:G,5,FALSE)</f>
        <v>#REF!</v>
      </c>
    </row>
    <row r="267" spans="1:3" hidden="1">
      <c r="A267" s="3" t="e">
        <f>'Production Plan'!#REF!</f>
        <v>#REF!</v>
      </c>
      <c r="B267" s="3" t="e">
        <f>VLOOKUP(A267,'Production Plan'!B:U,15,FALSE)</f>
        <v>#REF!</v>
      </c>
      <c r="C267" s="3" t="e">
        <f>VLOOKUP(A267,'Production Plan'!B:G,5,FALSE)</f>
        <v>#REF!</v>
      </c>
    </row>
    <row r="268" spans="1:3" hidden="1">
      <c r="A268" s="3" t="e">
        <f>'Production Plan'!#REF!</f>
        <v>#REF!</v>
      </c>
      <c r="B268" s="3" t="e">
        <f>VLOOKUP(A268,'Production Plan'!B:U,15,FALSE)</f>
        <v>#REF!</v>
      </c>
      <c r="C268" s="3" t="e">
        <f>VLOOKUP(A268,'Production Plan'!B:G,5,FALSE)</f>
        <v>#REF!</v>
      </c>
    </row>
    <row r="269" spans="1:3" hidden="1">
      <c r="A269" s="3" t="e">
        <f>'Production Plan'!#REF!</f>
        <v>#REF!</v>
      </c>
      <c r="B269" s="3" t="e">
        <f>VLOOKUP(A269,'Production Plan'!B:U,15,FALSE)</f>
        <v>#REF!</v>
      </c>
      <c r="C269" s="3" t="e">
        <f>VLOOKUP(A269,'Production Plan'!B:G,5,FALSE)</f>
        <v>#REF!</v>
      </c>
    </row>
    <row r="270" spans="1:3" hidden="1">
      <c r="A270" s="3" t="e">
        <f>'Production Plan'!#REF!</f>
        <v>#REF!</v>
      </c>
      <c r="B270" s="3" t="e">
        <f>VLOOKUP(A270,'Production Plan'!B:U,15,FALSE)</f>
        <v>#REF!</v>
      </c>
      <c r="C270" s="3" t="e">
        <f>VLOOKUP(A270,'Production Plan'!B:G,5,FALSE)</f>
        <v>#REF!</v>
      </c>
    </row>
    <row r="271" spans="1:3" hidden="1">
      <c r="A271" s="3" t="e">
        <f>'Production Plan'!#REF!</f>
        <v>#REF!</v>
      </c>
      <c r="B271" s="3" t="e">
        <f>VLOOKUP(A271,'Production Plan'!B:U,15,FALSE)</f>
        <v>#REF!</v>
      </c>
      <c r="C271" s="3" t="e">
        <f>VLOOKUP(A271,'Production Plan'!B:G,5,FALSE)</f>
        <v>#REF!</v>
      </c>
    </row>
    <row r="272" spans="1:3" hidden="1">
      <c r="A272" s="3" t="e">
        <f>'Production Plan'!#REF!</f>
        <v>#REF!</v>
      </c>
      <c r="B272" s="3" t="e">
        <f>VLOOKUP(A272,'Production Plan'!B:U,15,FALSE)</f>
        <v>#REF!</v>
      </c>
      <c r="C272" s="3" t="e">
        <f>VLOOKUP(A272,'Production Plan'!B:G,5,FALSE)</f>
        <v>#REF!</v>
      </c>
    </row>
    <row r="273" spans="1:3" hidden="1">
      <c r="A273" s="3" t="e">
        <f>'Production Plan'!#REF!</f>
        <v>#REF!</v>
      </c>
      <c r="B273" s="3" t="e">
        <f>VLOOKUP(A273,'Production Plan'!B:U,15,FALSE)</f>
        <v>#REF!</v>
      </c>
      <c r="C273" s="3" t="e">
        <f>VLOOKUP(A273,'Production Plan'!B:G,5,FALSE)</f>
        <v>#REF!</v>
      </c>
    </row>
    <row r="274" spans="1:3" hidden="1">
      <c r="A274" s="3" t="e">
        <f>'Production Plan'!#REF!</f>
        <v>#REF!</v>
      </c>
      <c r="B274" s="3" t="e">
        <f>VLOOKUP(A274,'Production Plan'!B:U,15,FALSE)</f>
        <v>#REF!</v>
      </c>
      <c r="C274" s="3" t="e">
        <f>VLOOKUP(A274,'Production Plan'!B:G,5,FALSE)</f>
        <v>#REF!</v>
      </c>
    </row>
    <row r="275" spans="1:3" hidden="1">
      <c r="A275" s="3" t="e">
        <f>'Production Plan'!#REF!</f>
        <v>#REF!</v>
      </c>
      <c r="B275" s="3" t="e">
        <f>VLOOKUP(A275,'Production Plan'!B:U,15,FALSE)</f>
        <v>#REF!</v>
      </c>
      <c r="C275" s="3" t="e">
        <f>VLOOKUP(A275,'Production Plan'!B:G,5,FALSE)</f>
        <v>#REF!</v>
      </c>
    </row>
    <row r="276" spans="1:3" hidden="1">
      <c r="A276" s="3" t="e">
        <f>'Production Plan'!#REF!</f>
        <v>#REF!</v>
      </c>
      <c r="B276" s="3" t="e">
        <f>VLOOKUP(A276,'Production Plan'!B:U,15,FALSE)</f>
        <v>#REF!</v>
      </c>
      <c r="C276" s="3" t="e">
        <f>VLOOKUP(A276,'Production Plan'!B:G,5,FALSE)</f>
        <v>#REF!</v>
      </c>
    </row>
    <row r="277" spans="1:3" hidden="1">
      <c r="A277" s="3" t="e">
        <f>'Production Plan'!#REF!</f>
        <v>#REF!</v>
      </c>
      <c r="B277" s="3" t="e">
        <f>VLOOKUP(A277,'Production Plan'!B:U,15,FALSE)</f>
        <v>#REF!</v>
      </c>
      <c r="C277" s="3" t="e">
        <f>VLOOKUP(A277,'Production Plan'!B:G,5,FALSE)</f>
        <v>#REF!</v>
      </c>
    </row>
    <row r="278" spans="1:3" hidden="1">
      <c r="A278" s="3" t="e">
        <f>'Production Plan'!#REF!</f>
        <v>#REF!</v>
      </c>
      <c r="B278" s="3" t="e">
        <f>VLOOKUP(A278,'Production Plan'!B:U,15,FALSE)</f>
        <v>#REF!</v>
      </c>
      <c r="C278" s="3" t="e">
        <f>VLOOKUP(A278,'Production Plan'!B:G,5,FALSE)</f>
        <v>#REF!</v>
      </c>
    </row>
    <row r="279" spans="1:3" hidden="1">
      <c r="A279" s="3" t="e">
        <f>'Production Plan'!#REF!</f>
        <v>#REF!</v>
      </c>
      <c r="B279" s="3" t="e">
        <f>VLOOKUP(A279,'Production Plan'!B:U,15,FALSE)</f>
        <v>#REF!</v>
      </c>
      <c r="C279" s="3" t="e">
        <f>VLOOKUP(A279,'Production Plan'!B:G,5,FALSE)</f>
        <v>#REF!</v>
      </c>
    </row>
    <row r="280" spans="1:3" hidden="1">
      <c r="A280" s="3" t="e">
        <f>'Production Plan'!#REF!</f>
        <v>#REF!</v>
      </c>
      <c r="B280" s="3" t="e">
        <f>VLOOKUP(A280,'Production Plan'!B:U,15,FALSE)</f>
        <v>#REF!</v>
      </c>
      <c r="C280" s="3" t="e">
        <f>VLOOKUP(A280,'Production Plan'!B:G,5,FALSE)</f>
        <v>#REF!</v>
      </c>
    </row>
    <row r="281" spans="1:3" hidden="1">
      <c r="A281" s="3" t="e">
        <f>'Production Plan'!#REF!</f>
        <v>#REF!</v>
      </c>
      <c r="B281" s="3" t="e">
        <f>VLOOKUP(A281,'Production Plan'!B:U,15,FALSE)</f>
        <v>#REF!</v>
      </c>
      <c r="C281" s="3" t="e">
        <f>VLOOKUP(A281,'Production Plan'!B:G,5,FALSE)</f>
        <v>#REF!</v>
      </c>
    </row>
    <row r="282" spans="1:3" hidden="1">
      <c r="A282" s="3" t="e">
        <f>'Production Plan'!#REF!</f>
        <v>#REF!</v>
      </c>
      <c r="B282" s="3" t="e">
        <f>VLOOKUP(A282,'Production Plan'!B:U,15,FALSE)</f>
        <v>#REF!</v>
      </c>
      <c r="C282" s="3" t="e">
        <f>VLOOKUP(A282,'Production Plan'!B:G,5,FALSE)</f>
        <v>#REF!</v>
      </c>
    </row>
    <row r="283" spans="1:3" hidden="1">
      <c r="A283" s="3" t="e">
        <f>'Production Plan'!#REF!</f>
        <v>#REF!</v>
      </c>
      <c r="B283" s="3" t="e">
        <f>VLOOKUP(A283,'Production Plan'!B:U,15,FALSE)</f>
        <v>#REF!</v>
      </c>
      <c r="C283" s="3" t="e">
        <f>VLOOKUP(A283,'Production Plan'!B:G,5,FALSE)</f>
        <v>#REF!</v>
      </c>
    </row>
    <row r="284" spans="1:3" hidden="1">
      <c r="A284" s="3" t="e">
        <f>'Production Plan'!#REF!</f>
        <v>#REF!</v>
      </c>
      <c r="B284" s="3" t="e">
        <f>VLOOKUP(A284,'Production Plan'!B:U,15,FALSE)</f>
        <v>#REF!</v>
      </c>
      <c r="C284" s="3" t="e">
        <f>VLOOKUP(A284,'Production Plan'!B:G,5,FALSE)</f>
        <v>#REF!</v>
      </c>
    </row>
    <row r="285" spans="1:3" hidden="1">
      <c r="A285" s="3" t="e">
        <f>'Production Plan'!#REF!</f>
        <v>#REF!</v>
      </c>
      <c r="B285" s="3" t="e">
        <f>VLOOKUP(A285,'Production Plan'!B:U,15,FALSE)</f>
        <v>#REF!</v>
      </c>
      <c r="C285" s="3" t="e">
        <f>VLOOKUP(A285,'Production Plan'!B:G,5,FALSE)</f>
        <v>#REF!</v>
      </c>
    </row>
    <row r="286" spans="1:3" hidden="1">
      <c r="A286" s="3" t="e">
        <f>'Production Plan'!#REF!</f>
        <v>#REF!</v>
      </c>
      <c r="B286" s="3" t="e">
        <f>VLOOKUP(A286,'Production Plan'!B:U,15,FALSE)</f>
        <v>#REF!</v>
      </c>
      <c r="C286" s="3" t="e">
        <f>VLOOKUP(A286,'Production Plan'!B:G,5,FALSE)</f>
        <v>#REF!</v>
      </c>
    </row>
    <row r="287" spans="1:3" hidden="1">
      <c r="A287" s="3" t="e">
        <f>'Production Plan'!#REF!</f>
        <v>#REF!</v>
      </c>
      <c r="B287" s="3" t="e">
        <f>VLOOKUP(A287,'Production Plan'!B:U,15,FALSE)</f>
        <v>#REF!</v>
      </c>
      <c r="C287" s="3" t="e">
        <f>VLOOKUP(A287,'Production Plan'!B:G,5,FALSE)</f>
        <v>#REF!</v>
      </c>
    </row>
    <row r="288" spans="1:3" hidden="1">
      <c r="A288" s="3" t="e">
        <f>'Production Plan'!#REF!</f>
        <v>#REF!</v>
      </c>
      <c r="B288" s="3" t="e">
        <f>VLOOKUP(A288,'Production Plan'!B:U,15,FALSE)</f>
        <v>#REF!</v>
      </c>
      <c r="C288" s="3" t="e">
        <f>VLOOKUP(A288,'Production Plan'!B:G,5,FALSE)</f>
        <v>#REF!</v>
      </c>
    </row>
    <row r="289" spans="1:3" hidden="1">
      <c r="A289" s="3" t="e">
        <f>'Production Plan'!#REF!</f>
        <v>#REF!</v>
      </c>
      <c r="B289" s="3" t="e">
        <f>VLOOKUP(A289,'Production Plan'!B:U,15,FALSE)</f>
        <v>#REF!</v>
      </c>
      <c r="C289" s="3" t="e">
        <f>VLOOKUP(A289,'Production Plan'!B:G,5,FALSE)</f>
        <v>#REF!</v>
      </c>
    </row>
    <row r="290" spans="1:3" hidden="1">
      <c r="A290" s="3" t="str">
        <f>'Production Plan'!B219</f>
        <v>Kontrakt</v>
      </c>
      <c r="B290" s="3">
        <f>VLOOKUP(A290,'Production Plan'!B:U,15,FALSE)</f>
        <v>0</v>
      </c>
      <c r="C290" s="3" t="str">
        <f>VLOOKUP(A290,'Production Plan'!B:G,5,FALSE)</f>
        <v>Kontrakt</v>
      </c>
    </row>
    <row r="291" spans="1:3" hidden="1">
      <c r="A291" s="3">
        <f>'Production Plan'!B220</f>
        <v>0</v>
      </c>
      <c r="B291" s="3" t="e">
        <f>VLOOKUP(A291,'Production Plan'!B:U,15,FALSE)</f>
        <v>#N/A</v>
      </c>
      <c r="C291" s="3" t="e">
        <f>VLOOKUP(A291,'Production Plan'!B:G,5,FALSE)</f>
        <v>#N/A</v>
      </c>
    </row>
    <row r="292" spans="1:3" hidden="1">
      <c r="A292" s="3">
        <f>'Production Plan'!B221</f>
        <v>0</v>
      </c>
      <c r="B292" s="3" t="e">
        <f>VLOOKUP(A292,'Production Plan'!B:U,15,FALSE)</f>
        <v>#N/A</v>
      </c>
      <c r="C292" s="3" t="e">
        <f>VLOOKUP(A292,'Production Plan'!B:G,5,FALSE)</f>
        <v>#N/A</v>
      </c>
    </row>
    <row r="293" spans="1:3" hidden="1">
      <c r="A293" s="3">
        <f>'Production Plan'!B222</f>
        <v>0</v>
      </c>
      <c r="B293" s="3" t="e">
        <f>VLOOKUP(A293,'Production Plan'!B:U,15,FALSE)</f>
        <v>#N/A</v>
      </c>
      <c r="C293" s="3" t="e">
        <f>VLOOKUP(A293,'Production Plan'!B:G,5,FALSE)</f>
        <v>#N/A</v>
      </c>
    </row>
    <row r="294" spans="1:3" hidden="1">
      <c r="A294" s="3">
        <f>'Production Plan'!B223</f>
        <v>0</v>
      </c>
      <c r="B294" s="3" t="e">
        <f>VLOOKUP(A294,'Production Plan'!B:U,15,FALSE)</f>
        <v>#N/A</v>
      </c>
      <c r="C294" s="3" t="e">
        <f>VLOOKUP(A294,'Production Plan'!B:G,5,FALSE)</f>
        <v>#N/A</v>
      </c>
    </row>
    <row r="295" spans="1:3" hidden="1">
      <c r="A295" s="3">
        <f>'Production Plan'!B224</f>
        <v>0</v>
      </c>
      <c r="B295" s="3" t="e">
        <f>VLOOKUP(A295,'Production Plan'!B:U,15,FALSE)</f>
        <v>#N/A</v>
      </c>
      <c r="C295" s="3" t="e">
        <f>VLOOKUP(A295,'Production Plan'!B:G,5,FALSE)</f>
        <v>#N/A</v>
      </c>
    </row>
    <row r="296" spans="1:3" hidden="1">
      <c r="A296" s="3">
        <f>'Production Plan'!B225</f>
        <v>0</v>
      </c>
      <c r="B296" s="3" t="e">
        <f>VLOOKUP(A296,'Production Plan'!B:U,15,FALSE)</f>
        <v>#N/A</v>
      </c>
      <c r="C296" s="3" t="e">
        <f>VLOOKUP(A296,'Production Plan'!B:G,5,FALSE)</f>
        <v>#N/A</v>
      </c>
    </row>
    <row r="297" spans="1:3" hidden="1">
      <c r="A297" s="3">
        <f>'Production Plan'!B226</f>
        <v>0</v>
      </c>
      <c r="B297" s="3" t="e">
        <f>VLOOKUP(A297,'Production Plan'!B:U,15,FALSE)</f>
        <v>#N/A</v>
      </c>
      <c r="C297" s="3" t="e">
        <f>VLOOKUP(A297,'Production Plan'!B:G,5,FALSE)</f>
        <v>#N/A</v>
      </c>
    </row>
    <row r="298" spans="1:3" hidden="1">
      <c r="A298" s="3">
        <f>'Production Plan'!B227</f>
        <v>0</v>
      </c>
      <c r="B298" s="3" t="e">
        <f>VLOOKUP(A298,'Production Plan'!B:U,15,FALSE)</f>
        <v>#N/A</v>
      </c>
      <c r="C298" s="3" t="e">
        <f>VLOOKUP(A298,'Production Plan'!B:G,5,FALSE)</f>
        <v>#N/A</v>
      </c>
    </row>
    <row r="299" spans="1:3" hidden="1">
      <c r="A299" s="3">
        <f>'Production Plan'!B228</f>
        <v>0</v>
      </c>
      <c r="B299" s="3" t="e">
        <f>VLOOKUP(A299,'Production Plan'!B:U,15,FALSE)</f>
        <v>#N/A</v>
      </c>
      <c r="C299" s="3" t="e">
        <f>VLOOKUP(A299,'Production Plan'!B:G,5,FALSE)</f>
        <v>#N/A</v>
      </c>
    </row>
    <row r="300" spans="1:3" hidden="1">
      <c r="A300" s="3">
        <f>'Production Plan'!B229</f>
        <v>0</v>
      </c>
      <c r="B300" s="3" t="e">
        <f>VLOOKUP(A300,'Production Plan'!B:U,15,FALSE)</f>
        <v>#N/A</v>
      </c>
      <c r="C300" s="3" t="e">
        <f>VLOOKUP(A300,'Production Plan'!B:G,5,FALSE)</f>
        <v>#N/A</v>
      </c>
    </row>
    <row r="301" spans="1:3" hidden="1">
      <c r="A301" s="3">
        <f>'Production Plan'!B230</f>
        <v>0</v>
      </c>
      <c r="B301" s="3" t="e">
        <f>VLOOKUP(A301,'Production Plan'!B:U,15,FALSE)</f>
        <v>#N/A</v>
      </c>
      <c r="C301" s="3" t="e">
        <f>VLOOKUP(A301,'Production Plan'!B:G,5,FALSE)</f>
        <v>#N/A</v>
      </c>
    </row>
    <row r="302" spans="1:3" hidden="1">
      <c r="A302" s="3">
        <f>'Production Plan'!B231</f>
        <v>0</v>
      </c>
      <c r="B302" s="3" t="e">
        <f>VLOOKUP(A302,'Production Plan'!B:U,15,FALSE)</f>
        <v>#N/A</v>
      </c>
      <c r="C302" s="3" t="e">
        <f>VLOOKUP(A302,'Production Plan'!B:G,5,FALSE)</f>
        <v>#N/A</v>
      </c>
    </row>
    <row r="303" spans="1:3" hidden="1">
      <c r="A303" s="3">
        <f>'Production Plan'!B232</f>
        <v>0</v>
      </c>
      <c r="B303" s="3" t="e">
        <f>VLOOKUP(A303,'Production Plan'!B:U,15,FALSE)</f>
        <v>#N/A</v>
      </c>
      <c r="C303" s="3" t="e">
        <f>VLOOKUP(A303,'Production Plan'!B:G,5,FALSE)</f>
        <v>#N/A</v>
      </c>
    </row>
    <row r="304" spans="1:3" hidden="1">
      <c r="A304" s="3">
        <f>'Production Plan'!B233</f>
        <v>0</v>
      </c>
      <c r="B304" s="3" t="e">
        <f>VLOOKUP(A304,'Production Plan'!B:U,15,FALSE)</f>
        <v>#N/A</v>
      </c>
      <c r="C304" s="3" t="e">
        <f>VLOOKUP(A304,'Production Plan'!B:G,5,FALSE)</f>
        <v>#N/A</v>
      </c>
    </row>
    <row r="305" spans="1:3" hidden="1">
      <c r="A305" s="3">
        <f>'Production Plan'!B234</f>
        <v>0</v>
      </c>
      <c r="B305" s="3" t="e">
        <f>VLOOKUP(A305,'Production Plan'!B:U,15,FALSE)</f>
        <v>#N/A</v>
      </c>
      <c r="C305" s="3" t="e">
        <f>VLOOKUP(A305,'Production Plan'!B:G,5,FALSE)</f>
        <v>#N/A</v>
      </c>
    </row>
    <row r="306" spans="1:3" hidden="1">
      <c r="A306" s="3">
        <f>'Production Plan'!B235</f>
        <v>0</v>
      </c>
      <c r="B306" s="3" t="e">
        <f>VLOOKUP(A306,'Production Plan'!B:U,15,FALSE)</f>
        <v>#N/A</v>
      </c>
      <c r="C306" s="3" t="e">
        <f>VLOOKUP(A306,'Production Plan'!B:G,5,FALSE)</f>
        <v>#N/A</v>
      </c>
    </row>
    <row r="307" spans="1:3" hidden="1">
      <c r="A307" s="3">
        <f>'Production Plan'!B236</f>
        <v>0</v>
      </c>
      <c r="B307" s="3" t="e">
        <f>VLOOKUP(A307,'Production Plan'!B:U,15,FALSE)</f>
        <v>#N/A</v>
      </c>
      <c r="C307" s="3" t="e">
        <f>VLOOKUP(A307,'Production Plan'!B:G,5,FALSE)</f>
        <v>#N/A</v>
      </c>
    </row>
    <row r="308" spans="1:3" hidden="1">
      <c r="A308" s="3">
        <f>'Production Plan'!B237</f>
        <v>0</v>
      </c>
      <c r="B308" s="3" t="e">
        <f>VLOOKUP(A308,'Production Plan'!B:U,15,FALSE)</f>
        <v>#N/A</v>
      </c>
      <c r="C308" s="3" t="e">
        <f>VLOOKUP(A308,'Production Plan'!B:G,5,FALSE)</f>
        <v>#N/A</v>
      </c>
    </row>
    <row r="309" spans="1:3" hidden="1">
      <c r="A309" s="3">
        <f>'Production Plan'!B238</f>
        <v>0</v>
      </c>
      <c r="B309" s="3" t="e">
        <f>VLOOKUP(A309,'Production Plan'!B:U,15,FALSE)</f>
        <v>#N/A</v>
      </c>
      <c r="C309" s="3" t="e">
        <f>VLOOKUP(A309,'Production Plan'!B:G,5,FALSE)</f>
        <v>#N/A</v>
      </c>
    </row>
    <row r="310" spans="1:3" hidden="1">
      <c r="A310" s="3">
        <f>'Production Plan'!B239</f>
        <v>0</v>
      </c>
      <c r="B310" s="3" t="e">
        <f>VLOOKUP(A310,'Production Plan'!B:U,15,FALSE)</f>
        <v>#N/A</v>
      </c>
      <c r="C310" s="3" t="e">
        <f>VLOOKUP(A310,'Production Plan'!B:G,5,FALSE)</f>
        <v>#N/A</v>
      </c>
    </row>
    <row r="311" spans="1:3" hidden="1">
      <c r="A311" s="3">
        <f>'Production Plan'!B240</f>
        <v>0</v>
      </c>
      <c r="B311" s="3" t="e">
        <f>VLOOKUP(A311,'Production Plan'!B:U,15,FALSE)</f>
        <v>#N/A</v>
      </c>
      <c r="C311" s="3" t="e">
        <f>VLOOKUP(A311,'Production Plan'!B:G,5,FALSE)</f>
        <v>#N/A</v>
      </c>
    </row>
    <row r="312" spans="1:3" hidden="1">
      <c r="A312" s="3">
        <f>'Production Plan'!B241</f>
        <v>0</v>
      </c>
      <c r="B312" s="3" t="e">
        <f>VLOOKUP(A312,'Production Plan'!B:U,15,FALSE)</f>
        <v>#N/A</v>
      </c>
      <c r="C312" s="3" t="e">
        <f>VLOOKUP(A312,'Production Plan'!B:G,5,FALSE)</f>
        <v>#N/A</v>
      </c>
    </row>
    <row r="313" spans="1:3" hidden="1">
      <c r="A313" s="3">
        <f>'Production Plan'!B242</f>
        <v>0</v>
      </c>
      <c r="B313" s="3" t="e">
        <f>VLOOKUP(A313,'Production Plan'!B:U,15,FALSE)</f>
        <v>#N/A</v>
      </c>
      <c r="C313" s="3" t="e">
        <f>VLOOKUP(A313,'Production Plan'!B:G,5,FALSE)</f>
        <v>#N/A</v>
      </c>
    </row>
    <row r="314" spans="1:3" hidden="1">
      <c r="A314" s="3">
        <f>'Production Plan'!B243</f>
        <v>0</v>
      </c>
      <c r="B314" s="3" t="e">
        <f>VLOOKUP(A314,'Production Plan'!B:U,15,FALSE)</f>
        <v>#N/A</v>
      </c>
      <c r="C314" s="3" t="e">
        <f>VLOOKUP(A314,'Production Plan'!B:G,5,FALSE)</f>
        <v>#N/A</v>
      </c>
    </row>
    <row r="315" spans="1:3" hidden="1">
      <c r="A315" s="3">
        <f>'Production Plan'!B244</f>
        <v>0</v>
      </c>
      <c r="B315" s="3" t="e">
        <f>VLOOKUP(A315,'Production Plan'!B:U,15,FALSE)</f>
        <v>#N/A</v>
      </c>
      <c r="C315" s="3" t="e">
        <f>VLOOKUP(A315,'Production Plan'!B:G,5,FALSE)</f>
        <v>#N/A</v>
      </c>
    </row>
    <row r="316" spans="1:3" hidden="1">
      <c r="A316" s="3">
        <f>'Production Plan'!B245</f>
        <v>0</v>
      </c>
      <c r="B316" s="3" t="e">
        <f>VLOOKUP(A316,'Production Plan'!B:U,15,FALSE)</f>
        <v>#N/A</v>
      </c>
      <c r="C316" s="3" t="e">
        <f>VLOOKUP(A316,'Production Plan'!B:G,5,FALSE)</f>
        <v>#N/A</v>
      </c>
    </row>
    <row r="317" spans="1:3" hidden="1">
      <c r="A317" s="3">
        <f>'Production Plan'!B246</f>
        <v>0</v>
      </c>
      <c r="B317" s="3" t="e">
        <f>VLOOKUP(A317,'Production Plan'!B:U,15,FALSE)</f>
        <v>#N/A</v>
      </c>
      <c r="C317" s="3" t="e">
        <f>VLOOKUP(A317,'Production Plan'!B:G,5,FALSE)</f>
        <v>#N/A</v>
      </c>
    </row>
    <row r="318" spans="1:3" hidden="1">
      <c r="A318" s="3">
        <f>'Production Plan'!B247</f>
        <v>0</v>
      </c>
      <c r="B318" s="3" t="e">
        <f>VLOOKUP(A318,'Production Plan'!B:U,15,FALSE)</f>
        <v>#N/A</v>
      </c>
      <c r="C318" s="3" t="e">
        <f>VLOOKUP(A318,'Production Plan'!B:G,5,FALSE)</f>
        <v>#N/A</v>
      </c>
    </row>
    <row r="319" spans="1:3" hidden="1">
      <c r="A319" s="3">
        <f>'Production Plan'!B248</f>
        <v>0</v>
      </c>
      <c r="B319" s="3" t="e">
        <f>VLOOKUP(A319,'Production Plan'!B:U,15,FALSE)</f>
        <v>#N/A</v>
      </c>
      <c r="C319" s="3" t="e">
        <f>VLOOKUP(A319,'Production Plan'!B:G,5,FALSE)</f>
        <v>#N/A</v>
      </c>
    </row>
    <row r="320" spans="1:3" hidden="1">
      <c r="A320" s="3">
        <f>'Production Plan'!B249</f>
        <v>0</v>
      </c>
      <c r="B320" s="3" t="e">
        <f>VLOOKUP(A320,'Production Plan'!B:U,15,FALSE)</f>
        <v>#N/A</v>
      </c>
      <c r="C320" s="3" t="e">
        <f>VLOOKUP(A320,'Production Plan'!B:G,5,FALSE)</f>
        <v>#N/A</v>
      </c>
    </row>
    <row r="321" spans="1:3" hidden="1">
      <c r="A321" s="3">
        <f>'Production Plan'!B250</f>
        <v>0</v>
      </c>
      <c r="B321" s="3" t="e">
        <f>VLOOKUP(A321,'Production Plan'!B:U,15,FALSE)</f>
        <v>#N/A</v>
      </c>
      <c r="C321" s="3" t="e">
        <f>VLOOKUP(A321,'Production Plan'!B:G,5,FALSE)</f>
        <v>#N/A</v>
      </c>
    </row>
    <row r="322" spans="1:3" hidden="1">
      <c r="A322" s="3">
        <f>'Production Plan'!B251</f>
        <v>0</v>
      </c>
      <c r="B322" s="3" t="e">
        <f>VLOOKUP(A322,'Production Plan'!B:U,15,FALSE)</f>
        <v>#N/A</v>
      </c>
      <c r="C322" s="3" t="e">
        <f>VLOOKUP(A322,'Production Plan'!B:G,5,FALSE)</f>
        <v>#N/A</v>
      </c>
    </row>
    <row r="323" spans="1:3" hidden="1">
      <c r="A323" s="3">
        <f>'Production Plan'!B252</f>
        <v>0</v>
      </c>
      <c r="B323" s="3" t="e">
        <f>VLOOKUP(A323,'Production Plan'!B:U,15,FALSE)</f>
        <v>#N/A</v>
      </c>
      <c r="C323" s="3" t="e">
        <f>VLOOKUP(A323,'Production Plan'!B:G,5,FALSE)</f>
        <v>#N/A</v>
      </c>
    </row>
    <row r="324" spans="1:3" hidden="1">
      <c r="A324" s="3">
        <f>'Production Plan'!B253</f>
        <v>0</v>
      </c>
      <c r="B324" s="3" t="e">
        <f>VLOOKUP(A324,'Production Plan'!B:U,15,FALSE)</f>
        <v>#N/A</v>
      </c>
      <c r="C324" s="3" t="e">
        <f>VLOOKUP(A324,'Production Plan'!B:G,5,FALSE)</f>
        <v>#N/A</v>
      </c>
    </row>
    <row r="325" spans="1:3" hidden="1">
      <c r="A325" s="3">
        <f>'Production Plan'!B254</f>
        <v>0</v>
      </c>
      <c r="B325" s="3" t="e">
        <f>VLOOKUP(A325,'Production Plan'!B:U,15,FALSE)</f>
        <v>#N/A</v>
      </c>
      <c r="C325" s="3" t="e">
        <f>VLOOKUP(A325,'Production Plan'!B:G,5,FALSE)</f>
        <v>#N/A</v>
      </c>
    </row>
    <row r="326" spans="1:3" hidden="1">
      <c r="A326" s="3">
        <f>'Production Plan'!B255</f>
        <v>0</v>
      </c>
      <c r="B326" s="3" t="e">
        <f>VLOOKUP(A326,'Production Plan'!B:U,15,FALSE)</f>
        <v>#N/A</v>
      </c>
      <c r="C326" s="3" t="e">
        <f>VLOOKUP(A326,'Production Plan'!B:G,5,FALSE)</f>
        <v>#N/A</v>
      </c>
    </row>
    <row r="327" spans="1:3" hidden="1">
      <c r="A327" s="3">
        <f>'Production Plan'!B256</f>
        <v>0</v>
      </c>
      <c r="B327" s="3" t="e">
        <f>VLOOKUP(A327,'Production Plan'!B:U,15,FALSE)</f>
        <v>#N/A</v>
      </c>
      <c r="C327" s="3" t="e">
        <f>VLOOKUP(A327,'Production Plan'!B:G,5,FALSE)</f>
        <v>#N/A</v>
      </c>
    </row>
    <row r="328" spans="1:3" hidden="1">
      <c r="A328" s="3">
        <f>'Production Plan'!B257</f>
        <v>0</v>
      </c>
      <c r="B328" s="3" t="e">
        <f>VLOOKUP(A328,'Production Plan'!B:U,15,FALSE)</f>
        <v>#N/A</v>
      </c>
      <c r="C328" s="3" t="e">
        <f>VLOOKUP(A328,'Production Plan'!B:G,5,FALSE)</f>
        <v>#N/A</v>
      </c>
    </row>
    <row r="329" spans="1:3" hidden="1">
      <c r="A329" s="3">
        <f>'Production Plan'!B258</f>
        <v>0</v>
      </c>
      <c r="B329" s="3" t="e">
        <f>VLOOKUP(A329,'Production Plan'!B:U,15,FALSE)</f>
        <v>#N/A</v>
      </c>
      <c r="C329" s="3" t="e">
        <f>VLOOKUP(A329,'Production Plan'!B:G,5,FALSE)</f>
        <v>#N/A</v>
      </c>
    </row>
    <row r="330" spans="1:3" hidden="1">
      <c r="A330" s="3">
        <f>'Production Plan'!B259</f>
        <v>0</v>
      </c>
      <c r="B330" s="3" t="e">
        <f>VLOOKUP(A330,'Production Plan'!B:U,15,FALSE)</f>
        <v>#N/A</v>
      </c>
      <c r="C330" s="3" t="e">
        <f>VLOOKUP(A330,'Production Plan'!B:G,5,FALSE)</f>
        <v>#N/A</v>
      </c>
    </row>
    <row r="331" spans="1:3" hidden="1">
      <c r="A331" s="3">
        <f>'Production Plan'!B260</f>
        <v>0</v>
      </c>
      <c r="B331" s="3" t="e">
        <f>VLOOKUP(A331,'Production Plan'!B:U,15,FALSE)</f>
        <v>#N/A</v>
      </c>
      <c r="C331" s="3" t="e">
        <f>VLOOKUP(A331,'Production Plan'!B:G,5,FALSE)</f>
        <v>#N/A</v>
      </c>
    </row>
    <row r="332" spans="1:3" hidden="1">
      <c r="A332" s="3">
        <f>'Production Plan'!B261</f>
        <v>0</v>
      </c>
      <c r="B332" s="3" t="e">
        <f>VLOOKUP(A332,'Production Plan'!B:U,15,FALSE)</f>
        <v>#N/A</v>
      </c>
      <c r="C332" s="3" t="e">
        <f>VLOOKUP(A332,'Production Plan'!B:G,5,FALSE)</f>
        <v>#N/A</v>
      </c>
    </row>
    <row r="333" spans="1:3" hidden="1">
      <c r="A333" s="3">
        <f>'Production Plan'!B262</f>
        <v>0</v>
      </c>
      <c r="B333" s="3" t="e">
        <f>VLOOKUP(A333,'Production Plan'!B:U,15,FALSE)</f>
        <v>#N/A</v>
      </c>
      <c r="C333" s="3" t="e">
        <f>VLOOKUP(A333,'Production Plan'!B:G,5,FALSE)</f>
        <v>#N/A</v>
      </c>
    </row>
    <row r="334" spans="1:3" hidden="1">
      <c r="A334" s="3">
        <f>'Production Plan'!B263</f>
        <v>0</v>
      </c>
      <c r="B334" s="3" t="e">
        <f>VLOOKUP(A334,'Production Plan'!B:U,15,FALSE)</f>
        <v>#N/A</v>
      </c>
      <c r="C334" s="3" t="e">
        <f>VLOOKUP(A334,'Production Plan'!B:G,5,FALSE)</f>
        <v>#N/A</v>
      </c>
    </row>
    <row r="335" spans="1:3" hidden="1">
      <c r="A335" s="3">
        <f>'Production Plan'!B264</f>
        <v>0</v>
      </c>
      <c r="B335" s="3" t="e">
        <f>VLOOKUP(A335,'Production Plan'!B:U,15,FALSE)</f>
        <v>#N/A</v>
      </c>
      <c r="C335" s="3" t="e">
        <f>VLOOKUP(A335,'Production Plan'!B:G,5,FALSE)</f>
        <v>#N/A</v>
      </c>
    </row>
    <row r="336" spans="1:3" hidden="1">
      <c r="A336" s="3">
        <f>'Production Plan'!B265</f>
        <v>0</v>
      </c>
      <c r="B336" s="3" t="e">
        <f>VLOOKUP(A336,'Production Plan'!B:U,15,FALSE)</f>
        <v>#N/A</v>
      </c>
      <c r="C336" s="3" t="e">
        <f>VLOOKUP(A336,'Production Plan'!B:G,5,FALSE)</f>
        <v>#N/A</v>
      </c>
    </row>
    <row r="337" spans="1:3" hidden="1">
      <c r="A337" s="3">
        <f>'Production Plan'!B266</f>
        <v>0</v>
      </c>
      <c r="B337" s="3" t="e">
        <f>VLOOKUP(A337,'Production Plan'!B:U,15,FALSE)</f>
        <v>#N/A</v>
      </c>
      <c r="C337" s="3" t="e">
        <f>VLOOKUP(A337,'Production Plan'!B:G,5,FALSE)</f>
        <v>#N/A</v>
      </c>
    </row>
    <row r="338" spans="1:3" hidden="1">
      <c r="A338" s="3">
        <f>'Production Plan'!B267</f>
        <v>0</v>
      </c>
      <c r="B338" s="3" t="e">
        <f>VLOOKUP(A338,'Production Plan'!B:U,15,FALSE)</f>
        <v>#N/A</v>
      </c>
      <c r="C338" s="3" t="e">
        <f>VLOOKUP(A338,'Production Plan'!B:G,5,FALSE)</f>
        <v>#N/A</v>
      </c>
    </row>
    <row r="339" spans="1:3" hidden="1">
      <c r="A339" s="3">
        <f>'Production Plan'!B268</f>
        <v>0</v>
      </c>
      <c r="B339" s="3" t="e">
        <f>VLOOKUP(A339,'Production Plan'!B:U,15,FALSE)</f>
        <v>#N/A</v>
      </c>
      <c r="C339" s="3" t="e">
        <f>VLOOKUP(A339,'Production Plan'!B:G,5,FALSE)</f>
        <v>#N/A</v>
      </c>
    </row>
    <row r="340" spans="1:3" hidden="1">
      <c r="A340" s="3">
        <f>'Production Plan'!B269</f>
        <v>0</v>
      </c>
      <c r="B340" s="3" t="e">
        <f>VLOOKUP(A340,'Production Plan'!B:U,15,FALSE)</f>
        <v>#N/A</v>
      </c>
      <c r="C340" s="3" t="e">
        <f>VLOOKUP(A340,'Production Plan'!B:G,5,FALSE)</f>
        <v>#N/A</v>
      </c>
    </row>
    <row r="341" spans="1:3" hidden="1">
      <c r="A341" s="3">
        <f>'Production Plan'!B270</f>
        <v>0</v>
      </c>
      <c r="B341" s="3" t="e">
        <f>VLOOKUP(A341,'Production Plan'!B:U,15,FALSE)</f>
        <v>#N/A</v>
      </c>
      <c r="C341" s="3" t="e">
        <f>VLOOKUP(A341,'Production Plan'!B:G,5,FALSE)</f>
        <v>#N/A</v>
      </c>
    </row>
    <row r="342" spans="1:3" hidden="1">
      <c r="A342" s="3">
        <f>'Production Plan'!B271</f>
        <v>0</v>
      </c>
      <c r="B342" s="3" t="e">
        <f>VLOOKUP(A342,'Production Plan'!B:U,15,FALSE)</f>
        <v>#N/A</v>
      </c>
      <c r="C342" s="3" t="e">
        <f>VLOOKUP(A342,'Production Plan'!B:G,5,FALSE)</f>
        <v>#N/A</v>
      </c>
    </row>
    <row r="343" spans="1:3" hidden="1">
      <c r="A343" s="3">
        <f>'Production Plan'!B272</f>
        <v>0</v>
      </c>
      <c r="B343" s="3" t="e">
        <f>VLOOKUP(A343,'Production Plan'!B:U,15,FALSE)</f>
        <v>#N/A</v>
      </c>
      <c r="C343" s="3" t="e">
        <f>VLOOKUP(A343,'Production Plan'!B:G,5,FALSE)</f>
        <v>#N/A</v>
      </c>
    </row>
    <row r="344" spans="1:3" hidden="1">
      <c r="A344" s="3">
        <f>'Production Plan'!B273</f>
        <v>0</v>
      </c>
      <c r="B344" s="3" t="e">
        <f>VLOOKUP(A344,'Production Plan'!B:U,15,FALSE)</f>
        <v>#N/A</v>
      </c>
      <c r="C344" s="3" t="e">
        <f>VLOOKUP(A344,'Production Plan'!B:G,5,FALSE)</f>
        <v>#N/A</v>
      </c>
    </row>
    <row r="345" spans="1:3" hidden="1">
      <c r="A345" s="3">
        <f>'Production Plan'!B274</f>
        <v>0</v>
      </c>
      <c r="B345" s="3" t="e">
        <f>VLOOKUP(A345,'Production Plan'!B:U,15,FALSE)</f>
        <v>#N/A</v>
      </c>
      <c r="C345" s="3" t="e">
        <f>VLOOKUP(A345,'Production Plan'!B:G,5,FALSE)</f>
        <v>#N/A</v>
      </c>
    </row>
    <row r="346" spans="1:3" hidden="1">
      <c r="A346" s="3">
        <f>'Production Plan'!B275</f>
        <v>0</v>
      </c>
      <c r="B346" s="3" t="e">
        <f>VLOOKUP(A346,'Production Plan'!B:U,15,FALSE)</f>
        <v>#N/A</v>
      </c>
      <c r="C346" s="3" t="e">
        <f>VLOOKUP(A346,'Production Plan'!B:G,5,FALSE)</f>
        <v>#N/A</v>
      </c>
    </row>
    <row r="347" spans="1:3" hidden="1">
      <c r="A347" s="3">
        <f>'Production Plan'!B276</f>
        <v>0</v>
      </c>
      <c r="B347" s="3" t="e">
        <f>VLOOKUP(A347,'Production Plan'!B:U,15,FALSE)</f>
        <v>#N/A</v>
      </c>
      <c r="C347" s="3" t="e">
        <f>VLOOKUP(A347,'Production Plan'!B:G,5,FALSE)</f>
        <v>#N/A</v>
      </c>
    </row>
    <row r="348" spans="1:3" hidden="1">
      <c r="A348" s="3">
        <f>'Production Plan'!B277</f>
        <v>0</v>
      </c>
      <c r="B348" s="3" t="e">
        <f>VLOOKUP(A348,'Production Plan'!B:U,15,FALSE)</f>
        <v>#N/A</v>
      </c>
      <c r="C348" s="3" t="e">
        <f>VLOOKUP(A348,'Production Plan'!B:G,5,FALSE)</f>
        <v>#N/A</v>
      </c>
    </row>
    <row r="349" spans="1:3" hidden="1">
      <c r="A349" s="3">
        <f>'Production Plan'!B278</f>
        <v>0</v>
      </c>
      <c r="B349" s="3" t="e">
        <f>VLOOKUP(A349,'Production Plan'!B:U,15,FALSE)</f>
        <v>#N/A</v>
      </c>
      <c r="C349" s="3" t="e">
        <f>VLOOKUP(A349,'Production Plan'!B:G,5,FALSE)</f>
        <v>#N/A</v>
      </c>
    </row>
    <row r="350" spans="1:3" hidden="1">
      <c r="A350" s="3">
        <f>'Production Plan'!B279</f>
        <v>0</v>
      </c>
      <c r="B350" s="3" t="e">
        <f>VLOOKUP(A350,'Production Plan'!B:U,15,FALSE)</f>
        <v>#N/A</v>
      </c>
      <c r="C350" s="3" t="e">
        <f>VLOOKUP(A350,'Production Plan'!B:G,5,FALSE)</f>
        <v>#N/A</v>
      </c>
    </row>
    <row r="351" spans="1:3" hidden="1">
      <c r="A351" s="3">
        <f>'Production Plan'!B280</f>
        <v>0</v>
      </c>
      <c r="B351" s="3" t="e">
        <f>VLOOKUP(A351,'Production Plan'!B:U,15,FALSE)</f>
        <v>#N/A</v>
      </c>
      <c r="C351" s="3" t="e">
        <f>VLOOKUP(A351,'Production Plan'!B:G,5,FALSE)</f>
        <v>#N/A</v>
      </c>
    </row>
    <row r="352" spans="1:3" hidden="1">
      <c r="A352" s="3">
        <f>'Production Plan'!B281</f>
        <v>0</v>
      </c>
      <c r="B352" s="3" t="e">
        <f>VLOOKUP(A352,'Production Plan'!B:U,15,FALSE)</f>
        <v>#N/A</v>
      </c>
      <c r="C352" s="3" t="e">
        <f>VLOOKUP(A352,'Production Plan'!B:G,5,FALSE)</f>
        <v>#N/A</v>
      </c>
    </row>
    <row r="353" spans="1:3" hidden="1">
      <c r="A353" s="3">
        <f>'Production Plan'!B282</f>
        <v>0</v>
      </c>
      <c r="B353" s="3" t="e">
        <f>VLOOKUP(A353,'Production Plan'!B:U,15,FALSE)</f>
        <v>#N/A</v>
      </c>
      <c r="C353" s="3" t="e">
        <f>VLOOKUP(A353,'Production Plan'!B:G,5,FALSE)</f>
        <v>#N/A</v>
      </c>
    </row>
    <row r="354" spans="1:3" hidden="1">
      <c r="A354" s="3">
        <f>'Production Plan'!B283</f>
        <v>0</v>
      </c>
      <c r="B354" s="3" t="e">
        <f>VLOOKUP(A354,'Production Plan'!B:U,15,FALSE)</f>
        <v>#N/A</v>
      </c>
      <c r="C354" s="3" t="e">
        <f>VLOOKUP(A354,'Production Plan'!B:G,5,FALSE)</f>
        <v>#N/A</v>
      </c>
    </row>
    <row r="355" spans="1:3" hidden="1">
      <c r="A355" s="3">
        <f>'Production Plan'!B284</f>
        <v>0</v>
      </c>
      <c r="B355" s="3" t="e">
        <f>VLOOKUP(A355,'Production Plan'!B:U,15,FALSE)</f>
        <v>#N/A</v>
      </c>
      <c r="C355" s="3" t="e">
        <f>VLOOKUP(A355,'Production Plan'!B:G,5,FALSE)</f>
        <v>#N/A</v>
      </c>
    </row>
    <row r="356" spans="1:3" hidden="1">
      <c r="A356" s="3">
        <f>'Production Plan'!B285</f>
        <v>0</v>
      </c>
      <c r="B356" s="3" t="e">
        <f>VLOOKUP(A356,'Production Plan'!B:U,15,FALSE)</f>
        <v>#N/A</v>
      </c>
      <c r="C356" s="3" t="e">
        <f>VLOOKUP(A356,'Production Plan'!B:G,5,FALSE)</f>
        <v>#N/A</v>
      </c>
    </row>
    <row r="357" spans="1:3" hidden="1">
      <c r="A357" s="3">
        <f>'Production Plan'!B286</f>
        <v>0</v>
      </c>
      <c r="B357" s="3" t="e">
        <f>VLOOKUP(A357,'Production Plan'!B:U,15,FALSE)</f>
        <v>#N/A</v>
      </c>
      <c r="C357" s="3" t="e">
        <f>VLOOKUP(A357,'Production Plan'!B:G,5,FALSE)</f>
        <v>#N/A</v>
      </c>
    </row>
    <row r="358" spans="1:3" hidden="1">
      <c r="A358" s="3">
        <f>'Production Plan'!B287</f>
        <v>0</v>
      </c>
      <c r="B358" s="3" t="e">
        <f>VLOOKUP(A358,'Production Plan'!B:U,15,FALSE)</f>
        <v>#N/A</v>
      </c>
      <c r="C358" s="3" t="e">
        <f>VLOOKUP(A358,'Production Plan'!B:G,5,FALSE)</f>
        <v>#N/A</v>
      </c>
    </row>
    <row r="359" spans="1:3" hidden="1">
      <c r="A359" s="3">
        <f>'Production Plan'!B288</f>
        <v>0</v>
      </c>
      <c r="B359" s="3" t="e">
        <f>VLOOKUP(A359,'Production Plan'!B:U,15,FALSE)</f>
        <v>#N/A</v>
      </c>
      <c r="C359" s="3" t="e">
        <f>VLOOKUP(A359,'Production Plan'!B:G,5,FALSE)</f>
        <v>#N/A</v>
      </c>
    </row>
    <row r="360" spans="1:3" hidden="1">
      <c r="A360" s="3">
        <f>'Production Plan'!B289</f>
        <v>0</v>
      </c>
      <c r="B360" s="3" t="e">
        <f>VLOOKUP(A360,'Production Plan'!B:U,15,FALSE)</f>
        <v>#N/A</v>
      </c>
      <c r="C360" s="3" t="e">
        <f>VLOOKUP(A360,'Production Plan'!B:G,5,FALSE)</f>
        <v>#N/A</v>
      </c>
    </row>
    <row r="361" spans="1:3" hidden="1">
      <c r="A361" s="3">
        <f>'Production Plan'!B290</f>
        <v>0</v>
      </c>
      <c r="B361" s="3" t="e">
        <f>VLOOKUP(A361,'Production Plan'!B:U,15,FALSE)</f>
        <v>#N/A</v>
      </c>
      <c r="C361" s="3" t="e">
        <f>VLOOKUP(A361,'Production Plan'!B:G,5,FALSE)</f>
        <v>#N/A</v>
      </c>
    </row>
    <row r="362" spans="1:3" hidden="1">
      <c r="A362" s="3">
        <f>'Production Plan'!B291</f>
        <v>0</v>
      </c>
      <c r="B362" s="3" t="e">
        <f>VLOOKUP(A362,'Production Plan'!B:U,15,FALSE)</f>
        <v>#N/A</v>
      </c>
      <c r="C362" s="3" t="e">
        <f>VLOOKUP(A362,'Production Plan'!B:G,5,FALSE)</f>
        <v>#N/A</v>
      </c>
    </row>
    <row r="363" spans="1:3" hidden="1">
      <c r="A363" s="3">
        <f>'Production Plan'!B292</f>
        <v>0</v>
      </c>
      <c r="B363" s="3" t="e">
        <f>VLOOKUP(A363,'Production Plan'!B:U,15,FALSE)</f>
        <v>#N/A</v>
      </c>
      <c r="C363" s="3" t="e">
        <f>VLOOKUP(A363,'Production Plan'!B:G,5,FALSE)</f>
        <v>#N/A</v>
      </c>
    </row>
    <row r="364" spans="1:3" hidden="1">
      <c r="A364" s="3">
        <f>'Production Plan'!B293</f>
        <v>0</v>
      </c>
      <c r="B364" s="3" t="e">
        <f>VLOOKUP(A364,'Production Plan'!B:U,15,FALSE)</f>
        <v>#N/A</v>
      </c>
      <c r="C364" s="3" t="e">
        <f>VLOOKUP(A364,'Production Plan'!B:G,5,FALSE)</f>
        <v>#N/A</v>
      </c>
    </row>
    <row r="365" spans="1:3" hidden="1">
      <c r="A365" s="3">
        <f>'Production Plan'!B294</f>
        <v>0</v>
      </c>
      <c r="B365" s="3" t="e">
        <f>VLOOKUP(A365,'Production Plan'!B:U,15,FALSE)</f>
        <v>#N/A</v>
      </c>
      <c r="C365" s="3" t="e">
        <f>VLOOKUP(A365,'Production Plan'!B:G,5,FALSE)</f>
        <v>#N/A</v>
      </c>
    </row>
    <row r="366" spans="1:3" hidden="1">
      <c r="A366" s="3">
        <f>'Production Plan'!B295</f>
        <v>0</v>
      </c>
      <c r="B366" s="3" t="e">
        <f>VLOOKUP(A366,'Production Plan'!B:U,15,FALSE)</f>
        <v>#N/A</v>
      </c>
      <c r="C366" s="3" t="e">
        <f>VLOOKUP(A366,'Production Plan'!B:G,5,FALSE)</f>
        <v>#N/A</v>
      </c>
    </row>
    <row r="367" spans="1:3" hidden="1">
      <c r="A367" s="3">
        <f>'Production Plan'!B296</f>
        <v>0</v>
      </c>
      <c r="B367" s="3" t="e">
        <f>VLOOKUP(A367,'Production Plan'!B:U,15,FALSE)</f>
        <v>#N/A</v>
      </c>
      <c r="C367" s="3" t="e">
        <f>VLOOKUP(A367,'Production Plan'!B:G,5,FALSE)</f>
        <v>#N/A</v>
      </c>
    </row>
    <row r="368" spans="1:3" hidden="1">
      <c r="A368" s="3">
        <f>'Production Plan'!B297</f>
        <v>0</v>
      </c>
      <c r="B368" s="3" t="e">
        <f>VLOOKUP(A368,'Production Plan'!B:U,15,FALSE)</f>
        <v>#N/A</v>
      </c>
      <c r="C368" s="3" t="e">
        <f>VLOOKUP(A368,'Production Plan'!B:G,5,FALSE)</f>
        <v>#N/A</v>
      </c>
    </row>
    <row r="369" spans="1:3" hidden="1">
      <c r="A369" s="3">
        <f>'Production Plan'!B298</f>
        <v>0</v>
      </c>
      <c r="B369" s="3" t="e">
        <f>VLOOKUP(A369,'Production Plan'!B:U,15,FALSE)</f>
        <v>#N/A</v>
      </c>
      <c r="C369" s="3" t="e">
        <f>VLOOKUP(A369,'Production Plan'!B:G,5,FALSE)</f>
        <v>#N/A</v>
      </c>
    </row>
    <row r="370" spans="1:3" hidden="1">
      <c r="A370" s="3">
        <f>'Production Plan'!B299</f>
        <v>0</v>
      </c>
      <c r="B370" s="3" t="e">
        <f>VLOOKUP(A370,'Production Plan'!B:U,15,FALSE)</f>
        <v>#N/A</v>
      </c>
      <c r="C370" s="3" t="e">
        <f>VLOOKUP(A370,'Production Plan'!B:G,5,FALSE)</f>
        <v>#N/A</v>
      </c>
    </row>
    <row r="371" spans="1:3" hidden="1">
      <c r="A371" s="3">
        <f>'Production Plan'!B300</f>
        <v>0</v>
      </c>
      <c r="B371" s="3" t="e">
        <f>VLOOKUP(A371,'Production Plan'!B:U,15,FALSE)</f>
        <v>#N/A</v>
      </c>
      <c r="C371" s="3" t="e">
        <f>VLOOKUP(A371,'Production Plan'!B:G,5,FALSE)</f>
        <v>#N/A</v>
      </c>
    </row>
    <row r="372" spans="1:3" hidden="1">
      <c r="A372" s="3">
        <f>'Production Plan'!B301</f>
        <v>0</v>
      </c>
      <c r="B372" s="3" t="e">
        <f>VLOOKUP(A372,'Production Plan'!B:U,15,FALSE)</f>
        <v>#N/A</v>
      </c>
      <c r="C372" s="3" t="e">
        <f>VLOOKUP(A372,'Production Plan'!B:G,5,FALSE)</f>
        <v>#N/A</v>
      </c>
    </row>
    <row r="373" spans="1:3" hidden="1">
      <c r="A373" s="3">
        <f>'Production Plan'!B302</f>
        <v>0</v>
      </c>
      <c r="B373" s="3" t="e">
        <f>VLOOKUP(A373,'Production Plan'!B:U,15,FALSE)</f>
        <v>#N/A</v>
      </c>
      <c r="C373" s="3" t="e">
        <f>VLOOKUP(A373,'Production Plan'!B:G,5,FALSE)</f>
        <v>#N/A</v>
      </c>
    </row>
    <row r="374" spans="1:3" hidden="1">
      <c r="A374" s="3">
        <f>'Production Plan'!B303</f>
        <v>0</v>
      </c>
      <c r="B374" s="3" t="e">
        <f>VLOOKUP(A374,'Production Plan'!B:U,15,FALSE)</f>
        <v>#N/A</v>
      </c>
      <c r="C374" s="3" t="e">
        <f>VLOOKUP(A374,'Production Plan'!B:G,5,FALSE)</f>
        <v>#N/A</v>
      </c>
    </row>
    <row r="375" spans="1:3" hidden="1">
      <c r="A375" s="3">
        <f>'Production Plan'!B304</f>
        <v>0</v>
      </c>
      <c r="B375" s="3" t="e">
        <f>VLOOKUP(A375,'Production Plan'!B:U,15,FALSE)</f>
        <v>#N/A</v>
      </c>
      <c r="C375" s="3" t="e">
        <f>VLOOKUP(A375,'Production Plan'!B:G,5,FALSE)</f>
        <v>#N/A</v>
      </c>
    </row>
    <row r="376" spans="1:3" hidden="1">
      <c r="A376" s="3">
        <f>'Production Plan'!B305</f>
        <v>0</v>
      </c>
      <c r="B376" s="3" t="e">
        <f>VLOOKUP(A376,'Production Plan'!B:U,15,FALSE)</f>
        <v>#N/A</v>
      </c>
      <c r="C376" s="3" t="e">
        <f>VLOOKUP(A376,'Production Plan'!B:G,5,FALSE)</f>
        <v>#N/A</v>
      </c>
    </row>
    <row r="377" spans="1:3" hidden="1">
      <c r="A377" s="3">
        <f>'Production Plan'!B306</f>
        <v>0</v>
      </c>
      <c r="B377" s="3" t="e">
        <f>VLOOKUP(A377,'Production Plan'!B:U,15,FALSE)</f>
        <v>#N/A</v>
      </c>
      <c r="C377" s="3" t="e">
        <f>VLOOKUP(A377,'Production Plan'!B:G,5,FALSE)</f>
        <v>#N/A</v>
      </c>
    </row>
    <row r="378" spans="1:3" hidden="1">
      <c r="A378" s="3">
        <f>'Production Plan'!B307</f>
        <v>0</v>
      </c>
      <c r="B378" s="3" t="e">
        <f>VLOOKUP(A378,'Production Plan'!B:U,15,FALSE)</f>
        <v>#N/A</v>
      </c>
      <c r="C378" s="3" t="e">
        <f>VLOOKUP(A378,'Production Plan'!B:G,5,FALSE)</f>
        <v>#N/A</v>
      </c>
    </row>
    <row r="379" spans="1:3" hidden="1">
      <c r="A379" s="3">
        <f>'Production Plan'!B308</f>
        <v>0</v>
      </c>
      <c r="B379" s="3" t="e">
        <f>VLOOKUP(A379,'Production Plan'!B:U,15,FALSE)</f>
        <v>#N/A</v>
      </c>
      <c r="C379" s="3" t="e">
        <f>VLOOKUP(A379,'Production Plan'!B:G,5,FALSE)</f>
        <v>#N/A</v>
      </c>
    </row>
    <row r="380" spans="1:3" hidden="1">
      <c r="A380" s="3">
        <f>'Production Plan'!B309</f>
        <v>0</v>
      </c>
      <c r="B380" s="3" t="e">
        <f>VLOOKUP(A380,'Production Plan'!B:U,15,FALSE)</f>
        <v>#N/A</v>
      </c>
      <c r="C380" s="3" t="e">
        <f>VLOOKUP(A380,'Production Plan'!B:G,5,FALSE)</f>
        <v>#N/A</v>
      </c>
    </row>
    <row r="381" spans="1:3" hidden="1">
      <c r="A381" s="3">
        <f>'Production Plan'!B310</f>
        <v>0</v>
      </c>
      <c r="B381" s="3" t="e">
        <f>VLOOKUP(A381,'Production Plan'!B:U,15,FALSE)</f>
        <v>#N/A</v>
      </c>
      <c r="C381" s="3" t="e">
        <f>VLOOKUP(A381,'Production Plan'!B:G,5,FALSE)</f>
        <v>#N/A</v>
      </c>
    </row>
    <row r="382" spans="1:3" hidden="1">
      <c r="A382" s="3">
        <f>'Production Plan'!B311</f>
        <v>0</v>
      </c>
      <c r="B382" s="3" t="e">
        <f>VLOOKUP(A382,'Production Plan'!B:U,15,FALSE)</f>
        <v>#N/A</v>
      </c>
      <c r="C382" s="3" t="e">
        <f>VLOOKUP(A382,'Production Plan'!B:G,5,FALSE)</f>
        <v>#N/A</v>
      </c>
    </row>
    <row r="383" spans="1:3" hidden="1">
      <c r="A383" s="3">
        <f>'Production Plan'!B312</f>
        <v>0</v>
      </c>
      <c r="B383" s="3" t="e">
        <f>VLOOKUP(A383,'Production Plan'!B:U,15,FALSE)</f>
        <v>#N/A</v>
      </c>
      <c r="C383" s="3" t="e">
        <f>VLOOKUP(A383,'Production Plan'!B:G,5,FALSE)</f>
        <v>#N/A</v>
      </c>
    </row>
    <row r="384" spans="1:3" hidden="1">
      <c r="A384" s="3">
        <f>'Production Plan'!B313</f>
        <v>0</v>
      </c>
      <c r="B384" s="3" t="e">
        <f>VLOOKUP(A384,'Production Plan'!B:U,15,FALSE)</f>
        <v>#N/A</v>
      </c>
      <c r="C384" s="3" t="e">
        <f>VLOOKUP(A384,'Production Plan'!B:G,5,FALSE)</f>
        <v>#N/A</v>
      </c>
    </row>
    <row r="385" spans="1:3" hidden="1">
      <c r="A385" s="3">
        <f>'Production Plan'!B314</f>
        <v>0</v>
      </c>
      <c r="B385" s="3" t="e">
        <f>VLOOKUP(A385,'Production Plan'!B:U,15,FALSE)</f>
        <v>#N/A</v>
      </c>
      <c r="C385" s="3" t="e">
        <f>VLOOKUP(A385,'Production Plan'!B:G,5,FALSE)</f>
        <v>#N/A</v>
      </c>
    </row>
    <row r="386" spans="1:3" hidden="1">
      <c r="A386" s="3">
        <f>'Production Plan'!B315</f>
        <v>0</v>
      </c>
      <c r="B386" s="3" t="e">
        <f>VLOOKUP(A386,'Production Plan'!B:U,15,FALSE)</f>
        <v>#N/A</v>
      </c>
      <c r="C386" s="3" t="e">
        <f>VLOOKUP(A386,'Production Plan'!B:G,5,FALSE)</f>
        <v>#N/A</v>
      </c>
    </row>
    <row r="387" spans="1:3" hidden="1">
      <c r="A387" s="3">
        <f>'Production Plan'!B316</f>
        <v>0</v>
      </c>
      <c r="B387" s="3" t="e">
        <f>VLOOKUP(A387,'Production Plan'!B:U,15,FALSE)</f>
        <v>#N/A</v>
      </c>
      <c r="C387" s="3" t="e">
        <f>VLOOKUP(A387,'Production Plan'!B:G,5,FALSE)</f>
        <v>#N/A</v>
      </c>
    </row>
    <row r="388" spans="1:3" hidden="1">
      <c r="A388" s="3">
        <f>'Production Plan'!B317</f>
        <v>0</v>
      </c>
      <c r="B388" s="3" t="e">
        <f>VLOOKUP(A388,'Production Plan'!B:U,15,FALSE)</f>
        <v>#N/A</v>
      </c>
      <c r="C388" s="3" t="e">
        <f>VLOOKUP(A388,'Production Plan'!B:G,5,FALSE)</f>
        <v>#N/A</v>
      </c>
    </row>
    <row r="389" spans="1:3" hidden="1">
      <c r="A389" s="3">
        <f>'Production Plan'!B318</f>
        <v>0</v>
      </c>
      <c r="B389" s="3" t="e">
        <f>VLOOKUP(A389,'Production Plan'!B:U,15,FALSE)</f>
        <v>#N/A</v>
      </c>
      <c r="C389" s="3" t="e">
        <f>VLOOKUP(A389,'Production Plan'!B:G,5,FALSE)</f>
        <v>#N/A</v>
      </c>
    </row>
    <row r="390" spans="1:3" hidden="1">
      <c r="A390" s="3">
        <f>'Production Plan'!B319</f>
        <v>0</v>
      </c>
      <c r="B390" s="3" t="e">
        <f>VLOOKUP(A390,'Production Plan'!B:U,15,FALSE)</f>
        <v>#N/A</v>
      </c>
      <c r="C390" s="3" t="e">
        <f>VLOOKUP(A390,'Production Plan'!B:G,5,FALSE)</f>
        <v>#N/A</v>
      </c>
    </row>
    <row r="391" spans="1:3" hidden="1">
      <c r="A391" s="3">
        <f>'Production Plan'!B320</f>
        <v>0</v>
      </c>
      <c r="B391" s="3" t="e">
        <f>VLOOKUP(A391,'Production Plan'!B:U,15,FALSE)</f>
        <v>#N/A</v>
      </c>
      <c r="C391" s="3" t="e">
        <f>VLOOKUP(A391,'Production Plan'!B:G,5,FALSE)</f>
        <v>#N/A</v>
      </c>
    </row>
    <row r="392" spans="1:3" hidden="1">
      <c r="A392" s="3">
        <f>'Production Plan'!B321</f>
        <v>0</v>
      </c>
      <c r="B392" s="3" t="e">
        <f>VLOOKUP(A392,'Production Plan'!B:U,15,FALSE)</f>
        <v>#N/A</v>
      </c>
      <c r="C392" s="3" t="e">
        <f>VLOOKUP(A392,'Production Plan'!B:G,5,FALSE)</f>
        <v>#N/A</v>
      </c>
    </row>
    <row r="393" spans="1:3" hidden="1">
      <c r="A393" s="3">
        <f>'Production Plan'!B322</f>
        <v>0</v>
      </c>
      <c r="B393" s="3" t="e">
        <f>VLOOKUP(A393,'Production Plan'!B:U,15,FALSE)</f>
        <v>#N/A</v>
      </c>
      <c r="C393" s="3" t="e">
        <f>VLOOKUP(A393,'Production Plan'!B:G,5,FALSE)</f>
        <v>#N/A</v>
      </c>
    </row>
    <row r="394" spans="1:3" hidden="1">
      <c r="A394" s="3">
        <f>'Production Plan'!B323</f>
        <v>0</v>
      </c>
      <c r="B394" s="3" t="e">
        <f>VLOOKUP(A394,'Production Plan'!B:U,15,FALSE)</f>
        <v>#N/A</v>
      </c>
      <c r="C394" s="3" t="e">
        <f>VLOOKUP(A394,'Production Plan'!B:G,5,FALSE)</f>
        <v>#N/A</v>
      </c>
    </row>
    <row r="395" spans="1:3" hidden="1">
      <c r="A395" s="3">
        <f>'Production Plan'!B324</f>
        <v>0</v>
      </c>
      <c r="B395" s="3" t="e">
        <f>VLOOKUP(A395,'Production Plan'!B:U,15,FALSE)</f>
        <v>#N/A</v>
      </c>
      <c r="C395" s="3" t="e">
        <f>VLOOKUP(A395,'Production Plan'!B:G,5,FALSE)</f>
        <v>#N/A</v>
      </c>
    </row>
    <row r="396" spans="1:3" hidden="1">
      <c r="A396" s="3">
        <f>'Production Plan'!B325</f>
        <v>0</v>
      </c>
      <c r="B396" s="3" t="e">
        <f>VLOOKUP(A396,'Production Plan'!B:U,15,FALSE)</f>
        <v>#N/A</v>
      </c>
      <c r="C396" s="3" t="e">
        <f>VLOOKUP(A396,'Production Plan'!B:G,5,FALSE)</f>
        <v>#N/A</v>
      </c>
    </row>
    <row r="397" spans="1:3" hidden="1">
      <c r="A397" s="3">
        <f>'Production Plan'!B326</f>
        <v>0</v>
      </c>
      <c r="B397" s="3" t="e">
        <f>VLOOKUP(A397,'Production Plan'!B:U,15,FALSE)</f>
        <v>#N/A</v>
      </c>
      <c r="C397" s="3" t="e">
        <f>VLOOKUP(A397,'Production Plan'!B:G,5,FALSE)</f>
        <v>#N/A</v>
      </c>
    </row>
    <row r="398" spans="1:3" hidden="1">
      <c r="A398" s="3">
        <f>'Production Plan'!B327</f>
        <v>0</v>
      </c>
      <c r="B398" s="3" t="e">
        <f>VLOOKUP(A398,'Production Plan'!B:U,15,FALSE)</f>
        <v>#N/A</v>
      </c>
      <c r="C398" s="3" t="e">
        <f>VLOOKUP(A398,'Production Plan'!B:G,5,FALSE)</f>
        <v>#N/A</v>
      </c>
    </row>
    <row r="399" spans="1:3" hidden="1">
      <c r="A399" s="3">
        <f>'Production Plan'!B328</f>
        <v>0</v>
      </c>
      <c r="B399" s="3" t="e">
        <f>VLOOKUP(A399,'Production Plan'!B:U,15,FALSE)</f>
        <v>#N/A</v>
      </c>
      <c r="C399" s="3" t="e">
        <f>VLOOKUP(A399,'Production Plan'!B:G,5,FALSE)</f>
        <v>#N/A</v>
      </c>
    </row>
    <row r="400" spans="1:3" hidden="1">
      <c r="A400" s="3">
        <f>'Production Plan'!B329</f>
        <v>0</v>
      </c>
      <c r="B400" s="3" t="e">
        <f>VLOOKUP(A400,'Production Plan'!B:U,15,FALSE)</f>
        <v>#N/A</v>
      </c>
      <c r="C400" s="3" t="e">
        <f>VLOOKUP(A400,'Production Plan'!B:G,5,FALSE)</f>
        <v>#N/A</v>
      </c>
    </row>
    <row r="401" spans="1:3" hidden="1">
      <c r="A401" s="3">
        <f>'Production Plan'!B330</f>
        <v>0</v>
      </c>
      <c r="B401" s="3" t="e">
        <f>VLOOKUP(A401,'Production Plan'!B:U,15,FALSE)</f>
        <v>#N/A</v>
      </c>
      <c r="C401" s="3" t="e">
        <f>VLOOKUP(A401,'Production Plan'!B:G,5,FALSE)</f>
        <v>#N/A</v>
      </c>
    </row>
    <row r="402" spans="1:3" hidden="1">
      <c r="A402" s="3">
        <f>'Production Plan'!B331</f>
        <v>0</v>
      </c>
      <c r="B402" s="3" t="e">
        <f>VLOOKUP(A402,'Production Plan'!B:U,15,FALSE)</f>
        <v>#N/A</v>
      </c>
      <c r="C402" s="3" t="e">
        <f>VLOOKUP(A402,'Production Plan'!B:G,5,FALSE)</f>
        <v>#N/A</v>
      </c>
    </row>
    <row r="403" spans="1:3" hidden="1">
      <c r="A403" s="3">
        <f>'Production Plan'!B332</f>
        <v>0</v>
      </c>
      <c r="B403" s="3" t="e">
        <f>VLOOKUP(A403,'Production Plan'!B:U,15,FALSE)</f>
        <v>#N/A</v>
      </c>
      <c r="C403" s="3" t="e">
        <f>VLOOKUP(A403,'Production Plan'!B:G,5,FALSE)</f>
        <v>#N/A</v>
      </c>
    </row>
    <row r="404" spans="1:3" hidden="1">
      <c r="A404" s="3">
        <f>'Production Plan'!B333</f>
        <v>0</v>
      </c>
      <c r="B404" s="3" t="e">
        <f>VLOOKUP(A404,'Production Plan'!B:U,15,FALSE)</f>
        <v>#N/A</v>
      </c>
      <c r="C404" s="3" t="e">
        <f>VLOOKUP(A404,'Production Plan'!B:G,5,FALSE)</f>
        <v>#N/A</v>
      </c>
    </row>
    <row r="405" spans="1:3" hidden="1">
      <c r="A405" s="3">
        <f>'Production Plan'!B334</f>
        <v>0</v>
      </c>
      <c r="B405" s="3" t="e">
        <f>VLOOKUP(A405,'Production Plan'!B:U,15,FALSE)</f>
        <v>#N/A</v>
      </c>
      <c r="C405" s="3" t="e">
        <f>VLOOKUP(A405,'Production Plan'!B:G,5,FALSE)</f>
        <v>#N/A</v>
      </c>
    </row>
    <row r="406" spans="1:3" hidden="1">
      <c r="A406" s="3">
        <f>'Production Plan'!B335</f>
        <v>0</v>
      </c>
      <c r="B406" s="3" t="e">
        <f>VLOOKUP(A406,'Production Plan'!B:U,15,FALSE)</f>
        <v>#N/A</v>
      </c>
      <c r="C406" s="3" t="e">
        <f>VLOOKUP(A406,'Production Plan'!B:G,5,FALSE)</f>
        <v>#N/A</v>
      </c>
    </row>
    <row r="407" spans="1:3" hidden="1">
      <c r="A407" s="3">
        <f>'Production Plan'!B336</f>
        <v>0</v>
      </c>
      <c r="B407" s="3" t="e">
        <f>VLOOKUP(A407,'Production Plan'!B:U,15,FALSE)</f>
        <v>#N/A</v>
      </c>
      <c r="C407" s="3" t="e">
        <f>VLOOKUP(A407,'Production Plan'!B:G,5,FALSE)</f>
        <v>#N/A</v>
      </c>
    </row>
    <row r="408" spans="1:3" hidden="1">
      <c r="A408" s="3">
        <f>'Production Plan'!B337</f>
        <v>0</v>
      </c>
      <c r="B408" s="3" t="e">
        <f>VLOOKUP(A408,'Production Plan'!B:U,15,FALSE)</f>
        <v>#N/A</v>
      </c>
      <c r="C408" s="3" t="e">
        <f>VLOOKUP(A408,'Production Plan'!B:G,5,FALSE)</f>
        <v>#N/A</v>
      </c>
    </row>
    <row r="409" spans="1:3" hidden="1">
      <c r="A409" s="3">
        <f>'Production Plan'!B338</f>
        <v>0</v>
      </c>
      <c r="B409" s="3" t="e">
        <f>VLOOKUP(A409,'Production Plan'!B:U,15,FALSE)</f>
        <v>#N/A</v>
      </c>
      <c r="C409" s="3" t="e">
        <f>VLOOKUP(A409,'Production Plan'!B:G,5,FALSE)</f>
        <v>#N/A</v>
      </c>
    </row>
    <row r="410" spans="1:3" hidden="1">
      <c r="A410" s="3">
        <f>'Production Plan'!B339</f>
        <v>0</v>
      </c>
      <c r="B410" s="3" t="e">
        <f>VLOOKUP(A410,'Production Plan'!B:U,15,FALSE)</f>
        <v>#N/A</v>
      </c>
      <c r="C410" s="3" t="e">
        <f>VLOOKUP(A410,'Production Plan'!B:G,5,FALSE)</f>
        <v>#N/A</v>
      </c>
    </row>
    <row r="411" spans="1:3" hidden="1">
      <c r="A411" s="3">
        <f>'Production Plan'!B340</f>
        <v>0</v>
      </c>
      <c r="B411" s="3" t="e">
        <f>VLOOKUP(A411,'Production Plan'!B:U,15,FALSE)</f>
        <v>#N/A</v>
      </c>
      <c r="C411" s="3" t="e">
        <f>VLOOKUP(A411,'Production Plan'!B:G,5,FALSE)</f>
        <v>#N/A</v>
      </c>
    </row>
    <row r="412" spans="1:3" hidden="1">
      <c r="A412" s="3">
        <f>'Production Plan'!B341</f>
        <v>0</v>
      </c>
      <c r="B412" s="3" t="e">
        <f>VLOOKUP(A412,'Production Plan'!B:U,15,FALSE)</f>
        <v>#N/A</v>
      </c>
      <c r="C412" s="3" t="e">
        <f>VLOOKUP(A412,'Production Plan'!B:G,5,FALSE)</f>
        <v>#N/A</v>
      </c>
    </row>
    <row r="413" spans="1:3" hidden="1">
      <c r="A413" s="3">
        <f>'Production Plan'!B342</f>
        <v>0</v>
      </c>
      <c r="B413" s="3" t="e">
        <f>VLOOKUP(A413,'Production Plan'!B:U,15,FALSE)</f>
        <v>#N/A</v>
      </c>
      <c r="C413" s="3" t="e">
        <f>VLOOKUP(A413,'Production Plan'!B:G,5,FALSE)</f>
        <v>#N/A</v>
      </c>
    </row>
    <row r="414" spans="1:3" hidden="1">
      <c r="A414" s="3">
        <f>'Production Plan'!B343</f>
        <v>0</v>
      </c>
      <c r="B414" s="3" t="e">
        <f>VLOOKUP(A414,'Production Plan'!B:U,15,FALSE)</f>
        <v>#N/A</v>
      </c>
      <c r="C414" s="3" t="e">
        <f>VLOOKUP(A414,'Production Plan'!B:G,5,FALSE)</f>
        <v>#N/A</v>
      </c>
    </row>
    <row r="415" spans="1:3" hidden="1">
      <c r="A415" s="3">
        <f>'Production Plan'!B344</f>
        <v>0</v>
      </c>
      <c r="B415" s="3" t="e">
        <f>VLOOKUP(A415,'Production Plan'!B:U,15,FALSE)</f>
        <v>#N/A</v>
      </c>
      <c r="C415" s="3" t="e">
        <f>VLOOKUP(A415,'Production Plan'!B:G,5,FALSE)</f>
        <v>#N/A</v>
      </c>
    </row>
    <row r="416" spans="1:3" hidden="1">
      <c r="A416" s="3">
        <f>'Production Plan'!B345</f>
        <v>0</v>
      </c>
      <c r="B416" s="3" t="e">
        <f>VLOOKUP(A416,'Production Plan'!B:U,15,FALSE)</f>
        <v>#N/A</v>
      </c>
      <c r="C416" s="3" t="e">
        <f>VLOOKUP(A416,'Production Plan'!B:G,5,FALSE)</f>
        <v>#N/A</v>
      </c>
    </row>
    <row r="417" spans="1:3" hidden="1">
      <c r="A417" s="3">
        <f>'Production Plan'!B346</f>
        <v>0</v>
      </c>
      <c r="B417" s="3" t="e">
        <f>VLOOKUP(A417,'Production Plan'!B:U,15,FALSE)</f>
        <v>#N/A</v>
      </c>
      <c r="C417" s="3" t="e">
        <f>VLOOKUP(A417,'Production Plan'!B:G,5,FALSE)</f>
        <v>#N/A</v>
      </c>
    </row>
    <row r="418" spans="1:3" hidden="1">
      <c r="A418" s="3">
        <f>'Production Plan'!B347</f>
        <v>0</v>
      </c>
      <c r="B418" s="3" t="e">
        <f>VLOOKUP(A418,'Production Plan'!B:U,15,FALSE)</f>
        <v>#N/A</v>
      </c>
      <c r="C418" s="3" t="e">
        <f>VLOOKUP(A418,'Production Plan'!B:G,5,FALSE)</f>
        <v>#N/A</v>
      </c>
    </row>
    <row r="419" spans="1:3" hidden="1">
      <c r="A419" s="3">
        <f>'Production Plan'!B348</f>
        <v>0</v>
      </c>
      <c r="B419" s="3" t="e">
        <f>VLOOKUP(A419,'Production Plan'!B:U,15,FALSE)</f>
        <v>#N/A</v>
      </c>
      <c r="C419" s="3" t="e">
        <f>VLOOKUP(A419,'Production Plan'!B:G,5,FALSE)</f>
        <v>#N/A</v>
      </c>
    </row>
    <row r="420" spans="1:3" hidden="1">
      <c r="A420" s="3">
        <f>'Production Plan'!B349</f>
        <v>0</v>
      </c>
      <c r="B420" s="3" t="e">
        <f>VLOOKUP(A420,'Production Plan'!B:U,15,FALSE)</f>
        <v>#N/A</v>
      </c>
      <c r="C420" s="3" t="e">
        <f>VLOOKUP(A420,'Production Plan'!B:G,5,FALSE)</f>
        <v>#N/A</v>
      </c>
    </row>
    <row r="421" spans="1:3" hidden="1">
      <c r="A421" s="3">
        <f>'Production Plan'!B350</f>
        <v>0</v>
      </c>
      <c r="B421" s="3" t="e">
        <f>VLOOKUP(A421,'Production Plan'!B:U,15,FALSE)</f>
        <v>#N/A</v>
      </c>
      <c r="C421" s="3" t="e">
        <f>VLOOKUP(A421,'Production Plan'!B:G,5,FALSE)</f>
        <v>#N/A</v>
      </c>
    </row>
    <row r="422" spans="1:3" hidden="1">
      <c r="A422" s="3">
        <f>'Production Plan'!B351</f>
        <v>0</v>
      </c>
      <c r="B422" s="3" t="e">
        <f>VLOOKUP(A422,'Production Plan'!B:U,15,FALSE)</f>
        <v>#N/A</v>
      </c>
      <c r="C422" s="3" t="e">
        <f>VLOOKUP(A422,'Production Plan'!B:G,5,FALSE)</f>
        <v>#N/A</v>
      </c>
    </row>
    <row r="423" spans="1:3" hidden="1">
      <c r="A423" s="3">
        <f>'Production Plan'!B352</f>
        <v>0</v>
      </c>
      <c r="B423" s="3" t="e">
        <f>VLOOKUP(A423,'Production Plan'!B:U,15,FALSE)</f>
        <v>#N/A</v>
      </c>
      <c r="C423" s="3" t="e">
        <f>VLOOKUP(A423,'Production Plan'!B:G,5,FALSE)</f>
        <v>#N/A</v>
      </c>
    </row>
    <row r="424" spans="1:3" hidden="1">
      <c r="A424" s="3">
        <f>'Production Plan'!B353</f>
        <v>0</v>
      </c>
      <c r="B424" s="3" t="e">
        <f>VLOOKUP(A424,'Production Plan'!B:U,15,FALSE)</f>
        <v>#N/A</v>
      </c>
      <c r="C424" s="3" t="e">
        <f>VLOOKUP(A424,'Production Plan'!B:G,5,FALSE)</f>
        <v>#N/A</v>
      </c>
    </row>
    <row r="425" spans="1:3" hidden="1">
      <c r="A425" s="3">
        <f>'Production Plan'!B354</f>
        <v>0</v>
      </c>
      <c r="B425" s="3" t="e">
        <f>VLOOKUP(A425,'Production Plan'!B:U,15,FALSE)</f>
        <v>#N/A</v>
      </c>
      <c r="C425" s="3" t="e">
        <f>VLOOKUP(A425,'Production Plan'!B:G,5,FALSE)</f>
        <v>#N/A</v>
      </c>
    </row>
    <row r="426" spans="1:3" hidden="1">
      <c r="A426" s="3">
        <f>'Production Plan'!B355</f>
        <v>0</v>
      </c>
      <c r="B426" s="3" t="e">
        <f>VLOOKUP(A426,'Production Plan'!B:U,15,FALSE)</f>
        <v>#N/A</v>
      </c>
      <c r="C426" s="3" t="e">
        <f>VLOOKUP(A426,'Production Plan'!B:G,5,FALSE)</f>
        <v>#N/A</v>
      </c>
    </row>
    <row r="427" spans="1:3" hidden="1">
      <c r="A427" s="3">
        <f>'Production Plan'!B356</f>
        <v>0</v>
      </c>
      <c r="B427" s="3" t="e">
        <f>VLOOKUP(A427,'Production Plan'!B:U,15,FALSE)</f>
        <v>#N/A</v>
      </c>
      <c r="C427" s="3" t="e">
        <f>VLOOKUP(A427,'Production Plan'!B:G,5,FALSE)</f>
        <v>#N/A</v>
      </c>
    </row>
    <row r="428" spans="1:3" hidden="1">
      <c r="A428" s="3">
        <f>'Production Plan'!B357</f>
        <v>0</v>
      </c>
      <c r="B428" s="3" t="e">
        <f>VLOOKUP(A428,'Production Plan'!B:U,15,FALSE)</f>
        <v>#N/A</v>
      </c>
      <c r="C428" s="3" t="e">
        <f>VLOOKUP(A428,'Production Plan'!B:G,5,FALSE)</f>
        <v>#N/A</v>
      </c>
    </row>
    <row r="429" spans="1:3" hidden="1">
      <c r="A429" s="3">
        <f>'Production Plan'!B358</f>
        <v>0</v>
      </c>
      <c r="B429" s="3" t="e">
        <f>VLOOKUP(A429,'Production Plan'!B:U,15,FALSE)</f>
        <v>#N/A</v>
      </c>
      <c r="C429" s="3" t="e">
        <f>VLOOKUP(A429,'Production Plan'!B:G,5,FALSE)</f>
        <v>#N/A</v>
      </c>
    </row>
    <row r="430" spans="1:3" hidden="1">
      <c r="A430" s="3">
        <f>'Production Plan'!B359</f>
        <v>0</v>
      </c>
      <c r="B430" s="3" t="e">
        <f>VLOOKUP(A430,'Production Plan'!B:U,15,FALSE)</f>
        <v>#N/A</v>
      </c>
      <c r="C430" s="3" t="e">
        <f>VLOOKUP(A430,'Production Plan'!B:G,5,FALSE)</f>
        <v>#N/A</v>
      </c>
    </row>
    <row r="431" spans="1:3" hidden="1">
      <c r="A431" s="3">
        <f>'Production Plan'!B360</f>
        <v>0</v>
      </c>
      <c r="B431" s="3" t="e">
        <f>VLOOKUP(A431,'Production Plan'!B:U,15,FALSE)</f>
        <v>#N/A</v>
      </c>
      <c r="C431" s="3" t="e">
        <f>VLOOKUP(A431,'Production Plan'!B:G,5,FALSE)</f>
        <v>#N/A</v>
      </c>
    </row>
    <row r="432" spans="1:3" hidden="1">
      <c r="A432" s="3">
        <f>'Production Plan'!B361</f>
        <v>0</v>
      </c>
      <c r="B432" s="3" t="e">
        <f>VLOOKUP(A432,'Production Plan'!B:U,15,FALSE)</f>
        <v>#N/A</v>
      </c>
      <c r="C432" s="3" t="e">
        <f>VLOOKUP(A432,'Production Plan'!B:G,5,FALSE)</f>
        <v>#N/A</v>
      </c>
    </row>
    <row r="433" spans="1:3" hidden="1">
      <c r="A433" s="3">
        <f>'Production Plan'!B362</f>
        <v>0</v>
      </c>
      <c r="B433" s="3" t="e">
        <f>VLOOKUP(A433,'Production Plan'!B:U,15,FALSE)</f>
        <v>#N/A</v>
      </c>
      <c r="C433" s="3" t="e">
        <f>VLOOKUP(A433,'Production Plan'!B:G,5,FALSE)</f>
        <v>#N/A</v>
      </c>
    </row>
    <row r="434" spans="1:3" hidden="1">
      <c r="A434" s="3">
        <f>'Production Plan'!B363</f>
        <v>0</v>
      </c>
      <c r="B434" s="3" t="e">
        <f>VLOOKUP(A434,'Production Plan'!B:U,15,FALSE)</f>
        <v>#N/A</v>
      </c>
      <c r="C434" s="3" t="e">
        <f>VLOOKUP(A434,'Production Plan'!B:G,5,FALSE)</f>
        <v>#N/A</v>
      </c>
    </row>
    <row r="435" spans="1:3" hidden="1">
      <c r="A435" s="3">
        <f>'Production Plan'!B364</f>
        <v>0</v>
      </c>
      <c r="B435" s="3" t="e">
        <f>VLOOKUP(A435,'Production Plan'!B:U,15,FALSE)</f>
        <v>#N/A</v>
      </c>
      <c r="C435" s="3" t="e">
        <f>VLOOKUP(A435,'Production Plan'!B:G,5,FALSE)</f>
        <v>#N/A</v>
      </c>
    </row>
    <row r="436" spans="1:3" hidden="1">
      <c r="A436" s="3">
        <f>'Production Plan'!B365</f>
        <v>0</v>
      </c>
      <c r="B436" s="3" t="e">
        <f>VLOOKUP(A436,'Production Plan'!B:U,15,FALSE)</f>
        <v>#N/A</v>
      </c>
      <c r="C436" s="3" t="e">
        <f>VLOOKUP(A436,'Production Plan'!B:G,5,FALSE)</f>
        <v>#N/A</v>
      </c>
    </row>
    <row r="437" spans="1:3" hidden="1">
      <c r="A437" s="3">
        <f>'Production Plan'!B366</f>
        <v>0</v>
      </c>
      <c r="B437" s="3" t="e">
        <f>VLOOKUP(A437,'Production Plan'!B:U,15,FALSE)</f>
        <v>#N/A</v>
      </c>
      <c r="C437" s="3" t="e">
        <f>VLOOKUP(A437,'Production Plan'!B:G,5,FALSE)</f>
        <v>#N/A</v>
      </c>
    </row>
    <row r="438" spans="1:3" hidden="1">
      <c r="A438" s="3">
        <f>'Production Plan'!B367</f>
        <v>0</v>
      </c>
      <c r="B438" s="3" t="e">
        <f>VLOOKUP(A438,'Production Plan'!B:U,15,FALSE)</f>
        <v>#N/A</v>
      </c>
      <c r="C438" s="3" t="e">
        <f>VLOOKUP(A438,'Production Plan'!B:G,5,FALSE)</f>
        <v>#N/A</v>
      </c>
    </row>
    <row r="439" spans="1:3" hidden="1">
      <c r="A439" s="3">
        <f>'Production Plan'!B368</f>
        <v>0</v>
      </c>
      <c r="B439" s="3" t="e">
        <f>VLOOKUP(A439,'Production Plan'!B:U,15,FALSE)</f>
        <v>#N/A</v>
      </c>
      <c r="C439" s="3" t="e">
        <f>VLOOKUP(A439,'Production Plan'!B:G,5,FALSE)</f>
        <v>#N/A</v>
      </c>
    </row>
    <row r="440" spans="1:3" hidden="1">
      <c r="A440" s="3">
        <f>'Production Plan'!B369</f>
        <v>0</v>
      </c>
      <c r="B440" s="3" t="e">
        <f>VLOOKUP(A440,'Production Plan'!B:U,15,FALSE)</f>
        <v>#N/A</v>
      </c>
      <c r="C440" s="3" t="e">
        <f>VLOOKUP(A440,'Production Plan'!B:G,5,FALSE)</f>
        <v>#N/A</v>
      </c>
    </row>
    <row r="441" spans="1:3" hidden="1">
      <c r="A441" s="3">
        <f>'Production Plan'!B370</f>
        <v>0</v>
      </c>
      <c r="B441" s="3" t="e">
        <f>VLOOKUP(A441,'Production Plan'!B:U,15,FALSE)</f>
        <v>#N/A</v>
      </c>
      <c r="C441" s="3" t="e">
        <f>VLOOKUP(A441,'Production Plan'!B:G,5,FALSE)</f>
        <v>#N/A</v>
      </c>
    </row>
    <row r="442" spans="1:3" hidden="1">
      <c r="A442" s="3">
        <f>'Production Plan'!B371</f>
        <v>0</v>
      </c>
      <c r="B442" s="3" t="e">
        <f>VLOOKUP(A442,'Production Plan'!B:U,15,FALSE)</f>
        <v>#N/A</v>
      </c>
      <c r="C442" s="3" t="e">
        <f>VLOOKUP(A442,'Production Plan'!B:G,5,FALSE)</f>
        <v>#N/A</v>
      </c>
    </row>
    <row r="443" spans="1:3" hidden="1">
      <c r="A443" s="3">
        <f>'Production Plan'!B372</f>
        <v>0</v>
      </c>
      <c r="B443" s="3" t="e">
        <f>VLOOKUP(A443,'Production Plan'!B:U,15,FALSE)</f>
        <v>#N/A</v>
      </c>
      <c r="C443" s="3" t="e">
        <f>VLOOKUP(A443,'Production Plan'!B:G,5,FALSE)</f>
        <v>#N/A</v>
      </c>
    </row>
    <row r="444" spans="1:3" hidden="1">
      <c r="A444" s="3">
        <f>'Production Plan'!B373</f>
        <v>0</v>
      </c>
      <c r="B444" s="3" t="e">
        <f>VLOOKUP(A444,'Production Plan'!B:U,15,FALSE)</f>
        <v>#N/A</v>
      </c>
      <c r="C444" s="3" t="e">
        <f>VLOOKUP(A444,'Production Plan'!B:G,5,FALSE)</f>
        <v>#N/A</v>
      </c>
    </row>
    <row r="445" spans="1:3" hidden="1">
      <c r="A445" s="3">
        <f>'Production Plan'!B374</f>
        <v>0</v>
      </c>
      <c r="B445" s="3" t="e">
        <f>VLOOKUP(A445,'Production Plan'!B:U,15,FALSE)</f>
        <v>#N/A</v>
      </c>
      <c r="C445" s="3" t="e">
        <f>VLOOKUP(A445,'Production Plan'!B:G,5,FALSE)</f>
        <v>#N/A</v>
      </c>
    </row>
    <row r="446" spans="1:3" hidden="1">
      <c r="A446" s="3">
        <f>'Production Plan'!B375</f>
        <v>0</v>
      </c>
      <c r="B446" s="3" t="e">
        <f>VLOOKUP(A446,'Production Plan'!B:U,15,FALSE)</f>
        <v>#N/A</v>
      </c>
      <c r="C446" s="3" t="e">
        <f>VLOOKUP(A446,'Production Plan'!B:G,5,FALSE)</f>
        <v>#N/A</v>
      </c>
    </row>
    <row r="447" spans="1:3" hidden="1">
      <c r="A447" s="3">
        <f>'Production Plan'!B376</f>
        <v>0</v>
      </c>
      <c r="B447" s="3" t="e">
        <f>VLOOKUP(A447,'Production Plan'!B:U,15,FALSE)</f>
        <v>#N/A</v>
      </c>
      <c r="C447" s="3" t="e">
        <f>VLOOKUP(A447,'Production Plan'!B:G,5,FALSE)</f>
        <v>#N/A</v>
      </c>
    </row>
    <row r="448" spans="1:3" hidden="1">
      <c r="A448" s="3">
        <f>'Production Plan'!B377</f>
        <v>0</v>
      </c>
      <c r="B448" s="3" t="e">
        <f>VLOOKUP(A448,'Production Plan'!B:U,15,FALSE)</f>
        <v>#N/A</v>
      </c>
      <c r="C448" s="3" t="e">
        <f>VLOOKUP(A448,'Production Plan'!B:G,5,FALSE)</f>
        <v>#N/A</v>
      </c>
    </row>
    <row r="449" spans="1:3" hidden="1">
      <c r="A449" s="3">
        <f>'Production Plan'!B378</f>
        <v>0</v>
      </c>
      <c r="B449" s="3" t="e">
        <f>VLOOKUP(A449,'Production Plan'!B:U,15,FALSE)</f>
        <v>#N/A</v>
      </c>
      <c r="C449" s="3" t="e">
        <f>VLOOKUP(A449,'Production Plan'!B:G,5,FALSE)</f>
        <v>#N/A</v>
      </c>
    </row>
    <row r="450" spans="1:3" hidden="1">
      <c r="A450" s="3">
        <f>'Production Plan'!B379</f>
        <v>0</v>
      </c>
      <c r="B450" s="3" t="e">
        <f>VLOOKUP(A450,'Production Plan'!B:U,15,FALSE)</f>
        <v>#N/A</v>
      </c>
      <c r="C450" s="3" t="e">
        <f>VLOOKUP(A450,'Production Plan'!B:G,5,FALSE)</f>
        <v>#N/A</v>
      </c>
    </row>
    <row r="451" spans="1:3" hidden="1">
      <c r="A451" s="3">
        <f>'Production Plan'!B380</f>
        <v>0</v>
      </c>
      <c r="B451" s="3" t="e">
        <f>VLOOKUP(A451,'Production Plan'!B:U,15,FALSE)</f>
        <v>#N/A</v>
      </c>
      <c r="C451" s="3" t="e">
        <f>VLOOKUP(A451,'Production Plan'!B:G,5,FALSE)</f>
        <v>#N/A</v>
      </c>
    </row>
    <row r="452" spans="1:3" hidden="1">
      <c r="A452" s="3">
        <f>'Production Plan'!B381</f>
        <v>0</v>
      </c>
      <c r="B452" s="3" t="e">
        <f>VLOOKUP(A452,'Production Plan'!B:U,15,FALSE)</f>
        <v>#N/A</v>
      </c>
      <c r="C452" s="3" t="e">
        <f>VLOOKUP(A452,'Production Plan'!B:G,5,FALSE)</f>
        <v>#N/A</v>
      </c>
    </row>
    <row r="453" spans="1:3" hidden="1">
      <c r="A453" s="3">
        <f>'Production Plan'!B382</f>
        <v>0</v>
      </c>
      <c r="B453" s="3" t="e">
        <f>VLOOKUP(A453,'Production Plan'!B:U,15,FALSE)</f>
        <v>#N/A</v>
      </c>
      <c r="C453" s="3" t="e">
        <f>VLOOKUP(A453,'Production Plan'!B:G,5,FALSE)</f>
        <v>#N/A</v>
      </c>
    </row>
  </sheetData>
  <autoFilter ref="A1:N453" xr:uid="{A338DFA9-9E70-486E-9EFA-7B1D2508D3E5}">
    <filterColumn colId="1">
      <filters>
        <filter val="Yes"/>
      </filters>
    </filterColumn>
  </autoFilter>
  <conditionalFormatting sqref="E2:E1048576">
    <cfRule type="expression" dxfId="8" priority="1">
      <formula>E2="Low"</formula>
    </cfRule>
    <cfRule type="expression" dxfId="7" priority="2">
      <formula>E2="Medium"</formula>
    </cfRule>
    <cfRule type="expression" dxfId="6" priority="3">
      <formula>E2="High"</formula>
    </cfRule>
  </conditionalFormatting>
  <dataValidations count="2">
    <dataValidation type="list" allowBlank="1" showInputMessage="1" showErrorMessage="1" sqref="E2:E1048576" xr:uid="{79BEA3FD-CE8B-4F4D-841A-6CE9C95A2E9D}">
      <formula1>"High,Medium,Low"</formula1>
    </dataValidation>
    <dataValidation type="list" allowBlank="1" showInputMessage="1" showErrorMessage="1" sqref="I5:I1048576 I2:I3" xr:uid="{9493E191-1BB6-4B42-80BA-68D922AF7224}">
      <formula1>"Go ahead - disregard risk,Go ahead - attempt to mitigate,Go-ahead - dependent upon mitigation,No bid"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B0167-6294-4836-A0CF-A590D3431A37}">
  <sheetPr filterMode="1"/>
  <dimension ref="A1:I1078"/>
  <sheetViews>
    <sheetView workbookViewId="0">
      <selection activeCell="H7" sqref="H7"/>
    </sheetView>
  </sheetViews>
  <sheetFormatPr defaultColWidth="8.765625" defaultRowHeight="16"/>
  <cols>
    <col min="3" max="3" width="44.765625" customWidth="1"/>
    <col min="4" max="4" width="42.69140625" customWidth="1"/>
    <col min="6" max="6" width="34.765625" style="36" customWidth="1"/>
    <col min="8" max="8" width="14.3046875" style="9" bestFit="1" customWidth="1"/>
    <col min="9" max="9" width="16.3046875" bestFit="1" customWidth="1"/>
  </cols>
  <sheetData>
    <row r="1" spans="1:9">
      <c r="A1" s="4" t="s">
        <v>979</v>
      </c>
      <c r="B1" s="4" t="s">
        <v>980</v>
      </c>
      <c r="C1" s="4" t="s">
        <v>6</v>
      </c>
      <c r="D1" s="4" t="s">
        <v>1020</v>
      </c>
      <c r="E1" s="4" t="s">
        <v>993</v>
      </c>
      <c r="F1" s="37" t="s">
        <v>1021</v>
      </c>
      <c r="G1" s="4" t="s">
        <v>1022</v>
      </c>
      <c r="H1" s="4" t="s">
        <v>1023</v>
      </c>
      <c r="I1" s="4" t="s">
        <v>1024</v>
      </c>
    </row>
    <row r="2" spans="1:9" ht="32">
      <c r="A2" s="3" t="str">
        <f>'Production Plan'!B2</f>
        <v>4.1.1.</v>
      </c>
      <c r="B2" s="3">
        <f>VLOOKUP(A2,'Production Plan'!B:V,16,FALSE)</f>
        <v>0</v>
      </c>
      <c r="C2" s="3" t="str">
        <f>VLOOKUP(A2,'Production Plan'!B:G,5,FALSE)</f>
        <v>Implementeringsplan</v>
      </c>
      <c r="D2" s="3" t="s">
        <v>987</v>
      </c>
      <c r="E2" s="3" t="s">
        <v>1010</v>
      </c>
      <c r="F2" s="38" t="s">
        <v>1025</v>
      </c>
      <c r="G2" s="3" t="s">
        <v>990</v>
      </c>
      <c r="H2" s="10">
        <v>46023</v>
      </c>
      <c r="I2" s="3" t="s">
        <v>76</v>
      </c>
    </row>
    <row r="3" spans="1:9" ht="32">
      <c r="A3" s="3" t="str">
        <f>'Production Plan'!B3</f>
        <v>4.2.1.</v>
      </c>
      <c r="B3" s="3">
        <f>VLOOKUP(A3,'Production Plan'!B:V,16,FALSE)</f>
        <v>0</v>
      </c>
      <c r="C3" s="3" t="str">
        <f>VLOOKUP(A3,'Production Plan'!B:G,5,FALSE)</f>
        <v>Tidsplan for optioner</v>
      </c>
      <c r="D3" s="3" t="s">
        <v>987</v>
      </c>
      <c r="E3" s="3" t="s">
        <v>1005</v>
      </c>
      <c r="F3" s="38" t="s">
        <v>1025</v>
      </c>
      <c r="G3" s="3" t="s">
        <v>990</v>
      </c>
      <c r="H3" s="10">
        <v>46023</v>
      </c>
      <c r="I3" s="3" t="s">
        <v>76</v>
      </c>
    </row>
    <row r="4" spans="1:9" hidden="1">
      <c r="A4" s="3" t="str">
        <f>'Production Plan'!B4</f>
        <v>5.1.1.1.</v>
      </c>
      <c r="B4" s="3">
        <f>VLOOKUP(A4,'Production Plan'!B:V,16,FALSE)</f>
        <v>0</v>
      </c>
      <c r="C4" s="3" t="str">
        <f>VLOOKUP(A4,'Production Plan'!B:G,5,FALSE)</f>
        <v>Prøveplan</v>
      </c>
      <c r="D4" s="3"/>
      <c r="E4" s="3"/>
      <c r="F4" s="3"/>
      <c r="G4" s="3"/>
      <c r="H4" s="10"/>
      <c r="I4" s="3"/>
    </row>
    <row r="5" spans="1:9" hidden="1">
      <c r="A5" s="3" t="str">
        <f>'Production Plan'!B5</f>
        <v>5.1.2.1.</v>
      </c>
      <c r="B5" s="3">
        <f>VLOOKUP(A5,'Production Plan'!B:V,16,FALSE)</f>
        <v>0</v>
      </c>
      <c r="C5" s="3" t="str">
        <f>VLOOKUP(A5,'Production Plan'!B:G,5,FALSE)</f>
        <v>Uddannelse</v>
      </c>
      <c r="D5" s="3"/>
      <c r="E5" s="3"/>
      <c r="F5" s="3"/>
      <c r="G5" s="3"/>
      <c r="H5" s="10"/>
      <c r="I5" s="3"/>
    </row>
    <row r="6" spans="1:9" hidden="1">
      <c r="A6" s="3" t="str">
        <f>'Production Plan'!B6</f>
        <v>5.1.3.1.</v>
      </c>
      <c r="B6" s="3">
        <f>VLOOKUP(A6,'Production Plan'!B:V,16,FALSE)</f>
        <v>0</v>
      </c>
      <c r="C6" s="3" t="str">
        <f>VLOOKUP(A6,'Production Plan'!B:G,5,FALSE)</f>
        <v>Migreringsplan</v>
      </c>
      <c r="D6" s="3"/>
      <c r="E6" s="3"/>
      <c r="F6" s="3"/>
      <c r="G6" s="3"/>
      <c r="H6" s="10"/>
      <c r="I6" s="3"/>
    </row>
    <row r="7" spans="1:9" ht="32">
      <c r="A7" s="3" t="str">
        <f>'Production Plan'!B7</f>
        <v>5.2.1.1.</v>
      </c>
      <c r="B7" s="3">
        <f>VLOOKUP(A7,'Production Plan'!B:V,16,FALSE)</f>
        <v>0</v>
      </c>
      <c r="C7" s="3" t="str">
        <f>VLOOKUP(A7,'Production Plan'!B:G,5,FALSE)</f>
        <v>Opmærkning af sager og dokumenter</v>
      </c>
      <c r="D7" s="3" t="s">
        <v>987</v>
      </c>
      <c r="E7" s="3" t="s">
        <v>1000</v>
      </c>
      <c r="F7" s="38" t="s">
        <v>1025</v>
      </c>
      <c r="G7" s="3" t="s">
        <v>990</v>
      </c>
      <c r="H7" s="10">
        <v>46023</v>
      </c>
      <c r="I7" s="3" t="s">
        <v>76</v>
      </c>
    </row>
    <row r="8" spans="1:9" hidden="1">
      <c r="A8" s="3" t="str">
        <f>'Production Plan'!B8</f>
        <v>5.2.1.2.</v>
      </c>
      <c r="B8" s="3">
        <f>VLOOKUP(A8,'Production Plan'!B:V,16,FALSE)</f>
        <v>0</v>
      </c>
      <c r="C8" s="3" t="str">
        <f>VLOOKUP(A8,'Production Plan'!B:G,5,FALSE)</f>
        <v>Konfliktløsning</v>
      </c>
      <c r="D8" s="3"/>
      <c r="E8" s="3"/>
      <c r="F8" s="3"/>
      <c r="G8" s="3"/>
      <c r="H8" s="10"/>
      <c r="I8" s="3"/>
    </row>
    <row r="9" spans="1:9" hidden="1">
      <c r="A9" s="3" t="str">
        <f>'Production Plan'!B9</f>
        <v>5.2.1.3.</v>
      </c>
      <c r="B9" s="3">
        <f>VLOOKUP(A9,'Production Plan'!B:V,16,FALSE)</f>
        <v>0</v>
      </c>
      <c r="C9" s="3" t="str">
        <f>VLOOKUP(A9,'Production Plan'!B:G,5,FALSE)</f>
        <v>-</v>
      </c>
      <c r="D9" s="3"/>
      <c r="E9" s="3"/>
      <c r="F9" s="3"/>
      <c r="G9" s="3"/>
      <c r="H9" s="10"/>
      <c r="I9" s="3"/>
    </row>
    <row r="10" spans="1:9" hidden="1">
      <c r="A10" s="3" t="str">
        <f>'Production Plan'!B10</f>
        <v>5.2.1.4.</v>
      </c>
      <c r="B10" s="3">
        <f>VLOOKUP(A10,'Production Plan'!B:V,16,FALSE)</f>
        <v>0</v>
      </c>
      <c r="C10" s="3" t="str">
        <f>VLOOKUP(A10,'Production Plan'!B:G,5,FALSE)</f>
        <v>-</v>
      </c>
      <c r="D10" s="3"/>
      <c r="E10" s="3"/>
      <c r="F10" s="3"/>
      <c r="G10" s="3"/>
      <c r="H10" s="10"/>
      <c r="I10" s="3"/>
    </row>
    <row r="11" spans="1:9" hidden="1">
      <c r="A11" s="3" t="str">
        <f>'Production Plan'!B11</f>
        <v>5.2.1.5.</v>
      </c>
      <c r="B11" s="3">
        <f>VLOOKUP(A11,'Production Plan'!B:V,16,FALSE)</f>
        <v>0</v>
      </c>
      <c r="C11" s="3" t="str">
        <f>VLOOKUP(A11,'Production Plan'!B:G,5,FALSE)</f>
        <v>-</v>
      </c>
      <c r="D11" s="3"/>
      <c r="E11" s="3"/>
      <c r="F11" s="3"/>
      <c r="G11" s="3"/>
      <c r="H11" s="10"/>
      <c r="I11" s="3"/>
    </row>
    <row r="12" spans="1:9" hidden="1">
      <c r="A12" s="3" t="str">
        <f>'Production Plan'!B12</f>
        <v>5.2.1.6.</v>
      </c>
      <c r="B12" s="3">
        <f>VLOOKUP(A12,'Production Plan'!B:V,16,FALSE)</f>
        <v>0</v>
      </c>
      <c r="C12" s="3" t="str">
        <f>VLOOKUP(A12,'Production Plan'!B:G,5,FALSE)</f>
        <v>Understøttelse af Elektronisk Sags- og Dokumenthåndtering</v>
      </c>
      <c r="D12" s="3"/>
      <c r="E12" s="3"/>
      <c r="F12" s="3"/>
      <c r="G12" s="3"/>
      <c r="H12" s="10"/>
      <c r="I12" s="3"/>
    </row>
    <row r="13" spans="1:9" hidden="1">
      <c r="A13" s="3" t="str">
        <f>'Production Plan'!B13</f>
        <v>5.2.2.1.</v>
      </c>
      <c r="B13" s="3">
        <f>VLOOKUP(A13,'Production Plan'!B:V,16,FALSE)</f>
        <v>0</v>
      </c>
      <c r="C13" s="3" t="str">
        <f>VLOOKUP(A13,'Production Plan'!B:G,5,FALSE)</f>
        <v>Ejendomsdata</v>
      </c>
      <c r="D13" s="3"/>
      <c r="E13" s="3"/>
      <c r="F13" s="3"/>
      <c r="G13" s="3"/>
      <c r="H13" s="10"/>
      <c r="I13" s="3"/>
    </row>
    <row r="14" spans="1:9" hidden="1">
      <c r="A14" s="3" t="str">
        <f>'Production Plan'!B14</f>
        <v>5.2.3.1.</v>
      </c>
      <c r="B14" s="3">
        <f>VLOOKUP(A14,'Production Plan'!B:V,16,FALSE)</f>
        <v>0</v>
      </c>
      <c r="C14" s="3" t="str">
        <f>VLOOKUP(A14,'Production Plan'!B:G,5,FALSE)</f>
        <v>-</v>
      </c>
      <c r="D14" s="3"/>
      <c r="E14" s="3"/>
      <c r="F14" s="3"/>
      <c r="G14" s="3"/>
      <c r="H14" s="10"/>
      <c r="I14" s="3"/>
    </row>
    <row r="15" spans="1:9" hidden="1">
      <c r="A15" s="3" t="str">
        <f>'Production Plan'!B15</f>
        <v>5.2.3.2.</v>
      </c>
      <c r="B15" s="3">
        <f>VLOOKUP(A15,'Production Plan'!B:V,16,FALSE)</f>
        <v>0</v>
      </c>
      <c r="C15" s="3" t="str">
        <f>VLOOKUP(A15,'Production Plan'!B:G,5,FALSE)</f>
        <v>-</v>
      </c>
      <c r="D15" s="3"/>
      <c r="E15" s="3"/>
      <c r="F15" s="3"/>
      <c r="G15" s="3"/>
      <c r="H15" s="10"/>
      <c r="I15" s="3"/>
    </row>
    <row r="16" spans="1:9" hidden="1">
      <c r="A16" s="3" t="str">
        <f>'Production Plan'!B16</f>
        <v>5.2.3.3.</v>
      </c>
      <c r="B16" s="3">
        <f>VLOOKUP(A16,'Production Plan'!B:V,16,FALSE)</f>
        <v>0</v>
      </c>
      <c r="C16" s="3" t="str">
        <f>VLOOKUP(A16,'Production Plan'!B:G,5,FALSE)</f>
        <v>-</v>
      </c>
      <c r="D16" s="3"/>
      <c r="E16" s="3"/>
      <c r="F16" s="3"/>
      <c r="G16" s="3"/>
      <c r="H16" s="10"/>
      <c r="I16" s="3"/>
    </row>
    <row r="17" spans="1:9" hidden="1">
      <c r="A17" s="3" t="str">
        <f>'Production Plan'!B17</f>
        <v>5.2.3.4.</v>
      </c>
      <c r="B17" s="3">
        <f>VLOOKUP(A17,'Production Plan'!B:V,16,FALSE)</f>
        <v>0</v>
      </c>
      <c r="C17" s="3" t="str">
        <f>VLOOKUP(A17,'Production Plan'!B:G,5,FALSE)</f>
        <v>-</v>
      </c>
      <c r="D17" s="3"/>
      <c r="E17" s="3"/>
      <c r="F17" s="3"/>
      <c r="G17" s="3"/>
      <c r="H17" s="10"/>
      <c r="I17" s="3"/>
    </row>
    <row r="18" spans="1:9" hidden="1">
      <c r="A18" s="3" t="str">
        <f>'Production Plan'!B18</f>
        <v>5.2.3.5.</v>
      </c>
      <c r="B18" s="3">
        <f>VLOOKUP(A18,'Production Plan'!B:V,16,FALSE)</f>
        <v>0</v>
      </c>
      <c r="C18" s="3" t="str">
        <f>VLOOKUP(A18,'Production Plan'!B:G,5,FALSE)</f>
        <v>Interessent roller</v>
      </c>
      <c r="D18" s="3"/>
      <c r="E18" s="3"/>
      <c r="F18" s="3"/>
      <c r="G18" s="3"/>
      <c r="H18" s="10"/>
      <c r="I18" s="3"/>
    </row>
    <row r="19" spans="1:9" hidden="1">
      <c r="A19" s="3" t="str">
        <f>'Production Plan'!B19</f>
        <v>5.2.4.1.</v>
      </c>
      <c r="B19" s="3">
        <f>VLOOKUP(A19,'Production Plan'!B:V,16,FALSE)</f>
        <v>0</v>
      </c>
      <c r="C19" s="3" t="str">
        <f>VLOOKUP(A19,'Production Plan'!B:G,5,FALSE)</f>
        <v xml:space="preserve">Sagsopslag og visning </v>
      </c>
      <c r="D19" s="3"/>
      <c r="E19" s="3"/>
      <c r="F19" s="3"/>
      <c r="G19" s="3"/>
      <c r="H19" s="10"/>
      <c r="I19" s="3"/>
    </row>
    <row r="20" spans="1:9" hidden="1">
      <c r="A20" s="3" t="str">
        <f>'Production Plan'!B20</f>
        <v>5.2.4.2.</v>
      </c>
      <c r="B20" s="3">
        <f>VLOOKUP(A20,'Production Plan'!B:V,16,FALSE)</f>
        <v>0</v>
      </c>
      <c r="C20" s="3" t="str">
        <f>VLOOKUP(A20,'Production Plan'!B:G,5,FALSE)</f>
        <v xml:space="preserve">Løbende registrering af sagsændringer </v>
      </c>
      <c r="D20" s="3"/>
      <c r="E20" s="3"/>
      <c r="F20" s="3"/>
      <c r="G20" s="3"/>
      <c r="H20" s="10"/>
      <c r="I20" s="3"/>
    </row>
    <row r="21" spans="1:9" hidden="1">
      <c r="A21" s="3" t="str">
        <f>'Production Plan'!B21</f>
        <v>5.2.4.3.</v>
      </c>
      <c r="B21" s="3">
        <f>VLOOKUP(A21,'Production Plan'!B:V,16,FALSE)</f>
        <v>0</v>
      </c>
      <c r="C21" s="3" t="str">
        <f>VLOOKUP(A21,'Production Plan'!B:G,5,FALSE)</f>
        <v>Søgning, sortering, filtrering og eksport</v>
      </c>
      <c r="D21" s="3"/>
      <c r="E21" s="3"/>
      <c r="F21" s="3"/>
      <c r="G21" s="3"/>
      <c r="H21" s="10"/>
      <c r="I21" s="3"/>
    </row>
    <row r="22" spans="1:9" hidden="1">
      <c r="A22" s="3" t="str">
        <f>'Production Plan'!B22</f>
        <v>5.2.5.1.</v>
      </c>
      <c r="B22" s="3">
        <f>VLOOKUP(A22,'Production Plan'!B:V,16,FALSE)</f>
        <v>0</v>
      </c>
      <c r="C22" s="3" t="str">
        <f>VLOOKUP(A22,'Production Plan'!B:G,5,FALSE)</f>
        <v>GIS visning af sager</v>
      </c>
      <c r="D22" s="3"/>
      <c r="E22" s="3"/>
      <c r="F22" s="3"/>
      <c r="G22" s="3"/>
      <c r="H22" s="10"/>
      <c r="I22" s="3"/>
    </row>
    <row r="23" spans="1:9" hidden="1">
      <c r="A23" s="3" t="str">
        <f>'Production Plan'!B24</f>
        <v>5.2.6.1.</v>
      </c>
      <c r="B23" s="3">
        <f>VLOOKUP(A23,'Production Plan'!B:V,16,FALSE)</f>
        <v>0</v>
      </c>
      <c r="C23" s="3" t="str">
        <f>VLOOKUP(A23,'Production Plan'!B:G,5,FALSE)</f>
        <v>-</v>
      </c>
      <c r="D23" s="3"/>
      <c r="E23" s="3"/>
      <c r="F23" s="3"/>
      <c r="G23" s="3"/>
      <c r="H23" s="10"/>
      <c r="I23" s="3"/>
    </row>
    <row r="24" spans="1:9" hidden="1">
      <c r="A24" s="3" t="str">
        <f>'Production Plan'!B25</f>
        <v>5.2.6.2.</v>
      </c>
      <c r="B24" s="3">
        <f>VLOOKUP(A24,'Production Plan'!B:V,16,FALSE)</f>
        <v>0</v>
      </c>
      <c r="C24" s="3" t="str">
        <f>VLOOKUP(A24,'Production Plan'!B:G,5,FALSE)</f>
        <v>-</v>
      </c>
      <c r="D24" s="3"/>
      <c r="E24" s="3"/>
      <c r="F24" s="3"/>
      <c r="G24" s="3"/>
      <c r="H24" s="10"/>
      <c r="I24" s="3"/>
    </row>
    <row r="25" spans="1:9" hidden="1">
      <c r="A25" s="3" t="str">
        <f>'Production Plan'!B26</f>
        <v>5.2.6.3.</v>
      </c>
      <c r="B25" s="3">
        <f>VLOOKUP(A25,'Production Plan'!B:V,16,FALSE)</f>
        <v>0</v>
      </c>
      <c r="C25" s="3" t="str">
        <f>VLOOKUP(A25,'Production Plan'!B:G,5,FALSE)</f>
        <v>Sags/journalnoter</v>
      </c>
      <c r="D25" s="3"/>
      <c r="E25" s="3"/>
      <c r="F25" s="3"/>
      <c r="G25" s="3"/>
      <c r="H25" s="10"/>
      <c r="I25" s="3"/>
    </row>
    <row r="26" spans="1:9" hidden="1">
      <c r="A26" s="3" t="str">
        <f>'Production Plan'!B27</f>
        <v>5.2.6.4.</v>
      </c>
      <c r="B26" s="3">
        <f>VLOOKUP(A26,'Production Plan'!B:V,16,FALSE)</f>
        <v>0</v>
      </c>
      <c r="C26" s="3" t="str">
        <f>VLOOKUP(A26,'Production Plan'!B:G,5,FALSE)</f>
        <v>Overblik på sagen</v>
      </c>
      <c r="D26" s="3"/>
      <c r="E26" s="3"/>
      <c r="F26" s="3"/>
      <c r="G26" s="3"/>
      <c r="H26" s="10"/>
      <c r="I26" s="3"/>
    </row>
    <row r="27" spans="1:9" hidden="1">
      <c r="A27" s="3" t="str">
        <f>'Production Plan'!B28</f>
        <v>5.2.6.5.</v>
      </c>
      <c r="B27" s="3">
        <f>VLOOKUP(A27,'Production Plan'!B:V,16,FALSE)</f>
        <v>0</v>
      </c>
      <c r="C27" s="3" t="str">
        <f>VLOOKUP(A27,'Production Plan'!B:G,5,FALSE)</f>
        <v>Ansøgninger og anmeldelser på sagen</v>
      </c>
      <c r="D27" s="3"/>
      <c r="E27" s="3"/>
      <c r="F27" s="3"/>
      <c r="G27" s="3"/>
      <c r="H27" s="10"/>
      <c r="I27" s="3"/>
    </row>
    <row r="28" spans="1:9" hidden="1">
      <c r="A28" s="3" t="str">
        <f>'Production Plan'!B29</f>
        <v>5.2.6.6.</v>
      </c>
      <c r="B28" s="3">
        <f>VLOOKUP(A28,'Production Plan'!B:V,16,FALSE)</f>
        <v>0</v>
      </c>
      <c r="C28" s="3" t="str">
        <f>VLOOKUP(A28,'Production Plan'!B:G,5,FALSE)</f>
        <v>Overblik på sagsdokumenter</v>
      </c>
      <c r="D28" s="3"/>
      <c r="E28" s="3"/>
      <c r="F28" s="3"/>
      <c r="G28" s="3"/>
      <c r="H28" s="10"/>
      <c r="I28" s="3"/>
    </row>
    <row r="29" spans="1:9" hidden="1">
      <c r="A29" s="3" t="str">
        <f>'Production Plan'!B30</f>
        <v>5.2.7.1.</v>
      </c>
      <c r="B29" s="3">
        <f>VLOOKUP(A29,'Production Plan'!B:V,16,FALSE)</f>
        <v>0</v>
      </c>
      <c r="C29" s="3" t="str">
        <f>VLOOKUP(A29,'Production Plan'!B:G,5,FALSE)</f>
        <v xml:space="preserve">Sagsoverblik og adviseringer </v>
      </c>
      <c r="D29" s="3"/>
      <c r="E29" s="3"/>
      <c r="F29" s="3"/>
      <c r="G29" s="3"/>
      <c r="H29" s="10"/>
      <c r="I29" s="3"/>
    </row>
    <row r="30" spans="1:9" hidden="1">
      <c r="A30" s="3" t="str">
        <f>'Production Plan'!B31</f>
        <v>5.2.7.2.</v>
      </c>
      <c r="B30" s="3">
        <f>VLOOKUP(A30,'Production Plan'!B:V,16,FALSE)</f>
        <v>0</v>
      </c>
      <c r="C30" s="3" t="str">
        <f>VLOOKUP(A30,'Production Plan'!B:G,5,FALSE)</f>
        <v>Tilpasset overbliksvisning og sortering</v>
      </c>
      <c r="D30" s="3"/>
      <c r="E30" s="3"/>
      <c r="F30" s="3"/>
      <c r="G30" s="3"/>
      <c r="H30" s="10"/>
      <c r="I30" s="3"/>
    </row>
    <row r="31" spans="1:9" hidden="1">
      <c r="A31" s="3" t="str">
        <f>'Production Plan'!B32</f>
        <v>5.2.8.1.</v>
      </c>
      <c r="B31" s="3">
        <f>VLOOKUP(A31,'Production Plan'!B:V,16,FALSE)</f>
        <v>0</v>
      </c>
      <c r="C31" s="3" t="str">
        <f>VLOOKUP(A31,'Production Plan'!B:G,5,FALSE)</f>
        <v>-</v>
      </c>
      <c r="D31" s="3"/>
      <c r="E31" s="3"/>
      <c r="F31" s="3"/>
      <c r="G31" s="3"/>
      <c r="H31" s="10"/>
      <c r="I31" s="3"/>
    </row>
    <row r="32" spans="1:9" hidden="1">
      <c r="A32" s="3" t="str">
        <f>'Production Plan'!B33</f>
        <v>5.2.8.2</v>
      </c>
      <c r="B32" s="3">
        <f>VLOOKUP(A32,'Production Plan'!B:V,16,FALSE)</f>
        <v>0</v>
      </c>
      <c r="C32" s="3" t="str">
        <f>VLOOKUP(A32,'Production Plan'!B:G,5,FALSE)</f>
        <v>-</v>
      </c>
      <c r="D32" s="3"/>
      <c r="E32" s="3"/>
      <c r="F32" s="3"/>
      <c r="G32" s="3"/>
      <c r="H32" s="10"/>
      <c r="I32" s="3"/>
    </row>
    <row r="33" spans="1:9" hidden="1">
      <c r="A33" s="3" t="str">
        <f>'Production Plan'!B34</f>
        <v>5.2.8.3.</v>
      </c>
      <c r="B33" s="3">
        <f>VLOOKUP(A33,'Production Plan'!B:V,16,FALSE)</f>
        <v>0</v>
      </c>
      <c r="C33" s="3" t="str">
        <f>VLOOKUP(A33,'Production Plan'!B:G,5,FALSE)</f>
        <v>-</v>
      </c>
      <c r="D33" s="3"/>
      <c r="E33" s="3"/>
      <c r="F33" s="3"/>
      <c r="G33" s="3"/>
      <c r="H33" s="10"/>
      <c r="I33" s="3"/>
    </row>
    <row r="34" spans="1:9" hidden="1">
      <c r="A34" s="3" t="str">
        <f>'Production Plan'!B35</f>
        <v>5.2.8.4.</v>
      </c>
      <c r="B34" s="3">
        <f>VLOOKUP(A34,'Production Plan'!B:V,16,FALSE)</f>
        <v>0</v>
      </c>
      <c r="C34" s="3" t="str">
        <f>VLOOKUP(A34,'Production Plan'!B:G,5,FALSE)</f>
        <v>Sagsstatus</v>
      </c>
      <c r="D34" s="3"/>
      <c r="E34" s="3"/>
      <c r="F34" s="3"/>
      <c r="G34" s="3"/>
      <c r="H34" s="10"/>
      <c r="I34" s="3"/>
    </row>
    <row r="35" spans="1:9" hidden="1">
      <c r="A35" s="3" t="str">
        <f>'Production Plan'!B36</f>
        <v>5.2.8.5.</v>
      </c>
      <c r="B35" s="3">
        <f>VLOOKUP(A35,'Production Plan'!B:V,16,FALSE)</f>
        <v>0</v>
      </c>
      <c r="C35" s="3" t="str">
        <f>VLOOKUP(A35,'Production Plan'!B:G,5,FALSE)</f>
        <v>Håndtering af modtaget information</v>
      </c>
      <c r="D35" s="3"/>
      <c r="E35" s="3"/>
      <c r="F35" s="3"/>
      <c r="G35" s="3"/>
      <c r="H35" s="10"/>
      <c r="I35" s="3"/>
    </row>
    <row r="36" spans="1:9" hidden="1">
      <c r="A36" s="3" t="str">
        <f>'Production Plan'!B37</f>
        <v>5.2.8.6.</v>
      </c>
      <c r="B36" s="3">
        <f>VLOOKUP(A36,'Production Plan'!B:V,16,FALSE)</f>
        <v>0</v>
      </c>
      <c r="C36" s="3" t="str">
        <f>VLOOKUP(A36,'Production Plan'!B:G,5,FALSE)</f>
        <v>-</v>
      </c>
      <c r="D36" s="3"/>
      <c r="E36" s="3"/>
      <c r="F36" s="3"/>
      <c r="G36" s="3"/>
      <c r="H36" s="10"/>
      <c r="I36" s="3"/>
    </row>
    <row r="37" spans="1:9" hidden="1">
      <c r="A37" s="3" t="str">
        <f>'Production Plan'!B38</f>
        <v>5.2.8.7.</v>
      </c>
      <c r="B37" s="3">
        <f>VLOOKUP(A37,'Production Plan'!B:V,16,FALSE)</f>
        <v>0</v>
      </c>
      <c r="C37" s="3" t="str">
        <f>VLOOKUP(A37,'Production Plan'!B:G,5,FALSE)</f>
        <v>-</v>
      </c>
      <c r="D37" s="3"/>
      <c r="E37" s="3"/>
      <c r="F37" s="3"/>
      <c r="G37" s="3"/>
      <c r="H37" s="10"/>
      <c r="I37" s="3"/>
    </row>
    <row r="38" spans="1:9" hidden="1">
      <c r="A38" s="3" t="str">
        <f>'Production Plan'!B39</f>
        <v>5.2.8.8.</v>
      </c>
      <c r="B38" s="3">
        <f>VLOOKUP(A38,'Production Plan'!B:V,16,FALSE)</f>
        <v>0</v>
      </c>
      <c r="C38" s="3" t="str">
        <f>VLOOKUP(A38,'Production Plan'!B:G,5,FALSE)</f>
        <v>Kommunikation</v>
      </c>
      <c r="D38" s="3"/>
      <c r="E38" s="3"/>
      <c r="F38" s="3"/>
      <c r="G38" s="3"/>
      <c r="H38" s="10"/>
      <c r="I38" s="3"/>
    </row>
    <row r="39" spans="1:9" hidden="1">
      <c r="A39" s="3" t="str">
        <f>'Production Plan'!B40</f>
        <v>5.2.8.9.</v>
      </c>
      <c r="B39" s="3">
        <f>VLOOKUP(A39,'Production Plan'!B:V,16,FALSE)</f>
        <v>0</v>
      </c>
      <c r="C39" s="3" t="str">
        <f>VLOOKUP(A39,'Production Plan'!B:G,5,FALSE)</f>
        <v>-</v>
      </c>
      <c r="D39" s="3"/>
      <c r="E39" s="3"/>
      <c r="F39" s="3"/>
      <c r="G39" s="3"/>
      <c r="H39" s="10"/>
      <c r="I39" s="3"/>
    </row>
    <row r="40" spans="1:9" hidden="1">
      <c r="A40" s="3" t="str">
        <f>'Production Plan'!B41</f>
        <v>5.2.8.10.</v>
      </c>
      <c r="B40" s="3">
        <f>VLOOKUP(A40,'Production Plan'!B:V,16,FALSE)</f>
        <v>0</v>
      </c>
      <c r="C40" s="3" t="str">
        <f>VLOOKUP(A40,'Production Plan'!B:G,5,FALSE)</f>
        <v>-</v>
      </c>
      <c r="D40" s="3"/>
      <c r="E40" s="3"/>
      <c r="F40" s="3"/>
      <c r="G40" s="3"/>
      <c r="H40" s="10"/>
      <c r="I40" s="3"/>
    </row>
    <row r="41" spans="1:9" hidden="1">
      <c r="A41" s="3" t="str">
        <f>'Production Plan'!B42</f>
        <v>5.2.8.11.</v>
      </c>
      <c r="B41" s="3">
        <f>VLOOKUP(A41,'Production Plan'!B:V,16,FALSE)</f>
        <v>0</v>
      </c>
      <c r="C41" s="3" t="str">
        <f>VLOOKUP(A41,'Production Plan'!B:G,5,FALSE)</f>
        <v>Dokumenthåndtering i løsningen</v>
      </c>
      <c r="D41" s="3"/>
      <c r="E41" s="3"/>
      <c r="F41" s="3"/>
      <c r="G41" s="3"/>
      <c r="H41" s="10"/>
      <c r="I41" s="3"/>
    </row>
    <row r="42" spans="1:9" hidden="1">
      <c r="A42" t="str">
        <f>'Production Plan'!B43</f>
        <v>5.2.8.12.</v>
      </c>
      <c r="B42">
        <f>VLOOKUP(A42,'Production Plan'!B:V,16,FALSE)</f>
        <v>0</v>
      </c>
      <c r="C42" t="str">
        <f>VLOOKUP(A42,'Production Plan'!B:G,5,FALSE)</f>
        <v>-</v>
      </c>
      <c r="F42"/>
    </row>
    <row r="43" spans="1:9" hidden="1">
      <c r="A43" t="str">
        <f>'Production Plan'!B44</f>
        <v>5.2.8.13.</v>
      </c>
      <c r="B43">
        <f>VLOOKUP(A43,'Production Plan'!B:V,16,FALSE)</f>
        <v>0</v>
      </c>
      <c r="C43" t="str">
        <f>VLOOKUP(A43,'Production Plan'!B:G,5,FALSE)</f>
        <v>-</v>
      </c>
      <c r="F43"/>
    </row>
    <row r="44" spans="1:9" hidden="1">
      <c r="A44" t="str">
        <f>'Production Plan'!B48</f>
        <v>5.2.9.1.</v>
      </c>
      <c r="B44">
        <f>VLOOKUP(A44,'Production Plan'!B:V,16,FALSE)</f>
        <v>0</v>
      </c>
      <c r="C44" t="str">
        <f>VLOOKUP(A44,'Production Plan'!B:G,5,FALSE)</f>
        <v>-</v>
      </c>
      <c r="F44"/>
    </row>
    <row r="45" spans="1:9" hidden="1">
      <c r="A45" t="str">
        <f>'Production Plan'!B49</f>
        <v>5.2.9.2.</v>
      </c>
      <c r="B45">
        <f>VLOOKUP(A45,'Production Plan'!B:V,16,FALSE)</f>
        <v>0</v>
      </c>
      <c r="C45" t="str">
        <f>VLOOKUP(A45,'Production Plan'!B:G,5,FALSE)</f>
        <v>-</v>
      </c>
      <c r="F45"/>
    </row>
    <row r="46" spans="1:9" hidden="1">
      <c r="A46" t="str">
        <f>'Production Plan'!B50</f>
        <v>5.2.9.3.</v>
      </c>
      <c r="B46">
        <f>VLOOKUP(A46,'Production Plan'!B:V,16,FALSE)</f>
        <v>0</v>
      </c>
      <c r="C46" t="str">
        <f>VLOOKUP(A46,'Production Plan'!B:G,5,FALSE)</f>
        <v>-</v>
      </c>
      <c r="F46"/>
    </row>
    <row r="47" spans="1:9" hidden="1">
      <c r="A47" t="str">
        <f>'Production Plan'!B51</f>
        <v>5.2.9.4.</v>
      </c>
      <c r="B47">
        <f>VLOOKUP(A47,'Production Plan'!B:V,16,FALSE)</f>
        <v>0</v>
      </c>
      <c r="C47" t="str">
        <f>VLOOKUP(A47,'Production Plan'!B:G,5,FALSE)</f>
        <v>-</v>
      </c>
      <c r="F47"/>
    </row>
    <row r="48" spans="1:9" hidden="1">
      <c r="A48" t="str">
        <f>'Production Plan'!B52</f>
        <v>5.2.9.5.</v>
      </c>
      <c r="B48">
        <f>VLOOKUP(A48,'Production Plan'!B:V,16,FALSE)</f>
        <v>0</v>
      </c>
      <c r="C48" t="str">
        <f>VLOOKUP(A48,'Production Plan'!B:G,5,FALSE)</f>
        <v>-</v>
      </c>
      <c r="F48"/>
    </row>
    <row r="49" spans="1:6" hidden="1">
      <c r="A49" t="str">
        <f>'Production Plan'!B53</f>
        <v>5.2.9.6.</v>
      </c>
      <c r="B49">
        <f>VLOOKUP(A49,'Production Plan'!B:V,16,FALSE)</f>
        <v>0</v>
      </c>
      <c r="C49" t="str">
        <f>VLOOKUP(A49,'Production Plan'!B:G,5,FALSE)</f>
        <v>-</v>
      </c>
      <c r="F49"/>
    </row>
    <row r="50" spans="1:6" hidden="1">
      <c r="A50" t="str">
        <f>'Production Plan'!B54</f>
        <v>5.2.9.7.</v>
      </c>
      <c r="B50">
        <f>VLOOKUP(A50,'Production Plan'!B:V,16,FALSE)</f>
        <v>0</v>
      </c>
      <c r="C50" t="str">
        <f>VLOOKUP(A50,'Production Plan'!B:G,5,FALSE)</f>
        <v>-</v>
      </c>
      <c r="F50"/>
    </row>
    <row r="51" spans="1:6" hidden="1">
      <c r="A51" t="str">
        <f>'Production Plan'!B55</f>
        <v>5.2.10.1.</v>
      </c>
      <c r="B51">
        <f>VLOOKUP(A51,'Production Plan'!B:V,16,FALSE)</f>
        <v>0</v>
      </c>
      <c r="C51" t="str">
        <f>VLOOKUP(A51,'Production Plan'!B:G,5,FALSE)</f>
        <v>Dataafgrænsning af sager</v>
      </c>
      <c r="F51"/>
    </row>
    <row r="52" spans="1:6" hidden="1">
      <c r="A52" t="str">
        <f>'Production Plan'!B57</f>
        <v>5.2.11.1.</v>
      </c>
      <c r="B52">
        <f>VLOOKUP(A52,'Production Plan'!B:V,16,FALSE)</f>
        <v>0</v>
      </c>
      <c r="C52" t="str">
        <f>VLOOKUP(A52,'Production Plan'!B:G,5,FALSE)</f>
        <v>Sagsbehandlingstid og servicemålstid</v>
      </c>
      <c r="F52"/>
    </row>
    <row r="53" spans="1:6" hidden="1">
      <c r="A53" t="str">
        <f>'Production Plan'!B58</f>
        <v>5.2.11.2.</v>
      </c>
      <c r="B53">
        <f>VLOOKUP(A53,'Production Plan'!B:V,16,FALSE)</f>
        <v>0</v>
      </c>
      <c r="C53" t="str">
        <f>VLOOKUP(A53,'Production Plan'!B:G,5,FALSE)</f>
        <v>Servicemålstid start/stop</v>
      </c>
      <c r="F53"/>
    </row>
    <row r="54" spans="1:6" hidden="1">
      <c r="A54" t="str">
        <f>'Production Plan'!B59</f>
        <v>5.2.11.3</v>
      </c>
      <c r="B54">
        <f>VLOOKUP(A54,'Production Plan'!B:V,16,FALSE)</f>
        <v>0</v>
      </c>
      <c r="C54" t="str">
        <f>VLOOKUP(A54,'Production Plan'!B:G,5,FALSE)</f>
        <v>Sagsbehandlingstid for ikke-BOM sager</v>
      </c>
      <c r="F54"/>
    </row>
    <row r="55" spans="1:6" hidden="1">
      <c r="A55" t="str">
        <f>'Production Plan'!B62</f>
        <v>5.2.12.1.</v>
      </c>
      <c r="B55">
        <f>VLOOKUP(A55,'Production Plan'!B:V,16,FALSE)</f>
        <v>0</v>
      </c>
      <c r="C55" t="str">
        <f>VLOOKUP(A55,'Production Plan'!B:G,5,FALSE)</f>
        <v>Sagens overblik</v>
      </c>
      <c r="F55"/>
    </row>
    <row r="56" spans="1:6" hidden="1">
      <c r="A56" t="str">
        <f>'Production Plan'!B63</f>
        <v>5.2.12.2</v>
      </c>
      <c r="B56">
        <f>VLOOKUP(A56,'Production Plan'!B:V,16,FALSE)</f>
        <v>0</v>
      </c>
      <c r="C56" t="str">
        <f>VLOOKUP(A56,'Production Plan'!B:G,5,FALSE)</f>
        <v>Understøtte sagsflow</v>
      </c>
      <c r="F56"/>
    </row>
    <row r="57" spans="1:6" hidden="1">
      <c r="A57" t="str">
        <f>'Production Plan'!B66</f>
        <v>5.2.13.1.</v>
      </c>
      <c r="B57">
        <f>VLOOKUP(A57,'Production Plan'!B:V,16,FALSE)</f>
        <v>0</v>
      </c>
      <c r="C57" t="str">
        <f>VLOOKUP(A57,'Production Plan'!B:G,5,FALSE)</f>
        <v>Sagsoprettelse via standardskabelon</v>
      </c>
      <c r="F57"/>
    </row>
    <row r="58" spans="1:6" hidden="1">
      <c r="A58" t="str">
        <f>'Production Plan'!B67</f>
        <v>5.2.13.2.</v>
      </c>
      <c r="B58">
        <f>VLOOKUP(A58,'Production Plan'!B:V,16,FALSE)</f>
        <v>0</v>
      </c>
      <c r="C58" t="str">
        <f>VLOOKUP(A58,'Production Plan'!B:G,5,FALSE)</f>
        <v>Standardsagers procesunderstøttelse</v>
      </c>
      <c r="F58"/>
    </row>
    <row r="59" spans="1:6" hidden="1">
      <c r="A59" t="str">
        <f>'Production Plan'!B69</f>
        <v>5.2.14.1.</v>
      </c>
      <c r="B59">
        <f>VLOOKUP(A59,'Production Plan'!B:V,16,FALSE)</f>
        <v>0</v>
      </c>
      <c r="C59" t="str">
        <f>VLOOKUP(A59,'Production Plan'!B:G,5,FALSE)</f>
        <v>Advis funktion</v>
      </c>
      <c r="F59"/>
    </row>
    <row r="60" spans="1:6" hidden="1">
      <c r="A60" t="str">
        <f>'Production Plan'!B70</f>
        <v>5.2.14.2.</v>
      </c>
      <c r="B60">
        <f>VLOOKUP(A60,'Production Plan'!B:V,16,FALSE)</f>
        <v>0</v>
      </c>
      <c r="C60" t="str">
        <f>VLOOKUP(A60,'Production Plan'!B:G,5,FALSE)</f>
        <v>Tilpasning af advis</v>
      </c>
      <c r="F60"/>
    </row>
    <row r="61" spans="1:6" hidden="1">
      <c r="A61" t="str">
        <f>'Production Plan'!B72</f>
        <v>5.2.15.1.</v>
      </c>
      <c r="B61">
        <f>VLOOKUP(A61,'Production Plan'!B:V,16,FALSE)</f>
        <v>0</v>
      </c>
      <c r="C61" t="str">
        <f>VLOOKUP(A61,'Production Plan'!B:G,5,FALSE)</f>
        <v>Markering af dokumenter til FilArkiv</v>
      </c>
      <c r="F61"/>
    </row>
    <row r="62" spans="1:6" hidden="1">
      <c r="A62" t="str">
        <f>'Production Plan'!B73</f>
        <v>5.2.15.2.</v>
      </c>
      <c r="B62">
        <f>VLOOKUP(A62,'Production Plan'!B:V,16,FALSE)</f>
        <v>0</v>
      </c>
      <c r="C62" t="str">
        <f>VLOOKUP(A62,'Production Plan'!B:G,5,FALSE)</f>
        <v>Håndtering af navne- og adressebeskyttelse</v>
      </c>
      <c r="F62"/>
    </row>
    <row r="63" spans="1:6" hidden="1">
      <c r="A63" t="str">
        <f>'Production Plan'!B74</f>
        <v>5.2.15.3.</v>
      </c>
      <c r="B63">
        <f>VLOOKUP(A63,'Production Plan'!B:V,16,FALSE)</f>
        <v>0</v>
      </c>
      <c r="C63" t="str">
        <f>VLOOKUP(A63,'Production Plan'!B:G,5,FALSE)</f>
        <v>Overførsel af sagens data og dokumentation</v>
      </c>
      <c r="F63"/>
    </row>
    <row r="64" spans="1:6" hidden="1">
      <c r="A64" t="str">
        <f>'Production Plan'!B75</f>
        <v>5.2.15.4.</v>
      </c>
      <c r="B64">
        <f>VLOOKUP(A64,'Production Plan'!B:V,16,FALSE)</f>
        <v>0</v>
      </c>
      <c r="C64" t="str">
        <f>VLOOKUP(A64,'Production Plan'!B:G,5,FALSE)</f>
        <v>Status på overførsel og fejlhåndtering</v>
      </c>
      <c r="F64"/>
    </row>
    <row r="65" spans="1:6" hidden="1">
      <c r="A65" t="str">
        <f>'Production Plan'!B78</f>
        <v>5.2.16.1.</v>
      </c>
      <c r="B65" t="str">
        <f>VLOOKUP(A65,'Production Plan'!B:V,16,FALSE)</f>
        <v>Plan &amp; Build 360</v>
      </c>
      <c r="C65" t="str">
        <f>VLOOKUP(A65,'Production Plan'!B:G,5,FALSE)</f>
        <v xml:space="preserve">Håndtering af servicemålssager </v>
      </c>
      <c r="F65"/>
    </row>
    <row r="66" spans="1:6" hidden="1">
      <c r="A66" t="str">
        <f>'Production Plan'!B79</f>
        <v>5.2.16.2.</v>
      </c>
      <c r="B66" t="str">
        <f>VLOOKUP(A66,'Production Plan'!B:V,16,FALSE)</f>
        <v>Management Reporting API</v>
      </c>
      <c r="C66" t="str">
        <f>VLOOKUP(A66,'Production Plan'!B:G,5,FALSE)</f>
        <v xml:space="preserve">Data på tværs af servicemålskategorier </v>
      </c>
      <c r="F66"/>
    </row>
    <row r="67" spans="1:6" hidden="1">
      <c r="A67" t="str">
        <f>'Production Plan'!B80</f>
        <v>5.2.16.3.</v>
      </c>
      <c r="B67" t="str">
        <f>VLOOKUP(A67,'Production Plan'!B:V,16,FALSE)</f>
        <v>Plan &amp; Build 360/BOM-integration</v>
      </c>
      <c r="C67" t="str">
        <f>VLOOKUP(A67,'Production Plan'!B:G,5,FALSE)</f>
        <v>Data på enkelte sager</v>
      </c>
      <c r="F67"/>
    </row>
    <row r="68" spans="1:6" hidden="1">
      <c r="A68" t="str">
        <f>'Production Plan'!B82</f>
        <v>5.2.17.1.</v>
      </c>
      <c r="B68">
        <f>VLOOKUP(A68,'Production Plan'!B:V,16,FALSE)</f>
        <v>0</v>
      </c>
      <c r="C68" t="str">
        <f>VLOOKUP(A68,'Production Plan'!B:G,5,FALSE)</f>
        <v>Registrering af tid på sager</v>
      </c>
      <c r="F68"/>
    </row>
    <row r="69" spans="1:6" hidden="1">
      <c r="A69" t="str">
        <f>'Production Plan'!B83</f>
        <v>5.2.17.2.</v>
      </c>
      <c r="B69">
        <f>VLOOKUP(A69,'Production Plan'!B:V,16,FALSE)</f>
        <v>0</v>
      </c>
      <c r="C69" t="str">
        <f>VLOOKUP(A69,'Production Plan'!B:G,5,FALSE)</f>
        <v>Registrering af anden tid</v>
      </c>
      <c r="F69"/>
    </row>
    <row r="70" spans="1:6" hidden="1">
      <c r="A70" t="str">
        <f>'Production Plan'!B84</f>
        <v>5.2.17.3.</v>
      </c>
      <c r="B70">
        <f>VLOOKUP(A70,'Production Plan'!B:V,16,FALSE)</f>
        <v>0</v>
      </c>
      <c r="C70" t="str">
        <f>VLOOKUP(A70,'Production Plan'!B:G,5,FALSE)</f>
        <v xml:space="preserve">Visning af tidsregistreringer </v>
      </c>
      <c r="F70"/>
    </row>
    <row r="71" spans="1:6" hidden="1">
      <c r="A71" t="str">
        <f>'Production Plan'!B85</f>
        <v>5.2.17.4.</v>
      </c>
      <c r="B71">
        <f>VLOOKUP(A71,'Production Plan'!B:V,16,FALSE)</f>
        <v>0</v>
      </c>
      <c r="C71" t="str">
        <f>VLOOKUP(A71,'Production Plan'!B:G,5,FALSE)</f>
        <v xml:space="preserve">Registreringstyper </v>
      </c>
      <c r="F71"/>
    </row>
    <row r="72" spans="1:6" hidden="1">
      <c r="A72" t="str">
        <f>'Production Plan'!B86</f>
        <v>5.2.17.5.</v>
      </c>
      <c r="B72">
        <f>VLOOKUP(A72,'Production Plan'!B:V,16,FALSE)</f>
        <v>0</v>
      </c>
      <c r="C72" t="str">
        <f>VLOOKUP(A72,'Production Plan'!B:G,5,FALSE)</f>
        <v>Driftsstyring og ledelsesoverblik</v>
      </c>
      <c r="F72"/>
    </row>
    <row r="73" spans="1:6" hidden="1">
      <c r="A73" t="str">
        <f>'Production Plan'!B88</f>
        <v>5.2.18.1.</v>
      </c>
      <c r="B73" t="str">
        <f>VLOOKUP(A73,'Production Plan'!B:V,16,FALSE)</f>
        <v>Management Reporting API</v>
      </c>
      <c r="C73" t="str">
        <f>VLOOKUP(A73,'Production Plan'!B:G,5,FALSE)</f>
        <v>Rapportering og dataoverførsel</v>
      </c>
      <c r="F73"/>
    </row>
    <row r="74" spans="1:6" hidden="1">
      <c r="A74" t="str">
        <f>'Production Plan'!B90</f>
        <v>5.2.19.1.</v>
      </c>
      <c r="B74">
        <f>VLOOKUP(A74,'Production Plan'!B:V,16,FALSE)</f>
        <v>0</v>
      </c>
      <c r="C74" t="str">
        <f>VLOOKUP(A74,'Production Plan'!B:G,5,FALSE)</f>
        <v xml:space="preserve">Anvendelse af AI og algoritmer </v>
      </c>
      <c r="F74"/>
    </row>
    <row r="75" spans="1:6" hidden="1">
      <c r="A75" t="str">
        <f>'Production Plan'!B91</f>
        <v>5.3.1.1.</v>
      </c>
      <c r="B75">
        <f>VLOOKUP(A75,'Production Plan'!B:V,16,FALSE)</f>
        <v>0</v>
      </c>
      <c r="C75" t="str">
        <f>VLOOKUP(A75,'Production Plan'!B:G,5,FALSE)</f>
        <v>Autentiske kopier af kommunikation</v>
      </c>
      <c r="F75"/>
    </row>
    <row r="76" spans="1:6" hidden="1">
      <c r="A76" t="str">
        <f>'Production Plan'!B92</f>
        <v>5.3.1.2.</v>
      </c>
      <c r="B76">
        <f>VLOOKUP(A76,'Production Plan'!B:V,16,FALSE)</f>
        <v>0</v>
      </c>
      <c r="C76" t="str">
        <f>VLOOKUP(A76,'Production Plan'!B:G,5,FALSE)</f>
        <v>PDF/A-formaterne</v>
      </c>
      <c r="F76"/>
    </row>
    <row r="77" spans="1:6" hidden="1">
      <c r="A77" t="str">
        <f>'Production Plan'!B93</f>
        <v>5.3.1.3.</v>
      </c>
      <c r="B77">
        <f>VLOOKUP(A77,'Production Plan'!B:V,16,FALSE)</f>
        <v>0</v>
      </c>
      <c r="C77" t="str">
        <f>VLOOKUP(A77,'Production Plan'!B:G,5,FALSE)</f>
        <v>Automatisk datering af breve</v>
      </c>
      <c r="F77"/>
    </row>
    <row r="78" spans="1:6" hidden="1">
      <c r="A78" t="str">
        <f>'Production Plan'!B94</f>
        <v>5.3.1.4.</v>
      </c>
      <c r="B78">
        <f>VLOOKUP(A78,'Production Plan'!B:V,16,FALSE)</f>
        <v>0</v>
      </c>
      <c r="C78" t="str">
        <f>VLOOKUP(A78,'Production Plan'!B:G,5,FALSE)</f>
        <v>Notatpligt</v>
      </c>
      <c r="F78"/>
    </row>
    <row r="79" spans="1:6" hidden="1">
      <c r="A79" t="str">
        <f>'Production Plan'!B95</f>
        <v>5.3.1.5.</v>
      </c>
      <c r="B79">
        <f>VLOOKUP(A79,'Production Plan'!B:V,16,FALSE)</f>
        <v>0</v>
      </c>
      <c r="C79" t="str">
        <f>VLOOKUP(A79,'Production Plan'!B:G,5,FALSE)</f>
        <v>Understøttelse af aktindsigter</v>
      </c>
      <c r="F79"/>
    </row>
    <row r="80" spans="1:6" hidden="1">
      <c r="A80" t="str">
        <f>'Production Plan'!B96</f>
        <v>5.3.1.1.1.</v>
      </c>
      <c r="B80">
        <f>VLOOKUP(A80,'Production Plan'!B:V,16,FALSE)</f>
        <v>0</v>
      </c>
      <c r="C80" t="str">
        <f>VLOOKUP(A80,'Production Plan'!B:G,5,FALSE)</f>
        <v>Arkivering til Stadsarkivet</v>
      </c>
      <c r="F80"/>
    </row>
    <row r="81" spans="1:6" hidden="1">
      <c r="A81" t="str">
        <f>'Production Plan'!B97</f>
        <v>5.3.1.1.2.</v>
      </c>
      <c r="B81">
        <f>VLOOKUP(A81,'Production Plan'!B:V,16,FALSE)</f>
        <v>0</v>
      </c>
      <c r="C81" t="str">
        <f>VLOOKUP(A81,'Production Plan'!B:G,5,FALSE)</f>
        <v>Sletning af bevaringsværdige data</v>
      </c>
      <c r="F81"/>
    </row>
    <row r="82" spans="1:6" hidden="1">
      <c r="A82" t="str">
        <f>'Production Plan'!B99</f>
        <v>5.3.2.1</v>
      </c>
      <c r="B82">
        <f>VLOOKUP(A82,'Production Plan'!B:V,16,FALSE)</f>
        <v>0</v>
      </c>
      <c r="C82" t="str">
        <f>VLOOKUP(A82,'Production Plan'!B:G,5,FALSE)</f>
        <v>Hosting og miljøer</v>
      </c>
      <c r="F82"/>
    </row>
    <row r="83" spans="1:6" hidden="1">
      <c r="A83" t="str">
        <f>'Production Plan'!B100</f>
        <v>5.3.2.2</v>
      </c>
      <c r="B83">
        <f>VLOOKUP(A83,'Production Plan'!B:V,16,FALSE)</f>
        <v>0</v>
      </c>
      <c r="C83" t="str">
        <f>VLOOKUP(A83,'Production Plan'!B:G,5,FALSE)</f>
        <v>Løst koblet arkitektur</v>
      </c>
      <c r="F83"/>
    </row>
    <row r="84" spans="1:6" hidden="1">
      <c r="A84" t="str">
        <f>'Production Plan'!B101</f>
        <v>5.3.2.3</v>
      </c>
      <c r="B84">
        <f>VLOOKUP(A84,'Production Plan'!B:V,16,FALSE)</f>
        <v>0</v>
      </c>
      <c r="C84" t="str">
        <f>VLOOKUP(A84,'Production Plan'!B:G,5,FALSE)</f>
        <v>Segmentering af komponenter</v>
      </c>
      <c r="F84"/>
    </row>
    <row r="85" spans="1:6" hidden="1">
      <c r="A85" t="str">
        <f>'Production Plan'!B102</f>
        <v>5.3.2.4</v>
      </c>
      <c r="B85">
        <f>VLOOKUP(A85,'Production Plan'!B:V,16,FALSE)</f>
        <v>0</v>
      </c>
      <c r="C85" t="str">
        <f>VLOOKUP(A85,'Production Plan'!B:G,5,FALSE)</f>
        <v>Adskillelse af data</v>
      </c>
      <c r="F85"/>
    </row>
    <row r="86" spans="1:6" hidden="1">
      <c r="A86" t="str">
        <f>'Production Plan'!B103</f>
        <v>5.3.2.5</v>
      </c>
      <c r="B86">
        <f>VLOOKUP(A86,'Production Plan'!B:V,16,FALSE)</f>
        <v>0</v>
      </c>
      <c r="C86" t="str">
        <f>VLOOKUP(A86,'Production Plan'!B:G,5,FALSE)</f>
        <v>Beskyttelse mod angreb</v>
      </c>
      <c r="F86"/>
    </row>
    <row r="87" spans="1:6" hidden="1">
      <c r="A87" t="str">
        <f>'Production Plan'!B104</f>
        <v>5.3.3.1.1</v>
      </c>
      <c r="B87">
        <f>VLOOKUP(A87,'Production Plan'!B:V,16,FALSE)</f>
        <v>0</v>
      </c>
      <c r="C87" t="str">
        <f>VLOOKUP(A87,'Production Plan'!B:G,5,FALSE)</f>
        <v>Datakvalitet og -integritet i Systemet</v>
      </c>
      <c r="F87"/>
    </row>
    <row r="88" spans="1:6" hidden="1">
      <c r="A88" t="str">
        <f>'Production Plan'!B105</f>
        <v>5.3.3.1.2</v>
      </c>
      <c r="B88">
        <f>VLOOKUP(A88,'Production Plan'!B:V,16,FALSE)</f>
        <v>0</v>
      </c>
      <c r="C88" t="str">
        <f>VLOOKUP(A88,'Production Plan'!B:G,5,FALSE)</f>
        <v>Fejlmeldinger ved dataoverførsel</v>
      </c>
      <c r="F88"/>
    </row>
    <row r="89" spans="1:6" hidden="1">
      <c r="A89" t="str">
        <f>'Production Plan'!B106</f>
        <v>5.3.3.2.1</v>
      </c>
      <c r="B89">
        <f>VLOOKUP(A89,'Production Plan'!B:V,16,FALSE)</f>
        <v>0</v>
      </c>
      <c r="C89" t="str">
        <f>VLOOKUP(A89,'Production Plan'!B:G,5,FALSE)</f>
        <v>Systemets begrebsmodel</v>
      </c>
      <c r="F89"/>
    </row>
    <row r="90" spans="1:6" hidden="1">
      <c r="A90" t="str">
        <f>'Production Plan'!B107</f>
        <v>5.3.4.1</v>
      </c>
      <c r="B90">
        <f>VLOOKUP(A90,'Production Plan'!B:V,16,FALSE)</f>
        <v>0</v>
      </c>
      <c r="C90" t="str">
        <f>VLOOKUP(A90,'Production Plan'!B:G,5,FALSE)</f>
        <v>Sprog</v>
      </c>
      <c r="F90"/>
    </row>
    <row r="91" spans="1:6" hidden="1">
      <c r="A91" t="str">
        <f>'Production Plan'!B108</f>
        <v>5.3.4.2</v>
      </c>
      <c r="B91">
        <f>VLOOKUP(A91,'Production Plan'!B:V,16,FALSE)</f>
        <v>0</v>
      </c>
      <c r="C91" t="str">
        <f>VLOOKUP(A91,'Production Plan'!B:G,5,FALSE)</f>
        <v>Fejltekster og meddelelser</v>
      </c>
      <c r="F91"/>
    </row>
    <row r="92" spans="1:6" hidden="1">
      <c r="A92" t="str">
        <f>'Production Plan'!B109</f>
        <v>5.3.4.3</v>
      </c>
      <c r="B92">
        <f>VLOOKUP(A92,'Production Plan'!B:V,16,FALSE)</f>
        <v>0</v>
      </c>
      <c r="C92" t="str">
        <f>VLOOKUP(A92,'Production Plan'!B:G,5,FALSE)</f>
        <v>Stavekontrol</v>
      </c>
      <c r="F92"/>
    </row>
    <row r="93" spans="1:6" hidden="1">
      <c r="A93" t="str">
        <f>'Production Plan'!B110</f>
        <v>5.3.4.4</v>
      </c>
      <c r="B93">
        <f>VLOOKUP(A93,'Production Plan'!B:V,16,FALSE)</f>
        <v>0</v>
      </c>
      <c r="C93" t="str">
        <f>VLOOKUP(A93,'Production Plan'!B:G,5,FALSE)</f>
        <v>Danske tegn og specialtegn</v>
      </c>
      <c r="F93"/>
    </row>
    <row r="94" spans="1:6" hidden="1">
      <c r="A94" t="str">
        <f>'Production Plan'!B111</f>
        <v>5.3.5.1</v>
      </c>
      <c r="B94">
        <f>VLOOKUP(A94,'Production Plan'!B:V,16,FALSE)</f>
        <v>0</v>
      </c>
      <c r="C94" t="str">
        <f>VLOOKUP(A94,'Production Plan'!B:G,5,FALSE)</f>
        <v>Brugernes oplevelse af pålidelighed og robusthed</v>
      </c>
      <c r="F94"/>
    </row>
    <row r="95" spans="1:6" hidden="1">
      <c r="A95" t="str">
        <f>'Production Plan'!B112</f>
        <v>5.3.5.2</v>
      </c>
      <c r="B95">
        <f>VLOOKUP(A95,'Production Plan'!B:V,16,FALSE)</f>
        <v>0</v>
      </c>
      <c r="C95" t="str">
        <f>VLOOKUP(A95,'Production Plan'!B:G,5,FALSE)</f>
        <v>Vedhæftede filtyper</v>
      </c>
      <c r="F95"/>
    </row>
    <row r="96" spans="1:6" hidden="1">
      <c r="A96" t="str">
        <f>'Production Plan'!B113</f>
        <v>5.3.5.2</v>
      </c>
      <c r="B96">
        <f>VLOOKUP(A96,'Production Plan'!B:V,16,FALSE)</f>
        <v>0</v>
      </c>
      <c r="C96" t="str">
        <f>VLOOKUP(A96,'Production Plan'!B:G,5,FALSE)</f>
        <v>Vedhæftede filtyper</v>
      </c>
      <c r="F96"/>
    </row>
    <row r="97" spans="1:6" hidden="1">
      <c r="A97" t="str">
        <f>'Production Plan'!B114</f>
        <v>5.3.5.3</v>
      </c>
      <c r="B97">
        <f>VLOOKUP(A97,'Production Plan'!B:V,16,FALSE)</f>
        <v>0</v>
      </c>
      <c r="C97" t="str">
        <f>VLOOKUP(A97,'Production Plan'!B:G,5,FALSE)</f>
        <v>Genoptagelse af arbejde efter nedbrud</v>
      </c>
      <c r="F97"/>
    </row>
    <row r="98" spans="1:6" hidden="1">
      <c r="A98" t="str">
        <f>'Production Plan'!B115</f>
        <v>5.3.5.4</v>
      </c>
      <c r="B98">
        <f>VLOOKUP(A98,'Production Plan'!B:V,16,FALSE)</f>
        <v>0</v>
      </c>
      <c r="C98" t="str">
        <f>VLOOKUP(A98,'Production Plan'!B:G,5,FALSE)</f>
        <v>Fejltilstand ved forkert input</v>
      </c>
      <c r="F98"/>
    </row>
    <row r="99" spans="1:6" hidden="1">
      <c r="A99" t="str">
        <f>'Production Plan'!B116</f>
        <v>5.3.6.1.1.</v>
      </c>
      <c r="B99">
        <f>VLOOKUP(A99,'Production Plan'!B:V,16,FALSE)</f>
        <v>0</v>
      </c>
      <c r="C99" t="str">
        <f>VLOOKUP(A99,'Production Plan'!B:G,5,FALSE)</f>
        <v>Webløsning</v>
      </c>
      <c r="F99"/>
    </row>
    <row r="100" spans="1:6" hidden="1">
      <c r="A100" t="str">
        <f>'Production Plan'!B117</f>
        <v>5.3.6.2.1</v>
      </c>
      <c r="B100">
        <f>VLOOKUP(A100,'Production Plan'!B:V,16,FALSE)</f>
        <v>0</v>
      </c>
      <c r="C100" t="str">
        <f>VLOOKUP(A100,'Production Plan'!B:G,5,FALSE)</f>
        <v>Microsoft Windows 11 Enterprise</v>
      </c>
      <c r="F100"/>
    </row>
    <row r="101" spans="1:6" hidden="1">
      <c r="A101" t="str">
        <f>'Production Plan'!B118</f>
        <v>5.3.6.2.2</v>
      </c>
      <c r="B101">
        <f>VLOOKUP(A101,'Production Plan'!B:V,16,FALSE)</f>
        <v>0</v>
      </c>
      <c r="C101" t="str">
        <f>VLOOKUP(A101,'Production Plan'!B:G,5,FALSE)</f>
        <v>Silent installation og afinstallation</v>
      </c>
      <c r="F101"/>
    </row>
    <row r="102" spans="1:6" hidden="1">
      <c r="A102" t="str">
        <f>'Production Plan'!B119</f>
        <v>5.3.6.2.3</v>
      </c>
      <c r="B102">
        <f>VLOOKUP(A102,'Production Plan'!B:V,16,FALSE)</f>
        <v>0</v>
      </c>
      <c r="C102" t="str">
        <f>VLOOKUP(A102,'Production Plan'!B:G,5,FALSE)</f>
        <v>Softwarepakkers installationsmedie</v>
      </c>
      <c r="F102"/>
    </row>
    <row r="103" spans="1:6" hidden="1">
      <c r="A103" t="str">
        <f>'Production Plan'!B120</f>
        <v>5.3.6.2.4</v>
      </c>
      <c r="B103">
        <f>VLOOKUP(A103,'Production Plan'!B:V,16,FALSE)</f>
        <v>0</v>
      </c>
      <c r="C103" t="str">
        <f>VLOOKUP(A103,'Production Plan'!B:G,5,FALSE)</f>
        <v>Versionsstyring på softwarepakker</v>
      </c>
      <c r="F103"/>
    </row>
    <row r="104" spans="1:6" hidden="1">
      <c r="A104" t="str">
        <f>'Production Plan'!B121</f>
        <v>5.3.6.2.5</v>
      </c>
      <c r="B104">
        <f>VLOOKUP(A104,'Production Plan'!B:V,16,FALSE)</f>
        <v>0</v>
      </c>
      <c r="C104" t="str">
        <f>VLOOKUP(A104,'Production Plan'!B:G,5,FALSE)</f>
        <v>Signerede filer</v>
      </c>
      <c r="F104"/>
    </row>
    <row r="105" spans="1:6" hidden="1">
      <c r="A105" t="str">
        <f>'Production Plan'!B122</f>
        <v>5.3.6.2.6</v>
      </c>
      <c r="B105">
        <f>VLOOKUP(A105,'Production Plan'!B:V,16,FALSE)</f>
        <v>0</v>
      </c>
      <c r="C105" t="str">
        <f>VLOOKUP(A105,'Production Plan'!B:G,5,FALSE)</f>
        <v>Softwarepakker og afhængigheder til PC-model</v>
      </c>
      <c r="F105"/>
    </row>
    <row r="106" spans="1:6" hidden="1">
      <c r="A106" t="str">
        <f>'Production Plan'!B123</f>
        <v>5.3.6.2.7</v>
      </c>
      <c r="B106">
        <f>VLOOKUP(A106,'Production Plan'!B:V,16,FALSE)</f>
        <v>0</v>
      </c>
      <c r="C106" t="str">
        <f>VLOOKUP(A106,'Production Plan'!B:G,5,FALSE)</f>
        <v>Licensnøgler og installering</v>
      </c>
      <c r="F106"/>
    </row>
    <row r="107" spans="1:6" hidden="1">
      <c r="A107" t="str">
        <f>'Production Plan'!B124</f>
        <v>5.3.7.1</v>
      </c>
      <c r="B107">
        <f>VLOOKUP(A107,'Production Plan'!B:V,16,FALSE)</f>
        <v>0</v>
      </c>
      <c r="C107" t="str">
        <f>VLOOKUP(A107,'Production Plan'!B:G,5,FALSE)</f>
        <v>CIA</v>
      </c>
      <c r="F107"/>
    </row>
    <row r="108" spans="1:6" hidden="1">
      <c r="A108" t="str">
        <f>'Production Plan'!B125</f>
        <v>5.3.7.2</v>
      </c>
      <c r="B108">
        <f>VLOOKUP(A108,'Production Plan'!B:V,16,FALSE)</f>
        <v>0</v>
      </c>
      <c r="C108" t="str">
        <f>VLOOKUP(A108,'Production Plan'!B:G,5,FALSE)</f>
        <v>Privacy by design</v>
      </c>
      <c r="F108"/>
    </row>
    <row r="109" spans="1:6" hidden="1">
      <c r="A109" t="str">
        <f>'Production Plan'!B126</f>
        <v>5.3.7.3</v>
      </c>
      <c r="B109">
        <f>VLOOKUP(A109,'Production Plan'!B:V,16,FALSE)</f>
        <v>0</v>
      </c>
      <c r="C109" t="str">
        <f>VLOOKUP(A109,'Production Plan'!B:G,5,FALSE)</f>
        <v>Security by default</v>
      </c>
      <c r="F109"/>
    </row>
    <row r="110" spans="1:6" hidden="1">
      <c r="A110" t="str">
        <f>'Production Plan'!B127</f>
        <v>5.3.7.4</v>
      </c>
      <c r="B110">
        <f>VLOOKUP(A110,'Production Plan'!B:V,16,FALSE)</f>
        <v>0</v>
      </c>
      <c r="C110" t="str">
        <f>VLOOKUP(A110,'Production Plan'!B:G,5,FALSE)</f>
        <v>Kryptering af webtrafik</v>
      </c>
      <c r="F110"/>
    </row>
    <row r="111" spans="1:6" hidden="1">
      <c r="A111" t="str">
        <f>'Production Plan'!B128</f>
        <v>5.3.7.5</v>
      </c>
      <c r="B111">
        <f>VLOOKUP(A111,'Production Plan'!B:V,16,FALSE)</f>
        <v>0</v>
      </c>
      <c r="C111" t="str">
        <f>VLOOKUP(A111,'Production Plan'!B:G,5,FALSE)</f>
        <v>Cipher Strength</v>
      </c>
      <c r="F111"/>
    </row>
    <row r="112" spans="1:6" hidden="1">
      <c r="A112" t="str">
        <f>'Production Plan'!B129</f>
        <v>5.3.7.6</v>
      </c>
      <c r="B112">
        <f>VLOOKUP(A112,'Production Plan'!B:V,16,FALSE)</f>
        <v>0</v>
      </c>
      <c r="C112" t="str">
        <f>VLOOKUP(A112,'Production Plan'!B:G,5,FALSE)</f>
        <v>Kryptering baseret på certifikater</v>
      </c>
      <c r="F112"/>
    </row>
    <row r="113" spans="1:6" hidden="1">
      <c r="A113" t="str">
        <f>'Production Plan'!B130</f>
        <v>5.3.7.1.1</v>
      </c>
      <c r="B113">
        <f>VLOOKUP(A113,'Production Plan'!B:V,16,FALSE)</f>
        <v>0</v>
      </c>
      <c r="C113" t="str">
        <f>VLOOKUP(A113,'Production Plan'!B:G,5,FALSE)</f>
        <v>Autentifikation af Brugere</v>
      </c>
      <c r="F113"/>
    </row>
    <row r="114" spans="1:6" hidden="1">
      <c r="A114" t="str">
        <f>'Production Plan'!B131</f>
        <v>5.3.7.1.2</v>
      </c>
      <c r="B114">
        <f>VLOOKUP(A114,'Production Plan'!B:V,16,FALSE)</f>
        <v>0</v>
      </c>
      <c r="C114" t="str">
        <f>VLOOKUP(A114,'Production Plan'!B:G,5,FALSE)</f>
        <v>Single sign-on for Brugere</v>
      </c>
      <c r="F114"/>
    </row>
    <row r="115" spans="1:6" hidden="1">
      <c r="A115" t="str">
        <f>'Production Plan'!B132</f>
        <v>5.3.7.1.3</v>
      </c>
      <c r="B115">
        <f>VLOOKUP(A115,'Production Plan'!B:V,16,FALSE)</f>
        <v>0</v>
      </c>
      <c r="C115" t="str">
        <f>VLOOKUP(A115,'Production Plan'!B:G,5,FALSE)</f>
        <v>Sessioner</v>
      </c>
      <c r="F115"/>
    </row>
    <row r="116" spans="1:6" hidden="1">
      <c r="A116" t="str">
        <f>'Production Plan'!B133</f>
        <v>5.3.7.1.4</v>
      </c>
      <c r="B116">
        <f>VLOOKUP(A116,'Production Plan'!B:V,16,FALSE)</f>
        <v>0</v>
      </c>
      <c r="C116" t="str">
        <f>VLOOKUP(A116,'Production Plan'!B:G,5,FALSE)</f>
        <v>Håndtering af session timeout</v>
      </c>
      <c r="F116"/>
    </row>
    <row r="117" spans="1:6" hidden="1">
      <c r="A117" t="str">
        <f>'Production Plan'!B134</f>
        <v>5.3.7.1.5</v>
      </c>
      <c r="B117">
        <f>VLOOKUP(A117,'Production Plan'!B:V,16,FALSE)</f>
        <v>0</v>
      </c>
      <c r="C117" t="str">
        <f>VLOOKUP(A117,'Production Plan'!B:G,5,FALSE)</f>
        <v>Autorisation af Brugere</v>
      </c>
      <c r="F117"/>
    </row>
    <row r="118" spans="1:6" hidden="1">
      <c r="A118" t="str">
        <f>'Production Plan'!B135</f>
        <v>5.3.7.1.6</v>
      </c>
      <c r="B118">
        <f>VLOOKUP(A118,'Production Plan'!B:V,16,FALSE)</f>
        <v>0</v>
      </c>
      <c r="C118" t="str">
        <f>VLOOKUP(A118,'Production Plan'!B:G,5,FALSE)</f>
        <v>Systemets rettighedsmodel</v>
      </c>
      <c r="F118"/>
    </row>
    <row r="119" spans="1:6" hidden="1">
      <c r="A119" t="str">
        <f>'Production Plan'!B136</f>
        <v>5.3.7.1.7</v>
      </c>
      <c r="B119">
        <f>VLOOKUP(A119,'Production Plan'!B:V,16,FALSE)</f>
        <v>0</v>
      </c>
      <c r="C119" t="str">
        <f>VLOOKUP(A119,'Production Plan'!B:G,5,FALSE)</f>
        <v>Dataafgrænsning</v>
      </c>
      <c r="F119"/>
    </row>
    <row r="120" spans="1:6" hidden="1">
      <c r="A120" t="str">
        <f>'Production Plan'!B137</f>
        <v>5.3.7.2.1.</v>
      </c>
      <c r="B120">
        <f>VLOOKUP(A120,'Production Plan'!B:V,16,FALSE)</f>
        <v>0</v>
      </c>
      <c r="C120" t="str">
        <f>VLOOKUP(A120,'Production Plan'!B:G,5,FALSE)</f>
        <v>Transaktionslogning</v>
      </c>
      <c r="F120"/>
    </row>
    <row r="121" spans="1:6" hidden="1">
      <c r="A121" t="str">
        <f>'Production Plan'!B138</f>
        <v>5.3.7.2.2.</v>
      </c>
      <c r="B121">
        <f>VLOOKUP(A121,'Production Plan'!B:V,16,FALSE)</f>
        <v>0</v>
      </c>
      <c r="C121" t="str">
        <f>VLOOKUP(A121,'Production Plan'!B:G,5,FALSE)</f>
        <v>Administratorlogning</v>
      </c>
      <c r="F121"/>
    </row>
    <row r="122" spans="1:6" hidden="1">
      <c r="A122" t="str">
        <f>'Production Plan'!B139</f>
        <v>5.3.7.2.3.</v>
      </c>
      <c r="B122">
        <f>VLOOKUP(A122,'Production Plan'!B:V,16,FALSE)</f>
        <v>0</v>
      </c>
      <c r="C122" t="str">
        <f>VLOOKUP(A122,'Production Plan'!B:G,5,FALSE)</f>
        <v>Systemlogning</v>
      </c>
      <c r="F122"/>
    </row>
    <row r="123" spans="1:6" hidden="1">
      <c r="A123" t="str">
        <f>'Production Plan'!B140</f>
        <v>5.3.7.2.4.</v>
      </c>
      <c r="B123">
        <f>VLOOKUP(A123,'Production Plan'!B:V,16,FALSE)</f>
        <v>0</v>
      </c>
      <c r="C123" t="str">
        <f>VLOOKUP(A123,'Production Plan'!B:G,5,FALSE)</f>
        <v>Unik identifikation af Brugere</v>
      </c>
      <c r="F123"/>
    </row>
    <row r="124" spans="1:6" hidden="1">
      <c r="A124" t="str">
        <f>'Production Plan'!B141</f>
        <v>5.3.7.2.5.</v>
      </c>
      <c r="B124">
        <f>VLOOKUP(A124,'Production Plan'!B:V,16,FALSE)</f>
        <v>0</v>
      </c>
      <c r="C124" t="str">
        <f>VLOOKUP(A124,'Production Plan'!B:G,5,FALSE)</f>
        <v>Unik identifikation af Borgere</v>
      </c>
      <c r="F124"/>
    </row>
    <row r="125" spans="1:6" hidden="1">
      <c r="A125" t="str">
        <f>'Production Plan'!B142</f>
        <v>5.3.7.2.6.</v>
      </c>
      <c r="B125">
        <f>VLOOKUP(A125,'Production Plan'!B:V,16,FALSE)</f>
        <v>0</v>
      </c>
      <c r="C125" t="str">
        <f>VLOOKUP(A125,'Production Plan'!B:G,5,FALSE)</f>
        <v>Integritet af logs - Manuel ændring og sletning</v>
      </c>
      <c r="F125"/>
    </row>
    <row r="126" spans="1:6" hidden="1">
      <c r="A126" t="str">
        <f>'Production Plan'!B143</f>
        <v>5.3.7.2.7.</v>
      </c>
      <c r="B126">
        <f>VLOOKUP(A126,'Production Plan'!B:V,16,FALSE)</f>
        <v>0</v>
      </c>
      <c r="C126" t="str">
        <f>VLOOKUP(A126,'Production Plan'!B:G,5,FALSE)</f>
        <v>Beskyttelse af log</v>
      </c>
      <c r="F126"/>
    </row>
    <row r="127" spans="1:6" hidden="1">
      <c r="A127" t="str">
        <f>'Production Plan'!B144</f>
        <v>5.3.7.2.8.</v>
      </c>
      <c r="B127">
        <f>VLOOKUP(A127,'Production Plan'!B:V,16,FALSE)</f>
        <v>0</v>
      </c>
      <c r="C127" t="str">
        <f>VLOOKUP(A127,'Production Plan'!B:G,5,FALSE)</f>
        <v>Tidsstempling af logs</v>
      </c>
      <c r="F127"/>
    </row>
    <row r="128" spans="1:6" hidden="1">
      <c r="A128" t="str">
        <f>'Production Plan'!B145</f>
        <v>5.3.7.2.9.</v>
      </c>
      <c r="B128">
        <f>VLOOKUP(A128,'Production Plan'!B:V,16,FALSE)</f>
        <v>0</v>
      </c>
      <c r="C128" t="str">
        <f>VLOOKUP(A128,'Production Plan'!B:G,5,FALSE)</f>
        <v>Format for dato og tid</v>
      </c>
      <c r="F128"/>
    </row>
    <row r="129" spans="1:6" hidden="1">
      <c r="A129" t="str">
        <f>'Production Plan'!B146</f>
        <v>5.3.7.2.10.</v>
      </c>
      <c r="B129">
        <f>VLOOKUP(A129,'Production Plan'!B:V,16,FALSE)</f>
        <v>0</v>
      </c>
      <c r="C129" t="str">
        <f>VLOOKUP(A129,'Production Plan'!B:G,5,FALSE)</f>
        <v>Filformat på logs</v>
      </c>
      <c r="F129"/>
    </row>
    <row r="130" spans="1:6" hidden="1">
      <c r="A130" t="str">
        <f>'Production Plan'!B147</f>
        <v>5.3.7.2.11.</v>
      </c>
      <c r="B130">
        <f>VLOOKUP(A130,'Production Plan'!B:V,16,FALSE)</f>
        <v>0</v>
      </c>
      <c r="C130" t="str">
        <f>VLOOKUP(A130,'Production Plan'!B:G,5,FALSE)</f>
        <v>Sletning af logdata indeholdende Personoplysninger</v>
      </c>
      <c r="F130"/>
    </row>
    <row r="131" spans="1:6" hidden="1">
      <c r="A131" t="str">
        <f>'Production Plan'!B148</f>
        <v>5.3.8.1.1.</v>
      </c>
      <c r="B131">
        <f>VLOOKUP(A131,'Production Plan'!B:V,16,FALSE)</f>
        <v>0</v>
      </c>
      <c r="C131" t="str">
        <f>VLOOKUP(A131,'Production Plan'!B:G,5,FALSE)</f>
        <v>Udstilling af webservices</v>
      </c>
      <c r="F131"/>
    </row>
    <row r="132" spans="1:6" hidden="1">
      <c r="A132" t="str">
        <f>'Production Plan'!B149</f>
        <v>5.3.8.1.2.</v>
      </c>
      <c r="B132" t="str">
        <f>VLOOKUP(A132,'Production Plan'!B:V,16,FALSE)</f>
        <v>sif</v>
      </c>
      <c r="C132" t="str">
        <f>VLOOKUP(A132,'Production Plan'!B:G,5,FALSE)</f>
        <v>Kvalitet af webservices</v>
      </c>
      <c r="F132"/>
    </row>
    <row r="133" spans="1:6" hidden="1">
      <c r="A133" t="str">
        <f>'Production Plan'!B150</f>
        <v>5.3.8.1.3.</v>
      </c>
      <c r="B133">
        <f>VLOOKUP(A133,'Production Plan'!B:V,16,FALSE)</f>
        <v>0</v>
      </c>
      <c r="C133" t="str">
        <f>VLOOKUP(A133,'Production Plan'!B:G,5,FALSE)</f>
        <v>Beskyttelse af udstillede webservices via certifikat</v>
      </c>
      <c r="F133"/>
    </row>
    <row r="134" spans="1:6" hidden="1">
      <c r="A134" t="str">
        <f>'Production Plan'!B151</f>
        <v>5.3.8.1.4.</v>
      </c>
      <c r="B134">
        <f>VLOOKUP(A134,'Production Plan'!B:V,16,FALSE)</f>
        <v>0</v>
      </c>
      <c r="C134" t="str">
        <f>VLOOKUP(A134,'Production Plan'!B:G,5,FALSE)</f>
        <v>Anvendelse af Kundens data og Systemets API’er</v>
      </c>
      <c r="F134"/>
    </row>
    <row r="135" spans="1:6" hidden="1">
      <c r="A135" t="str">
        <f>'Production Plan'!B152</f>
        <v>5.3.8.1.5.</v>
      </c>
      <c r="B135">
        <f>VLOOKUP(A135,'Production Plan'!B:V,16,FALSE)</f>
        <v>0</v>
      </c>
      <c r="C135" t="str">
        <f>VLOOKUP(A135,'Production Plan'!B:G,5,FALSE)</f>
        <v>Kvalitet af integrationer</v>
      </c>
      <c r="F135"/>
    </row>
    <row r="136" spans="1:6" hidden="1">
      <c r="A136" t="str">
        <f>'Production Plan'!B154</f>
        <v>5.3.8.2.1.1.</v>
      </c>
      <c r="B136">
        <f>VLOOKUP(A136,'Production Plan'!B:V,16,FALSE)</f>
        <v>0</v>
      </c>
      <c r="C136" t="str">
        <f>VLOOKUP(A136,'Production Plan'!B:G,5,FALSE)</f>
        <v>Byg og Miljø (BOM)</v>
      </c>
      <c r="F136"/>
    </row>
    <row r="137" spans="1:6" hidden="1">
      <c r="A137" t="str">
        <f>'Production Plan'!B156</f>
        <v>5.3.8.2.2.1.</v>
      </c>
      <c r="B137">
        <f>VLOOKUP(A137,'Production Plan'!B:V,16,FALSE)</f>
        <v>0</v>
      </c>
      <c r="C137" t="str">
        <f>VLOOKUP(A137,'Production Plan'!B:G,5,FALSE)</f>
        <v>Grunddata</v>
      </c>
      <c r="F137"/>
    </row>
    <row r="138" spans="1:6" hidden="1">
      <c r="A138" t="str">
        <f>'Production Plan'!B157</f>
        <v>5.3.8.2.2.2.</v>
      </c>
      <c r="B138">
        <f>VLOOKUP(A138,'Production Plan'!B:V,16,FALSE)</f>
        <v>0</v>
      </c>
      <c r="C138" t="str">
        <f>VLOOKUP(A138,'Production Plan'!B:G,5,FALSE)</f>
        <v>Indlæsning af CPR-data</v>
      </c>
      <c r="F138"/>
    </row>
    <row r="139" spans="1:6" hidden="1">
      <c r="A139" t="str">
        <f>'Production Plan'!B158</f>
        <v>5.3.8.2.3.1.</v>
      </c>
      <c r="B139">
        <f>VLOOKUP(A139,'Production Plan'!B:V,16,FALSE)</f>
        <v>0</v>
      </c>
      <c r="C139" t="str">
        <f>VLOOKUP(A139,'Production Plan'!B:G,5,FALSE)</f>
        <v>Linkintegrationer</v>
      </c>
      <c r="F139"/>
    </row>
    <row r="140" spans="1:6" hidden="1">
      <c r="A140" t="str">
        <f>'Production Plan'!B159</f>
        <v>5.3.8.2.3.2.</v>
      </c>
      <c r="B140">
        <f>VLOOKUP(A140,'Production Plan'!B:V,16,FALSE)</f>
        <v>0</v>
      </c>
      <c r="C140" t="str">
        <f>VLOOKUP(A140,'Production Plan'!B:G,5,FALSE)</f>
        <v>Systemets linkintegrationer</v>
      </c>
      <c r="F140"/>
    </row>
    <row r="141" spans="1:6" hidden="1">
      <c r="A141" t="str">
        <f>'Production Plan'!B160</f>
        <v>5.3.8.2.4.1.</v>
      </c>
      <c r="B141">
        <f>VLOOKUP(A141,'Production Plan'!B:V,16,FALSE)</f>
        <v>0</v>
      </c>
      <c r="C141" t="str">
        <f>VLOOKUP(A141,'Production Plan'!B:G,5,FALSE)</f>
        <v>Arkivering af byggesager</v>
      </c>
      <c r="F141"/>
    </row>
    <row r="142" spans="1:6" hidden="1">
      <c r="A142" t="str">
        <f>'Production Plan'!B161</f>
        <v>5.3.8.2.5.1.</v>
      </c>
      <c r="B142">
        <f>VLOOKUP(A142,'Production Plan'!B:V,16,FALSE)</f>
        <v>0</v>
      </c>
      <c r="C142" t="str">
        <f>VLOOKUP(A142,'Production Plan'!B:G,5,FALSE)</f>
        <v>Integration til Fælleskommunal Sags- og Dokumentindeks</v>
      </c>
      <c r="F142"/>
    </row>
    <row r="143" spans="1:6" hidden="1">
      <c r="A143" t="str">
        <f>'Production Plan'!B162</f>
        <v>5.3.8.2.5.2.</v>
      </c>
      <c r="B143">
        <f>VLOOKUP(A143,'Production Plan'!B:V,16,FALSE)</f>
        <v>0</v>
      </c>
      <c r="C143" t="str">
        <f>VLOOKUP(A143,'Production Plan'!B:G,5,FALSE)</f>
        <v>Opmærkning af sager</v>
      </c>
      <c r="F143"/>
    </row>
    <row r="144" spans="1:6" hidden="1">
      <c r="A144" t="str">
        <f>'Production Plan'!B163</f>
        <v>5.3.8.2.6.1</v>
      </c>
      <c r="B144">
        <f>VLOOKUP(A144,'Production Plan'!B:V,16,FALSE)</f>
        <v>0</v>
      </c>
      <c r="C144" t="str">
        <f>VLOOKUP(A144,'Production Plan'!B:G,5,FALSE)</f>
        <v>Integration til FLIS</v>
      </c>
      <c r="F144"/>
    </row>
    <row r="145" spans="1:6" hidden="1">
      <c r="A145" t="str">
        <f>'Production Plan'!B164</f>
        <v>5.3.8.2.7.1.1.</v>
      </c>
      <c r="B145">
        <f>VLOOKUP(A145,'Production Plan'!B:V,16,FALSE)</f>
        <v>0</v>
      </c>
      <c r="C145" t="str">
        <f>VLOOKUP(A145,'Production Plan'!B:G,5,FALSE)</f>
        <v>Afsendelse af Digital Post</v>
      </c>
      <c r="F145"/>
    </row>
    <row r="146" spans="1:6" hidden="1">
      <c r="A146" t="str">
        <f>'Production Plan'!B165</f>
        <v>5.3.8.2.7.1.2.</v>
      </c>
      <c r="B146">
        <f>VLOOKUP(A146,'Production Plan'!B:V,16,FALSE)</f>
        <v>0</v>
      </c>
      <c r="C146" t="str">
        <f>VLOOKUP(A146,'Production Plan'!B:G,5,FALSE)</f>
        <v>Fjernprint af breve</v>
      </c>
      <c r="F146"/>
    </row>
    <row r="147" spans="1:6" hidden="1">
      <c r="A147" t="str">
        <f>'Production Plan'!B166</f>
        <v>5.3.8.2.7.1.3.</v>
      </c>
      <c r="B147">
        <f>VLOOKUP(A147,'Production Plan'!B:V,16,FALSE)</f>
        <v>0</v>
      </c>
      <c r="C147" t="str">
        <f>VLOOKUP(A147,'Production Plan'!B:G,5,FALSE)</f>
        <v>Anvendelse af MeMo-opmærkning ved afsendelse af Digital Post</v>
      </c>
      <c r="F147"/>
    </row>
    <row r="148" spans="1:6" hidden="1">
      <c r="A148" t="str">
        <f>'Production Plan'!B167</f>
        <v>5.3.8.2.7.1.4.</v>
      </c>
      <c r="B148">
        <f>VLOOKUP(A148,'Production Plan'!B:V,16,FALSE)</f>
        <v>0</v>
      </c>
      <c r="C148" t="str">
        <f>VLOOKUP(A148,'Production Plan'!B:G,5,FALSE)</f>
        <v>Understøttelse af ’actions’ ved afsendelse af Digital Post</v>
      </c>
      <c r="F148"/>
    </row>
    <row r="149" spans="1:6" hidden="1">
      <c r="A149" t="str">
        <f>'Production Plan'!B168</f>
        <v>5.3.8.2.7.2.1.</v>
      </c>
      <c r="B149">
        <f>VLOOKUP(A149,'Production Plan'!B:V,16,FALSE)</f>
        <v>0</v>
      </c>
      <c r="C149" t="str">
        <f>VLOOKUP(A149,'Production Plan'!B:G,5,FALSE)</f>
        <v>Modtagelse af Digital Post</v>
      </c>
      <c r="F149"/>
    </row>
    <row r="150" spans="1:6" hidden="1">
      <c r="A150" t="str">
        <f>'Production Plan'!B169</f>
        <v>5.3.8.2.7.2.2.</v>
      </c>
      <c r="B150">
        <f>VLOOKUP(A150,'Production Plan'!B:V,16,FALSE)</f>
        <v>0</v>
      </c>
      <c r="C150" t="str">
        <f>VLOOKUP(A150,'Production Plan'!B:G,5,FALSE)</f>
        <v>Anvendelse af MeMo-opmærkning ved modtagelse af Digital Post</v>
      </c>
      <c r="F150"/>
    </row>
    <row r="151" spans="1:6" hidden="1">
      <c r="A151" t="str">
        <f>'Production Plan'!B171</f>
        <v>5.3.8.2.8.1.</v>
      </c>
      <c r="B151">
        <f>VLOOKUP(A151,'Production Plan'!B:V,16,FALSE)</f>
        <v>0</v>
      </c>
      <c r="C151" t="str">
        <f>VLOOKUP(A151,'Production Plan'!B:G,5,FALSE)</f>
        <v>Overførsel af logs til Kundens SIEM-system</v>
      </c>
      <c r="F151"/>
    </row>
    <row r="152" spans="1:6" hidden="1">
      <c r="A152" t="str">
        <f>'Production Plan'!B172</f>
        <v>5.3.8.2.8.2.</v>
      </c>
      <c r="B152">
        <f>VLOOKUP(A152,'Production Plan'!B:V,16,FALSE)</f>
        <v>0</v>
      </c>
      <c r="C152" t="str">
        <f>VLOOKUP(A152,'Production Plan'!B:G,5,FALSE)</f>
        <v>Logudtræk og logoverførsel til Kundens SIEM-system</v>
      </c>
      <c r="F152"/>
    </row>
    <row r="153" spans="1:6" hidden="1">
      <c r="A153" t="str">
        <f>'Production Plan'!B173</f>
        <v>5.4.1.1.</v>
      </c>
      <c r="B153">
        <f>VLOOKUP(A153,'Production Plan'!B:V,16,FALSE)</f>
        <v>0</v>
      </c>
      <c r="C153" t="str">
        <f>VLOOKUP(A153,'Production Plan'!B:G,5,FALSE)</f>
        <v>Integration til Kundens debitorsystem</v>
      </c>
      <c r="F153"/>
    </row>
    <row r="154" spans="1:6" hidden="1">
      <c r="A154" t="str">
        <f>'Production Plan'!B174</f>
        <v>5.4.2.1.</v>
      </c>
      <c r="B154">
        <f>VLOOKUP(A154,'Production Plan'!B:V,16,FALSE)</f>
        <v>0</v>
      </c>
      <c r="C154" t="str">
        <f>VLOOKUP(A154,'Production Plan'!B:G,5,FALSE)</f>
        <v>Integration til AI Assist</v>
      </c>
      <c r="F154"/>
    </row>
    <row r="155" spans="1:6" hidden="1">
      <c r="A155" t="str">
        <f>'Production Plan'!B175</f>
        <v>B1-01</v>
      </c>
      <c r="B155">
        <f>VLOOKUP(A155,'Production Plan'!B:V,16,FALSE)</f>
        <v>0</v>
      </c>
      <c r="C155" t="str">
        <f>VLOOKUP(A155,'Production Plan'!B:G,5,FALSE)</f>
        <v>Projektlederansvar for implementering</v>
      </c>
      <c r="F155"/>
    </row>
    <row r="156" spans="1:6" hidden="1">
      <c r="A156" t="str">
        <f>'Production Plan'!B176</f>
        <v>B1-02</v>
      </c>
      <c r="B156">
        <f>VLOOKUP(A156,'Production Plan'!B:V,16,FALSE)</f>
        <v>0</v>
      </c>
      <c r="C156" t="str">
        <f>VLOOKUP(A156,'Production Plan'!B:G,5,FALSE)</f>
        <v>Integration til BOM (Byg og Miljø – BYG)</v>
      </c>
      <c r="F156"/>
    </row>
    <row r="157" spans="1:6" hidden="1">
      <c r="A157" t="str">
        <f>'Production Plan'!B177</f>
        <v>B1-03</v>
      </c>
      <c r="B157">
        <f>VLOOKUP(A157,'Production Plan'!B:V,16,FALSE)</f>
        <v>0</v>
      </c>
      <c r="C157" t="str">
        <f>VLOOKUP(A157,'Production Plan'!B:G,5,FALSE)</f>
        <v>Integration til Grunddata / Datafordeleren</v>
      </c>
      <c r="F157"/>
    </row>
    <row r="158" spans="1:6" hidden="1">
      <c r="A158" t="str">
        <f>'Production Plan'!B178</f>
        <v>B1-04</v>
      </c>
      <c r="B158">
        <f>VLOOKUP(A158,'Production Plan'!B:V,16,FALSE)</f>
        <v>0</v>
      </c>
      <c r="C158" t="str">
        <f>VLOOKUP(A158,'Production Plan'!B:G,5,FALSE)</f>
        <v>Integration til Filarkiv</v>
      </c>
      <c r="F158"/>
    </row>
    <row r="159" spans="1:6" hidden="1">
      <c r="A159" t="str">
        <f>'Production Plan'!B179</f>
        <v>B1-05</v>
      </c>
      <c r="B159">
        <f>VLOOKUP(A159,'Production Plan'!B:V,16,FALSE)</f>
        <v>0</v>
      </c>
      <c r="C159" t="str">
        <f>VLOOKUP(A159,'Production Plan'!B:G,5,FALSE)</f>
        <v>Integration til SIEM (LogPoint)</v>
      </c>
      <c r="F159"/>
    </row>
    <row r="160" spans="1:6" hidden="1">
      <c r="A160" t="str">
        <f>'Production Plan'!B180</f>
        <v>B1-06</v>
      </c>
      <c r="B160">
        <f>VLOOKUP(A160,'Production Plan'!B:V,16,FALSE)</f>
        <v>0</v>
      </c>
      <c r="C160" t="str">
        <f>VLOOKUP(A160,'Production Plan'!B:G,5,FALSE)</f>
        <v>Integration til Adgangsstyring (FKA eller Entra ID)</v>
      </c>
      <c r="F160"/>
    </row>
    <row r="161" spans="1:6" hidden="1">
      <c r="A161" t="str">
        <f>'Production Plan'!B181</f>
        <v>B1-07</v>
      </c>
      <c r="B161">
        <f>VLOOKUP(A161,'Production Plan'!B:V,16,FALSE)</f>
        <v>0</v>
      </c>
      <c r="C161" t="str">
        <f>VLOOKUP(A161,'Production Plan'!B:G,5,FALSE)</f>
        <v>Integration til Digital Post (NgDP/KKI)</v>
      </c>
      <c r="F161"/>
    </row>
    <row r="162" spans="1:6" hidden="1">
      <c r="A162" t="str">
        <f>'Production Plan'!B182</f>
        <v>B1-08</v>
      </c>
      <c r="B162">
        <f>VLOOKUP(A162,'Production Plan'!B:V,16,FALSE)</f>
        <v>0</v>
      </c>
      <c r="C162" t="str">
        <f>VLOOKUP(A162,'Production Plan'!B:G,5,FALSE)</f>
        <v>Integration til Minbyggesag.dk</v>
      </c>
      <c r="F162"/>
    </row>
    <row r="163" spans="1:6" hidden="1">
      <c r="A163" t="str">
        <f>'Production Plan'!B183</f>
        <v>B1-09</v>
      </c>
      <c r="B163">
        <f>VLOOKUP(A163,'Production Plan'!B:V,16,FALSE)</f>
        <v>0</v>
      </c>
      <c r="C163" t="str">
        <f>VLOOKUP(A163,'Production Plan'!B:G,5,FALSE)</f>
        <v>Integration til GIS (SpatialSuite)</v>
      </c>
      <c r="F163"/>
    </row>
    <row r="164" spans="1:6" hidden="1">
      <c r="A164" t="str">
        <f>'Production Plan'!B184</f>
        <v>B1-10</v>
      </c>
      <c r="B164">
        <f>VLOOKUP(A164,'Production Plan'!B:V,16,FALSE)</f>
        <v>0</v>
      </c>
      <c r="C164" t="str">
        <f>VLOOKUP(A164,'Production Plan'!B:G,5,FALSE)</f>
        <v>Integration til FLIS (Fælleskommunal Ledelsesinformation)</v>
      </c>
      <c r="F164"/>
    </row>
    <row r="165" spans="1:6" hidden="1">
      <c r="A165" t="str">
        <f>'Production Plan'!B185</f>
        <v>B1-11</v>
      </c>
      <c r="B165">
        <f>VLOOKUP(A165,'Production Plan'!B:V,16,FALSE)</f>
        <v>0</v>
      </c>
      <c r="C165" t="str">
        <f>VLOOKUP(A165,'Production Plan'!B:G,5,FALSE)</f>
        <v>Datamigrering fra KMD Nova</v>
      </c>
      <c r="F165"/>
    </row>
    <row r="166" spans="1:6" hidden="1">
      <c r="A166" t="str">
        <f>'Production Plan'!B186</f>
        <v>B1-12</v>
      </c>
      <c r="B166">
        <f>VLOOKUP(A166,'Production Plan'!B:V,16,FALSE)</f>
        <v>0</v>
      </c>
      <c r="C166" t="str">
        <f>VLOOKUP(A166,'Production Plan'!B:G,5,FALSE)</f>
        <v>Beredskabsplan og roll-back ved migrering</v>
      </c>
      <c r="F166"/>
    </row>
    <row r="167" spans="1:6" hidden="1">
      <c r="A167" t="str">
        <f>'Production Plan'!B187</f>
        <v>B1-13</v>
      </c>
      <c r="B167">
        <f>VLOOKUP(A167,'Production Plan'!B:V,16,FALSE)</f>
        <v>0</v>
      </c>
      <c r="C167" t="str">
        <f>VLOOKUP(A167,'Production Plan'!B:G,5,FALSE)</f>
        <v>Gennemførelse af Integrationsprøve</v>
      </c>
      <c r="F167"/>
    </row>
    <row r="168" spans="1:6" hidden="1">
      <c r="A168" t="str">
        <f>'Production Plan'!B188</f>
        <v>B1-14</v>
      </c>
      <c r="B168">
        <f>VLOOKUP(A168,'Production Plan'!B:V,16,FALSE)</f>
        <v>0</v>
      </c>
      <c r="C168" t="str">
        <f>VLOOKUP(A168,'Production Plan'!B:G,5,FALSE)</f>
        <v>Gennemførelse af Overtagelsesprøve</v>
      </c>
      <c r="F168"/>
    </row>
    <row r="169" spans="1:6" hidden="1">
      <c r="A169" t="str">
        <f>'Production Plan'!B189</f>
        <v>B1-15</v>
      </c>
      <c r="B169">
        <f>VLOOKUP(A169,'Production Plan'!B:V,16,FALSE)</f>
        <v>0</v>
      </c>
      <c r="C169" t="str">
        <f>VLOOKUP(A169,'Production Plan'!B:G,5,FALSE)</f>
        <v>Gennemførelse af Driftsprøve (30 dage)</v>
      </c>
      <c r="F169"/>
    </row>
    <row r="170" spans="1:6" hidden="1">
      <c r="A170" t="str">
        <f>'Production Plan'!B190</f>
        <v>B1-16</v>
      </c>
      <c r="B170">
        <f>VLOOKUP(A170,'Production Plan'!B:V,16,FALSE)</f>
        <v>0</v>
      </c>
      <c r="C170" t="str">
        <f>VLOOKUP(A170,'Production Plan'!B:G,5,FALSE)</f>
        <v>Uddannelse af Kundens brugere</v>
      </c>
      <c r="F170"/>
    </row>
    <row r="171" spans="1:6" hidden="1">
      <c r="A171" t="str">
        <f>'Production Plan'!B191</f>
        <v>B1-17</v>
      </c>
      <c r="B171">
        <f>VLOOKUP(A171,'Production Plan'!B:V,16,FALSE)</f>
        <v>0</v>
      </c>
      <c r="C171" t="str">
        <f>VLOOKUP(A171,'Production Plan'!B:G,5,FALSE)</f>
        <v>Planlægning uden om administrative fryseperioder</v>
      </c>
      <c r="F171"/>
    </row>
    <row r="172" spans="1:6" hidden="1">
      <c r="A172" t="str">
        <f>'Production Plan'!B192</f>
        <v>B1-18</v>
      </c>
      <c r="B172">
        <f>VLOOKUP(A172,'Production Plan'!B:V,16,FALSE)</f>
        <v>0</v>
      </c>
      <c r="C172" t="str">
        <f>VLOOKUP(A172,'Production Plan'!B:G,5,FALSE)</f>
        <v>Ibrugtagningstilladelse fra Koncern IT</v>
      </c>
      <c r="F172"/>
    </row>
    <row r="173" spans="1:6" hidden="1">
      <c r="A173" t="str">
        <f>'Production Plan'!B193</f>
        <v>B2A-01</v>
      </c>
      <c r="B173">
        <f>VLOOKUP(A173,'Production Plan'!B:V,16,FALSE)</f>
        <v>0</v>
      </c>
      <c r="C173" t="str">
        <f>VLOOKUP(A173,'Production Plan'!B:G,5,FALSE)</f>
        <v>Integration til NgDP via KKI-integrationsplatform</v>
      </c>
      <c r="F173"/>
    </row>
    <row r="174" spans="1:6" hidden="1">
      <c r="A174" t="str">
        <f>'Production Plan'!B194</f>
        <v>B2A-02</v>
      </c>
      <c r="B174">
        <f>VLOOKUP(A174,'Production Plan'!B:V,16,FALSE)</f>
        <v>0</v>
      </c>
      <c r="C174" t="str">
        <f>VLOOKUP(A174,'Production Plan'!B:G,5,FALSE)</f>
        <v>Afsendelse af Digital Post via KKI</v>
      </c>
      <c r="F174"/>
    </row>
    <row r="175" spans="1:6" hidden="1">
      <c r="A175" t="str">
        <f>'Production Plan'!B195</f>
        <v>B2A-03</v>
      </c>
      <c r="B175">
        <f>VLOOKUP(A175,'Production Plan'!B:V,16,FALSE)</f>
        <v>0</v>
      </c>
      <c r="C175" t="str">
        <f>VLOOKUP(A175,'Production Plan'!B:G,5,FALSE)</f>
        <v>Modtagelse af Digital Post via KKI</v>
      </c>
      <c r="F175"/>
    </row>
    <row r="176" spans="1:6" hidden="1">
      <c r="A176" t="str">
        <f>'Production Plan'!B196</f>
        <v>B2B-01</v>
      </c>
      <c r="B176">
        <f>VLOOKUP(A176,'Production Plan'!B:V,16,FALSE)</f>
        <v>0</v>
      </c>
      <c r="C176" t="str">
        <f>VLOOKUP(A176,'Production Plan'!B:G,5,FALSE)</f>
        <v>Levering af logs til KK SIEM (LogPoint)</v>
      </c>
      <c r="F176"/>
    </row>
    <row r="177" spans="1:6" hidden="1">
      <c r="A177" t="str">
        <f>'Production Plan'!B197</f>
        <v>B2B-02</v>
      </c>
      <c r="B177">
        <f>VLOOKUP(A177,'Production Plan'!B:V,16,FALSE)</f>
        <v>0</v>
      </c>
      <c r="C177" t="str">
        <f>VLOOKUP(A177,'Production Plan'!B:G,5,FALSE)</f>
        <v>Dokumentation af logsyntaks og -indhold</v>
      </c>
      <c r="F177"/>
    </row>
    <row r="178" spans="1:6" hidden="1">
      <c r="A178" t="str">
        <f>'Production Plan'!B198</f>
        <v>B4-01</v>
      </c>
      <c r="B178">
        <f>VLOOKUP(A178,'Production Plan'!B:V,16,FALSE)</f>
        <v>0</v>
      </c>
      <c r="C178" t="str">
        <f>VLOOKUP(A178,'Production Plan'!B:G,5,FALSE)</f>
        <v>Driftseffektivitet (oppetid) min. 99,00 %</v>
      </c>
      <c r="F178"/>
    </row>
    <row r="179" spans="1:6" hidden="1">
      <c r="A179" t="str">
        <f>'Production Plan'!B199</f>
        <v>B4-02</v>
      </c>
      <c r="B179">
        <f>VLOOKUP(A179,'Production Plan'!B:V,16,FALSE)</f>
        <v>0</v>
      </c>
      <c r="C179" t="str">
        <f>VLOOKUP(A179,'Production Plan'!B:G,5,FALSE)</f>
        <v>Ønsket svartid: maks. 2 sekunder (90 %)</v>
      </c>
      <c r="F179"/>
    </row>
    <row r="180" spans="1:6" hidden="1">
      <c r="A180" t="str">
        <f>'Production Plan'!B200</f>
        <v>B4-03</v>
      </c>
      <c r="B180">
        <f>VLOOKUP(A180,'Production Plan'!B:V,16,FALSE)</f>
        <v>0</v>
      </c>
      <c r="C180" t="str">
        <f>VLOOKUP(A180,'Production Plan'!B:G,5,FALSE)</f>
        <v>Maksimal svartid: maks. 4 sekunder (95 %)</v>
      </c>
      <c r="F180"/>
    </row>
    <row r="181" spans="1:6" hidden="1">
      <c r="A181" t="str">
        <f>'Production Plan'!B201</f>
        <v>B4-04</v>
      </c>
      <c r="B181">
        <f>VLOOKUP(A181,'Production Plan'!B:V,16,FALSE)</f>
        <v>0</v>
      </c>
      <c r="C181" t="str">
        <f>VLOOKUP(A181,'Production Plan'!B:G,5,FALSE)</f>
        <v>Første respons inden 1 time (90 % af henvendelser)</v>
      </c>
      <c r="F181"/>
    </row>
    <row r="182" spans="1:6" hidden="1">
      <c r="A182" t="str">
        <f>'Production Plan'!B202</f>
        <v>B4-05</v>
      </c>
      <c r="B182">
        <f>VLOOKUP(A182,'Production Plan'!B:V,16,FALSE)</f>
        <v>0</v>
      </c>
      <c r="C182" t="str">
        <f>VLOOKUP(A182,'Production Plan'!B:G,5,FALSE)</f>
        <v>Support via professionelt ITSM-system</v>
      </c>
      <c r="F182"/>
    </row>
    <row r="183" spans="1:6" hidden="1">
      <c r="A183" t="str">
        <f>'Production Plan'!B203</f>
        <v>B4-06</v>
      </c>
      <c r="B183">
        <f>VLOOKUP(A183,'Production Plan'!B:V,16,FALSE)</f>
        <v>0</v>
      </c>
      <c r="C183" t="str">
        <f>VLOOKUP(A183,'Production Plan'!B:G,5,FALSE)</f>
        <v>Afhjælpning af fejl påbegyndes inden 12 timer</v>
      </c>
      <c r="F183"/>
    </row>
    <row r="184" spans="1:6" hidden="1">
      <c r="A184" t="str">
        <f>'Production Plan'!B204</f>
        <v>B4-07</v>
      </c>
      <c r="B184">
        <f>VLOOKUP(A184,'Production Plan'!B:V,16,FALSE)</f>
        <v>0</v>
      </c>
      <c r="C184" t="str">
        <f>VLOOKUP(A184,'Production Plan'!B:G,5,FALSE)</f>
        <v>Backup med adskilt opbevaring og årlig restore-test</v>
      </c>
      <c r="F184"/>
    </row>
    <row r="185" spans="1:6" hidden="1">
      <c r="A185" t="str">
        <f>'Production Plan'!B205</f>
        <v>B4-08</v>
      </c>
      <c r="B185">
        <f>VLOOKUP(A185,'Production Plan'!B:V,16,FALSE)</f>
        <v>0</v>
      </c>
      <c r="C185" t="str">
        <f>VLOOKUP(A185,'Production Plan'!B:G,5,FALSE)</f>
        <v>Månedlig SLA-afrapportering</v>
      </c>
      <c r="F185"/>
    </row>
    <row r="186" spans="1:6" hidden="1">
      <c r="A186" t="str">
        <f>'Production Plan'!B206</f>
        <v>B6-01</v>
      </c>
      <c r="B186">
        <f>VLOOKUP(A186,'Production Plan'!B:V,16,FALSE)</f>
        <v>0</v>
      </c>
      <c r="C186" t="str">
        <f>VLOOKUP(A186,'Production Plan'!B:G,5,FALSE)</f>
        <v>Behandling kun efter dokumenteret instruks</v>
      </c>
      <c r="F186"/>
    </row>
    <row r="187" spans="1:6" hidden="1">
      <c r="A187" t="str">
        <f>'Production Plan'!B207</f>
        <v>B6-02</v>
      </c>
      <c r="B187">
        <f>VLOOKUP(A187,'Production Plan'!B:V,16,FALSE)</f>
        <v>0</v>
      </c>
      <c r="C187" t="str">
        <f>VLOOKUP(A187,'Production Plan'!B:G,5,FALSE)</f>
        <v>Fortrolighed for medarbejdere med adgang til persondata</v>
      </c>
      <c r="F187"/>
    </row>
    <row r="188" spans="1:6" hidden="1">
      <c r="A188" t="str">
        <f>'Production Plan'!B208</f>
        <v>B6-03</v>
      </c>
      <c r="B188">
        <f>VLOOKUP(A188,'Production Plan'!B:V,16,FALSE)</f>
        <v>0</v>
      </c>
      <c r="C188" t="str">
        <f>VLOOKUP(A188,'Production Plan'!B:G,5,FALSE)</f>
        <v>Tekniske og organisatoriske sikkerhedsforanstaltninger</v>
      </c>
      <c r="F188"/>
    </row>
    <row r="189" spans="1:6" hidden="1">
      <c r="A189" t="str">
        <f>'Production Plan'!B209</f>
        <v>B6-04</v>
      </c>
      <c r="B189">
        <f>VLOOKUP(A189,'Production Plan'!B:V,16,FALSE)</f>
        <v>0</v>
      </c>
      <c r="C189" t="str">
        <f>VLOOKUP(A189,'Production Plan'!B:G,5,FALSE)</f>
        <v>Underdatabehandlere skal godkendes af Kunden</v>
      </c>
      <c r="F189"/>
    </row>
    <row r="190" spans="1:6" hidden="1">
      <c r="A190" t="str">
        <f>'Production Plan'!B210</f>
        <v>B6-05</v>
      </c>
      <c r="B190">
        <f>VLOOKUP(A190,'Production Plan'!B:V,16,FALSE)</f>
        <v>0</v>
      </c>
      <c r="C190" t="str">
        <f>VLOOKUP(A190,'Production Plan'!B:G,5,FALSE)</f>
        <v>Underretning om brud på persondatasikkerheden inden 24 timer</v>
      </c>
      <c r="F190"/>
    </row>
    <row r="191" spans="1:6" hidden="1">
      <c r="A191" t="str">
        <f>'Production Plan'!B211</f>
        <v>B6-06</v>
      </c>
      <c r="B191">
        <f>VLOOKUP(A191,'Production Plan'!B:V,16,FALSE)</f>
        <v>0</v>
      </c>
      <c r="C191" t="str">
        <f>VLOOKUP(A191,'Production Plan'!B:G,5,FALSE)</f>
        <v>Sletning eller returnering af data ved kontraktophør</v>
      </c>
      <c r="F191"/>
    </row>
    <row r="192" spans="1:6" hidden="1">
      <c r="A192" t="str">
        <f>'Production Plan'!B212</f>
        <v>B6-07</v>
      </c>
      <c r="B192">
        <f>VLOOKUP(A192,'Production Plan'!B:V,16,FALSE)</f>
        <v>0</v>
      </c>
      <c r="C192" t="str">
        <f>VLOOKUP(A192,'Production Plan'!B:G,5,FALSE)</f>
        <v>Ret til audit og inspektion</v>
      </c>
      <c r="F192"/>
    </row>
    <row r="193" spans="1:6" hidden="1">
      <c r="A193" t="str">
        <f>'Production Plan'!B213</f>
        <v>B6-08</v>
      </c>
      <c r="B193">
        <f>VLOOKUP(A193,'Production Plan'!B:V,16,FALSE)</f>
        <v>0</v>
      </c>
      <c r="C193" t="str">
        <f>VLOOKUP(A193,'Production Plan'!B:G,5,FALSE)</f>
        <v>Ingen overførsel til tredjelande uden godkendelse</v>
      </c>
      <c r="F193"/>
    </row>
    <row r="194" spans="1:6" hidden="1">
      <c r="A194" t="str">
        <f>'Production Plan'!B214</f>
        <v>Tilbudsbrevet</v>
      </c>
      <c r="B194">
        <f>VLOOKUP(A194,'Production Plan'!B:V,16,FALSE)</f>
        <v>0</v>
      </c>
      <c r="C194" t="str">
        <f>VLOOKUP(A194,'Production Plan'!B:G,5,FALSE)</f>
        <v>Tilbudsbrevet</v>
      </c>
      <c r="F194"/>
    </row>
    <row r="195" spans="1:6" hidden="1">
      <c r="A195" t="str">
        <f>'Production Plan'!B215</f>
        <v>Tilbudsliste</v>
      </c>
      <c r="B195">
        <f>VLOOKUP(A195,'Production Plan'!B:V,16,FALSE)</f>
        <v>0</v>
      </c>
      <c r="C195" t="str">
        <f>VLOOKUP(A195,'Production Plan'!B:G,5,FALSE)</f>
        <v>Tilbudsliste</v>
      </c>
      <c r="F195"/>
    </row>
    <row r="196" spans="1:6" hidden="1">
      <c r="A196" t="str">
        <f>'Production Plan'!B216</f>
        <v>Licensbetingelser</v>
      </c>
      <c r="B196">
        <f>VLOOKUP(A196,'Production Plan'!B:V,16,FALSE)</f>
        <v>0</v>
      </c>
      <c r="C196" t="str">
        <f>VLOOKUP(A196,'Production Plan'!B:G,5,FALSE)</f>
        <v>Licensbetingelser</v>
      </c>
      <c r="F196"/>
    </row>
    <row r="197" spans="1:6" hidden="1">
      <c r="A197" t="str">
        <f>'Production Plan'!B217</f>
        <v>Underleverandør (hvis anvendes)</v>
      </c>
      <c r="B197">
        <f>VLOOKUP(A197,'Production Plan'!B:V,16,FALSE)</f>
        <v>0</v>
      </c>
      <c r="C197" t="str">
        <f>VLOOKUP(A197,'Production Plan'!B:G,5,FALSE)</f>
        <v>Underleverandør (hvis anvendes)</v>
      </c>
      <c r="F197"/>
    </row>
    <row r="198" spans="1:6" hidden="1">
      <c r="A198" t="str">
        <f>'Production Plan'!B218</f>
        <v>Egenerklæring vedrørende russiske enheder m.v.</v>
      </c>
      <c r="B198">
        <f>VLOOKUP(A198,'Production Plan'!B:V,16,FALSE)</f>
        <v>0</v>
      </c>
      <c r="C198" t="str">
        <f>VLOOKUP(A198,'Production Plan'!B:G,5,FALSE)</f>
        <v>Egenerklæring vedrørende russiske enheder m.v.</v>
      </c>
      <c r="F198"/>
    </row>
    <row r="199" spans="1:6" hidden="1">
      <c r="A199" t="e">
        <f>'Production Plan'!#REF!</f>
        <v>#REF!</v>
      </c>
      <c r="B199" t="e">
        <f>VLOOKUP(A199,'Production Plan'!B:V,16,FALSE)</f>
        <v>#REF!</v>
      </c>
      <c r="C199" t="e">
        <f>VLOOKUP(A199,'Production Plan'!B:G,5,FALSE)</f>
        <v>#REF!</v>
      </c>
      <c r="F199"/>
    </row>
    <row r="200" spans="1:6" hidden="1">
      <c r="A200" t="e">
        <f>'Production Plan'!#REF!</f>
        <v>#REF!</v>
      </c>
      <c r="B200" t="e">
        <f>VLOOKUP(A200,'Production Plan'!B:V,16,FALSE)</f>
        <v>#REF!</v>
      </c>
      <c r="C200" t="e">
        <f>VLOOKUP(A200,'Production Plan'!B:G,5,FALSE)</f>
        <v>#REF!</v>
      </c>
      <c r="F200"/>
    </row>
    <row r="201" spans="1:6" hidden="1">
      <c r="A201" t="e">
        <f>'Production Plan'!#REF!</f>
        <v>#REF!</v>
      </c>
      <c r="B201" t="e">
        <f>VLOOKUP(A201,'Production Plan'!B:V,16,FALSE)</f>
        <v>#REF!</v>
      </c>
      <c r="C201" t="e">
        <f>VLOOKUP(A201,'Production Plan'!B:G,5,FALSE)</f>
        <v>#REF!</v>
      </c>
      <c r="F201"/>
    </row>
    <row r="202" spans="1:6" hidden="1">
      <c r="A202" t="e">
        <f>'Production Plan'!#REF!</f>
        <v>#REF!</v>
      </c>
      <c r="B202" t="e">
        <f>VLOOKUP(A202,'Production Plan'!B:V,16,FALSE)</f>
        <v>#REF!</v>
      </c>
      <c r="C202" t="e">
        <f>VLOOKUP(A202,'Production Plan'!B:G,5,FALSE)</f>
        <v>#REF!</v>
      </c>
      <c r="F202"/>
    </row>
    <row r="203" spans="1:6" hidden="1">
      <c r="A203" t="e">
        <f>'Production Plan'!#REF!</f>
        <v>#REF!</v>
      </c>
      <c r="B203" t="e">
        <f>VLOOKUP(A203,'Production Plan'!B:V,16,FALSE)</f>
        <v>#REF!</v>
      </c>
      <c r="C203" t="e">
        <f>VLOOKUP(A203,'Production Plan'!B:G,5,FALSE)</f>
        <v>#REF!</v>
      </c>
      <c r="F203"/>
    </row>
    <row r="204" spans="1:6" hidden="1">
      <c r="A204" t="e">
        <f>'Production Plan'!#REF!</f>
        <v>#REF!</v>
      </c>
      <c r="B204" t="e">
        <f>VLOOKUP(A204,'Production Plan'!B:V,16,FALSE)</f>
        <v>#REF!</v>
      </c>
      <c r="C204" t="e">
        <f>VLOOKUP(A204,'Production Plan'!B:G,5,FALSE)</f>
        <v>#REF!</v>
      </c>
      <c r="F204"/>
    </row>
    <row r="205" spans="1:6" hidden="1">
      <c r="A205" t="e">
        <f>'Production Plan'!#REF!</f>
        <v>#REF!</v>
      </c>
      <c r="B205" t="e">
        <f>VLOOKUP(A205,'Production Plan'!B:V,16,FALSE)</f>
        <v>#REF!</v>
      </c>
      <c r="C205" t="e">
        <f>VLOOKUP(A205,'Production Plan'!B:G,5,FALSE)</f>
        <v>#REF!</v>
      </c>
      <c r="F205"/>
    </row>
    <row r="206" spans="1:6" hidden="1">
      <c r="A206" t="e">
        <f>'Production Plan'!#REF!</f>
        <v>#REF!</v>
      </c>
      <c r="B206" t="e">
        <f>VLOOKUP(A206,'Production Plan'!B:V,16,FALSE)</f>
        <v>#REF!</v>
      </c>
      <c r="C206" t="e">
        <f>VLOOKUP(A206,'Production Plan'!B:G,5,FALSE)</f>
        <v>#REF!</v>
      </c>
      <c r="F206"/>
    </row>
    <row r="207" spans="1:6" hidden="1">
      <c r="A207" t="e">
        <f>'Production Plan'!#REF!</f>
        <v>#REF!</v>
      </c>
      <c r="B207" t="e">
        <f>VLOOKUP(A207,'Production Plan'!B:V,16,FALSE)</f>
        <v>#REF!</v>
      </c>
      <c r="C207" t="e">
        <f>VLOOKUP(A207,'Production Plan'!B:G,5,FALSE)</f>
        <v>#REF!</v>
      </c>
      <c r="F207"/>
    </row>
    <row r="208" spans="1:6" hidden="1">
      <c r="A208" t="e">
        <f>'Production Plan'!#REF!</f>
        <v>#REF!</v>
      </c>
      <c r="B208" t="e">
        <f>VLOOKUP(A208,'Production Plan'!B:V,16,FALSE)</f>
        <v>#REF!</v>
      </c>
      <c r="C208" t="e">
        <f>VLOOKUP(A208,'Production Plan'!B:G,5,FALSE)</f>
        <v>#REF!</v>
      </c>
      <c r="F208"/>
    </row>
    <row r="209" spans="1:6" hidden="1">
      <c r="A209" t="e">
        <f>'Production Plan'!#REF!</f>
        <v>#REF!</v>
      </c>
      <c r="B209" t="e">
        <f>VLOOKUP(A209,'Production Plan'!B:V,16,FALSE)</f>
        <v>#REF!</v>
      </c>
      <c r="C209" t="e">
        <f>VLOOKUP(A209,'Production Plan'!B:G,5,FALSE)</f>
        <v>#REF!</v>
      </c>
      <c r="F209"/>
    </row>
    <row r="210" spans="1:6" hidden="1">
      <c r="A210" t="e">
        <f>'Production Plan'!#REF!</f>
        <v>#REF!</v>
      </c>
      <c r="B210" t="e">
        <f>VLOOKUP(A210,'Production Plan'!B:V,16,FALSE)</f>
        <v>#REF!</v>
      </c>
      <c r="C210" t="e">
        <f>VLOOKUP(A210,'Production Plan'!B:G,5,FALSE)</f>
        <v>#REF!</v>
      </c>
      <c r="F210"/>
    </row>
    <row r="211" spans="1:6" hidden="1">
      <c r="A211" t="e">
        <f>'Production Plan'!#REF!</f>
        <v>#REF!</v>
      </c>
      <c r="B211" t="e">
        <f>VLOOKUP(A211,'Production Plan'!B:V,16,FALSE)</f>
        <v>#REF!</v>
      </c>
      <c r="C211" t="e">
        <f>VLOOKUP(A211,'Production Plan'!B:G,5,FALSE)</f>
        <v>#REF!</v>
      </c>
      <c r="F211"/>
    </row>
    <row r="212" spans="1:6" hidden="1">
      <c r="A212" t="e">
        <f>'Production Plan'!#REF!</f>
        <v>#REF!</v>
      </c>
      <c r="B212" t="e">
        <f>VLOOKUP(A212,'Production Plan'!B:V,16,FALSE)</f>
        <v>#REF!</v>
      </c>
      <c r="C212" t="e">
        <f>VLOOKUP(A212,'Production Plan'!B:G,5,FALSE)</f>
        <v>#REF!</v>
      </c>
      <c r="F212"/>
    </row>
    <row r="213" spans="1:6" hidden="1">
      <c r="A213" t="e">
        <f>'Production Plan'!#REF!</f>
        <v>#REF!</v>
      </c>
      <c r="B213" t="e">
        <f>VLOOKUP(A213,'Production Plan'!B:V,16,FALSE)</f>
        <v>#REF!</v>
      </c>
      <c r="C213" t="e">
        <f>VLOOKUP(A213,'Production Plan'!B:G,5,FALSE)</f>
        <v>#REF!</v>
      </c>
      <c r="F213"/>
    </row>
    <row r="214" spans="1:6" hidden="1">
      <c r="A214" t="e">
        <f>'Production Plan'!#REF!</f>
        <v>#REF!</v>
      </c>
      <c r="B214" t="e">
        <f>VLOOKUP(A214,'Production Plan'!B:V,16,FALSE)</f>
        <v>#REF!</v>
      </c>
      <c r="C214" t="e">
        <f>VLOOKUP(A214,'Production Plan'!B:G,5,FALSE)</f>
        <v>#REF!</v>
      </c>
      <c r="F214"/>
    </row>
    <row r="215" spans="1:6" hidden="1">
      <c r="A215" t="e">
        <f>'Production Plan'!#REF!</f>
        <v>#REF!</v>
      </c>
      <c r="B215" t="e">
        <f>VLOOKUP(A215,'Production Plan'!B:V,16,FALSE)</f>
        <v>#REF!</v>
      </c>
      <c r="C215" t="e">
        <f>VLOOKUP(A215,'Production Plan'!B:G,5,FALSE)</f>
        <v>#REF!</v>
      </c>
      <c r="F215"/>
    </row>
    <row r="216" spans="1:6" hidden="1">
      <c r="A216" t="e">
        <f>'Production Plan'!#REF!</f>
        <v>#REF!</v>
      </c>
      <c r="B216" t="e">
        <f>VLOOKUP(A216,'Production Plan'!B:V,16,FALSE)</f>
        <v>#REF!</v>
      </c>
      <c r="C216" t="e">
        <f>VLOOKUP(A216,'Production Plan'!B:G,5,FALSE)</f>
        <v>#REF!</v>
      </c>
      <c r="F216"/>
    </row>
    <row r="217" spans="1:6" hidden="1">
      <c r="A217" t="e">
        <f>'Production Plan'!#REF!</f>
        <v>#REF!</v>
      </c>
      <c r="B217" t="e">
        <f>VLOOKUP(A217,'Production Plan'!B:V,16,FALSE)</f>
        <v>#REF!</v>
      </c>
      <c r="C217" t="e">
        <f>VLOOKUP(A217,'Production Plan'!B:G,5,FALSE)</f>
        <v>#REF!</v>
      </c>
      <c r="F217"/>
    </row>
    <row r="218" spans="1:6" hidden="1">
      <c r="A218" t="e">
        <f>'Production Plan'!#REF!</f>
        <v>#REF!</v>
      </c>
      <c r="B218" t="e">
        <f>VLOOKUP(A218,'Production Plan'!B:V,16,FALSE)</f>
        <v>#REF!</v>
      </c>
      <c r="C218" t="e">
        <f>VLOOKUP(A218,'Production Plan'!B:G,5,FALSE)</f>
        <v>#REF!</v>
      </c>
      <c r="F218"/>
    </row>
    <row r="219" spans="1:6" hidden="1">
      <c r="A219" t="e">
        <f>'Production Plan'!#REF!</f>
        <v>#REF!</v>
      </c>
      <c r="B219" t="e">
        <f>VLOOKUP(A219,'Production Plan'!B:V,16,FALSE)</f>
        <v>#REF!</v>
      </c>
      <c r="C219" t="e">
        <f>VLOOKUP(A219,'Production Plan'!B:G,5,FALSE)</f>
        <v>#REF!</v>
      </c>
      <c r="F219"/>
    </row>
    <row r="220" spans="1:6" hidden="1">
      <c r="A220" t="e">
        <f>'Production Plan'!#REF!</f>
        <v>#REF!</v>
      </c>
      <c r="B220" t="e">
        <f>VLOOKUP(A220,'Production Plan'!B:V,16,FALSE)</f>
        <v>#REF!</v>
      </c>
      <c r="C220" t="e">
        <f>VLOOKUP(A220,'Production Plan'!B:G,5,FALSE)</f>
        <v>#REF!</v>
      </c>
      <c r="F220"/>
    </row>
    <row r="221" spans="1:6" hidden="1">
      <c r="A221" t="e">
        <f>'Production Plan'!#REF!</f>
        <v>#REF!</v>
      </c>
      <c r="B221" t="e">
        <f>VLOOKUP(A221,'Production Plan'!B:V,16,FALSE)</f>
        <v>#REF!</v>
      </c>
      <c r="C221" t="e">
        <f>VLOOKUP(A221,'Production Plan'!B:G,5,FALSE)</f>
        <v>#REF!</v>
      </c>
      <c r="F221"/>
    </row>
    <row r="222" spans="1:6" hidden="1">
      <c r="A222" t="e">
        <f>'Production Plan'!#REF!</f>
        <v>#REF!</v>
      </c>
      <c r="B222" t="e">
        <f>VLOOKUP(A222,'Production Plan'!B:V,16,FALSE)</f>
        <v>#REF!</v>
      </c>
      <c r="C222" t="e">
        <f>VLOOKUP(A222,'Production Plan'!B:G,5,FALSE)</f>
        <v>#REF!</v>
      </c>
      <c r="F222"/>
    </row>
    <row r="223" spans="1:6" hidden="1">
      <c r="A223" t="e">
        <f>'Production Plan'!#REF!</f>
        <v>#REF!</v>
      </c>
      <c r="B223" t="e">
        <f>VLOOKUP(A223,'Production Plan'!B:V,16,FALSE)</f>
        <v>#REF!</v>
      </c>
      <c r="C223" t="e">
        <f>VLOOKUP(A223,'Production Plan'!B:G,5,FALSE)</f>
        <v>#REF!</v>
      </c>
      <c r="F223"/>
    </row>
    <row r="224" spans="1:6" hidden="1">
      <c r="A224" t="e">
        <f>'Production Plan'!#REF!</f>
        <v>#REF!</v>
      </c>
      <c r="B224" t="e">
        <f>VLOOKUP(A224,'Production Plan'!B:V,16,FALSE)</f>
        <v>#REF!</v>
      </c>
      <c r="C224" t="e">
        <f>VLOOKUP(A224,'Production Plan'!B:G,5,FALSE)</f>
        <v>#REF!</v>
      </c>
      <c r="F224"/>
    </row>
    <row r="225" spans="1:6" hidden="1">
      <c r="A225" t="e">
        <f>'Production Plan'!#REF!</f>
        <v>#REF!</v>
      </c>
      <c r="B225" t="e">
        <f>VLOOKUP(A225,'Production Plan'!B:V,16,FALSE)</f>
        <v>#REF!</v>
      </c>
      <c r="C225" t="e">
        <f>VLOOKUP(A225,'Production Plan'!B:G,5,FALSE)</f>
        <v>#REF!</v>
      </c>
      <c r="F225"/>
    </row>
    <row r="226" spans="1:6" hidden="1">
      <c r="A226" t="e">
        <f>'Production Plan'!#REF!</f>
        <v>#REF!</v>
      </c>
      <c r="B226" t="e">
        <f>VLOOKUP(A226,'Production Plan'!B:V,16,FALSE)</f>
        <v>#REF!</v>
      </c>
      <c r="C226" t="e">
        <f>VLOOKUP(A226,'Production Plan'!B:G,5,FALSE)</f>
        <v>#REF!</v>
      </c>
      <c r="F226"/>
    </row>
    <row r="227" spans="1:6" hidden="1">
      <c r="A227" t="e">
        <f>'Production Plan'!#REF!</f>
        <v>#REF!</v>
      </c>
      <c r="B227" t="e">
        <f>VLOOKUP(A227,'Production Plan'!B:V,16,FALSE)</f>
        <v>#REF!</v>
      </c>
      <c r="C227" t="e">
        <f>VLOOKUP(A227,'Production Plan'!B:G,5,FALSE)</f>
        <v>#REF!</v>
      </c>
      <c r="F227"/>
    </row>
    <row r="228" spans="1:6" hidden="1">
      <c r="A228" t="e">
        <f>'Production Plan'!#REF!</f>
        <v>#REF!</v>
      </c>
      <c r="B228" t="e">
        <f>VLOOKUP(A228,'Production Plan'!B:V,16,FALSE)</f>
        <v>#REF!</v>
      </c>
      <c r="C228" t="e">
        <f>VLOOKUP(A228,'Production Plan'!B:G,5,FALSE)</f>
        <v>#REF!</v>
      </c>
      <c r="F228"/>
    </row>
    <row r="229" spans="1:6" hidden="1">
      <c r="A229" t="e">
        <f>'Production Plan'!#REF!</f>
        <v>#REF!</v>
      </c>
      <c r="B229" t="e">
        <f>VLOOKUP(A229,'Production Plan'!B:V,16,FALSE)</f>
        <v>#REF!</v>
      </c>
      <c r="C229" t="e">
        <f>VLOOKUP(A229,'Production Plan'!B:G,5,FALSE)</f>
        <v>#REF!</v>
      </c>
      <c r="F229"/>
    </row>
    <row r="230" spans="1:6" hidden="1">
      <c r="A230" t="e">
        <f>'Production Plan'!#REF!</f>
        <v>#REF!</v>
      </c>
      <c r="B230" t="e">
        <f>VLOOKUP(A230,'Production Plan'!B:V,16,FALSE)</f>
        <v>#REF!</v>
      </c>
      <c r="C230" t="e">
        <f>VLOOKUP(A230,'Production Plan'!B:G,5,FALSE)</f>
        <v>#REF!</v>
      </c>
      <c r="F230"/>
    </row>
    <row r="231" spans="1:6" hidden="1">
      <c r="A231" t="e">
        <f>'Production Plan'!#REF!</f>
        <v>#REF!</v>
      </c>
      <c r="B231" t="e">
        <f>VLOOKUP(A231,'Production Plan'!B:V,16,FALSE)</f>
        <v>#REF!</v>
      </c>
      <c r="C231" t="e">
        <f>VLOOKUP(A231,'Production Plan'!B:G,5,FALSE)</f>
        <v>#REF!</v>
      </c>
      <c r="F231"/>
    </row>
    <row r="232" spans="1:6" hidden="1">
      <c r="A232" t="e">
        <f>'Production Plan'!#REF!</f>
        <v>#REF!</v>
      </c>
      <c r="B232" t="e">
        <f>VLOOKUP(A232,'Production Plan'!B:V,16,FALSE)</f>
        <v>#REF!</v>
      </c>
      <c r="C232" t="e">
        <f>VLOOKUP(A232,'Production Plan'!B:G,5,FALSE)</f>
        <v>#REF!</v>
      </c>
      <c r="F232"/>
    </row>
    <row r="233" spans="1:6" hidden="1">
      <c r="A233" t="e">
        <f>'Production Plan'!#REF!</f>
        <v>#REF!</v>
      </c>
      <c r="B233" t="e">
        <f>VLOOKUP(A233,'Production Plan'!B:V,16,FALSE)</f>
        <v>#REF!</v>
      </c>
      <c r="C233" t="e">
        <f>VLOOKUP(A233,'Production Plan'!B:G,5,FALSE)</f>
        <v>#REF!</v>
      </c>
      <c r="F233"/>
    </row>
    <row r="234" spans="1:6" hidden="1">
      <c r="A234" t="e">
        <f>'Production Plan'!#REF!</f>
        <v>#REF!</v>
      </c>
      <c r="B234" t="e">
        <f>VLOOKUP(A234,'Production Plan'!B:V,16,FALSE)</f>
        <v>#REF!</v>
      </c>
      <c r="C234" t="e">
        <f>VLOOKUP(A234,'Production Plan'!B:G,5,FALSE)</f>
        <v>#REF!</v>
      </c>
      <c r="F234"/>
    </row>
    <row r="235" spans="1:6" hidden="1">
      <c r="A235" t="e">
        <f>'Production Plan'!#REF!</f>
        <v>#REF!</v>
      </c>
      <c r="B235" t="e">
        <f>VLOOKUP(A235,'Production Plan'!B:V,16,FALSE)</f>
        <v>#REF!</v>
      </c>
      <c r="C235" t="e">
        <f>VLOOKUP(A235,'Production Plan'!B:G,5,FALSE)</f>
        <v>#REF!</v>
      </c>
      <c r="F235"/>
    </row>
    <row r="236" spans="1:6" hidden="1">
      <c r="A236" t="e">
        <f>'Production Plan'!#REF!</f>
        <v>#REF!</v>
      </c>
      <c r="B236" t="e">
        <f>VLOOKUP(A236,'Production Plan'!B:V,16,FALSE)</f>
        <v>#REF!</v>
      </c>
      <c r="C236" t="e">
        <f>VLOOKUP(A236,'Production Plan'!B:G,5,FALSE)</f>
        <v>#REF!</v>
      </c>
      <c r="F236"/>
    </row>
    <row r="237" spans="1:6" hidden="1">
      <c r="A237" t="e">
        <f>'Production Plan'!#REF!</f>
        <v>#REF!</v>
      </c>
      <c r="B237" t="e">
        <f>VLOOKUP(A237,'Production Plan'!B:V,16,FALSE)</f>
        <v>#REF!</v>
      </c>
      <c r="C237" t="e">
        <f>VLOOKUP(A237,'Production Plan'!B:G,5,FALSE)</f>
        <v>#REF!</v>
      </c>
      <c r="F237"/>
    </row>
    <row r="238" spans="1:6" hidden="1">
      <c r="A238" t="e">
        <f>'Production Plan'!#REF!</f>
        <v>#REF!</v>
      </c>
      <c r="B238" t="e">
        <f>VLOOKUP(A238,'Production Plan'!B:V,16,FALSE)</f>
        <v>#REF!</v>
      </c>
      <c r="C238" t="e">
        <f>VLOOKUP(A238,'Production Plan'!B:G,5,FALSE)</f>
        <v>#REF!</v>
      </c>
      <c r="F238"/>
    </row>
    <row r="239" spans="1:6" hidden="1">
      <c r="A239" t="e">
        <f>'Production Plan'!#REF!</f>
        <v>#REF!</v>
      </c>
      <c r="B239" t="e">
        <f>VLOOKUP(A239,'Production Plan'!B:V,16,FALSE)</f>
        <v>#REF!</v>
      </c>
      <c r="C239" t="e">
        <f>VLOOKUP(A239,'Production Plan'!B:G,5,FALSE)</f>
        <v>#REF!</v>
      </c>
      <c r="F239"/>
    </row>
    <row r="240" spans="1:6" hidden="1">
      <c r="A240" t="e">
        <f>'Production Plan'!#REF!</f>
        <v>#REF!</v>
      </c>
      <c r="B240" t="e">
        <f>VLOOKUP(A240,'Production Plan'!B:V,16,FALSE)</f>
        <v>#REF!</v>
      </c>
      <c r="C240" t="e">
        <f>VLOOKUP(A240,'Production Plan'!B:G,5,FALSE)</f>
        <v>#REF!</v>
      </c>
      <c r="F240"/>
    </row>
    <row r="241" spans="1:6" hidden="1">
      <c r="A241" t="e">
        <f>'Production Plan'!#REF!</f>
        <v>#REF!</v>
      </c>
      <c r="B241" t="e">
        <f>VLOOKUP(A241,'Production Plan'!B:V,16,FALSE)</f>
        <v>#REF!</v>
      </c>
      <c r="C241" t="e">
        <f>VLOOKUP(A241,'Production Plan'!B:G,5,FALSE)</f>
        <v>#REF!</v>
      </c>
      <c r="F241"/>
    </row>
    <row r="242" spans="1:6" hidden="1">
      <c r="A242" t="e">
        <f>'Production Plan'!#REF!</f>
        <v>#REF!</v>
      </c>
      <c r="B242" t="e">
        <f>VLOOKUP(A242,'Production Plan'!B:V,16,FALSE)</f>
        <v>#REF!</v>
      </c>
      <c r="C242" t="e">
        <f>VLOOKUP(A242,'Production Plan'!B:G,5,FALSE)</f>
        <v>#REF!</v>
      </c>
      <c r="F242"/>
    </row>
    <row r="243" spans="1:6" hidden="1">
      <c r="A243" t="e">
        <f>'Production Plan'!#REF!</f>
        <v>#REF!</v>
      </c>
      <c r="B243" t="e">
        <f>VLOOKUP(A243,'Production Plan'!B:V,16,FALSE)</f>
        <v>#REF!</v>
      </c>
      <c r="C243" t="e">
        <f>VLOOKUP(A243,'Production Plan'!B:G,5,FALSE)</f>
        <v>#REF!</v>
      </c>
      <c r="F243"/>
    </row>
    <row r="244" spans="1:6" hidden="1">
      <c r="A244" t="e">
        <f>'Production Plan'!#REF!</f>
        <v>#REF!</v>
      </c>
      <c r="B244" t="e">
        <f>VLOOKUP(A244,'Production Plan'!B:V,16,FALSE)</f>
        <v>#REF!</v>
      </c>
      <c r="C244" t="e">
        <f>VLOOKUP(A244,'Production Plan'!B:G,5,FALSE)</f>
        <v>#REF!</v>
      </c>
      <c r="F244"/>
    </row>
    <row r="245" spans="1:6" hidden="1">
      <c r="A245" t="e">
        <f>'Production Plan'!#REF!</f>
        <v>#REF!</v>
      </c>
      <c r="B245" t="e">
        <f>VLOOKUP(A245,'Production Plan'!B:V,16,FALSE)</f>
        <v>#REF!</v>
      </c>
      <c r="C245" t="e">
        <f>VLOOKUP(A245,'Production Plan'!B:G,5,FALSE)</f>
        <v>#REF!</v>
      </c>
      <c r="F245"/>
    </row>
    <row r="246" spans="1:6" hidden="1">
      <c r="A246" t="e">
        <f>'Production Plan'!#REF!</f>
        <v>#REF!</v>
      </c>
      <c r="B246" t="e">
        <f>VLOOKUP(A246,'Production Plan'!B:V,16,FALSE)</f>
        <v>#REF!</v>
      </c>
      <c r="C246" t="e">
        <f>VLOOKUP(A246,'Production Plan'!B:G,5,FALSE)</f>
        <v>#REF!</v>
      </c>
      <c r="F246"/>
    </row>
    <row r="247" spans="1:6" hidden="1">
      <c r="A247" t="e">
        <f>'Production Plan'!#REF!</f>
        <v>#REF!</v>
      </c>
      <c r="B247" t="e">
        <f>VLOOKUP(A247,'Production Plan'!B:V,16,FALSE)</f>
        <v>#REF!</v>
      </c>
      <c r="C247" t="e">
        <f>VLOOKUP(A247,'Production Plan'!B:G,5,FALSE)</f>
        <v>#REF!</v>
      </c>
      <c r="F247"/>
    </row>
    <row r="248" spans="1:6" hidden="1">
      <c r="A248" t="e">
        <f>'Production Plan'!#REF!</f>
        <v>#REF!</v>
      </c>
      <c r="B248" t="e">
        <f>VLOOKUP(A248,'Production Plan'!B:V,16,FALSE)</f>
        <v>#REF!</v>
      </c>
      <c r="C248" t="e">
        <f>VLOOKUP(A248,'Production Plan'!B:G,5,FALSE)</f>
        <v>#REF!</v>
      </c>
      <c r="F248"/>
    </row>
    <row r="249" spans="1:6" hidden="1">
      <c r="A249" t="e">
        <f>'Production Plan'!#REF!</f>
        <v>#REF!</v>
      </c>
      <c r="B249" t="e">
        <f>VLOOKUP(A249,'Production Plan'!B:V,16,FALSE)</f>
        <v>#REF!</v>
      </c>
      <c r="C249" t="e">
        <f>VLOOKUP(A249,'Production Plan'!B:G,5,FALSE)</f>
        <v>#REF!</v>
      </c>
      <c r="F249"/>
    </row>
    <row r="250" spans="1:6" hidden="1">
      <c r="A250" t="e">
        <f>'Production Plan'!#REF!</f>
        <v>#REF!</v>
      </c>
      <c r="B250" t="e">
        <f>VLOOKUP(A250,'Production Plan'!B:V,16,FALSE)</f>
        <v>#REF!</v>
      </c>
      <c r="C250" t="e">
        <f>VLOOKUP(A250,'Production Plan'!B:G,5,FALSE)</f>
        <v>#REF!</v>
      </c>
      <c r="F250"/>
    </row>
    <row r="251" spans="1:6" hidden="1">
      <c r="A251" t="e">
        <f>'Production Plan'!#REF!</f>
        <v>#REF!</v>
      </c>
      <c r="B251" t="e">
        <f>VLOOKUP(A251,'Production Plan'!B:V,16,FALSE)</f>
        <v>#REF!</v>
      </c>
      <c r="C251" t="e">
        <f>VLOOKUP(A251,'Production Plan'!B:G,5,FALSE)</f>
        <v>#REF!</v>
      </c>
      <c r="F251"/>
    </row>
    <row r="252" spans="1:6" hidden="1">
      <c r="A252" t="e">
        <f>'Production Plan'!#REF!</f>
        <v>#REF!</v>
      </c>
      <c r="B252" t="e">
        <f>VLOOKUP(A252,'Production Plan'!B:V,16,FALSE)</f>
        <v>#REF!</v>
      </c>
      <c r="C252" t="e">
        <f>VLOOKUP(A252,'Production Plan'!B:G,5,FALSE)</f>
        <v>#REF!</v>
      </c>
      <c r="F252"/>
    </row>
    <row r="253" spans="1:6" hidden="1">
      <c r="A253" t="e">
        <f>'Production Plan'!#REF!</f>
        <v>#REF!</v>
      </c>
      <c r="B253" t="e">
        <f>VLOOKUP(A253,'Production Plan'!B:V,16,FALSE)</f>
        <v>#REF!</v>
      </c>
      <c r="C253" t="e">
        <f>VLOOKUP(A253,'Production Plan'!B:G,5,FALSE)</f>
        <v>#REF!</v>
      </c>
      <c r="F253"/>
    </row>
    <row r="254" spans="1:6" hidden="1">
      <c r="A254" t="e">
        <f>'Production Plan'!#REF!</f>
        <v>#REF!</v>
      </c>
      <c r="B254" t="e">
        <f>VLOOKUP(A254,'Production Plan'!B:V,16,FALSE)</f>
        <v>#REF!</v>
      </c>
      <c r="C254" t="e">
        <f>VLOOKUP(A254,'Production Plan'!B:G,5,FALSE)</f>
        <v>#REF!</v>
      </c>
      <c r="F254"/>
    </row>
    <row r="255" spans="1:6" hidden="1">
      <c r="A255" t="e">
        <f>'Production Plan'!#REF!</f>
        <v>#REF!</v>
      </c>
      <c r="B255" t="e">
        <f>VLOOKUP(A255,'Production Plan'!B:V,16,FALSE)</f>
        <v>#REF!</v>
      </c>
      <c r="C255" t="e">
        <f>VLOOKUP(A255,'Production Plan'!B:G,5,FALSE)</f>
        <v>#REF!</v>
      </c>
      <c r="F255"/>
    </row>
    <row r="256" spans="1:6" hidden="1">
      <c r="A256" t="e">
        <f>'Production Plan'!#REF!</f>
        <v>#REF!</v>
      </c>
      <c r="B256" t="e">
        <f>VLOOKUP(A256,'Production Plan'!B:V,16,FALSE)</f>
        <v>#REF!</v>
      </c>
      <c r="C256" t="e">
        <f>VLOOKUP(A256,'Production Plan'!B:G,5,FALSE)</f>
        <v>#REF!</v>
      </c>
      <c r="F256"/>
    </row>
    <row r="257" spans="1:6" hidden="1">
      <c r="A257" t="e">
        <f>'Production Plan'!#REF!</f>
        <v>#REF!</v>
      </c>
      <c r="B257" t="e">
        <f>VLOOKUP(A257,'Production Plan'!B:V,16,FALSE)</f>
        <v>#REF!</v>
      </c>
      <c r="C257" t="e">
        <f>VLOOKUP(A257,'Production Plan'!B:G,5,FALSE)</f>
        <v>#REF!</v>
      </c>
      <c r="F257"/>
    </row>
    <row r="258" spans="1:6" hidden="1">
      <c r="A258" t="e">
        <f>'Production Plan'!#REF!</f>
        <v>#REF!</v>
      </c>
      <c r="B258" t="e">
        <f>VLOOKUP(A258,'Production Plan'!B:V,16,FALSE)</f>
        <v>#REF!</v>
      </c>
      <c r="C258" t="e">
        <f>VLOOKUP(A258,'Production Plan'!B:G,5,FALSE)</f>
        <v>#REF!</v>
      </c>
      <c r="F258"/>
    </row>
    <row r="259" spans="1:6" hidden="1">
      <c r="A259" t="e">
        <f>'Production Plan'!#REF!</f>
        <v>#REF!</v>
      </c>
      <c r="B259" t="e">
        <f>VLOOKUP(A259,'Production Plan'!B:V,16,FALSE)</f>
        <v>#REF!</v>
      </c>
      <c r="C259" t="e">
        <f>VLOOKUP(A259,'Production Plan'!B:G,5,FALSE)</f>
        <v>#REF!</v>
      </c>
      <c r="F259"/>
    </row>
    <row r="260" spans="1:6" hidden="1">
      <c r="A260" t="e">
        <f>'Production Plan'!#REF!</f>
        <v>#REF!</v>
      </c>
      <c r="B260" t="e">
        <f>VLOOKUP(A260,'Production Plan'!B:V,16,FALSE)</f>
        <v>#REF!</v>
      </c>
      <c r="C260" t="e">
        <f>VLOOKUP(A260,'Production Plan'!B:G,5,FALSE)</f>
        <v>#REF!</v>
      </c>
      <c r="F260"/>
    </row>
    <row r="261" spans="1:6" hidden="1">
      <c r="A261" t="e">
        <f>'Production Plan'!#REF!</f>
        <v>#REF!</v>
      </c>
      <c r="B261" t="e">
        <f>VLOOKUP(A261,'Production Plan'!B:V,16,FALSE)</f>
        <v>#REF!</v>
      </c>
      <c r="C261" t="e">
        <f>VLOOKUP(A261,'Production Plan'!B:G,5,FALSE)</f>
        <v>#REF!</v>
      </c>
      <c r="F261"/>
    </row>
    <row r="262" spans="1:6" hidden="1">
      <c r="A262" t="e">
        <f>'Production Plan'!#REF!</f>
        <v>#REF!</v>
      </c>
      <c r="B262" t="e">
        <f>VLOOKUP(A262,'Production Plan'!B:V,16,FALSE)</f>
        <v>#REF!</v>
      </c>
      <c r="C262" t="e">
        <f>VLOOKUP(A262,'Production Plan'!B:G,5,FALSE)</f>
        <v>#REF!</v>
      </c>
      <c r="F262"/>
    </row>
    <row r="263" spans="1:6" hidden="1">
      <c r="A263" t="e">
        <f>'Production Plan'!#REF!</f>
        <v>#REF!</v>
      </c>
      <c r="B263" t="e">
        <f>VLOOKUP(A263,'Production Plan'!B:V,16,FALSE)</f>
        <v>#REF!</v>
      </c>
      <c r="C263" t="e">
        <f>VLOOKUP(A263,'Production Plan'!B:G,5,FALSE)</f>
        <v>#REF!</v>
      </c>
      <c r="F263"/>
    </row>
    <row r="264" spans="1:6" hidden="1">
      <c r="A264" t="e">
        <f>'Production Plan'!#REF!</f>
        <v>#REF!</v>
      </c>
      <c r="B264" t="e">
        <f>VLOOKUP(A264,'Production Plan'!B:V,16,FALSE)</f>
        <v>#REF!</v>
      </c>
      <c r="C264" t="e">
        <f>VLOOKUP(A264,'Production Plan'!B:G,5,FALSE)</f>
        <v>#REF!</v>
      </c>
      <c r="F264"/>
    </row>
    <row r="265" spans="1:6" hidden="1">
      <c r="A265" t="e">
        <f>'Production Plan'!#REF!</f>
        <v>#REF!</v>
      </c>
      <c r="B265" t="e">
        <f>VLOOKUP(A265,'Production Plan'!B:V,16,FALSE)</f>
        <v>#REF!</v>
      </c>
      <c r="C265" t="e">
        <f>VLOOKUP(A265,'Production Plan'!B:G,5,FALSE)</f>
        <v>#REF!</v>
      </c>
      <c r="F265"/>
    </row>
    <row r="266" spans="1:6" hidden="1">
      <c r="A266" t="e">
        <f>'Production Plan'!#REF!</f>
        <v>#REF!</v>
      </c>
      <c r="B266" t="e">
        <f>VLOOKUP(A266,'Production Plan'!B:V,16,FALSE)</f>
        <v>#REF!</v>
      </c>
      <c r="C266" t="e">
        <f>VLOOKUP(A266,'Production Plan'!B:G,5,FALSE)</f>
        <v>#REF!</v>
      </c>
      <c r="F266"/>
    </row>
    <row r="267" spans="1:6" hidden="1">
      <c r="A267" t="e">
        <f>'Production Plan'!#REF!</f>
        <v>#REF!</v>
      </c>
      <c r="B267" t="e">
        <f>VLOOKUP(A267,'Production Plan'!B:V,16,FALSE)</f>
        <v>#REF!</v>
      </c>
      <c r="C267" t="e">
        <f>VLOOKUP(A267,'Production Plan'!B:G,5,FALSE)</f>
        <v>#REF!</v>
      </c>
      <c r="F267"/>
    </row>
    <row r="268" spans="1:6" hidden="1">
      <c r="A268" t="e">
        <f>'Production Plan'!#REF!</f>
        <v>#REF!</v>
      </c>
      <c r="B268" t="e">
        <f>VLOOKUP(A268,'Production Plan'!B:V,16,FALSE)</f>
        <v>#REF!</v>
      </c>
      <c r="C268" t="e">
        <f>VLOOKUP(A268,'Production Plan'!B:G,5,FALSE)</f>
        <v>#REF!</v>
      </c>
      <c r="F268"/>
    </row>
    <row r="269" spans="1:6" hidden="1">
      <c r="A269" t="e">
        <f>'Production Plan'!#REF!</f>
        <v>#REF!</v>
      </c>
      <c r="B269" t="e">
        <f>VLOOKUP(A269,'Production Plan'!B:V,16,FALSE)</f>
        <v>#REF!</v>
      </c>
      <c r="C269" t="e">
        <f>VLOOKUP(A269,'Production Plan'!B:G,5,FALSE)</f>
        <v>#REF!</v>
      </c>
      <c r="F269"/>
    </row>
    <row r="270" spans="1:6" hidden="1">
      <c r="A270" t="e">
        <f>'Production Plan'!#REF!</f>
        <v>#REF!</v>
      </c>
      <c r="B270" t="e">
        <f>VLOOKUP(A270,'Production Plan'!B:V,16,FALSE)</f>
        <v>#REF!</v>
      </c>
      <c r="C270" t="e">
        <f>VLOOKUP(A270,'Production Plan'!B:G,5,FALSE)</f>
        <v>#REF!</v>
      </c>
      <c r="F270"/>
    </row>
    <row r="271" spans="1:6" hidden="1">
      <c r="A271" t="e">
        <f>'Production Plan'!#REF!</f>
        <v>#REF!</v>
      </c>
      <c r="B271" t="e">
        <f>VLOOKUP(A271,'Production Plan'!B:V,16,FALSE)</f>
        <v>#REF!</v>
      </c>
      <c r="C271" t="e">
        <f>VLOOKUP(A271,'Production Plan'!B:G,5,FALSE)</f>
        <v>#REF!</v>
      </c>
      <c r="F271"/>
    </row>
    <row r="272" spans="1:6" hidden="1">
      <c r="A272" t="e">
        <f>'Production Plan'!#REF!</f>
        <v>#REF!</v>
      </c>
      <c r="B272" t="e">
        <f>VLOOKUP(A272,'Production Plan'!B:V,16,FALSE)</f>
        <v>#REF!</v>
      </c>
      <c r="C272" t="e">
        <f>VLOOKUP(A272,'Production Plan'!B:G,5,FALSE)</f>
        <v>#REF!</v>
      </c>
      <c r="F272"/>
    </row>
    <row r="273" spans="1:6" hidden="1">
      <c r="A273" t="e">
        <f>'Production Plan'!#REF!</f>
        <v>#REF!</v>
      </c>
      <c r="B273" t="e">
        <f>VLOOKUP(A273,'Production Plan'!B:V,16,FALSE)</f>
        <v>#REF!</v>
      </c>
      <c r="C273" t="e">
        <f>VLOOKUP(A273,'Production Plan'!B:G,5,FALSE)</f>
        <v>#REF!</v>
      </c>
      <c r="F273"/>
    </row>
    <row r="274" spans="1:6" hidden="1">
      <c r="A274" t="e">
        <f>'Production Plan'!#REF!</f>
        <v>#REF!</v>
      </c>
      <c r="B274" t="e">
        <f>VLOOKUP(A274,'Production Plan'!B:V,16,FALSE)</f>
        <v>#REF!</v>
      </c>
      <c r="C274" t="e">
        <f>VLOOKUP(A274,'Production Plan'!B:G,5,FALSE)</f>
        <v>#REF!</v>
      </c>
      <c r="F274"/>
    </row>
    <row r="275" spans="1:6" hidden="1">
      <c r="A275" t="e">
        <f>'Production Plan'!#REF!</f>
        <v>#REF!</v>
      </c>
      <c r="B275" t="e">
        <f>VLOOKUP(A275,'Production Plan'!B:V,16,FALSE)</f>
        <v>#REF!</v>
      </c>
      <c r="C275" t="e">
        <f>VLOOKUP(A275,'Production Plan'!B:G,5,FALSE)</f>
        <v>#REF!</v>
      </c>
      <c r="F275"/>
    </row>
    <row r="276" spans="1:6" hidden="1">
      <c r="A276" t="e">
        <f>'Production Plan'!#REF!</f>
        <v>#REF!</v>
      </c>
      <c r="B276" t="e">
        <f>VLOOKUP(A276,'Production Plan'!B:V,16,FALSE)</f>
        <v>#REF!</v>
      </c>
      <c r="C276" t="e">
        <f>VLOOKUP(A276,'Production Plan'!B:G,5,FALSE)</f>
        <v>#REF!</v>
      </c>
      <c r="F276"/>
    </row>
    <row r="277" spans="1:6" hidden="1">
      <c r="A277" t="e">
        <f>'Production Plan'!#REF!</f>
        <v>#REF!</v>
      </c>
      <c r="B277" t="e">
        <f>VLOOKUP(A277,'Production Plan'!B:V,16,FALSE)</f>
        <v>#REF!</v>
      </c>
      <c r="C277" t="e">
        <f>VLOOKUP(A277,'Production Plan'!B:G,5,FALSE)</f>
        <v>#REF!</v>
      </c>
      <c r="F277"/>
    </row>
    <row r="278" spans="1:6" hidden="1">
      <c r="A278" t="e">
        <f>'Production Plan'!#REF!</f>
        <v>#REF!</v>
      </c>
      <c r="B278" t="e">
        <f>VLOOKUP(A278,'Production Plan'!B:V,16,FALSE)</f>
        <v>#REF!</v>
      </c>
      <c r="C278" t="e">
        <f>VLOOKUP(A278,'Production Plan'!B:G,5,FALSE)</f>
        <v>#REF!</v>
      </c>
      <c r="F278"/>
    </row>
    <row r="279" spans="1:6" hidden="1">
      <c r="A279" t="e">
        <f>'Production Plan'!#REF!</f>
        <v>#REF!</v>
      </c>
      <c r="B279" t="e">
        <f>VLOOKUP(A279,'Production Plan'!B:V,16,FALSE)</f>
        <v>#REF!</v>
      </c>
      <c r="C279" t="e">
        <f>VLOOKUP(A279,'Production Plan'!B:G,5,FALSE)</f>
        <v>#REF!</v>
      </c>
      <c r="F279"/>
    </row>
    <row r="280" spans="1:6" hidden="1">
      <c r="A280" t="e">
        <f>'Production Plan'!#REF!</f>
        <v>#REF!</v>
      </c>
      <c r="B280" t="e">
        <f>VLOOKUP(A280,'Production Plan'!B:V,16,FALSE)</f>
        <v>#REF!</v>
      </c>
      <c r="C280" t="e">
        <f>VLOOKUP(A280,'Production Plan'!B:G,5,FALSE)</f>
        <v>#REF!</v>
      </c>
      <c r="F280"/>
    </row>
    <row r="281" spans="1:6" hidden="1">
      <c r="A281" t="e">
        <f>'Production Plan'!#REF!</f>
        <v>#REF!</v>
      </c>
      <c r="B281" t="e">
        <f>VLOOKUP(A281,'Production Plan'!B:V,16,FALSE)</f>
        <v>#REF!</v>
      </c>
      <c r="C281" t="e">
        <f>VLOOKUP(A281,'Production Plan'!B:G,5,FALSE)</f>
        <v>#REF!</v>
      </c>
      <c r="F281"/>
    </row>
    <row r="282" spans="1:6" hidden="1">
      <c r="A282" t="e">
        <f>'Production Plan'!#REF!</f>
        <v>#REF!</v>
      </c>
      <c r="B282" t="e">
        <f>VLOOKUP(A282,'Production Plan'!B:V,16,FALSE)</f>
        <v>#REF!</v>
      </c>
      <c r="C282" t="e">
        <f>VLOOKUP(A282,'Production Plan'!B:G,5,FALSE)</f>
        <v>#REF!</v>
      </c>
      <c r="F282"/>
    </row>
    <row r="283" spans="1:6" hidden="1">
      <c r="A283" t="e">
        <f>'Production Plan'!#REF!</f>
        <v>#REF!</v>
      </c>
      <c r="B283" t="e">
        <f>VLOOKUP(A283,'Production Plan'!B:V,16,FALSE)</f>
        <v>#REF!</v>
      </c>
      <c r="C283" t="e">
        <f>VLOOKUP(A283,'Production Plan'!B:G,5,FALSE)</f>
        <v>#REF!</v>
      </c>
      <c r="F283"/>
    </row>
    <row r="284" spans="1:6" hidden="1">
      <c r="A284" t="e">
        <f>'Production Plan'!#REF!</f>
        <v>#REF!</v>
      </c>
      <c r="B284" t="e">
        <f>VLOOKUP(A284,'Production Plan'!B:V,16,FALSE)</f>
        <v>#REF!</v>
      </c>
      <c r="C284" t="e">
        <f>VLOOKUP(A284,'Production Plan'!B:G,5,FALSE)</f>
        <v>#REF!</v>
      </c>
      <c r="F284"/>
    </row>
    <row r="285" spans="1:6" hidden="1">
      <c r="A285" t="e">
        <f>'Production Plan'!#REF!</f>
        <v>#REF!</v>
      </c>
      <c r="B285" t="e">
        <f>VLOOKUP(A285,'Production Plan'!B:V,16,FALSE)</f>
        <v>#REF!</v>
      </c>
      <c r="C285" t="e">
        <f>VLOOKUP(A285,'Production Plan'!B:G,5,FALSE)</f>
        <v>#REF!</v>
      </c>
      <c r="F285"/>
    </row>
    <row r="286" spans="1:6" hidden="1">
      <c r="A286" t="e">
        <f>'Production Plan'!#REF!</f>
        <v>#REF!</v>
      </c>
      <c r="B286" t="e">
        <f>VLOOKUP(A286,'Production Plan'!B:V,16,FALSE)</f>
        <v>#REF!</v>
      </c>
      <c r="C286" t="e">
        <f>VLOOKUP(A286,'Production Plan'!B:G,5,FALSE)</f>
        <v>#REF!</v>
      </c>
      <c r="F286"/>
    </row>
    <row r="287" spans="1:6" hidden="1">
      <c r="A287" t="e">
        <f>'Production Plan'!#REF!</f>
        <v>#REF!</v>
      </c>
      <c r="B287" t="e">
        <f>VLOOKUP(A287,'Production Plan'!B:V,16,FALSE)</f>
        <v>#REF!</v>
      </c>
      <c r="C287" t="e">
        <f>VLOOKUP(A287,'Production Plan'!B:G,5,FALSE)</f>
        <v>#REF!</v>
      </c>
      <c r="F287"/>
    </row>
    <row r="288" spans="1:6" hidden="1">
      <c r="A288" t="e">
        <f>'Production Plan'!#REF!</f>
        <v>#REF!</v>
      </c>
      <c r="B288" t="e">
        <f>VLOOKUP(A288,'Production Plan'!B:V,16,FALSE)</f>
        <v>#REF!</v>
      </c>
      <c r="C288" t="e">
        <f>VLOOKUP(A288,'Production Plan'!B:G,5,FALSE)</f>
        <v>#REF!</v>
      </c>
      <c r="F288"/>
    </row>
    <row r="289" spans="1:6" hidden="1">
      <c r="A289" t="e">
        <f>'Production Plan'!#REF!</f>
        <v>#REF!</v>
      </c>
      <c r="B289" t="e">
        <f>VLOOKUP(A289,'Production Plan'!B:V,16,FALSE)</f>
        <v>#REF!</v>
      </c>
      <c r="C289" t="e">
        <f>VLOOKUP(A289,'Production Plan'!B:G,5,FALSE)</f>
        <v>#REF!</v>
      </c>
      <c r="F289"/>
    </row>
    <row r="290" spans="1:6" hidden="1">
      <c r="A290" t="str">
        <f>'Production Plan'!B219</f>
        <v>Kontrakt</v>
      </c>
      <c r="B290">
        <f>VLOOKUP(A290,'Production Plan'!B:V,16,FALSE)</f>
        <v>0</v>
      </c>
      <c r="C290" t="str">
        <f>VLOOKUP(A290,'Production Plan'!B:G,5,FALSE)</f>
        <v>Kontrakt</v>
      </c>
      <c r="F290"/>
    </row>
    <row r="291" spans="1:6" hidden="1">
      <c r="A291">
        <f>'Production Plan'!B220</f>
        <v>0</v>
      </c>
      <c r="B291" t="e">
        <f>VLOOKUP(A291,'Production Plan'!B:V,16,FALSE)</f>
        <v>#N/A</v>
      </c>
      <c r="C291" t="e">
        <f>VLOOKUP(A291,'Production Plan'!B:G,5,FALSE)</f>
        <v>#N/A</v>
      </c>
      <c r="F291"/>
    </row>
    <row r="292" spans="1:6" hidden="1">
      <c r="A292">
        <f>'Production Plan'!B221</f>
        <v>0</v>
      </c>
      <c r="B292" t="e">
        <f>VLOOKUP(A292,'Production Plan'!B:V,16,FALSE)</f>
        <v>#N/A</v>
      </c>
      <c r="C292" t="e">
        <f>VLOOKUP(A292,'Production Plan'!B:G,5,FALSE)</f>
        <v>#N/A</v>
      </c>
      <c r="F292"/>
    </row>
    <row r="293" spans="1:6" hidden="1">
      <c r="A293">
        <f>'Production Plan'!B222</f>
        <v>0</v>
      </c>
      <c r="B293" t="e">
        <f>VLOOKUP(A293,'Production Plan'!B:V,16,FALSE)</f>
        <v>#N/A</v>
      </c>
      <c r="C293" t="e">
        <f>VLOOKUP(A293,'Production Plan'!B:G,5,FALSE)</f>
        <v>#N/A</v>
      </c>
      <c r="F293"/>
    </row>
    <row r="294" spans="1:6" hidden="1">
      <c r="A294">
        <f>'Production Plan'!B223</f>
        <v>0</v>
      </c>
      <c r="B294" t="e">
        <f>VLOOKUP(A294,'Production Plan'!B:V,16,FALSE)</f>
        <v>#N/A</v>
      </c>
      <c r="C294" t="e">
        <f>VLOOKUP(A294,'Production Plan'!B:G,5,FALSE)</f>
        <v>#N/A</v>
      </c>
      <c r="F294"/>
    </row>
    <row r="295" spans="1:6" hidden="1">
      <c r="A295">
        <f>'Production Plan'!B224</f>
        <v>0</v>
      </c>
      <c r="B295" t="e">
        <f>VLOOKUP(A295,'Production Plan'!B:V,16,FALSE)</f>
        <v>#N/A</v>
      </c>
      <c r="C295" t="e">
        <f>VLOOKUP(A295,'Production Plan'!B:G,5,FALSE)</f>
        <v>#N/A</v>
      </c>
      <c r="F295"/>
    </row>
    <row r="296" spans="1:6" hidden="1">
      <c r="A296">
        <f>'Production Plan'!B225</f>
        <v>0</v>
      </c>
      <c r="B296" t="e">
        <f>VLOOKUP(A296,'Production Plan'!B:V,16,FALSE)</f>
        <v>#N/A</v>
      </c>
      <c r="C296" t="e">
        <f>VLOOKUP(A296,'Production Plan'!B:G,5,FALSE)</f>
        <v>#N/A</v>
      </c>
      <c r="F296"/>
    </row>
    <row r="297" spans="1:6" hidden="1">
      <c r="A297">
        <f>'Production Plan'!B226</f>
        <v>0</v>
      </c>
      <c r="B297" t="e">
        <f>VLOOKUP(A297,'Production Plan'!B:V,16,FALSE)</f>
        <v>#N/A</v>
      </c>
      <c r="C297" t="e">
        <f>VLOOKUP(A297,'Production Plan'!B:G,5,FALSE)</f>
        <v>#N/A</v>
      </c>
      <c r="F297"/>
    </row>
    <row r="298" spans="1:6" hidden="1">
      <c r="A298">
        <f>'Production Plan'!B227</f>
        <v>0</v>
      </c>
      <c r="B298" t="e">
        <f>VLOOKUP(A298,'Production Plan'!B:V,16,FALSE)</f>
        <v>#N/A</v>
      </c>
      <c r="C298" t="e">
        <f>VLOOKUP(A298,'Production Plan'!B:G,5,FALSE)</f>
        <v>#N/A</v>
      </c>
      <c r="F298"/>
    </row>
    <row r="299" spans="1:6" hidden="1">
      <c r="A299">
        <f>'Production Plan'!B228</f>
        <v>0</v>
      </c>
      <c r="B299" t="e">
        <f>VLOOKUP(A299,'Production Plan'!B:V,16,FALSE)</f>
        <v>#N/A</v>
      </c>
      <c r="C299" t="e">
        <f>VLOOKUP(A299,'Production Plan'!B:G,5,FALSE)</f>
        <v>#N/A</v>
      </c>
      <c r="F299"/>
    </row>
    <row r="300" spans="1:6" hidden="1">
      <c r="A300">
        <f>'Production Plan'!B229</f>
        <v>0</v>
      </c>
      <c r="B300" t="e">
        <f>VLOOKUP(A300,'Production Plan'!B:V,16,FALSE)</f>
        <v>#N/A</v>
      </c>
      <c r="C300" t="e">
        <f>VLOOKUP(A300,'Production Plan'!B:G,5,FALSE)</f>
        <v>#N/A</v>
      </c>
      <c r="F300"/>
    </row>
    <row r="301" spans="1:6" hidden="1">
      <c r="A301">
        <f>'Production Plan'!B230</f>
        <v>0</v>
      </c>
      <c r="B301" t="e">
        <f>VLOOKUP(A301,'Production Plan'!B:V,16,FALSE)</f>
        <v>#N/A</v>
      </c>
      <c r="C301" t="e">
        <f>VLOOKUP(A301,'Production Plan'!B:G,5,FALSE)</f>
        <v>#N/A</v>
      </c>
      <c r="F301"/>
    </row>
    <row r="302" spans="1:6" hidden="1">
      <c r="A302">
        <f>'Production Plan'!B231</f>
        <v>0</v>
      </c>
      <c r="B302" t="e">
        <f>VLOOKUP(A302,'Production Plan'!B:V,16,FALSE)</f>
        <v>#N/A</v>
      </c>
      <c r="C302" t="e">
        <f>VLOOKUP(A302,'Production Plan'!B:G,5,FALSE)</f>
        <v>#N/A</v>
      </c>
      <c r="F302"/>
    </row>
    <row r="303" spans="1:6" hidden="1">
      <c r="A303">
        <f>'Production Plan'!B232</f>
        <v>0</v>
      </c>
      <c r="B303" t="e">
        <f>VLOOKUP(A303,'Production Plan'!B:V,16,FALSE)</f>
        <v>#N/A</v>
      </c>
      <c r="C303" t="e">
        <f>VLOOKUP(A303,'Production Plan'!B:G,5,FALSE)</f>
        <v>#N/A</v>
      </c>
      <c r="F303"/>
    </row>
    <row r="304" spans="1:6" hidden="1">
      <c r="A304">
        <f>'Production Plan'!B233</f>
        <v>0</v>
      </c>
      <c r="B304" t="e">
        <f>VLOOKUP(A304,'Production Plan'!B:V,16,FALSE)</f>
        <v>#N/A</v>
      </c>
      <c r="C304" t="e">
        <f>VLOOKUP(A304,'Production Plan'!B:G,5,FALSE)</f>
        <v>#N/A</v>
      </c>
      <c r="F304"/>
    </row>
    <row r="305" spans="1:6" hidden="1">
      <c r="A305">
        <f>'Production Plan'!B234</f>
        <v>0</v>
      </c>
      <c r="B305" t="e">
        <f>VLOOKUP(A305,'Production Plan'!B:V,16,FALSE)</f>
        <v>#N/A</v>
      </c>
      <c r="C305" t="e">
        <f>VLOOKUP(A305,'Production Plan'!B:G,5,FALSE)</f>
        <v>#N/A</v>
      </c>
      <c r="F305"/>
    </row>
    <row r="306" spans="1:6" hidden="1">
      <c r="A306">
        <f>'Production Plan'!B235</f>
        <v>0</v>
      </c>
      <c r="B306" t="e">
        <f>VLOOKUP(A306,'Production Plan'!B:V,16,FALSE)</f>
        <v>#N/A</v>
      </c>
      <c r="C306" t="e">
        <f>VLOOKUP(A306,'Production Plan'!B:G,5,FALSE)</f>
        <v>#N/A</v>
      </c>
      <c r="F306"/>
    </row>
    <row r="307" spans="1:6" hidden="1">
      <c r="A307">
        <f>'Production Plan'!B236</f>
        <v>0</v>
      </c>
      <c r="B307" t="e">
        <f>VLOOKUP(A307,'Production Plan'!B:V,16,FALSE)</f>
        <v>#N/A</v>
      </c>
      <c r="C307" t="e">
        <f>VLOOKUP(A307,'Production Plan'!B:G,5,FALSE)</f>
        <v>#N/A</v>
      </c>
      <c r="F307"/>
    </row>
    <row r="308" spans="1:6" hidden="1">
      <c r="A308">
        <f>'Production Plan'!B237</f>
        <v>0</v>
      </c>
      <c r="B308" t="e">
        <f>VLOOKUP(A308,'Production Plan'!B:V,16,FALSE)</f>
        <v>#N/A</v>
      </c>
      <c r="C308" t="e">
        <f>VLOOKUP(A308,'Production Plan'!B:G,5,FALSE)</f>
        <v>#N/A</v>
      </c>
      <c r="F308"/>
    </row>
    <row r="309" spans="1:6" hidden="1">
      <c r="A309">
        <f>'Production Plan'!B238</f>
        <v>0</v>
      </c>
      <c r="B309" t="e">
        <f>VLOOKUP(A309,'Production Plan'!B:V,16,FALSE)</f>
        <v>#N/A</v>
      </c>
      <c r="C309" t="e">
        <f>VLOOKUP(A309,'Production Plan'!B:G,5,FALSE)</f>
        <v>#N/A</v>
      </c>
      <c r="F309"/>
    </row>
    <row r="310" spans="1:6" hidden="1">
      <c r="A310">
        <f>'Production Plan'!B239</f>
        <v>0</v>
      </c>
      <c r="B310" t="e">
        <f>VLOOKUP(A310,'Production Plan'!B:V,16,FALSE)</f>
        <v>#N/A</v>
      </c>
      <c r="C310" t="e">
        <f>VLOOKUP(A310,'Production Plan'!B:G,5,FALSE)</f>
        <v>#N/A</v>
      </c>
      <c r="F310"/>
    </row>
    <row r="311" spans="1:6" hidden="1">
      <c r="A311">
        <f>'Production Plan'!B240</f>
        <v>0</v>
      </c>
      <c r="B311" t="e">
        <f>VLOOKUP(A311,'Production Plan'!B:V,16,FALSE)</f>
        <v>#N/A</v>
      </c>
      <c r="C311" t="e">
        <f>VLOOKUP(A311,'Production Plan'!B:G,5,FALSE)</f>
        <v>#N/A</v>
      </c>
      <c r="F311"/>
    </row>
    <row r="312" spans="1:6" hidden="1">
      <c r="A312">
        <f>'Production Plan'!B241</f>
        <v>0</v>
      </c>
      <c r="B312" t="e">
        <f>VLOOKUP(A312,'Production Plan'!B:V,16,FALSE)</f>
        <v>#N/A</v>
      </c>
      <c r="C312" t="e">
        <f>VLOOKUP(A312,'Production Plan'!B:G,5,FALSE)</f>
        <v>#N/A</v>
      </c>
      <c r="F312"/>
    </row>
    <row r="313" spans="1:6" hidden="1">
      <c r="A313">
        <f>'Production Plan'!B242</f>
        <v>0</v>
      </c>
      <c r="B313" t="e">
        <f>VLOOKUP(A313,'Production Plan'!B:V,16,FALSE)</f>
        <v>#N/A</v>
      </c>
      <c r="C313" t="e">
        <f>VLOOKUP(A313,'Production Plan'!B:G,5,FALSE)</f>
        <v>#N/A</v>
      </c>
      <c r="F313"/>
    </row>
    <row r="314" spans="1:6" hidden="1">
      <c r="A314">
        <f>'Production Plan'!B243</f>
        <v>0</v>
      </c>
      <c r="B314" t="e">
        <f>VLOOKUP(A314,'Production Plan'!B:V,16,FALSE)</f>
        <v>#N/A</v>
      </c>
      <c r="C314" t="e">
        <f>VLOOKUP(A314,'Production Plan'!B:G,5,FALSE)</f>
        <v>#N/A</v>
      </c>
      <c r="F314"/>
    </row>
    <row r="315" spans="1:6" hidden="1">
      <c r="A315">
        <f>'Production Plan'!B244</f>
        <v>0</v>
      </c>
      <c r="B315" t="e">
        <f>VLOOKUP(A315,'Production Plan'!B:V,16,FALSE)</f>
        <v>#N/A</v>
      </c>
      <c r="C315" t="e">
        <f>VLOOKUP(A315,'Production Plan'!B:G,5,FALSE)</f>
        <v>#N/A</v>
      </c>
      <c r="F315"/>
    </row>
    <row r="316" spans="1:6" hidden="1">
      <c r="A316">
        <f>'Production Plan'!B245</f>
        <v>0</v>
      </c>
      <c r="B316" t="e">
        <f>VLOOKUP(A316,'Production Plan'!B:V,16,FALSE)</f>
        <v>#N/A</v>
      </c>
      <c r="C316" t="e">
        <f>VLOOKUP(A316,'Production Plan'!B:G,5,FALSE)</f>
        <v>#N/A</v>
      </c>
      <c r="F316"/>
    </row>
    <row r="317" spans="1:6" hidden="1">
      <c r="A317">
        <f>'Production Plan'!B246</f>
        <v>0</v>
      </c>
      <c r="B317" t="e">
        <f>VLOOKUP(A317,'Production Plan'!B:V,16,FALSE)</f>
        <v>#N/A</v>
      </c>
      <c r="C317" t="e">
        <f>VLOOKUP(A317,'Production Plan'!B:G,5,FALSE)</f>
        <v>#N/A</v>
      </c>
      <c r="F317"/>
    </row>
    <row r="318" spans="1:6" hidden="1">
      <c r="A318">
        <f>'Production Plan'!B247</f>
        <v>0</v>
      </c>
      <c r="B318" t="e">
        <f>VLOOKUP(A318,'Production Plan'!B:V,16,FALSE)</f>
        <v>#N/A</v>
      </c>
      <c r="C318" t="e">
        <f>VLOOKUP(A318,'Production Plan'!B:G,5,FALSE)</f>
        <v>#N/A</v>
      </c>
      <c r="F318"/>
    </row>
    <row r="319" spans="1:6" hidden="1">
      <c r="A319">
        <f>'Production Plan'!B248</f>
        <v>0</v>
      </c>
      <c r="B319" t="e">
        <f>VLOOKUP(A319,'Production Plan'!B:V,16,FALSE)</f>
        <v>#N/A</v>
      </c>
      <c r="C319" t="e">
        <f>VLOOKUP(A319,'Production Plan'!B:G,5,FALSE)</f>
        <v>#N/A</v>
      </c>
      <c r="F319"/>
    </row>
    <row r="320" spans="1:6" hidden="1">
      <c r="A320">
        <f>'Production Plan'!B249</f>
        <v>0</v>
      </c>
      <c r="B320" t="e">
        <f>VLOOKUP(A320,'Production Plan'!B:V,16,FALSE)</f>
        <v>#N/A</v>
      </c>
      <c r="C320" t="e">
        <f>VLOOKUP(A320,'Production Plan'!B:G,5,FALSE)</f>
        <v>#N/A</v>
      </c>
      <c r="F320"/>
    </row>
    <row r="321" spans="1:6" hidden="1">
      <c r="A321">
        <f>'Production Plan'!B250</f>
        <v>0</v>
      </c>
      <c r="B321" t="e">
        <f>VLOOKUP(A321,'Production Plan'!B:V,16,FALSE)</f>
        <v>#N/A</v>
      </c>
      <c r="C321" t="e">
        <f>VLOOKUP(A321,'Production Plan'!B:G,5,FALSE)</f>
        <v>#N/A</v>
      </c>
      <c r="F321"/>
    </row>
    <row r="322" spans="1:6" hidden="1">
      <c r="A322">
        <f>'Production Plan'!B251</f>
        <v>0</v>
      </c>
      <c r="B322" t="e">
        <f>VLOOKUP(A322,'Production Plan'!B:V,16,FALSE)</f>
        <v>#N/A</v>
      </c>
      <c r="C322" t="e">
        <f>VLOOKUP(A322,'Production Plan'!B:G,5,FALSE)</f>
        <v>#N/A</v>
      </c>
      <c r="F322"/>
    </row>
    <row r="323" spans="1:6" hidden="1">
      <c r="A323">
        <f>'Production Plan'!B252</f>
        <v>0</v>
      </c>
      <c r="B323" t="e">
        <f>VLOOKUP(A323,'Production Plan'!B:V,16,FALSE)</f>
        <v>#N/A</v>
      </c>
      <c r="C323" t="e">
        <f>VLOOKUP(A323,'Production Plan'!B:G,5,FALSE)</f>
        <v>#N/A</v>
      </c>
      <c r="F323"/>
    </row>
    <row r="324" spans="1:6" hidden="1">
      <c r="A324">
        <f>'Production Plan'!B253</f>
        <v>0</v>
      </c>
      <c r="B324" t="e">
        <f>VLOOKUP(A324,'Production Plan'!B:V,16,FALSE)</f>
        <v>#N/A</v>
      </c>
      <c r="C324" t="e">
        <f>VLOOKUP(A324,'Production Plan'!B:G,5,FALSE)</f>
        <v>#N/A</v>
      </c>
      <c r="F324"/>
    </row>
    <row r="325" spans="1:6" hidden="1">
      <c r="A325">
        <f>'Production Plan'!B254</f>
        <v>0</v>
      </c>
      <c r="B325" t="e">
        <f>VLOOKUP(A325,'Production Plan'!B:V,16,FALSE)</f>
        <v>#N/A</v>
      </c>
      <c r="C325" t="e">
        <f>VLOOKUP(A325,'Production Plan'!B:G,5,FALSE)</f>
        <v>#N/A</v>
      </c>
      <c r="F325"/>
    </row>
    <row r="326" spans="1:6" hidden="1">
      <c r="A326">
        <f>'Production Plan'!B255</f>
        <v>0</v>
      </c>
      <c r="B326" t="e">
        <f>VLOOKUP(A326,'Production Plan'!B:V,16,FALSE)</f>
        <v>#N/A</v>
      </c>
      <c r="C326" t="e">
        <f>VLOOKUP(A326,'Production Plan'!B:G,5,FALSE)</f>
        <v>#N/A</v>
      </c>
      <c r="F326"/>
    </row>
    <row r="327" spans="1:6" hidden="1">
      <c r="A327">
        <f>'Production Plan'!B256</f>
        <v>0</v>
      </c>
      <c r="B327" t="e">
        <f>VLOOKUP(A327,'Production Plan'!B:V,16,FALSE)</f>
        <v>#N/A</v>
      </c>
      <c r="C327" t="e">
        <f>VLOOKUP(A327,'Production Plan'!B:G,5,FALSE)</f>
        <v>#N/A</v>
      </c>
      <c r="F327"/>
    </row>
    <row r="328" spans="1:6" hidden="1">
      <c r="A328">
        <f>'Production Plan'!B257</f>
        <v>0</v>
      </c>
      <c r="B328" t="e">
        <f>VLOOKUP(A328,'Production Plan'!B:V,16,FALSE)</f>
        <v>#N/A</v>
      </c>
      <c r="C328" t="e">
        <f>VLOOKUP(A328,'Production Plan'!B:G,5,FALSE)</f>
        <v>#N/A</v>
      </c>
      <c r="F328"/>
    </row>
    <row r="329" spans="1:6" hidden="1">
      <c r="A329">
        <f>'Production Plan'!B258</f>
        <v>0</v>
      </c>
      <c r="B329" t="e">
        <f>VLOOKUP(A329,'Production Plan'!B:V,16,FALSE)</f>
        <v>#N/A</v>
      </c>
      <c r="C329" t="e">
        <f>VLOOKUP(A329,'Production Plan'!B:G,5,FALSE)</f>
        <v>#N/A</v>
      </c>
      <c r="F329"/>
    </row>
    <row r="330" spans="1:6" hidden="1">
      <c r="A330">
        <f>'Production Plan'!B259</f>
        <v>0</v>
      </c>
      <c r="B330" t="e">
        <f>VLOOKUP(A330,'Production Plan'!B:V,16,FALSE)</f>
        <v>#N/A</v>
      </c>
      <c r="C330" t="e">
        <f>VLOOKUP(A330,'Production Plan'!B:G,5,FALSE)</f>
        <v>#N/A</v>
      </c>
      <c r="F330"/>
    </row>
    <row r="331" spans="1:6" hidden="1">
      <c r="A331">
        <f>'Production Plan'!B260</f>
        <v>0</v>
      </c>
      <c r="B331" t="e">
        <f>VLOOKUP(A331,'Production Plan'!B:V,16,FALSE)</f>
        <v>#N/A</v>
      </c>
      <c r="C331" t="e">
        <f>VLOOKUP(A331,'Production Plan'!B:G,5,FALSE)</f>
        <v>#N/A</v>
      </c>
      <c r="F331"/>
    </row>
    <row r="332" spans="1:6" hidden="1">
      <c r="A332">
        <f>'Production Plan'!B261</f>
        <v>0</v>
      </c>
      <c r="B332" t="e">
        <f>VLOOKUP(A332,'Production Plan'!B:V,16,FALSE)</f>
        <v>#N/A</v>
      </c>
      <c r="C332" t="e">
        <f>VLOOKUP(A332,'Production Plan'!B:G,5,FALSE)</f>
        <v>#N/A</v>
      </c>
      <c r="F332"/>
    </row>
    <row r="333" spans="1:6" hidden="1">
      <c r="A333">
        <f>'Production Plan'!B262</f>
        <v>0</v>
      </c>
      <c r="B333" t="e">
        <f>VLOOKUP(A333,'Production Plan'!B:V,16,FALSE)</f>
        <v>#N/A</v>
      </c>
      <c r="C333" t="e">
        <f>VLOOKUP(A333,'Production Plan'!B:G,5,FALSE)</f>
        <v>#N/A</v>
      </c>
      <c r="F333"/>
    </row>
    <row r="334" spans="1:6" hidden="1">
      <c r="A334">
        <f>'Production Plan'!B263</f>
        <v>0</v>
      </c>
      <c r="B334" t="e">
        <f>VLOOKUP(A334,'Production Plan'!B:V,16,FALSE)</f>
        <v>#N/A</v>
      </c>
      <c r="C334" t="e">
        <f>VLOOKUP(A334,'Production Plan'!B:G,5,FALSE)</f>
        <v>#N/A</v>
      </c>
      <c r="F334"/>
    </row>
    <row r="335" spans="1:6" hidden="1">
      <c r="A335">
        <f>'Production Plan'!B264</f>
        <v>0</v>
      </c>
      <c r="B335" t="e">
        <f>VLOOKUP(A335,'Production Plan'!B:V,16,FALSE)</f>
        <v>#N/A</v>
      </c>
      <c r="C335" t="e">
        <f>VLOOKUP(A335,'Production Plan'!B:G,5,FALSE)</f>
        <v>#N/A</v>
      </c>
      <c r="F335"/>
    </row>
    <row r="336" spans="1:6" hidden="1">
      <c r="A336">
        <f>'Production Plan'!B265</f>
        <v>0</v>
      </c>
      <c r="B336" t="e">
        <f>VLOOKUP(A336,'Production Plan'!B:V,16,FALSE)</f>
        <v>#N/A</v>
      </c>
      <c r="C336" t="e">
        <f>VLOOKUP(A336,'Production Plan'!B:G,5,FALSE)</f>
        <v>#N/A</v>
      </c>
      <c r="F336"/>
    </row>
    <row r="337" spans="1:6" hidden="1">
      <c r="A337">
        <f>'Production Plan'!B266</f>
        <v>0</v>
      </c>
      <c r="B337" t="e">
        <f>VLOOKUP(A337,'Production Plan'!B:V,16,FALSE)</f>
        <v>#N/A</v>
      </c>
      <c r="C337" t="e">
        <f>VLOOKUP(A337,'Production Plan'!B:G,5,FALSE)</f>
        <v>#N/A</v>
      </c>
      <c r="F337"/>
    </row>
    <row r="338" spans="1:6" hidden="1">
      <c r="A338">
        <f>'Production Plan'!B267</f>
        <v>0</v>
      </c>
      <c r="B338" t="e">
        <f>VLOOKUP(A338,'Production Plan'!B:V,16,FALSE)</f>
        <v>#N/A</v>
      </c>
      <c r="C338" t="e">
        <f>VLOOKUP(A338,'Production Plan'!B:G,5,FALSE)</f>
        <v>#N/A</v>
      </c>
      <c r="F338"/>
    </row>
    <row r="339" spans="1:6" hidden="1">
      <c r="A339">
        <f>'Production Plan'!B268</f>
        <v>0</v>
      </c>
      <c r="B339" t="e">
        <f>VLOOKUP(A339,'Production Plan'!B:V,16,FALSE)</f>
        <v>#N/A</v>
      </c>
      <c r="C339" t="e">
        <f>VLOOKUP(A339,'Production Plan'!B:G,5,FALSE)</f>
        <v>#N/A</v>
      </c>
      <c r="F339"/>
    </row>
    <row r="340" spans="1:6" hidden="1">
      <c r="A340">
        <f>'Production Plan'!B269</f>
        <v>0</v>
      </c>
      <c r="B340" t="e">
        <f>VLOOKUP(A340,'Production Plan'!B:V,16,FALSE)</f>
        <v>#N/A</v>
      </c>
      <c r="C340" t="e">
        <f>VLOOKUP(A340,'Production Plan'!B:G,5,FALSE)</f>
        <v>#N/A</v>
      </c>
      <c r="F340"/>
    </row>
    <row r="341" spans="1:6" hidden="1">
      <c r="A341">
        <f>'Production Plan'!B270</f>
        <v>0</v>
      </c>
      <c r="B341" t="e">
        <f>VLOOKUP(A341,'Production Plan'!B:V,16,FALSE)</f>
        <v>#N/A</v>
      </c>
      <c r="C341" t="e">
        <f>VLOOKUP(A341,'Production Plan'!B:G,5,FALSE)</f>
        <v>#N/A</v>
      </c>
      <c r="F341"/>
    </row>
    <row r="342" spans="1:6" hidden="1">
      <c r="A342">
        <f>'Production Plan'!B271</f>
        <v>0</v>
      </c>
      <c r="B342" t="e">
        <f>VLOOKUP(A342,'Production Plan'!B:V,16,FALSE)</f>
        <v>#N/A</v>
      </c>
      <c r="C342" t="e">
        <f>VLOOKUP(A342,'Production Plan'!B:G,5,FALSE)</f>
        <v>#N/A</v>
      </c>
      <c r="F342"/>
    </row>
    <row r="343" spans="1:6" hidden="1">
      <c r="A343">
        <f>'Production Plan'!B272</f>
        <v>0</v>
      </c>
      <c r="B343" t="e">
        <f>VLOOKUP(A343,'Production Plan'!B:V,16,FALSE)</f>
        <v>#N/A</v>
      </c>
      <c r="C343" t="e">
        <f>VLOOKUP(A343,'Production Plan'!B:G,5,FALSE)</f>
        <v>#N/A</v>
      </c>
      <c r="F343"/>
    </row>
    <row r="344" spans="1:6" hidden="1">
      <c r="A344">
        <f>'Production Plan'!B273</f>
        <v>0</v>
      </c>
      <c r="B344" t="e">
        <f>VLOOKUP(A344,'Production Plan'!B:V,16,FALSE)</f>
        <v>#N/A</v>
      </c>
      <c r="C344" t="e">
        <f>VLOOKUP(A344,'Production Plan'!B:G,5,FALSE)</f>
        <v>#N/A</v>
      </c>
      <c r="F344"/>
    </row>
    <row r="345" spans="1:6" hidden="1">
      <c r="A345">
        <f>'Production Plan'!B274</f>
        <v>0</v>
      </c>
      <c r="B345" t="e">
        <f>VLOOKUP(A345,'Production Plan'!B:V,16,FALSE)</f>
        <v>#N/A</v>
      </c>
      <c r="C345" t="e">
        <f>VLOOKUP(A345,'Production Plan'!B:G,5,FALSE)</f>
        <v>#N/A</v>
      </c>
      <c r="F345"/>
    </row>
    <row r="346" spans="1:6" hidden="1">
      <c r="A346">
        <f>'Production Plan'!B275</f>
        <v>0</v>
      </c>
      <c r="B346" t="e">
        <f>VLOOKUP(A346,'Production Plan'!B:V,16,FALSE)</f>
        <v>#N/A</v>
      </c>
      <c r="C346" t="e">
        <f>VLOOKUP(A346,'Production Plan'!B:G,5,FALSE)</f>
        <v>#N/A</v>
      </c>
      <c r="F346"/>
    </row>
    <row r="347" spans="1:6" hidden="1">
      <c r="A347">
        <f>'Production Plan'!B276</f>
        <v>0</v>
      </c>
      <c r="B347" t="e">
        <f>VLOOKUP(A347,'Production Plan'!B:V,16,FALSE)</f>
        <v>#N/A</v>
      </c>
      <c r="C347" t="e">
        <f>VLOOKUP(A347,'Production Plan'!B:G,5,FALSE)</f>
        <v>#N/A</v>
      </c>
      <c r="F347"/>
    </row>
    <row r="348" spans="1:6" hidden="1">
      <c r="A348">
        <f>'Production Plan'!B277</f>
        <v>0</v>
      </c>
      <c r="B348" t="e">
        <f>VLOOKUP(A348,'Production Plan'!B:V,16,FALSE)</f>
        <v>#N/A</v>
      </c>
      <c r="C348" t="e">
        <f>VLOOKUP(A348,'Production Plan'!B:G,5,FALSE)</f>
        <v>#N/A</v>
      </c>
      <c r="F348"/>
    </row>
    <row r="349" spans="1:6" hidden="1">
      <c r="A349">
        <f>'Production Plan'!B278</f>
        <v>0</v>
      </c>
      <c r="B349" t="e">
        <f>VLOOKUP(A349,'Production Plan'!B:V,16,FALSE)</f>
        <v>#N/A</v>
      </c>
      <c r="C349" t="e">
        <f>VLOOKUP(A349,'Production Plan'!B:G,5,FALSE)</f>
        <v>#N/A</v>
      </c>
      <c r="F349"/>
    </row>
    <row r="350" spans="1:6" hidden="1">
      <c r="A350">
        <f>'Production Plan'!B279</f>
        <v>0</v>
      </c>
      <c r="B350" t="e">
        <f>VLOOKUP(A350,'Production Plan'!B:V,16,FALSE)</f>
        <v>#N/A</v>
      </c>
      <c r="C350" t="e">
        <f>VLOOKUP(A350,'Production Plan'!B:G,5,FALSE)</f>
        <v>#N/A</v>
      </c>
      <c r="F350"/>
    </row>
    <row r="351" spans="1:6" hidden="1">
      <c r="A351">
        <f>'Production Plan'!B280</f>
        <v>0</v>
      </c>
      <c r="B351" t="e">
        <f>VLOOKUP(A351,'Production Plan'!B:V,16,FALSE)</f>
        <v>#N/A</v>
      </c>
      <c r="C351" t="e">
        <f>VLOOKUP(A351,'Production Plan'!B:G,5,FALSE)</f>
        <v>#N/A</v>
      </c>
      <c r="F351"/>
    </row>
    <row r="352" spans="1:6" hidden="1">
      <c r="A352">
        <f>'Production Plan'!B281</f>
        <v>0</v>
      </c>
      <c r="B352" t="e">
        <f>VLOOKUP(A352,'Production Plan'!B:V,16,FALSE)</f>
        <v>#N/A</v>
      </c>
      <c r="C352" t="e">
        <f>VLOOKUP(A352,'Production Plan'!B:G,5,FALSE)</f>
        <v>#N/A</v>
      </c>
      <c r="F352"/>
    </row>
    <row r="353" spans="1:6" hidden="1">
      <c r="A353">
        <f>'Production Plan'!B282</f>
        <v>0</v>
      </c>
      <c r="B353" t="e">
        <f>VLOOKUP(A353,'Production Plan'!B:V,16,FALSE)</f>
        <v>#N/A</v>
      </c>
      <c r="C353" t="e">
        <f>VLOOKUP(A353,'Production Plan'!B:G,5,FALSE)</f>
        <v>#N/A</v>
      </c>
      <c r="F353"/>
    </row>
    <row r="354" spans="1:6" hidden="1">
      <c r="A354">
        <f>'Production Plan'!B283</f>
        <v>0</v>
      </c>
      <c r="B354" t="e">
        <f>VLOOKUP(A354,'Production Plan'!B:V,16,FALSE)</f>
        <v>#N/A</v>
      </c>
      <c r="C354" t="e">
        <f>VLOOKUP(A354,'Production Plan'!B:G,5,FALSE)</f>
        <v>#N/A</v>
      </c>
      <c r="F354"/>
    </row>
    <row r="355" spans="1:6" hidden="1">
      <c r="A355">
        <f>'Production Plan'!B284</f>
        <v>0</v>
      </c>
      <c r="B355" t="e">
        <f>VLOOKUP(A355,'Production Plan'!B:V,16,FALSE)</f>
        <v>#N/A</v>
      </c>
      <c r="C355" t="e">
        <f>VLOOKUP(A355,'Production Plan'!B:G,5,FALSE)</f>
        <v>#N/A</v>
      </c>
      <c r="F355"/>
    </row>
    <row r="356" spans="1:6" hidden="1">
      <c r="A356">
        <f>'Production Plan'!B285</f>
        <v>0</v>
      </c>
      <c r="B356" t="e">
        <f>VLOOKUP(A356,'Production Plan'!B:V,16,FALSE)</f>
        <v>#N/A</v>
      </c>
      <c r="C356" t="e">
        <f>VLOOKUP(A356,'Production Plan'!B:G,5,FALSE)</f>
        <v>#N/A</v>
      </c>
      <c r="F356"/>
    </row>
    <row r="357" spans="1:6" hidden="1">
      <c r="A357">
        <f>'Production Plan'!B286</f>
        <v>0</v>
      </c>
      <c r="B357" t="e">
        <f>VLOOKUP(A357,'Production Plan'!B:V,16,FALSE)</f>
        <v>#N/A</v>
      </c>
      <c r="C357" t="e">
        <f>VLOOKUP(A357,'Production Plan'!B:G,5,FALSE)</f>
        <v>#N/A</v>
      </c>
      <c r="F357"/>
    </row>
    <row r="358" spans="1:6" hidden="1">
      <c r="A358">
        <f>'Production Plan'!B287</f>
        <v>0</v>
      </c>
      <c r="B358" t="e">
        <f>VLOOKUP(A358,'Production Plan'!B:V,16,FALSE)</f>
        <v>#N/A</v>
      </c>
      <c r="C358" t="e">
        <f>VLOOKUP(A358,'Production Plan'!B:G,5,FALSE)</f>
        <v>#N/A</v>
      </c>
      <c r="F358"/>
    </row>
    <row r="359" spans="1:6" hidden="1">
      <c r="A359">
        <f>'Production Plan'!B288</f>
        <v>0</v>
      </c>
      <c r="B359" t="e">
        <f>VLOOKUP(A359,'Production Plan'!B:V,16,FALSE)</f>
        <v>#N/A</v>
      </c>
      <c r="C359" t="e">
        <f>VLOOKUP(A359,'Production Plan'!B:G,5,FALSE)</f>
        <v>#N/A</v>
      </c>
      <c r="F359"/>
    </row>
    <row r="360" spans="1:6" hidden="1">
      <c r="A360">
        <f>'Production Plan'!B289</f>
        <v>0</v>
      </c>
      <c r="B360" t="e">
        <f>VLOOKUP(A360,'Production Plan'!B:V,16,FALSE)</f>
        <v>#N/A</v>
      </c>
      <c r="C360" t="e">
        <f>VLOOKUP(A360,'Production Plan'!B:G,5,FALSE)</f>
        <v>#N/A</v>
      </c>
      <c r="F360"/>
    </row>
    <row r="361" spans="1:6" hidden="1">
      <c r="A361">
        <f>'Production Plan'!B290</f>
        <v>0</v>
      </c>
      <c r="B361" t="e">
        <f>VLOOKUP(A361,'Production Plan'!B:V,16,FALSE)</f>
        <v>#N/A</v>
      </c>
      <c r="C361" t="e">
        <f>VLOOKUP(A361,'Production Plan'!B:G,5,FALSE)</f>
        <v>#N/A</v>
      </c>
      <c r="F361"/>
    </row>
    <row r="362" spans="1:6" hidden="1">
      <c r="A362">
        <f>'Production Plan'!B291</f>
        <v>0</v>
      </c>
      <c r="B362" t="e">
        <f>VLOOKUP(A362,'Production Plan'!B:V,16,FALSE)</f>
        <v>#N/A</v>
      </c>
      <c r="C362" t="e">
        <f>VLOOKUP(A362,'Production Plan'!B:G,5,FALSE)</f>
        <v>#N/A</v>
      </c>
      <c r="F362"/>
    </row>
    <row r="363" spans="1:6" hidden="1">
      <c r="A363">
        <f>'Production Plan'!B292</f>
        <v>0</v>
      </c>
      <c r="B363" t="e">
        <f>VLOOKUP(A363,'Production Plan'!B:V,16,FALSE)</f>
        <v>#N/A</v>
      </c>
      <c r="C363" t="e">
        <f>VLOOKUP(A363,'Production Plan'!B:G,5,FALSE)</f>
        <v>#N/A</v>
      </c>
      <c r="F363"/>
    </row>
    <row r="364" spans="1:6" hidden="1">
      <c r="A364">
        <f>'Production Plan'!B293</f>
        <v>0</v>
      </c>
      <c r="B364" t="e">
        <f>VLOOKUP(A364,'Production Plan'!B:V,16,FALSE)</f>
        <v>#N/A</v>
      </c>
      <c r="C364" t="e">
        <f>VLOOKUP(A364,'Production Plan'!B:G,5,FALSE)</f>
        <v>#N/A</v>
      </c>
      <c r="F364"/>
    </row>
    <row r="365" spans="1:6" hidden="1">
      <c r="A365">
        <f>'Production Plan'!B294</f>
        <v>0</v>
      </c>
      <c r="B365" t="e">
        <f>VLOOKUP(A365,'Production Plan'!B:V,16,FALSE)</f>
        <v>#N/A</v>
      </c>
      <c r="C365" t="e">
        <f>VLOOKUP(A365,'Production Plan'!B:G,5,FALSE)</f>
        <v>#N/A</v>
      </c>
      <c r="F365"/>
    </row>
    <row r="366" spans="1:6" hidden="1">
      <c r="A366">
        <f>'Production Plan'!B295</f>
        <v>0</v>
      </c>
      <c r="B366" t="e">
        <f>VLOOKUP(A366,'Production Plan'!B:V,16,FALSE)</f>
        <v>#N/A</v>
      </c>
      <c r="C366" t="e">
        <f>VLOOKUP(A366,'Production Plan'!B:G,5,FALSE)</f>
        <v>#N/A</v>
      </c>
      <c r="F366"/>
    </row>
    <row r="367" spans="1:6" hidden="1">
      <c r="A367">
        <f>'Production Plan'!B296</f>
        <v>0</v>
      </c>
      <c r="B367" t="e">
        <f>VLOOKUP(A367,'Production Plan'!B:V,16,FALSE)</f>
        <v>#N/A</v>
      </c>
      <c r="C367" t="e">
        <f>VLOOKUP(A367,'Production Plan'!B:G,5,FALSE)</f>
        <v>#N/A</v>
      </c>
      <c r="F367"/>
    </row>
    <row r="368" spans="1:6" hidden="1">
      <c r="A368">
        <f>'Production Plan'!B297</f>
        <v>0</v>
      </c>
      <c r="B368" t="e">
        <f>VLOOKUP(A368,'Production Plan'!B:V,16,FALSE)</f>
        <v>#N/A</v>
      </c>
      <c r="C368" t="e">
        <f>VLOOKUP(A368,'Production Plan'!B:G,5,FALSE)</f>
        <v>#N/A</v>
      </c>
      <c r="F368"/>
    </row>
    <row r="369" spans="1:6" hidden="1">
      <c r="A369">
        <f>'Production Plan'!B298</f>
        <v>0</v>
      </c>
      <c r="B369" t="e">
        <f>VLOOKUP(A369,'Production Plan'!B:V,16,FALSE)</f>
        <v>#N/A</v>
      </c>
      <c r="C369" t="e">
        <f>VLOOKUP(A369,'Production Plan'!B:G,5,FALSE)</f>
        <v>#N/A</v>
      </c>
      <c r="F369"/>
    </row>
    <row r="370" spans="1:6" hidden="1">
      <c r="A370">
        <f>'Production Plan'!B299</f>
        <v>0</v>
      </c>
      <c r="B370" t="e">
        <f>VLOOKUP(A370,'Production Plan'!B:V,16,FALSE)</f>
        <v>#N/A</v>
      </c>
      <c r="C370" t="e">
        <f>VLOOKUP(A370,'Production Plan'!B:G,5,FALSE)</f>
        <v>#N/A</v>
      </c>
      <c r="F370"/>
    </row>
    <row r="371" spans="1:6" hidden="1">
      <c r="A371">
        <f>'Production Plan'!B300</f>
        <v>0</v>
      </c>
      <c r="B371" t="e">
        <f>VLOOKUP(A371,'Production Plan'!B:V,16,FALSE)</f>
        <v>#N/A</v>
      </c>
      <c r="C371" t="e">
        <f>VLOOKUP(A371,'Production Plan'!B:G,5,FALSE)</f>
        <v>#N/A</v>
      </c>
      <c r="F371"/>
    </row>
    <row r="372" spans="1:6" hidden="1">
      <c r="A372">
        <f>'Production Plan'!B301</f>
        <v>0</v>
      </c>
      <c r="B372" t="e">
        <f>VLOOKUP(A372,'Production Plan'!B:V,16,FALSE)</f>
        <v>#N/A</v>
      </c>
      <c r="C372" t="e">
        <f>VLOOKUP(A372,'Production Plan'!B:G,5,FALSE)</f>
        <v>#N/A</v>
      </c>
      <c r="F372"/>
    </row>
    <row r="373" spans="1:6" hidden="1">
      <c r="A373">
        <f>'Production Plan'!B302</f>
        <v>0</v>
      </c>
      <c r="B373" t="e">
        <f>VLOOKUP(A373,'Production Plan'!B:V,16,FALSE)</f>
        <v>#N/A</v>
      </c>
      <c r="C373" t="e">
        <f>VLOOKUP(A373,'Production Plan'!B:G,5,FALSE)</f>
        <v>#N/A</v>
      </c>
      <c r="F373"/>
    </row>
    <row r="374" spans="1:6" hidden="1">
      <c r="A374">
        <f>'Production Plan'!B303</f>
        <v>0</v>
      </c>
      <c r="B374" t="e">
        <f>VLOOKUP(A374,'Production Plan'!B:V,16,FALSE)</f>
        <v>#N/A</v>
      </c>
      <c r="C374" t="e">
        <f>VLOOKUP(A374,'Production Plan'!B:G,5,FALSE)</f>
        <v>#N/A</v>
      </c>
      <c r="F374"/>
    </row>
    <row r="375" spans="1:6" hidden="1">
      <c r="A375">
        <f>'Production Plan'!B304</f>
        <v>0</v>
      </c>
      <c r="B375" t="e">
        <f>VLOOKUP(A375,'Production Plan'!B:V,16,FALSE)</f>
        <v>#N/A</v>
      </c>
      <c r="C375" t="e">
        <f>VLOOKUP(A375,'Production Plan'!B:G,5,FALSE)</f>
        <v>#N/A</v>
      </c>
      <c r="F375"/>
    </row>
    <row r="376" spans="1:6" hidden="1">
      <c r="A376">
        <f>'Production Plan'!B305</f>
        <v>0</v>
      </c>
      <c r="B376" t="e">
        <f>VLOOKUP(A376,'Production Plan'!B:V,16,FALSE)</f>
        <v>#N/A</v>
      </c>
      <c r="C376" t="e">
        <f>VLOOKUP(A376,'Production Plan'!B:G,5,FALSE)</f>
        <v>#N/A</v>
      </c>
      <c r="F376"/>
    </row>
    <row r="377" spans="1:6" hidden="1">
      <c r="A377">
        <f>'Production Plan'!B306</f>
        <v>0</v>
      </c>
      <c r="B377" t="e">
        <f>VLOOKUP(A377,'Production Plan'!B:V,16,FALSE)</f>
        <v>#N/A</v>
      </c>
      <c r="C377" t="e">
        <f>VLOOKUP(A377,'Production Plan'!B:G,5,FALSE)</f>
        <v>#N/A</v>
      </c>
      <c r="F377"/>
    </row>
    <row r="378" spans="1:6" hidden="1">
      <c r="A378">
        <f>'Production Plan'!B307</f>
        <v>0</v>
      </c>
      <c r="B378" t="e">
        <f>VLOOKUP(A378,'Production Plan'!B:V,16,FALSE)</f>
        <v>#N/A</v>
      </c>
      <c r="C378" t="e">
        <f>VLOOKUP(A378,'Production Plan'!B:G,5,FALSE)</f>
        <v>#N/A</v>
      </c>
      <c r="F378"/>
    </row>
    <row r="379" spans="1:6" hidden="1">
      <c r="A379">
        <f>'Production Plan'!B308</f>
        <v>0</v>
      </c>
      <c r="B379" t="e">
        <f>VLOOKUP(A379,'Production Plan'!B:V,16,FALSE)</f>
        <v>#N/A</v>
      </c>
      <c r="C379" t="e">
        <f>VLOOKUP(A379,'Production Plan'!B:G,5,FALSE)</f>
        <v>#N/A</v>
      </c>
      <c r="F379"/>
    </row>
    <row r="380" spans="1:6" hidden="1">
      <c r="A380">
        <f>'Production Plan'!B309</f>
        <v>0</v>
      </c>
      <c r="B380" t="e">
        <f>VLOOKUP(A380,'Production Plan'!B:V,16,FALSE)</f>
        <v>#N/A</v>
      </c>
      <c r="C380" t="e">
        <f>VLOOKUP(A380,'Production Plan'!B:G,5,FALSE)</f>
        <v>#N/A</v>
      </c>
      <c r="F380"/>
    </row>
    <row r="381" spans="1:6" hidden="1">
      <c r="A381">
        <f>'Production Plan'!B310</f>
        <v>0</v>
      </c>
      <c r="B381" t="e">
        <f>VLOOKUP(A381,'Production Plan'!B:V,16,FALSE)</f>
        <v>#N/A</v>
      </c>
      <c r="C381" t="e">
        <f>VLOOKUP(A381,'Production Plan'!B:G,5,FALSE)</f>
        <v>#N/A</v>
      </c>
      <c r="F381"/>
    </row>
    <row r="382" spans="1:6" hidden="1">
      <c r="A382">
        <f>'Production Plan'!B311</f>
        <v>0</v>
      </c>
      <c r="B382" t="e">
        <f>VLOOKUP(A382,'Production Plan'!B:V,16,FALSE)</f>
        <v>#N/A</v>
      </c>
      <c r="C382" t="e">
        <f>VLOOKUP(A382,'Production Plan'!B:G,5,FALSE)</f>
        <v>#N/A</v>
      </c>
      <c r="F382"/>
    </row>
    <row r="383" spans="1:6" hidden="1">
      <c r="A383">
        <f>'Production Plan'!B312</f>
        <v>0</v>
      </c>
      <c r="B383" t="e">
        <f>VLOOKUP(A383,'Production Plan'!B:V,16,FALSE)</f>
        <v>#N/A</v>
      </c>
      <c r="C383" t="e">
        <f>VLOOKUP(A383,'Production Plan'!B:G,5,FALSE)</f>
        <v>#N/A</v>
      </c>
      <c r="F383"/>
    </row>
    <row r="384" spans="1:6" hidden="1">
      <c r="A384">
        <f>'Production Plan'!B313</f>
        <v>0</v>
      </c>
      <c r="B384" t="e">
        <f>VLOOKUP(A384,'Production Plan'!B:V,16,FALSE)</f>
        <v>#N/A</v>
      </c>
      <c r="C384" t="e">
        <f>VLOOKUP(A384,'Production Plan'!B:G,5,FALSE)</f>
        <v>#N/A</v>
      </c>
      <c r="F384"/>
    </row>
    <row r="385" spans="1:6" hidden="1">
      <c r="A385">
        <f>'Production Plan'!B314</f>
        <v>0</v>
      </c>
      <c r="B385" t="e">
        <f>VLOOKUP(A385,'Production Plan'!B:V,16,FALSE)</f>
        <v>#N/A</v>
      </c>
      <c r="C385" t="e">
        <f>VLOOKUP(A385,'Production Plan'!B:G,5,FALSE)</f>
        <v>#N/A</v>
      </c>
      <c r="F385"/>
    </row>
    <row r="386" spans="1:6" hidden="1">
      <c r="A386">
        <f>'Production Plan'!B315</f>
        <v>0</v>
      </c>
      <c r="B386" t="e">
        <f>VLOOKUP(A386,'Production Plan'!B:V,16,FALSE)</f>
        <v>#N/A</v>
      </c>
      <c r="C386" t="e">
        <f>VLOOKUP(A386,'Production Plan'!B:G,5,FALSE)</f>
        <v>#N/A</v>
      </c>
      <c r="F386"/>
    </row>
    <row r="387" spans="1:6" hidden="1">
      <c r="A387">
        <f>'Production Plan'!B316</f>
        <v>0</v>
      </c>
      <c r="B387" t="e">
        <f>VLOOKUP(A387,'Production Plan'!B:V,16,FALSE)</f>
        <v>#N/A</v>
      </c>
      <c r="C387" t="e">
        <f>VLOOKUP(A387,'Production Plan'!B:G,5,FALSE)</f>
        <v>#N/A</v>
      </c>
      <c r="F387"/>
    </row>
    <row r="388" spans="1:6" hidden="1">
      <c r="A388">
        <f>'Production Plan'!B317</f>
        <v>0</v>
      </c>
      <c r="B388" t="e">
        <f>VLOOKUP(A388,'Production Plan'!B:V,16,FALSE)</f>
        <v>#N/A</v>
      </c>
      <c r="C388" t="e">
        <f>VLOOKUP(A388,'Production Plan'!B:G,5,FALSE)</f>
        <v>#N/A</v>
      </c>
      <c r="F388"/>
    </row>
    <row r="389" spans="1:6" hidden="1">
      <c r="A389">
        <f>'Production Plan'!B318</f>
        <v>0</v>
      </c>
      <c r="B389" t="e">
        <f>VLOOKUP(A389,'Production Plan'!B:V,16,FALSE)</f>
        <v>#N/A</v>
      </c>
      <c r="C389" t="e">
        <f>VLOOKUP(A389,'Production Plan'!B:G,5,FALSE)</f>
        <v>#N/A</v>
      </c>
      <c r="F389"/>
    </row>
    <row r="390" spans="1:6" hidden="1">
      <c r="A390">
        <f>'Production Plan'!B319</f>
        <v>0</v>
      </c>
      <c r="B390" t="e">
        <f>VLOOKUP(A390,'Production Plan'!B:V,16,FALSE)</f>
        <v>#N/A</v>
      </c>
      <c r="C390" t="e">
        <f>VLOOKUP(A390,'Production Plan'!B:G,5,FALSE)</f>
        <v>#N/A</v>
      </c>
      <c r="F390"/>
    </row>
    <row r="391" spans="1:6" hidden="1">
      <c r="A391">
        <f>'Production Plan'!B320</f>
        <v>0</v>
      </c>
      <c r="B391" t="e">
        <f>VLOOKUP(A391,'Production Plan'!B:V,16,FALSE)</f>
        <v>#N/A</v>
      </c>
      <c r="C391" t="e">
        <f>VLOOKUP(A391,'Production Plan'!B:G,5,FALSE)</f>
        <v>#N/A</v>
      </c>
      <c r="F391"/>
    </row>
    <row r="392" spans="1:6" hidden="1">
      <c r="A392">
        <f>'Production Plan'!B321</f>
        <v>0</v>
      </c>
      <c r="B392" t="e">
        <f>VLOOKUP(A392,'Production Plan'!B:V,16,FALSE)</f>
        <v>#N/A</v>
      </c>
      <c r="C392" t="e">
        <f>VLOOKUP(A392,'Production Plan'!B:G,5,FALSE)</f>
        <v>#N/A</v>
      </c>
      <c r="F392"/>
    </row>
    <row r="393" spans="1:6" hidden="1">
      <c r="A393">
        <f>'Production Plan'!B322</f>
        <v>0</v>
      </c>
      <c r="B393" t="e">
        <f>VLOOKUP(A393,'Production Plan'!B:V,16,FALSE)</f>
        <v>#N/A</v>
      </c>
      <c r="C393" t="e">
        <f>VLOOKUP(A393,'Production Plan'!B:G,5,FALSE)</f>
        <v>#N/A</v>
      </c>
      <c r="F393"/>
    </row>
    <row r="394" spans="1:6" hidden="1">
      <c r="A394">
        <f>'Production Plan'!B323</f>
        <v>0</v>
      </c>
      <c r="B394" t="e">
        <f>VLOOKUP(A394,'Production Plan'!B:V,16,FALSE)</f>
        <v>#N/A</v>
      </c>
      <c r="C394" t="e">
        <f>VLOOKUP(A394,'Production Plan'!B:G,5,FALSE)</f>
        <v>#N/A</v>
      </c>
      <c r="F394"/>
    </row>
    <row r="395" spans="1:6" hidden="1">
      <c r="A395">
        <f>'Production Plan'!B324</f>
        <v>0</v>
      </c>
      <c r="B395" t="e">
        <f>VLOOKUP(A395,'Production Plan'!B:V,16,FALSE)</f>
        <v>#N/A</v>
      </c>
      <c r="C395" t="e">
        <f>VLOOKUP(A395,'Production Plan'!B:G,5,FALSE)</f>
        <v>#N/A</v>
      </c>
      <c r="F395"/>
    </row>
    <row r="396" spans="1:6" hidden="1">
      <c r="A396">
        <f>'Production Plan'!B325</f>
        <v>0</v>
      </c>
      <c r="B396" t="e">
        <f>VLOOKUP(A396,'Production Plan'!B:V,16,FALSE)</f>
        <v>#N/A</v>
      </c>
      <c r="C396" t="e">
        <f>VLOOKUP(A396,'Production Plan'!B:G,5,FALSE)</f>
        <v>#N/A</v>
      </c>
      <c r="F396"/>
    </row>
    <row r="397" spans="1:6" hidden="1">
      <c r="A397">
        <f>'Production Plan'!B326</f>
        <v>0</v>
      </c>
      <c r="B397" t="e">
        <f>VLOOKUP(A397,'Production Plan'!B:V,16,FALSE)</f>
        <v>#N/A</v>
      </c>
      <c r="C397" t="e">
        <f>VLOOKUP(A397,'Production Plan'!B:G,5,FALSE)</f>
        <v>#N/A</v>
      </c>
      <c r="F397"/>
    </row>
    <row r="398" spans="1:6" hidden="1">
      <c r="A398">
        <f>'Production Plan'!B327</f>
        <v>0</v>
      </c>
      <c r="B398" t="e">
        <f>VLOOKUP(A398,'Production Plan'!B:V,16,FALSE)</f>
        <v>#N/A</v>
      </c>
      <c r="C398" t="e">
        <f>VLOOKUP(A398,'Production Plan'!B:G,5,FALSE)</f>
        <v>#N/A</v>
      </c>
      <c r="F398"/>
    </row>
    <row r="399" spans="1:6" hidden="1">
      <c r="A399">
        <f>'Production Plan'!B328</f>
        <v>0</v>
      </c>
      <c r="B399" t="e">
        <f>VLOOKUP(A399,'Production Plan'!B:V,16,FALSE)</f>
        <v>#N/A</v>
      </c>
      <c r="C399" t="e">
        <f>VLOOKUP(A399,'Production Plan'!B:G,5,FALSE)</f>
        <v>#N/A</v>
      </c>
      <c r="F399"/>
    </row>
    <row r="400" spans="1:6" hidden="1">
      <c r="A400">
        <f>'Production Plan'!B329</f>
        <v>0</v>
      </c>
      <c r="B400" t="e">
        <f>VLOOKUP(A400,'Production Plan'!B:V,16,FALSE)</f>
        <v>#N/A</v>
      </c>
      <c r="C400" t="e">
        <f>VLOOKUP(A400,'Production Plan'!B:G,5,FALSE)</f>
        <v>#N/A</v>
      </c>
      <c r="F400"/>
    </row>
    <row r="401" spans="1:6" hidden="1">
      <c r="A401">
        <f>'Production Plan'!B330</f>
        <v>0</v>
      </c>
      <c r="B401" t="e">
        <f>VLOOKUP(A401,'Production Plan'!B:V,16,FALSE)</f>
        <v>#N/A</v>
      </c>
      <c r="C401" t="e">
        <f>VLOOKUP(A401,'Production Plan'!B:G,5,FALSE)</f>
        <v>#N/A</v>
      </c>
      <c r="F401"/>
    </row>
    <row r="402" spans="1:6" hidden="1">
      <c r="A402">
        <f>'Production Plan'!B331</f>
        <v>0</v>
      </c>
      <c r="B402" t="e">
        <f>VLOOKUP(A402,'Production Plan'!B:V,16,FALSE)</f>
        <v>#N/A</v>
      </c>
      <c r="C402" t="e">
        <f>VLOOKUP(A402,'Production Plan'!B:G,5,FALSE)</f>
        <v>#N/A</v>
      </c>
      <c r="F402"/>
    </row>
    <row r="403" spans="1:6" hidden="1">
      <c r="A403">
        <f>'Production Plan'!B332</f>
        <v>0</v>
      </c>
      <c r="B403" t="e">
        <f>VLOOKUP(A403,'Production Plan'!B:V,16,FALSE)</f>
        <v>#N/A</v>
      </c>
      <c r="C403" t="e">
        <f>VLOOKUP(A403,'Production Plan'!B:G,5,FALSE)</f>
        <v>#N/A</v>
      </c>
      <c r="F403"/>
    </row>
    <row r="404" spans="1:6" hidden="1">
      <c r="A404">
        <f>'Production Plan'!B333</f>
        <v>0</v>
      </c>
      <c r="B404" t="e">
        <f>VLOOKUP(A404,'Production Plan'!B:V,16,FALSE)</f>
        <v>#N/A</v>
      </c>
      <c r="C404" t="e">
        <f>VLOOKUP(A404,'Production Plan'!B:G,5,FALSE)</f>
        <v>#N/A</v>
      </c>
      <c r="F404"/>
    </row>
    <row r="405" spans="1:6" hidden="1">
      <c r="A405">
        <f>'Production Plan'!B334</f>
        <v>0</v>
      </c>
      <c r="B405" t="e">
        <f>VLOOKUP(A405,'Production Plan'!B:V,16,FALSE)</f>
        <v>#N/A</v>
      </c>
      <c r="C405" t="e">
        <f>VLOOKUP(A405,'Production Plan'!B:G,5,FALSE)</f>
        <v>#N/A</v>
      </c>
      <c r="F405"/>
    </row>
    <row r="406" spans="1:6" hidden="1">
      <c r="A406">
        <f>'Production Plan'!B335</f>
        <v>0</v>
      </c>
      <c r="B406" t="e">
        <f>VLOOKUP(A406,'Production Plan'!B:V,16,FALSE)</f>
        <v>#N/A</v>
      </c>
      <c r="C406" t="e">
        <f>VLOOKUP(A406,'Production Plan'!B:G,5,FALSE)</f>
        <v>#N/A</v>
      </c>
      <c r="F406"/>
    </row>
    <row r="407" spans="1:6" hidden="1">
      <c r="A407">
        <f>'Production Plan'!B336</f>
        <v>0</v>
      </c>
      <c r="B407" t="e">
        <f>VLOOKUP(A407,'Production Plan'!B:V,16,FALSE)</f>
        <v>#N/A</v>
      </c>
      <c r="C407" t="e">
        <f>VLOOKUP(A407,'Production Plan'!B:G,5,FALSE)</f>
        <v>#N/A</v>
      </c>
      <c r="F407"/>
    </row>
    <row r="408" spans="1:6" hidden="1">
      <c r="A408">
        <f>'Production Plan'!B337</f>
        <v>0</v>
      </c>
      <c r="B408" t="e">
        <f>VLOOKUP(A408,'Production Plan'!B:V,16,FALSE)</f>
        <v>#N/A</v>
      </c>
      <c r="C408" t="e">
        <f>VLOOKUP(A408,'Production Plan'!B:G,5,FALSE)</f>
        <v>#N/A</v>
      </c>
      <c r="F408"/>
    </row>
    <row r="409" spans="1:6" hidden="1">
      <c r="A409">
        <f>'Production Plan'!B338</f>
        <v>0</v>
      </c>
      <c r="B409" t="e">
        <f>VLOOKUP(A409,'Production Plan'!B:V,16,FALSE)</f>
        <v>#N/A</v>
      </c>
      <c r="C409" t="e">
        <f>VLOOKUP(A409,'Production Plan'!B:G,5,FALSE)</f>
        <v>#N/A</v>
      </c>
      <c r="F409"/>
    </row>
    <row r="410" spans="1:6" hidden="1">
      <c r="A410">
        <f>'Production Plan'!B339</f>
        <v>0</v>
      </c>
      <c r="B410" t="e">
        <f>VLOOKUP(A410,'Production Plan'!B:V,16,FALSE)</f>
        <v>#N/A</v>
      </c>
      <c r="C410" t="e">
        <f>VLOOKUP(A410,'Production Plan'!B:G,5,FALSE)</f>
        <v>#N/A</v>
      </c>
      <c r="F410"/>
    </row>
    <row r="411" spans="1:6" hidden="1">
      <c r="A411">
        <f>'Production Plan'!B340</f>
        <v>0</v>
      </c>
      <c r="B411" t="e">
        <f>VLOOKUP(A411,'Production Plan'!B:V,16,FALSE)</f>
        <v>#N/A</v>
      </c>
      <c r="C411" t="e">
        <f>VLOOKUP(A411,'Production Plan'!B:G,5,FALSE)</f>
        <v>#N/A</v>
      </c>
      <c r="F411"/>
    </row>
    <row r="412" spans="1:6" hidden="1">
      <c r="A412">
        <f>'Production Plan'!B341</f>
        <v>0</v>
      </c>
      <c r="B412" t="e">
        <f>VLOOKUP(A412,'Production Plan'!B:V,16,FALSE)</f>
        <v>#N/A</v>
      </c>
      <c r="C412" t="e">
        <f>VLOOKUP(A412,'Production Plan'!B:G,5,FALSE)</f>
        <v>#N/A</v>
      </c>
      <c r="F412"/>
    </row>
    <row r="413" spans="1:6" hidden="1">
      <c r="A413">
        <f>'Production Plan'!B342</f>
        <v>0</v>
      </c>
      <c r="B413" t="e">
        <f>VLOOKUP(A413,'Production Plan'!B:V,16,FALSE)</f>
        <v>#N/A</v>
      </c>
      <c r="C413" t="e">
        <f>VLOOKUP(A413,'Production Plan'!B:G,5,FALSE)</f>
        <v>#N/A</v>
      </c>
      <c r="F413"/>
    </row>
    <row r="414" spans="1:6" hidden="1">
      <c r="A414">
        <f>'Production Plan'!B343</f>
        <v>0</v>
      </c>
      <c r="B414" t="e">
        <f>VLOOKUP(A414,'Production Plan'!B:V,16,FALSE)</f>
        <v>#N/A</v>
      </c>
      <c r="C414" t="e">
        <f>VLOOKUP(A414,'Production Plan'!B:G,5,FALSE)</f>
        <v>#N/A</v>
      </c>
      <c r="F414"/>
    </row>
    <row r="415" spans="1:6" hidden="1">
      <c r="A415">
        <f>'Production Plan'!B344</f>
        <v>0</v>
      </c>
      <c r="B415" t="e">
        <f>VLOOKUP(A415,'Production Plan'!B:V,16,FALSE)</f>
        <v>#N/A</v>
      </c>
      <c r="C415" t="e">
        <f>VLOOKUP(A415,'Production Plan'!B:G,5,FALSE)</f>
        <v>#N/A</v>
      </c>
      <c r="F415"/>
    </row>
    <row r="416" spans="1:6" hidden="1">
      <c r="A416">
        <f>'Production Plan'!B345</f>
        <v>0</v>
      </c>
      <c r="B416" t="e">
        <f>VLOOKUP(A416,'Production Plan'!B:V,16,FALSE)</f>
        <v>#N/A</v>
      </c>
      <c r="C416" t="e">
        <f>VLOOKUP(A416,'Production Plan'!B:G,5,FALSE)</f>
        <v>#N/A</v>
      </c>
      <c r="F416"/>
    </row>
    <row r="417" spans="1:6" hidden="1">
      <c r="A417">
        <f>'Production Plan'!B346</f>
        <v>0</v>
      </c>
      <c r="B417" t="e">
        <f>VLOOKUP(A417,'Production Plan'!B:V,16,FALSE)</f>
        <v>#N/A</v>
      </c>
      <c r="C417" t="e">
        <f>VLOOKUP(A417,'Production Plan'!B:G,5,FALSE)</f>
        <v>#N/A</v>
      </c>
      <c r="F417"/>
    </row>
    <row r="418" spans="1:6" hidden="1">
      <c r="A418">
        <f>'Production Plan'!B347</f>
        <v>0</v>
      </c>
      <c r="B418" t="e">
        <f>VLOOKUP(A418,'Production Plan'!B:V,16,FALSE)</f>
        <v>#N/A</v>
      </c>
      <c r="C418" t="e">
        <f>VLOOKUP(A418,'Production Plan'!B:G,5,FALSE)</f>
        <v>#N/A</v>
      </c>
      <c r="F418"/>
    </row>
    <row r="419" spans="1:6" hidden="1">
      <c r="A419">
        <f>'Production Plan'!B348</f>
        <v>0</v>
      </c>
      <c r="B419" t="e">
        <f>VLOOKUP(A419,'Production Plan'!B:V,16,FALSE)</f>
        <v>#N/A</v>
      </c>
      <c r="C419" t="e">
        <f>VLOOKUP(A419,'Production Plan'!B:G,5,FALSE)</f>
        <v>#N/A</v>
      </c>
      <c r="F419"/>
    </row>
    <row r="420" spans="1:6" hidden="1">
      <c r="A420">
        <f>'Production Plan'!B349</f>
        <v>0</v>
      </c>
      <c r="B420" t="e">
        <f>VLOOKUP(A420,'Production Plan'!B:V,16,FALSE)</f>
        <v>#N/A</v>
      </c>
      <c r="C420" t="e">
        <f>VLOOKUP(A420,'Production Plan'!B:G,5,FALSE)</f>
        <v>#N/A</v>
      </c>
      <c r="F420"/>
    </row>
    <row r="421" spans="1:6" hidden="1">
      <c r="A421">
        <f>'Production Plan'!B350</f>
        <v>0</v>
      </c>
      <c r="B421" t="e">
        <f>VLOOKUP(A421,'Production Plan'!B:V,16,FALSE)</f>
        <v>#N/A</v>
      </c>
      <c r="C421" t="e">
        <f>VLOOKUP(A421,'Production Plan'!B:G,5,FALSE)</f>
        <v>#N/A</v>
      </c>
      <c r="F421"/>
    </row>
    <row r="422" spans="1:6" hidden="1">
      <c r="A422">
        <f>'Production Plan'!B351</f>
        <v>0</v>
      </c>
      <c r="B422" t="e">
        <f>VLOOKUP(A422,'Production Plan'!B:V,16,FALSE)</f>
        <v>#N/A</v>
      </c>
      <c r="C422" t="e">
        <f>VLOOKUP(A422,'Production Plan'!B:G,5,FALSE)</f>
        <v>#N/A</v>
      </c>
      <c r="F422"/>
    </row>
    <row r="423" spans="1:6" hidden="1">
      <c r="A423">
        <f>'Production Plan'!B352</f>
        <v>0</v>
      </c>
      <c r="B423" t="e">
        <f>VLOOKUP(A423,'Production Plan'!B:V,16,FALSE)</f>
        <v>#N/A</v>
      </c>
      <c r="C423" t="e">
        <f>VLOOKUP(A423,'Production Plan'!B:G,5,FALSE)</f>
        <v>#N/A</v>
      </c>
      <c r="F423"/>
    </row>
    <row r="424" spans="1:6" hidden="1">
      <c r="A424">
        <f>'Production Plan'!B353</f>
        <v>0</v>
      </c>
      <c r="B424" t="e">
        <f>VLOOKUP(A424,'Production Plan'!B:V,16,FALSE)</f>
        <v>#N/A</v>
      </c>
      <c r="C424" t="e">
        <f>VLOOKUP(A424,'Production Plan'!B:G,5,FALSE)</f>
        <v>#N/A</v>
      </c>
      <c r="F424"/>
    </row>
    <row r="425" spans="1:6" hidden="1">
      <c r="A425">
        <f>'Production Plan'!B354</f>
        <v>0</v>
      </c>
      <c r="B425" t="e">
        <f>VLOOKUP(A425,'Production Plan'!B:V,16,FALSE)</f>
        <v>#N/A</v>
      </c>
      <c r="C425" t="e">
        <f>VLOOKUP(A425,'Production Plan'!B:G,5,FALSE)</f>
        <v>#N/A</v>
      </c>
      <c r="F425"/>
    </row>
    <row r="426" spans="1:6" hidden="1">
      <c r="A426">
        <f>'Production Plan'!B355</f>
        <v>0</v>
      </c>
      <c r="B426" t="e">
        <f>VLOOKUP(A426,'Production Plan'!B:V,16,FALSE)</f>
        <v>#N/A</v>
      </c>
      <c r="C426" t="e">
        <f>VLOOKUP(A426,'Production Plan'!B:G,5,FALSE)</f>
        <v>#N/A</v>
      </c>
      <c r="F426"/>
    </row>
    <row r="427" spans="1:6" hidden="1">
      <c r="A427">
        <f>'Production Plan'!B356</f>
        <v>0</v>
      </c>
      <c r="B427" t="e">
        <f>VLOOKUP(A427,'Production Plan'!B:V,16,FALSE)</f>
        <v>#N/A</v>
      </c>
      <c r="C427" t="e">
        <f>VLOOKUP(A427,'Production Plan'!B:G,5,FALSE)</f>
        <v>#N/A</v>
      </c>
      <c r="F427"/>
    </row>
    <row r="428" spans="1:6" hidden="1">
      <c r="A428">
        <f>'Production Plan'!B357</f>
        <v>0</v>
      </c>
      <c r="B428" t="e">
        <f>VLOOKUP(A428,'Production Plan'!B:V,16,FALSE)</f>
        <v>#N/A</v>
      </c>
      <c r="C428" t="e">
        <f>VLOOKUP(A428,'Production Plan'!B:G,5,FALSE)</f>
        <v>#N/A</v>
      </c>
      <c r="F428"/>
    </row>
    <row r="429" spans="1:6" hidden="1">
      <c r="A429">
        <f>'Production Plan'!B358</f>
        <v>0</v>
      </c>
      <c r="B429" t="e">
        <f>VLOOKUP(A429,'Production Plan'!B:V,16,FALSE)</f>
        <v>#N/A</v>
      </c>
      <c r="C429" t="e">
        <f>VLOOKUP(A429,'Production Plan'!B:G,5,FALSE)</f>
        <v>#N/A</v>
      </c>
      <c r="F429"/>
    </row>
    <row r="430" spans="1:6" hidden="1">
      <c r="A430">
        <f>'Production Plan'!B359</f>
        <v>0</v>
      </c>
      <c r="B430" t="e">
        <f>VLOOKUP(A430,'Production Plan'!B:V,16,FALSE)</f>
        <v>#N/A</v>
      </c>
      <c r="C430" t="e">
        <f>VLOOKUP(A430,'Production Plan'!B:G,5,FALSE)</f>
        <v>#N/A</v>
      </c>
      <c r="F430"/>
    </row>
    <row r="431" spans="1:6" hidden="1">
      <c r="A431">
        <f>'Production Plan'!B360</f>
        <v>0</v>
      </c>
      <c r="B431" t="e">
        <f>VLOOKUP(A431,'Production Plan'!B:V,16,FALSE)</f>
        <v>#N/A</v>
      </c>
      <c r="C431" t="e">
        <f>VLOOKUP(A431,'Production Plan'!B:G,5,FALSE)</f>
        <v>#N/A</v>
      </c>
      <c r="F431"/>
    </row>
    <row r="432" spans="1:6" hidden="1">
      <c r="A432">
        <f>'Production Plan'!B361</f>
        <v>0</v>
      </c>
      <c r="B432" t="e">
        <f>VLOOKUP(A432,'Production Plan'!B:V,16,FALSE)</f>
        <v>#N/A</v>
      </c>
      <c r="C432" t="e">
        <f>VLOOKUP(A432,'Production Plan'!B:G,5,FALSE)</f>
        <v>#N/A</v>
      </c>
      <c r="F432"/>
    </row>
    <row r="433" spans="1:6" hidden="1">
      <c r="A433">
        <f>'Production Plan'!B362</f>
        <v>0</v>
      </c>
      <c r="B433" t="e">
        <f>VLOOKUP(A433,'Production Plan'!B:V,16,FALSE)</f>
        <v>#N/A</v>
      </c>
      <c r="C433" t="e">
        <f>VLOOKUP(A433,'Production Plan'!B:G,5,FALSE)</f>
        <v>#N/A</v>
      </c>
      <c r="F433"/>
    </row>
    <row r="434" spans="1:6" hidden="1">
      <c r="A434">
        <f>'Production Plan'!B363</f>
        <v>0</v>
      </c>
      <c r="B434" t="e">
        <f>VLOOKUP(A434,'Production Plan'!B:V,16,FALSE)</f>
        <v>#N/A</v>
      </c>
      <c r="C434" t="e">
        <f>VLOOKUP(A434,'Production Plan'!B:G,5,FALSE)</f>
        <v>#N/A</v>
      </c>
      <c r="F434"/>
    </row>
    <row r="435" spans="1:6" hidden="1">
      <c r="A435">
        <f>'Production Plan'!B364</f>
        <v>0</v>
      </c>
      <c r="B435" t="e">
        <f>VLOOKUP(A435,'Production Plan'!B:V,16,FALSE)</f>
        <v>#N/A</v>
      </c>
      <c r="C435" t="e">
        <f>VLOOKUP(A435,'Production Plan'!B:G,5,FALSE)</f>
        <v>#N/A</v>
      </c>
      <c r="F435"/>
    </row>
    <row r="436" spans="1:6" hidden="1">
      <c r="A436">
        <f>'Production Plan'!B365</f>
        <v>0</v>
      </c>
      <c r="B436" t="e">
        <f>VLOOKUP(A436,'Production Plan'!B:V,16,FALSE)</f>
        <v>#N/A</v>
      </c>
      <c r="C436" t="e">
        <f>VLOOKUP(A436,'Production Plan'!B:G,5,FALSE)</f>
        <v>#N/A</v>
      </c>
      <c r="F436"/>
    </row>
    <row r="437" spans="1:6" hidden="1">
      <c r="A437">
        <f>'Production Plan'!B366</f>
        <v>0</v>
      </c>
      <c r="B437" t="e">
        <f>VLOOKUP(A437,'Production Plan'!B:V,16,FALSE)</f>
        <v>#N/A</v>
      </c>
      <c r="C437" t="e">
        <f>VLOOKUP(A437,'Production Plan'!B:G,5,FALSE)</f>
        <v>#N/A</v>
      </c>
      <c r="F437"/>
    </row>
    <row r="438" spans="1:6" hidden="1">
      <c r="A438">
        <f>'Production Plan'!B367</f>
        <v>0</v>
      </c>
      <c r="B438" t="e">
        <f>VLOOKUP(A438,'Production Plan'!B:V,16,FALSE)</f>
        <v>#N/A</v>
      </c>
      <c r="C438" t="e">
        <f>VLOOKUP(A438,'Production Plan'!B:G,5,FALSE)</f>
        <v>#N/A</v>
      </c>
      <c r="F438"/>
    </row>
    <row r="439" spans="1:6" hidden="1">
      <c r="A439">
        <f>'Production Plan'!B368</f>
        <v>0</v>
      </c>
      <c r="B439" t="e">
        <f>VLOOKUP(A439,'Production Plan'!B:V,16,FALSE)</f>
        <v>#N/A</v>
      </c>
      <c r="C439" t="e">
        <f>VLOOKUP(A439,'Production Plan'!B:G,5,FALSE)</f>
        <v>#N/A</v>
      </c>
      <c r="F439"/>
    </row>
    <row r="440" spans="1:6" hidden="1">
      <c r="A440">
        <f>'Production Plan'!B369</f>
        <v>0</v>
      </c>
      <c r="B440" t="e">
        <f>VLOOKUP(A440,'Production Plan'!B:V,16,FALSE)</f>
        <v>#N/A</v>
      </c>
      <c r="C440" t="e">
        <f>VLOOKUP(A440,'Production Plan'!B:G,5,FALSE)</f>
        <v>#N/A</v>
      </c>
      <c r="F440"/>
    </row>
    <row r="441" spans="1:6" hidden="1">
      <c r="A441">
        <f>'Production Plan'!B370</f>
        <v>0</v>
      </c>
      <c r="B441" t="e">
        <f>VLOOKUP(A441,'Production Plan'!B:V,16,FALSE)</f>
        <v>#N/A</v>
      </c>
      <c r="C441" t="e">
        <f>VLOOKUP(A441,'Production Plan'!B:G,5,FALSE)</f>
        <v>#N/A</v>
      </c>
      <c r="F441"/>
    </row>
    <row r="442" spans="1:6" hidden="1">
      <c r="A442">
        <f>'Production Plan'!B371</f>
        <v>0</v>
      </c>
      <c r="B442" t="e">
        <f>VLOOKUP(A442,'Production Plan'!B:V,16,FALSE)</f>
        <v>#N/A</v>
      </c>
      <c r="C442" t="e">
        <f>VLOOKUP(A442,'Production Plan'!B:G,5,FALSE)</f>
        <v>#N/A</v>
      </c>
      <c r="F442"/>
    </row>
    <row r="443" spans="1:6" hidden="1">
      <c r="A443">
        <f>'Production Plan'!B372</f>
        <v>0</v>
      </c>
      <c r="B443" t="e">
        <f>VLOOKUP(A443,'Production Plan'!B:V,16,FALSE)</f>
        <v>#N/A</v>
      </c>
      <c r="C443" t="e">
        <f>VLOOKUP(A443,'Production Plan'!B:G,5,FALSE)</f>
        <v>#N/A</v>
      </c>
      <c r="F443"/>
    </row>
    <row r="444" spans="1:6" hidden="1">
      <c r="A444">
        <f>'Production Plan'!B373</f>
        <v>0</v>
      </c>
      <c r="B444" t="e">
        <f>VLOOKUP(A444,'Production Plan'!B:V,16,FALSE)</f>
        <v>#N/A</v>
      </c>
      <c r="C444" t="e">
        <f>VLOOKUP(A444,'Production Plan'!B:G,5,FALSE)</f>
        <v>#N/A</v>
      </c>
      <c r="F444"/>
    </row>
    <row r="445" spans="1:6" hidden="1">
      <c r="A445">
        <f>'Production Plan'!B374</f>
        <v>0</v>
      </c>
      <c r="B445" t="e">
        <f>VLOOKUP(A445,'Production Plan'!B:V,16,FALSE)</f>
        <v>#N/A</v>
      </c>
      <c r="C445" t="e">
        <f>VLOOKUP(A445,'Production Plan'!B:G,5,FALSE)</f>
        <v>#N/A</v>
      </c>
      <c r="F445"/>
    </row>
    <row r="446" spans="1:6" hidden="1">
      <c r="A446">
        <f>'Production Plan'!B375</f>
        <v>0</v>
      </c>
      <c r="B446" t="e">
        <f>VLOOKUP(A446,'Production Plan'!B:V,16,FALSE)</f>
        <v>#N/A</v>
      </c>
      <c r="C446" t="e">
        <f>VLOOKUP(A446,'Production Plan'!B:G,5,FALSE)</f>
        <v>#N/A</v>
      </c>
      <c r="F446"/>
    </row>
    <row r="447" spans="1:6" hidden="1">
      <c r="A447">
        <f>'Production Plan'!B376</f>
        <v>0</v>
      </c>
      <c r="B447" t="e">
        <f>VLOOKUP(A447,'Production Plan'!B:V,16,FALSE)</f>
        <v>#N/A</v>
      </c>
      <c r="C447" t="e">
        <f>VLOOKUP(A447,'Production Plan'!B:G,5,FALSE)</f>
        <v>#N/A</v>
      </c>
      <c r="F447"/>
    </row>
    <row r="448" spans="1:6" hidden="1">
      <c r="A448">
        <f>'Production Plan'!B377</f>
        <v>0</v>
      </c>
      <c r="B448" t="e">
        <f>VLOOKUP(A448,'Production Plan'!B:V,16,FALSE)</f>
        <v>#N/A</v>
      </c>
      <c r="C448" t="e">
        <f>VLOOKUP(A448,'Production Plan'!B:G,5,FALSE)</f>
        <v>#N/A</v>
      </c>
      <c r="F448"/>
    </row>
    <row r="449" spans="1:6" hidden="1">
      <c r="A449">
        <f>'Production Plan'!B378</f>
        <v>0</v>
      </c>
      <c r="B449" t="e">
        <f>VLOOKUP(A449,'Production Plan'!B:V,16,FALSE)</f>
        <v>#N/A</v>
      </c>
      <c r="C449" t="e">
        <f>VLOOKUP(A449,'Production Plan'!B:G,5,FALSE)</f>
        <v>#N/A</v>
      </c>
      <c r="F449"/>
    </row>
    <row r="450" spans="1:6" hidden="1">
      <c r="A450">
        <f>'Production Plan'!B379</f>
        <v>0</v>
      </c>
      <c r="B450" t="e">
        <f>VLOOKUP(A450,'Production Plan'!B:V,16,FALSE)</f>
        <v>#N/A</v>
      </c>
      <c r="C450" t="e">
        <f>VLOOKUP(A450,'Production Plan'!B:G,5,FALSE)</f>
        <v>#N/A</v>
      </c>
      <c r="F450"/>
    </row>
    <row r="451" spans="1:6" hidden="1">
      <c r="A451">
        <f>'Production Plan'!B380</f>
        <v>0</v>
      </c>
      <c r="B451" t="e">
        <f>VLOOKUP(A451,'Production Plan'!B:V,16,FALSE)</f>
        <v>#N/A</v>
      </c>
      <c r="C451" t="e">
        <f>VLOOKUP(A451,'Production Plan'!B:G,5,FALSE)</f>
        <v>#N/A</v>
      </c>
      <c r="F451"/>
    </row>
    <row r="452" spans="1:6" hidden="1">
      <c r="A452">
        <f>'Production Plan'!B381</f>
        <v>0</v>
      </c>
      <c r="B452" t="e">
        <f>VLOOKUP(A452,'Production Plan'!B:V,16,FALSE)</f>
        <v>#N/A</v>
      </c>
      <c r="C452" t="e">
        <f>VLOOKUP(A452,'Production Plan'!B:G,5,FALSE)</f>
        <v>#N/A</v>
      </c>
      <c r="F452"/>
    </row>
    <row r="453" spans="1:6" hidden="1">
      <c r="A453">
        <f>'Production Plan'!B382</f>
        <v>0</v>
      </c>
      <c r="B453" t="e">
        <f>VLOOKUP(A453,'Production Plan'!B:V,16,FALSE)</f>
        <v>#N/A</v>
      </c>
      <c r="C453" t="e">
        <f>VLOOKUP(A453,'Production Plan'!B:G,5,FALSE)</f>
        <v>#N/A</v>
      </c>
      <c r="F453"/>
    </row>
    <row r="454" spans="1:6" hidden="1">
      <c r="A454">
        <f>'Production Plan'!B383</f>
        <v>0</v>
      </c>
      <c r="B454" t="e">
        <f>VLOOKUP(A454,'Production Plan'!B:V,16,FALSE)</f>
        <v>#N/A</v>
      </c>
      <c r="C454" t="e">
        <f>VLOOKUP(A454,'Production Plan'!B:G,5,FALSE)</f>
        <v>#N/A</v>
      </c>
      <c r="F454"/>
    </row>
    <row r="455" spans="1:6" hidden="1">
      <c r="A455">
        <f>'Production Plan'!B384</f>
        <v>0</v>
      </c>
      <c r="B455" t="e">
        <f>VLOOKUP(A455,'Production Plan'!B:V,16,FALSE)</f>
        <v>#N/A</v>
      </c>
      <c r="C455" t="e">
        <f>VLOOKUP(A455,'Production Plan'!B:G,5,FALSE)</f>
        <v>#N/A</v>
      </c>
      <c r="F455"/>
    </row>
    <row r="456" spans="1:6" hidden="1">
      <c r="A456">
        <f>'Production Plan'!B385</f>
        <v>0</v>
      </c>
      <c r="B456" t="e">
        <f>VLOOKUP(A456,'Production Plan'!B:V,16,FALSE)</f>
        <v>#N/A</v>
      </c>
      <c r="C456" t="e">
        <f>VLOOKUP(A456,'Production Plan'!B:G,5,FALSE)</f>
        <v>#N/A</v>
      </c>
      <c r="F456"/>
    </row>
    <row r="457" spans="1:6" hidden="1">
      <c r="A457">
        <f>'Production Plan'!B386</f>
        <v>0</v>
      </c>
      <c r="B457" t="e">
        <f>VLOOKUP(A457,'Production Plan'!B:V,16,FALSE)</f>
        <v>#N/A</v>
      </c>
      <c r="C457" t="e">
        <f>VLOOKUP(A457,'Production Plan'!B:G,5,FALSE)</f>
        <v>#N/A</v>
      </c>
      <c r="F457"/>
    </row>
    <row r="458" spans="1:6" hidden="1">
      <c r="A458">
        <f>'Production Plan'!B387</f>
        <v>0</v>
      </c>
      <c r="B458" t="e">
        <f>VLOOKUP(A458,'Production Plan'!B:V,16,FALSE)</f>
        <v>#N/A</v>
      </c>
      <c r="C458" t="e">
        <f>VLOOKUP(A458,'Production Plan'!B:G,5,FALSE)</f>
        <v>#N/A</v>
      </c>
      <c r="F458"/>
    </row>
    <row r="459" spans="1:6" hidden="1">
      <c r="A459">
        <f>'Production Plan'!B388</f>
        <v>0</v>
      </c>
      <c r="B459" t="e">
        <f>VLOOKUP(A459,'Production Plan'!B:V,16,FALSE)</f>
        <v>#N/A</v>
      </c>
      <c r="C459" t="e">
        <f>VLOOKUP(A459,'Production Plan'!B:G,5,FALSE)</f>
        <v>#N/A</v>
      </c>
      <c r="F459"/>
    </row>
    <row r="460" spans="1:6" hidden="1">
      <c r="A460">
        <f>'Production Plan'!B389</f>
        <v>0</v>
      </c>
      <c r="B460" t="e">
        <f>VLOOKUP(A460,'Production Plan'!B:V,16,FALSE)</f>
        <v>#N/A</v>
      </c>
      <c r="C460" t="e">
        <f>VLOOKUP(A460,'Production Plan'!B:G,5,FALSE)</f>
        <v>#N/A</v>
      </c>
      <c r="F460"/>
    </row>
    <row r="461" spans="1:6" hidden="1">
      <c r="A461">
        <f>'Production Plan'!B390</f>
        <v>0</v>
      </c>
      <c r="B461" t="e">
        <f>VLOOKUP(A461,'Production Plan'!B:V,16,FALSE)</f>
        <v>#N/A</v>
      </c>
      <c r="C461" t="e">
        <f>VLOOKUP(A461,'Production Plan'!B:G,5,FALSE)</f>
        <v>#N/A</v>
      </c>
      <c r="F461"/>
    </row>
    <row r="462" spans="1:6" hidden="1">
      <c r="A462">
        <f>'Production Plan'!B391</f>
        <v>0</v>
      </c>
      <c r="B462" t="e">
        <f>VLOOKUP(A462,'Production Plan'!B:V,16,FALSE)</f>
        <v>#N/A</v>
      </c>
      <c r="C462" t="e">
        <f>VLOOKUP(A462,'Production Plan'!B:G,5,FALSE)</f>
        <v>#N/A</v>
      </c>
      <c r="F462"/>
    </row>
    <row r="463" spans="1:6" hidden="1">
      <c r="A463">
        <f>'Production Plan'!B392</f>
        <v>0</v>
      </c>
      <c r="B463" t="e">
        <f>VLOOKUP(A463,'Production Plan'!B:V,16,FALSE)</f>
        <v>#N/A</v>
      </c>
      <c r="C463" t="e">
        <f>VLOOKUP(A463,'Production Plan'!B:G,5,FALSE)</f>
        <v>#N/A</v>
      </c>
      <c r="F463"/>
    </row>
    <row r="464" spans="1:6" hidden="1">
      <c r="A464">
        <f>'Production Plan'!B393</f>
        <v>0</v>
      </c>
      <c r="B464" t="e">
        <f>VLOOKUP(A464,'Production Plan'!B:V,16,FALSE)</f>
        <v>#N/A</v>
      </c>
      <c r="C464" t="e">
        <f>VLOOKUP(A464,'Production Plan'!B:G,5,FALSE)</f>
        <v>#N/A</v>
      </c>
      <c r="F464"/>
    </row>
    <row r="465" spans="1:6" hidden="1">
      <c r="A465">
        <f>'Production Plan'!B394</f>
        <v>0</v>
      </c>
      <c r="B465" t="e">
        <f>VLOOKUP(A465,'Production Plan'!B:V,16,FALSE)</f>
        <v>#N/A</v>
      </c>
      <c r="C465" t="e">
        <f>VLOOKUP(A465,'Production Plan'!B:G,5,FALSE)</f>
        <v>#N/A</v>
      </c>
      <c r="F465"/>
    </row>
    <row r="466" spans="1:6" hidden="1">
      <c r="A466">
        <f>'Production Plan'!B395</f>
        <v>0</v>
      </c>
      <c r="B466" t="e">
        <f>VLOOKUP(A466,'Production Plan'!B:V,16,FALSE)</f>
        <v>#N/A</v>
      </c>
      <c r="C466" t="e">
        <f>VLOOKUP(A466,'Production Plan'!B:G,5,FALSE)</f>
        <v>#N/A</v>
      </c>
      <c r="F466"/>
    </row>
    <row r="467" spans="1:6" hidden="1">
      <c r="A467">
        <f>'Production Plan'!B396</f>
        <v>0</v>
      </c>
      <c r="B467" t="e">
        <f>VLOOKUP(A467,'Production Plan'!B:V,16,FALSE)</f>
        <v>#N/A</v>
      </c>
      <c r="C467" t="e">
        <f>VLOOKUP(A467,'Production Plan'!B:G,5,FALSE)</f>
        <v>#N/A</v>
      </c>
      <c r="F467"/>
    </row>
    <row r="468" spans="1:6" hidden="1">
      <c r="A468">
        <f>'Production Plan'!B397</f>
        <v>0</v>
      </c>
      <c r="B468" t="e">
        <f>VLOOKUP(A468,'Production Plan'!B:V,16,FALSE)</f>
        <v>#N/A</v>
      </c>
      <c r="C468" t="e">
        <f>VLOOKUP(A468,'Production Plan'!B:G,5,FALSE)</f>
        <v>#N/A</v>
      </c>
      <c r="F468"/>
    </row>
    <row r="469" spans="1:6" hidden="1">
      <c r="A469">
        <f>'Production Plan'!B398</f>
        <v>0</v>
      </c>
      <c r="B469" t="e">
        <f>VLOOKUP(A469,'Production Plan'!B:V,16,FALSE)</f>
        <v>#N/A</v>
      </c>
      <c r="C469" t="e">
        <f>VLOOKUP(A469,'Production Plan'!B:G,5,FALSE)</f>
        <v>#N/A</v>
      </c>
      <c r="F469"/>
    </row>
    <row r="470" spans="1:6" hidden="1">
      <c r="A470">
        <f>'Production Plan'!B399</f>
        <v>0</v>
      </c>
      <c r="B470" t="e">
        <f>VLOOKUP(A470,'Production Plan'!B:V,16,FALSE)</f>
        <v>#N/A</v>
      </c>
      <c r="C470" t="e">
        <f>VLOOKUP(A470,'Production Plan'!B:G,5,FALSE)</f>
        <v>#N/A</v>
      </c>
      <c r="F470"/>
    </row>
    <row r="471" spans="1:6" hidden="1">
      <c r="A471">
        <f>'Production Plan'!B400</f>
        <v>0</v>
      </c>
      <c r="B471" t="e">
        <f>VLOOKUP(A471,'Production Plan'!B:V,16,FALSE)</f>
        <v>#N/A</v>
      </c>
      <c r="C471" t="e">
        <f>VLOOKUP(A471,'Production Plan'!B:G,5,FALSE)</f>
        <v>#N/A</v>
      </c>
      <c r="F471"/>
    </row>
    <row r="472" spans="1:6" hidden="1">
      <c r="A472">
        <f>'Production Plan'!B401</f>
        <v>0</v>
      </c>
      <c r="B472" t="e">
        <f>VLOOKUP(A472,'Production Plan'!B:V,16,FALSE)</f>
        <v>#N/A</v>
      </c>
      <c r="C472" t="e">
        <f>VLOOKUP(A472,'Production Plan'!B:G,5,FALSE)</f>
        <v>#N/A</v>
      </c>
      <c r="F472"/>
    </row>
    <row r="473" spans="1:6" hidden="1">
      <c r="A473">
        <f>'Production Plan'!B402</f>
        <v>0</v>
      </c>
      <c r="B473" t="e">
        <f>VLOOKUP(A473,'Production Plan'!B:V,16,FALSE)</f>
        <v>#N/A</v>
      </c>
      <c r="C473" t="e">
        <f>VLOOKUP(A473,'Production Plan'!B:G,5,FALSE)</f>
        <v>#N/A</v>
      </c>
      <c r="F473"/>
    </row>
    <row r="474" spans="1:6" hidden="1">
      <c r="A474">
        <f>'Production Plan'!B403</f>
        <v>0</v>
      </c>
      <c r="B474" t="e">
        <f>VLOOKUP(A474,'Production Plan'!B:V,16,FALSE)</f>
        <v>#N/A</v>
      </c>
      <c r="C474" t="e">
        <f>VLOOKUP(A474,'Production Plan'!B:G,5,FALSE)</f>
        <v>#N/A</v>
      </c>
      <c r="F474"/>
    </row>
    <row r="475" spans="1:6" hidden="1">
      <c r="A475">
        <f>'Production Plan'!B404</f>
        <v>0</v>
      </c>
      <c r="B475" t="e">
        <f>VLOOKUP(A475,'Production Plan'!B:V,16,FALSE)</f>
        <v>#N/A</v>
      </c>
      <c r="C475" t="e">
        <f>VLOOKUP(A475,'Production Plan'!B:G,5,FALSE)</f>
        <v>#N/A</v>
      </c>
      <c r="F475"/>
    </row>
    <row r="476" spans="1:6" hidden="1">
      <c r="A476">
        <f>'Production Plan'!B405</f>
        <v>0</v>
      </c>
      <c r="B476" t="e">
        <f>VLOOKUP(A476,'Production Plan'!B:V,16,FALSE)</f>
        <v>#N/A</v>
      </c>
      <c r="C476" t="e">
        <f>VLOOKUP(A476,'Production Plan'!B:G,5,FALSE)</f>
        <v>#N/A</v>
      </c>
      <c r="F476"/>
    </row>
    <row r="477" spans="1:6" hidden="1">
      <c r="A477">
        <f>'Production Plan'!B406</f>
        <v>0</v>
      </c>
      <c r="B477" t="e">
        <f>VLOOKUP(A477,'Production Plan'!B:V,16,FALSE)</f>
        <v>#N/A</v>
      </c>
      <c r="C477" t="e">
        <f>VLOOKUP(A477,'Production Plan'!B:G,5,FALSE)</f>
        <v>#N/A</v>
      </c>
      <c r="F477"/>
    </row>
    <row r="478" spans="1:6" hidden="1">
      <c r="A478">
        <f>'Production Plan'!B407</f>
        <v>0</v>
      </c>
      <c r="B478" t="e">
        <f>VLOOKUP(A478,'Production Plan'!B:V,16,FALSE)</f>
        <v>#N/A</v>
      </c>
      <c r="C478" t="e">
        <f>VLOOKUP(A478,'Production Plan'!B:G,5,FALSE)</f>
        <v>#N/A</v>
      </c>
      <c r="F478"/>
    </row>
    <row r="479" spans="1:6" hidden="1">
      <c r="A479">
        <f>'Production Plan'!B408</f>
        <v>0</v>
      </c>
      <c r="B479" t="e">
        <f>VLOOKUP(A479,'Production Plan'!B:V,16,FALSE)</f>
        <v>#N/A</v>
      </c>
      <c r="C479" t="e">
        <f>VLOOKUP(A479,'Production Plan'!B:G,5,FALSE)</f>
        <v>#N/A</v>
      </c>
      <c r="F479"/>
    </row>
    <row r="480" spans="1:6" hidden="1">
      <c r="A480">
        <f>'Production Plan'!B409</f>
        <v>0</v>
      </c>
      <c r="B480" t="e">
        <f>VLOOKUP(A480,'Production Plan'!B:V,16,FALSE)</f>
        <v>#N/A</v>
      </c>
      <c r="C480" t="e">
        <f>VLOOKUP(A480,'Production Plan'!B:G,5,FALSE)</f>
        <v>#N/A</v>
      </c>
      <c r="F480"/>
    </row>
    <row r="481" spans="1:6" hidden="1">
      <c r="A481">
        <f>'Production Plan'!B410</f>
        <v>0</v>
      </c>
      <c r="B481" t="e">
        <f>VLOOKUP(A481,'Production Plan'!B:V,16,FALSE)</f>
        <v>#N/A</v>
      </c>
      <c r="C481" t="e">
        <f>VLOOKUP(A481,'Production Plan'!B:G,5,FALSE)</f>
        <v>#N/A</v>
      </c>
      <c r="F481"/>
    </row>
    <row r="482" spans="1:6" hidden="1">
      <c r="A482">
        <f>'Production Plan'!B411</f>
        <v>0</v>
      </c>
      <c r="B482" t="e">
        <f>VLOOKUP(A482,'Production Plan'!B:V,16,FALSE)</f>
        <v>#N/A</v>
      </c>
      <c r="C482" t="e">
        <f>VLOOKUP(A482,'Production Plan'!B:G,5,FALSE)</f>
        <v>#N/A</v>
      </c>
      <c r="F482"/>
    </row>
    <row r="483" spans="1:6" hidden="1">
      <c r="A483">
        <f>'Production Plan'!B412</f>
        <v>0</v>
      </c>
      <c r="B483" t="e">
        <f>VLOOKUP(A483,'Production Plan'!B:V,16,FALSE)</f>
        <v>#N/A</v>
      </c>
      <c r="C483" t="e">
        <f>VLOOKUP(A483,'Production Plan'!B:G,5,FALSE)</f>
        <v>#N/A</v>
      </c>
      <c r="F483"/>
    </row>
    <row r="484" spans="1:6" hidden="1">
      <c r="A484">
        <f>'Production Plan'!B413</f>
        <v>0</v>
      </c>
      <c r="B484" t="e">
        <f>VLOOKUP(A484,'Production Plan'!B:V,16,FALSE)</f>
        <v>#N/A</v>
      </c>
      <c r="C484" t="e">
        <f>VLOOKUP(A484,'Production Plan'!B:G,5,FALSE)</f>
        <v>#N/A</v>
      </c>
      <c r="F484"/>
    </row>
    <row r="485" spans="1:6" hidden="1">
      <c r="A485">
        <f>'Production Plan'!B414</f>
        <v>0</v>
      </c>
      <c r="B485" t="e">
        <f>VLOOKUP(A485,'Production Plan'!B:V,16,FALSE)</f>
        <v>#N/A</v>
      </c>
      <c r="C485" t="e">
        <f>VLOOKUP(A485,'Production Plan'!B:G,5,FALSE)</f>
        <v>#N/A</v>
      </c>
      <c r="F485"/>
    </row>
    <row r="486" spans="1:6" hidden="1">
      <c r="A486">
        <f>'Production Plan'!B415</f>
        <v>0</v>
      </c>
      <c r="B486" t="e">
        <f>VLOOKUP(A486,'Production Plan'!B:V,16,FALSE)</f>
        <v>#N/A</v>
      </c>
      <c r="C486" t="e">
        <f>VLOOKUP(A486,'Production Plan'!B:G,5,FALSE)</f>
        <v>#N/A</v>
      </c>
      <c r="F486"/>
    </row>
    <row r="487" spans="1:6" hidden="1">
      <c r="A487">
        <f>'Production Plan'!B416</f>
        <v>0</v>
      </c>
      <c r="B487" t="e">
        <f>VLOOKUP(A487,'Production Plan'!B:V,16,FALSE)</f>
        <v>#N/A</v>
      </c>
      <c r="C487" t="e">
        <f>VLOOKUP(A487,'Production Plan'!B:G,5,FALSE)</f>
        <v>#N/A</v>
      </c>
      <c r="F487"/>
    </row>
    <row r="488" spans="1:6" hidden="1">
      <c r="A488">
        <f>'Production Plan'!B417</f>
        <v>0</v>
      </c>
      <c r="B488" t="e">
        <f>VLOOKUP(A488,'Production Plan'!B:V,16,FALSE)</f>
        <v>#N/A</v>
      </c>
      <c r="C488" t="e">
        <f>VLOOKUP(A488,'Production Plan'!B:G,5,FALSE)</f>
        <v>#N/A</v>
      </c>
      <c r="F488"/>
    </row>
    <row r="489" spans="1:6" hidden="1">
      <c r="A489">
        <f>'Production Plan'!B418</f>
        <v>0</v>
      </c>
      <c r="B489" t="e">
        <f>VLOOKUP(A489,'Production Plan'!B:V,16,FALSE)</f>
        <v>#N/A</v>
      </c>
      <c r="C489" t="e">
        <f>VLOOKUP(A489,'Production Plan'!B:G,5,FALSE)</f>
        <v>#N/A</v>
      </c>
      <c r="F489"/>
    </row>
    <row r="490" spans="1:6" hidden="1">
      <c r="A490">
        <f>'Production Plan'!B419</f>
        <v>0</v>
      </c>
      <c r="B490" t="e">
        <f>VLOOKUP(A490,'Production Plan'!B:V,16,FALSE)</f>
        <v>#N/A</v>
      </c>
      <c r="C490" t="e">
        <f>VLOOKUP(A490,'Production Plan'!B:G,5,FALSE)</f>
        <v>#N/A</v>
      </c>
      <c r="F490"/>
    </row>
    <row r="491" spans="1:6" hidden="1">
      <c r="A491">
        <f>'Production Plan'!B420</f>
        <v>0</v>
      </c>
      <c r="B491" t="e">
        <f>VLOOKUP(A491,'Production Plan'!B:V,16,FALSE)</f>
        <v>#N/A</v>
      </c>
      <c r="C491" t="e">
        <f>VLOOKUP(A491,'Production Plan'!B:G,5,FALSE)</f>
        <v>#N/A</v>
      </c>
      <c r="F491"/>
    </row>
    <row r="492" spans="1:6" hidden="1">
      <c r="A492">
        <f>'Production Plan'!B421</f>
        <v>0</v>
      </c>
      <c r="B492" t="e">
        <f>VLOOKUP(A492,'Production Plan'!B:V,16,FALSE)</f>
        <v>#N/A</v>
      </c>
      <c r="C492" t="e">
        <f>VLOOKUP(A492,'Production Plan'!B:G,5,FALSE)</f>
        <v>#N/A</v>
      </c>
      <c r="F492"/>
    </row>
    <row r="493" spans="1:6" hidden="1">
      <c r="A493">
        <f>'Production Plan'!B422</f>
        <v>0</v>
      </c>
      <c r="B493" t="e">
        <f>VLOOKUP(A493,'Production Plan'!B:V,16,FALSE)</f>
        <v>#N/A</v>
      </c>
      <c r="C493" t="e">
        <f>VLOOKUP(A493,'Production Plan'!B:G,5,FALSE)</f>
        <v>#N/A</v>
      </c>
      <c r="F493"/>
    </row>
    <row r="494" spans="1:6" hidden="1">
      <c r="A494">
        <f>'Production Plan'!B423</f>
        <v>0</v>
      </c>
      <c r="B494" t="e">
        <f>VLOOKUP(A494,'Production Plan'!B:V,16,FALSE)</f>
        <v>#N/A</v>
      </c>
      <c r="C494" t="e">
        <f>VLOOKUP(A494,'Production Plan'!B:G,5,FALSE)</f>
        <v>#N/A</v>
      </c>
      <c r="F494"/>
    </row>
    <row r="495" spans="1:6" hidden="1">
      <c r="A495">
        <f>'Production Plan'!B424</f>
        <v>0</v>
      </c>
      <c r="B495" t="e">
        <f>VLOOKUP(A495,'Production Plan'!B:V,16,FALSE)</f>
        <v>#N/A</v>
      </c>
      <c r="C495" t="e">
        <f>VLOOKUP(A495,'Production Plan'!B:G,5,FALSE)</f>
        <v>#N/A</v>
      </c>
      <c r="F495"/>
    </row>
    <row r="496" spans="1:6" hidden="1">
      <c r="A496">
        <f>'Production Plan'!B425</f>
        <v>0</v>
      </c>
      <c r="B496" t="e">
        <f>VLOOKUP(A496,'Production Plan'!B:V,16,FALSE)</f>
        <v>#N/A</v>
      </c>
      <c r="C496" t="e">
        <f>VLOOKUP(A496,'Production Plan'!B:G,5,FALSE)</f>
        <v>#N/A</v>
      </c>
      <c r="F496"/>
    </row>
    <row r="497" spans="1:6" hidden="1">
      <c r="A497">
        <f>'Production Plan'!B426</f>
        <v>0</v>
      </c>
      <c r="B497" t="e">
        <f>VLOOKUP(A497,'Production Plan'!B:V,16,FALSE)</f>
        <v>#N/A</v>
      </c>
      <c r="C497" t="e">
        <f>VLOOKUP(A497,'Production Plan'!B:G,5,FALSE)</f>
        <v>#N/A</v>
      </c>
      <c r="F497"/>
    </row>
    <row r="498" spans="1:6" hidden="1">
      <c r="A498">
        <f>'Production Plan'!B427</f>
        <v>0</v>
      </c>
      <c r="B498" t="e">
        <f>VLOOKUP(A498,'Production Plan'!B:V,16,FALSE)</f>
        <v>#N/A</v>
      </c>
      <c r="C498" t="e">
        <f>VLOOKUP(A498,'Production Plan'!B:G,5,FALSE)</f>
        <v>#N/A</v>
      </c>
      <c r="F498"/>
    </row>
    <row r="499" spans="1:6" hidden="1">
      <c r="A499">
        <f>'Production Plan'!B428</f>
        <v>0</v>
      </c>
      <c r="B499" t="e">
        <f>VLOOKUP(A499,'Production Plan'!B:V,16,FALSE)</f>
        <v>#N/A</v>
      </c>
      <c r="C499" t="e">
        <f>VLOOKUP(A499,'Production Plan'!B:G,5,FALSE)</f>
        <v>#N/A</v>
      </c>
      <c r="F499"/>
    </row>
    <row r="500" spans="1:6" hidden="1">
      <c r="A500">
        <f>'Production Plan'!B429</f>
        <v>0</v>
      </c>
      <c r="B500" t="e">
        <f>VLOOKUP(A500,'Production Plan'!B:V,16,FALSE)</f>
        <v>#N/A</v>
      </c>
      <c r="C500" t="e">
        <f>VLOOKUP(A500,'Production Plan'!B:G,5,FALSE)</f>
        <v>#N/A</v>
      </c>
      <c r="F500"/>
    </row>
    <row r="501" spans="1:6" hidden="1">
      <c r="A501">
        <f>'Production Plan'!B430</f>
        <v>0</v>
      </c>
      <c r="B501" t="e">
        <f>VLOOKUP(A501,'Production Plan'!B:V,16,FALSE)</f>
        <v>#N/A</v>
      </c>
      <c r="C501" t="e">
        <f>VLOOKUP(A501,'Production Plan'!B:G,5,FALSE)</f>
        <v>#N/A</v>
      </c>
      <c r="F501"/>
    </row>
    <row r="502" spans="1:6" hidden="1">
      <c r="A502">
        <f>'Production Plan'!B431</f>
        <v>0</v>
      </c>
      <c r="B502" t="e">
        <f>VLOOKUP(A502,'Production Plan'!B:V,16,FALSE)</f>
        <v>#N/A</v>
      </c>
      <c r="C502" t="e">
        <f>VLOOKUP(A502,'Production Plan'!B:G,5,FALSE)</f>
        <v>#N/A</v>
      </c>
      <c r="F502"/>
    </row>
    <row r="503" spans="1:6" hidden="1">
      <c r="A503">
        <f>'Production Plan'!B432</f>
        <v>0</v>
      </c>
      <c r="B503" t="e">
        <f>VLOOKUP(A503,'Production Plan'!B:V,16,FALSE)</f>
        <v>#N/A</v>
      </c>
      <c r="C503" t="e">
        <f>VLOOKUP(A503,'Production Plan'!B:G,5,FALSE)</f>
        <v>#N/A</v>
      </c>
      <c r="F503"/>
    </row>
    <row r="504" spans="1:6" hidden="1">
      <c r="A504">
        <f>'Production Plan'!B433</f>
        <v>0</v>
      </c>
      <c r="B504" t="e">
        <f>VLOOKUP(A504,'Production Plan'!B:V,16,FALSE)</f>
        <v>#N/A</v>
      </c>
      <c r="C504" t="e">
        <f>VLOOKUP(A504,'Production Plan'!B:G,5,FALSE)</f>
        <v>#N/A</v>
      </c>
      <c r="F504"/>
    </row>
    <row r="505" spans="1:6" hidden="1">
      <c r="A505">
        <f>'Production Plan'!B434</f>
        <v>0</v>
      </c>
      <c r="B505" t="e">
        <f>VLOOKUP(A505,'Production Plan'!B:V,16,FALSE)</f>
        <v>#N/A</v>
      </c>
      <c r="C505" t="e">
        <f>VLOOKUP(A505,'Production Plan'!B:G,5,FALSE)</f>
        <v>#N/A</v>
      </c>
      <c r="F505"/>
    </row>
    <row r="506" spans="1:6" hidden="1">
      <c r="A506">
        <f>'Production Plan'!B435</f>
        <v>0</v>
      </c>
      <c r="B506" t="e">
        <f>VLOOKUP(A506,'Production Plan'!B:V,16,FALSE)</f>
        <v>#N/A</v>
      </c>
      <c r="C506" t="e">
        <f>VLOOKUP(A506,'Production Plan'!B:G,5,FALSE)</f>
        <v>#N/A</v>
      </c>
      <c r="F506"/>
    </row>
    <row r="507" spans="1:6" hidden="1">
      <c r="A507">
        <f>'Production Plan'!B436</f>
        <v>0</v>
      </c>
      <c r="B507" t="e">
        <f>VLOOKUP(A507,'Production Plan'!B:V,16,FALSE)</f>
        <v>#N/A</v>
      </c>
      <c r="C507" t="e">
        <f>VLOOKUP(A507,'Production Plan'!B:G,5,FALSE)</f>
        <v>#N/A</v>
      </c>
      <c r="F507"/>
    </row>
    <row r="508" spans="1:6" hidden="1">
      <c r="A508">
        <f>'Production Plan'!B437</f>
        <v>0</v>
      </c>
      <c r="B508" t="e">
        <f>VLOOKUP(A508,'Production Plan'!B:V,16,FALSE)</f>
        <v>#N/A</v>
      </c>
      <c r="C508" t="e">
        <f>VLOOKUP(A508,'Production Plan'!B:G,5,FALSE)</f>
        <v>#N/A</v>
      </c>
      <c r="F508"/>
    </row>
    <row r="509" spans="1:6" hidden="1">
      <c r="A509">
        <f>'Production Plan'!B438</f>
        <v>0</v>
      </c>
      <c r="B509" t="e">
        <f>VLOOKUP(A509,'Production Plan'!B:V,16,FALSE)</f>
        <v>#N/A</v>
      </c>
      <c r="C509" t="e">
        <f>VLOOKUP(A509,'Production Plan'!B:G,5,FALSE)</f>
        <v>#N/A</v>
      </c>
      <c r="F509"/>
    </row>
    <row r="510" spans="1:6" hidden="1">
      <c r="A510">
        <f>'Production Plan'!B439</f>
        <v>0</v>
      </c>
      <c r="B510" t="e">
        <f>VLOOKUP(A510,'Production Plan'!B:V,16,FALSE)</f>
        <v>#N/A</v>
      </c>
      <c r="C510" t="e">
        <f>VLOOKUP(A510,'Production Plan'!B:G,5,FALSE)</f>
        <v>#N/A</v>
      </c>
      <c r="F510"/>
    </row>
    <row r="511" spans="1:6" hidden="1">
      <c r="A511">
        <f>'Production Plan'!B440</f>
        <v>0</v>
      </c>
      <c r="B511" t="e">
        <f>VLOOKUP(A511,'Production Plan'!B:V,16,FALSE)</f>
        <v>#N/A</v>
      </c>
      <c r="C511" t="e">
        <f>VLOOKUP(A511,'Production Plan'!B:G,5,FALSE)</f>
        <v>#N/A</v>
      </c>
      <c r="F511"/>
    </row>
    <row r="512" spans="1:6" hidden="1">
      <c r="A512">
        <f>'Production Plan'!B441</f>
        <v>0</v>
      </c>
      <c r="B512" t="e">
        <f>VLOOKUP(A512,'Production Plan'!B:V,16,FALSE)</f>
        <v>#N/A</v>
      </c>
      <c r="C512" t="e">
        <f>VLOOKUP(A512,'Production Plan'!B:G,5,FALSE)</f>
        <v>#N/A</v>
      </c>
      <c r="F512"/>
    </row>
    <row r="513" spans="1:6" hidden="1">
      <c r="A513">
        <f>'Production Plan'!B442</f>
        <v>0</v>
      </c>
      <c r="B513" t="e">
        <f>VLOOKUP(A513,'Production Plan'!B:V,16,FALSE)</f>
        <v>#N/A</v>
      </c>
      <c r="C513" t="e">
        <f>VLOOKUP(A513,'Production Plan'!B:G,5,FALSE)</f>
        <v>#N/A</v>
      </c>
      <c r="F513"/>
    </row>
    <row r="514" spans="1:6" hidden="1">
      <c r="A514">
        <f>'Production Plan'!B443</f>
        <v>0</v>
      </c>
      <c r="B514" t="e">
        <f>VLOOKUP(A514,'Production Plan'!B:V,16,FALSE)</f>
        <v>#N/A</v>
      </c>
      <c r="C514" t="e">
        <f>VLOOKUP(A514,'Production Plan'!B:G,5,FALSE)</f>
        <v>#N/A</v>
      </c>
      <c r="F514"/>
    </row>
    <row r="515" spans="1:6" hidden="1">
      <c r="A515">
        <f>'Production Plan'!B444</f>
        <v>0</v>
      </c>
      <c r="B515" t="e">
        <f>VLOOKUP(A515,'Production Plan'!B:V,16,FALSE)</f>
        <v>#N/A</v>
      </c>
      <c r="C515" t="e">
        <f>VLOOKUP(A515,'Production Plan'!B:G,5,FALSE)</f>
        <v>#N/A</v>
      </c>
      <c r="F515"/>
    </row>
    <row r="516" spans="1:6" hidden="1">
      <c r="A516">
        <f>'Production Plan'!B445</f>
        <v>0</v>
      </c>
      <c r="B516" t="e">
        <f>VLOOKUP(A516,'Production Plan'!B:V,16,FALSE)</f>
        <v>#N/A</v>
      </c>
      <c r="C516" t="e">
        <f>VLOOKUP(A516,'Production Plan'!B:G,5,FALSE)</f>
        <v>#N/A</v>
      </c>
      <c r="F516"/>
    </row>
    <row r="517" spans="1:6" hidden="1">
      <c r="A517">
        <f>'Production Plan'!B446</f>
        <v>0</v>
      </c>
      <c r="B517" t="e">
        <f>VLOOKUP(A517,'Production Plan'!B:V,16,FALSE)</f>
        <v>#N/A</v>
      </c>
      <c r="C517" t="e">
        <f>VLOOKUP(A517,'Production Plan'!B:G,5,FALSE)</f>
        <v>#N/A</v>
      </c>
      <c r="F517"/>
    </row>
    <row r="518" spans="1:6" hidden="1">
      <c r="A518">
        <f>'Production Plan'!B447</f>
        <v>0</v>
      </c>
      <c r="B518" t="e">
        <f>VLOOKUP(A518,'Production Plan'!B:V,16,FALSE)</f>
        <v>#N/A</v>
      </c>
      <c r="C518" t="e">
        <f>VLOOKUP(A518,'Production Plan'!B:G,5,FALSE)</f>
        <v>#N/A</v>
      </c>
      <c r="F518"/>
    </row>
    <row r="519" spans="1:6" hidden="1">
      <c r="A519">
        <f>'Production Plan'!B448</f>
        <v>0</v>
      </c>
      <c r="B519" t="e">
        <f>VLOOKUP(A519,'Production Plan'!B:V,16,FALSE)</f>
        <v>#N/A</v>
      </c>
      <c r="C519" t="e">
        <f>VLOOKUP(A519,'Production Plan'!B:G,5,FALSE)</f>
        <v>#N/A</v>
      </c>
      <c r="F519"/>
    </row>
    <row r="520" spans="1:6" hidden="1">
      <c r="A520">
        <f>'Production Plan'!B449</f>
        <v>0</v>
      </c>
      <c r="B520" t="e">
        <f>VLOOKUP(A520,'Production Plan'!B:V,16,FALSE)</f>
        <v>#N/A</v>
      </c>
      <c r="C520" t="e">
        <f>VLOOKUP(A520,'Production Plan'!B:G,5,FALSE)</f>
        <v>#N/A</v>
      </c>
      <c r="F520"/>
    </row>
    <row r="521" spans="1:6" hidden="1">
      <c r="A521">
        <f>'Production Plan'!B450</f>
        <v>0</v>
      </c>
      <c r="B521" t="e">
        <f>VLOOKUP(A521,'Production Plan'!B:V,16,FALSE)</f>
        <v>#N/A</v>
      </c>
      <c r="C521" t="e">
        <f>VLOOKUP(A521,'Production Plan'!B:G,5,FALSE)</f>
        <v>#N/A</v>
      </c>
      <c r="F521"/>
    </row>
    <row r="522" spans="1:6" hidden="1">
      <c r="A522">
        <f>'Production Plan'!B451</f>
        <v>0</v>
      </c>
      <c r="B522" t="e">
        <f>VLOOKUP(A522,'Production Plan'!B:V,16,FALSE)</f>
        <v>#N/A</v>
      </c>
      <c r="C522" t="e">
        <f>VLOOKUP(A522,'Production Plan'!B:G,5,FALSE)</f>
        <v>#N/A</v>
      </c>
      <c r="F522"/>
    </row>
    <row r="523" spans="1:6" hidden="1">
      <c r="A523">
        <f>'Production Plan'!B452</f>
        <v>0</v>
      </c>
      <c r="B523" t="e">
        <f>VLOOKUP(A523,'Production Plan'!B:V,16,FALSE)</f>
        <v>#N/A</v>
      </c>
      <c r="C523" t="e">
        <f>VLOOKUP(A523,'Production Plan'!B:G,5,FALSE)</f>
        <v>#N/A</v>
      </c>
      <c r="F523"/>
    </row>
    <row r="524" spans="1:6" hidden="1">
      <c r="A524">
        <f>'Production Plan'!B453</f>
        <v>0</v>
      </c>
      <c r="B524" t="e">
        <f>VLOOKUP(A524,'Production Plan'!B:V,16,FALSE)</f>
        <v>#N/A</v>
      </c>
      <c r="C524" t="e">
        <f>VLOOKUP(A524,'Production Plan'!B:G,5,FALSE)</f>
        <v>#N/A</v>
      </c>
      <c r="F524"/>
    </row>
    <row r="525" spans="1:6" hidden="1">
      <c r="A525">
        <f>'Production Plan'!B454</f>
        <v>0</v>
      </c>
      <c r="B525" t="e">
        <f>VLOOKUP(A525,'Production Plan'!B:V,16,FALSE)</f>
        <v>#N/A</v>
      </c>
      <c r="C525" t="e">
        <f>VLOOKUP(A525,'Production Plan'!B:G,5,FALSE)</f>
        <v>#N/A</v>
      </c>
      <c r="F525"/>
    </row>
    <row r="526" spans="1:6" hidden="1">
      <c r="A526">
        <f>'Production Plan'!B455</f>
        <v>0</v>
      </c>
      <c r="B526" t="e">
        <f>VLOOKUP(A526,'Production Plan'!B:V,16,FALSE)</f>
        <v>#N/A</v>
      </c>
      <c r="C526" t="e">
        <f>VLOOKUP(A526,'Production Plan'!B:G,5,FALSE)</f>
        <v>#N/A</v>
      </c>
      <c r="F526"/>
    </row>
    <row r="527" spans="1:6" hidden="1">
      <c r="A527">
        <f>'Production Plan'!B456</f>
        <v>0</v>
      </c>
      <c r="B527" t="e">
        <f>VLOOKUP(A527,'Production Plan'!B:V,16,FALSE)</f>
        <v>#N/A</v>
      </c>
      <c r="C527" t="e">
        <f>VLOOKUP(A527,'Production Plan'!B:G,5,FALSE)</f>
        <v>#N/A</v>
      </c>
      <c r="F527"/>
    </row>
    <row r="528" spans="1:6" hidden="1">
      <c r="A528">
        <f>'Production Plan'!B457</f>
        <v>0</v>
      </c>
      <c r="B528" t="e">
        <f>VLOOKUP(A528,'Production Plan'!B:V,16,FALSE)</f>
        <v>#N/A</v>
      </c>
      <c r="C528" t="e">
        <f>VLOOKUP(A528,'Production Plan'!B:G,5,FALSE)</f>
        <v>#N/A</v>
      </c>
      <c r="F528"/>
    </row>
    <row r="529" spans="1:6" hidden="1">
      <c r="A529">
        <f>'Production Plan'!B458</f>
        <v>0</v>
      </c>
      <c r="B529" t="e">
        <f>VLOOKUP(A529,'Production Plan'!B:V,16,FALSE)</f>
        <v>#N/A</v>
      </c>
      <c r="C529" t="e">
        <f>VLOOKUP(A529,'Production Plan'!B:G,5,FALSE)</f>
        <v>#N/A</v>
      </c>
      <c r="F529"/>
    </row>
    <row r="530" spans="1:6" hidden="1">
      <c r="A530">
        <f>'Production Plan'!B459</f>
        <v>0</v>
      </c>
      <c r="B530" t="e">
        <f>VLOOKUP(A530,'Production Plan'!B:V,16,FALSE)</f>
        <v>#N/A</v>
      </c>
      <c r="C530" t="e">
        <f>VLOOKUP(A530,'Production Plan'!B:G,5,FALSE)</f>
        <v>#N/A</v>
      </c>
      <c r="F530"/>
    </row>
    <row r="531" spans="1:6" hidden="1">
      <c r="A531">
        <f>'Production Plan'!B460</f>
        <v>0</v>
      </c>
      <c r="B531" t="e">
        <f>VLOOKUP(A531,'Production Plan'!B:V,16,FALSE)</f>
        <v>#N/A</v>
      </c>
      <c r="C531" t="e">
        <f>VLOOKUP(A531,'Production Plan'!B:G,5,FALSE)</f>
        <v>#N/A</v>
      </c>
      <c r="F531"/>
    </row>
    <row r="532" spans="1:6" hidden="1">
      <c r="A532">
        <f>'Production Plan'!B461</f>
        <v>0</v>
      </c>
      <c r="B532" t="e">
        <f>VLOOKUP(A532,'Production Plan'!B:V,16,FALSE)</f>
        <v>#N/A</v>
      </c>
      <c r="C532" t="e">
        <f>VLOOKUP(A532,'Production Plan'!B:G,5,FALSE)</f>
        <v>#N/A</v>
      </c>
      <c r="F532"/>
    </row>
    <row r="533" spans="1:6" hidden="1">
      <c r="A533">
        <f>'Production Plan'!B462</f>
        <v>0</v>
      </c>
      <c r="B533" t="e">
        <f>VLOOKUP(A533,'Production Plan'!B:V,16,FALSE)</f>
        <v>#N/A</v>
      </c>
      <c r="C533" t="e">
        <f>VLOOKUP(A533,'Production Plan'!B:G,5,FALSE)</f>
        <v>#N/A</v>
      </c>
      <c r="F533"/>
    </row>
    <row r="534" spans="1:6" hidden="1">
      <c r="A534">
        <f>'Production Plan'!B463</f>
        <v>0</v>
      </c>
      <c r="B534" t="e">
        <f>VLOOKUP(A534,'Production Plan'!B:V,16,FALSE)</f>
        <v>#N/A</v>
      </c>
      <c r="C534" t="e">
        <f>VLOOKUP(A534,'Production Plan'!B:G,5,FALSE)</f>
        <v>#N/A</v>
      </c>
      <c r="F534"/>
    </row>
    <row r="535" spans="1:6" hidden="1">
      <c r="A535">
        <f>'Production Plan'!B464</f>
        <v>0</v>
      </c>
      <c r="B535" t="e">
        <f>VLOOKUP(A535,'Production Plan'!B:V,16,FALSE)</f>
        <v>#N/A</v>
      </c>
      <c r="C535" t="e">
        <f>VLOOKUP(A535,'Production Plan'!B:G,5,FALSE)</f>
        <v>#N/A</v>
      </c>
      <c r="F535"/>
    </row>
    <row r="536" spans="1:6" hidden="1">
      <c r="A536">
        <f>'Production Plan'!B465</f>
        <v>0</v>
      </c>
      <c r="B536" t="e">
        <f>VLOOKUP(A536,'Production Plan'!B:V,16,FALSE)</f>
        <v>#N/A</v>
      </c>
      <c r="C536" t="e">
        <f>VLOOKUP(A536,'Production Plan'!B:G,5,FALSE)</f>
        <v>#N/A</v>
      </c>
      <c r="F536"/>
    </row>
    <row r="537" spans="1:6" hidden="1">
      <c r="A537">
        <f>'Production Plan'!B466</f>
        <v>0</v>
      </c>
      <c r="B537" t="e">
        <f>VLOOKUP(A537,'Production Plan'!B:V,16,FALSE)</f>
        <v>#N/A</v>
      </c>
      <c r="C537" t="e">
        <f>VLOOKUP(A537,'Production Plan'!B:G,5,FALSE)</f>
        <v>#N/A</v>
      </c>
      <c r="F537"/>
    </row>
    <row r="538" spans="1:6" hidden="1">
      <c r="A538">
        <f>'Production Plan'!B467</f>
        <v>0</v>
      </c>
      <c r="B538" t="e">
        <f>VLOOKUP(A538,'Production Plan'!B:V,16,FALSE)</f>
        <v>#N/A</v>
      </c>
      <c r="C538" t="e">
        <f>VLOOKUP(A538,'Production Plan'!B:G,5,FALSE)</f>
        <v>#N/A</v>
      </c>
      <c r="F538"/>
    </row>
    <row r="539" spans="1:6" hidden="1">
      <c r="A539">
        <f>'Production Plan'!B468</f>
        <v>0</v>
      </c>
      <c r="B539" t="e">
        <f>VLOOKUP(A539,'Production Plan'!B:V,16,FALSE)</f>
        <v>#N/A</v>
      </c>
      <c r="C539" t="e">
        <f>VLOOKUP(A539,'Production Plan'!B:G,5,FALSE)</f>
        <v>#N/A</v>
      </c>
      <c r="F539"/>
    </row>
    <row r="540" spans="1:6" hidden="1">
      <c r="A540">
        <f>'Production Plan'!B469</f>
        <v>0</v>
      </c>
      <c r="B540" t="e">
        <f>VLOOKUP(A540,'Production Plan'!B:V,16,FALSE)</f>
        <v>#N/A</v>
      </c>
      <c r="C540" t="e">
        <f>VLOOKUP(A540,'Production Plan'!B:G,5,FALSE)</f>
        <v>#N/A</v>
      </c>
      <c r="F540"/>
    </row>
    <row r="541" spans="1:6" hidden="1">
      <c r="A541">
        <f>'Production Plan'!B470</f>
        <v>0</v>
      </c>
      <c r="B541" t="e">
        <f>VLOOKUP(A541,'Production Plan'!B:V,16,FALSE)</f>
        <v>#N/A</v>
      </c>
      <c r="C541" t="e">
        <f>VLOOKUP(A541,'Production Plan'!B:G,5,FALSE)</f>
        <v>#N/A</v>
      </c>
      <c r="F541"/>
    </row>
    <row r="542" spans="1:6" hidden="1">
      <c r="A542">
        <f>'Production Plan'!B471</f>
        <v>0</v>
      </c>
      <c r="B542" t="e">
        <f>VLOOKUP(A542,'Production Plan'!B:V,16,FALSE)</f>
        <v>#N/A</v>
      </c>
      <c r="C542" t="e">
        <f>VLOOKUP(A542,'Production Plan'!B:G,5,FALSE)</f>
        <v>#N/A</v>
      </c>
      <c r="F542"/>
    </row>
    <row r="543" spans="1:6" hidden="1">
      <c r="A543">
        <f>'Production Plan'!B472</f>
        <v>0</v>
      </c>
      <c r="B543" t="e">
        <f>VLOOKUP(A543,'Production Plan'!B:V,16,FALSE)</f>
        <v>#N/A</v>
      </c>
      <c r="C543" t="e">
        <f>VLOOKUP(A543,'Production Plan'!B:G,5,FALSE)</f>
        <v>#N/A</v>
      </c>
      <c r="F543"/>
    </row>
    <row r="544" spans="1:6" hidden="1">
      <c r="A544">
        <f>'Production Plan'!B473</f>
        <v>0</v>
      </c>
      <c r="B544" t="e">
        <f>VLOOKUP(A544,'Production Plan'!B:V,16,FALSE)</f>
        <v>#N/A</v>
      </c>
      <c r="C544" t="e">
        <f>VLOOKUP(A544,'Production Plan'!B:G,5,FALSE)</f>
        <v>#N/A</v>
      </c>
      <c r="F544"/>
    </row>
    <row r="545" spans="1:6" hidden="1">
      <c r="A545">
        <f>'Production Plan'!B474</f>
        <v>0</v>
      </c>
      <c r="B545" t="e">
        <f>VLOOKUP(A545,'Production Plan'!B:V,16,FALSE)</f>
        <v>#N/A</v>
      </c>
      <c r="C545" t="e">
        <f>VLOOKUP(A545,'Production Plan'!B:G,5,FALSE)</f>
        <v>#N/A</v>
      </c>
      <c r="F545"/>
    </row>
    <row r="546" spans="1:6" hidden="1">
      <c r="A546">
        <f>'Production Plan'!B475</f>
        <v>0</v>
      </c>
      <c r="B546" t="e">
        <f>VLOOKUP(A546,'Production Plan'!B:V,16,FALSE)</f>
        <v>#N/A</v>
      </c>
      <c r="C546" t="e">
        <f>VLOOKUP(A546,'Production Plan'!B:G,5,FALSE)</f>
        <v>#N/A</v>
      </c>
      <c r="F546"/>
    </row>
    <row r="547" spans="1:6" hidden="1">
      <c r="A547">
        <f>'Production Plan'!B476</f>
        <v>0</v>
      </c>
      <c r="B547" t="e">
        <f>VLOOKUP(A547,'Production Plan'!B:V,16,FALSE)</f>
        <v>#N/A</v>
      </c>
      <c r="C547" t="e">
        <f>VLOOKUP(A547,'Production Plan'!B:G,5,FALSE)</f>
        <v>#N/A</v>
      </c>
      <c r="F547"/>
    </row>
    <row r="548" spans="1:6" hidden="1">
      <c r="A548">
        <f>'Production Plan'!B477</f>
        <v>0</v>
      </c>
      <c r="B548" t="e">
        <f>VLOOKUP(A548,'Production Plan'!B:V,16,FALSE)</f>
        <v>#N/A</v>
      </c>
      <c r="C548" t="e">
        <f>VLOOKUP(A548,'Production Plan'!B:G,5,FALSE)</f>
        <v>#N/A</v>
      </c>
      <c r="F548"/>
    </row>
    <row r="549" spans="1:6" hidden="1">
      <c r="A549">
        <f>'Production Plan'!B478</f>
        <v>0</v>
      </c>
      <c r="B549" t="e">
        <f>VLOOKUP(A549,'Production Plan'!B:V,16,FALSE)</f>
        <v>#N/A</v>
      </c>
      <c r="C549" t="e">
        <f>VLOOKUP(A549,'Production Plan'!B:G,5,FALSE)</f>
        <v>#N/A</v>
      </c>
      <c r="F549"/>
    </row>
    <row r="550" spans="1:6" hidden="1">
      <c r="A550">
        <f>'Production Plan'!B479</f>
        <v>0</v>
      </c>
      <c r="B550" t="e">
        <f>VLOOKUP(A550,'Production Plan'!B:V,16,FALSE)</f>
        <v>#N/A</v>
      </c>
      <c r="C550" t="e">
        <f>VLOOKUP(A550,'Production Plan'!B:G,5,FALSE)</f>
        <v>#N/A</v>
      </c>
      <c r="F550"/>
    </row>
    <row r="551" spans="1:6" hidden="1">
      <c r="A551">
        <f>'Production Plan'!B480</f>
        <v>0</v>
      </c>
      <c r="B551" t="e">
        <f>VLOOKUP(A551,'Production Plan'!B:V,16,FALSE)</f>
        <v>#N/A</v>
      </c>
      <c r="C551" t="e">
        <f>VLOOKUP(A551,'Production Plan'!B:G,5,FALSE)</f>
        <v>#N/A</v>
      </c>
      <c r="F551"/>
    </row>
    <row r="552" spans="1:6" hidden="1">
      <c r="A552">
        <f>'Production Plan'!B481</f>
        <v>0</v>
      </c>
      <c r="B552" t="e">
        <f>VLOOKUP(A552,'Production Plan'!B:V,16,FALSE)</f>
        <v>#N/A</v>
      </c>
      <c r="C552" t="e">
        <f>VLOOKUP(A552,'Production Plan'!B:G,5,FALSE)</f>
        <v>#N/A</v>
      </c>
      <c r="F552"/>
    </row>
    <row r="553" spans="1:6" hidden="1">
      <c r="A553">
        <f>'Production Plan'!B482</f>
        <v>0</v>
      </c>
      <c r="B553" t="e">
        <f>VLOOKUP(A553,'Production Plan'!B:V,16,FALSE)</f>
        <v>#N/A</v>
      </c>
      <c r="C553" t="e">
        <f>VLOOKUP(A553,'Production Plan'!B:G,5,FALSE)</f>
        <v>#N/A</v>
      </c>
      <c r="F553"/>
    </row>
    <row r="554" spans="1:6" hidden="1">
      <c r="A554">
        <f>'Production Plan'!B483</f>
        <v>0</v>
      </c>
      <c r="B554" t="e">
        <f>VLOOKUP(A554,'Production Plan'!B:V,16,FALSE)</f>
        <v>#N/A</v>
      </c>
      <c r="C554" t="e">
        <f>VLOOKUP(A554,'Production Plan'!B:G,5,FALSE)</f>
        <v>#N/A</v>
      </c>
      <c r="F554"/>
    </row>
    <row r="555" spans="1:6" hidden="1">
      <c r="A555">
        <f>'Production Plan'!B484</f>
        <v>0</v>
      </c>
      <c r="B555" t="e">
        <f>VLOOKUP(A555,'Production Plan'!B:V,16,FALSE)</f>
        <v>#N/A</v>
      </c>
      <c r="C555" t="e">
        <f>VLOOKUP(A555,'Production Plan'!B:G,5,FALSE)</f>
        <v>#N/A</v>
      </c>
      <c r="F555"/>
    </row>
    <row r="556" spans="1:6" hidden="1">
      <c r="A556">
        <f>'Production Plan'!B485</f>
        <v>0</v>
      </c>
      <c r="B556" t="e">
        <f>VLOOKUP(A556,'Production Plan'!B:V,16,FALSE)</f>
        <v>#N/A</v>
      </c>
      <c r="C556" t="e">
        <f>VLOOKUP(A556,'Production Plan'!B:G,5,FALSE)</f>
        <v>#N/A</v>
      </c>
      <c r="F556"/>
    </row>
    <row r="557" spans="1:6" hidden="1">
      <c r="A557">
        <f>'Production Plan'!B486</f>
        <v>0</v>
      </c>
      <c r="B557" t="e">
        <f>VLOOKUP(A557,'Production Plan'!B:V,16,FALSE)</f>
        <v>#N/A</v>
      </c>
      <c r="C557" t="e">
        <f>VLOOKUP(A557,'Production Plan'!B:G,5,FALSE)</f>
        <v>#N/A</v>
      </c>
      <c r="F557"/>
    </row>
    <row r="558" spans="1:6" hidden="1">
      <c r="A558">
        <f>'Production Plan'!B487</f>
        <v>0</v>
      </c>
      <c r="B558" t="e">
        <f>VLOOKUP(A558,'Production Plan'!B:V,16,FALSE)</f>
        <v>#N/A</v>
      </c>
      <c r="C558" t="e">
        <f>VLOOKUP(A558,'Production Plan'!B:G,5,FALSE)</f>
        <v>#N/A</v>
      </c>
      <c r="F558"/>
    </row>
    <row r="559" spans="1:6" hidden="1">
      <c r="A559">
        <f>'Production Plan'!B488</f>
        <v>0</v>
      </c>
      <c r="B559" t="e">
        <f>VLOOKUP(A559,'Production Plan'!B:V,16,FALSE)</f>
        <v>#N/A</v>
      </c>
      <c r="C559" t="e">
        <f>VLOOKUP(A559,'Production Plan'!B:G,5,FALSE)</f>
        <v>#N/A</v>
      </c>
      <c r="F559"/>
    </row>
    <row r="560" spans="1:6" hidden="1">
      <c r="A560">
        <f>'Production Plan'!B489</f>
        <v>0</v>
      </c>
      <c r="B560" t="e">
        <f>VLOOKUP(A560,'Production Plan'!B:V,16,FALSE)</f>
        <v>#N/A</v>
      </c>
      <c r="C560" t="e">
        <f>VLOOKUP(A560,'Production Plan'!B:G,5,FALSE)</f>
        <v>#N/A</v>
      </c>
      <c r="F560"/>
    </row>
    <row r="561" spans="1:6" hidden="1">
      <c r="A561">
        <f>'Production Plan'!B490</f>
        <v>0</v>
      </c>
      <c r="B561" t="e">
        <f>VLOOKUP(A561,'Production Plan'!B:V,16,FALSE)</f>
        <v>#N/A</v>
      </c>
      <c r="C561" t="e">
        <f>VLOOKUP(A561,'Production Plan'!B:G,5,FALSE)</f>
        <v>#N/A</v>
      </c>
      <c r="F561"/>
    </row>
    <row r="562" spans="1:6" hidden="1">
      <c r="A562">
        <f>'Production Plan'!B491</f>
        <v>0</v>
      </c>
      <c r="B562" t="e">
        <f>VLOOKUP(A562,'Production Plan'!B:V,16,FALSE)</f>
        <v>#N/A</v>
      </c>
      <c r="C562" t="e">
        <f>VLOOKUP(A562,'Production Plan'!B:G,5,FALSE)</f>
        <v>#N/A</v>
      </c>
      <c r="F562"/>
    </row>
    <row r="563" spans="1:6" hidden="1">
      <c r="A563">
        <f>'Production Plan'!B492</f>
        <v>0</v>
      </c>
      <c r="B563" t="e">
        <f>VLOOKUP(A563,'Production Plan'!B:V,16,FALSE)</f>
        <v>#N/A</v>
      </c>
      <c r="C563" t="e">
        <f>VLOOKUP(A563,'Production Plan'!B:G,5,FALSE)</f>
        <v>#N/A</v>
      </c>
      <c r="F563"/>
    </row>
    <row r="564" spans="1:6" hidden="1">
      <c r="A564">
        <f>'Production Plan'!B493</f>
        <v>0</v>
      </c>
      <c r="B564" t="e">
        <f>VLOOKUP(A564,'Production Plan'!B:V,16,FALSE)</f>
        <v>#N/A</v>
      </c>
      <c r="C564" t="e">
        <f>VLOOKUP(A564,'Production Plan'!B:G,5,FALSE)</f>
        <v>#N/A</v>
      </c>
      <c r="F564"/>
    </row>
    <row r="565" spans="1:6" hidden="1">
      <c r="A565">
        <f>'Production Plan'!B494</f>
        <v>0</v>
      </c>
      <c r="B565" t="e">
        <f>VLOOKUP(A565,'Production Plan'!B:V,16,FALSE)</f>
        <v>#N/A</v>
      </c>
      <c r="C565" t="e">
        <f>VLOOKUP(A565,'Production Plan'!B:G,5,FALSE)</f>
        <v>#N/A</v>
      </c>
      <c r="F565"/>
    </row>
    <row r="566" spans="1:6" hidden="1">
      <c r="A566">
        <f>'Production Plan'!B495</f>
        <v>0</v>
      </c>
      <c r="B566" t="e">
        <f>VLOOKUP(A566,'Production Plan'!B:V,16,FALSE)</f>
        <v>#N/A</v>
      </c>
      <c r="C566" t="e">
        <f>VLOOKUP(A566,'Production Plan'!B:G,5,FALSE)</f>
        <v>#N/A</v>
      </c>
      <c r="F566"/>
    </row>
    <row r="567" spans="1:6" hidden="1">
      <c r="A567">
        <f>'Production Plan'!B496</f>
        <v>0</v>
      </c>
      <c r="B567" t="e">
        <f>VLOOKUP(A567,'Production Plan'!B:V,16,FALSE)</f>
        <v>#N/A</v>
      </c>
      <c r="C567" t="e">
        <f>VLOOKUP(A567,'Production Plan'!B:G,5,FALSE)</f>
        <v>#N/A</v>
      </c>
      <c r="F567"/>
    </row>
    <row r="568" spans="1:6" hidden="1">
      <c r="A568">
        <f>'Production Plan'!B497</f>
        <v>0</v>
      </c>
      <c r="B568" t="e">
        <f>VLOOKUP(A568,'Production Plan'!B:V,16,FALSE)</f>
        <v>#N/A</v>
      </c>
      <c r="C568" t="e">
        <f>VLOOKUP(A568,'Production Plan'!B:G,5,FALSE)</f>
        <v>#N/A</v>
      </c>
      <c r="F568"/>
    </row>
    <row r="569" spans="1:6" hidden="1">
      <c r="A569">
        <f>'Production Plan'!B498</f>
        <v>0</v>
      </c>
      <c r="B569" t="e">
        <f>VLOOKUP(A569,'Production Plan'!B:V,16,FALSE)</f>
        <v>#N/A</v>
      </c>
      <c r="C569" t="e">
        <f>VLOOKUP(A569,'Production Plan'!B:G,5,FALSE)</f>
        <v>#N/A</v>
      </c>
      <c r="F569"/>
    </row>
    <row r="570" spans="1:6" hidden="1">
      <c r="A570">
        <f>'Production Plan'!B499</f>
        <v>0</v>
      </c>
      <c r="B570" t="e">
        <f>VLOOKUP(A570,'Production Plan'!B:V,16,FALSE)</f>
        <v>#N/A</v>
      </c>
      <c r="C570" t="e">
        <f>VLOOKUP(A570,'Production Plan'!B:G,5,FALSE)</f>
        <v>#N/A</v>
      </c>
      <c r="F570"/>
    </row>
    <row r="571" spans="1:6" hidden="1">
      <c r="A571">
        <f>'Production Plan'!B500</f>
        <v>0</v>
      </c>
      <c r="B571" t="e">
        <f>VLOOKUP(A571,'Production Plan'!B:V,16,FALSE)</f>
        <v>#N/A</v>
      </c>
      <c r="C571" t="e">
        <f>VLOOKUP(A571,'Production Plan'!B:G,5,FALSE)</f>
        <v>#N/A</v>
      </c>
      <c r="F571"/>
    </row>
    <row r="572" spans="1:6" hidden="1">
      <c r="A572">
        <f>'Production Plan'!B501</f>
        <v>0</v>
      </c>
      <c r="B572" t="e">
        <f>VLOOKUP(A572,'Production Plan'!B:V,16,FALSE)</f>
        <v>#N/A</v>
      </c>
      <c r="C572" t="e">
        <f>VLOOKUP(A572,'Production Plan'!B:G,5,FALSE)</f>
        <v>#N/A</v>
      </c>
      <c r="F572"/>
    </row>
    <row r="573" spans="1:6" hidden="1">
      <c r="A573">
        <f>'Production Plan'!B502</f>
        <v>0</v>
      </c>
      <c r="B573" t="e">
        <f>VLOOKUP(A573,'Production Plan'!B:V,16,FALSE)</f>
        <v>#N/A</v>
      </c>
      <c r="C573" t="e">
        <f>VLOOKUP(A573,'Production Plan'!B:G,5,FALSE)</f>
        <v>#N/A</v>
      </c>
      <c r="F573"/>
    </row>
    <row r="574" spans="1:6" hidden="1">
      <c r="A574">
        <f>'Production Plan'!B503</f>
        <v>0</v>
      </c>
      <c r="B574" t="e">
        <f>VLOOKUP(A574,'Production Plan'!B:V,16,FALSE)</f>
        <v>#N/A</v>
      </c>
      <c r="C574" t="e">
        <f>VLOOKUP(A574,'Production Plan'!B:G,5,FALSE)</f>
        <v>#N/A</v>
      </c>
      <c r="F574"/>
    </row>
    <row r="575" spans="1:6" hidden="1">
      <c r="A575">
        <f>'Production Plan'!B504</f>
        <v>0</v>
      </c>
      <c r="B575" t="e">
        <f>VLOOKUP(A575,'Production Plan'!B:V,16,FALSE)</f>
        <v>#N/A</v>
      </c>
      <c r="C575" t="e">
        <f>VLOOKUP(A575,'Production Plan'!B:G,5,FALSE)</f>
        <v>#N/A</v>
      </c>
      <c r="F575"/>
    </row>
    <row r="576" spans="1:6" hidden="1">
      <c r="A576">
        <f>'Production Plan'!B505</f>
        <v>0</v>
      </c>
      <c r="B576" t="e">
        <f>VLOOKUP(A576,'Production Plan'!B:V,16,FALSE)</f>
        <v>#N/A</v>
      </c>
      <c r="C576" t="e">
        <f>VLOOKUP(A576,'Production Plan'!B:G,5,FALSE)</f>
        <v>#N/A</v>
      </c>
      <c r="F576"/>
    </row>
    <row r="577" spans="1:6" hidden="1">
      <c r="A577">
        <f>'Production Plan'!B506</f>
        <v>0</v>
      </c>
      <c r="B577" t="e">
        <f>VLOOKUP(A577,'Production Plan'!B:V,16,FALSE)</f>
        <v>#N/A</v>
      </c>
      <c r="C577" t="e">
        <f>VLOOKUP(A577,'Production Plan'!B:G,5,FALSE)</f>
        <v>#N/A</v>
      </c>
      <c r="F577"/>
    </row>
    <row r="578" spans="1:6" hidden="1">
      <c r="A578">
        <f>'Production Plan'!B507</f>
        <v>0</v>
      </c>
      <c r="B578" t="e">
        <f>VLOOKUP(A578,'Production Plan'!B:V,16,FALSE)</f>
        <v>#N/A</v>
      </c>
      <c r="C578" t="e">
        <f>VLOOKUP(A578,'Production Plan'!B:G,5,FALSE)</f>
        <v>#N/A</v>
      </c>
      <c r="F578"/>
    </row>
    <row r="579" spans="1:6" hidden="1">
      <c r="A579">
        <f>'Production Plan'!B508</f>
        <v>0</v>
      </c>
      <c r="B579" t="e">
        <f>VLOOKUP(A579,'Production Plan'!B:V,16,FALSE)</f>
        <v>#N/A</v>
      </c>
      <c r="C579" t="e">
        <f>VLOOKUP(A579,'Production Plan'!B:G,5,FALSE)</f>
        <v>#N/A</v>
      </c>
      <c r="F579"/>
    </row>
    <row r="580" spans="1:6" hidden="1">
      <c r="A580">
        <f>'Production Plan'!B509</f>
        <v>0</v>
      </c>
      <c r="B580" t="e">
        <f>VLOOKUP(A580,'Production Plan'!B:V,16,FALSE)</f>
        <v>#N/A</v>
      </c>
      <c r="C580" t="e">
        <f>VLOOKUP(A580,'Production Plan'!B:G,5,FALSE)</f>
        <v>#N/A</v>
      </c>
      <c r="F580"/>
    </row>
    <row r="581" spans="1:6" hidden="1">
      <c r="A581">
        <f>'Production Plan'!B510</f>
        <v>0</v>
      </c>
      <c r="B581" t="e">
        <f>VLOOKUP(A581,'Production Plan'!B:V,16,FALSE)</f>
        <v>#N/A</v>
      </c>
      <c r="C581" t="e">
        <f>VLOOKUP(A581,'Production Plan'!B:G,5,FALSE)</f>
        <v>#N/A</v>
      </c>
      <c r="F581"/>
    </row>
    <row r="582" spans="1:6" hidden="1">
      <c r="A582">
        <f>'Production Plan'!B511</f>
        <v>0</v>
      </c>
      <c r="B582" t="e">
        <f>VLOOKUP(A582,'Production Plan'!B:V,16,FALSE)</f>
        <v>#N/A</v>
      </c>
      <c r="C582" t="e">
        <f>VLOOKUP(A582,'Production Plan'!B:G,5,FALSE)</f>
        <v>#N/A</v>
      </c>
      <c r="F582"/>
    </row>
    <row r="583" spans="1:6" hidden="1">
      <c r="A583">
        <f>'Production Plan'!B512</f>
        <v>0</v>
      </c>
      <c r="B583" t="e">
        <f>VLOOKUP(A583,'Production Plan'!B:V,16,FALSE)</f>
        <v>#N/A</v>
      </c>
      <c r="C583" t="e">
        <f>VLOOKUP(A583,'Production Plan'!B:G,5,FALSE)</f>
        <v>#N/A</v>
      </c>
      <c r="F583"/>
    </row>
    <row r="584" spans="1:6" hidden="1">
      <c r="A584">
        <f>'Production Plan'!B513</f>
        <v>0</v>
      </c>
      <c r="B584" t="e">
        <f>VLOOKUP(A584,'Production Plan'!B:V,16,FALSE)</f>
        <v>#N/A</v>
      </c>
      <c r="C584" t="e">
        <f>VLOOKUP(A584,'Production Plan'!B:G,5,FALSE)</f>
        <v>#N/A</v>
      </c>
      <c r="F584"/>
    </row>
    <row r="585" spans="1:6" hidden="1">
      <c r="A585">
        <f>'Production Plan'!B514</f>
        <v>0</v>
      </c>
      <c r="B585" t="e">
        <f>VLOOKUP(A585,'Production Plan'!B:V,16,FALSE)</f>
        <v>#N/A</v>
      </c>
      <c r="C585" t="e">
        <f>VLOOKUP(A585,'Production Plan'!B:G,5,FALSE)</f>
        <v>#N/A</v>
      </c>
      <c r="F585"/>
    </row>
    <row r="586" spans="1:6" hidden="1">
      <c r="A586">
        <f>'Production Plan'!B515</f>
        <v>0</v>
      </c>
      <c r="B586" t="e">
        <f>VLOOKUP(A586,'Production Plan'!B:V,16,FALSE)</f>
        <v>#N/A</v>
      </c>
      <c r="C586" t="e">
        <f>VLOOKUP(A586,'Production Plan'!B:G,5,FALSE)</f>
        <v>#N/A</v>
      </c>
      <c r="F586"/>
    </row>
    <row r="587" spans="1:6" hidden="1">
      <c r="A587">
        <f>'Production Plan'!B516</f>
        <v>0</v>
      </c>
      <c r="B587" t="e">
        <f>VLOOKUP(A587,'Production Plan'!B:V,16,FALSE)</f>
        <v>#N/A</v>
      </c>
      <c r="C587" t="e">
        <f>VLOOKUP(A587,'Production Plan'!B:G,5,FALSE)</f>
        <v>#N/A</v>
      </c>
      <c r="F587"/>
    </row>
    <row r="588" spans="1:6" hidden="1">
      <c r="A588">
        <f>'Production Plan'!B517</f>
        <v>0</v>
      </c>
      <c r="B588" t="e">
        <f>VLOOKUP(A588,'Production Plan'!B:V,16,FALSE)</f>
        <v>#N/A</v>
      </c>
      <c r="C588" t="e">
        <f>VLOOKUP(A588,'Production Plan'!B:G,5,FALSE)</f>
        <v>#N/A</v>
      </c>
      <c r="F588"/>
    </row>
    <row r="589" spans="1:6" hidden="1">
      <c r="A589">
        <f>'Production Plan'!B518</f>
        <v>0</v>
      </c>
      <c r="B589" t="e">
        <f>VLOOKUP(A589,'Production Plan'!B:V,16,FALSE)</f>
        <v>#N/A</v>
      </c>
      <c r="C589" t="e">
        <f>VLOOKUP(A589,'Production Plan'!B:G,5,FALSE)</f>
        <v>#N/A</v>
      </c>
      <c r="F589"/>
    </row>
    <row r="590" spans="1:6" hidden="1">
      <c r="A590">
        <f>'Production Plan'!B519</f>
        <v>0</v>
      </c>
      <c r="B590" t="e">
        <f>VLOOKUP(A590,'Production Plan'!B:V,16,FALSE)</f>
        <v>#N/A</v>
      </c>
      <c r="C590" t="e">
        <f>VLOOKUP(A590,'Production Plan'!B:G,5,FALSE)</f>
        <v>#N/A</v>
      </c>
      <c r="F590"/>
    </row>
    <row r="591" spans="1:6" hidden="1">
      <c r="A591">
        <f>'Production Plan'!B520</f>
        <v>0</v>
      </c>
      <c r="B591" t="e">
        <f>VLOOKUP(A591,'Production Plan'!B:V,16,FALSE)</f>
        <v>#N/A</v>
      </c>
      <c r="C591" t="e">
        <f>VLOOKUP(A591,'Production Plan'!B:G,5,FALSE)</f>
        <v>#N/A</v>
      </c>
      <c r="F591"/>
    </row>
    <row r="592" spans="1:6" hidden="1">
      <c r="A592">
        <f>'Production Plan'!B521</f>
        <v>0</v>
      </c>
      <c r="B592" t="e">
        <f>VLOOKUP(A592,'Production Plan'!B:V,16,FALSE)</f>
        <v>#N/A</v>
      </c>
      <c r="C592" t="e">
        <f>VLOOKUP(A592,'Production Plan'!B:G,5,FALSE)</f>
        <v>#N/A</v>
      </c>
      <c r="F592"/>
    </row>
    <row r="593" spans="1:6" hidden="1">
      <c r="A593">
        <f>'Production Plan'!B522</f>
        <v>0</v>
      </c>
      <c r="B593" t="e">
        <f>VLOOKUP(A593,'Production Plan'!B:V,16,FALSE)</f>
        <v>#N/A</v>
      </c>
      <c r="C593" t="e">
        <f>VLOOKUP(A593,'Production Plan'!B:G,5,FALSE)</f>
        <v>#N/A</v>
      </c>
      <c r="F593"/>
    </row>
    <row r="594" spans="1:6" hidden="1">
      <c r="A594">
        <f>'Production Plan'!B523</f>
        <v>0</v>
      </c>
      <c r="B594" t="e">
        <f>VLOOKUP(A594,'Production Plan'!B:V,16,FALSE)</f>
        <v>#N/A</v>
      </c>
      <c r="C594" t="e">
        <f>VLOOKUP(A594,'Production Plan'!B:G,5,FALSE)</f>
        <v>#N/A</v>
      </c>
      <c r="F594"/>
    </row>
    <row r="595" spans="1:6" hidden="1">
      <c r="A595">
        <f>'Production Plan'!B524</f>
        <v>0</v>
      </c>
      <c r="B595" t="e">
        <f>VLOOKUP(A595,'Production Plan'!B:V,16,FALSE)</f>
        <v>#N/A</v>
      </c>
      <c r="C595" t="e">
        <f>VLOOKUP(A595,'Production Plan'!B:G,5,FALSE)</f>
        <v>#N/A</v>
      </c>
      <c r="F595"/>
    </row>
    <row r="596" spans="1:6" hidden="1">
      <c r="A596">
        <f>'Production Plan'!B525</f>
        <v>0</v>
      </c>
      <c r="B596" t="e">
        <f>VLOOKUP(A596,'Production Plan'!B:V,16,FALSE)</f>
        <v>#N/A</v>
      </c>
      <c r="C596" t="e">
        <f>VLOOKUP(A596,'Production Plan'!B:G,5,FALSE)</f>
        <v>#N/A</v>
      </c>
      <c r="F596"/>
    </row>
    <row r="597" spans="1:6" hidden="1">
      <c r="A597">
        <f>'Production Plan'!B526</f>
        <v>0</v>
      </c>
      <c r="B597" t="e">
        <f>VLOOKUP(A597,'Production Plan'!B:V,16,FALSE)</f>
        <v>#N/A</v>
      </c>
      <c r="C597" t="e">
        <f>VLOOKUP(A597,'Production Plan'!B:G,5,FALSE)</f>
        <v>#N/A</v>
      </c>
      <c r="F597"/>
    </row>
    <row r="598" spans="1:6" hidden="1">
      <c r="A598">
        <f>'Production Plan'!B527</f>
        <v>0</v>
      </c>
      <c r="B598" t="e">
        <f>VLOOKUP(A598,'Production Plan'!B:V,16,FALSE)</f>
        <v>#N/A</v>
      </c>
      <c r="C598" t="e">
        <f>VLOOKUP(A598,'Production Plan'!B:G,5,FALSE)</f>
        <v>#N/A</v>
      </c>
      <c r="F598"/>
    </row>
    <row r="599" spans="1:6" hidden="1">
      <c r="A599">
        <f>'Production Plan'!B528</f>
        <v>0</v>
      </c>
      <c r="B599" t="e">
        <f>VLOOKUP(A599,'Production Plan'!B:V,16,FALSE)</f>
        <v>#N/A</v>
      </c>
      <c r="C599" t="e">
        <f>VLOOKUP(A599,'Production Plan'!B:G,5,FALSE)</f>
        <v>#N/A</v>
      </c>
      <c r="F599"/>
    </row>
    <row r="600" spans="1:6" hidden="1">
      <c r="A600">
        <f>'Production Plan'!B529</f>
        <v>0</v>
      </c>
      <c r="B600" t="e">
        <f>VLOOKUP(A600,'Production Plan'!B:V,16,FALSE)</f>
        <v>#N/A</v>
      </c>
      <c r="C600" t="e">
        <f>VLOOKUP(A600,'Production Plan'!B:G,5,FALSE)</f>
        <v>#N/A</v>
      </c>
      <c r="F600"/>
    </row>
    <row r="601" spans="1:6" hidden="1">
      <c r="A601">
        <f>'Production Plan'!B530</f>
        <v>0</v>
      </c>
      <c r="B601" t="e">
        <f>VLOOKUP(A601,'Production Plan'!B:V,16,FALSE)</f>
        <v>#N/A</v>
      </c>
      <c r="C601" t="e">
        <f>VLOOKUP(A601,'Production Plan'!B:G,5,FALSE)</f>
        <v>#N/A</v>
      </c>
      <c r="F601"/>
    </row>
    <row r="602" spans="1:6" hidden="1">
      <c r="A602">
        <f>'Production Plan'!B531</f>
        <v>0</v>
      </c>
      <c r="B602" t="e">
        <f>VLOOKUP(A602,'Production Plan'!B:V,16,FALSE)</f>
        <v>#N/A</v>
      </c>
      <c r="C602" t="e">
        <f>VLOOKUP(A602,'Production Plan'!B:G,5,FALSE)</f>
        <v>#N/A</v>
      </c>
      <c r="F602"/>
    </row>
    <row r="603" spans="1:6" hidden="1">
      <c r="A603">
        <f>'Production Plan'!B532</f>
        <v>0</v>
      </c>
      <c r="B603" t="e">
        <f>VLOOKUP(A603,'Production Plan'!B:V,16,FALSE)</f>
        <v>#N/A</v>
      </c>
      <c r="C603" t="e">
        <f>VLOOKUP(A603,'Production Plan'!B:G,5,FALSE)</f>
        <v>#N/A</v>
      </c>
      <c r="F603"/>
    </row>
    <row r="604" spans="1:6" hidden="1">
      <c r="A604">
        <f>'Production Plan'!B533</f>
        <v>0</v>
      </c>
      <c r="B604" t="e">
        <f>VLOOKUP(A604,'Production Plan'!B:V,16,FALSE)</f>
        <v>#N/A</v>
      </c>
      <c r="C604" t="e">
        <f>VLOOKUP(A604,'Production Plan'!B:G,5,FALSE)</f>
        <v>#N/A</v>
      </c>
      <c r="F604"/>
    </row>
    <row r="605" spans="1:6" hidden="1">
      <c r="A605">
        <f>'Production Plan'!B534</f>
        <v>0</v>
      </c>
      <c r="B605" t="e">
        <f>VLOOKUP(A605,'Production Plan'!B:V,16,FALSE)</f>
        <v>#N/A</v>
      </c>
      <c r="C605" t="e">
        <f>VLOOKUP(A605,'Production Plan'!B:G,5,FALSE)</f>
        <v>#N/A</v>
      </c>
      <c r="F605"/>
    </row>
    <row r="606" spans="1:6" hidden="1">
      <c r="A606">
        <f>'Production Plan'!B535</f>
        <v>0</v>
      </c>
      <c r="B606" t="e">
        <f>VLOOKUP(A606,'Production Plan'!B:V,16,FALSE)</f>
        <v>#N/A</v>
      </c>
      <c r="C606" t="e">
        <f>VLOOKUP(A606,'Production Plan'!B:G,5,FALSE)</f>
        <v>#N/A</v>
      </c>
      <c r="F606"/>
    </row>
    <row r="607" spans="1:6" hidden="1">
      <c r="A607">
        <f>'Production Plan'!B536</f>
        <v>0</v>
      </c>
      <c r="B607" t="e">
        <f>VLOOKUP(A607,'Production Plan'!B:V,16,FALSE)</f>
        <v>#N/A</v>
      </c>
      <c r="C607" t="e">
        <f>VLOOKUP(A607,'Production Plan'!B:G,5,FALSE)</f>
        <v>#N/A</v>
      </c>
      <c r="F607"/>
    </row>
    <row r="608" spans="1:6" hidden="1">
      <c r="A608">
        <f>'Production Plan'!B537</f>
        <v>0</v>
      </c>
      <c r="B608" t="e">
        <f>VLOOKUP(A608,'Production Plan'!B:V,16,FALSE)</f>
        <v>#N/A</v>
      </c>
      <c r="C608" t="e">
        <f>VLOOKUP(A608,'Production Plan'!B:G,5,FALSE)</f>
        <v>#N/A</v>
      </c>
      <c r="F608"/>
    </row>
    <row r="609" spans="1:6" hidden="1">
      <c r="A609">
        <f>'Production Plan'!B538</f>
        <v>0</v>
      </c>
      <c r="B609" t="e">
        <f>VLOOKUP(A609,'Production Plan'!B:V,16,FALSE)</f>
        <v>#N/A</v>
      </c>
      <c r="C609" t="e">
        <f>VLOOKUP(A609,'Production Plan'!B:G,5,FALSE)</f>
        <v>#N/A</v>
      </c>
      <c r="F609"/>
    </row>
    <row r="610" spans="1:6" hidden="1">
      <c r="A610">
        <f>'Production Plan'!B539</f>
        <v>0</v>
      </c>
      <c r="B610" t="e">
        <f>VLOOKUP(A610,'Production Plan'!B:V,16,FALSE)</f>
        <v>#N/A</v>
      </c>
      <c r="C610" t="e">
        <f>VLOOKUP(A610,'Production Plan'!B:G,5,FALSE)</f>
        <v>#N/A</v>
      </c>
      <c r="F610"/>
    </row>
    <row r="611" spans="1:6" hidden="1">
      <c r="A611">
        <f>'Production Plan'!B540</f>
        <v>0</v>
      </c>
      <c r="B611" t="e">
        <f>VLOOKUP(A611,'Production Plan'!B:V,16,FALSE)</f>
        <v>#N/A</v>
      </c>
      <c r="C611" t="e">
        <f>VLOOKUP(A611,'Production Plan'!B:G,5,FALSE)</f>
        <v>#N/A</v>
      </c>
      <c r="F611"/>
    </row>
    <row r="612" spans="1:6" hidden="1">
      <c r="A612">
        <f>'Production Plan'!B541</f>
        <v>0</v>
      </c>
      <c r="B612" t="e">
        <f>VLOOKUP(A612,'Production Plan'!B:V,16,FALSE)</f>
        <v>#N/A</v>
      </c>
      <c r="C612" t="e">
        <f>VLOOKUP(A612,'Production Plan'!B:G,5,FALSE)</f>
        <v>#N/A</v>
      </c>
      <c r="F612"/>
    </row>
    <row r="613" spans="1:6" hidden="1">
      <c r="A613">
        <f>'Production Plan'!B542</f>
        <v>0</v>
      </c>
      <c r="B613" t="e">
        <f>VLOOKUP(A613,'Production Plan'!B:V,16,FALSE)</f>
        <v>#N/A</v>
      </c>
      <c r="C613" t="e">
        <f>VLOOKUP(A613,'Production Plan'!B:G,5,FALSE)</f>
        <v>#N/A</v>
      </c>
      <c r="F613"/>
    </row>
    <row r="614" spans="1:6" hidden="1">
      <c r="A614">
        <f>'Production Plan'!B543</f>
        <v>0</v>
      </c>
      <c r="B614" t="e">
        <f>VLOOKUP(A614,'Production Plan'!B:V,16,FALSE)</f>
        <v>#N/A</v>
      </c>
      <c r="C614" t="e">
        <f>VLOOKUP(A614,'Production Plan'!B:G,5,FALSE)</f>
        <v>#N/A</v>
      </c>
      <c r="F614"/>
    </row>
    <row r="615" spans="1:6" hidden="1">
      <c r="A615">
        <f>'Production Plan'!B544</f>
        <v>0</v>
      </c>
      <c r="B615" t="e">
        <f>VLOOKUP(A615,'Production Plan'!B:V,16,FALSE)</f>
        <v>#N/A</v>
      </c>
      <c r="C615" t="e">
        <f>VLOOKUP(A615,'Production Plan'!B:G,5,FALSE)</f>
        <v>#N/A</v>
      </c>
      <c r="F615"/>
    </row>
    <row r="616" spans="1:6" hidden="1">
      <c r="A616">
        <f>'Production Plan'!B545</f>
        <v>0</v>
      </c>
      <c r="B616" t="e">
        <f>VLOOKUP(A616,'Production Plan'!B:V,16,FALSE)</f>
        <v>#N/A</v>
      </c>
      <c r="C616" t="e">
        <f>VLOOKUP(A616,'Production Plan'!B:G,5,FALSE)</f>
        <v>#N/A</v>
      </c>
      <c r="F616"/>
    </row>
    <row r="617" spans="1:6" hidden="1">
      <c r="A617">
        <f>'Production Plan'!B546</f>
        <v>0</v>
      </c>
      <c r="B617" t="e">
        <f>VLOOKUP(A617,'Production Plan'!B:V,16,FALSE)</f>
        <v>#N/A</v>
      </c>
      <c r="C617" t="e">
        <f>VLOOKUP(A617,'Production Plan'!B:G,5,FALSE)</f>
        <v>#N/A</v>
      </c>
      <c r="F617"/>
    </row>
    <row r="618" spans="1:6" hidden="1">
      <c r="A618">
        <f>'Production Plan'!B547</f>
        <v>0</v>
      </c>
      <c r="B618" t="e">
        <f>VLOOKUP(A618,'Production Plan'!B:V,16,FALSE)</f>
        <v>#N/A</v>
      </c>
      <c r="C618" t="e">
        <f>VLOOKUP(A618,'Production Plan'!B:G,5,FALSE)</f>
        <v>#N/A</v>
      </c>
      <c r="F618"/>
    </row>
    <row r="619" spans="1:6" hidden="1">
      <c r="A619">
        <f>'Production Plan'!B548</f>
        <v>0</v>
      </c>
      <c r="B619" t="e">
        <f>VLOOKUP(A619,'Production Plan'!B:V,16,FALSE)</f>
        <v>#N/A</v>
      </c>
      <c r="C619" t="e">
        <f>VLOOKUP(A619,'Production Plan'!B:G,5,FALSE)</f>
        <v>#N/A</v>
      </c>
      <c r="F619"/>
    </row>
    <row r="620" spans="1:6" hidden="1">
      <c r="A620">
        <f>'Production Plan'!B549</f>
        <v>0</v>
      </c>
      <c r="B620" t="e">
        <f>VLOOKUP(A620,'Production Plan'!B:V,16,FALSE)</f>
        <v>#N/A</v>
      </c>
      <c r="C620" t="e">
        <f>VLOOKUP(A620,'Production Plan'!B:G,5,FALSE)</f>
        <v>#N/A</v>
      </c>
      <c r="F620"/>
    </row>
    <row r="621" spans="1:6" hidden="1">
      <c r="A621">
        <f>'Production Plan'!B550</f>
        <v>0</v>
      </c>
      <c r="B621" t="e">
        <f>VLOOKUP(A621,'Production Plan'!B:V,16,FALSE)</f>
        <v>#N/A</v>
      </c>
      <c r="C621" t="e">
        <f>VLOOKUP(A621,'Production Plan'!B:G,5,FALSE)</f>
        <v>#N/A</v>
      </c>
      <c r="F621"/>
    </row>
    <row r="622" spans="1:6" hidden="1">
      <c r="A622">
        <f>'Production Plan'!B551</f>
        <v>0</v>
      </c>
      <c r="B622" t="e">
        <f>VLOOKUP(A622,'Production Plan'!B:V,16,FALSE)</f>
        <v>#N/A</v>
      </c>
      <c r="C622" t="e">
        <f>VLOOKUP(A622,'Production Plan'!B:G,5,FALSE)</f>
        <v>#N/A</v>
      </c>
      <c r="F622"/>
    </row>
    <row r="623" spans="1:6" hidden="1">
      <c r="A623">
        <f>'Production Plan'!B552</f>
        <v>0</v>
      </c>
      <c r="B623" t="e">
        <f>VLOOKUP(A623,'Production Plan'!B:V,16,FALSE)</f>
        <v>#N/A</v>
      </c>
      <c r="C623" t="e">
        <f>VLOOKUP(A623,'Production Plan'!B:G,5,FALSE)</f>
        <v>#N/A</v>
      </c>
      <c r="F623"/>
    </row>
    <row r="624" spans="1:6" hidden="1">
      <c r="A624">
        <f>'Production Plan'!B553</f>
        <v>0</v>
      </c>
      <c r="B624" t="e">
        <f>VLOOKUP(A624,'Production Plan'!B:V,16,FALSE)</f>
        <v>#N/A</v>
      </c>
      <c r="C624" t="e">
        <f>VLOOKUP(A624,'Production Plan'!B:G,5,FALSE)</f>
        <v>#N/A</v>
      </c>
      <c r="F624"/>
    </row>
    <row r="625" spans="1:6" hidden="1">
      <c r="A625">
        <f>'Production Plan'!B554</f>
        <v>0</v>
      </c>
      <c r="B625" t="e">
        <f>VLOOKUP(A625,'Production Plan'!B:V,16,FALSE)</f>
        <v>#N/A</v>
      </c>
      <c r="C625" t="e">
        <f>VLOOKUP(A625,'Production Plan'!B:G,5,FALSE)</f>
        <v>#N/A</v>
      </c>
      <c r="F625"/>
    </row>
    <row r="626" spans="1:6" hidden="1">
      <c r="A626">
        <f>'Production Plan'!B555</f>
        <v>0</v>
      </c>
      <c r="B626" t="e">
        <f>VLOOKUP(A626,'Production Plan'!B:V,16,FALSE)</f>
        <v>#N/A</v>
      </c>
      <c r="C626" t="e">
        <f>VLOOKUP(A626,'Production Plan'!B:G,5,FALSE)</f>
        <v>#N/A</v>
      </c>
      <c r="F626"/>
    </row>
    <row r="627" spans="1:6" hidden="1">
      <c r="A627">
        <f>'Production Plan'!B556</f>
        <v>0</v>
      </c>
      <c r="B627" t="e">
        <f>VLOOKUP(A627,'Production Plan'!B:V,16,FALSE)</f>
        <v>#N/A</v>
      </c>
      <c r="C627" t="e">
        <f>VLOOKUP(A627,'Production Plan'!B:G,5,FALSE)</f>
        <v>#N/A</v>
      </c>
      <c r="F627"/>
    </row>
    <row r="628" spans="1:6" hidden="1">
      <c r="A628">
        <f>'Production Plan'!B557</f>
        <v>0</v>
      </c>
      <c r="B628" t="e">
        <f>VLOOKUP(A628,'Production Plan'!B:V,16,FALSE)</f>
        <v>#N/A</v>
      </c>
      <c r="C628" t="e">
        <f>VLOOKUP(A628,'Production Plan'!B:G,5,FALSE)</f>
        <v>#N/A</v>
      </c>
      <c r="F628"/>
    </row>
    <row r="629" spans="1:6" hidden="1">
      <c r="A629">
        <f>'Production Plan'!B558</f>
        <v>0</v>
      </c>
      <c r="B629" t="e">
        <f>VLOOKUP(A629,'Production Plan'!B:V,16,FALSE)</f>
        <v>#N/A</v>
      </c>
      <c r="C629" t="e">
        <f>VLOOKUP(A629,'Production Plan'!B:G,5,FALSE)</f>
        <v>#N/A</v>
      </c>
      <c r="F629"/>
    </row>
    <row r="630" spans="1:6" hidden="1">
      <c r="A630">
        <f>'Production Plan'!B559</f>
        <v>0</v>
      </c>
      <c r="B630" t="e">
        <f>VLOOKUP(A630,'Production Plan'!B:V,16,FALSE)</f>
        <v>#N/A</v>
      </c>
      <c r="C630" t="e">
        <f>VLOOKUP(A630,'Production Plan'!B:G,5,FALSE)</f>
        <v>#N/A</v>
      </c>
      <c r="F630"/>
    </row>
    <row r="631" spans="1:6" hidden="1">
      <c r="A631">
        <f>'Production Plan'!B560</f>
        <v>0</v>
      </c>
      <c r="B631" t="e">
        <f>VLOOKUP(A631,'Production Plan'!B:V,16,FALSE)</f>
        <v>#N/A</v>
      </c>
      <c r="C631" t="e">
        <f>VLOOKUP(A631,'Production Plan'!B:G,5,FALSE)</f>
        <v>#N/A</v>
      </c>
      <c r="F631"/>
    </row>
    <row r="632" spans="1:6" hidden="1">
      <c r="A632">
        <f>'Production Plan'!B561</f>
        <v>0</v>
      </c>
      <c r="B632" t="e">
        <f>VLOOKUP(A632,'Production Plan'!B:V,16,FALSE)</f>
        <v>#N/A</v>
      </c>
      <c r="C632" t="e">
        <f>VLOOKUP(A632,'Production Plan'!B:G,5,FALSE)</f>
        <v>#N/A</v>
      </c>
      <c r="F632"/>
    </row>
    <row r="633" spans="1:6" hidden="1">
      <c r="A633">
        <f>'Production Plan'!B562</f>
        <v>0</v>
      </c>
      <c r="B633" t="e">
        <f>VLOOKUP(A633,'Production Plan'!B:V,16,FALSE)</f>
        <v>#N/A</v>
      </c>
      <c r="C633" t="e">
        <f>VLOOKUP(A633,'Production Plan'!B:G,5,FALSE)</f>
        <v>#N/A</v>
      </c>
      <c r="F633"/>
    </row>
    <row r="634" spans="1:6" hidden="1">
      <c r="A634">
        <f>'Production Plan'!B563</f>
        <v>0</v>
      </c>
      <c r="B634" t="e">
        <f>VLOOKUP(A634,'Production Plan'!B:V,16,FALSE)</f>
        <v>#N/A</v>
      </c>
      <c r="C634" t="e">
        <f>VLOOKUP(A634,'Production Plan'!B:G,5,FALSE)</f>
        <v>#N/A</v>
      </c>
      <c r="F634"/>
    </row>
    <row r="635" spans="1:6" hidden="1">
      <c r="A635">
        <f>'Production Plan'!B564</f>
        <v>0</v>
      </c>
      <c r="B635" t="e">
        <f>VLOOKUP(A635,'Production Plan'!B:V,16,FALSE)</f>
        <v>#N/A</v>
      </c>
      <c r="C635" t="e">
        <f>VLOOKUP(A635,'Production Plan'!B:G,5,FALSE)</f>
        <v>#N/A</v>
      </c>
      <c r="F635"/>
    </row>
    <row r="636" spans="1:6" hidden="1">
      <c r="A636">
        <f>'Production Plan'!B565</f>
        <v>0</v>
      </c>
      <c r="B636" t="e">
        <f>VLOOKUP(A636,'Production Plan'!B:V,16,FALSE)</f>
        <v>#N/A</v>
      </c>
      <c r="C636" t="e">
        <f>VLOOKUP(A636,'Production Plan'!B:G,5,FALSE)</f>
        <v>#N/A</v>
      </c>
      <c r="F636"/>
    </row>
    <row r="637" spans="1:6" hidden="1">
      <c r="A637">
        <f>'Production Plan'!B566</f>
        <v>0</v>
      </c>
      <c r="B637" t="e">
        <f>VLOOKUP(A637,'Production Plan'!B:V,16,FALSE)</f>
        <v>#N/A</v>
      </c>
      <c r="C637" t="e">
        <f>VLOOKUP(A637,'Production Plan'!B:G,5,FALSE)</f>
        <v>#N/A</v>
      </c>
      <c r="F637"/>
    </row>
    <row r="638" spans="1:6" hidden="1">
      <c r="A638">
        <f>'Production Plan'!B567</f>
        <v>0</v>
      </c>
      <c r="B638" t="e">
        <f>VLOOKUP(A638,'Production Plan'!B:V,16,FALSE)</f>
        <v>#N/A</v>
      </c>
      <c r="C638" t="e">
        <f>VLOOKUP(A638,'Production Plan'!B:G,5,FALSE)</f>
        <v>#N/A</v>
      </c>
      <c r="F638"/>
    </row>
    <row r="639" spans="1:6" hidden="1">
      <c r="A639">
        <f>'Production Plan'!B568</f>
        <v>0</v>
      </c>
      <c r="B639" t="e">
        <f>VLOOKUP(A639,'Production Plan'!B:V,16,FALSE)</f>
        <v>#N/A</v>
      </c>
      <c r="C639" t="e">
        <f>VLOOKUP(A639,'Production Plan'!B:G,5,FALSE)</f>
        <v>#N/A</v>
      </c>
      <c r="F639"/>
    </row>
    <row r="640" spans="1:6" hidden="1">
      <c r="A640">
        <f>'Production Plan'!B569</f>
        <v>0</v>
      </c>
      <c r="B640" t="e">
        <f>VLOOKUP(A640,'Production Plan'!B:V,16,FALSE)</f>
        <v>#N/A</v>
      </c>
      <c r="C640" t="e">
        <f>VLOOKUP(A640,'Production Plan'!B:G,5,FALSE)</f>
        <v>#N/A</v>
      </c>
      <c r="F640"/>
    </row>
    <row r="641" spans="1:6" hidden="1">
      <c r="A641">
        <f>'Production Plan'!B570</f>
        <v>0</v>
      </c>
      <c r="B641" t="e">
        <f>VLOOKUP(A641,'Production Plan'!B:V,16,FALSE)</f>
        <v>#N/A</v>
      </c>
      <c r="C641" t="e">
        <f>VLOOKUP(A641,'Production Plan'!B:G,5,FALSE)</f>
        <v>#N/A</v>
      </c>
      <c r="F641"/>
    </row>
    <row r="642" spans="1:6" hidden="1">
      <c r="A642">
        <f>'Production Plan'!B571</f>
        <v>0</v>
      </c>
      <c r="B642" t="e">
        <f>VLOOKUP(A642,'Production Plan'!B:V,16,FALSE)</f>
        <v>#N/A</v>
      </c>
      <c r="C642" t="e">
        <f>VLOOKUP(A642,'Production Plan'!B:G,5,FALSE)</f>
        <v>#N/A</v>
      </c>
      <c r="F642"/>
    </row>
    <row r="643" spans="1:6" hidden="1">
      <c r="A643">
        <f>'Production Plan'!B572</f>
        <v>0</v>
      </c>
      <c r="B643" t="e">
        <f>VLOOKUP(A643,'Production Plan'!B:V,16,FALSE)</f>
        <v>#N/A</v>
      </c>
      <c r="C643" t="e">
        <f>VLOOKUP(A643,'Production Plan'!B:G,5,FALSE)</f>
        <v>#N/A</v>
      </c>
      <c r="F643"/>
    </row>
    <row r="644" spans="1:6" hidden="1">
      <c r="A644">
        <f>'Production Plan'!B573</f>
        <v>0</v>
      </c>
      <c r="B644" t="e">
        <f>VLOOKUP(A644,'Production Plan'!B:V,16,FALSE)</f>
        <v>#N/A</v>
      </c>
      <c r="C644" t="e">
        <f>VLOOKUP(A644,'Production Plan'!B:G,5,FALSE)</f>
        <v>#N/A</v>
      </c>
      <c r="F644"/>
    </row>
    <row r="645" spans="1:6" hidden="1">
      <c r="A645">
        <f>'Production Plan'!B574</f>
        <v>0</v>
      </c>
      <c r="B645" t="e">
        <f>VLOOKUP(A645,'Production Plan'!B:V,16,FALSE)</f>
        <v>#N/A</v>
      </c>
      <c r="C645" t="e">
        <f>VLOOKUP(A645,'Production Plan'!B:G,5,FALSE)</f>
        <v>#N/A</v>
      </c>
      <c r="F645"/>
    </row>
    <row r="646" spans="1:6" hidden="1">
      <c r="A646">
        <f>'Production Plan'!B575</f>
        <v>0</v>
      </c>
      <c r="B646" t="e">
        <f>VLOOKUP(A646,'Production Plan'!B:V,16,FALSE)</f>
        <v>#N/A</v>
      </c>
      <c r="C646" t="e">
        <f>VLOOKUP(A646,'Production Plan'!B:G,5,FALSE)</f>
        <v>#N/A</v>
      </c>
      <c r="F646"/>
    </row>
    <row r="647" spans="1:6" hidden="1">
      <c r="A647">
        <f>'Production Plan'!B576</f>
        <v>0</v>
      </c>
      <c r="B647" t="e">
        <f>VLOOKUP(A647,'Production Plan'!B:V,16,FALSE)</f>
        <v>#N/A</v>
      </c>
      <c r="C647" t="e">
        <f>VLOOKUP(A647,'Production Plan'!B:G,5,FALSE)</f>
        <v>#N/A</v>
      </c>
      <c r="F647"/>
    </row>
    <row r="648" spans="1:6" hidden="1">
      <c r="A648">
        <f>'Production Plan'!B577</f>
        <v>0</v>
      </c>
      <c r="B648" t="e">
        <f>VLOOKUP(A648,'Production Plan'!B:V,16,FALSE)</f>
        <v>#N/A</v>
      </c>
      <c r="C648" t="e">
        <f>VLOOKUP(A648,'Production Plan'!B:G,5,FALSE)</f>
        <v>#N/A</v>
      </c>
      <c r="F648"/>
    </row>
    <row r="649" spans="1:6" hidden="1">
      <c r="A649">
        <f>'Production Plan'!B578</f>
        <v>0</v>
      </c>
      <c r="B649" t="e">
        <f>VLOOKUP(A649,'Production Plan'!B:V,16,FALSE)</f>
        <v>#N/A</v>
      </c>
      <c r="C649" t="e">
        <f>VLOOKUP(A649,'Production Plan'!B:G,5,FALSE)</f>
        <v>#N/A</v>
      </c>
      <c r="F649"/>
    </row>
    <row r="650" spans="1:6" hidden="1">
      <c r="A650">
        <f>'Production Plan'!B579</f>
        <v>0</v>
      </c>
      <c r="B650" t="e">
        <f>VLOOKUP(A650,'Production Plan'!B:V,16,FALSE)</f>
        <v>#N/A</v>
      </c>
      <c r="C650" t="e">
        <f>VLOOKUP(A650,'Production Plan'!B:G,5,FALSE)</f>
        <v>#N/A</v>
      </c>
      <c r="F650"/>
    </row>
    <row r="651" spans="1:6" hidden="1">
      <c r="A651">
        <f>'Production Plan'!B580</f>
        <v>0</v>
      </c>
      <c r="B651" t="e">
        <f>VLOOKUP(A651,'Production Plan'!B:V,16,FALSE)</f>
        <v>#N/A</v>
      </c>
      <c r="C651" t="e">
        <f>VLOOKUP(A651,'Production Plan'!B:G,5,FALSE)</f>
        <v>#N/A</v>
      </c>
      <c r="F651"/>
    </row>
    <row r="652" spans="1:6" hidden="1">
      <c r="A652">
        <f>'Production Plan'!B581</f>
        <v>0</v>
      </c>
      <c r="B652" t="e">
        <f>VLOOKUP(A652,'Production Plan'!B:V,16,FALSE)</f>
        <v>#N/A</v>
      </c>
      <c r="C652" t="e">
        <f>VLOOKUP(A652,'Production Plan'!B:G,5,FALSE)</f>
        <v>#N/A</v>
      </c>
      <c r="F652"/>
    </row>
    <row r="653" spans="1:6" hidden="1">
      <c r="A653">
        <f>'Production Plan'!B582</f>
        <v>0</v>
      </c>
      <c r="B653" t="e">
        <f>VLOOKUP(A653,'Production Plan'!B:V,16,FALSE)</f>
        <v>#N/A</v>
      </c>
      <c r="C653" t="e">
        <f>VLOOKUP(A653,'Production Plan'!B:G,5,FALSE)</f>
        <v>#N/A</v>
      </c>
      <c r="F653"/>
    </row>
    <row r="654" spans="1:6" hidden="1">
      <c r="A654">
        <f>'Production Plan'!B583</f>
        <v>0</v>
      </c>
      <c r="B654" t="e">
        <f>VLOOKUP(A654,'Production Plan'!B:V,16,FALSE)</f>
        <v>#N/A</v>
      </c>
      <c r="C654" t="e">
        <f>VLOOKUP(A654,'Production Plan'!B:G,5,FALSE)</f>
        <v>#N/A</v>
      </c>
      <c r="F654"/>
    </row>
    <row r="655" spans="1:6" hidden="1">
      <c r="A655">
        <f>'Production Plan'!B584</f>
        <v>0</v>
      </c>
      <c r="B655" t="e">
        <f>VLOOKUP(A655,'Production Plan'!B:V,16,FALSE)</f>
        <v>#N/A</v>
      </c>
      <c r="C655" t="e">
        <f>VLOOKUP(A655,'Production Plan'!B:G,5,FALSE)</f>
        <v>#N/A</v>
      </c>
      <c r="F655"/>
    </row>
    <row r="656" spans="1:6" hidden="1">
      <c r="A656">
        <f>'Production Plan'!B585</f>
        <v>0</v>
      </c>
      <c r="B656" t="e">
        <f>VLOOKUP(A656,'Production Plan'!B:V,16,FALSE)</f>
        <v>#N/A</v>
      </c>
      <c r="C656" t="e">
        <f>VLOOKUP(A656,'Production Plan'!B:G,5,FALSE)</f>
        <v>#N/A</v>
      </c>
      <c r="F656"/>
    </row>
    <row r="657" spans="1:6" hidden="1">
      <c r="A657">
        <f>'Production Plan'!B586</f>
        <v>0</v>
      </c>
      <c r="B657" t="e">
        <f>VLOOKUP(A657,'Production Plan'!B:V,16,FALSE)</f>
        <v>#N/A</v>
      </c>
      <c r="C657" t="e">
        <f>VLOOKUP(A657,'Production Plan'!B:G,5,FALSE)</f>
        <v>#N/A</v>
      </c>
      <c r="F657"/>
    </row>
    <row r="658" spans="1:6" hidden="1">
      <c r="A658">
        <f>'Production Plan'!B587</f>
        <v>0</v>
      </c>
      <c r="B658" t="e">
        <f>VLOOKUP(A658,'Production Plan'!B:V,16,FALSE)</f>
        <v>#N/A</v>
      </c>
      <c r="C658" t="e">
        <f>VLOOKUP(A658,'Production Plan'!B:G,5,FALSE)</f>
        <v>#N/A</v>
      </c>
      <c r="F658"/>
    </row>
    <row r="659" spans="1:6" hidden="1">
      <c r="A659">
        <f>'Production Plan'!B588</f>
        <v>0</v>
      </c>
      <c r="B659" t="e">
        <f>VLOOKUP(A659,'Production Plan'!B:V,16,FALSE)</f>
        <v>#N/A</v>
      </c>
      <c r="C659" t="e">
        <f>VLOOKUP(A659,'Production Plan'!B:G,5,FALSE)</f>
        <v>#N/A</v>
      </c>
      <c r="F659"/>
    </row>
    <row r="660" spans="1:6" hidden="1">
      <c r="A660">
        <f>'Production Plan'!B589</f>
        <v>0</v>
      </c>
      <c r="B660" t="e">
        <f>VLOOKUP(A660,'Production Plan'!B:V,16,FALSE)</f>
        <v>#N/A</v>
      </c>
      <c r="C660" t="e">
        <f>VLOOKUP(A660,'Production Plan'!B:G,5,FALSE)</f>
        <v>#N/A</v>
      </c>
      <c r="F660"/>
    </row>
    <row r="661" spans="1:6" hidden="1">
      <c r="A661">
        <f>'Production Plan'!B590</f>
        <v>0</v>
      </c>
      <c r="B661" t="e">
        <f>VLOOKUP(A661,'Production Plan'!B:V,16,FALSE)</f>
        <v>#N/A</v>
      </c>
      <c r="C661" t="e">
        <f>VLOOKUP(A661,'Production Plan'!B:G,5,FALSE)</f>
        <v>#N/A</v>
      </c>
      <c r="F661"/>
    </row>
    <row r="662" spans="1:6" hidden="1">
      <c r="A662">
        <f>'Production Plan'!B591</f>
        <v>0</v>
      </c>
      <c r="B662" t="e">
        <f>VLOOKUP(A662,'Production Plan'!B:V,16,FALSE)</f>
        <v>#N/A</v>
      </c>
      <c r="C662" t="e">
        <f>VLOOKUP(A662,'Production Plan'!B:G,5,FALSE)</f>
        <v>#N/A</v>
      </c>
      <c r="F662"/>
    </row>
    <row r="663" spans="1:6" hidden="1">
      <c r="A663">
        <f>'Production Plan'!B592</f>
        <v>0</v>
      </c>
      <c r="B663" t="e">
        <f>VLOOKUP(A663,'Production Plan'!B:V,16,FALSE)</f>
        <v>#N/A</v>
      </c>
      <c r="C663" t="e">
        <f>VLOOKUP(A663,'Production Plan'!B:G,5,FALSE)</f>
        <v>#N/A</v>
      </c>
      <c r="F663"/>
    </row>
    <row r="664" spans="1:6" hidden="1">
      <c r="A664">
        <f>'Production Plan'!B593</f>
        <v>0</v>
      </c>
      <c r="B664" t="e">
        <f>VLOOKUP(A664,'Production Plan'!B:V,16,FALSE)</f>
        <v>#N/A</v>
      </c>
      <c r="C664" t="e">
        <f>VLOOKUP(A664,'Production Plan'!B:G,5,FALSE)</f>
        <v>#N/A</v>
      </c>
      <c r="F664"/>
    </row>
    <row r="665" spans="1:6" hidden="1">
      <c r="A665">
        <f>'Production Plan'!B594</f>
        <v>0</v>
      </c>
      <c r="B665" t="e">
        <f>VLOOKUP(A665,'Production Plan'!B:V,16,FALSE)</f>
        <v>#N/A</v>
      </c>
      <c r="C665" t="e">
        <f>VLOOKUP(A665,'Production Plan'!B:G,5,FALSE)</f>
        <v>#N/A</v>
      </c>
      <c r="F665"/>
    </row>
    <row r="666" spans="1:6" hidden="1">
      <c r="A666">
        <f>'Production Plan'!B595</f>
        <v>0</v>
      </c>
      <c r="B666" t="e">
        <f>VLOOKUP(A666,'Production Plan'!B:V,16,FALSE)</f>
        <v>#N/A</v>
      </c>
      <c r="C666" t="e">
        <f>VLOOKUP(A666,'Production Plan'!B:G,5,FALSE)</f>
        <v>#N/A</v>
      </c>
      <c r="F666"/>
    </row>
    <row r="667" spans="1:6" hidden="1">
      <c r="A667">
        <f>'Production Plan'!B596</f>
        <v>0</v>
      </c>
      <c r="B667" t="e">
        <f>VLOOKUP(A667,'Production Plan'!B:V,16,FALSE)</f>
        <v>#N/A</v>
      </c>
      <c r="C667" t="e">
        <f>VLOOKUP(A667,'Production Plan'!B:G,5,FALSE)</f>
        <v>#N/A</v>
      </c>
      <c r="F667"/>
    </row>
    <row r="668" spans="1:6" hidden="1">
      <c r="A668">
        <f>'Production Plan'!B597</f>
        <v>0</v>
      </c>
      <c r="B668" t="e">
        <f>VLOOKUP(A668,'Production Plan'!B:V,16,FALSE)</f>
        <v>#N/A</v>
      </c>
      <c r="C668" t="e">
        <f>VLOOKUP(A668,'Production Plan'!B:G,5,FALSE)</f>
        <v>#N/A</v>
      </c>
      <c r="F668"/>
    </row>
    <row r="669" spans="1:6" hidden="1">
      <c r="A669">
        <f>'Production Plan'!B598</f>
        <v>0</v>
      </c>
      <c r="B669" t="e">
        <f>VLOOKUP(A669,'Production Plan'!B:V,16,FALSE)</f>
        <v>#N/A</v>
      </c>
      <c r="C669" t="e">
        <f>VLOOKUP(A669,'Production Plan'!B:G,5,FALSE)</f>
        <v>#N/A</v>
      </c>
      <c r="F669"/>
    </row>
    <row r="670" spans="1:6" hidden="1">
      <c r="A670">
        <f>'Production Plan'!B599</f>
        <v>0</v>
      </c>
      <c r="B670" t="e">
        <f>VLOOKUP(A670,'Production Plan'!B:V,16,FALSE)</f>
        <v>#N/A</v>
      </c>
      <c r="C670" t="e">
        <f>VLOOKUP(A670,'Production Plan'!B:G,5,FALSE)</f>
        <v>#N/A</v>
      </c>
      <c r="F670"/>
    </row>
    <row r="671" spans="1:6" hidden="1">
      <c r="A671">
        <f>'Production Plan'!B600</f>
        <v>0</v>
      </c>
      <c r="B671" t="e">
        <f>VLOOKUP(A671,'Production Plan'!B:V,16,FALSE)</f>
        <v>#N/A</v>
      </c>
      <c r="C671" t="e">
        <f>VLOOKUP(A671,'Production Plan'!B:G,5,FALSE)</f>
        <v>#N/A</v>
      </c>
      <c r="F671"/>
    </row>
    <row r="672" spans="1:6" hidden="1">
      <c r="A672">
        <f>'Production Plan'!B601</f>
        <v>0</v>
      </c>
      <c r="B672" t="e">
        <f>VLOOKUP(A672,'Production Plan'!B:V,16,FALSE)</f>
        <v>#N/A</v>
      </c>
      <c r="C672" t="e">
        <f>VLOOKUP(A672,'Production Plan'!B:G,5,FALSE)</f>
        <v>#N/A</v>
      </c>
      <c r="F672"/>
    </row>
    <row r="673" spans="1:6" hidden="1">
      <c r="A673">
        <f>'Production Plan'!B602</f>
        <v>0</v>
      </c>
      <c r="B673" t="e">
        <f>VLOOKUP(A673,'Production Plan'!B:V,16,FALSE)</f>
        <v>#N/A</v>
      </c>
      <c r="C673" t="e">
        <f>VLOOKUP(A673,'Production Plan'!B:G,5,FALSE)</f>
        <v>#N/A</v>
      </c>
      <c r="F673"/>
    </row>
    <row r="674" spans="1:6" hidden="1">
      <c r="A674">
        <f>'Production Plan'!B603</f>
        <v>0</v>
      </c>
      <c r="B674" t="e">
        <f>VLOOKUP(A674,'Production Plan'!B:V,16,FALSE)</f>
        <v>#N/A</v>
      </c>
      <c r="C674" t="e">
        <f>VLOOKUP(A674,'Production Plan'!B:G,5,FALSE)</f>
        <v>#N/A</v>
      </c>
      <c r="F674"/>
    </row>
    <row r="675" spans="1:6" hidden="1">
      <c r="A675">
        <f>'Production Plan'!B604</f>
        <v>0</v>
      </c>
      <c r="B675" t="e">
        <f>VLOOKUP(A675,'Production Plan'!B:V,16,FALSE)</f>
        <v>#N/A</v>
      </c>
      <c r="C675" t="e">
        <f>VLOOKUP(A675,'Production Plan'!B:G,5,FALSE)</f>
        <v>#N/A</v>
      </c>
      <c r="F675"/>
    </row>
    <row r="676" spans="1:6" hidden="1">
      <c r="A676">
        <f>'Production Plan'!B605</f>
        <v>0</v>
      </c>
      <c r="B676" t="e">
        <f>VLOOKUP(A676,'Production Plan'!B:V,16,FALSE)</f>
        <v>#N/A</v>
      </c>
      <c r="C676" t="e">
        <f>VLOOKUP(A676,'Production Plan'!B:G,5,FALSE)</f>
        <v>#N/A</v>
      </c>
      <c r="F676"/>
    </row>
    <row r="677" spans="1:6" hidden="1">
      <c r="A677">
        <f>'Production Plan'!B606</f>
        <v>0</v>
      </c>
      <c r="B677" t="e">
        <f>VLOOKUP(A677,'Production Plan'!B:V,16,FALSE)</f>
        <v>#N/A</v>
      </c>
      <c r="C677" t="e">
        <f>VLOOKUP(A677,'Production Plan'!B:G,5,FALSE)</f>
        <v>#N/A</v>
      </c>
      <c r="F677"/>
    </row>
    <row r="678" spans="1:6" hidden="1">
      <c r="A678">
        <f>'Production Plan'!B607</f>
        <v>0</v>
      </c>
      <c r="B678" t="e">
        <f>VLOOKUP(A678,'Production Plan'!B:V,16,FALSE)</f>
        <v>#N/A</v>
      </c>
      <c r="C678" t="e">
        <f>VLOOKUP(A678,'Production Plan'!B:G,5,FALSE)</f>
        <v>#N/A</v>
      </c>
      <c r="F678"/>
    </row>
    <row r="679" spans="1:6" hidden="1">
      <c r="A679">
        <f>'Production Plan'!B608</f>
        <v>0</v>
      </c>
      <c r="B679" t="e">
        <f>VLOOKUP(A679,'Production Plan'!B:V,16,FALSE)</f>
        <v>#N/A</v>
      </c>
      <c r="C679" t="e">
        <f>VLOOKUP(A679,'Production Plan'!B:G,5,FALSE)</f>
        <v>#N/A</v>
      </c>
      <c r="F679"/>
    </row>
    <row r="680" spans="1:6" hidden="1">
      <c r="A680">
        <f>'Production Plan'!B609</f>
        <v>0</v>
      </c>
      <c r="B680" t="e">
        <f>VLOOKUP(A680,'Production Plan'!B:V,16,FALSE)</f>
        <v>#N/A</v>
      </c>
      <c r="C680" t="e">
        <f>VLOOKUP(A680,'Production Plan'!B:G,5,FALSE)</f>
        <v>#N/A</v>
      </c>
      <c r="F680"/>
    </row>
    <row r="681" spans="1:6" hidden="1">
      <c r="A681">
        <f>'Production Plan'!B610</f>
        <v>0</v>
      </c>
      <c r="B681" t="e">
        <f>VLOOKUP(A681,'Production Plan'!B:V,16,FALSE)</f>
        <v>#N/A</v>
      </c>
      <c r="C681" t="e">
        <f>VLOOKUP(A681,'Production Plan'!B:G,5,FALSE)</f>
        <v>#N/A</v>
      </c>
      <c r="F681"/>
    </row>
    <row r="682" spans="1:6" hidden="1">
      <c r="A682">
        <f>'Production Plan'!B611</f>
        <v>0</v>
      </c>
      <c r="B682" t="e">
        <f>VLOOKUP(A682,'Production Plan'!B:V,16,FALSE)</f>
        <v>#N/A</v>
      </c>
      <c r="C682" t="e">
        <f>VLOOKUP(A682,'Production Plan'!B:G,5,FALSE)</f>
        <v>#N/A</v>
      </c>
      <c r="F682"/>
    </row>
    <row r="683" spans="1:6" hidden="1">
      <c r="A683">
        <f>'Production Plan'!B612</f>
        <v>0</v>
      </c>
      <c r="B683" t="e">
        <f>VLOOKUP(A683,'Production Plan'!B:V,16,FALSE)</f>
        <v>#N/A</v>
      </c>
      <c r="C683" t="e">
        <f>VLOOKUP(A683,'Production Plan'!B:G,5,FALSE)</f>
        <v>#N/A</v>
      </c>
      <c r="F683"/>
    </row>
    <row r="684" spans="1:6" hidden="1">
      <c r="A684">
        <f>'Production Plan'!B613</f>
        <v>0</v>
      </c>
      <c r="B684" t="e">
        <f>VLOOKUP(A684,'Production Plan'!B:V,16,FALSE)</f>
        <v>#N/A</v>
      </c>
      <c r="C684" t="e">
        <f>VLOOKUP(A684,'Production Plan'!B:G,5,FALSE)</f>
        <v>#N/A</v>
      </c>
      <c r="F684"/>
    </row>
    <row r="685" spans="1:6" hidden="1">
      <c r="A685">
        <f>'Production Plan'!B614</f>
        <v>0</v>
      </c>
      <c r="B685" t="e">
        <f>VLOOKUP(A685,'Production Plan'!B:V,16,FALSE)</f>
        <v>#N/A</v>
      </c>
      <c r="C685" t="e">
        <f>VLOOKUP(A685,'Production Plan'!B:G,5,FALSE)</f>
        <v>#N/A</v>
      </c>
      <c r="F685"/>
    </row>
    <row r="686" spans="1:6" hidden="1">
      <c r="A686">
        <f>'Production Plan'!B615</f>
        <v>0</v>
      </c>
      <c r="B686" t="e">
        <f>VLOOKUP(A686,'Production Plan'!B:V,16,FALSE)</f>
        <v>#N/A</v>
      </c>
      <c r="C686" t="e">
        <f>VLOOKUP(A686,'Production Plan'!B:G,5,FALSE)</f>
        <v>#N/A</v>
      </c>
      <c r="F686"/>
    </row>
    <row r="687" spans="1:6" hidden="1">
      <c r="A687">
        <f>'Production Plan'!B616</f>
        <v>0</v>
      </c>
      <c r="B687" t="e">
        <f>VLOOKUP(A687,'Production Plan'!B:V,16,FALSE)</f>
        <v>#N/A</v>
      </c>
      <c r="C687" t="e">
        <f>VLOOKUP(A687,'Production Plan'!B:G,5,FALSE)</f>
        <v>#N/A</v>
      </c>
      <c r="F687"/>
    </row>
    <row r="688" spans="1:6" hidden="1">
      <c r="A688">
        <f>'Production Plan'!B617</f>
        <v>0</v>
      </c>
      <c r="B688" t="e">
        <f>VLOOKUP(A688,'Production Plan'!B:V,16,FALSE)</f>
        <v>#N/A</v>
      </c>
      <c r="C688" t="e">
        <f>VLOOKUP(A688,'Production Plan'!B:G,5,FALSE)</f>
        <v>#N/A</v>
      </c>
      <c r="F688"/>
    </row>
    <row r="689" spans="1:6" hidden="1">
      <c r="A689">
        <f>'Production Plan'!B618</f>
        <v>0</v>
      </c>
      <c r="B689" t="e">
        <f>VLOOKUP(A689,'Production Plan'!B:V,16,FALSE)</f>
        <v>#N/A</v>
      </c>
      <c r="C689" t="e">
        <f>VLOOKUP(A689,'Production Plan'!B:G,5,FALSE)</f>
        <v>#N/A</v>
      </c>
      <c r="F689"/>
    </row>
    <row r="690" spans="1:6" hidden="1">
      <c r="A690">
        <f>'Production Plan'!B619</f>
        <v>0</v>
      </c>
      <c r="B690" t="e">
        <f>VLOOKUP(A690,'Production Plan'!B:V,16,FALSE)</f>
        <v>#N/A</v>
      </c>
      <c r="C690" t="e">
        <f>VLOOKUP(A690,'Production Plan'!B:G,5,FALSE)</f>
        <v>#N/A</v>
      </c>
      <c r="F690"/>
    </row>
    <row r="691" spans="1:6" hidden="1">
      <c r="A691">
        <f>'Production Plan'!B620</f>
        <v>0</v>
      </c>
      <c r="B691" t="e">
        <f>VLOOKUP(A691,'Production Plan'!B:V,16,FALSE)</f>
        <v>#N/A</v>
      </c>
      <c r="C691" t="e">
        <f>VLOOKUP(A691,'Production Plan'!B:G,5,FALSE)</f>
        <v>#N/A</v>
      </c>
      <c r="F691"/>
    </row>
    <row r="692" spans="1:6" hidden="1">
      <c r="A692">
        <f>'Production Plan'!B621</f>
        <v>0</v>
      </c>
      <c r="B692" t="e">
        <f>VLOOKUP(A692,'Production Plan'!B:V,16,FALSE)</f>
        <v>#N/A</v>
      </c>
      <c r="C692" t="e">
        <f>VLOOKUP(A692,'Production Plan'!B:G,5,FALSE)</f>
        <v>#N/A</v>
      </c>
      <c r="F692"/>
    </row>
    <row r="693" spans="1:6" hidden="1">
      <c r="A693">
        <f>'Production Plan'!B622</f>
        <v>0</v>
      </c>
      <c r="B693" t="e">
        <f>VLOOKUP(A693,'Production Plan'!B:V,16,FALSE)</f>
        <v>#N/A</v>
      </c>
      <c r="C693" t="e">
        <f>VLOOKUP(A693,'Production Plan'!B:G,5,FALSE)</f>
        <v>#N/A</v>
      </c>
      <c r="F693"/>
    </row>
    <row r="694" spans="1:6" hidden="1">
      <c r="A694">
        <f>'Production Plan'!B623</f>
        <v>0</v>
      </c>
      <c r="B694" t="e">
        <f>VLOOKUP(A694,'Production Plan'!B:V,16,FALSE)</f>
        <v>#N/A</v>
      </c>
      <c r="C694" t="e">
        <f>VLOOKUP(A694,'Production Plan'!B:G,5,FALSE)</f>
        <v>#N/A</v>
      </c>
      <c r="F694"/>
    </row>
    <row r="695" spans="1:6" hidden="1">
      <c r="A695">
        <f>'Production Plan'!B624</f>
        <v>0</v>
      </c>
      <c r="B695" t="e">
        <f>VLOOKUP(A695,'Production Plan'!B:V,16,FALSE)</f>
        <v>#N/A</v>
      </c>
      <c r="C695" t="e">
        <f>VLOOKUP(A695,'Production Plan'!B:G,5,FALSE)</f>
        <v>#N/A</v>
      </c>
      <c r="F695"/>
    </row>
    <row r="696" spans="1:6" hidden="1">
      <c r="A696">
        <f>'Production Plan'!B625</f>
        <v>0</v>
      </c>
      <c r="B696" t="e">
        <f>VLOOKUP(A696,'Production Plan'!B:V,16,FALSE)</f>
        <v>#N/A</v>
      </c>
      <c r="C696" t="e">
        <f>VLOOKUP(A696,'Production Plan'!B:G,5,FALSE)</f>
        <v>#N/A</v>
      </c>
      <c r="F696"/>
    </row>
    <row r="697" spans="1:6" hidden="1">
      <c r="A697">
        <f>'Production Plan'!B626</f>
        <v>0</v>
      </c>
      <c r="B697" t="e">
        <f>VLOOKUP(A697,'Production Plan'!B:V,16,FALSE)</f>
        <v>#N/A</v>
      </c>
      <c r="C697" t="e">
        <f>VLOOKUP(A697,'Production Plan'!B:G,5,FALSE)</f>
        <v>#N/A</v>
      </c>
      <c r="F697"/>
    </row>
    <row r="698" spans="1:6" hidden="1">
      <c r="A698">
        <f>'Production Plan'!B627</f>
        <v>0</v>
      </c>
      <c r="B698" t="e">
        <f>VLOOKUP(A698,'Production Plan'!B:V,16,FALSE)</f>
        <v>#N/A</v>
      </c>
      <c r="C698" t="e">
        <f>VLOOKUP(A698,'Production Plan'!B:G,5,FALSE)</f>
        <v>#N/A</v>
      </c>
      <c r="F698"/>
    </row>
    <row r="699" spans="1:6" hidden="1">
      <c r="A699">
        <f>'Production Plan'!B628</f>
        <v>0</v>
      </c>
      <c r="B699" t="e">
        <f>VLOOKUP(A699,'Production Plan'!B:V,16,FALSE)</f>
        <v>#N/A</v>
      </c>
      <c r="C699" t="e">
        <f>VLOOKUP(A699,'Production Plan'!B:G,5,FALSE)</f>
        <v>#N/A</v>
      </c>
      <c r="F699"/>
    </row>
    <row r="700" spans="1:6" hidden="1">
      <c r="A700">
        <f>'Production Plan'!B629</f>
        <v>0</v>
      </c>
      <c r="B700" t="e">
        <f>VLOOKUP(A700,'Production Plan'!B:V,16,FALSE)</f>
        <v>#N/A</v>
      </c>
      <c r="C700" t="e">
        <f>VLOOKUP(A700,'Production Plan'!B:G,5,FALSE)</f>
        <v>#N/A</v>
      </c>
      <c r="F700"/>
    </row>
    <row r="701" spans="1:6" hidden="1">
      <c r="A701">
        <f>'Production Plan'!B630</f>
        <v>0</v>
      </c>
      <c r="B701" t="e">
        <f>VLOOKUP(A701,'Production Plan'!B:V,16,FALSE)</f>
        <v>#N/A</v>
      </c>
      <c r="C701" t="e">
        <f>VLOOKUP(A701,'Production Plan'!B:G,5,FALSE)</f>
        <v>#N/A</v>
      </c>
      <c r="F701"/>
    </row>
    <row r="702" spans="1:6" hidden="1">
      <c r="A702">
        <f>'Production Plan'!B631</f>
        <v>0</v>
      </c>
      <c r="B702" t="e">
        <f>VLOOKUP(A702,'Production Plan'!B:V,16,FALSE)</f>
        <v>#N/A</v>
      </c>
      <c r="C702" t="e">
        <f>VLOOKUP(A702,'Production Plan'!B:G,5,FALSE)</f>
        <v>#N/A</v>
      </c>
      <c r="F702"/>
    </row>
    <row r="703" spans="1:6" hidden="1">
      <c r="A703">
        <f>'Production Plan'!B632</f>
        <v>0</v>
      </c>
      <c r="B703" t="e">
        <f>VLOOKUP(A703,'Production Plan'!B:V,16,FALSE)</f>
        <v>#N/A</v>
      </c>
      <c r="C703" t="e">
        <f>VLOOKUP(A703,'Production Plan'!B:G,5,FALSE)</f>
        <v>#N/A</v>
      </c>
      <c r="F703"/>
    </row>
    <row r="704" spans="1:6" hidden="1">
      <c r="A704">
        <f>'Production Plan'!B633</f>
        <v>0</v>
      </c>
      <c r="B704" t="e">
        <f>VLOOKUP(A704,'Production Plan'!B:V,16,FALSE)</f>
        <v>#N/A</v>
      </c>
      <c r="C704" t="e">
        <f>VLOOKUP(A704,'Production Plan'!B:G,5,FALSE)</f>
        <v>#N/A</v>
      </c>
      <c r="F704"/>
    </row>
    <row r="705" spans="1:6" hidden="1">
      <c r="A705">
        <f>'Production Plan'!B634</f>
        <v>0</v>
      </c>
      <c r="B705" t="e">
        <f>VLOOKUP(A705,'Production Plan'!B:V,16,FALSE)</f>
        <v>#N/A</v>
      </c>
      <c r="C705" t="e">
        <f>VLOOKUP(A705,'Production Plan'!B:G,5,FALSE)</f>
        <v>#N/A</v>
      </c>
      <c r="F705"/>
    </row>
    <row r="706" spans="1:6" hidden="1">
      <c r="A706">
        <f>'Production Plan'!B635</f>
        <v>0</v>
      </c>
      <c r="B706" t="e">
        <f>VLOOKUP(A706,'Production Plan'!B:V,16,FALSE)</f>
        <v>#N/A</v>
      </c>
      <c r="C706" t="e">
        <f>VLOOKUP(A706,'Production Plan'!B:G,5,FALSE)</f>
        <v>#N/A</v>
      </c>
      <c r="F706"/>
    </row>
    <row r="707" spans="1:6" hidden="1">
      <c r="A707">
        <f>'Production Plan'!B636</f>
        <v>0</v>
      </c>
      <c r="B707" t="e">
        <f>VLOOKUP(A707,'Production Plan'!B:V,16,FALSE)</f>
        <v>#N/A</v>
      </c>
      <c r="C707" t="e">
        <f>VLOOKUP(A707,'Production Plan'!B:G,5,FALSE)</f>
        <v>#N/A</v>
      </c>
      <c r="F707"/>
    </row>
    <row r="708" spans="1:6" hidden="1">
      <c r="A708">
        <f>'Production Plan'!B637</f>
        <v>0</v>
      </c>
      <c r="B708" t="e">
        <f>VLOOKUP(A708,'Production Plan'!B:V,16,FALSE)</f>
        <v>#N/A</v>
      </c>
      <c r="C708" t="e">
        <f>VLOOKUP(A708,'Production Plan'!B:G,5,FALSE)</f>
        <v>#N/A</v>
      </c>
      <c r="F708"/>
    </row>
    <row r="709" spans="1:6" hidden="1">
      <c r="A709">
        <f>'Production Plan'!B638</f>
        <v>0</v>
      </c>
      <c r="B709" t="e">
        <f>VLOOKUP(A709,'Production Plan'!B:V,16,FALSE)</f>
        <v>#N/A</v>
      </c>
      <c r="C709" t="e">
        <f>VLOOKUP(A709,'Production Plan'!B:G,5,FALSE)</f>
        <v>#N/A</v>
      </c>
      <c r="F709"/>
    </row>
    <row r="710" spans="1:6" hidden="1">
      <c r="A710">
        <f>'Production Plan'!B639</f>
        <v>0</v>
      </c>
      <c r="B710" t="e">
        <f>VLOOKUP(A710,'Production Plan'!B:V,16,FALSE)</f>
        <v>#N/A</v>
      </c>
      <c r="C710" t="e">
        <f>VLOOKUP(A710,'Production Plan'!B:G,5,FALSE)</f>
        <v>#N/A</v>
      </c>
      <c r="F710"/>
    </row>
    <row r="711" spans="1:6" hidden="1">
      <c r="A711">
        <f>'Production Plan'!B640</f>
        <v>0</v>
      </c>
      <c r="B711" t="e">
        <f>VLOOKUP(A711,'Production Plan'!B:V,16,FALSE)</f>
        <v>#N/A</v>
      </c>
      <c r="C711" t="e">
        <f>VLOOKUP(A711,'Production Plan'!B:G,5,FALSE)</f>
        <v>#N/A</v>
      </c>
      <c r="F711"/>
    </row>
    <row r="712" spans="1:6" hidden="1">
      <c r="A712">
        <f>'Production Plan'!B641</f>
        <v>0</v>
      </c>
      <c r="B712" t="e">
        <f>VLOOKUP(A712,'Production Plan'!B:V,16,FALSE)</f>
        <v>#N/A</v>
      </c>
      <c r="C712" t="e">
        <f>VLOOKUP(A712,'Production Plan'!B:G,5,FALSE)</f>
        <v>#N/A</v>
      </c>
      <c r="F712"/>
    </row>
    <row r="713" spans="1:6" hidden="1">
      <c r="A713">
        <f>'Production Plan'!B642</f>
        <v>0</v>
      </c>
      <c r="B713" t="e">
        <f>VLOOKUP(A713,'Production Plan'!B:V,16,FALSE)</f>
        <v>#N/A</v>
      </c>
      <c r="C713" t="e">
        <f>VLOOKUP(A713,'Production Plan'!B:G,5,FALSE)</f>
        <v>#N/A</v>
      </c>
      <c r="F713"/>
    </row>
    <row r="714" spans="1:6" hidden="1">
      <c r="A714">
        <f>'Production Plan'!B643</f>
        <v>0</v>
      </c>
      <c r="B714" t="e">
        <f>VLOOKUP(A714,'Production Plan'!B:V,16,FALSE)</f>
        <v>#N/A</v>
      </c>
      <c r="C714" t="e">
        <f>VLOOKUP(A714,'Production Plan'!B:G,5,FALSE)</f>
        <v>#N/A</v>
      </c>
      <c r="F714"/>
    </row>
    <row r="715" spans="1:6" hidden="1">
      <c r="A715">
        <f>'Production Plan'!B644</f>
        <v>0</v>
      </c>
      <c r="B715" t="e">
        <f>VLOOKUP(A715,'Production Plan'!B:V,16,FALSE)</f>
        <v>#N/A</v>
      </c>
      <c r="C715" t="e">
        <f>VLOOKUP(A715,'Production Plan'!B:G,5,FALSE)</f>
        <v>#N/A</v>
      </c>
      <c r="F715"/>
    </row>
    <row r="716" spans="1:6" hidden="1">
      <c r="A716">
        <f>'Production Plan'!B645</f>
        <v>0</v>
      </c>
      <c r="B716" t="e">
        <f>VLOOKUP(A716,'Production Plan'!B:V,16,FALSE)</f>
        <v>#N/A</v>
      </c>
      <c r="C716" t="e">
        <f>VLOOKUP(A716,'Production Plan'!B:G,5,FALSE)</f>
        <v>#N/A</v>
      </c>
      <c r="F716"/>
    </row>
    <row r="717" spans="1:6" hidden="1">
      <c r="A717">
        <f>'Production Plan'!B646</f>
        <v>0</v>
      </c>
      <c r="B717" t="e">
        <f>VLOOKUP(A717,'Production Plan'!B:V,16,FALSE)</f>
        <v>#N/A</v>
      </c>
      <c r="C717" t="e">
        <f>VLOOKUP(A717,'Production Plan'!B:G,5,FALSE)</f>
        <v>#N/A</v>
      </c>
      <c r="F717"/>
    </row>
    <row r="718" spans="1:6" hidden="1">
      <c r="A718">
        <f>'Production Plan'!B647</f>
        <v>0</v>
      </c>
      <c r="B718" t="e">
        <f>VLOOKUP(A718,'Production Plan'!B:V,16,FALSE)</f>
        <v>#N/A</v>
      </c>
      <c r="C718" t="e">
        <f>VLOOKUP(A718,'Production Plan'!B:G,5,FALSE)</f>
        <v>#N/A</v>
      </c>
      <c r="F718"/>
    </row>
    <row r="719" spans="1:6" hidden="1">
      <c r="A719">
        <f>'Production Plan'!B648</f>
        <v>0</v>
      </c>
      <c r="B719" t="e">
        <f>VLOOKUP(A719,'Production Plan'!B:V,16,FALSE)</f>
        <v>#N/A</v>
      </c>
      <c r="C719" t="e">
        <f>VLOOKUP(A719,'Production Plan'!B:G,5,FALSE)</f>
        <v>#N/A</v>
      </c>
      <c r="F719"/>
    </row>
    <row r="720" spans="1:6" hidden="1">
      <c r="A720">
        <f>'Production Plan'!B649</f>
        <v>0</v>
      </c>
      <c r="B720" t="e">
        <f>VLOOKUP(A720,'Production Plan'!B:V,16,FALSE)</f>
        <v>#N/A</v>
      </c>
      <c r="C720" t="e">
        <f>VLOOKUP(A720,'Production Plan'!B:G,5,FALSE)</f>
        <v>#N/A</v>
      </c>
      <c r="F720"/>
    </row>
    <row r="721" spans="1:6" hidden="1">
      <c r="A721">
        <f>'Production Plan'!B650</f>
        <v>0</v>
      </c>
      <c r="B721" t="e">
        <f>VLOOKUP(A721,'Production Plan'!B:V,16,FALSE)</f>
        <v>#N/A</v>
      </c>
      <c r="C721" t="e">
        <f>VLOOKUP(A721,'Production Plan'!B:G,5,FALSE)</f>
        <v>#N/A</v>
      </c>
      <c r="F721"/>
    </row>
    <row r="722" spans="1:6" hidden="1">
      <c r="A722">
        <f>'Production Plan'!B651</f>
        <v>0</v>
      </c>
      <c r="B722" t="e">
        <f>VLOOKUP(A722,'Production Plan'!B:V,16,FALSE)</f>
        <v>#N/A</v>
      </c>
      <c r="C722" t="e">
        <f>VLOOKUP(A722,'Production Plan'!B:G,5,FALSE)</f>
        <v>#N/A</v>
      </c>
      <c r="F722"/>
    </row>
    <row r="723" spans="1:6" hidden="1">
      <c r="A723">
        <f>'Production Plan'!B652</f>
        <v>0</v>
      </c>
      <c r="B723" t="e">
        <f>VLOOKUP(A723,'Production Plan'!B:V,16,FALSE)</f>
        <v>#N/A</v>
      </c>
      <c r="C723" t="e">
        <f>VLOOKUP(A723,'Production Plan'!B:G,5,FALSE)</f>
        <v>#N/A</v>
      </c>
      <c r="F723"/>
    </row>
    <row r="724" spans="1:6" hidden="1">
      <c r="A724">
        <f>'Production Plan'!B653</f>
        <v>0</v>
      </c>
      <c r="B724" t="e">
        <f>VLOOKUP(A724,'Production Plan'!B:V,16,FALSE)</f>
        <v>#N/A</v>
      </c>
      <c r="C724" t="e">
        <f>VLOOKUP(A724,'Production Plan'!B:G,5,FALSE)</f>
        <v>#N/A</v>
      </c>
      <c r="F724"/>
    </row>
    <row r="725" spans="1:6" hidden="1">
      <c r="A725">
        <f>'Production Plan'!B654</f>
        <v>0</v>
      </c>
      <c r="B725" t="e">
        <f>VLOOKUP(A725,'Production Plan'!B:V,16,FALSE)</f>
        <v>#N/A</v>
      </c>
      <c r="C725" t="e">
        <f>VLOOKUP(A725,'Production Plan'!B:G,5,FALSE)</f>
        <v>#N/A</v>
      </c>
      <c r="F725"/>
    </row>
    <row r="726" spans="1:6" hidden="1">
      <c r="A726">
        <f>'Production Plan'!B655</f>
        <v>0</v>
      </c>
      <c r="B726" t="e">
        <f>VLOOKUP(A726,'Production Plan'!B:V,16,FALSE)</f>
        <v>#N/A</v>
      </c>
      <c r="C726" t="e">
        <f>VLOOKUP(A726,'Production Plan'!B:G,5,FALSE)</f>
        <v>#N/A</v>
      </c>
      <c r="F726"/>
    </row>
    <row r="727" spans="1:6" hidden="1">
      <c r="A727">
        <f>'Production Plan'!B656</f>
        <v>0</v>
      </c>
      <c r="B727" t="e">
        <f>VLOOKUP(A727,'Production Plan'!B:V,16,FALSE)</f>
        <v>#N/A</v>
      </c>
      <c r="C727" t="e">
        <f>VLOOKUP(A727,'Production Plan'!B:G,5,FALSE)</f>
        <v>#N/A</v>
      </c>
      <c r="F727"/>
    </row>
    <row r="728" spans="1:6" hidden="1">
      <c r="A728">
        <f>'Production Plan'!B657</f>
        <v>0</v>
      </c>
      <c r="B728" t="e">
        <f>VLOOKUP(A728,'Production Plan'!B:V,16,FALSE)</f>
        <v>#N/A</v>
      </c>
      <c r="C728" t="e">
        <f>VLOOKUP(A728,'Production Plan'!B:G,5,FALSE)</f>
        <v>#N/A</v>
      </c>
      <c r="F728"/>
    </row>
    <row r="729" spans="1:6" hidden="1">
      <c r="A729">
        <f>'Production Plan'!B658</f>
        <v>0</v>
      </c>
      <c r="B729" t="e">
        <f>VLOOKUP(A729,'Production Plan'!B:V,16,FALSE)</f>
        <v>#N/A</v>
      </c>
      <c r="C729" t="e">
        <f>VLOOKUP(A729,'Production Plan'!B:G,5,FALSE)</f>
        <v>#N/A</v>
      </c>
      <c r="F729"/>
    </row>
    <row r="730" spans="1:6" hidden="1">
      <c r="A730">
        <f>'Production Plan'!B659</f>
        <v>0</v>
      </c>
      <c r="B730" t="e">
        <f>VLOOKUP(A730,'Production Plan'!B:V,16,FALSE)</f>
        <v>#N/A</v>
      </c>
      <c r="C730" t="e">
        <f>VLOOKUP(A730,'Production Plan'!B:G,5,FALSE)</f>
        <v>#N/A</v>
      </c>
      <c r="F730"/>
    </row>
    <row r="731" spans="1:6" hidden="1">
      <c r="A731">
        <f>'Production Plan'!B660</f>
        <v>0</v>
      </c>
      <c r="B731" t="e">
        <f>VLOOKUP(A731,'Production Plan'!B:V,16,FALSE)</f>
        <v>#N/A</v>
      </c>
      <c r="C731" t="e">
        <f>VLOOKUP(A731,'Production Plan'!B:G,5,FALSE)</f>
        <v>#N/A</v>
      </c>
      <c r="F731"/>
    </row>
    <row r="732" spans="1:6" hidden="1">
      <c r="A732">
        <f>'Production Plan'!B661</f>
        <v>0</v>
      </c>
      <c r="B732" t="e">
        <f>VLOOKUP(A732,'Production Plan'!B:V,16,FALSE)</f>
        <v>#N/A</v>
      </c>
      <c r="C732" t="e">
        <f>VLOOKUP(A732,'Production Plan'!B:G,5,FALSE)</f>
        <v>#N/A</v>
      </c>
      <c r="F732"/>
    </row>
    <row r="733" spans="1:6" hidden="1">
      <c r="A733">
        <f>'Production Plan'!B662</f>
        <v>0</v>
      </c>
      <c r="B733" t="e">
        <f>VLOOKUP(A733,'Production Plan'!B:V,16,FALSE)</f>
        <v>#N/A</v>
      </c>
      <c r="C733" t="e">
        <f>VLOOKUP(A733,'Production Plan'!B:G,5,FALSE)</f>
        <v>#N/A</v>
      </c>
      <c r="F733"/>
    </row>
    <row r="734" spans="1:6" hidden="1">
      <c r="A734">
        <f>'Production Plan'!B663</f>
        <v>0</v>
      </c>
      <c r="B734" t="e">
        <f>VLOOKUP(A734,'Production Plan'!B:V,16,FALSE)</f>
        <v>#N/A</v>
      </c>
      <c r="C734" t="e">
        <f>VLOOKUP(A734,'Production Plan'!B:G,5,FALSE)</f>
        <v>#N/A</v>
      </c>
      <c r="F734"/>
    </row>
    <row r="735" spans="1:6" hidden="1">
      <c r="A735">
        <f>'Production Plan'!B664</f>
        <v>0</v>
      </c>
      <c r="B735" t="e">
        <f>VLOOKUP(A735,'Production Plan'!B:V,16,FALSE)</f>
        <v>#N/A</v>
      </c>
      <c r="C735" t="e">
        <f>VLOOKUP(A735,'Production Plan'!B:G,5,FALSE)</f>
        <v>#N/A</v>
      </c>
      <c r="F735"/>
    </row>
    <row r="736" spans="1:6" hidden="1">
      <c r="A736">
        <f>'Production Plan'!B665</f>
        <v>0</v>
      </c>
      <c r="B736" t="e">
        <f>VLOOKUP(A736,'Production Plan'!B:V,16,FALSE)</f>
        <v>#N/A</v>
      </c>
      <c r="C736" t="e">
        <f>VLOOKUP(A736,'Production Plan'!B:G,5,FALSE)</f>
        <v>#N/A</v>
      </c>
      <c r="F736"/>
    </row>
    <row r="737" spans="1:6" hidden="1">
      <c r="A737">
        <f>'Production Plan'!B666</f>
        <v>0</v>
      </c>
      <c r="B737" t="e">
        <f>VLOOKUP(A737,'Production Plan'!B:V,16,FALSE)</f>
        <v>#N/A</v>
      </c>
      <c r="C737" t="e">
        <f>VLOOKUP(A737,'Production Plan'!B:G,5,FALSE)</f>
        <v>#N/A</v>
      </c>
      <c r="F737"/>
    </row>
    <row r="738" spans="1:6" hidden="1">
      <c r="A738">
        <f>'Production Plan'!B667</f>
        <v>0</v>
      </c>
      <c r="B738" t="e">
        <f>VLOOKUP(A738,'Production Plan'!B:V,16,FALSE)</f>
        <v>#N/A</v>
      </c>
      <c r="C738" t="e">
        <f>VLOOKUP(A738,'Production Plan'!B:G,5,FALSE)</f>
        <v>#N/A</v>
      </c>
      <c r="F738"/>
    </row>
    <row r="739" spans="1:6" hidden="1">
      <c r="A739">
        <f>'Production Plan'!B668</f>
        <v>0</v>
      </c>
      <c r="B739" t="e">
        <f>VLOOKUP(A739,'Production Plan'!B:V,16,FALSE)</f>
        <v>#N/A</v>
      </c>
      <c r="C739" t="e">
        <f>VLOOKUP(A739,'Production Plan'!B:G,5,FALSE)</f>
        <v>#N/A</v>
      </c>
      <c r="F739"/>
    </row>
    <row r="740" spans="1:6" hidden="1">
      <c r="A740">
        <f>'Production Plan'!B669</f>
        <v>0</v>
      </c>
      <c r="B740" t="e">
        <f>VLOOKUP(A740,'Production Plan'!B:V,16,FALSE)</f>
        <v>#N/A</v>
      </c>
      <c r="C740" t="e">
        <f>VLOOKUP(A740,'Production Plan'!B:G,5,FALSE)</f>
        <v>#N/A</v>
      </c>
      <c r="F740"/>
    </row>
    <row r="741" spans="1:6" hidden="1">
      <c r="A741">
        <f>'Production Plan'!B670</f>
        <v>0</v>
      </c>
      <c r="B741" t="e">
        <f>VLOOKUP(A741,'Production Plan'!B:V,16,FALSE)</f>
        <v>#N/A</v>
      </c>
      <c r="C741" t="e">
        <f>VLOOKUP(A741,'Production Plan'!B:G,5,FALSE)</f>
        <v>#N/A</v>
      </c>
      <c r="F741"/>
    </row>
    <row r="742" spans="1:6" hidden="1">
      <c r="A742">
        <f>'Production Plan'!B671</f>
        <v>0</v>
      </c>
      <c r="B742" t="e">
        <f>VLOOKUP(A742,'Production Plan'!B:V,16,FALSE)</f>
        <v>#N/A</v>
      </c>
      <c r="C742" t="e">
        <f>VLOOKUP(A742,'Production Plan'!B:G,5,FALSE)</f>
        <v>#N/A</v>
      </c>
      <c r="F742"/>
    </row>
    <row r="743" spans="1:6" hidden="1">
      <c r="A743">
        <f>'Production Plan'!B672</f>
        <v>0</v>
      </c>
      <c r="B743" t="e">
        <f>VLOOKUP(A743,'Production Plan'!B:V,16,FALSE)</f>
        <v>#N/A</v>
      </c>
      <c r="C743" t="e">
        <f>VLOOKUP(A743,'Production Plan'!B:G,5,FALSE)</f>
        <v>#N/A</v>
      </c>
      <c r="F743"/>
    </row>
    <row r="744" spans="1:6" hidden="1">
      <c r="A744">
        <f>'Production Plan'!B673</f>
        <v>0</v>
      </c>
      <c r="B744" t="e">
        <f>VLOOKUP(A744,'Production Plan'!B:V,16,FALSE)</f>
        <v>#N/A</v>
      </c>
      <c r="C744" t="e">
        <f>VLOOKUP(A744,'Production Plan'!B:G,5,FALSE)</f>
        <v>#N/A</v>
      </c>
      <c r="F744"/>
    </row>
    <row r="745" spans="1:6" hidden="1">
      <c r="A745">
        <f>'Production Plan'!B674</f>
        <v>0</v>
      </c>
      <c r="B745" t="e">
        <f>VLOOKUP(A745,'Production Plan'!B:V,16,FALSE)</f>
        <v>#N/A</v>
      </c>
      <c r="C745" t="e">
        <f>VLOOKUP(A745,'Production Plan'!B:G,5,FALSE)</f>
        <v>#N/A</v>
      </c>
      <c r="F745"/>
    </row>
    <row r="746" spans="1:6" hidden="1">
      <c r="A746">
        <f>'Production Plan'!B675</f>
        <v>0</v>
      </c>
      <c r="B746" t="e">
        <f>VLOOKUP(A746,'Production Plan'!B:V,16,FALSE)</f>
        <v>#N/A</v>
      </c>
      <c r="C746" t="e">
        <f>VLOOKUP(A746,'Production Plan'!B:G,5,FALSE)</f>
        <v>#N/A</v>
      </c>
      <c r="F746"/>
    </row>
    <row r="747" spans="1:6" hidden="1">
      <c r="A747">
        <f>'Production Plan'!B676</f>
        <v>0</v>
      </c>
      <c r="B747" t="e">
        <f>VLOOKUP(A747,'Production Plan'!B:V,16,FALSE)</f>
        <v>#N/A</v>
      </c>
      <c r="C747" t="e">
        <f>VLOOKUP(A747,'Production Plan'!B:G,5,FALSE)</f>
        <v>#N/A</v>
      </c>
      <c r="F747"/>
    </row>
    <row r="748" spans="1:6" hidden="1">
      <c r="A748">
        <f>'Production Plan'!B677</f>
        <v>0</v>
      </c>
      <c r="B748" t="e">
        <f>VLOOKUP(A748,'Production Plan'!B:V,16,FALSE)</f>
        <v>#N/A</v>
      </c>
      <c r="C748" t="e">
        <f>VLOOKUP(A748,'Production Plan'!B:G,5,FALSE)</f>
        <v>#N/A</v>
      </c>
      <c r="F748"/>
    </row>
    <row r="749" spans="1:6" hidden="1">
      <c r="A749">
        <f>'Production Plan'!B678</f>
        <v>0</v>
      </c>
      <c r="B749" t="e">
        <f>VLOOKUP(A749,'Production Plan'!B:V,16,FALSE)</f>
        <v>#N/A</v>
      </c>
      <c r="C749" t="e">
        <f>VLOOKUP(A749,'Production Plan'!B:G,5,FALSE)</f>
        <v>#N/A</v>
      </c>
      <c r="F749"/>
    </row>
    <row r="750" spans="1:6" hidden="1">
      <c r="A750">
        <f>'Production Plan'!B679</f>
        <v>0</v>
      </c>
      <c r="B750" t="e">
        <f>VLOOKUP(A750,'Production Plan'!B:V,16,FALSE)</f>
        <v>#N/A</v>
      </c>
      <c r="C750" t="e">
        <f>VLOOKUP(A750,'Production Plan'!B:G,5,FALSE)</f>
        <v>#N/A</v>
      </c>
      <c r="F750"/>
    </row>
    <row r="751" spans="1:6" hidden="1">
      <c r="A751">
        <f>'Production Plan'!B680</f>
        <v>0</v>
      </c>
      <c r="B751" t="e">
        <f>VLOOKUP(A751,'Production Plan'!B:V,16,FALSE)</f>
        <v>#N/A</v>
      </c>
      <c r="C751" t="e">
        <f>VLOOKUP(A751,'Production Plan'!B:G,5,FALSE)</f>
        <v>#N/A</v>
      </c>
      <c r="F751"/>
    </row>
    <row r="752" spans="1:6" hidden="1">
      <c r="A752">
        <f>'Production Plan'!B681</f>
        <v>0</v>
      </c>
      <c r="B752" t="e">
        <f>VLOOKUP(A752,'Production Plan'!B:V,16,FALSE)</f>
        <v>#N/A</v>
      </c>
      <c r="C752" t="e">
        <f>VLOOKUP(A752,'Production Plan'!B:G,5,FALSE)</f>
        <v>#N/A</v>
      </c>
      <c r="F752"/>
    </row>
    <row r="753" spans="1:6" hidden="1">
      <c r="A753">
        <f>'Production Plan'!B682</f>
        <v>0</v>
      </c>
      <c r="B753" t="e">
        <f>VLOOKUP(A753,'Production Plan'!B:V,16,FALSE)</f>
        <v>#N/A</v>
      </c>
      <c r="C753" t="e">
        <f>VLOOKUP(A753,'Production Plan'!B:G,5,FALSE)</f>
        <v>#N/A</v>
      </c>
      <c r="F753"/>
    </row>
    <row r="754" spans="1:6" hidden="1">
      <c r="A754">
        <f>'Production Plan'!B683</f>
        <v>0</v>
      </c>
      <c r="B754" t="e">
        <f>VLOOKUP(A754,'Production Plan'!B:V,16,FALSE)</f>
        <v>#N/A</v>
      </c>
      <c r="C754" t="e">
        <f>VLOOKUP(A754,'Production Plan'!B:G,5,FALSE)</f>
        <v>#N/A</v>
      </c>
      <c r="F754"/>
    </row>
    <row r="755" spans="1:6" hidden="1">
      <c r="A755">
        <f>'Production Plan'!B684</f>
        <v>0</v>
      </c>
      <c r="B755" t="e">
        <f>VLOOKUP(A755,'Production Plan'!B:V,16,FALSE)</f>
        <v>#N/A</v>
      </c>
      <c r="C755" t="e">
        <f>VLOOKUP(A755,'Production Plan'!B:G,5,FALSE)</f>
        <v>#N/A</v>
      </c>
      <c r="F755"/>
    </row>
    <row r="756" spans="1:6" hidden="1">
      <c r="A756">
        <f>'Production Plan'!B685</f>
        <v>0</v>
      </c>
      <c r="B756" t="e">
        <f>VLOOKUP(A756,'Production Plan'!B:V,16,FALSE)</f>
        <v>#N/A</v>
      </c>
      <c r="C756" t="e">
        <f>VLOOKUP(A756,'Production Plan'!B:G,5,FALSE)</f>
        <v>#N/A</v>
      </c>
      <c r="F756"/>
    </row>
    <row r="757" spans="1:6" hidden="1">
      <c r="A757">
        <f>'Production Plan'!B686</f>
        <v>0</v>
      </c>
      <c r="B757" t="e">
        <f>VLOOKUP(A757,'Production Plan'!B:V,16,FALSE)</f>
        <v>#N/A</v>
      </c>
      <c r="C757" t="e">
        <f>VLOOKUP(A757,'Production Plan'!B:G,5,FALSE)</f>
        <v>#N/A</v>
      </c>
      <c r="F757"/>
    </row>
    <row r="758" spans="1:6" hidden="1">
      <c r="A758">
        <f>'Production Plan'!B687</f>
        <v>0</v>
      </c>
      <c r="B758" t="e">
        <f>VLOOKUP(A758,'Production Plan'!B:V,16,FALSE)</f>
        <v>#N/A</v>
      </c>
      <c r="C758" t="e">
        <f>VLOOKUP(A758,'Production Plan'!B:G,5,FALSE)</f>
        <v>#N/A</v>
      </c>
      <c r="F758"/>
    </row>
    <row r="759" spans="1:6" hidden="1">
      <c r="A759">
        <f>'Production Plan'!B688</f>
        <v>0</v>
      </c>
      <c r="B759" t="e">
        <f>VLOOKUP(A759,'Production Plan'!B:V,16,FALSE)</f>
        <v>#N/A</v>
      </c>
      <c r="C759" t="e">
        <f>VLOOKUP(A759,'Production Plan'!B:G,5,FALSE)</f>
        <v>#N/A</v>
      </c>
      <c r="F759"/>
    </row>
    <row r="760" spans="1:6" hidden="1">
      <c r="A760">
        <f>'Production Plan'!B689</f>
        <v>0</v>
      </c>
      <c r="B760" t="e">
        <f>VLOOKUP(A760,'Production Plan'!B:V,16,FALSE)</f>
        <v>#N/A</v>
      </c>
      <c r="C760" t="e">
        <f>VLOOKUP(A760,'Production Plan'!B:G,5,FALSE)</f>
        <v>#N/A</v>
      </c>
      <c r="F760"/>
    </row>
    <row r="761" spans="1:6" hidden="1">
      <c r="A761">
        <f>'Production Plan'!B690</f>
        <v>0</v>
      </c>
      <c r="B761" t="e">
        <f>VLOOKUP(A761,'Production Plan'!B:V,16,FALSE)</f>
        <v>#N/A</v>
      </c>
      <c r="C761" t="e">
        <f>VLOOKUP(A761,'Production Plan'!B:G,5,FALSE)</f>
        <v>#N/A</v>
      </c>
      <c r="F761"/>
    </row>
    <row r="762" spans="1:6" hidden="1">
      <c r="A762">
        <f>'Production Plan'!B691</f>
        <v>0</v>
      </c>
      <c r="B762" t="e">
        <f>VLOOKUP(A762,'Production Plan'!B:V,16,FALSE)</f>
        <v>#N/A</v>
      </c>
      <c r="C762" t="e">
        <f>VLOOKUP(A762,'Production Plan'!B:G,5,FALSE)</f>
        <v>#N/A</v>
      </c>
      <c r="F762"/>
    </row>
    <row r="763" spans="1:6" hidden="1">
      <c r="A763">
        <f>'Production Plan'!B692</f>
        <v>0</v>
      </c>
      <c r="B763" t="e">
        <f>VLOOKUP(A763,'Production Plan'!B:V,16,FALSE)</f>
        <v>#N/A</v>
      </c>
      <c r="C763" t="e">
        <f>VLOOKUP(A763,'Production Plan'!B:G,5,FALSE)</f>
        <v>#N/A</v>
      </c>
      <c r="F763"/>
    </row>
    <row r="764" spans="1:6" hidden="1">
      <c r="A764">
        <f>'Production Plan'!B693</f>
        <v>0</v>
      </c>
      <c r="B764" t="e">
        <f>VLOOKUP(A764,'Production Plan'!B:V,16,FALSE)</f>
        <v>#N/A</v>
      </c>
      <c r="C764" t="e">
        <f>VLOOKUP(A764,'Production Plan'!B:G,5,FALSE)</f>
        <v>#N/A</v>
      </c>
      <c r="F764"/>
    </row>
    <row r="765" spans="1:6" hidden="1">
      <c r="A765">
        <f>'Production Plan'!B694</f>
        <v>0</v>
      </c>
      <c r="B765" t="e">
        <f>VLOOKUP(A765,'Production Plan'!B:V,16,FALSE)</f>
        <v>#N/A</v>
      </c>
      <c r="C765" t="e">
        <f>VLOOKUP(A765,'Production Plan'!B:G,5,FALSE)</f>
        <v>#N/A</v>
      </c>
      <c r="F765"/>
    </row>
    <row r="766" spans="1:6" hidden="1">
      <c r="A766">
        <f>'Production Plan'!B695</f>
        <v>0</v>
      </c>
      <c r="B766" t="e">
        <f>VLOOKUP(A766,'Production Plan'!B:V,16,FALSE)</f>
        <v>#N/A</v>
      </c>
      <c r="C766" t="e">
        <f>VLOOKUP(A766,'Production Plan'!B:G,5,FALSE)</f>
        <v>#N/A</v>
      </c>
      <c r="F766"/>
    </row>
    <row r="767" spans="1:6" hidden="1">
      <c r="A767">
        <f>'Production Plan'!B696</f>
        <v>0</v>
      </c>
      <c r="B767" t="e">
        <f>VLOOKUP(A767,'Production Plan'!B:V,16,FALSE)</f>
        <v>#N/A</v>
      </c>
      <c r="C767" t="e">
        <f>VLOOKUP(A767,'Production Plan'!B:G,5,FALSE)</f>
        <v>#N/A</v>
      </c>
      <c r="F767"/>
    </row>
    <row r="768" spans="1:6" hidden="1">
      <c r="A768">
        <f>'Production Plan'!B697</f>
        <v>0</v>
      </c>
      <c r="B768" t="e">
        <f>VLOOKUP(A768,'Production Plan'!B:V,16,FALSE)</f>
        <v>#N/A</v>
      </c>
      <c r="C768" t="e">
        <f>VLOOKUP(A768,'Production Plan'!B:G,5,FALSE)</f>
        <v>#N/A</v>
      </c>
      <c r="F768"/>
    </row>
    <row r="769" spans="1:6" hidden="1">
      <c r="A769">
        <f>'Production Plan'!B698</f>
        <v>0</v>
      </c>
      <c r="B769" t="e">
        <f>VLOOKUP(A769,'Production Plan'!B:V,16,FALSE)</f>
        <v>#N/A</v>
      </c>
      <c r="C769" t="e">
        <f>VLOOKUP(A769,'Production Plan'!B:G,5,FALSE)</f>
        <v>#N/A</v>
      </c>
      <c r="F769"/>
    </row>
    <row r="770" spans="1:6" hidden="1">
      <c r="A770">
        <f>'Production Plan'!B699</f>
        <v>0</v>
      </c>
      <c r="B770" t="e">
        <f>VLOOKUP(A770,'Production Plan'!B:V,16,FALSE)</f>
        <v>#N/A</v>
      </c>
      <c r="C770" t="e">
        <f>VLOOKUP(A770,'Production Plan'!B:G,5,FALSE)</f>
        <v>#N/A</v>
      </c>
      <c r="F770"/>
    </row>
    <row r="771" spans="1:6" hidden="1">
      <c r="A771">
        <f>'Production Plan'!B700</f>
        <v>0</v>
      </c>
      <c r="B771" t="e">
        <f>VLOOKUP(A771,'Production Plan'!B:V,16,FALSE)</f>
        <v>#N/A</v>
      </c>
      <c r="C771" t="e">
        <f>VLOOKUP(A771,'Production Plan'!B:G,5,FALSE)</f>
        <v>#N/A</v>
      </c>
      <c r="F771"/>
    </row>
    <row r="772" spans="1:6" hidden="1">
      <c r="A772">
        <f>'Production Plan'!B701</f>
        <v>0</v>
      </c>
      <c r="B772" t="e">
        <f>VLOOKUP(A772,'Production Plan'!B:V,16,FALSE)</f>
        <v>#N/A</v>
      </c>
      <c r="C772" t="e">
        <f>VLOOKUP(A772,'Production Plan'!B:G,5,FALSE)</f>
        <v>#N/A</v>
      </c>
      <c r="F772"/>
    </row>
    <row r="773" spans="1:6" hidden="1">
      <c r="A773">
        <f>'Production Plan'!B702</f>
        <v>0</v>
      </c>
      <c r="B773" t="e">
        <f>VLOOKUP(A773,'Production Plan'!B:V,16,FALSE)</f>
        <v>#N/A</v>
      </c>
      <c r="C773" t="e">
        <f>VLOOKUP(A773,'Production Plan'!B:G,5,FALSE)</f>
        <v>#N/A</v>
      </c>
      <c r="F773"/>
    </row>
    <row r="774" spans="1:6" hidden="1">
      <c r="A774">
        <f>'Production Plan'!B703</f>
        <v>0</v>
      </c>
      <c r="B774" t="e">
        <f>VLOOKUP(A774,'Production Plan'!B:V,16,FALSE)</f>
        <v>#N/A</v>
      </c>
      <c r="C774" t="e">
        <f>VLOOKUP(A774,'Production Plan'!B:G,5,FALSE)</f>
        <v>#N/A</v>
      </c>
      <c r="F774"/>
    </row>
    <row r="775" spans="1:6" hidden="1">
      <c r="A775">
        <f>'Production Plan'!B704</f>
        <v>0</v>
      </c>
      <c r="B775" t="e">
        <f>VLOOKUP(A775,'Production Plan'!B:V,16,FALSE)</f>
        <v>#N/A</v>
      </c>
      <c r="C775" t="e">
        <f>VLOOKUP(A775,'Production Plan'!B:G,5,FALSE)</f>
        <v>#N/A</v>
      </c>
      <c r="F775"/>
    </row>
    <row r="776" spans="1:6" hidden="1">
      <c r="A776">
        <f>'Production Plan'!B705</f>
        <v>0</v>
      </c>
      <c r="B776" t="e">
        <f>VLOOKUP(A776,'Production Plan'!B:V,16,FALSE)</f>
        <v>#N/A</v>
      </c>
      <c r="C776" t="e">
        <f>VLOOKUP(A776,'Production Plan'!B:G,5,FALSE)</f>
        <v>#N/A</v>
      </c>
      <c r="F776"/>
    </row>
    <row r="777" spans="1:6" hidden="1">
      <c r="A777">
        <f>'Production Plan'!B706</f>
        <v>0</v>
      </c>
      <c r="B777" t="e">
        <f>VLOOKUP(A777,'Production Plan'!B:V,16,FALSE)</f>
        <v>#N/A</v>
      </c>
      <c r="C777" t="e">
        <f>VLOOKUP(A777,'Production Plan'!B:G,5,FALSE)</f>
        <v>#N/A</v>
      </c>
      <c r="F777"/>
    </row>
    <row r="778" spans="1:6" hidden="1">
      <c r="A778">
        <f>'Production Plan'!B707</f>
        <v>0</v>
      </c>
      <c r="B778" t="e">
        <f>VLOOKUP(A778,'Production Plan'!B:V,16,FALSE)</f>
        <v>#N/A</v>
      </c>
      <c r="C778" t="e">
        <f>VLOOKUP(A778,'Production Plan'!B:G,5,FALSE)</f>
        <v>#N/A</v>
      </c>
      <c r="F778"/>
    </row>
    <row r="779" spans="1:6" hidden="1">
      <c r="A779">
        <f>'Production Plan'!B708</f>
        <v>0</v>
      </c>
      <c r="B779" t="e">
        <f>VLOOKUP(A779,'Production Plan'!B:V,16,FALSE)</f>
        <v>#N/A</v>
      </c>
      <c r="C779" t="e">
        <f>VLOOKUP(A779,'Production Plan'!B:G,5,FALSE)</f>
        <v>#N/A</v>
      </c>
      <c r="F779"/>
    </row>
    <row r="780" spans="1:6" hidden="1">
      <c r="A780">
        <f>'Production Plan'!B709</f>
        <v>0</v>
      </c>
      <c r="B780" t="e">
        <f>VLOOKUP(A780,'Production Plan'!B:V,16,FALSE)</f>
        <v>#N/A</v>
      </c>
      <c r="C780" t="e">
        <f>VLOOKUP(A780,'Production Plan'!B:G,5,FALSE)</f>
        <v>#N/A</v>
      </c>
      <c r="F780"/>
    </row>
    <row r="781" spans="1:6" hidden="1">
      <c r="A781">
        <f>'Production Plan'!B710</f>
        <v>0</v>
      </c>
      <c r="B781" t="e">
        <f>VLOOKUP(A781,'Production Plan'!B:V,16,FALSE)</f>
        <v>#N/A</v>
      </c>
      <c r="C781" t="e">
        <f>VLOOKUP(A781,'Production Plan'!B:G,5,FALSE)</f>
        <v>#N/A</v>
      </c>
      <c r="F781"/>
    </row>
    <row r="782" spans="1:6" hidden="1">
      <c r="A782">
        <f>'Production Plan'!B711</f>
        <v>0</v>
      </c>
      <c r="B782" t="e">
        <f>VLOOKUP(A782,'Production Plan'!B:V,16,FALSE)</f>
        <v>#N/A</v>
      </c>
      <c r="C782" t="e">
        <f>VLOOKUP(A782,'Production Plan'!B:G,5,FALSE)</f>
        <v>#N/A</v>
      </c>
      <c r="F782"/>
    </row>
    <row r="783" spans="1:6" hidden="1">
      <c r="A783">
        <f>'Production Plan'!B712</f>
        <v>0</v>
      </c>
      <c r="B783" t="e">
        <f>VLOOKUP(A783,'Production Plan'!B:V,16,FALSE)</f>
        <v>#N/A</v>
      </c>
      <c r="C783" t="e">
        <f>VLOOKUP(A783,'Production Plan'!B:G,5,FALSE)</f>
        <v>#N/A</v>
      </c>
      <c r="F783"/>
    </row>
    <row r="784" spans="1:6" hidden="1">
      <c r="A784">
        <f>'Production Plan'!B713</f>
        <v>0</v>
      </c>
      <c r="B784" t="e">
        <f>VLOOKUP(A784,'Production Plan'!B:V,16,FALSE)</f>
        <v>#N/A</v>
      </c>
      <c r="C784" t="e">
        <f>VLOOKUP(A784,'Production Plan'!B:G,5,FALSE)</f>
        <v>#N/A</v>
      </c>
      <c r="F784"/>
    </row>
    <row r="785" spans="1:6" hidden="1">
      <c r="A785">
        <f>'Production Plan'!B714</f>
        <v>0</v>
      </c>
      <c r="B785" t="e">
        <f>VLOOKUP(A785,'Production Plan'!B:V,16,FALSE)</f>
        <v>#N/A</v>
      </c>
      <c r="C785" t="e">
        <f>VLOOKUP(A785,'Production Plan'!B:G,5,FALSE)</f>
        <v>#N/A</v>
      </c>
      <c r="F785"/>
    </row>
    <row r="786" spans="1:6" hidden="1">
      <c r="A786">
        <f>'Production Plan'!B715</f>
        <v>0</v>
      </c>
      <c r="B786" t="e">
        <f>VLOOKUP(A786,'Production Plan'!B:V,16,FALSE)</f>
        <v>#N/A</v>
      </c>
      <c r="C786" t="e">
        <f>VLOOKUP(A786,'Production Plan'!B:G,5,FALSE)</f>
        <v>#N/A</v>
      </c>
      <c r="F786"/>
    </row>
    <row r="787" spans="1:6" hidden="1">
      <c r="A787">
        <f>'Production Plan'!B716</f>
        <v>0</v>
      </c>
      <c r="B787" t="e">
        <f>VLOOKUP(A787,'Production Plan'!B:V,16,FALSE)</f>
        <v>#N/A</v>
      </c>
      <c r="C787" t="e">
        <f>VLOOKUP(A787,'Production Plan'!B:G,5,FALSE)</f>
        <v>#N/A</v>
      </c>
      <c r="F787"/>
    </row>
    <row r="788" spans="1:6" hidden="1">
      <c r="A788">
        <f>'Production Plan'!B717</f>
        <v>0</v>
      </c>
      <c r="B788" t="e">
        <f>VLOOKUP(A788,'Production Plan'!B:V,16,FALSE)</f>
        <v>#N/A</v>
      </c>
      <c r="C788" t="e">
        <f>VLOOKUP(A788,'Production Plan'!B:G,5,FALSE)</f>
        <v>#N/A</v>
      </c>
      <c r="F788"/>
    </row>
    <row r="789" spans="1:6" hidden="1">
      <c r="A789">
        <f>'Production Plan'!B718</f>
        <v>0</v>
      </c>
      <c r="B789" t="e">
        <f>VLOOKUP(A789,'Production Plan'!B:V,16,FALSE)</f>
        <v>#N/A</v>
      </c>
      <c r="C789" t="e">
        <f>VLOOKUP(A789,'Production Plan'!B:G,5,FALSE)</f>
        <v>#N/A</v>
      </c>
      <c r="F789"/>
    </row>
    <row r="790" spans="1:6" hidden="1">
      <c r="A790">
        <f>'Production Plan'!B719</f>
        <v>0</v>
      </c>
      <c r="B790" t="e">
        <f>VLOOKUP(A790,'Production Plan'!B:V,16,FALSE)</f>
        <v>#N/A</v>
      </c>
      <c r="C790" t="e">
        <f>VLOOKUP(A790,'Production Plan'!B:G,5,FALSE)</f>
        <v>#N/A</v>
      </c>
      <c r="F790"/>
    </row>
    <row r="791" spans="1:6" hidden="1">
      <c r="A791">
        <f>'Production Plan'!B720</f>
        <v>0</v>
      </c>
      <c r="B791" t="e">
        <f>VLOOKUP(A791,'Production Plan'!B:V,16,FALSE)</f>
        <v>#N/A</v>
      </c>
      <c r="C791" t="e">
        <f>VLOOKUP(A791,'Production Plan'!B:G,5,FALSE)</f>
        <v>#N/A</v>
      </c>
      <c r="F791"/>
    </row>
    <row r="792" spans="1:6" hidden="1">
      <c r="A792">
        <f>'Production Plan'!B721</f>
        <v>0</v>
      </c>
      <c r="B792" t="e">
        <f>VLOOKUP(A792,'Production Plan'!B:V,16,FALSE)</f>
        <v>#N/A</v>
      </c>
      <c r="C792" t="e">
        <f>VLOOKUP(A792,'Production Plan'!B:G,5,FALSE)</f>
        <v>#N/A</v>
      </c>
      <c r="F792"/>
    </row>
    <row r="793" spans="1:6" hidden="1">
      <c r="A793">
        <f>'Production Plan'!B722</f>
        <v>0</v>
      </c>
      <c r="B793" t="e">
        <f>VLOOKUP(A793,'Production Plan'!B:V,16,FALSE)</f>
        <v>#N/A</v>
      </c>
      <c r="C793" t="e">
        <f>VLOOKUP(A793,'Production Plan'!B:G,5,FALSE)</f>
        <v>#N/A</v>
      </c>
      <c r="F793"/>
    </row>
    <row r="794" spans="1:6" hidden="1">
      <c r="A794">
        <f>'Production Plan'!B723</f>
        <v>0</v>
      </c>
      <c r="B794" t="e">
        <f>VLOOKUP(A794,'Production Plan'!B:V,16,FALSE)</f>
        <v>#N/A</v>
      </c>
      <c r="C794" t="e">
        <f>VLOOKUP(A794,'Production Plan'!B:G,5,FALSE)</f>
        <v>#N/A</v>
      </c>
      <c r="F794"/>
    </row>
    <row r="795" spans="1:6" hidden="1">
      <c r="A795">
        <f>'Production Plan'!B724</f>
        <v>0</v>
      </c>
      <c r="B795" t="e">
        <f>VLOOKUP(A795,'Production Plan'!B:V,16,FALSE)</f>
        <v>#N/A</v>
      </c>
      <c r="C795" t="e">
        <f>VLOOKUP(A795,'Production Plan'!B:G,5,FALSE)</f>
        <v>#N/A</v>
      </c>
      <c r="F795"/>
    </row>
    <row r="796" spans="1:6" hidden="1">
      <c r="A796">
        <f>'Production Plan'!B725</f>
        <v>0</v>
      </c>
      <c r="B796" t="e">
        <f>VLOOKUP(A796,'Production Plan'!B:V,16,FALSE)</f>
        <v>#N/A</v>
      </c>
      <c r="C796" t="e">
        <f>VLOOKUP(A796,'Production Plan'!B:G,5,FALSE)</f>
        <v>#N/A</v>
      </c>
      <c r="F796"/>
    </row>
    <row r="797" spans="1:6" hidden="1">
      <c r="A797">
        <f>'Production Plan'!B726</f>
        <v>0</v>
      </c>
      <c r="B797" t="e">
        <f>VLOOKUP(A797,'Production Plan'!B:V,16,FALSE)</f>
        <v>#N/A</v>
      </c>
      <c r="C797" t="e">
        <f>VLOOKUP(A797,'Production Plan'!B:G,5,FALSE)</f>
        <v>#N/A</v>
      </c>
      <c r="F797"/>
    </row>
    <row r="798" spans="1:6" hidden="1">
      <c r="A798">
        <f>'Production Plan'!B727</f>
        <v>0</v>
      </c>
      <c r="B798" t="e">
        <f>VLOOKUP(A798,'Production Plan'!B:V,16,FALSE)</f>
        <v>#N/A</v>
      </c>
      <c r="C798" t="e">
        <f>VLOOKUP(A798,'Production Plan'!B:G,5,FALSE)</f>
        <v>#N/A</v>
      </c>
      <c r="F798"/>
    </row>
    <row r="799" spans="1:6" hidden="1">
      <c r="A799">
        <f>'Production Plan'!B728</f>
        <v>0</v>
      </c>
      <c r="B799" t="e">
        <f>VLOOKUP(A799,'Production Plan'!B:V,16,FALSE)</f>
        <v>#N/A</v>
      </c>
      <c r="C799" t="e">
        <f>VLOOKUP(A799,'Production Plan'!B:G,5,FALSE)</f>
        <v>#N/A</v>
      </c>
      <c r="F799"/>
    </row>
    <row r="800" spans="1:6" hidden="1">
      <c r="A800">
        <f>'Production Plan'!B729</f>
        <v>0</v>
      </c>
      <c r="B800" t="e">
        <f>VLOOKUP(A800,'Production Plan'!B:V,16,FALSE)</f>
        <v>#N/A</v>
      </c>
      <c r="C800" t="e">
        <f>VLOOKUP(A800,'Production Plan'!B:G,5,FALSE)</f>
        <v>#N/A</v>
      </c>
      <c r="F800"/>
    </row>
    <row r="801" spans="1:6" hidden="1">
      <c r="A801">
        <f>'Production Plan'!B730</f>
        <v>0</v>
      </c>
      <c r="B801" t="e">
        <f>VLOOKUP(A801,'Production Plan'!B:V,16,FALSE)</f>
        <v>#N/A</v>
      </c>
      <c r="C801" t="e">
        <f>VLOOKUP(A801,'Production Plan'!B:G,5,FALSE)</f>
        <v>#N/A</v>
      </c>
      <c r="F801"/>
    </row>
    <row r="802" spans="1:6" hidden="1">
      <c r="A802">
        <f>'Production Plan'!B731</f>
        <v>0</v>
      </c>
      <c r="B802" t="e">
        <f>VLOOKUP(A802,'Production Plan'!B:V,16,FALSE)</f>
        <v>#N/A</v>
      </c>
      <c r="C802" t="e">
        <f>VLOOKUP(A802,'Production Plan'!B:G,5,FALSE)</f>
        <v>#N/A</v>
      </c>
      <c r="F802"/>
    </row>
    <row r="803" spans="1:6" hidden="1">
      <c r="A803">
        <f>'Production Plan'!B732</f>
        <v>0</v>
      </c>
      <c r="B803" t="e">
        <f>VLOOKUP(A803,'Production Plan'!B:V,16,FALSE)</f>
        <v>#N/A</v>
      </c>
      <c r="C803" t="e">
        <f>VLOOKUP(A803,'Production Plan'!B:G,5,FALSE)</f>
        <v>#N/A</v>
      </c>
      <c r="F803"/>
    </row>
    <row r="804" spans="1:6" hidden="1">
      <c r="A804">
        <f>'Production Plan'!B733</f>
        <v>0</v>
      </c>
      <c r="B804" t="e">
        <f>VLOOKUP(A804,'Production Plan'!B:V,16,FALSE)</f>
        <v>#N/A</v>
      </c>
      <c r="C804" t="e">
        <f>VLOOKUP(A804,'Production Plan'!B:G,5,FALSE)</f>
        <v>#N/A</v>
      </c>
      <c r="F804"/>
    </row>
    <row r="805" spans="1:6" hidden="1">
      <c r="A805">
        <f>'Production Plan'!B734</f>
        <v>0</v>
      </c>
      <c r="B805" t="e">
        <f>VLOOKUP(A805,'Production Plan'!B:V,16,FALSE)</f>
        <v>#N/A</v>
      </c>
      <c r="C805" t="e">
        <f>VLOOKUP(A805,'Production Plan'!B:G,5,FALSE)</f>
        <v>#N/A</v>
      </c>
      <c r="F805"/>
    </row>
    <row r="806" spans="1:6" hidden="1">
      <c r="A806">
        <f>'Production Plan'!B735</f>
        <v>0</v>
      </c>
      <c r="B806" t="e">
        <f>VLOOKUP(A806,'Production Plan'!B:V,16,FALSE)</f>
        <v>#N/A</v>
      </c>
      <c r="C806" t="e">
        <f>VLOOKUP(A806,'Production Plan'!B:G,5,FALSE)</f>
        <v>#N/A</v>
      </c>
      <c r="F806"/>
    </row>
    <row r="807" spans="1:6" hidden="1">
      <c r="A807">
        <f>'Production Plan'!B736</f>
        <v>0</v>
      </c>
      <c r="B807" t="e">
        <f>VLOOKUP(A807,'Production Plan'!B:V,16,FALSE)</f>
        <v>#N/A</v>
      </c>
      <c r="C807" t="e">
        <f>VLOOKUP(A807,'Production Plan'!B:G,5,FALSE)</f>
        <v>#N/A</v>
      </c>
      <c r="F807"/>
    </row>
    <row r="808" spans="1:6" hidden="1">
      <c r="A808">
        <f>'Production Plan'!B737</f>
        <v>0</v>
      </c>
      <c r="B808" t="e">
        <f>VLOOKUP(A808,'Production Plan'!B:V,16,FALSE)</f>
        <v>#N/A</v>
      </c>
      <c r="C808" t="e">
        <f>VLOOKUP(A808,'Production Plan'!B:G,5,FALSE)</f>
        <v>#N/A</v>
      </c>
      <c r="F808"/>
    </row>
    <row r="809" spans="1:6" hidden="1">
      <c r="A809">
        <f>'Production Plan'!B738</f>
        <v>0</v>
      </c>
      <c r="B809" t="e">
        <f>VLOOKUP(A809,'Production Plan'!B:V,16,FALSE)</f>
        <v>#N/A</v>
      </c>
      <c r="C809" t="e">
        <f>VLOOKUP(A809,'Production Plan'!B:G,5,FALSE)</f>
        <v>#N/A</v>
      </c>
      <c r="F809"/>
    </row>
    <row r="810" spans="1:6" hidden="1">
      <c r="A810">
        <f>'Production Plan'!B739</f>
        <v>0</v>
      </c>
      <c r="B810" t="e">
        <f>VLOOKUP(A810,'Production Plan'!B:V,16,FALSE)</f>
        <v>#N/A</v>
      </c>
      <c r="C810" t="e">
        <f>VLOOKUP(A810,'Production Plan'!B:G,5,FALSE)</f>
        <v>#N/A</v>
      </c>
      <c r="F810"/>
    </row>
    <row r="811" spans="1:6" hidden="1">
      <c r="A811">
        <f>'Production Plan'!B740</f>
        <v>0</v>
      </c>
      <c r="B811" t="e">
        <f>VLOOKUP(A811,'Production Plan'!B:V,16,FALSE)</f>
        <v>#N/A</v>
      </c>
      <c r="C811" t="e">
        <f>VLOOKUP(A811,'Production Plan'!B:G,5,FALSE)</f>
        <v>#N/A</v>
      </c>
      <c r="F811"/>
    </row>
    <row r="812" spans="1:6" hidden="1">
      <c r="A812">
        <f>'Production Plan'!B741</f>
        <v>0</v>
      </c>
      <c r="B812" t="e">
        <f>VLOOKUP(A812,'Production Plan'!B:V,16,FALSE)</f>
        <v>#N/A</v>
      </c>
      <c r="C812" t="e">
        <f>VLOOKUP(A812,'Production Plan'!B:G,5,FALSE)</f>
        <v>#N/A</v>
      </c>
      <c r="F812"/>
    </row>
    <row r="813" spans="1:6" hidden="1">
      <c r="A813">
        <f>'Production Plan'!B742</f>
        <v>0</v>
      </c>
      <c r="B813" t="e">
        <f>VLOOKUP(A813,'Production Plan'!B:V,16,FALSE)</f>
        <v>#N/A</v>
      </c>
      <c r="C813" t="e">
        <f>VLOOKUP(A813,'Production Plan'!B:G,5,FALSE)</f>
        <v>#N/A</v>
      </c>
      <c r="F813"/>
    </row>
    <row r="814" spans="1:6" hidden="1">
      <c r="A814">
        <f>'Production Plan'!B743</f>
        <v>0</v>
      </c>
      <c r="B814" t="e">
        <f>VLOOKUP(A814,'Production Plan'!B:V,16,FALSE)</f>
        <v>#N/A</v>
      </c>
      <c r="C814" t="e">
        <f>VLOOKUP(A814,'Production Plan'!B:G,5,FALSE)</f>
        <v>#N/A</v>
      </c>
      <c r="F814"/>
    </row>
    <row r="815" spans="1:6" hidden="1">
      <c r="A815">
        <f>'Production Plan'!B744</f>
        <v>0</v>
      </c>
      <c r="B815" t="e">
        <f>VLOOKUP(A815,'Production Plan'!B:V,16,FALSE)</f>
        <v>#N/A</v>
      </c>
      <c r="C815" t="e">
        <f>VLOOKUP(A815,'Production Plan'!B:G,5,FALSE)</f>
        <v>#N/A</v>
      </c>
      <c r="F815"/>
    </row>
    <row r="816" spans="1:6" hidden="1">
      <c r="A816">
        <f>'Production Plan'!B745</f>
        <v>0</v>
      </c>
      <c r="B816" t="e">
        <f>VLOOKUP(A816,'Production Plan'!B:V,16,FALSE)</f>
        <v>#N/A</v>
      </c>
      <c r="C816" t="e">
        <f>VLOOKUP(A816,'Production Plan'!B:G,5,FALSE)</f>
        <v>#N/A</v>
      </c>
      <c r="F816"/>
    </row>
    <row r="817" spans="1:6" hidden="1">
      <c r="A817">
        <f>'Production Plan'!B746</f>
        <v>0</v>
      </c>
      <c r="B817" t="e">
        <f>VLOOKUP(A817,'Production Plan'!B:V,16,FALSE)</f>
        <v>#N/A</v>
      </c>
      <c r="C817" t="e">
        <f>VLOOKUP(A817,'Production Plan'!B:G,5,FALSE)</f>
        <v>#N/A</v>
      </c>
      <c r="F817"/>
    </row>
    <row r="818" spans="1:6" hidden="1">
      <c r="A818">
        <f>'Production Plan'!B747</f>
        <v>0</v>
      </c>
      <c r="B818" t="e">
        <f>VLOOKUP(A818,'Production Plan'!B:V,16,FALSE)</f>
        <v>#N/A</v>
      </c>
      <c r="C818" t="e">
        <f>VLOOKUP(A818,'Production Plan'!B:G,5,FALSE)</f>
        <v>#N/A</v>
      </c>
      <c r="F818"/>
    </row>
    <row r="819" spans="1:6" hidden="1">
      <c r="A819">
        <f>'Production Plan'!B748</f>
        <v>0</v>
      </c>
      <c r="B819" t="e">
        <f>VLOOKUP(A819,'Production Plan'!B:V,16,FALSE)</f>
        <v>#N/A</v>
      </c>
      <c r="C819" t="e">
        <f>VLOOKUP(A819,'Production Plan'!B:G,5,FALSE)</f>
        <v>#N/A</v>
      </c>
      <c r="F819"/>
    </row>
    <row r="820" spans="1:6" hidden="1">
      <c r="A820">
        <f>'Production Plan'!B749</f>
        <v>0</v>
      </c>
      <c r="B820" t="e">
        <f>VLOOKUP(A820,'Production Plan'!B:V,16,FALSE)</f>
        <v>#N/A</v>
      </c>
      <c r="C820" t="e">
        <f>VLOOKUP(A820,'Production Plan'!B:G,5,FALSE)</f>
        <v>#N/A</v>
      </c>
      <c r="F820"/>
    </row>
    <row r="821" spans="1:6" hidden="1">
      <c r="A821">
        <f>'Production Plan'!B750</f>
        <v>0</v>
      </c>
      <c r="B821" t="e">
        <f>VLOOKUP(A821,'Production Plan'!B:V,16,FALSE)</f>
        <v>#N/A</v>
      </c>
      <c r="C821" t="e">
        <f>VLOOKUP(A821,'Production Plan'!B:G,5,FALSE)</f>
        <v>#N/A</v>
      </c>
      <c r="F821"/>
    </row>
    <row r="822" spans="1:6" hidden="1">
      <c r="A822">
        <f>'Production Plan'!B751</f>
        <v>0</v>
      </c>
      <c r="B822" t="e">
        <f>VLOOKUP(A822,'Production Plan'!B:V,16,FALSE)</f>
        <v>#N/A</v>
      </c>
      <c r="C822" t="e">
        <f>VLOOKUP(A822,'Production Plan'!B:G,5,FALSE)</f>
        <v>#N/A</v>
      </c>
      <c r="F822"/>
    </row>
    <row r="823" spans="1:6" hidden="1">
      <c r="A823">
        <f>'Production Plan'!B752</f>
        <v>0</v>
      </c>
      <c r="B823" t="e">
        <f>VLOOKUP(A823,'Production Plan'!B:V,16,FALSE)</f>
        <v>#N/A</v>
      </c>
      <c r="C823" t="e">
        <f>VLOOKUP(A823,'Production Plan'!B:G,5,FALSE)</f>
        <v>#N/A</v>
      </c>
      <c r="F823"/>
    </row>
    <row r="824" spans="1:6" hidden="1">
      <c r="A824">
        <f>'Production Plan'!B753</f>
        <v>0</v>
      </c>
      <c r="B824" t="e">
        <f>VLOOKUP(A824,'Production Plan'!B:V,16,FALSE)</f>
        <v>#N/A</v>
      </c>
      <c r="C824" t="e">
        <f>VLOOKUP(A824,'Production Plan'!B:G,5,FALSE)</f>
        <v>#N/A</v>
      </c>
      <c r="F824"/>
    </row>
    <row r="825" spans="1:6" hidden="1">
      <c r="A825">
        <f>'Production Plan'!B754</f>
        <v>0</v>
      </c>
      <c r="B825" t="e">
        <f>VLOOKUP(A825,'Production Plan'!B:V,16,FALSE)</f>
        <v>#N/A</v>
      </c>
      <c r="C825" t="e">
        <f>VLOOKUP(A825,'Production Plan'!B:G,5,FALSE)</f>
        <v>#N/A</v>
      </c>
      <c r="F825"/>
    </row>
    <row r="826" spans="1:6" hidden="1">
      <c r="A826">
        <f>'Production Plan'!B755</f>
        <v>0</v>
      </c>
      <c r="B826" t="e">
        <f>VLOOKUP(A826,'Production Plan'!B:V,16,FALSE)</f>
        <v>#N/A</v>
      </c>
      <c r="C826" t="e">
        <f>VLOOKUP(A826,'Production Plan'!B:G,5,FALSE)</f>
        <v>#N/A</v>
      </c>
      <c r="F826"/>
    </row>
    <row r="827" spans="1:6" hidden="1">
      <c r="A827">
        <f>'Production Plan'!B756</f>
        <v>0</v>
      </c>
      <c r="B827" t="e">
        <f>VLOOKUP(A827,'Production Plan'!B:V,16,FALSE)</f>
        <v>#N/A</v>
      </c>
      <c r="C827" t="e">
        <f>VLOOKUP(A827,'Production Plan'!B:G,5,FALSE)</f>
        <v>#N/A</v>
      </c>
      <c r="F827"/>
    </row>
    <row r="828" spans="1:6" hidden="1">
      <c r="A828">
        <f>'Production Plan'!B757</f>
        <v>0</v>
      </c>
      <c r="B828" t="e">
        <f>VLOOKUP(A828,'Production Plan'!B:V,16,FALSE)</f>
        <v>#N/A</v>
      </c>
      <c r="C828" t="e">
        <f>VLOOKUP(A828,'Production Plan'!B:G,5,FALSE)</f>
        <v>#N/A</v>
      </c>
      <c r="F828"/>
    </row>
    <row r="829" spans="1:6" hidden="1">
      <c r="A829">
        <f>'Production Plan'!B758</f>
        <v>0</v>
      </c>
      <c r="B829" t="e">
        <f>VLOOKUP(A829,'Production Plan'!B:V,16,FALSE)</f>
        <v>#N/A</v>
      </c>
      <c r="C829" t="e">
        <f>VLOOKUP(A829,'Production Plan'!B:G,5,FALSE)</f>
        <v>#N/A</v>
      </c>
      <c r="F829"/>
    </row>
    <row r="830" spans="1:6" hidden="1">
      <c r="A830">
        <f>'Production Plan'!B759</f>
        <v>0</v>
      </c>
      <c r="B830" t="e">
        <f>VLOOKUP(A830,'Production Plan'!B:V,16,FALSE)</f>
        <v>#N/A</v>
      </c>
      <c r="C830" t="e">
        <f>VLOOKUP(A830,'Production Plan'!B:G,5,FALSE)</f>
        <v>#N/A</v>
      </c>
      <c r="F830"/>
    </row>
    <row r="831" spans="1:6" hidden="1">
      <c r="A831">
        <f>'Production Plan'!B760</f>
        <v>0</v>
      </c>
      <c r="B831" t="e">
        <f>VLOOKUP(A831,'Production Plan'!B:V,16,FALSE)</f>
        <v>#N/A</v>
      </c>
      <c r="C831" t="e">
        <f>VLOOKUP(A831,'Production Plan'!B:G,5,FALSE)</f>
        <v>#N/A</v>
      </c>
      <c r="F831"/>
    </row>
    <row r="832" spans="1:6" hidden="1">
      <c r="A832">
        <f>'Production Plan'!B761</f>
        <v>0</v>
      </c>
      <c r="B832" t="e">
        <f>VLOOKUP(A832,'Production Plan'!B:V,16,FALSE)</f>
        <v>#N/A</v>
      </c>
      <c r="C832" t="e">
        <f>VLOOKUP(A832,'Production Plan'!B:G,5,FALSE)</f>
        <v>#N/A</v>
      </c>
      <c r="F832"/>
    </row>
    <row r="833" spans="1:6" hidden="1">
      <c r="A833">
        <f>'Production Plan'!B762</f>
        <v>0</v>
      </c>
      <c r="B833" t="e">
        <f>VLOOKUP(A833,'Production Plan'!B:V,16,FALSE)</f>
        <v>#N/A</v>
      </c>
      <c r="C833" t="e">
        <f>VLOOKUP(A833,'Production Plan'!B:G,5,FALSE)</f>
        <v>#N/A</v>
      </c>
      <c r="F833"/>
    </row>
    <row r="834" spans="1:6" hidden="1">
      <c r="A834">
        <f>'Production Plan'!B763</f>
        <v>0</v>
      </c>
      <c r="B834" t="e">
        <f>VLOOKUP(A834,'Production Plan'!B:V,16,FALSE)</f>
        <v>#N/A</v>
      </c>
      <c r="C834" t="e">
        <f>VLOOKUP(A834,'Production Plan'!B:G,5,FALSE)</f>
        <v>#N/A</v>
      </c>
      <c r="F834"/>
    </row>
    <row r="835" spans="1:6" hidden="1">
      <c r="A835">
        <f>'Production Plan'!B764</f>
        <v>0</v>
      </c>
      <c r="B835" t="e">
        <f>VLOOKUP(A835,'Production Plan'!B:V,16,FALSE)</f>
        <v>#N/A</v>
      </c>
      <c r="C835" t="e">
        <f>VLOOKUP(A835,'Production Plan'!B:G,5,FALSE)</f>
        <v>#N/A</v>
      </c>
      <c r="F835"/>
    </row>
    <row r="836" spans="1:6" hidden="1">
      <c r="A836">
        <f>'Production Plan'!B765</f>
        <v>0</v>
      </c>
      <c r="B836" t="e">
        <f>VLOOKUP(A836,'Production Plan'!B:V,16,FALSE)</f>
        <v>#N/A</v>
      </c>
      <c r="C836" t="e">
        <f>VLOOKUP(A836,'Production Plan'!B:G,5,FALSE)</f>
        <v>#N/A</v>
      </c>
      <c r="F836"/>
    </row>
    <row r="837" spans="1:6" hidden="1">
      <c r="A837">
        <f>'Production Plan'!B766</f>
        <v>0</v>
      </c>
      <c r="B837" t="e">
        <f>VLOOKUP(A837,'Production Plan'!B:V,16,FALSE)</f>
        <v>#N/A</v>
      </c>
      <c r="C837" t="e">
        <f>VLOOKUP(A837,'Production Plan'!B:G,5,FALSE)</f>
        <v>#N/A</v>
      </c>
      <c r="F837"/>
    </row>
    <row r="838" spans="1:6" hidden="1">
      <c r="A838">
        <f>'Production Plan'!B767</f>
        <v>0</v>
      </c>
      <c r="B838" t="e">
        <f>VLOOKUP(A838,'Production Plan'!B:V,16,FALSE)</f>
        <v>#N/A</v>
      </c>
      <c r="C838" t="e">
        <f>VLOOKUP(A838,'Production Plan'!B:G,5,FALSE)</f>
        <v>#N/A</v>
      </c>
      <c r="F838"/>
    </row>
    <row r="839" spans="1:6" hidden="1">
      <c r="A839">
        <f>'Production Plan'!B768</f>
        <v>0</v>
      </c>
      <c r="B839" t="e">
        <f>VLOOKUP(A839,'Production Plan'!B:V,16,FALSE)</f>
        <v>#N/A</v>
      </c>
      <c r="C839" t="e">
        <f>VLOOKUP(A839,'Production Plan'!B:G,5,FALSE)</f>
        <v>#N/A</v>
      </c>
      <c r="F839"/>
    </row>
    <row r="840" spans="1:6" hidden="1">
      <c r="A840">
        <f>'Production Plan'!B769</f>
        <v>0</v>
      </c>
      <c r="B840" t="e">
        <f>VLOOKUP(A840,'Production Plan'!B:V,16,FALSE)</f>
        <v>#N/A</v>
      </c>
      <c r="C840" t="e">
        <f>VLOOKUP(A840,'Production Plan'!B:G,5,FALSE)</f>
        <v>#N/A</v>
      </c>
      <c r="F840"/>
    </row>
    <row r="841" spans="1:6" hidden="1">
      <c r="A841">
        <f>'Production Plan'!B770</f>
        <v>0</v>
      </c>
      <c r="B841" t="e">
        <f>VLOOKUP(A841,'Production Plan'!B:V,16,FALSE)</f>
        <v>#N/A</v>
      </c>
      <c r="C841" t="e">
        <f>VLOOKUP(A841,'Production Plan'!B:G,5,FALSE)</f>
        <v>#N/A</v>
      </c>
      <c r="F841"/>
    </row>
    <row r="842" spans="1:6" hidden="1">
      <c r="A842">
        <f>'Production Plan'!B771</f>
        <v>0</v>
      </c>
      <c r="B842" t="e">
        <f>VLOOKUP(A842,'Production Plan'!B:V,16,FALSE)</f>
        <v>#N/A</v>
      </c>
      <c r="C842" t="e">
        <f>VLOOKUP(A842,'Production Plan'!B:G,5,FALSE)</f>
        <v>#N/A</v>
      </c>
      <c r="F842"/>
    </row>
    <row r="843" spans="1:6" hidden="1">
      <c r="A843">
        <f>'Production Plan'!B772</f>
        <v>0</v>
      </c>
      <c r="B843" t="e">
        <f>VLOOKUP(A843,'Production Plan'!B:V,16,FALSE)</f>
        <v>#N/A</v>
      </c>
      <c r="C843" t="e">
        <f>VLOOKUP(A843,'Production Plan'!B:G,5,FALSE)</f>
        <v>#N/A</v>
      </c>
      <c r="F843"/>
    </row>
    <row r="844" spans="1:6" hidden="1">
      <c r="A844">
        <f>'Production Plan'!B773</f>
        <v>0</v>
      </c>
      <c r="B844" t="e">
        <f>VLOOKUP(A844,'Production Plan'!B:V,16,FALSE)</f>
        <v>#N/A</v>
      </c>
      <c r="C844" t="e">
        <f>VLOOKUP(A844,'Production Plan'!B:G,5,FALSE)</f>
        <v>#N/A</v>
      </c>
      <c r="F844"/>
    </row>
    <row r="845" spans="1:6" hidden="1">
      <c r="A845">
        <f>'Production Plan'!B774</f>
        <v>0</v>
      </c>
      <c r="B845" t="e">
        <f>VLOOKUP(A845,'Production Plan'!B:V,16,FALSE)</f>
        <v>#N/A</v>
      </c>
      <c r="C845" t="e">
        <f>VLOOKUP(A845,'Production Plan'!B:G,5,FALSE)</f>
        <v>#N/A</v>
      </c>
      <c r="F845"/>
    </row>
    <row r="846" spans="1:6" hidden="1">
      <c r="A846">
        <f>'Production Plan'!B775</f>
        <v>0</v>
      </c>
      <c r="B846" t="e">
        <f>VLOOKUP(A846,'Production Plan'!B:V,16,FALSE)</f>
        <v>#N/A</v>
      </c>
      <c r="C846" t="e">
        <f>VLOOKUP(A846,'Production Plan'!B:G,5,FALSE)</f>
        <v>#N/A</v>
      </c>
      <c r="F846"/>
    </row>
    <row r="847" spans="1:6" hidden="1">
      <c r="A847">
        <f>'Production Plan'!B776</f>
        <v>0</v>
      </c>
      <c r="B847" t="e">
        <f>VLOOKUP(A847,'Production Plan'!B:V,16,FALSE)</f>
        <v>#N/A</v>
      </c>
      <c r="C847" t="e">
        <f>VLOOKUP(A847,'Production Plan'!B:G,5,FALSE)</f>
        <v>#N/A</v>
      </c>
      <c r="F847"/>
    </row>
    <row r="848" spans="1:6" hidden="1">
      <c r="A848">
        <f>'Production Plan'!B777</f>
        <v>0</v>
      </c>
      <c r="B848" t="e">
        <f>VLOOKUP(A848,'Production Plan'!B:V,16,FALSE)</f>
        <v>#N/A</v>
      </c>
      <c r="C848" t="e">
        <f>VLOOKUP(A848,'Production Plan'!B:G,5,FALSE)</f>
        <v>#N/A</v>
      </c>
      <c r="F848"/>
    </row>
    <row r="849" spans="1:6" hidden="1">
      <c r="A849">
        <f>'Production Plan'!B778</f>
        <v>0</v>
      </c>
      <c r="B849" t="e">
        <f>VLOOKUP(A849,'Production Plan'!B:V,16,FALSE)</f>
        <v>#N/A</v>
      </c>
      <c r="C849" t="e">
        <f>VLOOKUP(A849,'Production Plan'!B:G,5,FALSE)</f>
        <v>#N/A</v>
      </c>
      <c r="F849"/>
    </row>
    <row r="850" spans="1:6" hidden="1">
      <c r="A850">
        <f>'Production Plan'!B779</f>
        <v>0</v>
      </c>
      <c r="B850" t="e">
        <f>VLOOKUP(A850,'Production Plan'!B:V,16,FALSE)</f>
        <v>#N/A</v>
      </c>
      <c r="C850" t="e">
        <f>VLOOKUP(A850,'Production Plan'!B:G,5,FALSE)</f>
        <v>#N/A</v>
      </c>
      <c r="F850"/>
    </row>
    <row r="851" spans="1:6" hidden="1">
      <c r="A851">
        <f>'Production Plan'!B780</f>
        <v>0</v>
      </c>
      <c r="B851" t="e">
        <f>VLOOKUP(A851,'Production Plan'!B:V,16,FALSE)</f>
        <v>#N/A</v>
      </c>
      <c r="C851" t="e">
        <f>VLOOKUP(A851,'Production Plan'!B:G,5,FALSE)</f>
        <v>#N/A</v>
      </c>
      <c r="F851"/>
    </row>
    <row r="852" spans="1:6" hidden="1">
      <c r="A852">
        <f>'Production Plan'!B781</f>
        <v>0</v>
      </c>
      <c r="B852" t="e">
        <f>VLOOKUP(A852,'Production Plan'!B:V,16,FALSE)</f>
        <v>#N/A</v>
      </c>
      <c r="C852" t="e">
        <f>VLOOKUP(A852,'Production Plan'!B:G,5,FALSE)</f>
        <v>#N/A</v>
      </c>
      <c r="F852"/>
    </row>
    <row r="853" spans="1:6" hidden="1">
      <c r="A853">
        <f>'Production Plan'!B782</f>
        <v>0</v>
      </c>
      <c r="B853" t="e">
        <f>VLOOKUP(A853,'Production Plan'!B:V,16,FALSE)</f>
        <v>#N/A</v>
      </c>
      <c r="C853" t="e">
        <f>VLOOKUP(A853,'Production Plan'!B:G,5,FALSE)</f>
        <v>#N/A</v>
      </c>
      <c r="F853"/>
    </row>
    <row r="854" spans="1:6" hidden="1">
      <c r="A854">
        <f>'Production Plan'!B783</f>
        <v>0</v>
      </c>
      <c r="B854" t="e">
        <f>VLOOKUP(A854,'Production Plan'!B:V,16,FALSE)</f>
        <v>#N/A</v>
      </c>
      <c r="C854" t="e">
        <f>VLOOKUP(A854,'Production Plan'!B:G,5,FALSE)</f>
        <v>#N/A</v>
      </c>
      <c r="F854"/>
    </row>
    <row r="855" spans="1:6" hidden="1">
      <c r="A855">
        <f>'Production Plan'!B784</f>
        <v>0</v>
      </c>
      <c r="B855" t="e">
        <f>VLOOKUP(A855,'Production Plan'!B:V,16,FALSE)</f>
        <v>#N/A</v>
      </c>
      <c r="C855" t="e">
        <f>VLOOKUP(A855,'Production Plan'!B:G,5,FALSE)</f>
        <v>#N/A</v>
      </c>
      <c r="F855"/>
    </row>
    <row r="856" spans="1:6" hidden="1">
      <c r="A856">
        <f>'Production Plan'!B785</f>
        <v>0</v>
      </c>
      <c r="B856" t="e">
        <f>VLOOKUP(A856,'Production Plan'!B:V,16,FALSE)</f>
        <v>#N/A</v>
      </c>
      <c r="C856" t="e">
        <f>VLOOKUP(A856,'Production Plan'!B:G,5,FALSE)</f>
        <v>#N/A</v>
      </c>
      <c r="F856"/>
    </row>
    <row r="857" spans="1:6" hidden="1">
      <c r="A857">
        <f>'Production Plan'!B786</f>
        <v>0</v>
      </c>
      <c r="B857" t="e">
        <f>VLOOKUP(A857,'Production Plan'!B:V,16,FALSE)</f>
        <v>#N/A</v>
      </c>
      <c r="C857" t="e">
        <f>VLOOKUP(A857,'Production Plan'!B:G,5,FALSE)</f>
        <v>#N/A</v>
      </c>
      <c r="F857"/>
    </row>
    <row r="858" spans="1:6" hidden="1">
      <c r="A858">
        <f>'Production Plan'!B787</f>
        <v>0</v>
      </c>
      <c r="B858" t="e">
        <f>VLOOKUP(A858,'Production Plan'!B:V,16,FALSE)</f>
        <v>#N/A</v>
      </c>
      <c r="C858" t="e">
        <f>VLOOKUP(A858,'Production Plan'!B:G,5,FALSE)</f>
        <v>#N/A</v>
      </c>
      <c r="F858"/>
    </row>
    <row r="859" spans="1:6" hidden="1">
      <c r="A859">
        <f>'Production Plan'!B788</f>
        <v>0</v>
      </c>
      <c r="B859" t="e">
        <f>VLOOKUP(A859,'Production Plan'!B:V,16,FALSE)</f>
        <v>#N/A</v>
      </c>
      <c r="C859" t="e">
        <f>VLOOKUP(A859,'Production Plan'!B:G,5,FALSE)</f>
        <v>#N/A</v>
      </c>
      <c r="F859"/>
    </row>
    <row r="860" spans="1:6" hidden="1">
      <c r="A860">
        <f>'Production Plan'!B789</f>
        <v>0</v>
      </c>
      <c r="B860" t="e">
        <f>VLOOKUP(A860,'Production Plan'!B:V,16,FALSE)</f>
        <v>#N/A</v>
      </c>
      <c r="C860" t="e">
        <f>VLOOKUP(A860,'Production Plan'!B:G,5,FALSE)</f>
        <v>#N/A</v>
      </c>
      <c r="F860"/>
    </row>
    <row r="861" spans="1:6" hidden="1">
      <c r="A861">
        <f>'Production Plan'!B790</f>
        <v>0</v>
      </c>
      <c r="B861" t="e">
        <f>VLOOKUP(A861,'Production Plan'!B:V,16,FALSE)</f>
        <v>#N/A</v>
      </c>
      <c r="C861" t="e">
        <f>VLOOKUP(A861,'Production Plan'!B:G,5,FALSE)</f>
        <v>#N/A</v>
      </c>
      <c r="F861"/>
    </row>
    <row r="862" spans="1:6" hidden="1">
      <c r="A862">
        <f>'Production Plan'!B791</f>
        <v>0</v>
      </c>
      <c r="B862" t="e">
        <f>VLOOKUP(A862,'Production Plan'!B:V,16,FALSE)</f>
        <v>#N/A</v>
      </c>
      <c r="C862" t="e">
        <f>VLOOKUP(A862,'Production Plan'!B:G,5,FALSE)</f>
        <v>#N/A</v>
      </c>
      <c r="F862"/>
    </row>
    <row r="863" spans="1:6" hidden="1">
      <c r="A863">
        <f>'Production Plan'!B792</f>
        <v>0</v>
      </c>
      <c r="B863" t="e">
        <f>VLOOKUP(A863,'Production Plan'!B:V,16,FALSE)</f>
        <v>#N/A</v>
      </c>
      <c r="C863" t="e">
        <f>VLOOKUP(A863,'Production Plan'!B:G,5,FALSE)</f>
        <v>#N/A</v>
      </c>
      <c r="F863"/>
    </row>
    <row r="864" spans="1:6" hidden="1">
      <c r="A864">
        <f>'Production Plan'!B793</f>
        <v>0</v>
      </c>
      <c r="B864" t="e">
        <f>VLOOKUP(A864,'Production Plan'!B:V,16,FALSE)</f>
        <v>#N/A</v>
      </c>
      <c r="C864" t="e">
        <f>VLOOKUP(A864,'Production Plan'!B:G,5,FALSE)</f>
        <v>#N/A</v>
      </c>
      <c r="F864"/>
    </row>
    <row r="865" spans="1:6" hidden="1">
      <c r="A865">
        <f>'Production Plan'!B794</f>
        <v>0</v>
      </c>
      <c r="B865" t="e">
        <f>VLOOKUP(A865,'Production Plan'!B:V,16,FALSE)</f>
        <v>#N/A</v>
      </c>
      <c r="C865" t="e">
        <f>VLOOKUP(A865,'Production Plan'!B:G,5,FALSE)</f>
        <v>#N/A</v>
      </c>
      <c r="F865"/>
    </row>
    <row r="866" spans="1:6" hidden="1">
      <c r="A866">
        <f>'Production Plan'!B795</f>
        <v>0</v>
      </c>
      <c r="B866" t="e">
        <f>VLOOKUP(A866,'Production Plan'!B:V,16,FALSE)</f>
        <v>#N/A</v>
      </c>
      <c r="C866" t="e">
        <f>VLOOKUP(A866,'Production Plan'!B:G,5,FALSE)</f>
        <v>#N/A</v>
      </c>
      <c r="F866"/>
    </row>
    <row r="867" spans="1:6" hidden="1">
      <c r="A867">
        <f>'Production Plan'!B796</f>
        <v>0</v>
      </c>
      <c r="B867" t="e">
        <f>VLOOKUP(A867,'Production Plan'!B:V,16,FALSE)</f>
        <v>#N/A</v>
      </c>
      <c r="C867" t="e">
        <f>VLOOKUP(A867,'Production Plan'!B:G,5,FALSE)</f>
        <v>#N/A</v>
      </c>
      <c r="F867"/>
    </row>
    <row r="868" spans="1:6" hidden="1">
      <c r="A868">
        <f>'Production Plan'!B797</f>
        <v>0</v>
      </c>
      <c r="B868" t="e">
        <f>VLOOKUP(A868,'Production Plan'!B:V,16,FALSE)</f>
        <v>#N/A</v>
      </c>
      <c r="C868" t="e">
        <f>VLOOKUP(A868,'Production Plan'!B:G,5,FALSE)</f>
        <v>#N/A</v>
      </c>
      <c r="F868"/>
    </row>
    <row r="869" spans="1:6" hidden="1">
      <c r="A869">
        <f>'Production Plan'!B798</f>
        <v>0</v>
      </c>
      <c r="B869" t="e">
        <f>VLOOKUP(A869,'Production Plan'!B:V,16,FALSE)</f>
        <v>#N/A</v>
      </c>
      <c r="C869" t="e">
        <f>VLOOKUP(A869,'Production Plan'!B:G,5,FALSE)</f>
        <v>#N/A</v>
      </c>
      <c r="F869"/>
    </row>
    <row r="870" spans="1:6" hidden="1">
      <c r="A870">
        <f>'Production Plan'!B799</f>
        <v>0</v>
      </c>
      <c r="B870" t="e">
        <f>VLOOKUP(A870,'Production Plan'!B:V,16,FALSE)</f>
        <v>#N/A</v>
      </c>
      <c r="C870" t="e">
        <f>VLOOKUP(A870,'Production Plan'!B:G,5,FALSE)</f>
        <v>#N/A</v>
      </c>
      <c r="F870"/>
    </row>
    <row r="871" spans="1:6" hidden="1">
      <c r="A871">
        <f>'Production Plan'!B800</f>
        <v>0</v>
      </c>
      <c r="B871" t="e">
        <f>VLOOKUP(A871,'Production Plan'!B:V,16,FALSE)</f>
        <v>#N/A</v>
      </c>
      <c r="C871" t="e">
        <f>VLOOKUP(A871,'Production Plan'!B:G,5,FALSE)</f>
        <v>#N/A</v>
      </c>
      <c r="F871"/>
    </row>
    <row r="872" spans="1:6" hidden="1">
      <c r="A872">
        <f>'Production Plan'!B801</f>
        <v>0</v>
      </c>
      <c r="B872" t="e">
        <f>VLOOKUP(A872,'Production Plan'!B:V,16,FALSE)</f>
        <v>#N/A</v>
      </c>
      <c r="C872" t="e">
        <f>VLOOKUP(A872,'Production Plan'!B:G,5,FALSE)</f>
        <v>#N/A</v>
      </c>
      <c r="F872"/>
    </row>
    <row r="873" spans="1:6" hidden="1">
      <c r="A873">
        <f>'Production Plan'!B802</f>
        <v>0</v>
      </c>
      <c r="B873" t="e">
        <f>VLOOKUP(A873,'Production Plan'!B:V,16,FALSE)</f>
        <v>#N/A</v>
      </c>
      <c r="C873" t="e">
        <f>VLOOKUP(A873,'Production Plan'!B:G,5,FALSE)</f>
        <v>#N/A</v>
      </c>
      <c r="F873"/>
    </row>
    <row r="874" spans="1:6" hidden="1">
      <c r="A874">
        <f>'Production Plan'!B803</f>
        <v>0</v>
      </c>
      <c r="B874" t="e">
        <f>VLOOKUP(A874,'Production Plan'!B:V,16,FALSE)</f>
        <v>#N/A</v>
      </c>
      <c r="C874" t="e">
        <f>VLOOKUP(A874,'Production Plan'!B:G,5,FALSE)</f>
        <v>#N/A</v>
      </c>
      <c r="F874"/>
    </row>
    <row r="875" spans="1:6" hidden="1">
      <c r="A875">
        <f>'Production Plan'!B804</f>
        <v>0</v>
      </c>
      <c r="B875" t="e">
        <f>VLOOKUP(A875,'Production Plan'!B:V,16,FALSE)</f>
        <v>#N/A</v>
      </c>
      <c r="C875" t="e">
        <f>VLOOKUP(A875,'Production Plan'!B:G,5,FALSE)</f>
        <v>#N/A</v>
      </c>
      <c r="F875"/>
    </row>
    <row r="876" spans="1:6" hidden="1">
      <c r="A876">
        <f>'Production Plan'!B805</f>
        <v>0</v>
      </c>
      <c r="B876" t="e">
        <f>VLOOKUP(A876,'Production Plan'!B:V,16,FALSE)</f>
        <v>#N/A</v>
      </c>
      <c r="C876" t="e">
        <f>VLOOKUP(A876,'Production Plan'!B:G,5,FALSE)</f>
        <v>#N/A</v>
      </c>
      <c r="F876"/>
    </row>
    <row r="877" spans="1:6" hidden="1">
      <c r="A877">
        <f>'Production Plan'!B806</f>
        <v>0</v>
      </c>
      <c r="B877" t="e">
        <f>VLOOKUP(A877,'Production Plan'!B:V,16,FALSE)</f>
        <v>#N/A</v>
      </c>
      <c r="C877" t="e">
        <f>VLOOKUP(A877,'Production Plan'!B:G,5,FALSE)</f>
        <v>#N/A</v>
      </c>
      <c r="F877"/>
    </row>
    <row r="878" spans="1:6" hidden="1">
      <c r="A878">
        <f>'Production Plan'!B807</f>
        <v>0</v>
      </c>
      <c r="B878" t="e">
        <f>VLOOKUP(A878,'Production Plan'!B:V,16,FALSE)</f>
        <v>#N/A</v>
      </c>
      <c r="C878" t="e">
        <f>VLOOKUP(A878,'Production Plan'!B:G,5,FALSE)</f>
        <v>#N/A</v>
      </c>
      <c r="F878"/>
    </row>
    <row r="879" spans="1:6" hidden="1">
      <c r="A879">
        <f>'Production Plan'!B808</f>
        <v>0</v>
      </c>
      <c r="B879" t="e">
        <f>VLOOKUP(A879,'Production Plan'!B:V,16,FALSE)</f>
        <v>#N/A</v>
      </c>
      <c r="C879" t="e">
        <f>VLOOKUP(A879,'Production Plan'!B:G,5,FALSE)</f>
        <v>#N/A</v>
      </c>
      <c r="F879"/>
    </row>
    <row r="880" spans="1:6" hidden="1">
      <c r="A880">
        <f>'Production Plan'!B809</f>
        <v>0</v>
      </c>
      <c r="B880" t="e">
        <f>VLOOKUP(A880,'Production Plan'!B:V,16,FALSE)</f>
        <v>#N/A</v>
      </c>
      <c r="C880" t="e">
        <f>VLOOKUP(A880,'Production Plan'!B:G,5,FALSE)</f>
        <v>#N/A</v>
      </c>
      <c r="F880"/>
    </row>
    <row r="881" spans="1:6" hidden="1">
      <c r="A881">
        <f>'Production Plan'!B810</f>
        <v>0</v>
      </c>
      <c r="B881" t="e">
        <f>VLOOKUP(A881,'Production Plan'!B:V,16,FALSE)</f>
        <v>#N/A</v>
      </c>
      <c r="C881" t="e">
        <f>VLOOKUP(A881,'Production Plan'!B:G,5,FALSE)</f>
        <v>#N/A</v>
      </c>
      <c r="F881"/>
    </row>
    <row r="882" spans="1:6" hidden="1">
      <c r="A882">
        <f>'Production Plan'!B811</f>
        <v>0</v>
      </c>
      <c r="B882" t="e">
        <f>VLOOKUP(A882,'Production Plan'!B:V,16,FALSE)</f>
        <v>#N/A</v>
      </c>
      <c r="C882" t="e">
        <f>VLOOKUP(A882,'Production Plan'!B:G,5,FALSE)</f>
        <v>#N/A</v>
      </c>
      <c r="F882"/>
    </row>
    <row r="883" spans="1:6" hidden="1">
      <c r="A883">
        <f>'Production Plan'!B812</f>
        <v>0</v>
      </c>
      <c r="B883" t="e">
        <f>VLOOKUP(A883,'Production Plan'!B:V,16,FALSE)</f>
        <v>#N/A</v>
      </c>
      <c r="C883" t="e">
        <f>VLOOKUP(A883,'Production Plan'!B:G,5,FALSE)</f>
        <v>#N/A</v>
      </c>
      <c r="F883"/>
    </row>
    <row r="884" spans="1:6" hidden="1">
      <c r="A884">
        <f>'Production Plan'!B813</f>
        <v>0</v>
      </c>
      <c r="B884" t="e">
        <f>VLOOKUP(A884,'Production Plan'!B:V,16,FALSE)</f>
        <v>#N/A</v>
      </c>
      <c r="C884" t="e">
        <f>VLOOKUP(A884,'Production Plan'!B:G,5,FALSE)</f>
        <v>#N/A</v>
      </c>
      <c r="F884"/>
    </row>
    <row r="885" spans="1:6" hidden="1">
      <c r="A885">
        <f>'Production Plan'!B814</f>
        <v>0</v>
      </c>
      <c r="B885" t="e">
        <f>VLOOKUP(A885,'Production Plan'!B:V,16,FALSE)</f>
        <v>#N/A</v>
      </c>
      <c r="C885" t="e">
        <f>VLOOKUP(A885,'Production Plan'!B:G,5,FALSE)</f>
        <v>#N/A</v>
      </c>
      <c r="F885"/>
    </row>
    <row r="886" spans="1:6" hidden="1">
      <c r="A886">
        <f>'Production Plan'!B815</f>
        <v>0</v>
      </c>
      <c r="B886" t="e">
        <f>VLOOKUP(A886,'Production Plan'!B:V,16,FALSE)</f>
        <v>#N/A</v>
      </c>
      <c r="C886" t="e">
        <f>VLOOKUP(A886,'Production Plan'!B:G,5,FALSE)</f>
        <v>#N/A</v>
      </c>
      <c r="F886"/>
    </row>
    <row r="887" spans="1:6" hidden="1">
      <c r="A887">
        <f>'Production Plan'!B816</f>
        <v>0</v>
      </c>
      <c r="B887" t="e">
        <f>VLOOKUP(A887,'Production Plan'!B:V,16,FALSE)</f>
        <v>#N/A</v>
      </c>
      <c r="C887" t="e">
        <f>VLOOKUP(A887,'Production Plan'!B:G,5,FALSE)</f>
        <v>#N/A</v>
      </c>
      <c r="F887"/>
    </row>
    <row r="888" spans="1:6" hidden="1">
      <c r="A888">
        <f>'Production Plan'!B817</f>
        <v>0</v>
      </c>
      <c r="B888" t="e">
        <f>VLOOKUP(A888,'Production Plan'!B:V,16,FALSE)</f>
        <v>#N/A</v>
      </c>
      <c r="C888" t="e">
        <f>VLOOKUP(A888,'Production Plan'!B:G,5,FALSE)</f>
        <v>#N/A</v>
      </c>
      <c r="F888"/>
    </row>
    <row r="889" spans="1:6" hidden="1">
      <c r="A889">
        <f>'Production Plan'!B818</f>
        <v>0</v>
      </c>
      <c r="B889" t="e">
        <f>VLOOKUP(A889,'Production Plan'!B:V,16,FALSE)</f>
        <v>#N/A</v>
      </c>
      <c r="C889" t="e">
        <f>VLOOKUP(A889,'Production Plan'!B:G,5,FALSE)</f>
        <v>#N/A</v>
      </c>
      <c r="F889"/>
    </row>
    <row r="890" spans="1:6" hidden="1">
      <c r="A890">
        <f>'Production Plan'!B819</f>
        <v>0</v>
      </c>
      <c r="B890" t="e">
        <f>VLOOKUP(A890,'Production Plan'!B:V,16,FALSE)</f>
        <v>#N/A</v>
      </c>
      <c r="C890" t="e">
        <f>VLOOKUP(A890,'Production Plan'!B:G,5,FALSE)</f>
        <v>#N/A</v>
      </c>
      <c r="F890"/>
    </row>
    <row r="891" spans="1:6" hidden="1">
      <c r="A891">
        <f>'Production Plan'!B820</f>
        <v>0</v>
      </c>
      <c r="B891" t="e">
        <f>VLOOKUP(A891,'Production Plan'!B:V,16,FALSE)</f>
        <v>#N/A</v>
      </c>
      <c r="C891" t="e">
        <f>VLOOKUP(A891,'Production Plan'!B:G,5,FALSE)</f>
        <v>#N/A</v>
      </c>
      <c r="F891"/>
    </row>
    <row r="892" spans="1:6" hidden="1">
      <c r="A892">
        <f>'Production Plan'!B821</f>
        <v>0</v>
      </c>
      <c r="B892" t="e">
        <f>VLOOKUP(A892,'Production Plan'!B:V,16,FALSE)</f>
        <v>#N/A</v>
      </c>
      <c r="C892" t="e">
        <f>VLOOKUP(A892,'Production Plan'!B:G,5,FALSE)</f>
        <v>#N/A</v>
      </c>
      <c r="F892"/>
    </row>
    <row r="893" spans="1:6" hidden="1">
      <c r="A893">
        <f>'Production Plan'!B822</f>
        <v>0</v>
      </c>
      <c r="B893" t="e">
        <f>VLOOKUP(A893,'Production Plan'!B:V,16,FALSE)</f>
        <v>#N/A</v>
      </c>
      <c r="C893" t="e">
        <f>VLOOKUP(A893,'Production Plan'!B:G,5,FALSE)</f>
        <v>#N/A</v>
      </c>
      <c r="F893"/>
    </row>
    <row r="894" spans="1:6" hidden="1">
      <c r="A894">
        <f>'Production Plan'!B823</f>
        <v>0</v>
      </c>
      <c r="B894" t="e">
        <f>VLOOKUP(A894,'Production Plan'!B:V,16,FALSE)</f>
        <v>#N/A</v>
      </c>
      <c r="C894" t="e">
        <f>VLOOKUP(A894,'Production Plan'!B:G,5,FALSE)</f>
        <v>#N/A</v>
      </c>
      <c r="F894"/>
    </row>
    <row r="895" spans="1:6" hidden="1">
      <c r="A895">
        <f>'Production Plan'!B824</f>
        <v>0</v>
      </c>
      <c r="B895" t="e">
        <f>VLOOKUP(A895,'Production Plan'!B:V,16,FALSE)</f>
        <v>#N/A</v>
      </c>
      <c r="C895" t="e">
        <f>VLOOKUP(A895,'Production Plan'!B:G,5,FALSE)</f>
        <v>#N/A</v>
      </c>
      <c r="F895"/>
    </row>
    <row r="896" spans="1:6" hidden="1">
      <c r="A896">
        <f>'Production Plan'!B825</f>
        <v>0</v>
      </c>
      <c r="B896" t="e">
        <f>VLOOKUP(A896,'Production Plan'!B:V,16,FALSE)</f>
        <v>#N/A</v>
      </c>
      <c r="C896" t="e">
        <f>VLOOKUP(A896,'Production Plan'!B:G,5,FALSE)</f>
        <v>#N/A</v>
      </c>
      <c r="F896"/>
    </row>
    <row r="897" spans="1:6" hidden="1">
      <c r="A897">
        <f>'Production Plan'!B826</f>
        <v>0</v>
      </c>
      <c r="B897" t="e">
        <f>VLOOKUP(A897,'Production Plan'!B:V,16,FALSE)</f>
        <v>#N/A</v>
      </c>
      <c r="C897" t="e">
        <f>VLOOKUP(A897,'Production Plan'!B:G,5,FALSE)</f>
        <v>#N/A</v>
      </c>
      <c r="F897"/>
    </row>
    <row r="898" spans="1:6" hidden="1">
      <c r="A898">
        <f>'Production Plan'!B827</f>
        <v>0</v>
      </c>
      <c r="B898" t="e">
        <f>VLOOKUP(A898,'Production Plan'!B:V,16,FALSE)</f>
        <v>#N/A</v>
      </c>
      <c r="C898" t="e">
        <f>VLOOKUP(A898,'Production Plan'!B:G,5,FALSE)</f>
        <v>#N/A</v>
      </c>
      <c r="F898"/>
    </row>
    <row r="899" spans="1:6" hidden="1">
      <c r="A899">
        <f>'Production Plan'!B828</f>
        <v>0</v>
      </c>
      <c r="B899" t="e">
        <f>VLOOKUP(A899,'Production Plan'!B:V,16,FALSE)</f>
        <v>#N/A</v>
      </c>
      <c r="C899" t="e">
        <f>VLOOKUP(A899,'Production Plan'!B:G,5,FALSE)</f>
        <v>#N/A</v>
      </c>
      <c r="F899"/>
    </row>
    <row r="900" spans="1:6" hidden="1">
      <c r="A900">
        <f>'Production Plan'!B829</f>
        <v>0</v>
      </c>
      <c r="B900" t="e">
        <f>VLOOKUP(A900,'Production Plan'!B:V,16,FALSE)</f>
        <v>#N/A</v>
      </c>
      <c r="C900" t="e">
        <f>VLOOKUP(A900,'Production Plan'!B:G,5,FALSE)</f>
        <v>#N/A</v>
      </c>
      <c r="F900"/>
    </row>
    <row r="901" spans="1:6" hidden="1">
      <c r="A901">
        <f>'Production Plan'!B830</f>
        <v>0</v>
      </c>
      <c r="B901" t="e">
        <f>VLOOKUP(A901,'Production Plan'!B:V,16,FALSE)</f>
        <v>#N/A</v>
      </c>
      <c r="C901" t="e">
        <f>VLOOKUP(A901,'Production Plan'!B:G,5,FALSE)</f>
        <v>#N/A</v>
      </c>
      <c r="F901"/>
    </row>
    <row r="902" spans="1:6" hidden="1">
      <c r="A902">
        <f>'Production Plan'!B831</f>
        <v>0</v>
      </c>
      <c r="B902" t="e">
        <f>VLOOKUP(A902,'Production Plan'!B:V,16,FALSE)</f>
        <v>#N/A</v>
      </c>
      <c r="C902" t="e">
        <f>VLOOKUP(A902,'Production Plan'!B:G,5,FALSE)</f>
        <v>#N/A</v>
      </c>
      <c r="F902"/>
    </row>
    <row r="903" spans="1:6" hidden="1">
      <c r="A903">
        <f>'Production Plan'!B832</f>
        <v>0</v>
      </c>
      <c r="B903" t="e">
        <f>VLOOKUP(A903,'Production Plan'!B:V,16,FALSE)</f>
        <v>#N/A</v>
      </c>
      <c r="C903" t="e">
        <f>VLOOKUP(A903,'Production Plan'!B:G,5,FALSE)</f>
        <v>#N/A</v>
      </c>
      <c r="F903"/>
    </row>
    <row r="904" spans="1:6" hidden="1">
      <c r="A904">
        <f>'Production Plan'!B833</f>
        <v>0</v>
      </c>
      <c r="B904" t="e">
        <f>VLOOKUP(A904,'Production Plan'!B:V,16,FALSE)</f>
        <v>#N/A</v>
      </c>
      <c r="C904" t="e">
        <f>VLOOKUP(A904,'Production Plan'!B:G,5,FALSE)</f>
        <v>#N/A</v>
      </c>
      <c r="F904"/>
    </row>
    <row r="905" spans="1:6" hidden="1">
      <c r="A905">
        <f>'Production Plan'!B834</f>
        <v>0</v>
      </c>
      <c r="B905" t="e">
        <f>VLOOKUP(A905,'Production Plan'!B:V,16,FALSE)</f>
        <v>#N/A</v>
      </c>
      <c r="C905" t="e">
        <f>VLOOKUP(A905,'Production Plan'!B:G,5,FALSE)</f>
        <v>#N/A</v>
      </c>
      <c r="F905"/>
    </row>
    <row r="906" spans="1:6" hidden="1">
      <c r="A906">
        <f>'Production Plan'!B835</f>
        <v>0</v>
      </c>
      <c r="B906" t="e">
        <f>VLOOKUP(A906,'Production Plan'!B:V,16,FALSE)</f>
        <v>#N/A</v>
      </c>
      <c r="C906" t="e">
        <f>VLOOKUP(A906,'Production Plan'!B:G,5,FALSE)</f>
        <v>#N/A</v>
      </c>
      <c r="F906"/>
    </row>
    <row r="907" spans="1:6" hidden="1">
      <c r="A907">
        <f>'Production Plan'!B836</f>
        <v>0</v>
      </c>
      <c r="B907" t="e">
        <f>VLOOKUP(A907,'Production Plan'!B:V,16,FALSE)</f>
        <v>#N/A</v>
      </c>
      <c r="C907" t="e">
        <f>VLOOKUP(A907,'Production Plan'!B:G,5,FALSE)</f>
        <v>#N/A</v>
      </c>
      <c r="F907"/>
    </row>
    <row r="908" spans="1:6" hidden="1">
      <c r="A908">
        <f>'Production Plan'!B837</f>
        <v>0</v>
      </c>
      <c r="B908" t="e">
        <f>VLOOKUP(A908,'Production Plan'!B:V,16,FALSE)</f>
        <v>#N/A</v>
      </c>
      <c r="C908" t="e">
        <f>VLOOKUP(A908,'Production Plan'!B:G,5,FALSE)</f>
        <v>#N/A</v>
      </c>
      <c r="F908"/>
    </row>
    <row r="909" spans="1:6" hidden="1">
      <c r="A909">
        <f>'Production Plan'!B838</f>
        <v>0</v>
      </c>
      <c r="B909" t="e">
        <f>VLOOKUP(A909,'Production Plan'!B:V,16,FALSE)</f>
        <v>#N/A</v>
      </c>
      <c r="C909" t="e">
        <f>VLOOKUP(A909,'Production Plan'!B:G,5,FALSE)</f>
        <v>#N/A</v>
      </c>
      <c r="F909"/>
    </row>
    <row r="910" spans="1:6" hidden="1">
      <c r="A910">
        <f>'Production Plan'!B839</f>
        <v>0</v>
      </c>
      <c r="B910" t="e">
        <f>VLOOKUP(A910,'Production Plan'!B:V,16,FALSE)</f>
        <v>#N/A</v>
      </c>
      <c r="C910" t="e">
        <f>VLOOKUP(A910,'Production Plan'!B:G,5,FALSE)</f>
        <v>#N/A</v>
      </c>
      <c r="F910"/>
    </row>
    <row r="911" spans="1:6" hidden="1">
      <c r="A911">
        <f>'Production Plan'!B840</f>
        <v>0</v>
      </c>
      <c r="B911" t="e">
        <f>VLOOKUP(A911,'Production Plan'!B:V,16,FALSE)</f>
        <v>#N/A</v>
      </c>
      <c r="C911" t="e">
        <f>VLOOKUP(A911,'Production Plan'!B:G,5,FALSE)</f>
        <v>#N/A</v>
      </c>
      <c r="F911"/>
    </row>
    <row r="912" spans="1:6" hidden="1">
      <c r="A912">
        <f>'Production Plan'!B841</f>
        <v>0</v>
      </c>
      <c r="B912" t="e">
        <f>VLOOKUP(A912,'Production Plan'!B:V,16,FALSE)</f>
        <v>#N/A</v>
      </c>
      <c r="C912" t="e">
        <f>VLOOKUP(A912,'Production Plan'!B:G,5,FALSE)</f>
        <v>#N/A</v>
      </c>
      <c r="F912"/>
    </row>
    <row r="913" spans="1:6" hidden="1">
      <c r="A913">
        <f>'Production Plan'!B842</f>
        <v>0</v>
      </c>
      <c r="B913" t="e">
        <f>VLOOKUP(A913,'Production Plan'!B:V,16,FALSE)</f>
        <v>#N/A</v>
      </c>
      <c r="C913" t="e">
        <f>VLOOKUP(A913,'Production Plan'!B:G,5,FALSE)</f>
        <v>#N/A</v>
      </c>
      <c r="F913"/>
    </row>
    <row r="914" spans="1:6" hidden="1">
      <c r="A914">
        <f>'Production Plan'!B843</f>
        <v>0</v>
      </c>
      <c r="B914" t="e">
        <f>VLOOKUP(A914,'Production Plan'!B:V,16,FALSE)</f>
        <v>#N/A</v>
      </c>
      <c r="C914" t="e">
        <f>VLOOKUP(A914,'Production Plan'!B:G,5,FALSE)</f>
        <v>#N/A</v>
      </c>
      <c r="F914"/>
    </row>
    <row r="915" spans="1:6" hidden="1">
      <c r="A915">
        <f>'Production Plan'!B844</f>
        <v>0</v>
      </c>
      <c r="B915" t="e">
        <f>VLOOKUP(A915,'Production Plan'!B:V,16,FALSE)</f>
        <v>#N/A</v>
      </c>
      <c r="C915" t="e">
        <f>VLOOKUP(A915,'Production Plan'!B:G,5,FALSE)</f>
        <v>#N/A</v>
      </c>
      <c r="F915"/>
    </row>
    <row r="916" spans="1:6" hidden="1">
      <c r="A916">
        <f>'Production Plan'!B845</f>
        <v>0</v>
      </c>
      <c r="B916" t="e">
        <f>VLOOKUP(A916,'Production Plan'!B:V,16,FALSE)</f>
        <v>#N/A</v>
      </c>
      <c r="C916" t="e">
        <f>VLOOKUP(A916,'Production Plan'!B:G,5,FALSE)</f>
        <v>#N/A</v>
      </c>
      <c r="F916"/>
    </row>
    <row r="917" spans="1:6" hidden="1">
      <c r="A917">
        <f>'Production Plan'!B846</f>
        <v>0</v>
      </c>
      <c r="B917" t="e">
        <f>VLOOKUP(A917,'Production Plan'!B:V,16,FALSE)</f>
        <v>#N/A</v>
      </c>
      <c r="C917" t="e">
        <f>VLOOKUP(A917,'Production Plan'!B:G,5,FALSE)</f>
        <v>#N/A</v>
      </c>
      <c r="F917"/>
    </row>
    <row r="918" spans="1:6" hidden="1">
      <c r="A918">
        <f>'Production Plan'!B847</f>
        <v>0</v>
      </c>
      <c r="B918" t="e">
        <f>VLOOKUP(A918,'Production Plan'!B:V,16,FALSE)</f>
        <v>#N/A</v>
      </c>
      <c r="C918" t="e">
        <f>VLOOKUP(A918,'Production Plan'!B:G,5,FALSE)</f>
        <v>#N/A</v>
      </c>
      <c r="F918"/>
    </row>
    <row r="919" spans="1:6" hidden="1">
      <c r="A919">
        <f>'Production Plan'!B848</f>
        <v>0</v>
      </c>
      <c r="B919" t="e">
        <f>VLOOKUP(A919,'Production Plan'!B:V,16,FALSE)</f>
        <v>#N/A</v>
      </c>
      <c r="C919" t="e">
        <f>VLOOKUP(A919,'Production Plan'!B:G,5,FALSE)</f>
        <v>#N/A</v>
      </c>
      <c r="F919"/>
    </row>
    <row r="920" spans="1:6" hidden="1">
      <c r="A920">
        <f>'Production Plan'!B849</f>
        <v>0</v>
      </c>
      <c r="B920" t="e">
        <f>VLOOKUP(A920,'Production Plan'!B:V,16,FALSE)</f>
        <v>#N/A</v>
      </c>
      <c r="C920" t="e">
        <f>VLOOKUP(A920,'Production Plan'!B:G,5,FALSE)</f>
        <v>#N/A</v>
      </c>
      <c r="F920"/>
    </row>
    <row r="921" spans="1:6" hidden="1">
      <c r="A921">
        <f>'Production Plan'!B850</f>
        <v>0</v>
      </c>
      <c r="B921" t="e">
        <f>VLOOKUP(A921,'Production Plan'!B:V,16,FALSE)</f>
        <v>#N/A</v>
      </c>
      <c r="C921" t="e">
        <f>VLOOKUP(A921,'Production Plan'!B:G,5,FALSE)</f>
        <v>#N/A</v>
      </c>
      <c r="F921"/>
    </row>
    <row r="922" spans="1:6" hidden="1">
      <c r="A922">
        <f>'Production Plan'!B851</f>
        <v>0</v>
      </c>
      <c r="B922" t="e">
        <f>VLOOKUP(A922,'Production Plan'!B:V,16,FALSE)</f>
        <v>#N/A</v>
      </c>
      <c r="C922" t="e">
        <f>VLOOKUP(A922,'Production Plan'!B:G,5,FALSE)</f>
        <v>#N/A</v>
      </c>
      <c r="F922"/>
    </row>
    <row r="923" spans="1:6" hidden="1">
      <c r="A923">
        <f>'Production Plan'!B852</f>
        <v>0</v>
      </c>
      <c r="B923" t="e">
        <f>VLOOKUP(A923,'Production Plan'!B:V,16,FALSE)</f>
        <v>#N/A</v>
      </c>
      <c r="C923" t="e">
        <f>VLOOKUP(A923,'Production Plan'!B:G,5,FALSE)</f>
        <v>#N/A</v>
      </c>
      <c r="F923"/>
    </row>
    <row r="924" spans="1:6" hidden="1">
      <c r="A924">
        <f>'Production Plan'!B853</f>
        <v>0</v>
      </c>
      <c r="B924" t="e">
        <f>VLOOKUP(A924,'Production Plan'!B:V,16,FALSE)</f>
        <v>#N/A</v>
      </c>
      <c r="C924" t="e">
        <f>VLOOKUP(A924,'Production Plan'!B:G,5,FALSE)</f>
        <v>#N/A</v>
      </c>
      <c r="F924"/>
    </row>
    <row r="925" spans="1:6" hidden="1">
      <c r="A925">
        <f>'Production Plan'!B854</f>
        <v>0</v>
      </c>
      <c r="B925" t="e">
        <f>VLOOKUP(A925,'Production Plan'!B:V,16,FALSE)</f>
        <v>#N/A</v>
      </c>
      <c r="C925" t="e">
        <f>VLOOKUP(A925,'Production Plan'!B:G,5,FALSE)</f>
        <v>#N/A</v>
      </c>
      <c r="F925"/>
    </row>
    <row r="926" spans="1:6" hidden="1">
      <c r="A926">
        <f>'Production Plan'!B855</f>
        <v>0</v>
      </c>
      <c r="B926" t="e">
        <f>VLOOKUP(A926,'Production Plan'!B:V,16,FALSE)</f>
        <v>#N/A</v>
      </c>
      <c r="C926" t="e">
        <f>VLOOKUP(A926,'Production Plan'!B:G,5,FALSE)</f>
        <v>#N/A</v>
      </c>
      <c r="F926"/>
    </row>
    <row r="927" spans="1:6" hidden="1">
      <c r="A927">
        <f>'Production Plan'!B856</f>
        <v>0</v>
      </c>
      <c r="B927" t="e">
        <f>VLOOKUP(A927,'Production Plan'!B:V,16,FALSE)</f>
        <v>#N/A</v>
      </c>
      <c r="C927" t="e">
        <f>VLOOKUP(A927,'Production Plan'!B:G,5,FALSE)</f>
        <v>#N/A</v>
      </c>
      <c r="F927"/>
    </row>
    <row r="928" spans="1:6" hidden="1">
      <c r="A928">
        <f>'Production Plan'!B857</f>
        <v>0</v>
      </c>
      <c r="B928" t="e">
        <f>VLOOKUP(A928,'Production Plan'!B:V,16,FALSE)</f>
        <v>#N/A</v>
      </c>
      <c r="C928" t="e">
        <f>VLOOKUP(A928,'Production Plan'!B:G,5,FALSE)</f>
        <v>#N/A</v>
      </c>
      <c r="F928"/>
    </row>
    <row r="929" spans="1:6" hidden="1">
      <c r="A929">
        <f>'Production Plan'!B858</f>
        <v>0</v>
      </c>
      <c r="B929" t="e">
        <f>VLOOKUP(A929,'Production Plan'!B:V,16,FALSE)</f>
        <v>#N/A</v>
      </c>
      <c r="C929" t="e">
        <f>VLOOKUP(A929,'Production Plan'!B:G,5,FALSE)</f>
        <v>#N/A</v>
      </c>
      <c r="F929"/>
    </row>
    <row r="930" spans="1:6" hidden="1">
      <c r="A930">
        <f>'Production Plan'!B859</f>
        <v>0</v>
      </c>
      <c r="B930" t="e">
        <f>VLOOKUP(A930,'Production Plan'!B:V,16,FALSE)</f>
        <v>#N/A</v>
      </c>
      <c r="C930" t="e">
        <f>VLOOKUP(A930,'Production Plan'!B:G,5,FALSE)</f>
        <v>#N/A</v>
      </c>
      <c r="F930"/>
    </row>
    <row r="931" spans="1:6" hidden="1">
      <c r="A931">
        <f>'Production Plan'!B860</f>
        <v>0</v>
      </c>
      <c r="B931" t="e">
        <f>VLOOKUP(A931,'Production Plan'!B:V,16,FALSE)</f>
        <v>#N/A</v>
      </c>
      <c r="C931" t="e">
        <f>VLOOKUP(A931,'Production Plan'!B:G,5,FALSE)</f>
        <v>#N/A</v>
      </c>
      <c r="F931"/>
    </row>
    <row r="932" spans="1:6" hidden="1">
      <c r="A932">
        <f>'Production Plan'!B861</f>
        <v>0</v>
      </c>
      <c r="B932" t="e">
        <f>VLOOKUP(A932,'Production Plan'!B:V,16,FALSE)</f>
        <v>#N/A</v>
      </c>
      <c r="C932" t="e">
        <f>VLOOKUP(A932,'Production Plan'!B:G,5,FALSE)</f>
        <v>#N/A</v>
      </c>
      <c r="F932"/>
    </row>
    <row r="933" spans="1:6" hidden="1">
      <c r="A933">
        <f>'Production Plan'!B862</f>
        <v>0</v>
      </c>
      <c r="B933" t="e">
        <f>VLOOKUP(A933,'Production Plan'!B:V,16,FALSE)</f>
        <v>#N/A</v>
      </c>
      <c r="C933" t="e">
        <f>VLOOKUP(A933,'Production Plan'!B:G,5,FALSE)</f>
        <v>#N/A</v>
      </c>
      <c r="F933"/>
    </row>
    <row r="934" spans="1:6" hidden="1">
      <c r="A934">
        <f>'Production Plan'!B863</f>
        <v>0</v>
      </c>
      <c r="B934" t="e">
        <f>VLOOKUP(A934,'Production Plan'!B:V,16,FALSE)</f>
        <v>#N/A</v>
      </c>
      <c r="C934" t="e">
        <f>VLOOKUP(A934,'Production Plan'!B:G,5,FALSE)</f>
        <v>#N/A</v>
      </c>
      <c r="F934"/>
    </row>
    <row r="935" spans="1:6" hidden="1">
      <c r="A935">
        <f>'Production Plan'!B864</f>
        <v>0</v>
      </c>
      <c r="B935" t="e">
        <f>VLOOKUP(A935,'Production Plan'!B:V,16,FALSE)</f>
        <v>#N/A</v>
      </c>
      <c r="C935" t="e">
        <f>VLOOKUP(A935,'Production Plan'!B:G,5,FALSE)</f>
        <v>#N/A</v>
      </c>
      <c r="F935"/>
    </row>
    <row r="936" spans="1:6" hidden="1">
      <c r="A936">
        <f>'Production Plan'!B865</f>
        <v>0</v>
      </c>
      <c r="B936" t="e">
        <f>VLOOKUP(A936,'Production Plan'!B:V,16,FALSE)</f>
        <v>#N/A</v>
      </c>
      <c r="C936" t="e">
        <f>VLOOKUP(A936,'Production Plan'!B:G,5,FALSE)</f>
        <v>#N/A</v>
      </c>
      <c r="F936"/>
    </row>
    <row r="937" spans="1:6" hidden="1">
      <c r="A937">
        <f>'Production Plan'!B866</f>
        <v>0</v>
      </c>
      <c r="B937" t="e">
        <f>VLOOKUP(A937,'Production Plan'!B:V,16,FALSE)</f>
        <v>#N/A</v>
      </c>
      <c r="C937" t="e">
        <f>VLOOKUP(A937,'Production Plan'!B:G,5,FALSE)</f>
        <v>#N/A</v>
      </c>
      <c r="F937"/>
    </row>
    <row r="938" spans="1:6" hidden="1">
      <c r="A938">
        <f>'Production Plan'!B867</f>
        <v>0</v>
      </c>
      <c r="B938" t="e">
        <f>VLOOKUP(A938,'Production Plan'!B:V,16,FALSE)</f>
        <v>#N/A</v>
      </c>
      <c r="C938" t="e">
        <f>VLOOKUP(A938,'Production Plan'!B:G,5,FALSE)</f>
        <v>#N/A</v>
      </c>
      <c r="F938"/>
    </row>
    <row r="939" spans="1:6" hidden="1">
      <c r="A939">
        <f>'Production Plan'!B868</f>
        <v>0</v>
      </c>
      <c r="B939" t="e">
        <f>VLOOKUP(A939,'Production Plan'!B:V,16,FALSE)</f>
        <v>#N/A</v>
      </c>
      <c r="C939" t="e">
        <f>VLOOKUP(A939,'Production Plan'!B:G,5,FALSE)</f>
        <v>#N/A</v>
      </c>
      <c r="F939"/>
    </row>
    <row r="940" spans="1:6" hidden="1">
      <c r="A940">
        <f>'Production Plan'!B869</f>
        <v>0</v>
      </c>
      <c r="B940" t="e">
        <f>VLOOKUP(A940,'Production Plan'!B:V,16,FALSE)</f>
        <v>#N/A</v>
      </c>
      <c r="C940" t="e">
        <f>VLOOKUP(A940,'Production Plan'!B:G,5,FALSE)</f>
        <v>#N/A</v>
      </c>
      <c r="F940"/>
    </row>
    <row r="941" spans="1:6" hidden="1">
      <c r="A941">
        <f>'Production Plan'!B870</f>
        <v>0</v>
      </c>
      <c r="B941" t="e">
        <f>VLOOKUP(A941,'Production Plan'!B:V,16,FALSE)</f>
        <v>#N/A</v>
      </c>
      <c r="C941" t="e">
        <f>VLOOKUP(A941,'Production Plan'!B:G,5,FALSE)</f>
        <v>#N/A</v>
      </c>
      <c r="F941"/>
    </row>
    <row r="942" spans="1:6" hidden="1">
      <c r="A942">
        <f>'Production Plan'!B871</f>
        <v>0</v>
      </c>
      <c r="B942" t="e">
        <f>VLOOKUP(A942,'Production Plan'!B:V,16,FALSE)</f>
        <v>#N/A</v>
      </c>
      <c r="C942" t="e">
        <f>VLOOKUP(A942,'Production Plan'!B:G,5,FALSE)</f>
        <v>#N/A</v>
      </c>
      <c r="F942"/>
    </row>
    <row r="943" spans="1:6" hidden="1">
      <c r="A943">
        <f>'Production Plan'!B872</f>
        <v>0</v>
      </c>
      <c r="B943" t="e">
        <f>VLOOKUP(A943,'Production Plan'!B:V,16,FALSE)</f>
        <v>#N/A</v>
      </c>
      <c r="C943" t="e">
        <f>VLOOKUP(A943,'Production Plan'!B:G,5,FALSE)</f>
        <v>#N/A</v>
      </c>
      <c r="F943"/>
    </row>
    <row r="944" spans="1:6" hidden="1">
      <c r="A944">
        <f>'Production Plan'!B873</f>
        <v>0</v>
      </c>
      <c r="B944" t="e">
        <f>VLOOKUP(A944,'Production Plan'!B:V,16,FALSE)</f>
        <v>#N/A</v>
      </c>
      <c r="C944" t="e">
        <f>VLOOKUP(A944,'Production Plan'!B:G,5,FALSE)</f>
        <v>#N/A</v>
      </c>
      <c r="F944"/>
    </row>
    <row r="945" spans="1:6" hidden="1">
      <c r="A945">
        <f>'Production Plan'!B874</f>
        <v>0</v>
      </c>
      <c r="B945" t="e">
        <f>VLOOKUP(A945,'Production Plan'!B:V,16,FALSE)</f>
        <v>#N/A</v>
      </c>
      <c r="C945" t="e">
        <f>VLOOKUP(A945,'Production Plan'!B:G,5,FALSE)</f>
        <v>#N/A</v>
      </c>
      <c r="F945"/>
    </row>
    <row r="946" spans="1:6" hidden="1">
      <c r="A946">
        <f>'Production Plan'!B875</f>
        <v>0</v>
      </c>
      <c r="B946" t="e">
        <f>VLOOKUP(A946,'Production Plan'!B:V,16,FALSE)</f>
        <v>#N/A</v>
      </c>
      <c r="C946" t="e">
        <f>VLOOKUP(A946,'Production Plan'!B:G,5,FALSE)</f>
        <v>#N/A</v>
      </c>
      <c r="F946"/>
    </row>
    <row r="947" spans="1:6" hidden="1">
      <c r="A947">
        <f>'Production Plan'!B876</f>
        <v>0</v>
      </c>
      <c r="B947" t="e">
        <f>VLOOKUP(A947,'Production Plan'!B:V,16,FALSE)</f>
        <v>#N/A</v>
      </c>
      <c r="C947" t="e">
        <f>VLOOKUP(A947,'Production Plan'!B:G,5,FALSE)</f>
        <v>#N/A</v>
      </c>
      <c r="F947"/>
    </row>
    <row r="948" spans="1:6" hidden="1">
      <c r="A948">
        <f>'Production Plan'!B877</f>
        <v>0</v>
      </c>
      <c r="B948" t="e">
        <f>VLOOKUP(A948,'Production Plan'!B:V,16,FALSE)</f>
        <v>#N/A</v>
      </c>
      <c r="C948" t="e">
        <f>VLOOKUP(A948,'Production Plan'!B:G,5,FALSE)</f>
        <v>#N/A</v>
      </c>
      <c r="F948"/>
    </row>
    <row r="949" spans="1:6" hidden="1">
      <c r="A949">
        <f>'Production Plan'!B878</f>
        <v>0</v>
      </c>
      <c r="B949" t="e">
        <f>VLOOKUP(A949,'Production Plan'!B:V,16,FALSE)</f>
        <v>#N/A</v>
      </c>
      <c r="C949" t="e">
        <f>VLOOKUP(A949,'Production Plan'!B:G,5,FALSE)</f>
        <v>#N/A</v>
      </c>
      <c r="F949"/>
    </row>
    <row r="950" spans="1:6" hidden="1">
      <c r="A950">
        <f>'Production Plan'!B879</f>
        <v>0</v>
      </c>
      <c r="B950" t="e">
        <f>VLOOKUP(A950,'Production Plan'!B:V,16,FALSE)</f>
        <v>#N/A</v>
      </c>
      <c r="C950" t="e">
        <f>VLOOKUP(A950,'Production Plan'!B:G,5,FALSE)</f>
        <v>#N/A</v>
      </c>
      <c r="F950"/>
    </row>
    <row r="951" spans="1:6" hidden="1">
      <c r="A951">
        <f>'Production Plan'!B880</f>
        <v>0</v>
      </c>
      <c r="B951" t="e">
        <f>VLOOKUP(A951,'Production Plan'!B:V,16,FALSE)</f>
        <v>#N/A</v>
      </c>
      <c r="C951" t="e">
        <f>VLOOKUP(A951,'Production Plan'!B:G,5,FALSE)</f>
        <v>#N/A</v>
      </c>
      <c r="F951"/>
    </row>
    <row r="952" spans="1:6" hidden="1">
      <c r="A952">
        <f>'Production Plan'!B881</f>
        <v>0</v>
      </c>
      <c r="B952" t="e">
        <f>VLOOKUP(A952,'Production Plan'!B:V,16,FALSE)</f>
        <v>#N/A</v>
      </c>
      <c r="C952" t="e">
        <f>VLOOKUP(A952,'Production Plan'!B:G,5,FALSE)</f>
        <v>#N/A</v>
      </c>
      <c r="F952"/>
    </row>
    <row r="953" spans="1:6" hidden="1">
      <c r="A953">
        <f>'Production Plan'!B882</f>
        <v>0</v>
      </c>
      <c r="B953" t="e">
        <f>VLOOKUP(A953,'Production Plan'!B:V,16,FALSE)</f>
        <v>#N/A</v>
      </c>
      <c r="C953" t="e">
        <f>VLOOKUP(A953,'Production Plan'!B:G,5,FALSE)</f>
        <v>#N/A</v>
      </c>
      <c r="F953"/>
    </row>
    <row r="954" spans="1:6" hidden="1">
      <c r="A954">
        <f>'Production Plan'!B883</f>
        <v>0</v>
      </c>
      <c r="B954" t="e">
        <f>VLOOKUP(A954,'Production Plan'!B:V,16,FALSE)</f>
        <v>#N/A</v>
      </c>
      <c r="C954" t="e">
        <f>VLOOKUP(A954,'Production Plan'!B:G,5,FALSE)</f>
        <v>#N/A</v>
      </c>
      <c r="F954"/>
    </row>
    <row r="955" spans="1:6" hidden="1">
      <c r="A955">
        <f>'Production Plan'!B884</f>
        <v>0</v>
      </c>
      <c r="B955" t="e">
        <f>VLOOKUP(A955,'Production Plan'!B:V,16,FALSE)</f>
        <v>#N/A</v>
      </c>
      <c r="C955" t="e">
        <f>VLOOKUP(A955,'Production Plan'!B:G,5,FALSE)</f>
        <v>#N/A</v>
      </c>
      <c r="F955"/>
    </row>
    <row r="956" spans="1:6" hidden="1">
      <c r="A956">
        <f>'Production Plan'!B885</f>
        <v>0</v>
      </c>
      <c r="B956" t="e">
        <f>VLOOKUP(A956,'Production Plan'!B:V,16,FALSE)</f>
        <v>#N/A</v>
      </c>
      <c r="C956" t="e">
        <f>VLOOKUP(A956,'Production Plan'!B:G,5,FALSE)</f>
        <v>#N/A</v>
      </c>
      <c r="F956"/>
    </row>
    <row r="957" spans="1:6" hidden="1">
      <c r="A957">
        <f>'Production Plan'!B886</f>
        <v>0</v>
      </c>
      <c r="B957" t="e">
        <f>VLOOKUP(A957,'Production Plan'!B:V,16,FALSE)</f>
        <v>#N/A</v>
      </c>
      <c r="C957" t="e">
        <f>VLOOKUP(A957,'Production Plan'!B:G,5,FALSE)</f>
        <v>#N/A</v>
      </c>
      <c r="F957"/>
    </row>
    <row r="958" spans="1:6" hidden="1">
      <c r="A958">
        <f>'Production Plan'!B887</f>
        <v>0</v>
      </c>
      <c r="B958" t="e">
        <f>VLOOKUP(A958,'Production Plan'!B:V,16,FALSE)</f>
        <v>#N/A</v>
      </c>
      <c r="C958" t="e">
        <f>VLOOKUP(A958,'Production Plan'!B:G,5,FALSE)</f>
        <v>#N/A</v>
      </c>
      <c r="F958"/>
    </row>
    <row r="959" spans="1:6" hidden="1">
      <c r="A959">
        <f>'Production Plan'!B888</f>
        <v>0</v>
      </c>
      <c r="B959" t="e">
        <f>VLOOKUP(A959,'Production Plan'!B:V,16,FALSE)</f>
        <v>#N/A</v>
      </c>
      <c r="C959" t="e">
        <f>VLOOKUP(A959,'Production Plan'!B:G,5,FALSE)</f>
        <v>#N/A</v>
      </c>
      <c r="F959"/>
    </row>
    <row r="960" spans="1:6" hidden="1">
      <c r="A960">
        <f>'Production Plan'!B889</f>
        <v>0</v>
      </c>
      <c r="B960" t="e">
        <f>VLOOKUP(A960,'Production Plan'!B:V,16,FALSE)</f>
        <v>#N/A</v>
      </c>
      <c r="C960" t="e">
        <f>VLOOKUP(A960,'Production Plan'!B:G,5,FALSE)</f>
        <v>#N/A</v>
      </c>
      <c r="F960"/>
    </row>
    <row r="961" spans="1:6" hidden="1">
      <c r="A961">
        <f>'Production Plan'!B890</f>
        <v>0</v>
      </c>
      <c r="B961" t="e">
        <f>VLOOKUP(A961,'Production Plan'!B:V,16,FALSE)</f>
        <v>#N/A</v>
      </c>
      <c r="C961" t="e">
        <f>VLOOKUP(A961,'Production Plan'!B:G,5,FALSE)</f>
        <v>#N/A</v>
      </c>
      <c r="F961"/>
    </row>
    <row r="962" spans="1:6" hidden="1">
      <c r="A962">
        <f>'Production Plan'!B891</f>
        <v>0</v>
      </c>
      <c r="B962" t="e">
        <f>VLOOKUP(A962,'Production Plan'!B:V,16,FALSE)</f>
        <v>#N/A</v>
      </c>
      <c r="C962" t="e">
        <f>VLOOKUP(A962,'Production Plan'!B:G,5,FALSE)</f>
        <v>#N/A</v>
      </c>
      <c r="F962"/>
    </row>
    <row r="963" spans="1:6" hidden="1">
      <c r="A963">
        <f>'Production Plan'!B892</f>
        <v>0</v>
      </c>
      <c r="B963" t="e">
        <f>VLOOKUP(A963,'Production Plan'!B:V,16,FALSE)</f>
        <v>#N/A</v>
      </c>
      <c r="C963" t="e">
        <f>VLOOKUP(A963,'Production Plan'!B:G,5,FALSE)</f>
        <v>#N/A</v>
      </c>
      <c r="F963"/>
    </row>
    <row r="964" spans="1:6" hidden="1">
      <c r="A964">
        <f>'Production Plan'!B893</f>
        <v>0</v>
      </c>
      <c r="B964" t="e">
        <f>VLOOKUP(A964,'Production Plan'!B:V,16,FALSE)</f>
        <v>#N/A</v>
      </c>
      <c r="C964" t="e">
        <f>VLOOKUP(A964,'Production Plan'!B:G,5,FALSE)</f>
        <v>#N/A</v>
      </c>
      <c r="F964"/>
    </row>
    <row r="965" spans="1:6" hidden="1">
      <c r="A965">
        <f>'Production Plan'!B894</f>
        <v>0</v>
      </c>
      <c r="B965" t="e">
        <f>VLOOKUP(A965,'Production Plan'!B:V,16,FALSE)</f>
        <v>#N/A</v>
      </c>
      <c r="C965" t="e">
        <f>VLOOKUP(A965,'Production Plan'!B:G,5,FALSE)</f>
        <v>#N/A</v>
      </c>
      <c r="F965"/>
    </row>
    <row r="966" spans="1:6" hidden="1">
      <c r="A966">
        <f>'Production Plan'!B895</f>
        <v>0</v>
      </c>
      <c r="B966" t="e">
        <f>VLOOKUP(A966,'Production Plan'!B:V,16,FALSE)</f>
        <v>#N/A</v>
      </c>
      <c r="C966" t="e">
        <f>VLOOKUP(A966,'Production Plan'!B:G,5,FALSE)</f>
        <v>#N/A</v>
      </c>
      <c r="F966"/>
    </row>
    <row r="967" spans="1:6" hidden="1">
      <c r="A967">
        <f>'Production Plan'!B896</f>
        <v>0</v>
      </c>
      <c r="B967" t="e">
        <f>VLOOKUP(A967,'Production Plan'!B:V,16,FALSE)</f>
        <v>#N/A</v>
      </c>
      <c r="C967" t="e">
        <f>VLOOKUP(A967,'Production Plan'!B:G,5,FALSE)</f>
        <v>#N/A</v>
      </c>
      <c r="F967"/>
    </row>
    <row r="968" spans="1:6" hidden="1">
      <c r="A968">
        <f>'Production Plan'!B897</f>
        <v>0</v>
      </c>
      <c r="B968" t="e">
        <f>VLOOKUP(A968,'Production Plan'!B:V,16,FALSE)</f>
        <v>#N/A</v>
      </c>
      <c r="C968" t="e">
        <f>VLOOKUP(A968,'Production Plan'!B:G,5,FALSE)</f>
        <v>#N/A</v>
      </c>
      <c r="F968"/>
    </row>
    <row r="969" spans="1:6" hidden="1">
      <c r="A969">
        <f>'Production Plan'!B898</f>
        <v>0</v>
      </c>
      <c r="B969" t="e">
        <f>VLOOKUP(A969,'Production Plan'!B:V,16,FALSE)</f>
        <v>#N/A</v>
      </c>
      <c r="C969" t="e">
        <f>VLOOKUP(A969,'Production Plan'!B:G,5,FALSE)</f>
        <v>#N/A</v>
      </c>
      <c r="F969"/>
    </row>
    <row r="970" spans="1:6" hidden="1">
      <c r="A970">
        <f>'Production Plan'!B899</f>
        <v>0</v>
      </c>
      <c r="B970" t="e">
        <f>VLOOKUP(A970,'Production Plan'!B:V,16,FALSE)</f>
        <v>#N/A</v>
      </c>
      <c r="C970" t="e">
        <f>VLOOKUP(A970,'Production Plan'!B:G,5,FALSE)</f>
        <v>#N/A</v>
      </c>
      <c r="F970"/>
    </row>
    <row r="971" spans="1:6" hidden="1">
      <c r="A971">
        <f>'Production Plan'!B900</f>
        <v>0</v>
      </c>
      <c r="B971" t="e">
        <f>VLOOKUP(A971,'Production Plan'!B:V,16,FALSE)</f>
        <v>#N/A</v>
      </c>
      <c r="C971" t="e">
        <f>VLOOKUP(A971,'Production Plan'!B:G,5,FALSE)</f>
        <v>#N/A</v>
      </c>
      <c r="F971"/>
    </row>
    <row r="972" spans="1:6" hidden="1">
      <c r="A972">
        <f>'Production Plan'!B901</f>
        <v>0</v>
      </c>
      <c r="B972" t="e">
        <f>VLOOKUP(A972,'Production Plan'!B:V,16,FALSE)</f>
        <v>#N/A</v>
      </c>
      <c r="C972" t="e">
        <f>VLOOKUP(A972,'Production Plan'!B:G,5,FALSE)</f>
        <v>#N/A</v>
      </c>
      <c r="F972"/>
    </row>
    <row r="973" spans="1:6" hidden="1">
      <c r="A973">
        <f>'Production Plan'!B902</f>
        <v>0</v>
      </c>
      <c r="B973" t="e">
        <f>VLOOKUP(A973,'Production Plan'!B:V,16,FALSE)</f>
        <v>#N/A</v>
      </c>
      <c r="C973" t="e">
        <f>VLOOKUP(A973,'Production Plan'!B:G,5,FALSE)</f>
        <v>#N/A</v>
      </c>
      <c r="F973"/>
    </row>
    <row r="974" spans="1:6" hidden="1">
      <c r="A974">
        <f>'Production Plan'!B903</f>
        <v>0</v>
      </c>
      <c r="B974" t="e">
        <f>VLOOKUP(A974,'Production Plan'!B:V,16,FALSE)</f>
        <v>#N/A</v>
      </c>
      <c r="C974" t="e">
        <f>VLOOKUP(A974,'Production Plan'!B:G,5,FALSE)</f>
        <v>#N/A</v>
      </c>
      <c r="F974"/>
    </row>
    <row r="975" spans="1:6" hidden="1">
      <c r="A975">
        <f>'Production Plan'!B904</f>
        <v>0</v>
      </c>
      <c r="B975" t="e">
        <f>VLOOKUP(A975,'Production Plan'!B:V,16,FALSE)</f>
        <v>#N/A</v>
      </c>
      <c r="C975" t="e">
        <f>VLOOKUP(A975,'Production Plan'!B:G,5,FALSE)</f>
        <v>#N/A</v>
      </c>
      <c r="F975"/>
    </row>
    <row r="976" spans="1:6" hidden="1">
      <c r="A976">
        <f>'Production Plan'!B905</f>
        <v>0</v>
      </c>
      <c r="B976" t="e">
        <f>VLOOKUP(A976,'Production Plan'!B:V,16,FALSE)</f>
        <v>#N/A</v>
      </c>
      <c r="C976" t="e">
        <f>VLOOKUP(A976,'Production Plan'!B:G,5,FALSE)</f>
        <v>#N/A</v>
      </c>
      <c r="F976"/>
    </row>
    <row r="977" spans="1:6" hidden="1">
      <c r="A977">
        <f>'Production Plan'!B906</f>
        <v>0</v>
      </c>
      <c r="B977" t="e">
        <f>VLOOKUP(A977,'Production Plan'!B:V,16,FALSE)</f>
        <v>#N/A</v>
      </c>
      <c r="C977" t="e">
        <f>VLOOKUP(A977,'Production Plan'!B:G,5,FALSE)</f>
        <v>#N/A</v>
      </c>
      <c r="F977"/>
    </row>
    <row r="978" spans="1:6" hidden="1">
      <c r="A978">
        <f>'Production Plan'!B907</f>
        <v>0</v>
      </c>
      <c r="B978" t="e">
        <f>VLOOKUP(A978,'Production Plan'!B:V,16,FALSE)</f>
        <v>#N/A</v>
      </c>
      <c r="C978" t="e">
        <f>VLOOKUP(A978,'Production Plan'!B:G,5,FALSE)</f>
        <v>#N/A</v>
      </c>
      <c r="F978"/>
    </row>
    <row r="979" spans="1:6" hidden="1">
      <c r="A979">
        <f>'Production Plan'!B908</f>
        <v>0</v>
      </c>
      <c r="B979" t="e">
        <f>VLOOKUP(A979,'Production Plan'!B:V,16,FALSE)</f>
        <v>#N/A</v>
      </c>
      <c r="C979" t="e">
        <f>VLOOKUP(A979,'Production Plan'!B:G,5,FALSE)</f>
        <v>#N/A</v>
      </c>
      <c r="F979"/>
    </row>
    <row r="980" spans="1:6" hidden="1">
      <c r="A980">
        <f>'Production Plan'!B909</f>
        <v>0</v>
      </c>
      <c r="B980" t="e">
        <f>VLOOKUP(A980,'Production Plan'!B:V,16,FALSE)</f>
        <v>#N/A</v>
      </c>
      <c r="C980" t="e">
        <f>VLOOKUP(A980,'Production Plan'!B:G,5,FALSE)</f>
        <v>#N/A</v>
      </c>
      <c r="F980"/>
    </row>
    <row r="981" spans="1:6" hidden="1">
      <c r="A981">
        <f>'Production Plan'!B910</f>
        <v>0</v>
      </c>
      <c r="B981" t="e">
        <f>VLOOKUP(A981,'Production Plan'!B:V,16,FALSE)</f>
        <v>#N/A</v>
      </c>
      <c r="C981" t="e">
        <f>VLOOKUP(A981,'Production Plan'!B:G,5,FALSE)</f>
        <v>#N/A</v>
      </c>
      <c r="F981"/>
    </row>
    <row r="982" spans="1:6" hidden="1">
      <c r="A982">
        <f>'Production Plan'!B911</f>
        <v>0</v>
      </c>
      <c r="B982" t="e">
        <f>VLOOKUP(A982,'Production Plan'!B:V,16,FALSE)</f>
        <v>#N/A</v>
      </c>
      <c r="C982" t="e">
        <f>VLOOKUP(A982,'Production Plan'!B:G,5,FALSE)</f>
        <v>#N/A</v>
      </c>
      <c r="F982"/>
    </row>
    <row r="983" spans="1:6" hidden="1">
      <c r="A983">
        <f>'Production Plan'!B912</f>
        <v>0</v>
      </c>
      <c r="B983" t="e">
        <f>VLOOKUP(A983,'Production Plan'!B:V,16,FALSE)</f>
        <v>#N/A</v>
      </c>
      <c r="C983" t="e">
        <f>VLOOKUP(A983,'Production Plan'!B:G,5,FALSE)</f>
        <v>#N/A</v>
      </c>
      <c r="F983"/>
    </row>
    <row r="984" spans="1:6" hidden="1">
      <c r="A984">
        <f>'Production Plan'!B913</f>
        <v>0</v>
      </c>
      <c r="B984" t="e">
        <f>VLOOKUP(A984,'Production Plan'!B:V,16,FALSE)</f>
        <v>#N/A</v>
      </c>
      <c r="C984" t="e">
        <f>VLOOKUP(A984,'Production Plan'!B:G,5,FALSE)</f>
        <v>#N/A</v>
      </c>
      <c r="F984"/>
    </row>
    <row r="985" spans="1:6" hidden="1">
      <c r="A985">
        <f>'Production Plan'!B914</f>
        <v>0</v>
      </c>
      <c r="B985" t="e">
        <f>VLOOKUP(A985,'Production Plan'!B:V,16,FALSE)</f>
        <v>#N/A</v>
      </c>
      <c r="C985" t="e">
        <f>VLOOKUP(A985,'Production Plan'!B:G,5,FALSE)</f>
        <v>#N/A</v>
      </c>
      <c r="F985"/>
    </row>
    <row r="986" spans="1:6" hidden="1">
      <c r="A986">
        <f>'Production Plan'!B915</f>
        <v>0</v>
      </c>
      <c r="B986" t="e">
        <f>VLOOKUP(A986,'Production Plan'!B:V,16,FALSE)</f>
        <v>#N/A</v>
      </c>
      <c r="C986" t="e">
        <f>VLOOKUP(A986,'Production Plan'!B:G,5,FALSE)</f>
        <v>#N/A</v>
      </c>
      <c r="F986"/>
    </row>
    <row r="987" spans="1:6" hidden="1">
      <c r="A987">
        <f>'Production Plan'!B916</f>
        <v>0</v>
      </c>
      <c r="B987" t="e">
        <f>VLOOKUP(A987,'Production Plan'!B:V,16,FALSE)</f>
        <v>#N/A</v>
      </c>
      <c r="C987" t="e">
        <f>VLOOKUP(A987,'Production Plan'!B:G,5,FALSE)</f>
        <v>#N/A</v>
      </c>
      <c r="F987"/>
    </row>
    <row r="988" spans="1:6" hidden="1">
      <c r="A988">
        <f>'Production Plan'!B917</f>
        <v>0</v>
      </c>
      <c r="B988" t="e">
        <f>VLOOKUP(A988,'Production Plan'!B:V,16,FALSE)</f>
        <v>#N/A</v>
      </c>
      <c r="C988" t="e">
        <f>VLOOKUP(A988,'Production Plan'!B:G,5,FALSE)</f>
        <v>#N/A</v>
      </c>
      <c r="F988"/>
    </row>
    <row r="989" spans="1:6" hidden="1">
      <c r="A989">
        <f>'Production Plan'!B918</f>
        <v>0</v>
      </c>
      <c r="B989" t="e">
        <f>VLOOKUP(A989,'Production Plan'!B:V,16,FALSE)</f>
        <v>#N/A</v>
      </c>
      <c r="C989" t="e">
        <f>VLOOKUP(A989,'Production Plan'!B:G,5,FALSE)</f>
        <v>#N/A</v>
      </c>
      <c r="F989"/>
    </row>
    <row r="990" spans="1:6" hidden="1">
      <c r="A990">
        <f>'Production Plan'!B919</f>
        <v>0</v>
      </c>
      <c r="B990" t="e">
        <f>VLOOKUP(A990,'Production Plan'!B:V,16,FALSE)</f>
        <v>#N/A</v>
      </c>
      <c r="C990" t="e">
        <f>VLOOKUP(A990,'Production Plan'!B:G,5,FALSE)</f>
        <v>#N/A</v>
      </c>
      <c r="F990"/>
    </row>
    <row r="991" spans="1:6" hidden="1">
      <c r="A991">
        <f>'Production Plan'!B920</f>
        <v>0</v>
      </c>
      <c r="B991" t="e">
        <f>VLOOKUP(A991,'Production Plan'!B:V,16,FALSE)</f>
        <v>#N/A</v>
      </c>
      <c r="C991" t="e">
        <f>VLOOKUP(A991,'Production Plan'!B:G,5,FALSE)</f>
        <v>#N/A</v>
      </c>
      <c r="F991"/>
    </row>
    <row r="992" spans="1:6" hidden="1">
      <c r="A992">
        <f>'Production Plan'!B921</f>
        <v>0</v>
      </c>
      <c r="B992" t="e">
        <f>VLOOKUP(A992,'Production Plan'!B:V,16,FALSE)</f>
        <v>#N/A</v>
      </c>
      <c r="C992" t="e">
        <f>VLOOKUP(A992,'Production Plan'!B:G,5,FALSE)</f>
        <v>#N/A</v>
      </c>
      <c r="F992"/>
    </row>
    <row r="993" spans="1:6" hidden="1">
      <c r="A993">
        <f>'Production Plan'!B922</f>
        <v>0</v>
      </c>
      <c r="B993" t="e">
        <f>VLOOKUP(A993,'Production Plan'!B:V,16,FALSE)</f>
        <v>#N/A</v>
      </c>
      <c r="C993" t="e">
        <f>VLOOKUP(A993,'Production Plan'!B:G,5,FALSE)</f>
        <v>#N/A</v>
      </c>
      <c r="F993"/>
    </row>
    <row r="994" spans="1:6" hidden="1">
      <c r="A994">
        <f>'Production Plan'!B923</f>
        <v>0</v>
      </c>
      <c r="B994" t="e">
        <f>VLOOKUP(A994,'Production Plan'!B:V,16,FALSE)</f>
        <v>#N/A</v>
      </c>
      <c r="C994" t="e">
        <f>VLOOKUP(A994,'Production Plan'!B:G,5,FALSE)</f>
        <v>#N/A</v>
      </c>
      <c r="F994"/>
    </row>
    <row r="995" spans="1:6" hidden="1">
      <c r="A995">
        <f>'Production Plan'!B924</f>
        <v>0</v>
      </c>
      <c r="B995" t="e">
        <f>VLOOKUP(A995,'Production Plan'!B:V,16,FALSE)</f>
        <v>#N/A</v>
      </c>
      <c r="C995" t="e">
        <f>VLOOKUP(A995,'Production Plan'!B:G,5,FALSE)</f>
        <v>#N/A</v>
      </c>
      <c r="F995"/>
    </row>
    <row r="996" spans="1:6" hidden="1">
      <c r="A996">
        <f>'Production Plan'!B925</f>
        <v>0</v>
      </c>
      <c r="B996" t="e">
        <f>VLOOKUP(A996,'Production Plan'!B:V,16,FALSE)</f>
        <v>#N/A</v>
      </c>
      <c r="C996" t="e">
        <f>VLOOKUP(A996,'Production Plan'!B:G,5,FALSE)</f>
        <v>#N/A</v>
      </c>
      <c r="F996"/>
    </row>
    <row r="997" spans="1:6" hidden="1">
      <c r="A997">
        <f>'Production Plan'!B926</f>
        <v>0</v>
      </c>
      <c r="B997" t="e">
        <f>VLOOKUP(A997,'Production Plan'!B:V,16,FALSE)</f>
        <v>#N/A</v>
      </c>
      <c r="C997" t="e">
        <f>VLOOKUP(A997,'Production Plan'!B:G,5,FALSE)</f>
        <v>#N/A</v>
      </c>
      <c r="F997"/>
    </row>
    <row r="998" spans="1:6" hidden="1">
      <c r="A998">
        <f>'Production Plan'!B927</f>
        <v>0</v>
      </c>
      <c r="B998" t="e">
        <f>VLOOKUP(A998,'Production Plan'!B:V,16,FALSE)</f>
        <v>#N/A</v>
      </c>
      <c r="C998" t="e">
        <f>VLOOKUP(A998,'Production Plan'!B:G,5,FALSE)</f>
        <v>#N/A</v>
      </c>
      <c r="F998"/>
    </row>
    <row r="999" spans="1:6" hidden="1">
      <c r="A999">
        <f>'Production Plan'!B928</f>
        <v>0</v>
      </c>
      <c r="B999" t="e">
        <f>VLOOKUP(A999,'Production Plan'!B:V,16,FALSE)</f>
        <v>#N/A</v>
      </c>
      <c r="C999" t="e">
        <f>VLOOKUP(A999,'Production Plan'!B:G,5,FALSE)</f>
        <v>#N/A</v>
      </c>
      <c r="F999"/>
    </row>
    <row r="1000" spans="1:6" hidden="1">
      <c r="A1000">
        <f>'Production Plan'!B929</f>
        <v>0</v>
      </c>
      <c r="B1000" t="e">
        <f>VLOOKUP(A1000,'Production Plan'!B:V,16,FALSE)</f>
        <v>#N/A</v>
      </c>
      <c r="C1000" t="e">
        <f>VLOOKUP(A1000,'Production Plan'!B:G,5,FALSE)</f>
        <v>#N/A</v>
      </c>
      <c r="F1000"/>
    </row>
    <row r="1001" spans="1:6" hidden="1">
      <c r="A1001">
        <f>'Production Plan'!B930</f>
        <v>0</v>
      </c>
      <c r="B1001" t="e">
        <f>VLOOKUP(A1001,'Production Plan'!B:V,16,FALSE)</f>
        <v>#N/A</v>
      </c>
      <c r="C1001" t="e">
        <f>VLOOKUP(A1001,'Production Plan'!B:G,5,FALSE)</f>
        <v>#N/A</v>
      </c>
      <c r="F1001"/>
    </row>
    <row r="1002" spans="1:6" hidden="1">
      <c r="A1002">
        <f>'Production Plan'!B931</f>
        <v>0</v>
      </c>
      <c r="B1002" t="e">
        <f>VLOOKUP(A1002,'Production Plan'!B:V,16,FALSE)</f>
        <v>#N/A</v>
      </c>
      <c r="C1002" t="e">
        <f>VLOOKUP(A1002,'Production Plan'!B:G,5,FALSE)</f>
        <v>#N/A</v>
      </c>
      <c r="F1002"/>
    </row>
    <row r="1003" spans="1:6" hidden="1">
      <c r="A1003">
        <f>'Production Plan'!B932</f>
        <v>0</v>
      </c>
      <c r="B1003" t="e">
        <f>VLOOKUP(A1003,'Production Plan'!B:V,16,FALSE)</f>
        <v>#N/A</v>
      </c>
      <c r="C1003" t="e">
        <f>VLOOKUP(A1003,'Production Plan'!B:G,5,FALSE)</f>
        <v>#N/A</v>
      </c>
      <c r="F1003"/>
    </row>
    <row r="1004" spans="1:6" hidden="1">
      <c r="A1004">
        <f>'Production Plan'!B933</f>
        <v>0</v>
      </c>
      <c r="B1004" t="e">
        <f>VLOOKUP(A1004,'Production Plan'!B:V,16,FALSE)</f>
        <v>#N/A</v>
      </c>
      <c r="C1004" t="e">
        <f>VLOOKUP(A1004,'Production Plan'!B:G,5,FALSE)</f>
        <v>#N/A</v>
      </c>
      <c r="F1004"/>
    </row>
    <row r="1005" spans="1:6" hidden="1">
      <c r="A1005">
        <f>'Production Plan'!B934</f>
        <v>0</v>
      </c>
      <c r="B1005" t="e">
        <f>VLOOKUP(A1005,'Production Plan'!B:V,16,FALSE)</f>
        <v>#N/A</v>
      </c>
      <c r="C1005" t="e">
        <f>VLOOKUP(A1005,'Production Plan'!B:G,5,FALSE)</f>
        <v>#N/A</v>
      </c>
      <c r="F1005"/>
    </row>
    <row r="1006" spans="1:6" hidden="1">
      <c r="A1006">
        <f>'Production Plan'!B935</f>
        <v>0</v>
      </c>
      <c r="B1006" t="e">
        <f>VLOOKUP(A1006,'Production Plan'!B:V,16,FALSE)</f>
        <v>#N/A</v>
      </c>
      <c r="C1006" t="e">
        <f>VLOOKUP(A1006,'Production Plan'!B:G,5,FALSE)</f>
        <v>#N/A</v>
      </c>
      <c r="F1006"/>
    </row>
    <row r="1007" spans="1:6" hidden="1">
      <c r="A1007">
        <f>'Production Plan'!B936</f>
        <v>0</v>
      </c>
      <c r="B1007" t="e">
        <f>VLOOKUP(A1007,'Production Plan'!B:V,16,FALSE)</f>
        <v>#N/A</v>
      </c>
      <c r="C1007" t="e">
        <f>VLOOKUP(A1007,'Production Plan'!B:G,5,FALSE)</f>
        <v>#N/A</v>
      </c>
      <c r="F1007"/>
    </row>
    <row r="1008" spans="1:6" hidden="1">
      <c r="A1008">
        <f>'Production Plan'!B937</f>
        <v>0</v>
      </c>
      <c r="B1008" t="e">
        <f>VLOOKUP(A1008,'Production Plan'!B:V,16,FALSE)</f>
        <v>#N/A</v>
      </c>
      <c r="C1008" t="e">
        <f>VLOOKUP(A1008,'Production Plan'!B:G,5,FALSE)</f>
        <v>#N/A</v>
      </c>
      <c r="F1008"/>
    </row>
    <row r="1009" spans="1:6" hidden="1">
      <c r="A1009">
        <f>'Production Plan'!B938</f>
        <v>0</v>
      </c>
      <c r="B1009" t="e">
        <f>VLOOKUP(A1009,'Production Plan'!B:V,16,FALSE)</f>
        <v>#N/A</v>
      </c>
      <c r="C1009" t="e">
        <f>VLOOKUP(A1009,'Production Plan'!B:G,5,FALSE)</f>
        <v>#N/A</v>
      </c>
      <c r="F1009"/>
    </row>
    <row r="1010" spans="1:6" hidden="1">
      <c r="A1010">
        <f>'Production Plan'!B939</f>
        <v>0</v>
      </c>
      <c r="B1010" t="e">
        <f>VLOOKUP(A1010,'Production Plan'!B:V,16,FALSE)</f>
        <v>#N/A</v>
      </c>
      <c r="C1010" t="e">
        <f>VLOOKUP(A1010,'Production Plan'!B:G,5,FALSE)</f>
        <v>#N/A</v>
      </c>
      <c r="F1010"/>
    </row>
    <row r="1011" spans="1:6" hidden="1">
      <c r="A1011">
        <f>'Production Plan'!B940</f>
        <v>0</v>
      </c>
      <c r="B1011" t="e">
        <f>VLOOKUP(A1011,'Production Plan'!B:V,16,FALSE)</f>
        <v>#N/A</v>
      </c>
      <c r="C1011" t="e">
        <f>VLOOKUP(A1011,'Production Plan'!B:G,5,FALSE)</f>
        <v>#N/A</v>
      </c>
      <c r="F1011"/>
    </row>
    <row r="1012" spans="1:6" hidden="1">
      <c r="A1012">
        <f>'Production Plan'!B941</f>
        <v>0</v>
      </c>
      <c r="B1012" t="e">
        <f>VLOOKUP(A1012,'Production Plan'!B:V,16,FALSE)</f>
        <v>#N/A</v>
      </c>
      <c r="C1012" t="e">
        <f>VLOOKUP(A1012,'Production Plan'!B:G,5,FALSE)</f>
        <v>#N/A</v>
      </c>
      <c r="F1012"/>
    </row>
    <row r="1013" spans="1:6" hidden="1">
      <c r="A1013">
        <f>'Production Plan'!B942</f>
        <v>0</v>
      </c>
      <c r="B1013" t="e">
        <f>VLOOKUP(A1013,'Production Plan'!B:V,16,FALSE)</f>
        <v>#N/A</v>
      </c>
      <c r="C1013" t="e">
        <f>VLOOKUP(A1013,'Production Plan'!B:G,5,FALSE)</f>
        <v>#N/A</v>
      </c>
      <c r="F1013"/>
    </row>
    <row r="1014" spans="1:6" hidden="1">
      <c r="A1014">
        <f>'Production Plan'!B943</f>
        <v>0</v>
      </c>
      <c r="B1014" t="e">
        <f>VLOOKUP(A1014,'Production Plan'!B:V,16,FALSE)</f>
        <v>#N/A</v>
      </c>
      <c r="C1014" t="e">
        <f>VLOOKUP(A1014,'Production Plan'!B:G,5,FALSE)</f>
        <v>#N/A</v>
      </c>
      <c r="F1014"/>
    </row>
    <row r="1015" spans="1:6" hidden="1">
      <c r="A1015">
        <f>'Production Plan'!B944</f>
        <v>0</v>
      </c>
      <c r="B1015" t="e">
        <f>VLOOKUP(A1015,'Production Plan'!B:V,16,FALSE)</f>
        <v>#N/A</v>
      </c>
      <c r="C1015" t="e">
        <f>VLOOKUP(A1015,'Production Plan'!B:G,5,FALSE)</f>
        <v>#N/A</v>
      </c>
      <c r="F1015"/>
    </row>
    <row r="1016" spans="1:6" hidden="1">
      <c r="A1016">
        <f>'Production Plan'!B945</f>
        <v>0</v>
      </c>
      <c r="B1016" t="e">
        <f>VLOOKUP(A1016,'Production Plan'!B:V,16,FALSE)</f>
        <v>#N/A</v>
      </c>
      <c r="C1016" t="e">
        <f>VLOOKUP(A1016,'Production Plan'!B:G,5,FALSE)</f>
        <v>#N/A</v>
      </c>
      <c r="F1016"/>
    </row>
    <row r="1017" spans="1:6" hidden="1">
      <c r="A1017">
        <f>'Production Plan'!B946</f>
        <v>0</v>
      </c>
      <c r="B1017" t="e">
        <f>VLOOKUP(A1017,'Production Plan'!B:V,16,FALSE)</f>
        <v>#N/A</v>
      </c>
      <c r="C1017" t="e">
        <f>VLOOKUP(A1017,'Production Plan'!B:G,5,FALSE)</f>
        <v>#N/A</v>
      </c>
      <c r="F1017"/>
    </row>
    <row r="1018" spans="1:6" hidden="1">
      <c r="A1018">
        <f>'Production Plan'!B947</f>
        <v>0</v>
      </c>
      <c r="B1018" t="e">
        <f>VLOOKUP(A1018,'Production Plan'!B:V,16,FALSE)</f>
        <v>#N/A</v>
      </c>
      <c r="C1018" t="e">
        <f>VLOOKUP(A1018,'Production Plan'!B:G,5,FALSE)</f>
        <v>#N/A</v>
      </c>
      <c r="F1018"/>
    </row>
    <row r="1019" spans="1:6" hidden="1">
      <c r="A1019">
        <f>'Production Plan'!B948</f>
        <v>0</v>
      </c>
      <c r="B1019" t="e">
        <f>VLOOKUP(A1019,'Production Plan'!B:V,16,FALSE)</f>
        <v>#N/A</v>
      </c>
      <c r="C1019" t="e">
        <f>VLOOKUP(A1019,'Production Plan'!B:G,5,FALSE)</f>
        <v>#N/A</v>
      </c>
      <c r="F1019"/>
    </row>
    <row r="1020" spans="1:6" hidden="1">
      <c r="A1020">
        <f>'Production Plan'!B949</f>
        <v>0</v>
      </c>
      <c r="B1020" t="e">
        <f>VLOOKUP(A1020,'Production Plan'!B:V,16,FALSE)</f>
        <v>#N/A</v>
      </c>
      <c r="C1020" t="e">
        <f>VLOOKUP(A1020,'Production Plan'!B:G,5,FALSE)</f>
        <v>#N/A</v>
      </c>
      <c r="F1020"/>
    </row>
    <row r="1021" spans="1:6" hidden="1">
      <c r="A1021">
        <f>'Production Plan'!B950</f>
        <v>0</v>
      </c>
      <c r="B1021" t="e">
        <f>VLOOKUP(A1021,'Production Plan'!B:V,16,FALSE)</f>
        <v>#N/A</v>
      </c>
      <c r="C1021" t="e">
        <f>VLOOKUP(A1021,'Production Plan'!B:G,5,FALSE)</f>
        <v>#N/A</v>
      </c>
      <c r="F1021"/>
    </row>
    <row r="1022" spans="1:6" hidden="1">
      <c r="A1022">
        <f>'Production Plan'!B951</f>
        <v>0</v>
      </c>
      <c r="B1022" t="e">
        <f>VLOOKUP(A1022,'Production Plan'!B:V,16,FALSE)</f>
        <v>#N/A</v>
      </c>
      <c r="C1022" t="e">
        <f>VLOOKUP(A1022,'Production Plan'!B:G,5,FALSE)</f>
        <v>#N/A</v>
      </c>
      <c r="F1022"/>
    </row>
    <row r="1023" spans="1:6" hidden="1">
      <c r="A1023">
        <f>'Production Plan'!B952</f>
        <v>0</v>
      </c>
      <c r="B1023" t="e">
        <f>VLOOKUP(A1023,'Production Plan'!B:V,16,FALSE)</f>
        <v>#N/A</v>
      </c>
      <c r="C1023" t="e">
        <f>VLOOKUP(A1023,'Production Plan'!B:G,5,FALSE)</f>
        <v>#N/A</v>
      </c>
      <c r="F1023"/>
    </row>
    <row r="1024" spans="1:6" hidden="1">
      <c r="A1024">
        <f>'Production Plan'!B953</f>
        <v>0</v>
      </c>
      <c r="B1024" t="e">
        <f>VLOOKUP(A1024,'Production Plan'!B:V,16,FALSE)</f>
        <v>#N/A</v>
      </c>
      <c r="C1024" t="e">
        <f>VLOOKUP(A1024,'Production Plan'!B:G,5,FALSE)</f>
        <v>#N/A</v>
      </c>
      <c r="F1024"/>
    </row>
    <row r="1025" spans="1:6" hidden="1">
      <c r="A1025">
        <f>'Production Plan'!B954</f>
        <v>0</v>
      </c>
      <c r="B1025" t="e">
        <f>VLOOKUP(A1025,'Production Plan'!B:V,16,FALSE)</f>
        <v>#N/A</v>
      </c>
      <c r="C1025" t="e">
        <f>VLOOKUP(A1025,'Production Plan'!B:G,5,FALSE)</f>
        <v>#N/A</v>
      </c>
      <c r="F1025"/>
    </row>
    <row r="1026" spans="1:6" hidden="1">
      <c r="A1026">
        <f>'Production Plan'!B955</f>
        <v>0</v>
      </c>
      <c r="B1026" t="e">
        <f>VLOOKUP(A1026,'Production Plan'!B:V,16,FALSE)</f>
        <v>#N/A</v>
      </c>
      <c r="C1026" t="e">
        <f>VLOOKUP(A1026,'Production Plan'!B:G,5,FALSE)</f>
        <v>#N/A</v>
      </c>
      <c r="F1026"/>
    </row>
    <row r="1027" spans="1:6" hidden="1">
      <c r="A1027">
        <f>'Production Plan'!B956</f>
        <v>0</v>
      </c>
      <c r="B1027" t="e">
        <f>VLOOKUP(A1027,'Production Plan'!B:V,16,FALSE)</f>
        <v>#N/A</v>
      </c>
      <c r="C1027" t="e">
        <f>VLOOKUP(A1027,'Production Plan'!B:G,5,FALSE)</f>
        <v>#N/A</v>
      </c>
      <c r="F1027"/>
    </row>
    <row r="1028" spans="1:6" hidden="1">
      <c r="A1028">
        <f>'Production Plan'!B957</f>
        <v>0</v>
      </c>
      <c r="B1028" t="e">
        <f>VLOOKUP(A1028,'Production Plan'!B:V,16,FALSE)</f>
        <v>#N/A</v>
      </c>
      <c r="C1028" t="e">
        <f>VLOOKUP(A1028,'Production Plan'!B:G,5,FALSE)</f>
        <v>#N/A</v>
      </c>
      <c r="F1028"/>
    </row>
    <row r="1029" spans="1:6" hidden="1">
      <c r="A1029">
        <f>'Production Plan'!B958</f>
        <v>0</v>
      </c>
      <c r="B1029" t="e">
        <f>VLOOKUP(A1029,'Production Plan'!B:V,16,FALSE)</f>
        <v>#N/A</v>
      </c>
      <c r="C1029" t="e">
        <f>VLOOKUP(A1029,'Production Plan'!B:G,5,FALSE)</f>
        <v>#N/A</v>
      </c>
      <c r="F1029"/>
    </row>
    <row r="1030" spans="1:6" hidden="1">
      <c r="A1030">
        <f>'Production Plan'!B959</f>
        <v>0</v>
      </c>
      <c r="B1030" t="e">
        <f>VLOOKUP(A1030,'Production Plan'!B:V,16,FALSE)</f>
        <v>#N/A</v>
      </c>
      <c r="C1030" t="e">
        <f>VLOOKUP(A1030,'Production Plan'!B:G,5,FALSE)</f>
        <v>#N/A</v>
      </c>
      <c r="F1030"/>
    </row>
    <row r="1031" spans="1:6" hidden="1">
      <c r="A1031">
        <f>'Production Plan'!B960</f>
        <v>0</v>
      </c>
      <c r="B1031" t="e">
        <f>VLOOKUP(A1031,'Production Plan'!B:V,16,FALSE)</f>
        <v>#N/A</v>
      </c>
      <c r="C1031" t="e">
        <f>VLOOKUP(A1031,'Production Plan'!B:G,5,FALSE)</f>
        <v>#N/A</v>
      </c>
      <c r="F1031"/>
    </row>
    <row r="1032" spans="1:6" hidden="1">
      <c r="A1032">
        <f>'Production Plan'!B961</f>
        <v>0</v>
      </c>
      <c r="B1032" t="e">
        <f>VLOOKUP(A1032,'Production Plan'!B:V,16,FALSE)</f>
        <v>#N/A</v>
      </c>
      <c r="C1032" t="e">
        <f>VLOOKUP(A1032,'Production Plan'!B:G,5,FALSE)</f>
        <v>#N/A</v>
      </c>
      <c r="F1032"/>
    </row>
    <row r="1033" spans="1:6" hidden="1">
      <c r="A1033">
        <f>'Production Plan'!B962</f>
        <v>0</v>
      </c>
      <c r="B1033" t="e">
        <f>VLOOKUP(A1033,'Production Plan'!B:V,16,FALSE)</f>
        <v>#N/A</v>
      </c>
      <c r="C1033" t="e">
        <f>VLOOKUP(A1033,'Production Plan'!B:G,5,FALSE)</f>
        <v>#N/A</v>
      </c>
      <c r="F1033"/>
    </row>
    <row r="1034" spans="1:6" hidden="1">
      <c r="A1034">
        <f>'Production Plan'!B963</f>
        <v>0</v>
      </c>
      <c r="B1034" t="e">
        <f>VLOOKUP(A1034,'Production Plan'!B:V,16,FALSE)</f>
        <v>#N/A</v>
      </c>
      <c r="C1034" t="e">
        <f>VLOOKUP(A1034,'Production Plan'!B:G,5,FALSE)</f>
        <v>#N/A</v>
      </c>
      <c r="F1034"/>
    </row>
    <row r="1035" spans="1:6" hidden="1">
      <c r="A1035">
        <f>'Production Plan'!B964</f>
        <v>0</v>
      </c>
      <c r="B1035" t="e">
        <f>VLOOKUP(A1035,'Production Plan'!B:V,16,FALSE)</f>
        <v>#N/A</v>
      </c>
      <c r="C1035" t="e">
        <f>VLOOKUP(A1035,'Production Plan'!B:G,5,FALSE)</f>
        <v>#N/A</v>
      </c>
      <c r="F1035"/>
    </row>
    <row r="1036" spans="1:6" hidden="1">
      <c r="A1036">
        <f>'Production Plan'!B965</f>
        <v>0</v>
      </c>
      <c r="B1036" t="e">
        <f>VLOOKUP(A1036,'Production Plan'!B:V,16,FALSE)</f>
        <v>#N/A</v>
      </c>
      <c r="C1036" t="e">
        <f>VLOOKUP(A1036,'Production Plan'!B:G,5,FALSE)</f>
        <v>#N/A</v>
      </c>
      <c r="F1036"/>
    </row>
    <row r="1037" spans="1:6" hidden="1">
      <c r="A1037">
        <f>'Production Plan'!B966</f>
        <v>0</v>
      </c>
      <c r="B1037" t="e">
        <f>VLOOKUP(A1037,'Production Plan'!B:V,16,FALSE)</f>
        <v>#N/A</v>
      </c>
      <c r="C1037" t="e">
        <f>VLOOKUP(A1037,'Production Plan'!B:G,5,FALSE)</f>
        <v>#N/A</v>
      </c>
      <c r="F1037"/>
    </row>
    <row r="1038" spans="1:6" hidden="1">
      <c r="A1038">
        <f>'Production Plan'!B967</f>
        <v>0</v>
      </c>
      <c r="B1038" t="e">
        <f>VLOOKUP(A1038,'Production Plan'!B:V,16,FALSE)</f>
        <v>#N/A</v>
      </c>
      <c r="C1038" t="e">
        <f>VLOOKUP(A1038,'Production Plan'!B:G,5,FALSE)</f>
        <v>#N/A</v>
      </c>
      <c r="F1038"/>
    </row>
    <row r="1039" spans="1:6" hidden="1">
      <c r="A1039">
        <f>'Production Plan'!B968</f>
        <v>0</v>
      </c>
      <c r="B1039" t="e">
        <f>VLOOKUP(A1039,'Production Plan'!B:V,16,FALSE)</f>
        <v>#N/A</v>
      </c>
      <c r="C1039" t="e">
        <f>VLOOKUP(A1039,'Production Plan'!B:G,5,FALSE)</f>
        <v>#N/A</v>
      </c>
      <c r="F1039"/>
    </row>
    <row r="1040" spans="1:6" hidden="1">
      <c r="A1040">
        <f>'Production Plan'!B969</f>
        <v>0</v>
      </c>
      <c r="B1040" t="e">
        <f>VLOOKUP(A1040,'Production Plan'!B:V,16,FALSE)</f>
        <v>#N/A</v>
      </c>
      <c r="C1040" t="e">
        <f>VLOOKUP(A1040,'Production Plan'!B:G,5,FALSE)</f>
        <v>#N/A</v>
      </c>
      <c r="F1040"/>
    </row>
    <row r="1041" spans="1:6" hidden="1">
      <c r="A1041">
        <f>'Production Plan'!B970</f>
        <v>0</v>
      </c>
      <c r="B1041" t="e">
        <f>VLOOKUP(A1041,'Production Plan'!B:V,16,FALSE)</f>
        <v>#N/A</v>
      </c>
      <c r="C1041" t="e">
        <f>VLOOKUP(A1041,'Production Plan'!B:G,5,FALSE)</f>
        <v>#N/A</v>
      </c>
      <c r="F1041"/>
    </row>
    <row r="1042" spans="1:6" hidden="1">
      <c r="A1042">
        <f>'Production Plan'!B971</f>
        <v>0</v>
      </c>
      <c r="B1042" t="e">
        <f>VLOOKUP(A1042,'Production Plan'!B:V,16,FALSE)</f>
        <v>#N/A</v>
      </c>
      <c r="C1042" t="e">
        <f>VLOOKUP(A1042,'Production Plan'!B:G,5,FALSE)</f>
        <v>#N/A</v>
      </c>
      <c r="F1042"/>
    </row>
    <row r="1043" spans="1:6" hidden="1">
      <c r="A1043">
        <f>'Production Plan'!B972</f>
        <v>0</v>
      </c>
      <c r="B1043" t="e">
        <f>VLOOKUP(A1043,'Production Plan'!B:V,16,FALSE)</f>
        <v>#N/A</v>
      </c>
      <c r="C1043" t="e">
        <f>VLOOKUP(A1043,'Production Plan'!B:G,5,FALSE)</f>
        <v>#N/A</v>
      </c>
      <c r="F1043"/>
    </row>
    <row r="1044" spans="1:6" hidden="1">
      <c r="A1044">
        <f>'Production Plan'!B973</f>
        <v>0</v>
      </c>
      <c r="B1044" t="e">
        <f>VLOOKUP(A1044,'Production Plan'!B:V,16,FALSE)</f>
        <v>#N/A</v>
      </c>
      <c r="C1044" t="e">
        <f>VLOOKUP(A1044,'Production Plan'!B:G,5,FALSE)</f>
        <v>#N/A</v>
      </c>
      <c r="F1044"/>
    </row>
    <row r="1045" spans="1:6" hidden="1">
      <c r="A1045">
        <f>'Production Plan'!B974</f>
        <v>0</v>
      </c>
      <c r="B1045" t="e">
        <f>VLOOKUP(A1045,'Production Plan'!B:V,16,FALSE)</f>
        <v>#N/A</v>
      </c>
      <c r="C1045" t="e">
        <f>VLOOKUP(A1045,'Production Plan'!B:G,5,FALSE)</f>
        <v>#N/A</v>
      </c>
      <c r="F1045"/>
    </row>
    <row r="1046" spans="1:6" hidden="1">
      <c r="A1046">
        <f>'Production Plan'!B975</f>
        <v>0</v>
      </c>
      <c r="B1046" t="e">
        <f>VLOOKUP(A1046,'Production Plan'!B:V,16,FALSE)</f>
        <v>#N/A</v>
      </c>
      <c r="C1046" t="e">
        <f>VLOOKUP(A1046,'Production Plan'!B:G,5,FALSE)</f>
        <v>#N/A</v>
      </c>
      <c r="F1046"/>
    </row>
    <row r="1047" spans="1:6" hidden="1">
      <c r="A1047">
        <f>'Production Plan'!B976</f>
        <v>0</v>
      </c>
      <c r="B1047" t="e">
        <f>VLOOKUP(A1047,'Production Plan'!B:V,16,FALSE)</f>
        <v>#N/A</v>
      </c>
      <c r="C1047" t="e">
        <f>VLOOKUP(A1047,'Production Plan'!B:G,5,FALSE)</f>
        <v>#N/A</v>
      </c>
      <c r="F1047"/>
    </row>
    <row r="1048" spans="1:6" hidden="1">
      <c r="A1048">
        <f>'Production Plan'!B977</f>
        <v>0</v>
      </c>
      <c r="B1048" t="e">
        <f>VLOOKUP(A1048,'Production Plan'!B:V,16,FALSE)</f>
        <v>#N/A</v>
      </c>
      <c r="C1048" t="e">
        <f>VLOOKUP(A1048,'Production Plan'!B:G,5,FALSE)</f>
        <v>#N/A</v>
      </c>
      <c r="F1048"/>
    </row>
    <row r="1049" spans="1:6" hidden="1">
      <c r="A1049">
        <f>'Production Plan'!B978</f>
        <v>0</v>
      </c>
      <c r="B1049" t="e">
        <f>VLOOKUP(A1049,'Production Plan'!B:V,16,FALSE)</f>
        <v>#N/A</v>
      </c>
      <c r="C1049" t="e">
        <f>VLOOKUP(A1049,'Production Plan'!B:G,5,FALSE)</f>
        <v>#N/A</v>
      </c>
      <c r="F1049"/>
    </row>
    <row r="1050" spans="1:6" hidden="1">
      <c r="A1050">
        <f>'Production Plan'!B979</f>
        <v>0</v>
      </c>
      <c r="B1050" t="e">
        <f>VLOOKUP(A1050,'Production Plan'!B:V,16,FALSE)</f>
        <v>#N/A</v>
      </c>
      <c r="C1050" t="e">
        <f>VLOOKUP(A1050,'Production Plan'!B:G,5,FALSE)</f>
        <v>#N/A</v>
      </c>
      <c r="F1050"/>
    </row>
    <row r="1051" spans="1:6" hidden="1">
      <c r="A1051">
        <f>'Production Plan'!B980</f>
        <v>0</v>
      </c>
      <c r="B1051" t="e">
        <f>VLOOKUP(A1051,'Production Plan'!B:V,16,FALSE)</f>
        <v>#N/A</v>
      </c>
      <c r="C1051" t="e">
        <f>VLOOKUP(A1051,'Production Plan'!B:G,5,FALSE)</f>
        <v>#N/A</v>
      </c>
      <c r="F1051"/>
    </row>
    <row r="1052" spans="1:6" hidden="1">
      <c r="A1052">
        <f>'Production Plan'!B981</f>
        <v>0</v>
      </c>
      <c r="B1052" t="e">
        <f>VLOOKUP(A1052,'Production Plan'!B:V,16,FALSE)</f>
        <v>#N/A</v>
      </c>
      <c r="C1052" t="e">
        <f>VLOOKUP(A1052,'Production Plan'!B:G,5,FALSE)</f>
        <v>#N/A</v>
      </c>
      <c r="F1052"/>
    </row>
    <row r="1053" spans="1:6" hidden="1">
      <c r="A1053">
        <f>'Production Plan'!B982</f>
        <v>0</v>
      </c>
      <c r="B1053" t="e">
        <f>VLOOKUP(A1053,'Production Plan'!B:V,16,FALSE)</f>
        <v>#N/A</v>
      </c>
      <c r="C1053" t="e">
        <f>VLOOKUP(A1053,'Production Plan'!B:G,5,FALSE)</f>
        <v>#N/A</v>
      </c>
      <c r="F1053"/>
    </row>
    <row r="1054" spans="1:6" hidden="1">
      <c r="A1054">
        <f>'Production Plan'!B983</f>
        <v>0</v>
      </c>
      <c r="B1054" t="e">
        <f>VLOOKUP(A1054,'Production Plan'!B:V,16,FALSE)</f>
        <v>#N/A</v>
      </c>
      <c r="C1054" t="e">
        <f>VLOOKUP(A1054,'Production Plan'!B:G,5,FALSE)</f>
        <v>#N/A</v>
      </c>
      <c r="F1054"/>
    </row>
    <row r="1055" spans="1:6" hidden="1">
      <c r="A1055">
        <f>'Production Plan'!B984</f>
        <v>0</v>
      </c>
      <c r="B1055" t="e">
        <f>VLOOKUP(A1055,'Production Plan'!B:V,16,FALSE)</f>
        <v>#N/A</v>
      </c>
      <c r="C1055" t="e">
        <f>VLOOKUP(A1055,'Production Plan'!B:G,5,FALSE)</f>
        <v>#N/A</v>
      </c>
      <c r="F1055"/>
    </row>
    <row r="1056" spans="1:6" hidden="1">
      <c r="A1056">
        <f>'Production Plan'!B985</f>
        <v>0</v>
      </c>
      <c r="B1056" t="e">
        <f>VLOOKUP(A1056,'Production Plan'!B:V,16,FALSE)</f>
        <v>#N/A</v>
      </c>
      <c r="C1056" t="e">
        <f>VLOOKUP(A1056,'Production Plan'!B:G,5,FALSE)</f>
        <v>#N/A</v>
      </c>
      <c r="F1056"/>
    </row>
    <row r="1057" spans="1:6" hidden="1">
      <c r="A1057">
        <f>'Production Plan'!B986</f>
        <v>0</v>
      </c>
      <c r="B1057" t="e">
        <f>VLOOKUP(A1057,'Production Plan'!B:V,16,FALSE)</f>
        <v>#N/A</v>
      </c>
      <c r="C1057" t="e">
        <f>VLOOKUP(A1057,'Production Plan'!B:G,5,FALSE)</f>
        <v>#N/A</v>
      </c>
      <c r="F1057"/>
    </row>
    <row r="1058" spans="1:6" hidden="1">
      <c r="A1058">
        <f>'Production Plan'!B987</f>
        <v>0</v>
      </c>
      <c r="B1058" t="e">
        <f>VLOOKUP(A1058,'Production Plan'!B:V,16,FALSE)</f>
        <v>#N/A</v>
      </c>
      <c r="C1058" t="e">
        <f>VLOOKUP(A1058,'Production Plan'!B:G,5,FALSE)</f>
        <v>#N/A</v>
      </c>
      <c r="F1058"/>
    </row>
    <row r="1059" spans="1:6" hidden="1">
      <c r="A1059">
        <f>'Production Plan'!B988</f>
        <v>0</v>
      </c>
      <c r="B1059" t="e">
        <f>VLOOKUP(A1059,'Production Plan'!B:V,16,FALSE)</f>
        <v>#N/A</v>
      </c>
      <c r="C1059" t="e">
        <f>VLOOKUP(A1059,'Production Plan'!B:G,5,FALSE)</f>
        <v>#N/A</v>
      </c>
      <c r="F1059"/>
    </row>
    <row r="1060" spans="1:6" hidden="1">
      <c r="A1060">
        <f>'Production Plan'!B989</f>
        <v>0</v>
      </c>
      <c r="B1060" t="e">
        <f>VLOOKUP(A1060,'Production Plan'!B:V,16,FALSE)</f>
        <v>#N/A</v>
      </c>
      <c r="C1060" t="e">
        <f>VLOOKUP(A1060,'Production Plan'!B:G,5,FALSE)</f>
        <v>#N/A</v>
      </c>
      <c r="F1060"/>
    </row>
    <row r="1061" spans="1:6" hidden="1">
      <c r="A1061">
        <f>'Production Plan'!B990</f>
        <v>0</v>
      </c>
      <c r="B1061" t="e">
        <f>VLOOKUP(A1061,'Production Plan'!B:V,16,FALSE)</f>
        <v>#N/A</v>
      </c>
      <c r="C1061" t="e">
        <f>VLOOKUP(A1061,'Production Plan'!B:G,5,FALSE)</f>
        <v>#N/A</v>
      </c>
      <c r="F1061"/>
    </row>
    <row r="1062" spans="1:6" hidden="1">
      <c r="A1062">
        <f>'Production Plan'!B991</f>
        <v>0</v>
      </c>
      <c r="B1062" t="e">
        <f>VLOOKUP(A1062,'Production Plan'!B:V,16,FALSE)</f>
        <v>#N/A</v>
      </c>
      <c r="C1062" t="e">
        <f>VLOOKUP(A1062,'Production Plan'!B:G,5,FALSE)</f>
        <v>#N/A</v>
      </c>
      <c r="F1062"/>
    </row>
    <row r="1063" spans="1:6" hidden="1">
      <c r="A1063">
        <f>'Production Plan'!B992</f>
        <v>0</v>
      </c>
      <c r="B1063" t="e">
        <f>VLOOKUP(A1063,'Production Plan'!B:V,16,FALSE)</f>
        <v>#N/A</v>
      </c>
      <c r="C1063" t="e">
        <f>VLOOKUP(A1063,'Production Plan'!B:G,5,FALSE)</f>
        <v>#N/A</v>
      </c>
      <c r="F1063"/>
    </row>
    <row r="1064" spans="1:6" hidden="1">
      <c r="A1064">
        <f>'Production Plan'!B993</f>
        <v>0</v>
      </c>
      <c r="B1064" t="e">
        <f>VLOOKUP(A1064,'Production Plan'!B:V,16,FALSE)</f>
        <v>#N/A</v>
      </c>
      <c r="C1064" t="e">
        <f>VLOOKUP(A1064,'Production Plan'!B:G,5,FALSE)</f>
        <v>#N/A</v>
      </c>
      <c r="F1064"/>
    </row>
    <row r="1065" spans="1:6" hidden="1">
      <c r="A1065">
        <f>'Production Plan'!B994</f>
        <v>0</v>
      </c>
      <c r="B1065" t="e">
        <f>VLOOKUP(A1065,'Production Plan'!B:V,16,FALSE)</f>
        <v>#N/A</v>
      </c>
      <c r="C1065" t="e">
        <f>VLOOKUP(A1065,'Production Plan'!B:G,5,FALSE)</f>
        <v>#N/A</v>
      </c>
      <c r="F1065"/>
    </row>
    <row r="1066" spans="1:6" hidden="1">
      <c r="A1066">
        <f>'Production Plan'!B995</f>
        <v>0</v>
      </c>
      <c r="B1066" t="e">
        <f>VLOOKUP(A1066,'Production Plan'!B:V,16,FALSE)</f>
        <v>#N/A</v>
      </c>
      <c r="C1066" t="e">
        <f>VLOOKUP(A1066,'Production Plan'!B:G,5,FALSE)</f>
        <v>#N/A</v>
      </c>
      <c r="F1066"/>
    </row>
    <row r="1067" spans="1:6" hidden="1">
      <c r="A1067">
        <f>'Production Plan'!B996</f>
        <v>0</v>
      </c>
      <c r="B1067" t="e">
        <f>VLOOKUP(A1067,'Production Plan'!B:V,16,FALSE)</f>
        <v>#N/A</v>
      </c>
      <c r="C1067" t="e">
        <f>VLOOKUP(A1067,'Production Plan'!B:G,5,FALSE)</f>
        <v>#N/A</v>
      </c>
      <c r="F1067"/>
    </row>
    <row r="1068" spans="1:6" hidden="1">
      <c r="A1068">
        <f>'Production Plan'!B997</f>
        <v>0</v>
      </c>
      <c r="B1068" t="e">
        <f>VLOOKUP(A1068,'Production Plan'!B:V,16,FALSE)</f>
        <v>#N/A</v>
      </c>
      <c r="C1068" t="e">
        <f>VLOOKUP(A1068,'Production Plan'!B:G,5,FALSE)</f>
        <v>#N/A</v>
      </c>
      <c r="F1068"/>
    </row>
    <row r="1069" spans="1:6" hidden="1">
      <c r="A1069">
        <f>'Production Plan'!B998</f>
        <v>0</v>
      </c>
      <c r="B1069" t="e">
        <f>VLOOKUP(A1069,'Production Plan'!B:V,16,FALSE)</f>
        <v>#N/A</v>
      </c>
      <c r="C1069" t="e">
        <f>VLOOKUP(A1069,'Production Plan'!B:G,5,FALSE)</f>
        <v>#N/A</v>
      </c>
      <c r="F1069"/>
    </row>
    <row r="1070" spans="1:6" hidden="1">
      <c r="A1070">
        <f>'Production Plan'!B999</f>
        <v>0</v>
      </c>
      <c r="B1070" t="e">
        <f>VLOOKUP(A1070,'Production Plan'!B:V,16,FALSE)</f>
        <v>#N/A</v>
      </c>
      <c r="C1070" t="e">
        <f>VLOOKUP(A1070,'Production Plan'!B:G,5,FALSE)</f>
        <v>#N/A</v>
      </c>
      <c r="F1070"/>
    </row>
    <row r="1071" spans="1:6" hidden="1">
      <c r="A1071">
        <f>'Production Plan'!B1000</f>
        <v>0</v>
      </c>
      <c r="B1071" t="e">
        <f>VLOOKUP(A1071,'Production Plan'!B:V,16,FALSE)</f>
        <v>#N/A</v>
      </c>
      <c r="C1071" t="e">
        <f>VLOOKUP(A1071,'Production Plan'!B:G,5,FALSE)</f>
        <v>#N/A</v>
      </c>
      <c r="F1071"/>
    </row>
    <row r="1072" spans="1:6" hidden="1">
      <c r="A1072">
        <f>'Production Plan'!B1001</f>
        <v>0</v>
      </c>
      <c r="B1072" t="e">
        <f>VLOOKUP(A1072,'Production Plan'!B:V,16,FALSE)</f>
        <v>#N/A</v>
      </c>
      <c r="C1072" t="e">
        <f>VLOOKUP(A1072,'Production Plan'!B:G,5,FALSE)</f>
        <v>#N/A</v>
      </c>
      <c r="F1072"/>
    </row>
    <row r="1073" spans="1:6" hidden="1">
      <c r="A1073">
        <f>'Production Plan'!B1002</f>
        <v>0</v>
      </c>
      <c r="B1073" t="e">
        <f>VLOOKUP(A1073,'Production Plan'!B:V,16,FALSE)</f>
        <v>#N/A</v>
      </c>
      <c r="C1073" t="e">
        <f>VLOOKUP(A1073,'Production Plan'!B:G,5,FALSE)</f>
        <v>#N/A</v>
      </c>
      <c r="F1073"/>
    </row>
    <row r="1074" spans="1:6" hidden="1">
      <c r="A1074">
        <f>'Production Plan'!B1003</f>
        <v>0</v>
      </c>
      <c r="B1074" t="e">
        <f>VLOOKUP(A1074,'Production Plan'!B:V,16,FALSE)</f>
        <v>#N/A</v>
      </c>
      <c r="C1074" t="e">
        <f>VLOOKUP(A1074,'Production Plan'!B:G,5,FALSE)</f>
        <v>#N/A</v>
      </c>
      <c r="F1074"/>
    </row>
    <row r="1075" spans="1:6" hidden="1">
      <c r="A1075">
        <f>'Production Plan'!B1004</f>
        <v>0</v>
      </c>
      <c r="B1075" t="e">
        <f>VLOOKUP(A1075,'Production Plan'!B:V,16,FALSE)</f>
        <v>#N/A</v>
      </c>
      <c r="C1075" t="e">
        <f>VLOOKUP(A1075,'Production Plan'!B:G,5,FALSE)</f>
        <v>#N/A</v>
      </c>
      <c r="F1075"/>
    </row>
    <row r="1076" spans="1:6" hidden="1">
      <c r="A1076">
        <f>'Production Plan'!B1005</f>
        <v>0</v>
      </c>
      <c r="B1076" t="e">
        <f>VLOOKUP(A1076,'Production Plan'!B:V,16,FALSE)</f>
        <v>#N/A</v>
      </c>
      <c r="C1076" t="e">
        <f>VLOOKUP(A1076,'Production Plan'!B:G,5,FALSE)</f>
        <v>#N/A</v>
      </c>
      <c r="F1076"/>
    </row>
    <row r="1077" spans="1:6" hidden="1">
      <c r="A1077">
        <f>'Production Plan'!B1006</f>
        <v>0</v>
      </c>
      <c r="B1077" t="e">
        <f>VLOOKUP(A1077,'Production Plan'!B:V,16,FALSE)</f>
        <v>#N/A</v>
      </c>
      <c r="C1077" t="e">
        <f>VLOOKUP(A1077,'Production Plan'!B:G,5,FALSE)</f>
        <v>#N/A</v>
      </c>
      <c r="F1077"/>
    </row>
    <row r="1078" spans="1:6" hidden="1">
      <c r="A1078">
        <f>'Production Plan'!B1007</f>
        <v>0</v>
      </c>
      <c r="B1078" t="e">
        <f>VLOOKUP(A1078,'Production Plan'!B:V,16,FALSE)</f>
        <v>#N/A</v>
      </c>
      <c r="C1078" t="e">
        <f>VLOOKUP(A1078,'Production Plan'!B:G,5,FALSE)</f>
        <v>#N/A</v>
      </c>
      <c r="F1078"/>
    </row>
  </sheetData>
  <autoFilter ref="A1:I1078" xr:uid="{3C0B0167-6294-4836-A0CF-A590D3431A37}">
    <filterColumn colId="1">
      <filters>
        <filter val="Yes"/>
      </filters>
    </filterColumn>
  </autoFilter>
  <conditionalFormatting sqref="E2:E5">
    <cfRule type="expression" dxfId="5" priority="4">
      <formula>E2="Low"</formula>
    </cfRule>
    <cfRule type="expression" dxfId="4" priority="5">
      <formula>E2="Medium"</formula>
    </cfRule>
    <cfRule type="expression" dxfId="3" priority="6">
      <formula>E2="High"</formula>
    </cfRule>
  </conditionalFormatting>
  <conditionalFormatting sqref="E7">
    <cfRule type="expression" dxfId="2" priority="1">
      <formula>E7="Low"</formula>
    </cfRule>
    <cfRule type="expression" dxfId="1" priority="2">
      <formula>E7="Medium"</formula>
    </cfRule>
    <cfRule type="expression" dxfId="0" priority="3">
      <formula>E7="High"</formula>
    </cfRule>
  </conditionalFormatting>
  <dataValidations count="2">
    <dataValidation type="list" allowBlank="1" showInputMessage="1" showErrorMessage="1" sqref="E2:E5 E7" xr:uid="{6DF1E459-1009-429F-B109-EF506EE89691}">
      <formula1>"High,Medium,Low"</formula1>
    </dataValidation>
    <dataValidation type="list" allowBlank="1" showInputMessage="1" showErrorMessage="1" sqref="I2:I1048576" xr:uid="{22A8776E-2523-4B34-BC70-94BF6BAADB14}">
      <formula1>"Yes,No"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98A7B-52E6-4E28-8ECE-05315C33E0DF}">
  <dimension ref="B4:C12"/>
  <sheetViews>
    <sheetView workbookViewId="0">
      <selection activeCell="B12" sqref="B12"/>
    </sheetView>
  </sheetViews>
  <sheetFormatPr defaultColWidth="8.765625" defaultRowHeight="16"/>
  <cols>
    <col min="2" max="2" width="19.69140625" bestFit="1" customWidth="1"/>
  </cols>
  <sheetData>
    <row r="4" spans="2:3">
      <c r="B4" s="1" t="s">
        <v>1026</v>
      </c>
    </row>
    <row r="5" spans="2:3">
      <c r="B5" s="1" t="s">
        <v>1027</v>
      </c>
    </row>
    <row r="6" spans="2:3">
      <c r="B6" s="1"/>
    </row>
    <row r="7" spans="2:3">
      <c r="B7" s="1" t="s">
        <v>1028</v>
      </c>
    </row>
    <row r="12" spans="2:3">
      <c r="B12" s="56" t="s">
        <v>1029</v>
      </c>
      <c r="C12" t="s">
        <v>1030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94BB9-912F-4206-8677-3F800473B77B}">
  <dimension ref="A1:I39"/>
  <sheetViews>
    <sheetView topLeftCell="A11" workbookViewId="0">
      <selection activeCell="B35" sqref="B35"/>
    </sheetView>
  </sheetViews>
  <sheetFormatPr defaultColWidth="8.765625" defaultRowHeight="16"/>
  <cols>
    <col min="1" max="1" width="2" bestFit="1" customWidth="1"/>
    <col min="2" max="2" width="36.765625" bestFit="1" customWidth="1"/>
    <col min="3" max="3" width="34.69140625" style="36" customWidth="1"/>
    <col min="6" max="6" width="9.07421875" style="67"/>
    <col min="7" max="7" width="21.4609375" style="36" customWidth="1"/>
    <col min="8" max="8" width="18" style="36" bestFit="1" customWidth="1"/>
    <col min="9" max="9" width="30.4609375" customWidth="1"/>
  </cols>
  <sheetData>
    <row r="1" spans="1:9">
      <c r="A1" t="s">
        <v>0</v>
      </c>
      <c r="B1" s="81" t="s">
        <v>1031</v>
      </c>
      <c r="C1" s="82" t="s">
        <v>1032</v>
      </c>
      <c r="D1" s="81" t="s">
        <v>1033</v>
      </c>
      <c r="E1" s="81" t="s">
        <v>1034</v>
      </c>
      <c r="F1" s="84" t="s">
        <v>1035</v>
      </c>
      <c r="G1" s="82" t="s">
        <v>1036</v>
      </c>
      <c r="H1" s="82" t="s">
        <v>1037</v>
      </c>
      <c r="I1" s="82" t="s">
        <v>1038</v>
      </c>
    </row>
    <row r="2" spans="1:9" ht="48">
      <c r="B2" t="s">
        <v>1039</v>
      </c>
      <c r="C2" s="36" t="s">
        <v>1040</v>
      </c>
      <c r="F2" s="67">
        <v>0.99</v>
      </c>
      <c r="G2" s="36" t="s">
        <v>1041</v>
      </c>
      <c r="H2" s="36" t="s">
        <v>1042</v>
      </c>
    </row>
    <row r="3" spans="1:9" ht="96">
      <c r="B3" t="s">
        <v>1043</v>
      </c>
      <c r="C3" s="36" t="s">
        <v>1044</v>
      </c>
      <c r="G3" s="83"/>
      <c r="H3" s="83"/>
    </row>
    <row r="4" spans="1:9" ht="112">
      <c r="B4" t="s">
        <v>817</v>
      </c>
      <c r="C4" s="36" t="s">
        <v>1045</v>
      </c>
      <c r="D4">
        <v>12</v>
      </c>
      <c r="E4" t="s">
        <v>1046</v>
      </c>
      <c r="G4" s="36" t="s">
        <v>1047</v>
      </c>
      <c r="H4" s="36" t="s">
        <v>1048</v>
      </c>
      <c r="I4" s="36" t="s">
        <v>1049</v>
      </c>
    </row>
    <row r="5" spans="1:9">
      <c r="B5" t="s">
        <v>817</v>
      </c>
    </row>
    <row r="6" spans="1:9">
      <c r="B6" t="s">
        <v>817</v>
      </c>
    </row>
    <row r="7" spans="1:9">
      <c r="B7" t="s">
        <v>817</v>
      </c>
    </row>
    <row r="8" spans="1:9">
      <c r="B8" t="s">
        <v>817</v>
      </c>
    </row>
    <row r="9" spans="1:9">
      <c r="B9" t="s">
        <v>817</v>
      </c>
    </row>
    <row r="10" spans="1:9" ht="112">
      <c r="B10" t="s">
        <v>1050</v>
      </c>
      <c r="C10" s="36" t="s">
        <v>1051</v>
      </c>
      <c r="D10">
        <v>2</v>
      </c>
      <c r="E10" t="s">
        <v>1052</v>
      </c>
      <c r="F10" s="67">
        <v>0.9</v>
      </c>
      <c r="G10" s="36" t="s">
        <v>1053</v>
      </c>
      <c r="H10" s="36" t="s">
        <v>1054</v>
      </c>
      <c r="I10" s="36" t="s">
        <v>1055</v>
      </c>
    </row>
    <row r="11" spans="1:9" ht="112">
      <c r="B11" t="s">
        <v>1050</v>
      </c>
      <c r="C11" s="36" t="s">
        <v>1056</v>
      </c>
      <c r="D11">
        <v>4</v>
      </c>
      <c r="E11" t="s">
        <v>1052</v>
      </c>
      <c r="F11" s="67">
        <v>0.95</v>
      </c>
      <c r="G11" s="36" t="s">
        <v>1053</v>
      </c>
      <c r="H11" s="36" t="s">
        <v>1054</v>
      </c>
      <c r="I11" s="36" t="s">
        <v>1055</v>
      </c>
    </row>
    <row r="12" spans="1:9" ht="32">
      <c r="B12" t="s">
        <v>1057</v>
      </c>
      <c r="C12" s="36" t="s">
        <v>1058</v>
      </c>
      <c r="D12">
        <v>1</v>
      </c>
      <c r="E12" t="s">
        <v>1059</v>
      </c>
      <c r="F12" s="67">
        <v>0.9</v>
      </c>
      <c r="G12" s="36" t="s">
        <v>1060</v>
      </c>
      <c r="H12" s="36" t="s">
        <v>1054</v>
      </c>
    </row>
    <row r="13" spans="1:9" ht="48">
      <c r="B13" t="s">
        <v>827</v>
      </c>
      <c r="C13" s="36" t="s">
        <v>1061</v>
      </c>
      <c r="G13" s="36" t="s">
        <v>1062</v>
      </c>
      <c r="H13" s="36" t="s">
        <v>1063</v>
      </c>
    </row>
    <row r="14" spans="1:9" ht="48">
      <c r="B14" t="s">
        <v>1064</v>
      </c>
      <c r="C14" s="36" t="s">
        <v>1065</v>
      </c>
      <c r="G14" s="36" t="s">
        <v>1066</v>
      </c>
      <c r="H14" s="36" t="s">
        <v>1067</v>
      </c>
    </row>
    <row r="15" spans="1:9" ht="80">
      <c r="B15" t="s">
        <v>1068</v>
      </c>
      <c r="C15" s="36" t="s">
        <v>1069</v>
      </c>
      <c r="G15" s="36" t="s">
        <v>1070</v>
      </c>
      <c r="H15" s="36" t="s">
        <v>1071</v>
      </c>
    </row>
    <row r="20" spans="2:2">
      <c r="B20" s="1" t="s">
        <v>1072</v>
      </c>
    </row>
    <row r="21" spans="2:2">
      <c r="B21" t="s">
        <v>1073</v>
      </c>
    </row>
    <row r="23" spans="2:2">
      <c r="B23" s="1" t="s">
        <v>1074</v>
      </c>
    </row>
    <row r="24" spans="2:2">
      <c r="B24" t="s">
        <v>1075</v>
      </c>
    </row>
    <row r="26" spans="2:2">
      <c r="B26" s="1" t="s">
        <v>1076</v>
      </c>
    </row>
    <row r="27" spans="2:2">
      <c r="B27" t="s">
        <v>1077</v>
      </c>
    </row>
    <row r="29" spans="2:2">
      <c r="B29" s="1" t="s">
        <v>1078</v>
      </c>
    </row>
    <row r="30" spans="2:2">
      <c r="B30" t="s">
        <v>1079</v>
      </c>
    </row>
    <row r="32" spans="2:2">
      <c r="B32" s="1" t="s">
        <v>1080</v>
      </c>
    </row>
    <row r="33" spans="2:2">
      <c r="B33" t="s">
        <v>1081</v>
      </c>
    </row>
    <row r="35" spans="2:2">
      <c r="B35" s="1" t="s">
        <v>1082</v>
      </c>
    </row>
    <row r="36" spans="2:2">
      <c r="B36" t="s">
        <v>1083</v>
      </c>
    </row>
    <row r="38" spans="2:2">
      <c r="B38" s="1" t="s">
        <v>1084</v>
      </c>
    </row>
    <row r="39" spans="2:2">
      <c r="B39" t="s">
        <v>1085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9D4FA-258D-459B-A5FE-49B76DA1BD5C}">
  <dimension ref="A3:R23"/>
  <sheetViews>
    <sheetView topLeftCell="C1" workbookViewId="0">
      <selection activeCell="P16" sqref="P16"/>
    </sheetView>
  </sheetViews>
  <sheetFormatPr defaultColWidth="8.765625" defaultRowHeight="16"/>
  <cols>
    <col min="2" max="2" width="37.4609375" bestFit="1" customWidth="1"/>
    <col min="4" max="4" width="12" bestFit="1" customWidth="1"/>
    <col min="14" max="15" width="12.4609375" bestFit="1" customWidth="1"/>
    <col min="17" max="17" width="10" bestFit="1" customWidth="1"/>
  </cols>
  <sheetData>
    <row r="3" spans="1:18">
      <c r="B3" t="s">
        <v>1086</v>
      </c>
      <c r="C3" t="s">
        <v>1087</v>
      </c>
    </row>
    <row r="4" spans="1:18">
      <c r="B4" t="s">
        <v>27</v>
      </c>
    </row>
    <row r="5" spans="1:18">
      <c r="B5" t="s">
        <v>1088</v>
      </c>
    </row>
    <row r="11" spans="1:18">
      <c r="B11" t="s">
        <v>1089</v>
      </c>
    </row>
    <row r="14" spans="1:18" ht="48">
      <c r="B14" t="s">
        <v>11</v>
      </c>
      <c r="C14" t="s">
        <v>1090</v>
      </c>
      <c r="D14" t="s">
        <v>1091</v>
      </c>
      <c r="E14" t="s">
        <v>1092</v>
      </c>
      <c r="F14" s="36" t="s">
        <v>1093</v>
      </c>
      <c r="G14" s="36" t="s">
        <v>1094</v>
      </c>
      <c r="H14" s="36" t="s">
        <v>1095</v>
      </c>
      <c r="P14" s="36" t="s">
        <v>1096</v>
      </c>
      <c r="Q14" s="36" t="s">
        <v>1097</v>
      </c>
    </row>
    <row r="15" spans="1:18">
      <c r="A15">
        <v>1</v>
      </c>
      <c r="B15" t="s">
        <v>1098</v>
      </c>
      <c r="C15">
        <v>2</v>
      </c>
      <c r="D15">
        <v>20</v>
      </c>
      <c r="E15">
        <v>3</v>
      </c>
      <c r="F15" s="66">
        <f>D15/E15</f>
        <v>6.666666666666667</v>
      </c>
      <c r="G15">
        <v>1</v>
      </c>
      <c r="H15">
        <v>2</v>
      </c>
      <c r="I15" s="67">
        <f>G15/E15</f>
        <v>0.33333333333333331</v>
      </c>
      <c r="J15" s="67">
        <f>H15/E15</f>
        <v>0.66666666666666663</v>
      </c>
      <c r="K15" s="66">
        <f>G15*1</f>
        <v>1</v>
      </c>
      <c r="L15" s="66">
        <f>H15*2</f>
        <v>4</v>
      </c>
      <c r="M15" s="66">
        <f>K15+L15</f>
        <v>5</v>
      </c>
      <c r="N15" s="66">
        <f>(G15/M15)*G15</f>
        <v>0.2</v>
      </c>
      <c r="O15" s="66">
        <f>H15/M15</f>
        <v>0.4</v>
      </c>
      <c r="P15" s="66">
        <f>D15*N15</f>
        <v>4</v>
      </c>
      <c r="Q15" s="66">
        <f>D15*O15</f>
        <v>8</v>
      </c>
      <c r="R15">
        <f>(P15*G15)+(Q15*H15)</f>
        <v>20</v>
      </c>
    </row>
    <row r="16" spans="1:18">
      <c r="A16">
        <v>2</v>
      </c>
      <c r="B16" t="s">
        <v>1099</v>
      </c>
      <c r="C16">
        <v>5</v>
      </c>
      <c r="D16">
        <v>50</v>
      </c>
      <c r="E16">
        <v>100</v>
      </c>
      <c r="F16" s="66">
        <f t="shared" ref="F16:F17" si="0">D16/E16</f>
        <v>0.5</v>
      </c>
      <c r="G16">
        <v>97</v>
      </c>
      <c r="H16">
        <v>3</v>
      </c>
      <c r="I16" s="68">
        <f t="shared" ref="I16:I17" si="1">G16/E16</f>
        <v>0.97</v>
      </c>
      <c r="J16" s="68">
        <f t="shared" ref="J16:J17" si="2">H16/E16</f>
        <v>0.03</v>
      </c>
      <c r="K16" s="66">
        <f t="shared" ref="K16:K17" si="3">G16*1</f>
        <v>97</v>
      </c>
      <c r="L16" s="66">
        <f t="shared" ref="L16:L17" si="4">H16*2</f>
        <v>6</v>
      </c>
      <c r="M16" s="66">
        <f>K16+L16</f>
        <v>103</v>
      </c>
      <c r="N16" s="66">
        <f>(G16/M16)</f>
        <v>0.94174757281553401</v>
      </c>
      <c r="O16" s="66">
        <f>H16/M16</f>
        <v>2.9126213592233011E-2</v>
      </c>
      <c r="P16" s="66">
        <f>D16/M16</f>
        <v>0.4854368932038835</v>
      </c>
      <c r="Q16" s="66">
        <f>P16*2</f>
        <v>0.970873786407767</v>
      </c>
      <c r="R16">
        <f>(P16*G16)+(Q16*H16)</f>
        <v>50</v>
      </c>
    </row>
    <row r="17" spans="1:18">
      <c r="A17">
        <v>3</v>
      </c>
      <c r="B17" t="s">
        <v>51</v>
      </c>
      <c r="C17">
        <v>3</v>
      </c>
      <c r="D17">
        <v>30</v>
      </c>
      <c r="E17">
        <v>1</v>
      </c>
      <c r="F17">
        <f t="shared" si="0"/>
        <v>30</v>
      </c>
      <c r="G17">
        <v>1</v>
      </c>
      <c r="H17">
        <v>0</v>
      </c>
      <c r="I17" s="67">
        <f t="shared" si="1"/>
        <v>1</v>
      </c>
      <c r="J17" s="67">
        <f t="shared" si="2"/>
        <v>0</v>
      </c>
      <c r="K17" s="66">
        <f t="shared" si="3"/>
        <v>1</v>
      </c>
      <c r="L17" s="66">
        <f t="shared" si="4"/>
        <v>0</v>
      </c>
      <c r="M17" s="66">
        <f t="shared" ref="M17" si="5">K17+L17</f>
        <v>1</v>
      </c>
      <c r="N17" s="66">
        <f t="shared" ref="N17" si="6">G17/M17</f>
        <v>1</v>
      </c>
      <c r="O17" s="66">
        <f t="shared" ref="O17" si="7">H17/M17</f>
        <v>0</v>
      </c>
      <c r="P17" s="66">
        <f t="shared" ref="P17" si="8">D17*N17</f>
        <v>30</v>
      </c>
      <c r="Q17" s="66">
        <f t="shared" ref="Q17" si="9">D17*O17</f>
        <v>0</v>
      </c>
      <c r="R17">
        <f t="shared" ref="R17" si="10">(P17*G17)+(Q17*H17)</f>
        <v>30</v>
      </c>
    </row>
    <row r="18" spans="1:18">
      <c r="E18">
        <f>SUM(E15:E17)</f>
        <v>104</v>
      </c>
    </row>
    <row r="19" spans="1:18">
      <c r="R19" s="66"/>
    </row>
    <row r="20" spans="1:18" ht="128">
      <c r="B20" s="36" t="s">
        <v>1100</v>
      </c>
      <c r="C20" t="s">
        <v>1101</v>
      </c>
    </row>
    <row r="23" spans="1:18">
      <c r="C23" s="6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1001A0C32584A94199C02B2639F76" ma:contentTypeVersion="14" ma:contentTypeDescription="Create a new document." ma:contentTypeScope="" ma:versionID="a989e745faa54626189a9c8b89dd7eb9">
  <xsd:schema xmlns:xsd="http://www.w3.org/2001/XMLSchema" xmlns:xs="http://www.w3.org/2001/XMLSchema" xmlns:p="http://schemas.microsoft.com/office/2006/metadata/properties" xmlns:ns2="b73f0ba2-c1d2-466f-9235-ae73bb9ff120" xmlns:ns3="f1d9970b-4544-420a-9933-3165d3bbdf1e" targetNamespace="http://schemas.microsoft.com/office/2006/metadata/properties" ma:root="true" ma:fieldsID="71609123aabc3e53adf0d2eb3cc4acf5" ns2:_="" ns3:_="">
    <xsd:import namespace="b73f0ba2-c1d2-466f-9235-ae73bb9ff120"/>
    <xsd:import namespace="f1d9970b-4544-420a-9933-3165d3bbdf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Ansvarlig" minOccurs="0"/>
                <xsd:element ref="ns2:Statu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3f0ba2-c1d2-466f-9235-ae73bb9ff1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b9b5fb31-6e74-4bbd-a1b2-5ea6ef8e2523"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Ansvarlig" ma:index="19" nillable="true" ma:displayName="Ansvarlig" ma:format="Dropdown" ma:list="UserInfo" ma:SharePointGroup="0" ma:internalName="Ansvarlig">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tus" ma:index="20" nillable="true" ma:displayName="Status" ma:format="Dropdown" ma:internalName="Status">
      <xsd:simpleType>
        <xsd:restriction base="dms:Choice">
          <xsd:enumeration value="Ikke startet"/>
          <xsd:enumeration value="Igang"/>
          <xsd:enumeration value="1st draft"/>
          <xsd:enumeration value="Første review done"/>
          <xsd:enumeration value="Final"/>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d9970b-4544-420a-9933-3165d3bbdf1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3989154-4aae-44d3-b5fc-4828a24a5933}" ma:internalName="TaxCatchAll" ma:showField="CatchAllData" ma:web="f1d9970b-4544-420a-9933-3165d3bbdf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b73f0ba2-c1d2-466f-9235-ae73bb9ff120" xsi:nil="true"/>
    <lcf76f155ced4ddcb4097134ff3c332f xmlns="b73f0ba2-c1d2-466f-9235-ae73bb9ff120">
      <Terms xmlns="http://schemas.microsoft.com/office/infopath/2007/PartnerControls"/>
    </lcf76f155ced4ddcb4097134ff3c332f>
    <TaxCatchAll xmlns="f1d9970b-4544-420a-9933-3165d3bbdf1e" xsi:nil="true"/>
    <Ansvarlig xmlns="b73f0ba2-c1d2-466f-9235-ae73bb9ff120">
      <UserInfo>
        <DisplayName/>
        <AccountId xsi:nil="true"/>
        <AccountType/>
      </UserInfo>
    </Ansvarlig>
  </documentManagement>
</p:properties>
</file>

<file path=customXml/item4.xml><?xml version="1.0" encoding="utf-8"?>
<TemplafyTemplateConfiguration><![CDATA[{"transformationConfigurations":[],"templateName":"Blank - Aptos","templateDescription":"","enableDocumentContentUpdater":false,"version":"2.0"}]]></TemplafyTemplateConfiguration>
</file>

<file path=customXml/item5.xml><?xml version="1.0" encoding="utf-8"?>
<TemplafyFormConfiguration><![CDATA[{"formFields":[],"formDataEntries":[]}]]></TemplafyFormConfiguration>
</file>

<file path=customXml/itemProps1.xml><?xml version="1.0" encoding="utf-8"?>
<ds:datastoreItem xmlns:ds="http://schemas.openxmlformats.org/officeDocument/2006/customXml" ds:itemID="{82DE1366-E0D8-4E75-9971-8866C59542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3f0ba2-c1d2-466f-9235-ae73bb9ff120"/>
    <ds:schemaRef ds:uri="f1d9970b-4544-420a-9933-3165d3bbdf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7EA171-6C39-4D12-8ED5-A2A7C5E469F0}">
  <ds:schemaRefs>
    <ds:schemaRef ds:uri="http://schemas.microsoft.com/sharepoint/v3/contenttype/forms"/>
  </ds:schemaRefs>
</ds:datastoreItem>
</file>

<file path=customXml/itemProps3.xml><?xml version="1.0" encoding="utf-8"?>
<ds:datastoreItem xmlns:ds="http://schemas.openxmlformats.org/officeDocument/2006/customXml" ds:itemID="{370DCA4A-A539-4FD8-A219-9F686ADCE934}">
  <ds:schemaRefs>
    <ds:schemaRef ds:uri="http://www.w3.org/XML/1998/namespace"/>
    <ds:schemaRef ds:uri="http://purl.org/dc/elements/1.1/"/>
    <ds:schemaRef ds:uri="f1d9970b-4544-420a-9933-3165d3bbdf1e"/>
    <ds:schemaRef ds:uri="http://schemas.microsoft.com/office/2006/documentManagement/types"/>
    <ds:schemaRef ds:uri="http://schemas.microsoft.com/office/infopath/2007/PartnerControls"/>
    <ds:schemaRef ds:uri="b73f0ba2-c1d2-466f-9235-ae73bb9ff120"/>
    <ds:schemaRef ds:uri="http://purl.org/dc/dcmitype/"/>
    <ds:schemaRef ds:uri="http://schemas.openxmlformats.org/package/2006/metadata/core-properties"/>
    <ds:schemaRef ds:uri="http://schemas.microsoft.com/office/2006/metadata/properties"/>
    <ds:schemaRef ds:uri="http://purl.org/dc/terms/"/>
  </ds:schemaRefs>
</ds:datastoreItem>
</file>

<file path=customXml/itemProps4.xml><?xml version="1.0" encoding="utf-8"?>
<ds:datastoreItem xmlns:ds="http://schemas.openxmlformats.org/officeDocument/2006/customXml" ds:itemID="{D68E5A6F-3D9E-4275-AC19-61567B2F9BEE}">
  <ds:schemaRefs/>
</ds:datastoreItem>
</file>

<file path=customXml/itemProps5.xml><?xml version="1.0" encoding="utf-8"?>
<ds:datastoreItem xmlns:ds="http://schemas.openxmlformats.org/officeDocument/2006/customXml" ds:itemID="{97B404D8-EB1E-497C-9EC0-E5B4C835FF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Production Plan</vt:lpstr>
      <vt:lpstr>IK-krav</vt:lpstr>
      <vt:lpstr>Timeline</vt:lpstr>
      <vt:lpstr>Status</vt:lpstr>
      <vt:lpstr>Q&amp;A</vt:lpstr>
      <vt:lpstr>Commitment</vt:lpstr>
      <vt:lpstr>Risk Management</vt:lpstr>
      <vt:lpstr>Cost Drivers</vt:lpstr>
      <vt:lpstr>Pricing</vt:lpstr>
      <vt:lpstr>Bodsberegner</vt:lpstr>
      <vt:lpstr>Evalueringshieraki</vt:lpstr>
      <vt:lpstr>Evalueringshieraki!_Toc233296974</vt:lpstr>
      <vt:lpstr>Evalueringshieraki!_Toc233296977</vt:lpstr>
      <vt:lpstr>'Production Plan'!_Toc233296984</vt:lpstr>
      <vt:lpstr>'Production Plan'!_Toc233296986</vt:lpstr>
      <vt:lpstr>'Production Plan'!_Toc233296997</vt:lpstr>
      <vt:lpstr>'Production Plan'!_Toc233297011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Anita Odsbjerg Pedersen</dc:creator>
  <cp:keywords/>
  <dc:description/>
  <cp:lastModifiedBy>Morten Jensen</cp:lastModifiedBy>
  <cp:revision/>
  <dcterms:created xsi:type="dcterms:W3CDTF">2026-02-11T08:54:15Z</dcterms:created>
  <dcterms:modified xsi:type="dcterms:W3CDTF">2026-07-07T15:33:41Z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fyTenantId">
    <vt:lpwstr>tietoevry</vt:lpwstr>
  </property>
  <property fmtid="{D5CDD505-2E9C-101B-9397-08002B2CF9AE}" pid="3" name="TemplafyTemplateId">
    <vt:lpwstr>1370459459990324460</vt:lpwstr>
  </property>
  <property fmtid="{D5CDD505-2E9C-101B-9397-08002B2CF9AE}" pid="4" name="TemplafyUserProfileId">
    <vt:lpwstr>1378293969334304885</vt:lpwstr>
  </property>
  <property fmtid="{D5CDD505-2E9C-101B-9397-08002B2CF9AE}" pid="5" name="TemplafyLanguageCode">
    <vt:lpwstr>en-GB</vt:lpwstr>
  </property>
  <property fmtid="{D5CDD505-2E9C-101B-9397-08002B2CF9AE}" pid="6" name="TemplafyFromBlank">
    <vt:bool>true</vt:bool>
  </property>
  <property fmtid="{D5CDD505-2E9C-101B-9397-08002B2CF9AE}" pid="7" name="ContentTypeId">
    <vt:lpwstr>0x010100D9C1001A0C32584A94199C02B2639F76</vt:lpwstr>
  </property>
  <property fmtid="{D5CDD505-2E9C-101B-9397-08002B2CF9AE}" pid="8" name="Order">
    <vt:r8>600</vt:r8>
  </property>
  <property fmtid="{D5CDD505-2E9C-101B-9397-08002B2CF9AE}" pid="9" name="xd_Signature">
    <vt:bool>false</vt:bool>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MediaServiceImageTags">
    <vt:lpwstr/>
  </property>
  <property fmtid="{D5CDD505-2E9C-101B-9397-08002B2CF9AE}" pid="16" name="MSIP_Label_3b623b29-abd1-4de3-a20c-27566d79b7c7_Enabled">
    <vt:lpwstr>true</vt:lpwstr>
  </property>
  <property fmtid="{D5CDD505-2E9C-101B-9397-08002B2CF9AE}" pid="17" name="MSIP_Label_3b623b29-abd1-4de3-a20c-27566d79b7c7_SetDate">
    <vt:lpwstr>2026-06-29T06:56:57Z</vt:lpwstr>
  </property>
  <property fmtid="{D5CDD505-2E9C-101B-9397-08002B2CF9AE}" pid="18" name="MSIP_Label_3b623b29-abd1-4de3-a20c-27566d79b7c7_Method">
    <vt:lpwstr>Standard</vt:lpwstr>
  </property>
  <property fmtid="{D5CDD505-2E9C-101B-9397-08002B2CF9AE}" pid="19" name="MSIP_Label_3b623b29-abd1-4de3-a20c-27566d79b7c7_Name">
    <vt:lpwstr>3b623b29-abd1-4de3-a20c-27566d79b7c7</vt:lpwstr>
  </property>
  <property fmtid="{D5CDD505-2E9C-101B-9397-08002B2CF9AE}" pid="20" name="MSIP_Label_3b623b29-abd1-4de3-a20c-27566d79b7c7_SiteId">
    <vt:lpwstr>cbede638-a3d9-459f-8f4e-24ced73b4e5e</vt:lpwstr>
  </property>
  <property fmtid="{D5CDD505-2E9C-101B-9397-08002B2CF9AE}" pid="21" name="MSIP_Label_3b623b29-abd1-4de3-a20c-27566d79b7c7_ActionId">
    <vt:lpwstr>7c08a4cc-55bb-4e2a-8be3-09c3ce9f7c44</vt:lpwstr>
  </property>
  <property fmtid="{D5CDD505-2E9C-101B-9397-08002B2CF9AE}" pid="22" name="MSIP_Label_3b623b29-abd1-4de3-a20c-27566d79b7c7_ContentBits">
    <vt:lpwstr>0</vt:lpwstr>
  </property>
  <property fmtid="{D5CDD505-2E9C-101B-9397-08002B2CF9AE}" pid="23" name="MSIP_Label_3b623b29-abd1-4de3-a20c-27566d79b7c7_Tag">
    <vt:lpwstr>10, 3, 0, 2</vt:lpwstr>
  </property>
</Properties>
</file>