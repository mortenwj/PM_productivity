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ietoevry.sharepoint.com/sites/BidRoom-052088/23 RFP Production and archive/"/>
    </mc:Choice>
  </mc:AlternateContent>
  <xr:revisionPtr revIDLastSave="42" documentId="13_ncr:1_{27D625B4-71C0-4CB4-923C-DF90A1E53F44}" xr6:coauthVersionLast="47" xr6:coauthVersionMax="47" xr10:uidLastSave="{7679A4CE-81FE-4826-8900-202B786EF71A}"/>
  <bookViews>
    <workbookView xWindow="-110" yWindow="-110" windowWidth="19420" windowHeight="11500" activeTab="1" xr2:uid="{FFF81B3A-8282-47DB-A667-445C54387296}"/>
  </bookViews>
  <sheets>
    <sheet name="Prosjektoversikt" sheetId="5" r:id="rId1"/>
    <sheet name="Fremdriftsplan" sheetId="3" r:id="rId2"/>
    <sheet name="Milepæler" sheetId="2" r:id="rId3"/>
    <sheet name="Datavalidering (skjules)" sheetId="4" state="hidden" r:id="rId4"/>
    <sheet name="Opsjoner og tilleggsaktiviteter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9" i="3" l="1"/>
  <c r="B89" i="3"/>
  <c r="F70" i="3"/>
  <c r="F69" i="3"/>
  <c r="F68" i="3"/>
  <c r="F67" i="3"/>
  <c r="F29" i="3"/>
  <c r="F28" i="3"/>
  <c r="F27" i="3"/>
  <c r="B5" i="3"/>
  <c r="F7" i="3"/>
  <c r="F8" i="3"/>
  <c r="F9" i="3"/>
  <c r="F10" i="3"/>
  <c r="F11" i="3"/>
  <c r="F15" i="3"/>
  <c r="F16" i="3"/>
  <c r="F19" i="3"/>
  <c r="F21" i="3"/>
  <c r="F22" i="3"/>
  <c r="F23" i="3"/>
  <c r="F24" i="3"/>
  <c r="F25" i="3"/>
  <c r="F31" i="3"/>
  <c r="F32" i="3"/>
  <c r="F36" i="3"/>
  <c r="F37" i="3"/>
  <c r="F38" i="3"/>
  <c r="F45" i="3"/>
  <c r="F46" i="3"/>
  <c r="F50" i="3"/>
  <c r="F52" i="3"/>
  <c r="F54" i="3"/>
  <c r="F55" i="3"/>
  <c r="F57" i="3"/>
  <c r="F58" i="3"/>
  <c r="F60" i="3"/>
  <c r="F61" i="3"/>
  <c r="F62" i="3"/>
  <c r="F66" i="3"/>
  <c r="F72" i="3"/>
  <c r="F73" i="3"/>
  <c r="F77" i="3"/>
  <c r="F78" i="3"/>
  <c r="F80" i="3"/>
  <c r="F84" i="3"/>
  <c r="F85" i="3"/>
  <c r="F87" i="3"/>
  <c r="F88" i="3"/>
  <c r="F94" i="3"/>
  <c r="F96" i="3"/>
  <c r="F98" i="3"/>
  <c r="F99" i="3"/>
  <c r="F102" i="3"/>
  <c r="F104" i="3"/>
  <c r="F6" i="3"/>
  <c r="G46" i="6" l="1"/>
  <c r="G45" i="6"/>
  <c r="G13" i="6"/>
  <c r="G14" i="6"/>
  <c r="G15" i="6"/>
  <c r="G12" i="6"/>
  <c r="G5" i="6"/>
  <c r="G28" i="6"/>
  <c r="G27" i="6"/>
  <c r="G26" i="6"/>
  <c r="G25" i="6"/>
  <c r="G24" i="6"/>
  <c r="G125" i="6"/>
  <c r="G124" i="6"/>
  <c r="G123" i="6"/>
  <c r="G121" i="6"/>
  <c r="G120" i="6"/>
  <c r="G119" i="6"/>
  <c r="G118" i="6"/>
  <c r="G116" i="6"/>
  <c r="G115" i="6"/>
  <c r="G114" i="6"/>
  <c r="G113" i="6"/>
  <c r="G111" i="6"/>
  <c r="G110" i="6"/>
  <c r="G109" i="6"/>
  <c r="G108" i="6"/>
  <c r="G107" i="6"/>
  <c r="G106" i="6"/>
  <c r="G104" i="6"/>
  <c r="G103" i="6"/>
  <c r="G102" i="6"/>
  <c r="G101" i="6"/>
  <c r="G100" i="6"/>
  <c r="G98" i="6"/>
  <c r="G97" i="6"/>
  <c r="G95" i="6"/>
  <c r="G94" i="6"/>
  <c r="G92" i="6"/>
  <c r="G91" i="6"/>
  <c r="G90" i="6"/>
  <c r="G89" i="6"/>
  <c r="G88" i="6"/>
  <c r="G87" i="6"/>
  <c r="G86" i="6"/>
  <c r="G85" i="6"/>
  <c r="G83" i="6"/>
  <c r="G82" i="6"/>
  <c r="G81" i="6"/>
  <c r="G80" i="6"/>
  <c r="G79" i="6"/>
  <c r="G77" i="6"/>
  <c r="G76" i="6"/>
  <c r="G75" i="6"/>
  <c r="G74" i="6"/>
  <c r="G72" i="6"/>
  <c r="G71" i="6"/>
  <c r="G70" i="6"/>
  <c r="G69" i="6"/>
  <c r="G68" i="6"/>
  <c r="G67" i="6"/>
  <c r="F8" i="5"/>
  <c r="F22" i="5"/>
  <c r="F23" i="5"/>
  <c r="F24" i="5"/>
  <c r="F25" i="5"/>
  <c r="F26" i="5"/>
  <c r="F27" i="5"/>
  <c r="F28" i="5"/>
  <c r="F29" i="5"/>
  <c r="F30" i="5"/>
  <c r="F31" i="5"/>
  <c r="F32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G6" i="6"/>
  <c r="G7" i="6"/>
  <c r="G8" i="6"/>
  <c r="G9" i="6"/>
  <c r="G10" i="6"/>
  <c r="G11" i="6"/>
  <c r="G16" i="6"/>
  <c r="G17" i="6"/>
  <c r="G18" i="6"/>
  <c r="G19" i="6"/>
  <c r="G20" i="6"/>
  <c r="G21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4" i="6"/>
  <c r="N26" i="5" l="1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7" i="5"/>
  <c r="N28" i="5"/>
  <c r="N29" i="5"/>
  <c r="N30" i="5"/>
  <c r="N31" i="5"/>
  <c r="N8" i="5"/>
  <c r="Q18" i="5"/>
  <c r="U20" i="5"/>
  <c r="U19" i="5"/>
  <c r="U18" i="5"/>
  <c r="U17" i="5"/>
  <c r="U16" i="5"/>
  <c r="Q20" i="5"/>
  <c r="Q19" i="5"/>
  <c r="Q16" i="5"/>
  <c r="T20" i="5"/>
  <c r="T19" i="5"/>
  <c r="T18" i="5"/>
  <c r="T17" i="5"/>
  <c r="T16" i="5"/>
  <c r="S20" i="5"/>
  <c r="S19" i="5"/>
  <c r="S18" i="5"/>
  <c r="S17" i="5"/>
  <c r="S16" i="5"/>
  <c r="R20" i="5"/>
  <c r="R16" i="5"/>
  <c r="R17" i="5"/>
  <c r="R18" i="5"/>
  <c r="R19" i="5"/>
  <c r="Q17" i="5"/>
  <c r="B105" i="3"/>
  <c r="B100" i="3"/>
  <c r="B81" i="3"/>
  <c r="B74" i="3"/>
  <c r="B17" i="3" l="1"/>
  <c r="B23" i="5" a="1"/>
  <c r="B23" i="5" l="1"/>
  <c r="C25" i="5"/>
  <c r="C26" i="5"/>
  <c r="C27" i="5"/>
  <c r="C28" i="5"/>
  <c r="C14" i="5" s="1"/>
  <c r="C31" i="5"/>
  <c r="C33" i="5"/>
  <c r="C24" i="5"/>
  <c r="C30" i="5"/>
  <c r="C32" i="5"/>
  <c r="B12" i="3"/>
  <c r="B3" i="3"/>
  <c r="C29" i="5"/>
  <c r="C34" i="5" l="1"/>
  <c r="C12" i="5"/>
  <c r="C17" i="5" l="1"/>
  <c r="C1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tc={3BC9FB34-FAE4-48B7-842F-4C4E9A598391}</author>
    <author>tc={15FB18D7-8FD1-4436-AB63-A2A4C64987A0}</author>
    <author>tc={221D24F4-7298-43F3-8D05-AA6957453B75}</author>
  </authors>
  <commentList>
    <comment ref="C13" authorId="0" shapeId="0" xr:uid="{3BC9FB34-FAE4-48B7-842F-4C4E9A59839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Fast sum? %-utregning av prosjekt? Må avklares</t>
      </text>
    </comment>
    <comment ref="C18" authorId="1" shapeId="0" xr:uid="{15FB18D7-8FD1-4436-AB63-A2A4C64987A0}">
      <text>
        <t>[Kommentartråd]
Din versjon av Excel lar deg lese denne kommentartråden. Eventuelle endringer i den vil imidlertid bli fjernet hvis filen åpnes i en nyere versjon av Excel. Finn ut mer: https://go.microsoft.com/fwlink/?linkid=870924
Kommentar:
    Kan endres ved behov</t>
      </text>
    </comment>
    <comment ref="C34" authorId="2" shapeId="0" xr:uid="{221D24F4-7298-43F3-8D05-AA6957453B75}">
      <text>
        <t>[Kommentartråd]
Din versjon av Excel lar deg lese denne kommentartråden. Eventuelle endringer i den vil imidlertid bli fjernet hvis filen åpnes i en nyere versjon av Excel. Finn ut mer: https://go.microsoft.com/fwlink/?linkid=870924
Kommentar:
    Tallet her er ikke samme som i tabellen over fordi statusmøter og risikopåslag ikke er inkludert i utregningen.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tc={234CD00D-B990-44F8-8222-9EF83B84CFFA}</author>
    <author>tc={A69D3224-0C98-4CED-BEC5-2A9B94F5667F}</author>
    <author>tc={8BBF840A-F3BF-4A48-BEB4-A8C372DF825C}</author>
  </authors>
  <commentList>
    <comment ref="E2" authorId="0" shapeId="0" xr:uid="{234CD00D-B990-44F8-8222-9EF83B84CFFA}">
      <text>
        <t>[Kommentartråd]
Din versjon av Excel lar deg lese denne kommentartråden. Eventuelle endringer i den vil imidlertid bli fjernet hvis filen åpnes i en nyere versjon av Excel. Finn ut mer: https://go.microsoft.com/fwlink/?linkid=870924
Kommentar:
    1 miljø = 1
2 miljøer = 1.5
3 miljøer = 2</t>
      </text>
    </comment>
    <comment ref="F2" authorId="1" shapeId="0" xr:uid="{A69D3224-0C98-4CED-BEC5-2A9B94F5667F}">
      <text>
        <t>[Kommentartråd]
Din versjon av Excel lar deg lese denne kommentartråden. Eventuelle endringer i den vil imidlertid bli fjernet hvis filen åpnes i en nyere versjon av Excel. Finn ut mer: https://go.microsoft.com/fwlink/?linkid=870924
Kommentar:
    Tallene er hentet fra WIKI</t>
      </text>
    </comment>
    <comment ref="C78" authorId="2" shapeId="0" xr:uid="{8BBF840A-F3BF-4A48-BEB4-A8C372DF825C}">
      <text>
        <t>[Kommentartråd]
Din versjon av Excel lar deg lese denne kommentartråden. Eventuelle endringer i den vil imidlertid bli fjernet hvis filen åpnes i en nyere versjon av Excel. Finn ut mer: https://go.microsoft.com/fwlink/?linkid=870924
Kommentar:
    Budsjett for ferdigstillelse er inkludert i modul-budsjettet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<sst xmlns="http://schemas.openxmlformats.org/spreadsheetml/2006/main" count="1555" uniqueCount="385">
  <si>
    <t>Prosjektoversikt</t>
  </si>
  <si>
    <t>Implementeringsprosjekt P360</t>
  </si>
  <si>
    <t>Prosjektnavn</t>
  </si>
  <si>
    <t>KUNDENAVN Implementering P360</t>
  </si>
  <si>
    <t>Prosjektets identifiserte risiko</t>
  </si>
  <si>
    <t>Påvirkning</t>
  </si>
  <si>
    <t>Kunde</t>
  </si>
  <si>
    <t>KUNDENAVN</t>
  </si>
  <si>
    <t>ID</t>
  </si>
  <si>
    <t>Risikobeskrivelse</t>
  </si>
  <si>
    <t>Konsekvens</t>
  </si>
  <si>
    <t>Tiltak</t>
  </si>
  <si>
    <t>Ansvarlig</t>
  </si>
  <si>
    <t>Kategori</t>
  </si>
  <si>
    <t>Sannsynlighet</t>
  </si>
  <si>
    <t>Risikonivå</t>
  </si>
  <si>
    <t>Kategorier</t>
  </si>
  <si>
    <t>Ubetydelig</t>
  </si>
  <si>
    <t>Mindre alvorlig</t>
  </si>
  <si>
    <t>Alvorlig</t>
  </si>
  <si>
    <t>Kritisk</t>
  </si>
  <si>
    <t>Katastrofe</t>
  </si>
  <si>
    <t>Antatt varighet (mnd)</t>
  </si>
  <si>
    <t>Det er for høye forventninger knyttet til konfigurasjonsmuligheter</t>
  </si>
  <si>
    <t>Økt frustrasjon og uenighet mellom partene, økte kostnader og potensielt forsinkelse i prosjektet</t>
  </si>
  <si>
    <t>Konfigurasjonspakker er lagt inn som opsjon</t>
  </si>
  <si>
    <t>Rådgiver</t>
  </si>
  <si>
    <t>Leveranse</t>
  </si>
  <si>
    <t>Meget sannsynlig</t>
  </si>
  <si>
    <t>Svært sannsynlig</t>
  </si>
  <si>
    <t>Medium</t>
  </si>
  <si>
    <t>Høy</t>
  </si>
  <si>
    <t>Lav</t>
  </si>
  <si>
    <r>
      <t>Tidsbudsjett</t>
    </r>
    <r>
      <rPr>
        <sz val="14"/>
        <color rgb="FF021E57"/>
        <rFont val="Calibri"/>
        <family val="2"/>
        <scheme val="minor"/>
      </rPr>
      <t xml:space="preserve"> (Overordnet)</t>
    </r>
  </si>
  <si>
    <t>Sannsynlig</t>
  </si>
  <si>
    <t>Timer</t>
  </si>
  <si>
    <t>Kommentar</t>
  </si>
  <si>
    <t>Lite sannsynlig</t>
  </si>
  <si>
    <t>Konsulenttid</t>
  </si>
  <si>
    <t>Svært lite sannsynlig</t>
  </si>
  <si>
    <t>Prosjektledelse</t>
  </si>
  <si>
    <t>Migrering</t>
  </si>
  <si>
    <t>Statusmøter (internt)</t>
  </si>
  <si>
    <t>Kan justeres</t>
  </si>
  <si>
    <t>Antall</t>
  </si>
  <si>
    <t>Statusmøter (eksternt)</t>
  </si>
  <si>
    <t>Budsjett u/risikopåslag</t>
  </si>
  <si>
    <t>Risikopåslag</t>
  </si>
  <si>
    <t>Budsjett m/risikopåslag</t>
  </si>
  <si>
    <t>Påslag kun på konsulenttid, PL og migrering</t>
  </si>
  <si>
    <r>
      <t xml:space="preserve">Tidsbudsjett </t>
    </r>
    <r>
      <rPr>
        <sz val="14"/>
        <color rgb="FF021E57"/>
        <rFont val="Calibri"/>
        <family val="2"/>
        <scheme val="minor"/>
      </rPr>
      <t>(Etter kategori)</t>
    </r>
  </si>
  <si>
    <r>
      <rPr>
        <sz val="12"/>
        <color rgb="FF000000"/>
        <rFont val="Calibri"/>
      </rPr>
      <t xml:space="preserve">Kan justeres. </t>
    </r>
    <r>
      <rPr>
        <sz val="12"/>
        <color rgb="FFFF0000"/>
        <rFont val="Calibri"/>
      </rPr>
      <t>Obs! PL-tiden er ikke satt, så sett individuell tid på dette enn så lenge. Se tabellen over</t>
    </r>
  </si>
  <si>
    <t>Statusmøter er ekstra</t>
  </si>
  <si>
    <r>
      <t xml:space="preserve">Fremdriftsplan </t>
    </r>
    <r>
      <rPr>
        <b/>
        <sz val="14"/>
        <color rgb="FFF5FF57"/>
        <rFont val="Tietoevry Sans 1 Thin"/>
      </rPr>
      <t>Implementeringsprosjekt Public 360</t>
    </r>
    <r>
      <rPr>
        <b/>
        <sz val="14"/>
        <color theme="3"/>
        <rFont val="Tietoevry Sans 1 Thin"/>
      </rPr>
      <t>⁰</t>
    </r>
  </si>
  <si>
    <t>Aktiviteter</t>
  </si>
  <si>
    <t>Obligatorisk</t>
  </si>
  <si>
    <r>
      <t xml:space="preserve">Min </t>
    </r>
    <r>
      <rPr>
        <i/>
        <sz val="10"/>
        <color theme="4"/>
        <rFont val="Calibri"/>
        <family val="2"/>
      </rPr>
      <t>(timer)</t>
    </r>
  </si>
  <si>
    <r>
      <t xml:space="preserve">Max </t>
    </r>
    <r>
      <rPr>
        <i/>
        <sz val="10"/>
        <color theme="4"/>
        <rFont val="Calibri"/>
        <family val="2"/>
      </rPr>
      <t>(timer)</t>
    </r>
  </si>
  <si>
    <t>Antall miljøer</t>
  </si>
  <si>
    <r>
      <t xml:space="preserve">Budsjett </t>
    </r>
    <r>
      <rPr>
        <b/>
        <sz val="10"/>
        <color rgb="FF021E57"/>
        <rFont val="Calibri"/>
        <family val="2"/>
      </rPr>
      <t>(timer)</t>
    </r>
  </si>
  <si>
    <t>Ansvar (RACI)</t>
  </si>
  <si>
    <t>Ansvarlig person</t>
  </si>
  <si>
    <t>Andre deltakere</t>
  </si>
  <si>
    <t>Start</t>
  </si>
  <si>
    <t>Slutt</t>
  </si>
  <si>
    <t>Varighet</t>
  </si>
  <si>
    <t>Tidspunkt</t>
  </si>
  <si>
    <t>Fullført</t>
  </si>
  <si>
    <t>Aktivitetsbeskrivelse</t>
  </si>
  <si>
    <t>MP0</t>
  </si>
  <si>
    <t>Nei</t>
  </si>
  <si>
    <t>Leverandør (R), Kunde (C)</t>
  </si>
  <si>
    <t>Kundens styringsgruppe</t>
  </si>
  <si>
    <t>1 time</t>
  </si>
  <si>
    <t>FASE 1</t>
  </si>
  <si>
    <t>FORBEREDELSE OG ORGANISERING</t>
  </si>
  <si>
    <t>MP1</t>
  </si>
  <si>
    <t>Forberedelser og organisering av leveranse og ressurser</t>
  </si>
  <si>
    <t>Ja</t>
  </si>
  <si>
    <t>Leverandør (R), Kunde (R)</t>
  </si>
  <si>
    <t>Kundens prosjektgruppe</t>
  </si>
  <si>
    <t>Booking av ressurser, interne forberedelser</t>
  </si>
  <si>
    <t>Kunde innhenter teknisk informasjon (Velkomstbrev)</t>
  </si>
  <si>
    <t>Kunde (R)</t>
  </si>
  <si>
    <t>Kunde får tilsendt velkomstbrev på forhånd og innhenter teknisk data</t>
  </si>
  <si>
    <t>Møte: Leverandørens interne oppstartsmøte</t>
  </si>
  <si>
    <t>Generelle møter</t>
  </si>
  <si>
    <t>Leverandør (R)</t>
  </si>
  <si>
    <t>Internt oppstartsmøte for Leverandørens prosjektgruppe</t>
  </si>
  <si>
    <t>Kundens prosjektleder</t>
  </si>
  <si>
    <t>Møte: Felles oppstartsmøte med begge prosjektgruppene (Kick-off)</t>
  </si>
  <si>
    <t>Leverandør (R), Kunde (I)</t>
  </si>
  <si>
    <t>2 timer</t>
  </si>
  <si>
    <t>Felles oppstartsmøte for begge prosjektgruppene (Kunden og Leverandøren)</t>
  </si>
  <si>
    <t>Møte: Teknisk møte</t>
  </si>
  <si>
    <t>Kundens IT</t>
  </si>
  <si>
    <t>Gjennomgang av tekniske krav (miljø og moduler) og velkomstbrev</t>
  </si>
  <si>
    <t>Installering</t>
  </si>
  <si>
    <t>Fremdriftsplan oppdateres til v.1.0</t>
  </si>
  <si>
    <t>Omforent fremdriftsplan oppdateres</t>
  </si>
  <si>
    <t>MP2</t>
  </si>
  <si>
    <t>FASE 2</t>
  </si>
  <si>
    <t>INSTALLERING, OPPLÆRING OG SPESIFISERING</t>
  </si>
  <si>
    <t>Etablering av miljø m/moduler + verifisering av miljøpålogging</t>
  </si>
  <si>
    <t>1 dag</t>
  </si>
  <si>
    <t>Leverandøren oppretter miljø(er) iht. Avtalen og verifiserer innlogging</t>
  </si>
  <si>
    <t>Arbeid med tilkobling av AD Sync påbegynnes</t>
  </si>
  <si>
    <t>MP3</t>
  </si>
  <si>
    <t>Innledende møter</t>
  </si>
  <si>
    <t>Opplæring</t>
  </si>
  <si>
    <t>3 timer</t>
  </si>
  <si>
    <t>Analysering</t>
  </si>
  <si>
    <t>Leverandøren blir kjent med Kundens arbeidsmetoder og prosesser, for å kunne tilpasse anbefalinger og tilbakemeldinger</t>
  </si>
  <si>
    <t>Opplæring av prosjektgruppe</t>
  </si>
  <si>
    <t>-</t>
  </si>
  <si>
    <t>Leverandøren forbereder til kursgjennomføring</t>
  </si>
  <si>
    <t>Gjennomgang av faglig kursinnhold og -oppgaver</t>
  </si>
  <si>
    <t>Kurs: Administratorkurs (3 timer)</t>
  </si>
  <si>
    <t>Kurs: Videregåendekurs (3 timer)</t>
  </si>
  <si>
    <t>Kurs: Arkivarkurs (3 timer)</t>
  </si>
  <si>
    <t>Generelle arbeidsmøter</t>
  </si>
  <si>
    <r>
      <t xml:space="preserve">Tema: Gjennomgang av konfigurasjonsdokument - </t>
    </r>
    <r>
      <rPr>
        <b/>
        <sz val="11"/>
        <color theme="4"/>
        <rFont val="Calibri"/>
        <family val="2"/>
      </rPr>
      <t>Basispakke</t>
    </r>
  </si>
  <si>
    <t>Dokumentering og spesifisering</t>
  </si>
  <si>
    <t>Kunden bør ha gjennomført administrator- og arkivarkurs først</t>
  </si>
  <si>
    <t xml:space="preserve">Tema: Gjennomgang API'er m/tredjepartsleverandør ift. Kundespesifikke integrasjoner </t>
  </si>
  <si>
    <t>Veiledning i hvordan Kunden kan opprette endepunkter, samt gjennomgang med tredjepart og Kunde for å identifisere nødvendige API'er</t>
  </si>
  <si>
    <t>BASIC</t>
  </si>
  <si>
    <t>AD Sync</t>
  </si>
  <si>
    <t>Arbeidsmøter for oppsett av modul avtales fortløpende. Kunden er selv ansvarlig for å signere evt. avtaler med tredjepart</t>
  </si>
  <si>
    <t>Format Converter</t>
  </si>
  <si>
    <t>Archive Format Validator</t>
  </si>
  <si>
    <t>BOARD AND MEETING MANAGEMENT</t>
  </si>
  <si>
    <t>Board and Council</t>
  </si>
  <si>
    <t>Decision Tracking</t>
  </si>
  <si>
    <t>eMeetings Prepare</t>
  </si>
  <si>
    <t>eMeetings Live</t>
  </si>
  <si>
    <t>Meeting Management</t>
  </si>
  <si>
    <t>eManager</t>
  </si>
  <si>
    <t>DIGITAL COMMUNICATION</t>
  </si>
  <si>
    <t>Integration: SvarInn (NO)</t>
  </si>
  <si>
    <t>Integration: SvarUt (NO)</t>
  </si>
  <si>
    <t>Dispatch Adapter: DPI</t>
  </si>
  <si>
    <t>Dispatch Adapter: eFormidling</t>
  </si>
  <si>
    <t>CENTRAL REGISTRIES</t>
  </si>
  <si>
    <t>Integration: Folkeregisteret (Infotorg eller KS Fiks)</t>
  </si>
  <si>
    <t>Integration: Folkeregisteret Update</t>
  </si>
  <si>
    <t>Integration: Enhetsregisteret</t>
  </si>
  <si>
    <t>Integration: Enhetsregisteret Update</t>
  </si>
  <si>
    <t>Cadastre Integration</t>
  </si>
  <si>
    <t>TRANSPARENCY</t>
  </si>
  <si>
    <t>Information Act Request</t>
  </si>
  <si>
    <t>OpenGov 2.0</t>
  </si>
  <si>
    <t>Public Journal</t>
  </si>
  <si>
    <t>Public Journal File Server</t>
  </si>
  <si>
    <t>OpenGov Cases and Documents</t>
  </si>
  <si>
    <t>OpenGov Webservices</t>
  </si>
  <si>
    <t>eInnsyn Export</t>
  </si>
  <si>
    <t>FileViewer</t>
  </si>
  <si>
    <t>DOCUMENT MANAGEMENT</t>
  </si>
  <si>
    <t>Contract Management</t>
  </si>
  <si>
    <t>Policy Documents</t>
  </si>
  <si>
    <t>INTELLIGENT PRODUCTIVITY PLATFORM</t>
  </si>
  <si>
    <t>Archive Inspector</t>
  </si>
  <si>
    <t>Mimir</t>
  </si>
  <si>
    <t>THIRD PARTY INTEGRATION TOOLS</t>
  </si>
  <si>
    <t>Power Automate Connector</t>
  </si>
  <si>
    <t>SIF</t>
  </si>
  <si>
    <t>FIKS Arkiv</t>
  </si>
  <si>
    <t>GI Services</t>
  </si>
  <si>
    <t>Package Upload</t>
  </si>
  <si>
    <t>PROCESS LIBRARY (ARCHIVING BY DESIGN)</t>
  </si>
  <si>
    <t>Process Library: Startskudd</t>
  </si>
  <si>
    <t>Process Library: Everyone</t>
  </si>
  <si>
    <t>Process Library: Landbruksdirektoratet</t>
  </si>
  <si>
    <t>Process Library: Email Archiving</t>
  </si>
  <si>
    <t>AutoSaver</t>
  </si>
  <si>
    <t>Integration: Webcruiter</t>
  </si>
  <si>
    <t>COLLABORATION IN MS365</t>
  </si>
  <si>
    <t>Integration: MS Teams</t>
  </si>
  <si>
    <t>Integration: MS Office Apps</t>
  </si>
  <si>
    <t>Integration: Sharepoint</t>
  </si>
  <si>
    <t>FILE MANAGEMENT</t>
  </si>
  <si>
    <t>Scanning</t>
  </si>
  <si>
    <t>PDF Stamping</t>
  </si>
  <si>
    <t>eSigning Connect</t>
  </si>
  <si>
    <t>Sign</t>
  </si>
  <si>
    <t>ADDITIONAL</t>
  </si>
  <si>
    <t>Template Connect</t>
  </si>
  <si>
    <t>Restricted Mode</t>
  </si>
  <si>
    <t>Process Engine</t>
  </si>
  <si>
    <t>Ferdigstillelse av konfigurasjonsdokument</t>
  </si>
  <si>
    <t>Leverandøren oppdaterer og ferdigstiller konfigurasjonsdokumentet</t>
  </si>
  <si>
    <t>Leverandører oppdaterer og ferdigstiller konfigurasjonsdokumentet som er grunnlag for konfigurasjonsoppsettet</t>
  </si>
  <si>
    <t>Kunde leser gjennom og godkjenner oppdatert konfigurasjonsdokument</t>
  </si>
  <si>
    <t>Kunden skal lese gjennom og godkjenne det oppdaterte konfigurasjonsdokumentet</t>
  </si>
  <si>
    <t>MP4</t>
  </si>
  <si>
    <t>FASE 3</t>
  </si>
  <si>
    <t>IMPLEMENTERING OG KONFIGURERING</t>
  </si>
  <si>
    <t>Konfigurere miljø(er) iht. konfigurasjonsdokument</t>
  </si>
  <si>
    <t>Implementering</t>
  </si>
  <si>
    <t>Miljøet settes opp og konfigureres iht. godkjent konfigurasjonsdokument</t>
  </si>
  <si>
    <t>Konfigurasjon av moduler m/kundeopplysninger som skal testes ferdigstilles</t>
  </si>
  <si>
    <t>Sertifikater og brukerinfo legges inn av Kunden. Leverandør skal aldri se eller håndtere passord, men kan veilede Kunden.</t>
  </si>
  <si>
    <t>Leverandørens verifikasjon (FAT)</t>
  </si>
  <si>
    <t>Testing</t>
  </si>
  <si>
    <t>Leverandør verifiserer at grunnleggende funksjoner fungerer</t>
  </si>
  <si>
    <t>Kunde og tredjepart setter opp eventuelle kundespesifikke integrasjoner</t>
  </si>
  <si>
    <t>Kunde (R), tredjepart (C)</t>
  </si>
  <si>
    <t>Tredjepartsleverandør</t>
  </si>
  <si>
    <t>Tredjepartsintegrasjoner er Kundens ansvar, men Leverandøren kan bistå ved behov</t>
  </si>
  <si>
    <t>MP5</t>
  </si>
  <si>
    <t>FASE 4</t>
  </si>
  <si>
    <t>Møte: Oppstartsmøte testperioden</t>
  </si>
  <si>
    <t>Gjennomgang av retningslinjer, akseptansekriterier og frister</t>
  </si>
  <si>
    <t>Kunden tester iht. Avtalen</t>
  </si>
  <si>
    <t>Leverandøren (og annen ansvarlig part) gjør nødvendige endringer for å rette avvik</t>
  </si>
  <si>
    <t>Møte: Statusmøte testperioden</t>
  </si>
  <si>
    <t>Kundens testleder</t>
  </si>
  <si>
    <t>Statusmøte for testperioden, gjennomføres basert på behov</t>
  </si>
  <si>
    <t>Møte: Avslutningsmøte testperioden</t>
  </si>
  <si>
    <t>Gjennomgang av åpne innmeldte saker iht. Akseptansekriterier</t>
  </si>
  <si>
    <t>MP6</t>
  </si>
  <si>
    <t>FASE 5</t>
  </si>
  <si>
    <t>IDRIFTSSETTELSE</t>
  </si>
  <si>
    <t>Forberedende aktiviteter</t>
  </si>
  <si>
    <t>Rådgivning</t>
  </si>
  <si>
    <t>Kundens prosjektgriuppe</t>
  </si>
  <si>
    <t>Håndtering av åpne restanser etter testperioden iht. kontrakt</t>
  </si>
  <si>
    <t>Håndtering av gjenstående B-feil</t>
  </si>
  <si>
    <t>Produksjonssetting</t>
  </si>
  <si>
    <t>Hindrer at sluttbrukerne får gjort endringer i OnPrem-løsningen etter importen av nyeste data</t>
  </si>
  <si>
    <t>Utvikling</t>
  </si>
  <si>
    <t>Felles verifikasjon av prodmiljø</t>
  </si>
  <si>
    <t>Begge parter gjør en kjapp sjekk av at integrasjoner, maler etc. fungerer</t>
  </si>
  <si>
    <t>Go / No Go</t>
  </si>
  <si>
    <t>Godkjenne at miljøet er klart for bruk</t>
  </si>
  <si>
    <t>MP7</t>
  </si>
  <si>
    <t>FASE 6</t>
  </si>
  <si>
    <t>EVALUERING OG AVSLUTNING</t>
  </si>
  <si>
    <t>Kundens sluttbrukere</t>
  </si>
  <si>
    <t>Møte: Felles prosjektevaluering</t>
  </si>
  <si>
    <t>Gjennomgang av prosjektgjennomføring, evaluering og tilbakemeldinger</t>
  </si>
  <si>
    <t>Leverandørens prosjektavslutningsaktiviteter (GW12)</t>
  </si>
  <si>
    <t>Lukking av prosjekt, dokumentering, rapportering etc.</t>
  </si>
  <si>
    <t>MP8</t>
  </si>
  <si>
    <t>Implementeringsprosjekt - Standardmilepæler</t>
  </si>
  <si>
    <t>Milepælsbeskrivelse</t>
  </si>
  <si>
    <t>Kontrakten er signert</t>
  </si>
  <si>
    <t>Prosjektet er igangsatt</t>
  </si>
  <si>
    <t>Dette for å tydeliggjøre at vi nå kan føre tid på prosjektet</t>
  </si>
  <si>
    <t>Omforent fremdriftsplan er godkjent</t>
  </si>
  <si>
    <t>Avtalt miljø er klart for funksjonelt oppsett og verifisering</t>
  </si>
  <si>
    <t>SaaS begynner 50%, dersom avtalt.</t>
  </si>
  <si>
    <t>Konfigurasjonsdokumentet er godkjent</t>
  </si>
  <si>
    <t>Løsningen er klar for Kundens Godkjenningsprøve</t>
  </si>
  <si>
    <t>Perioden for Godkjenningsprøven er utløpt og Løsningen er godkjent iht. akseptansekriteriene</t>
  </si>
  <si>
    <t>Kunden må få Leveransemelding om at Leveringsdagen skjer påfølgende virkedag og SaaS begynner 100%.</t>
  </si>
  <si>
    <t>Løsningen er driftsatt og tilgjengeliggjort for sluttbrukerne</t>
  </si>
  <si>
    <t>Prosjektet er avsluttet og overlevert til forvaltning</t>
  </si>
  <si>
    <t>Miljøer</t>
  </si>
  <si>
    <t>Multipliseres</t>
  </si>
  <si>
    <t>Passord (låste celler): P360</t>
  </si>
  <si>
    <t>Beskrivelse</t>
  </si>
  <si>
    <t>Risikokategori</t>
  </si>
  <si>
    <t>Administrasjon, økonomi, SG-møter, statusmøter</t>
  </si>
  <si>
    <t>Budsjett</t>
  </si>
  <si>
    <t>Tidsplan</t>
  </si>
  <si>
    <t>Teknologi</t>
  </si>
  <si>
    <t>Informasjon</t>
  </si>
  <si>
    <t>Sikkerhet</t>
  </si>
  <si>
    <t>Kvalitet</t>
  </si>
  <si>
    <t>Prosjektplan</t>
  </si>
  <si>
    <t>Juridisk</t>
  </si>
  <si>
    <r>
      <t xml:space="preserve">Opsjoner og tilleggsaktiviteter </t>
    </r>
    <r>
      <rPr>
        <sz val="16"/>
        <color rgb="FFF5FF57"/>
        <rFont val="Calibri"/>
        <family val="2"/>
        <scheme val="minor"/>
      </rPr>
      <t>- Aktiviteter</t>
    </r>
  </si>
  <si>
    <t>Estimater (internt)</t>
  </si>
  <si>
    <t>Prosjektleder</t>
  </si>
  <si>
    <t>Deployer</t>
  </si>
  <si>
    <t>Utvikler</t>
  </si>
  <si>
    <t>Support</t>
  </si>
  <si>
    <t>Prosjekteier</t>
  </si>
  <si>
    <t>Foreslått fase</t>
  </si>
  <si>
    <r>
      <t xml:space="preserve">Min </t>
    </r>
    <r>
      <rPr>
        <b/>
        <sz val="10"/>
        <color theme="4"/>
        <rFont val="Calibri"/>
        <family val="2"/>
      </rPr>
      <t>(timer)</t>
    </r>
  </si>
  <si>
    <r>
      <t xml:space="preserve">Max </t>
    </r>
    <r>
      <rPr>
        <b/>
        <sz val="10"/>
        <color theme="4"/>
        <rFont val="Calibri"/>
        <family val="2"/>
      </rPr>
      <t>(timer)</t>
    </r>
  </si>
  <si>
    <r>
      <t xml:space="preserve">Budsjett </t>
    </r>
    <r>
      <rPr>
        <b/>
        <sz val="10"/>
        <color theme="4"/>
        <rFont val="Calibri"/>
        <family val="2"/>
      </rPr>
      <t>(timer)</t>
    </r>
  </si>
  <si>
    <t>Navngitt ansvarlig</t>
  </si>
  <si>
    <t>Leverandørens ansvarsfordeling</t>
  </si>
  <si>
    <t>∞</t>
  </si>
  <si>
    <t>Ekstra statusmøter</t>
  </si>
  <si>
    <t>Leverandør</t>
  </si>
  <si>
    <t>R</t>
  </si>
  <si>
    <t>C/I</t>
  </si>
  <si>
    <t>A</t>
  </si>
  <si>
    <t>Ekstra arbeidsmøter</t>
  </si>
  <si>
    <t>Utvikling av maler iht. avtale</t>
  </si>
  <si>
    <t>SG</t>
  </si>
  <si>
    <t>Ekstra styringsgruppemøte</t>
  </si>
  <si>
    <t>Ikke-fakturerbart?</t>
  </si>
  <si>
    <t>Bistand utover Leveransensens inkluderte timer</t>
  </si>
  <si>
    <t>Omfang og fakturering avtales med Kunden (enten via EO eller løpende timer)</t>
  </si>
  <si>
    <t>Leverandørens bistand med installasjon av klassifikasjonskoder (K-koder)</t>
  </si>
  <si>
    <t xml:space="preserve">Normalt en fastpris </t>
  </si>
  <si>
    <t>Leverandørens bistand med installasjon av arkivnøkler</t>
  </si>
  <si>
    <t>Opplæring og innføring</t>
  </si>
  <si>
    <t>Floor Walking</t>
  </si>
  <si>
    <t>Varighet etter avtale</t>
  </si>
  <si>
    <t>I/A</t>
  </si>
  <si>
    <t>Train the Trainer</t>
  </si>
  <si>
    <t>2 dager</t>
  </si>
  <si>
    <t>Spørretime (digitalt)</t>
  </si>
  <si>
    <t>eLæring</t>
  </si>
  <si>
    <t>Ekstra miljø</t>
  </si>
  <si>
    <t>Når det skal leveres mer enn ett miljø i prosjektet. Modulkonfig kommer i tillegg.</t>
  </si>
  <si>
    <t>Administrasjon (utsendelse av velkomstbrev, booking, GW12 m.m.)</t>
  </si>
  <si>
    <t>Installering av ekstra miljø + verifisering av tilkobling</t>
  </si>
  <si>
    <t>Import av DB-kopi</t>
  </si>
  <si>
    <t>Bistand under Kundens verifisering</t>
  </si>
  <si>
    <t>OnPrem-aktiviteter</t>
  </si>
  <si>
    <t>Når prosjektet ikke er Cloud.</t>
  </si>
  <si>
    <t>Etablering av lokale miljøer (Internt, utvikling, test)</t>
  </si>
  <si>
    <t>Teknisk verifikasjon av lokale miljøer</t>
  </si>
  <si>
    <t>Møte: Gjennomgang av AD Sync-oppsett</t>
  </si>
  <si>
    <t>Leverandøren er tilgjengelig for Kunden med avklaringer og evt. Justeringer</t>
  </si>
  <si>
    <t>Relatert til konfigdokumentet, faktureres på løpende timer</t>
  </si>
  <si>
    <t>Tema: Gjennomgang av Løsningens standard Møte og utvalg-maler</t>
  </si>
  <si>
    <t>Tema: Gjennomgang API'er m/tredjepartsleverandør ift. Kundespesifikke integrasjoner</t>
  </si>
  <si>
    <t>Tema: Informasjonsmøte om arkivnøkler</t>
  </si>
  <si>
    <t>Tema: Håndtering av åpne saker (MCUT)</t>
  </si>
  <si>
    <t>Kurs: Møte og utvalg</t>
  </si>
  <si>
    <t>Kurs: Lederkurs</t>
  </si>
  <si>
    <t>Kurs: Template Designer</t>
  </si>
  <si>
    <t>Opplæring av superbrukere</t>
  </si>
  <si>
    <t>Kurs: Grunnkurs</t>
  </si>
  <si>
    <t>Kurs: Videregåendekurs</t>
  </si>
  <si>
    <t>Open Session</t>
  </si>
  <si>
    <t>Kundens superbrukere</t>
  </si>
  <si>
    <t>Opplæring av sluttbrukere</t>
  </si>
  <si>
    <t>Kurs: Administratorkurs</t>
  </si>
  <si>
    <t>Kurs: Arkivarkurs</t>
  </si>
  <si>
    <t>C</t>
  </si>
  <si>
    <t xml:space="preserve">Forberedelser før generering av åpne saker vha. MCUT </t>
  </si>
  <si>
    <t>OnPrem-løsning settes til Read Only</t>
  </si>
  <si>
    <t>Generering av åpne saker vha. MCUT</t>
  </si>
  <si>
    <t>Installer arkivnøkler</t>
  </si>
  <si>
    <t>Sett avtalt start på saksnummer</t>
  </si>
  <si>
    <t>I</t>
  </si>
  <si>
    <r>
      <t xml:space="preserve">Opsjoner og tilleggsaktiviteter </t>
    </r>
    <r>
      <rPr>
        <sz val="16"/>
        <color rgb="FFF5FF57"/>
        <rFont val="Calibri"/>
        <family val="2"/>
        <scheme val="minor"/>
      </rPr>
      <t>- Moduler og integrasjoner</t>
    </r>
  </si>
  <si>
    <t>Løsning</t>
  </si>
  <si>
    <t>Sharepoint Connect</t>
  </si>
  <si>
    <t>Forbered tilkobling til AD Sync</t>
  </si>
  <si>
    <t>Uke 47</t>
  </si>
  <si>
    <t>x</t>
  </si>
  <si>
    <t>Search Assistant</t>
  </si>
  <si>
    <t>Flow</t>
  </si>
  <si>
    <t>Collect</t>
  </si>
  <si>
    <t>Opplæring av Superbrukere</t>
  </si>
  <si>
    <t>Generelle arbeidsmøter og opplæring</t>
  </si>
  <si>
    <t>Tema: Opplæring Flow</t>
  </si>
  <si>
    <t>Tema: Opplæring Collect</t>
  </si>
  <si>
    <t xml:space="preserve">Kurs: Lederkurs (2 timer) </t>
  </si>
  <si>
    <r>
      <t>Leverandøren forbereder miljø til digital kursgjennomføring i Leverandørens kursmiljø</t>
    </r>
    <r>
      <rPr>
        <sz val="11"/>
        <color theme="3"/>
        <rFont val="Calibri"/>
        <family val="2"/>
      </rPr>
      <t xml:space="preserve"> </t>
    </r>
  </si>
  <si>
    <t xml:space="preserve">Tema: Bli kjent med Kundens rutiner, prosesser og behov </t>
  </si>
  <si>
    <t>Managament Reporting API</t>
  </si>
  <si>
    <t>man 23.11.26</t>
  </si>
  <si>
    <t>tir 24.11.26</t>
  </si>
  <si>
    <t>ons 25.11.26</t>
  </si>
  <si>
    <t>tor 26.11.26</t>
  </si>
  <si>
    <t>fre 27.11.26</t>
  </si>
  <si>
    <t>man 30.11.26</t>
  </si>
  <si>
    <t>tir 01.12.26</t>
  </si>
  <si>
    <t>ons 02.12.26</t>
  </si>
  <si>
    <t>tors 03.12.26</t>
  </si>
  <si>
    <t>tir 08.12.26</t>
  </si>
  <si>
    <t>ons 09.12.26</t>
  </si>
  <si>
    <t>tors 10.12.26</t>
  </si>
  <si>
    <t>fre 11.12.26</t>
  </si>
  <si>
    <t>Konfigurasjon etter Akseptansetest</t>
  </si>
  <si>
    <t>man 14.12.26</t>
  </si>
  <si>
    <t>tor 17.12.26</t>
  </si>
  <si>
    <t>tir 15.12.26</t>
  </si>
  <si>
    <t>fre 18.12.26</t>
  </si>
  <si>
    <t>man 21.12.26</t>
  </si>
  <si>
    <t>AKSEPTANSETEST</t>
  </si>
  <si>
    <t>Kundens akseptansetest</t>
  </si>
  <si>
    <t>Konsulentbistand under akseptansetest</t>
  </si>
  <si>
    <t>Kopi av Kunde sin produksjonsbase over til testmiljø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</si>
</sst>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4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3"/>
      <name val="Calibri"/>
      <family val="2"/>
    </font>
    <font>
      <i/>
      <sz val="12"/>
      <color theme="4"/>
      <name val="Calibri"/>
      <family val="2"/>
      <scheme val="minor"/>
    </font>
    <font>
      <b/>
      <sz val="11"/>
      <color theme="9" tint="-0.499984740745262"/>
      <name val="Calibri"/>
      <family val="2"/>
    </font>
    <font>
      <sz val="11"/>
      <color theme="9" tint="-0.499984740745262"/>
      <name val="Calibri"/>
      <family val="2"/>
    </font>
    <font>
      <b/>
      <sz val="12"/>
      <color theme="4"/>
      <name val="Calibri"/>
      <family val="2"/>
    </font>
    <font>
      <b/>
      <sz val="20"/>
      <color theme="4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i/>
      <sz val="12"/>
      <color theme="4"/>
      <name val="Calibri"/>
      <family val="2"/>
      <scheme val="minor"/>
    </font>
    <font>
      <b/>
      <sz val="12"/>
      <color rgb="FFF5FF57"/>
      <name val="Calibri"/>
      <family val="2"/>
    </font>
    <font>
      <b/>
      <sz val="10"/>
      <color theme="4"/>
      <name val="Calibri"/>
      <family val="2"/>
    </font>
    <font>
      <b/>
      <sz val="12"/>
      <color rgb="FFF5FF57"/>
      <name val="Calibri"/>
      <family val="2"/>
      <scheme val="minor"/>
    </font>
    <font>
      <b/>
      <sz val="12"/>
      <color rgb="FFF5FF57"/>
      <name val="Tietoevry Sans 1 Light"/>
    </font>
    <font>
      <b/>
      <sz val="26"/>
      <color theme="0"/>
      <name val="Tietoevry Sans 1 Thin"/>
    </font>
    <font>
      <b/>
      <sz val="11"/>
      <color theme="4"/>
      <name val="Aptos Narrow"/>
      <family val="2"/>
    </font>
    <font>
      <sz val="20"/>
      <color theme="0"/>
      <name val="Calibri"/>
      <family val="2"/>
      <scheme val="minor"/>
    </font>
    <font>
      <sz val="16"/>
      <color rgb="FFF5FF57"/>
      <name val="Calibri"/>
      <family val="2"/>
      <scheme val="minor"/>
    </font>
    <font>
      <i/>
      <sz val="11"/>
      <color theme="1"/>
      <name val="Calibri"/>
      <family val="2"/>
    </font>
    <font>
      <b/>
      <i/>
      <sz val="11"/>
      <color theme="4"/>
      <name val="Calibri"/>
      <family val="2"/>
    </font>
    <font>
      <i/>
      <sz val="11"/>
      <name val="Calibri"/>
      <family val="2"/>
    </font>
    <font>
      <sz val="12"/>
      <color rgb="FF021E57"/>
      <name val="Calibri"/>
      <family val="2"/>
      <scheme val="minor"/>
    </font>
    <font>
      <b/>
      <sz val="12"/>
      <color rgb="FF021E57"/>
      <name val="Calibri"/>
      <family val="2"/>
    </font>
    <font>
      <b/>
      <sz val="10"/>
      <color rgb="FF021E57"/>
      <name val="Calibri"/>
      <family val="2"/>
    </font>
    <font>
      <b/>
      <sz val="11"/>
      <color rgb="FF021E57"/>
      <name val="Calibri"/>
      <family val="2"/>
    </font>
    <font>
      <b/>
      <i/>
      <sz val="11"/>
      <color theme="9" tint="-0.499984740745262"/>
      <name val="Calibri"/>
      <family val="2"/>
    </font>
    <font>
      <i/>
      <sz val="11"/>
      <color theme="9" tint="-0.499984740745262"/>
      <name val="Calibri"/>
      <family val="2"/>
    </font>
    <font>
      <i/>
      <sz val="12"/>
      <color theme="1"/>
      <name val="Calibri"/>
      <family val="2"/>
      <scheme val="minor"/>
    </font>
    <font>
      <i/>
      <sz val="12"/>
      <color theme="1"/>
      <name val="Calibri"/>
      <family val="2"/>
    </font>
    <font>
      <i/>
      <sz val="12"/>
      <color theme="4"/>
      <name val="Calibri"/>
      <family val="2"/>
    </font>
    <font>
      <i/>
      <sz val="10"/>
      <color theme="4"/>
      <name val="Calibri"/>
      <family val="2"/>
    </font>
    <font>
      <b/>
      <sz val="14"/>
      <color rgb="FF021E57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4"/>
      <color rgb="FFF5FF57"/>
      <name val="Tietoevry Sans 1 Thin"/>
    </font>
    <font>
      <b/>
      <sz val="14"/>
      <color theme="3"/>
      <name val="Tietoevry Sans 1 Thin"/>
    </font>
    <font>
      <sz val="12"/>
      <color rgb="FF021E57"/>
      <name val="Calibri"/>
      <family val="2"/>
    </font>
    <font>
      <b/>
      <sz val="12"/>
      <color rgb="FF021E57"/>
      <name val="Calibri"/>
      <family val="2"/>
      <scheme val="minor"/>
    </font>
    <font>
      <b/>
      <i/>
      <sz val="12"/>
      <color rgb="FF021E57"/>
      <name val="Calibri"/>
      <family val="2"/>
      <scheme val="minor"/>
    </font>
    <font>
      <b/>
      <sz val="14"/>
      <color rgb="FFF5FF57"/>
      <name val="Calibri"/>
      <family val="2"/>
      <scheme val="minor"/>
    </font>
    <font>
      <sz val="14"/>
      <color rgb="FF021E57"/>
      <name val="Calibri"/>
      <family val="2"/>
      <scheme val="minor"/>
    </font>
    <font>
      <b/>
      <i/>
      <sz val="16"/>
      <color rgb="FF021E57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</fonts>
  <fills count="25">
    <fill>
      <patternFill patternType="none"/>
    </fill>
    <fill>
      <patternFill patternType="gray125"/>
    </fill>
    <fill>
      <patternFill patternType="solid">
        <fgColor theme="2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B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21E57"/>
        <bgColor indexed="64"/>
      </patternFill>
    </fill>
    <fill>
      <patternFill patternType="solid">
        <fgColor rgb="FFF5FF57"/>
        <bgColor indexed="64"/>
      </patternFill>
    </fill>
    <fill>
      <patternFill patternType="solid">
        <fgColor rgb="FFFAFFB9"/>
        <bgColor indexed="64"/>
      </patternFill>
    </fill>
    <fill>
      <patternFill patternType="solid">
        <fgColor rgb="FFFCFFD9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7"/>
      </patternFill>
    </fill>
    <fill>
      <patternFill patternType="solid">
        <fgColor rgb="FFF2F5FF"/>
        <bgColor indexed="64"/>
      </patternFill>
    </fill>
    <fill>
      <patternFill patternType="solid">
        <fgColor rgb="FFF8FAFF"/>
        <bgColor indexed="64"/>
      </patternFill>
    </fill>
    <fill>
      <patternFill patternType="solid">
        <fgColor rgb="FFF3F0EF"/>
        <bgColor indexed="64"/>
      </patternFill>
    </fill>
    <fill>
      <patternFill patternType="solid">
        <fgColor rgb="FFF5FF56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medium">
        <color theme="5" tint="0.39997558519241921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medium">
        <color theme="5" tint="0.39997558519241921"/>
      </right>
      <top style="thin">
        <color theme="6"/>
      </top>
      <bottom style="thin">
        <color theme="6"/>
      </bottom>
      <diagonal/>
    </border>
    <border>
      <left style="medium">
        <color theme="5" tint="0.39997558519241921"/>
      </left>
      <right style="thin">
        <color theme="6"/>
      </right>
      <top style="medium">
        <color theme="5" tint="0.39997558519241921"/>
      </top>
      <bottom/>
      <diagonal/>
    </border>
    <border>
      <left style="thin">
        <color theme="6"/>
      </left>
      <right style="thin">
        <color theme="6"/>
      </right>
      <top style="medium">
        <color theme="5" tint="0.39997558519241921"/>
      </top>
      <bottom/>
      <diagonal/>
    </border>
    <border>
      <left style="thin">
        <color theme="6"/>
      </left>
      <right/>
      <top style="medium">
        <color theme="5" tint="0.39997558519241921"/>
      </top>
      <bottom/>
      <diagonal/>
    </border>
    <border>
      <left style="thin">
        <color theme="6"/>
      </left>
      <right style="medium">
        <color theme="5" tint="0.39997558519241921"/>
      </right>
      <top style="medium">
        <color theme="5" tint="0.39997558519241921"/>
      </top>
      <bottom/>
      <diagonal/>
    </border>
    <border>
      <left style="medium">
        <color theme="5" tint="0.39997558519241921"/>
      </left>
      <right/>
      <top style="medium">
        <color theme="5" tint="0.39997558519241921"/>
      </top>
      <bottom/>
      <diagonal/>
    </border>
    <border>
      <left/>
      <right/>
      <top style="medium">
        <color theme="5" tint="0.39997558519241921"/>
      </top>
      <bottom/>
      <diagonal/>
    </border>
    <border>
      <left/>
      <right style="thin">
        <color theme="6"/>
      </right>
      <top style="medium">
        <color theme="5" tint="0.399975585192419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medium">
        <color theme="5" tint="0.39997558519241921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/>
      <top/>
      <bottom style="dotted">
        <color rgb="FF021E57"/>
      </bottom>
      <diagonal/>
    </border>
    <border>
      <left style="thin">
        <color rgb="FFF2F5FF"/>
      </left>
      <right style="thin">
        <color rgb="FFF2F5FF"/>
      </right>
      <top style="thin">
        <color rgb="FFF2F5FF"/>
      </top>
      <bottom style="thin">
        <color rgb="FFF2F5FF"/>
      </bottom>
      <diagonal/>
    </border>
    <border>
      <left style="medium">
        <color rgb="FF021E57"/>
      </left>
      <right style="thin">
        <color rgb="FFF2F5FF"/>
      </right>
      <top style="medium">
        <color rgb="FF021E57"/>
      </top>
      <bottom style="thin">
        <color rgb="FFF2F5FF"/>
      </bottom>
      <diagonal/>
    </border>
    <border>
      <left style="thin">
        <color rgb="FFF2F5FF"/>
      </left>
      <right style="thin">
        <color rgb="FFF2F5FF"/>
      </right>
      <top style="medium">
        <color rgb="FF021E57"/>
      </top>
      <bottom style="thin">
        <color rgb="FFF2F5FF"/>
      </bottom>
      <diagonal/>
    </border>
    <border>
      <left style="thin">
        <color rgb="FFF2F5FF"/>
      </left>
      <right style="medium">
        <color rgb="FF021E57"/>
      </right>
      <top style="medium">
        <color rgb="FF021E57"/>
      </top>
      <bottom style="thin">
        <color rgb="FFF2F5FF"/>
      </bottom>
      <diagonal/>
    </border>
    <border>
      <left style="medium">
        <color rgb="FF021E57"/>
      </left>
      <right style="thin">
        <color rgb="FFF2F5FF"/>
      </right>
      <top style="thin">
        <color rgb="FFF2F5FF"/>
      </top>
      <bottom style="thin">
        <color rgb="FFF2F5FF"/>
      </bottom>
      <diagonal/>
    </border>
    <border>
      <left style="thin">
        <color rgb="FFF2F5FF"/>
      </left>
      <right style="medium">
        <color rgb="FF021E57"/>
      </right>
      <top style="thin">
        <color rgb="FFF2F5FF"/>
      </top>
      <bottom style="thin">
        <color rgb="FFF2F5FF"/>
      </bottom>
      <diagonal/>
    </border>
    <border>
      <left style="medium">
        <color rgb="FF021E57"/>
      </left>
      <right style="thin">
        <color rgb="FFF2F5FF"/>
      </right>
      <top style="thin">
        <color rgb="FFF2F5FF"/>
      </top>
      <bottom style="medium">
        <color rgb="FF021E57"/>
      </bottom>
      <diagonal/>
    </border>
    <border>
      <left style="thin">
        <color rgb="FFF2F5FF"/>
      </left>
      <right style="thin">
        <color rgb="FFF2F5FF"/>
      </right>
      <top style="thin">
        <color rgb="FFF2F5FF"/>
      </top>
      <bottom style="medium">
        <color rgb="FF021E57"/>
      </bottom>
      <diagonal/>
    </border>
    <border>
      <left style="thin">
        <color rgb="FFF2F5FF"/>
      </left>
      <right style="medium">
        <color rgb="FF021E57"/>
      </right>
      <top style="thin">
        <color rgb="FFF2F5FF"/>
      </top>
      <bottom style="medium">
        <color rgb="FF021E57"/>
      </bottom>
      <diagonal/>
    </border>
    <border>
      <left style="thin">
        <color rgb="FFF2F5FF"/>
      </left>
      <right/>
      <top style="medium">
        <color rgb="FF021E57"/>
      </top>
      <bottom style="thin">
        <color rgb="FFF2F5FF"/>
      </bottom>
      <diagonal/>
    </border>
    <border>
      <left style="thin">
        <color rgb="FF021E57"/>
      </left>
      <right style="medium">
        <color rgb="FF021E57"/>
      </right>
      <top style="thin">
        <color rgb="FFF2F5FF"/>
      </top>
      <bottom style="thin">
        <color rgb="FFF2F5FF"/>
      </bottom>
      <diagonal/>
    </border>
    <border>
      <left style="thin">
        <color rgb="FFF2F5FF"/>
      </left>
      <right/>
      <top style="thin">
        <color rgb="FFF2F5FF"/>
      </top>
      <bottom style="thin">
        <color rgb="FFF2F5FF"/>
      </bottom>
      <diagonal/>
    </border>
    <border>
      <left style="thin">
        <color rgb="FF021E57"/>
      </left>
      <right style="thin">
        <color rgb="FFF2F5FF"/>
      </right>
      <top style="thin">
        <color rgb="FFF2F5FF"/>
      </top>
      <bottom style="thin">
        <color rgb="FFF2F5FF"/>
      </bottom>
      <diagonal/>
    </border>
    <border>
      <left style="medium">
        <color rgb="FF021E57"/>
      </left>
      <right/>
      <top style="thin">
        <color rgb="FFF2F5FF"/>
      </top>
      <bottom style="thin">
        <color rgb="FFF2F5FF"/>
      </bottom>
      <diagonal/>
    </border>
    <border>
      <left style="thin">
        <color rgb="FF021E57"/>
      </left>
      <right style="thin">
        <color rgb="FF021E57"/>
      </right>
      <top style="thin">
        <color rgb="FFF2F5FF"/>
      </top>
      <bottom style="thin">
        <color rgb="FFF2F5FF"/>
      </bottom>
      <diagonal/>
    </border>
    <border>
      <left style="thin">
        <color rgb="FF021E57"/>
      </left>
      <right style="thin">
        <color rgb="FF021E57"/>
      </right>
      <top style="medium">
        <color rgb="FF021E57"/>
      </top>
      <bottom style="thin">
        <color rgb="FFF2F5FF"/>
      </bottom>
      <diagonal/>
    </border>
    <border>
      <left style="thin">
        <color rgb="FF021E57"/>
      </left>
      <right style="thin">
        <color rgb="FFF2F5FF"/>
      </right>
      <top style="medium">
        <color rgb="FF021E57"/>
      </top>
      <bottom style="thin">
        <color rgb="FFF2F5FF"/>
      </bottom>
      <diagonal/>
    </border>
    <border>
      <left style="medium">
        <color rgb="FF021E57"/>
      </left>
      <right/>
      <top style="medium">
        <color rgb="FF021E57"/>
      </top>
      <bottom style="thin">
        <color rgb="FFF2F5FF"/>
      </bottom>
      <diagonal/>
    </border>
    <border>
      <left style="thin">
        <color rgb="FF021E57"/>
      </left>
      <right style="medium">
        <color rgb="FF021E57"/>
      </right>
      <top style="medium">
        <color rgb="FF021E57"/>
      </top>
      <bottom style="thin">
        <color rgb="FFF2F5FF"/>
      </bottom>
      <diagonal/>
    </border>
  </borders>
  <cellStyleXfs count="2">
    <xf numFmtId="0" fontId="0" fillId="0" borderId="0"/>
    <xf numFmtId="0" fontId="54" fillId="19" borderId="0" applyNumberFormat="0" applyBorder="0" applyAlignment="0" applyProtection="0"/>
  </cellStyleXfs>
  <cellXfs count="26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8" fillId="4" borderId="3" xfId="0" applyFont="1" applyFill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2" fillId="0" borderId="0" xfId="0" applyFont="1"/>
    <xf numFmtId="0" fontId="2" fillId="0" borderId="0" xfId="0" applyFont="1" applyAlignment="1">
      <alignment horizontal="center"/>
    </xf>
    <xf numFmtId="0" fontId="8" fillId="4" borderId="3" xfId="0" applyFont="1" applyFill="1" applyBorder="1" applyAlignment="1">
      <alignment horizontal="left" vertical="center" indent="2"/>
    </xf>
    <xf numFmtId="164" fontId="8" fillId="4" borderId="3" xfId="0" applyNumberFormat="1" applyFont="1" applyFill="1" applyBorder="1" applyAlignment="1">
      <alignment horizontal="center" vertical="center"/>
    </xf>
    <xf numFmtId="164" fontId="9" fillId="7" borderId="3" xfId="0" applyNumberFormat="1" applyFont="1" applyFill="1" applyBorder="1" applyAlignment="1">
      <alignment horizontal="center" vertical="center"/>
    </xf>
    <xf numFmtId="0" fontId="2" fillId="0" borderId="0" xfId="0" quotePrefix="1" applyFont="1"/>
    <xf numFmtId="0" fontId="11" fillId="0" borderId="3" xfId="0" applyFont="1" applyBorder="1" applyAlignment="1">
      <alignment horizontal="left" vertical="center" indent="1"/>
    </xf>
    <xf numFmtId="0" fontId="2" fillId="0" borderId="0" xfId="0" applyFont="1" applyAlignment="1">
      <alignment horizontal="left" indent="1"/>
    </xf>
    <xf numFmtId="1" fontId="8" fillId="4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horizontal="left" vertical="center" indent="2"/>
    </xf>
    <xf numFmtId="0" fontId="11" fillId="0" borderId="3" xfId="0" applyFont="1" applyBorder="1" applyAlignment="1">
      <alignment horizontal="left" vertical="center" indent="2"/>
    </xf>
    <xf numFmtId="0" fontId="15" fillId="8" borderId="3" xfId="0" applyFont="1" applyFill="1" applyBorder="1" applyAlignment="1">
      <alignment horizontal="left" vertical="center" indent="1"/>
    </xf>
    <xf numFmtId="0" fontId="16" fillId="8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left" vertical="center" indent="1"/>
    </xf>
    <xf numFmtId="164" fontId="16" fillId="8" borderId="3" xfId="0" applyNumberFormat="1" applyFont="1" applyFill="1" applyBorder="1" applyAlignment="1">
      <alignment horizontal="center" vertical="center"/>
    </xf>
    <xf numFmtId="1" fontId="16" fillId="8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 indent="3"/>
    </xf>
    <xf numFmtId="0" fontId="8" fillId="9" borderId="3" xfId="0" applyFont="1" applyFill="1" applyBorder="1" applyAlignment="1">
      <alignment horizontal="left" vertical="center" indent="2"/>
    </xf>
    <xf numFmtId="0" fontId="9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 indent="1"/>
    </xf>
    <xf numFmtId="164" fontId="9" fillId="9" borderId="3" xfId="0" applyNumberFormat="1" applyFont="1" applyFill="1" applyBorder="1" applyAlignment="1">
      <alignment horizontal="center" vertical="center"/>
    </xf>
    <xf numFmtId="1" fontId="9" fillId="9" borderId="2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49" fontId="9" fillId="5" borderId="9" xfId="0" applyNumberFormat="1" applyFont="1" applyFill="1" applyBorder="1" applyAlignment="1">
      <alignment horizontal="left" vertical="center" indent="1"/>
    </xf>
    <xf numFmtId="49" fontId="8" fillId="5" borderId="9" xfId="0" applyNumberFormat="1" applyFont="1" applyFill="1" applyBorder="1" applyAlignment="1">
      <alignment horizontal="left" vertical="center" indent="1"/>
    </xf>
    <xf numFmtId="0" fontId="8" fillId="4" borderId="9" xfId="0" applyFont="1" applyFill="1" applyBorder="1" applyAlignment="1">
      <alignment horizontal="left" vertical="center" indent="1"/>
    </xf>
    <xf numFmtId="1" fontId="8" fillId="4" borderId="10" xfId="0" applyNumberFormat="1" applyFont="1" applyFill="1" applyBorder="1" applyAlignment="1">
      <alignment horizontal="left" vertical="center" indent="1"/>
    </xf>
    <xf numFmtId="0" fontId="9" fillId="5" borderId="9" xfId="0" applyFont="1" applyFill="1" applyBorder="1" applyAlignment="1">
      <alignment horizontal="left" vertical="center" indent="1"/>
    </xf>
    <xf numFmtId="0" fontId="0" fillId="4" borderId="0" xfId="0" applyFill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 applyAlignment="1" applyProtection="1">
      <alignment horizontal="left" vertical="center" indent="1"/>
      <protection locked="0"/>
    </xf>
    <xf numFmtId="0" fontId="10" fillId="0" borderId="0" xfId="0" applyFont="1" applyAlignment="1" applyProtection="1">
      <alignment horizontal="left" vertical="center" indent="1"/>
      <protection locked="0"/>
    </xf>
    <xf numFmtId="0" fontId="0" fillId="0" borderId="0" xfId="0" applyAlignment="1" applyProtection="1">
      <alignment horizontal="left" vertical="center" indent="1"/>
      <protection locked="0"/>
    </xf>
    <xf numFmtId="0" fontId="0" fillId="0" borderId="1" xfId="0" applyBorder="1" applyAlignment="1" applyProtection="1">
      <alignment horizontal="left" vertical="center" inden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left" vertical="center" indent="1"/>
      <protection locked="0"/>
    </xf>
    <xf numFmtId="0" fontId="6" fillId="9" borderId="5" xfId="0" applyFont="1" applyFill="1" applyBorder="1" applyAlignment="1" applyProtection="1">
      <alignment horizontal="left" vertical="center" inden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9" fillId="0" borderId="0" xfId="0" applyFont="1" applyAlignment="1">
      <alignment vertical="center"/>
    </xf>
    <xf numFmtId="0" fontId="6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20" fillId="2" borderId="1" xfId="0" applyFont="1" applyFill="1" applyBorder="1" applyAlignment="1">
      <alignment horizontal="center" vertical="center" shrinkToFit="1"/>
    </xf>
    <xf numFmtId="1" fontId="0" fillId="0" borderId="1" xfId="0" applyNumberFormat="1" applyBorder="1" applyAlignment="1" applyProtection="1">
      <alignment horizontal="left" vertical="center" indent="1"/>
      <protection locked="0"/>
    </xf>
    <xf numFmtId="0" fontId="6" fillId="5" borderId="7" xfId="0" applyFont="1" applyFill="1" applyBorder="1" applyAlignment="1" applyProtection="1">
      <alignment horizontal="left" vertical="center" indent="1"/>
      <protection locked="0"/>
    </xf>
    <xf numFmtId="1" fontId="6" fillId="5" borderId="7" xfId="0" applyNumberFormat="1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left" vertical="center" indent="1"/>
      <protection locked="0"/>
    </xf>
    <xf numFmtId="0" fontId="5" fillId="3" borderId="6" xfId="0" applyFont="1" applyFill="1" applyBorder="1" applyAlignment="1" applyProtection="1">
      <alignment horizontal="left" vertical="center" indent="1"/>
      <protection locked="0"/>
    </xf>
    <xf numFmtId="0" fontId="22" fillId="3" borderId="5" xfId="0" applyFont="1" applyFill="1" applyBorder="1" applyAlignment="1" applyProtection="1">
      <alignment horizontal="left" vertical="center" indent="1"/>
      <protection locked="0"/>
    </xf>
    <xf numFmtId="1" fontId="22" fillId="9" borderId="5" xfId="0" applyNumberFormat="1" applyFont="1" applyFill="1" applyBorder="1" applyAlignment="1" applyProtection="1">
      <alignment horizontal="center" vertical="center"/>
      <protection locked="0"/>
    </xf>
    <xf numFmtId="0" fontId="14" fillId="5" borderId="7" xfId="0" applyFont="1" applyFill="1" applyBorder="1" applyAlignment="1" applyProtection="1">
      <alignment horizontal="left" vertical="center" indent="1"/>
      <protection locked="0"/>
    </xf>
    <xf numFmtId="0" fontId="17" fillId="14" borderId="12" xfId="0" applyFont="1" applyFill="1" applyBorder="1" applyAlignment="1">
      <alignment horizontal="center" vertical="center" wrapText="1"/>
    </xf>
    <xf numFmtId="0" fontId="23" fillId="13" borderId="12" xfId="0" applyFont="1" applyFill="1" applyBorder="1" applyAlignment="1">
      <alignment horizontal="left" vertical="center" wrapText="1" indent="1"/>
    </xf>
    <xf numFmtId="0" fontId="23" fillId="13" borderId="12" xfId="0" applyFont="1" applyFill="1" applyBorder="1" applyAlignment="1">
      <alignment horizontal="center" vertical="center" wrapText="1"/>
    </xf>
    <xf numFmtId="0" fontId="23" fillId="13" borderId="13" xfId="0" applyFont="1" applyFill="1" applyBorder="1" applyAlignment="1">
      <alignment horizontal="center" vertical="center" wrapText="1"/>
    </xf>
    <xf numFmtId="0" fontId="23" fillId="13" borderId="14" xfId="0" applyFont="1" applyFill="1" applyBorder="1" applyAlignment="1">
      <alignment horizontal="left" vertical="center" wrapText="1" indent="1"/>
    </xf>
    <xf numFmtId="0" fontId="25" fillId="13" borderId="1" xfId="0" applyFont="1" applyFill="1" applyBorder="1" applyAlignment="1" applyProtection="1">
      <alignment horizontal="left" vertical="center" indent="1"/>
      <protection locked="0"/>
    </xf>
    <xf numFmtId="0" fontId="25" fillId="13" borderId="1" xfId="0" applyFont="1" applyFill="1" applyBorder="1" applyAlignment="1" applyProtection="1">
      <alignment horizontal="center" vertical="center"/>
      <protection locked="0"/>
    </xf>
    <xf numFmtId="0" fontId="25" fillId="13" borderId="1" xfId="0" applyFont="1" applyFill="1" applyBorder="1" applyAlignment="1" applyProtection="1">
      <alignment horizontal="center" vertical="center" wrapText="1"/>
      <protection locked="0"/>
    </xf>
    <xf numFmtId="0" fontId="25" fillId="13" borderId="18" xfId="0" applyFont="1" applyFill="1" applyBorder="1" applyAlignment="1" applyProtection="1">
      <alignment horizontal="left" vertical="center" indent="1"/>
      <protection locked="0"/>
    </xf>
    <xf numFmtId="0" fontId="25" fillId="13" borderId="18" xfId="0" applyFont="1" applyFill="1" applyBorder="1" applyAlignment="1" applyProtection="1">
      <alignment horizontal="center" vertical="center" wrapText="1"/>
      <protection locked="0"/>
    </xf>
    <xf numFmtId="0" fontId="25" fillId="13" borderId="1" xfId="0" applyFont="1" applyFill="1" applyBorder="1" applyAlignment="1">
      <alignment horizontal="center" vertical="center"/>
    </xf>
    <xf numFmtId="0" fontId="0" fillId="13" borderId="0" xfId="0" applyFill="1" applyAlignment="1" applyProtection="1">
      <alignment horizontal="left" vertical="center" indent="1"/>
      <protection locked="0"/>
    </xf>
    <xf numFmtId="0" fontId="0" fillId="13" borderId="0" xfId="0" applyFill="1" applyAlignment="1" applyProtection="1">
      <alignment horizontal="center" vertical="center"/>
      <protection locked="0"/>
    </xf>
    <xf numFmtId="0" fontId="5" fillId="13" borderId="0" xfId="0" applyFont="1" applyFill="1" applyAlignment="1" applyProtection="1">
      <alignment vertical="center"/>
      <protection locked="0"/>
    </xf>
    <xf numFmtId="0" fontId="27" fillId="13" borderId="0" xfId="0" applyFont="1" applyFill="1" applyAlignment="1" applyProtection="1">
      <alignment horizontal="left" vertical="center"/>
      <protection locked="0"/>
    </xf>
    <xf numFmtId="0" fontId="23" fillId="13" borderId="11" xfId="0" applyFont="1" applyFill="1" applyBorder="1" applyAlignment="1">
      <alignment horizontal="center" vertical="center" wrapText="1"/>
    </xf>
    <xf numFmtId="0" fontId="28" fillId="4" borderId="9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 indent="1"/>
    </xf>
    <xf numFmtId="0" fontId="31" fillId="0" borderId="3" xfId="0" applyFont="1" applyBorder="1" applyAlignment="1">
      <alignment horizontal="center" vertical="center"/>
    </xf>
    <xf numFmtId="0" fontId="32" fillId="9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37" fillId="0" borderId="3" xfId="0" applyFont="1" applyBorder="1" applyAlignment="1">
      <alignment horizontal="center" vertical="center"/>
    </xf>
    <xf numFmtId="0" fontId="37" fillId="4" borderId="3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37" fillId="9" borderId="3" xfId="0" applyFont="1" applyFill="1" applyBorder="1" applyAlignment="1">
      <alignment horizontal="center" vertical="center"/>
    </xf>
    <xf numFmtId="1" fontId="37" fillId="0" borderId="3" xfId="0" applyNumberFormat="1" applyFont="1" applyBorder="1" applyAlignment="1">
      <alignment horizontal="center" vertical="center"/>
    </xf>
    <xf numFmtId="0" fontId="8" fillId="7" borderId="9" xfId="0" applyFont="1" applyFill="1" applyBorder="1" applyAlignment="1">
      <alignment horizontal="left" vertical="center" indent="1"/>
    </xf>
    <xf numFmtId="0" fontId="2" fillId="13" borderId="0" xfId="0" applyFont="1" applyFill="1" applyAlignment="1">
      <alignment vertical="center"/>
    </xf>
    <xf numFmtId="0" fontId="2" fillId="1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left" vertical="center"/>
    </xf>
    <xf numFmtId="0" fontId="13" fillId="0" borderId="3" xfId="0" applyFont="1" applyBorder="1" applyAlignment="1">
      <alignment horizontal="left" vertical="center" indent="1"/>
    </xf>
    <xf numFmtId="0" fontId="38" fillId="8" borderId="3" xfId="0" applyFont="1" applyFill="1" applyBorder="1" applyAlignment="1">
      <alignment horizontal="left" vertical="center" indent="1"/>
    </xf>
    <xf numFmtId="0" fontId="32" fillId="4" borderId="3" xfId="0" applyFont="1" applyFill="1" applyBorder="1" applyAlignment="1">
      <alignment horizontal="center" vertical="center"/>
    </xf>
    <xf numFmtId="0" fontId="39" fillId="8" borderId="3" xfId="0" applyFont="1" applyFill="1" applyBorder="1" applyAlignment="1">
      <alignment horizontal="center" vertical="center"/>
    </xf>
    <xf numFmtId="0" fontId="26" fillId="13" borderId="0" xfId="0" applyFont="1" applyFill="1" applyAlignment="1" applyProtection="1">
      <alignment horizontal="left" vertical="center"/>
      <protection locked="0"/>
    </xf>
    <xf numFmtId="0" fontId="6" fillId="13" borderId="0" xfId="0" applyFont="1" applyFill="1" applyAlignment="1" applyProtection="1">
      <alignment horizontal="left" vertical="center" indent="1"/>
      <protection locked="0"/>
    </xf>
    <xf numFmtId="0" fontId="5" fillId="13" borderId="0" xfId="0" applyFont="1" applyFill="1" applyAlignment="1" applyProtection="1">
      <alignment horizontal="left" vertical="center" indent="1"/>
      <protection locked="0"/>
    </xf>
    <xf numFmtId="0" fontId="40" fillId="0" borderId="0" xfId="0" applyFont="1" applyAlignment="1">
      <alignment horizontal="center"/>
    </xf>
    <xf numFmtId="0" fontId="41" fillId="0" borderId="0" xfId="0" applyFont="1"/>
    <xf numFmtId="0" fontId="21" fillId="7" borderId="0" xfId="0" applyFont="1" applyFill="1" applyAlignment="1">
      <alignment horizontal="center" vertical="center"/>
    </xf>
    <xf numFmtId="0" fontId="10" fillId="13" borderId="0" xfId="0" applyFont="1" applyFill="1" applyAlignment="1">
      <alignment vertical="center"/>
    </xf>
    <xf numFmtId="0" fontId="0" fillId="13" borderId="0" xfId="0" applyFill="1" applyAlignment="1">
      <alignment horizontal="center" vertical="center"/>
    </xf>
    <xf numFmtId="0" fontId="7" fillId="13" borderId="0" xfId="0" applyFont="1" applyFill="1" applyAlignment="1">
      <alignment horizontal="left" vertical="center" wrapText="1" indent="1"/>
    </xf>
    <xf numFmtId="0" fontId="23" fillId="13" borderId="0" xfId="0" applyFont="1" applyFill="1" applyAlignment="1">
      <alignment horizontal="left" vertical="center" wrapText="1" indent="1"/>
    </xf>
    <xf numFmtId="0" fontId="23" fillId="13" borderId="0" xfId="0" applyFont="1" applyFill="1" applyAlignment="1">
      <alignment horizontal="center" vertical="center" wrapText="1"/>
    </xf>
    <xf numFmtId="0" fontId="27" fillId="13" borderId="0" xfId="0" applyFont="1" applyFill="1" applyAlignment="1" applyProtection="1">
      <alignment horizontal="left" vertical="center" indent="2"/>
      <protection locked="0"/>
    </xf>
    <xf numFmtId="0" fontId="34" fillId="16" borderId="20" xfId="0" applyFont="1" applyFill="1" applyBorder="1" applyAlignment="1">
      <alignment horizontal="center" vertical="center" textRotation="45"/>
    </xf>
    <xf numFmtId="0" fontId="34" fillId="15" borderId="21" xfId="0" applyFont="1" applyFill="1" applyBorder="1" applyAlignment="1">
      <alignment horizontal="center" vertical="center" textRotation="45"/>
    </xf>
    <xf numFmtId="0" fontId="34" fillId="14" borderId="21" xfId="0" applyFont="1" applyFill="1" applyBorder="1" applyAlignment="1">
      <alignment horizontal="center" vertical="center" textRotation="45"/>
    </xf>
    <xf numFmtId="0" fontId="34" fillId="2" borderId="21" xfId="0" applyFont="1" applyFill="1" applyBorder="1" applyAlignment="1">
      <alignment horizontal="center" vertical="center" textRotation="45"/>
    </xf>
    <xf numFmtId="0" fontId="34" fillId="17" borderId="21" xfId="0" applyFont="1" applyFill="1" applyBorder="1" applyAlignment="1">
      <alignment horizontal="center" vertical="center" textRotation="45"/>
    </xf>
    <xf numFmtId="0" fontId="48" fillId="18" borderId="0" xfId="0" applyFont="1" applyFill="1" applyAlignment="1">
      <alignment vertical="center" textRotation="45"/>
    </xf>
    <xf numFmtId="0" fontId="49" fillId="13" borderId="0" xfId="0" applyFont="1" applyFill="1" applyAlignment="1" applyProtection="1">
      <alignment horizontal="center" vertical="center"/>
      <protection locked="0"/>
    </xf>
    <xf numFmtId="0" fontId="49" fillId="0" borderId="0" xfId="0" applyFont="1" applyAlignment="1" applyProtection="1">
      <alignment horizontal="center" vertical="center"/>
      <protection locked="0"/>
    </xf>
    <xf numFmtId="0" fontId="49" fillId="3" borderId="1" xfId="0" applyFont="1" applyFill="1" applyBorder="1" applyAlignment="1" applyProtection="1">
      <alignment horizontal="center" vertical="center"/>
      <protection locked="0"/>
    </xf>
    <xf numFmtId="0" fontId="50" fillId="3" borderId="1" xfId="0" applyFont="1" applyFill="1" applyBorder="1" applyAlignment="1" applyProtection="1">
      <alignment horizontal="center" vertical="center"/>
      <protection locked="0"/>
    </xf>
    <xf numFmtId="0" fontId="40" fillId="0" borderId="1" xfId="0" applyFont="1" applyBorder="1" applyAlignment="1" applyProtection="1">
      <alignment horizontal="left" vertical="center" indent="1"/>
      <protection locked="0"/>
    </xf>
    <xf numFmtId="1" fontId="40" fillId="0" borderId="1" xfId="0" applyNumberFormat="1" applyFont="1" applyBorder="1" applyAlignment="1" applyProtection="1">
      <alignment horizontal="left" vertical="center" indent="1"/>
      <protection locked="0"/>
    </xf>
    <xf numFmtId="0" fontId="40" fillId="0" borderId="1" xfId="0" applyFont="1" applyBorder="1" applyAlignment="1" applyProtection="1">
      <alignment horizontal="center" vertical="center"/>
      <protection locked="0"/>
    </xf>
    <xf numFmtId="1" fontId="40" fillId="0" borderId="1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1" fontId="40" fillId="7" borderId="1" xfId="0" applyNumberFormat="1" applyFont="1" applyFill="1" applyBorder="1" applyAlignment="1" applyProtection="1">
      <alignment horizontal="left" vertical="center" indent="1"/>
      <protection locked="0"/>
    </xf>
    <xf numFmtId="1" fontId="0" fillId="7" borderId="1" xfId="0" applyNumberFormat="1" applyFill="1" applyBorder="1" applyAlignment="1" applyProtection="1">
      <alignment horizontal="left" vertical="center" indent="1"/>
      <protection locked="0"/>
    </xf>
    <xf numFmtId="0" fontId="6" fillId="0" borderId="0" xfId="0" applyFont="1" applyAlignment="1" applyProtection="1">
      <alignment horizontal="left" vertical="center" indent="1"/>
      <protection locked="0"/>
    </xf>
    <xf numFmtId="0" fontId="5" fillId="0" borderId="0" xfId="0" applyFont="1" applyAlignment="1" applyProtection="1">
      <alignment horizontal="left" vertical="center" indent="1"/>
      <protection locked="0"/>
    </xf>
    <xf numFmtId="0" fontId="51" fillId="13" borderId="0" xfId="0" applyFont="1" applyFill="1" applyAlignment="1" applyProtection="1">
      <alignment horizontal="right" vertical="center" indent="1"/>
      <protection locked="0"/>
    </xf>
    <xf numFmtId="0" fontId="0" fillId="0" borderId="0" xfId="0" applyAlignment="1">
      <alignment horizontal="right" vertical="center"/>
    </xf>
    <xf numFmtId="0" fontId="25" fillId="13" borderId="1" xfId="0" applyFont="1" applyFill="1" applyBorder="1" applyAlignment="1">
      <alignment horizontal="left" vertical="center" indent="1"/>
    </xf>
    <xf numFmtId="0" fontId="13" fillId="0" borderId="2" xfId="0" applyFont="1" applyBorder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9" fontId="55" fillId="19" borderId="8" xfId="1" applyNumberFormat="1" applyFont="1" applyBorder="1" applyAlignment="1" applyProtection="1">
      <alignment horizontal="center" vertical="center"/>
      <protection locked="0"/>
    </xf>
    <xf numFmtId="1" fontId="5" fillId="7" borderId="1" xfId="0" applyNumberFormat="1" applyFont="1" applyFill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0" fontId="55" fillId="0" borderId="8" xfId="1" applyFont="1" applyFill="1" applyBorder="1" applyAlignment="1" applyProtection="1">
      <alignment horizontal="left" vertical="center" indent="1"/>
      <protection locked="0"/>
    </xf>
    <xf numFmtId="0" fontId="55" fillId="3" borderId="8" xfId="1" applyFont="1" applyFill="1" applyBorder="1" applyAlignment="1" applyProtection="1">
      <alignment horizontal="left" vertical="center" indent="1"/>
      <protection locked="0"/>
    </xf>
    <xf numFmtId="0" fontId="5" fillId="0" borderId="6" xfId="0" applyFont="1" applyBorder="1" applyAlignment="1" applyProtection="1">
      <alignment horizontal="left" vertical="center" indent="1"/>
      <protection locked="0"/>
    </xf>
    <xf numFmtId="0" fontId="0" fillId="13" borderId="0" xfId="0" applyFill="1" applyAlignment="1">
      <alignment vertical="center"/>
    </xf>
    <xf numFmtId="0" fontId="2" fillId="13" borderId="0" xfId="0" applyFont="1" applyFill="1" applyAlignment="1">
      <alignment horizontal="left" vertical="center" indent="1"/>
    </xf>
    <xf numFmtId="0" fontId="4" fillId="13" borderId="1" xfId="0" applyFont="1" applyFill="1" applyBorder="1" applyAlignment="1">
      <alignment horizontal="left" vertical="center" indent="1"/>
    </xf>
    <xf numFmtId="0" fontId="0" fillId="12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7" fillId="23" borderId="0" xfId="0" applyFont="1" applyFill="1" applyAlignment="1">
      <alignment horizontal="center" vertical="center" wrapText="1"/>
    </xf>
    <xf numFmtId="0" fontId="42" fillId="23" borderId="0" xfId="0" applyFont="1" applyFill="1" applyAlignment="1">
      <alignment horizontal="center" vertical="center" wrapText="1"/>
    </xf>
    <xf numFmtId="0" fontId="35" fillId="23" borderId="0" xfId="0" applyFont="1" applyFill="1" applyAlignment="1">
      <alignment horizontal="center" vertical="center" wrapText="1"/>
    </xf>
    <xf numFmtId="0" fontId="11" fillId="0" borderId="23" xfId="0" applyFont="1" applyBorder="1" applyAlignment="1">
      <alignment horizontal="left" vertical="center" indent="1"/>
    </xf>
    <xf numFmtId="0" fontId="9" fillId="0" borderId="23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1" fontId="37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 indent="1"/>
    </xf>
    <xf numFmtId="1" fontId="9" fillId="6" borderId="23" xfId="0" applyNumberFormat="1" applyFont="1" applyFill="1" applyBorder="1" applyAlignment="1">
      <alignment horizontal="center" vertical="center"/>
    </xf>
    <xf numFmtId="0" fontId="8" fillId="20" borderId="23" xfId="0" applyFont="1" applyFill="1" applyBorder="1" applyAlignment="1">
      <alignment horizontal="left" vertical="center" indent="1"/>
    </xf>
    <xf numFmtId="0" fontId="32" fillId="20" borderId="23" xfId="0" applyFont="1" applyFill="1" applyBorder="1" applyAlignment="1">
      <alignment horizontal="left" vertical="center" indent="1"/>
    </xf>
    <xf numFmtId="0" fontId="8" fillId="20" borderId="23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left" vertical="center" indent="2"/>
    </xf>
    <xf numFmtId="0" fontId="11" fillId="0" borderId="23" xfId="0" applyFont="1" applyBorder="1" applyAlignment="1">
      <alignment horizontal="left" vertical="center" indent="2"/>
    </xf>
    <xf numFmtId="0" fontId="32" fillId="20" borderId="23" xfId="0" applyFont="1" applyFill="1" applyBorder="1" applyAlignment="1">
      <alignment horizontal="center" vertical="center"/>
    </xf>
    <xf numFmtId="0" fontId="9" fillId="20" borderId="23" xfId="0" applyFont="1" applyFill="1" applyBorder="1" applyAlignment="1">
      <alignment horizontal="center" vertical="center"/>
    </xf>
    <xf numFmtId="0" fontId="31" fillId="20" borderId="23" xfId="0" applyFont="1" applyFill="1" applyBorder="1" applyAlignment="1">
      <alignment horizontal="center" vertical="center"/>
    </xf>
    <xf numFmtId="0" fontId="9" fillId="20" borderId="23" xfId="0" applyFont="1" applyFill="1" applyBorder="1" applyAlignment="1">
      <alignment horizontal="left" vertical="center" indent="1"/>
    </xf>
    <xf numFmtId="164" fontId="9" fillId="20" borderId="23" xfId="0" applyNumberFormat="1" applyFont="1" applyFill="1" applyBorder="1" applyAlignment="1">
      <alignment horizontal="center" vertical="center"/>
    </xf>
    <xf numFmtId="1" fontId="9" fillId="20" borderId="23" xfId="0" applyNumberFormat="1" applyFont="1" applyFill="1" applyBorder="1" applyAlignment="1">
      <alignment horizontal="center" vertical="center"/>
    </xf>
    <xf numFmtId="1" fontId="9" fillId="0" borderId="23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left" vertical="center" indent="3"/>
    </xf>
    <xf numFmtId="0" fontId="8" fillId="20" borderId="23" xfId="0" applyFont="1" applyFill="1" applyBorder="1" applyAlignment="1">
      <alignment horizontal="left" vertical="center" indent="2"/>
    </xf>
    <xf numFmtId="0" fontId="7" fillId="13" borderId="23" xfId="0" applyFont="1" applyFill="1" applyBorder="1" applyAlignment="1">
      <alignment horizontal="center" vertical="center"/>
    </xf>
    <xf numFmtId="0" fontId="58" fillId="13" borderId="23" xfId="0" applyFont="1" applyFill="1" applyBorder="1" applyAlignment="1">
      <alignment horizontal="center" vertical="center"/>
    </xf>
    <xf numFmtId="164" fontId="7" fillId="13" borderId="23" xfId="0" applyNumberFormat="1" applyFont="1" applyFill="1" applyBorder="1" applyAlignment="1">
      <alignment horizontal="center" vertical="center"/>
    </xf>
    <xf numFmtId="0" fontId="7" fillId="13" borderId="25" xfId="0" applyFont="1" applyFill="1" applyBorder="1" applyAlignment="1">
      <alignment horizontal="left" vertical="center" indent="1"/>
    </xf>
    <xf numFmtId="0" fontId="58" fillId="13" borderId="25" xfId="0" applyFont="1" applyFill="1" applyBorder="1" applyAlignment="1">
      <alignment horizontal="left" vertical="center" indent="1"/>
    </xf>
    <xf numFmtId="0" fontId="7" fillId="13" borderId="25" xfId="0" applyFont="1" applyFill="1" applyBorder="1" applyAlignment="1">
      <alignment horizontal="center" vertical="center"/>
    </xf>
    <xf numFmtId="49" fontId="9" fillId="21" borderId="27" xfId="0" applyNumberFormat="1" applyFont="1" applyFill="1" applyBorder="1" applyAlignment="1">
      <alignment horizontal="left" vertical="center" indent="1"/>
    </xf>
    <xf numFmtId="0" fontId="9" fillId="0" borderId="28" xfId="0" applyFont="1" applyBorder="1" applyAlignment="1">
      <alignment horizontal="left" vertical="center" indent="1"/>
    </xf>
    <xf numFmtId="49" fontId="8" fillId="21" borderId="27" xfId="0" applyNumberFormat="1" applyFont="1" applyFill="1" applyBorder="1" applyAlignment="1">
      <alignment horizontal="left" vertical="center" indent="1"/>
    </xf>
    <xf numFmtId="49" fontId="37" fillId="23" borderId="27" xfId="0" applyNumberFormat="1" applyFont="1" applyFill="1" applyBorder="1" applyAlignment="1">
      <alignment horizontal="left" vertical="center" indent="1"/>
    </xf>
    <xf numFmtId="0" fontId="8" fillId="20" borderId="28" xfId="0" applyFont="1" applyFill="1" applyBorder="1" applyAlignment="1">
      <alignment horizontal="left" vertical="center" indent="1"/>
    </xf>
    <xf numFmtId="0" fontId="9" fillId="20" borderId="28" xfId="0" applyFont="1" applyFill="1" applyBorder="1" applyAlignment="1">
      <alignment horizontal="left" vertical="center" indent="1"/>
    </xf>
    <xf numFmtId="49" fontId="12" fillId="21" borderId="27" xfId="0" applyNumberFormat="1" applyFont="1" applyFill="1" applyBorder="1" applyAlignment="1">
      <alignment horizontal="left" vertical="center" indent="1"/>
    </xf>
    <xf numFmtId="1" fontId="11" fillId="6" borderId="28" xfId="0" applyNumberFormat="1" applyFont="1" applyFill="1" applyBorder="1" applyAlignment="1">
      <alignment horizontal="left" vertical="center" indent="1"/>
    </xf>
    <xf numFmtId="49" fontId="37" fillId="23" borderId="29" xfId="0" applyNumberFormat="1" applyFont="1" applyFill="1" applyBorder="1" applyAlignment="1">
      <alignment horizontal="left" vertical="center" indent="1"/>
    </xf>
    <xf numFmtId="0" fontId="8" fillId="20" borderId="30" xfId="0" applyFont="1" applyFill="1" applyBorder="1" applyAlignment="1">
      <alignment horizontal="left" vertical="center" indent="1"/>
    </xf>
    <xf numFmtId="0" fontId="32" fillId="20" borderId="30" xfId="0" applyFont="1" applyFill="1" applyBorder="1" applyAlignment="1">
      <alignment horizontal="left" vertical="center" indent="1"/>
    </xf>
    <xf numFmtId="0" fontId="8" fillId="20" borderId="30" xfId="0" applyFont="1" applyFill="1" applyBorder="1" applyAlignment="1">
      <alignment horizontal="center" vertical="center"/>
    </xf>
    <xf numFmtId="0" fontId="8" fillId="20" borderId="31" xfId="0" applyFont="1" applyFill="1" applyBorder="1" applyAlignment="1">
      <alignment horizontal="left" vertical="center" indent="1"/>
    </xf>
    <xf numFmtId="0" fontId="9" fillId="21" borderId="27" xfId="0" applyFont="1" applyFill="1" applyBorder="1" applyAlignment="1">
      <alignment horizontal="left" vertical="center" indent="1"/>
    </xf>
    <xf numFmtId="0" fontId="37" fillId="23" borderId="24" xfId="0" applyFont="1" applyFill="1" applyBorder="1" applyAlignment="1">
      <alignment horizontal="left" vertical="center" indent="1"/>
    </xf>
    <xf numFmtId="0" fontId="8" fillId="20" borderId="25" xfId="0" applyFont="1" applyFill="1" applyBorder="1" applyAlignment="1">
      <alignment horizontal="left" vertical="center" indent="1"/>
    </xf>
    <xf numFmtId="0" fontId="8" fillId="20" borderId="25" xfId="0" applyFont="1" applyFill="1" applyBorder="1" applyAlignment="1">
      <alignment horizontal="center" vertical="center"/>
    </xf>
    <xf numFmtId="0" fontId="32" fillId="20" borderId="25" xfId="0" applyFont="1" applyFill="1" applyBorder="1" applyAlignment="1">
      <alignment horizontal="center" vertical="center"/>
    </xf>
    <xf numFmtId="0" fontId="37" fillId="20" borderId="25" xfId="0" applyFont="1" applyFill="1" applyBorder="1" applyAlignment="1">
      <alignment horizontal="center" vertical="center"/>
    </xf>
    <xf numFmtId="0" fontId="0" fillId="20" borderId="25" xfId="0" applyFill="1" applyBorder="1" applyAlignment="1">
      <alignment vertical="center"/>
    </xf>
    <xf numFmtId="164" fontId="8" fillId="20" borderId="25" xfId="0" applyNumberFormat="1" applyFont="1" applyFill="1" applyBorder="1" applyAlignment="1">
      <alignment horizontal="center" vertical="center"/>
    </xf>
    <xf numFmtId="1" fontId="8" fillId="20" borderId="25" xfId="0" applyNumberFormat="1" applyFont="1" applyFill="1" applyBorder="1" applyAlignment="1">
      <alignment horizontal="center" vertical="center"/>
    </xf>
    <xf numFmtId="0" fontId="8" fillId="20" borderId="26" xfId="0" applyFont="1" applyFill="1" applyBorder="1" applyAlignment="1">
      <alignment horizontal="left" vertical="center" indent="1"/>
    </xf>
    <xf numFmtId="0" fontId="37" fillId="23" borderId="29" xfId="0" applyFont="1" applyFill="1" applyBorder="1" applyAlignment="1">
      <alignment horizontal="left" vertical="center" indent="1"/>
    </xf>
    <xf numFmtId="0" fontId="32" fillId="20" borderId="30" xfId="0" applyFont="1" applyFill="1" applyBorder="1" applyAlignment="1">
      <alignment horizontal="center" vertical="center"/>
    </xf>
    <xf numFmtId="164" fontId="8" fillId="20" borderId="30" xfId="0" applyNumberFormat="1" applyFont="1" applyFill="1" applyBorder="1" applyAlignment="1">
      <alignment horizontal="center" vertical="center"/>
    </xf>
    <xf numFmtId="1" fontId="8" fillId="20" borderId="30" xfId="0" applyNumberFormat="1" applyFont="1" applyFill="1" applyBorder="1" applyAlignment="1">
      <alignment horizontal="center" vertical="center"/>
    </xf>
    <xf numFmtId="164" fontId="8" fillId="20" borderId="31" xfId="0" applyNumberFormat="1" applyFont="1" applyFill="1" applyBorder="1" applyAlignment="1">
      <alignment horizontal="center" vertical="center"/>
    </xf>
    <xf numFmtId="0" fontId="15" fillId="22" borderId="23" xfId="0" applyFont="1" applyFill="1" applyBorder="1" applyAlignment="1">
      <alignment horizontal="left" vertical="center" indent="1"/>
    </xf>
    <xf numFmtId="0" fontId="16" fillId="22" borderId="23" xfId="0" applyFont="1" applyFill="1" applyBorder="1" applyAlignment="1">
      <alignment horizontal="center" vertical="center"/>
    </xf>
    <xf numFmtId="0" fontId="39" fillId="22" borderId="23" xfId="0" applyFont="1" applyFill="1" applyBorder="1" applyAlignment="1">
      <alignment horizontal="center" vertical="center"/>
    </xf>
    <xf numFmtId="0" fontId="16" fillId="22" borderId="23" xfId="0" applyFont="1" applyFill="1" applyBorder="1" applyAlignment="1">
      <alignment horizontal="left" vertical="center" indent="1"/>
    </xf>
    <xf numFmtId="164" fontId="16" fillId="22" borderId="23" xfId="0" applyNumberFormat="1" applyFont="1" applyFill="1" applyBorder="1" applyAlignment="1">
      <alignment horizontal="center" vertical="center"/>
    </xf>
    <xf numFmtId="1" fontId="16" fillId="22" borderId="23" xfId="0" applyNumberFormat="1" applyFont="1" applyFill="1" applyBorder="1" applyAlignment="1">
      <alignment horizontal="center" vertical="center"/>
    </xf>
    <xf numFmtId="0" fontId="16" fillId="22" borderId="28" xfId="0" applyFont="1" applyFill="1" applyBorder="1" applyAlignment="1">
      <alignment horizontal="left" vertical="center" indent="1"/>
    </xf>
    <xf numFmtId="0" fontId="38" fillId="22" borderId="23" xfId="0" applyFont="1" applyFill="1" applyBorder="1" applyAlignment="1">
      <alignment horizontal="left" vertical="center" indent="1"/>
    </xf>
    <xf numFmtId="0" fontId="15" fillId="22" borderId="23" xfId="0" applyFont="1" applyFill="1" applyBorder="1" applyAlignment="1">
      <alignment horizontal="center" vertical="center"/>
    </xf>
    <xf numFmtId="0" fontId="15" fillId="22" borderId="28" xfId="0" applyFont="1" applyFill="1" applyBorder="1" applyAlignment="1">
      <alignment horizontal="left" vertical="center" indent="1"/>
    </xf>
    <xf numFmtId="164" fontId="9" fillId="21" borderId="23" xfId="0" applyNumberFormat="1" applyFont="1" applyFill="1" applyBorder="1" applyAlignment="1">
      <alignment horizontal="center" vertical="center"/>
    </xf>
    <xf numFmtId="0" fontId="7" fillId="13" borderId="32" xfId="0" applyFont="1" applyFill="1" applyBorder="1" applyAlignment="1">
      <alignment horizontal="left" vertical="center" indent="1"/>
    </xf>
    <xf numFmtId="1" fontId="7" fillId="13" borderId="34" xfId="0" applyNumberFormat="1" applyFont="1" applyFill="1" applyBorder="1" applyAlignment="1">
      <alignment horizontal="center" vertical="center"/>
    </xf>
    <xf numFmtId="1" fontId="7" fillId="13" borderId="33" xfId="0" applyNumberFormat="1" applyFont="1" applyFill="1" applyBorder="1" applyAlignment="1">
      <alignment horizontal="left" vertical="center" indent="1"/>
    </xf>
    <xf numFmtId="0" fontId="7" fillId="13" borderId="36" xfId="0" applyFont="1" applyFill="1" applyBorder="1" applyAlignment="1">
      <alignment horizontal="left" vertical="center" indent="1"/>
    </xf>
    <xf numFmtId="0" fontId="7" fillId="13" borderId="35" xfId="0" applyFont="1" applyFill="1" applyBorder="1" applyAlignment="1">
      <alignment horizontal="left" vertical="center" indent="1"/>
    </xf>
    <xf numFmtId="164" fontId="7" fillId="13" borderId="35" xfId="0" applyNumberFormat="1" applyFont="1" applyFill="1" applyBorder="1" applyAlignment="1">
      <alignment horizontal="center" vertical="center"/>
    </xf>
    <xf numFmtId="164" fontId="7" fillId="13" borderId="37" xfId="0" applyNumberFormat="1" applyFont="1" applyFill="1" applyBorder="1" applyAlignment="1">
      <alignment horizontal="center" vertical="center"/>
    </xf>
    <xf numFmtId="0" fontId="7" fillId="13" borderId="37" xfId="0" applyFont="1" applyFill="1" applyBorder="1" applyAlignment="1">
      <alignment horizontal="left" vertical="center" indent="2"/>
    </xf>
    <xf numFmtId="0" fontId="7" fillId="13" borderId="34" xfId="0" applyFont="1" applyFill="1" applyBorder="1" applyAlignment="1">
      <alignment horizontal="center" vertical="center"/>
    </xf>
    <xf numFmtId="0" fontId="7" fillId="13" borderId="38" xfId="0" applyFont="1" applyFill="1" applyBorder="1" applyAlignment="1">
      <alignment horizontal="left" vertical="center" indent="1"/>
    </xf>
    <xf numFmtId="0" fontId="7" fillId="13" borderId="39" xfId="0" applyFont="1" applyFill="1" applyBorder="1" applyAlignment="1">
      <alignment horizontal="left" vertical="center" indent="1"/>
    </xf>
    <xf numFmtId="49" fontId="7" fillId="13" borderId="40" xfId="0" applyNumberFormat="1" applyFont="1" applyFill="1" applyBorder="1" applyAlignment="1">
      <alignment horizontal="left" vertical="center" indent="1"/>
    </xf>
    <xf numFmtId="0" fontId="7" fillId="13" borderId="41" xfId="0" applyFont="1" applyFill="1" applyBorder="1" applyAlignment="1">
      <alignment horizontal="left" vertical="center" indent="1"/>
    </xf>
    <xf numFmtId="164" fontId="7" fillId="13" borderId="38" xfId="0" applyNumberFormat="1" applyFont="1" applyFill="1" applyBorder="1" applyAlignment="1">
      <alignment horizontal="left" vertical="center" indent="1"/>
    </xf>
    <xf numFmtId="0" fontId="37" fillId="22" borderId="23" xfId="0" applyFont="1" applyFill="1" applyBorder="1" applyAlignment="1">
      <alignment horizontal="left" vertical="center" indent="1"/>
    </xf>
    <xf numFmtId="2" fontId="0" fillId="0" borderId="0" xfId="0" applyNumberFormat="1" applyAlignment="1">
      <alignment vertical="center"/>
    </xf>
    <xf numFmtId="0" fontId="56" fillId="0" borderId="1" xfId="0" applyFont="1" applyBorder="1" applyAlignment="1">
      <alignment horizontal="left" vertical="center" indent="1"/>
    </xf>
    <xf numFmtId="0" fontId="44" fillId="14" borderId="0" xfId="0" applyFont="1" applyFill="1" applyAlignment="1" applyProtection="1">
      <alignment horizontal="center" vertical="center"/>
      <protection locked="0"/>
    </xf>
    <xf numFmtId="9" fontId="59" fillId="0" borderId="1" xfId="0" applyNumberFormat="1" applyFont="1" applyBorder="1" applyAlignment="1" applyProtection="1">
      <alignment horizontal="left" vertical="center" indent="1"/>
      <protection locked="0"/>
    </xf>
    <xf numFmtId="0" fontId="62" fillId="0" borderId="1" xfId="0" applyFont="1" applyBorder="1" applyAlignment="1" applyProtection="1">
      <alignment horizontal="left" vertical="center" indent="1"/>
      <protection locked="0"/>
    </xf>
    <xf numFmtId="1" fontId="34" fillId="0" borderId="0" xfId="0" applyNumberFormat="1" applyFont="1" applyAlignment="1">
      <alignment horizontal="center"/>
    </xf>
    <xf numFmtId="0" fontId="11" fillId="0" borderId="3" xfId="0" applyFont="1" applyBorder="1" applyAlignment="1">
      <alignment vertical="top"/>
    </xf>
    <xf numFmtId="0" fontId="29" fillId="13" borderId="0" xfId="0" applyFont="1" applyFill="1" applyAlignment="1">
      <alignment horizontal="left" vertical="top"/>
    </xf>
    <xf numFmtId="0" fontId="23" fillId="13" borderId="1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5" fillId="8" borderId="3" xfId="0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8" fillId="9" borderId="3" xfId="0" applyFont="1" applyFill="1" applyBorder="1" applyAlignment="1">
      <alignment horizontal="left" vertical="top"/>
    </xf>
    <xf numFmtId="164" fontId="57" fillId="20" borderId="23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right" vertical="center" textRotation="90"/>
    </xf>
    <xf numFmtId="0" fontId="44" fillId="14" borderId="4" xfId="0" applyFont="1" applyFill="1" applyBorder="1" applyAlignment="1" applyProtection="1">
      <alignment horizontal="center" vertical="center"/>
      <protection locked="0"/>
    </xf>
    <xf numFmtId="1" fontId="5" fillId="3" borderId="0" xfId="0" applyNumberFormat="1" applyFont="1" applyFill="1" applyAlignment="1" applyProtection="1">
      <alignment horizontal="left" vertical="center" indent="1"/>
      <protection locked="0"/>
    </xf>
    <xf numFmtId="0" fontId="21" fillId="0" borderId="4" xfId="0" applyFont="1" applyBorder="1" applyAlignment="1">
      <alignment horizontal="center"/>
    </xf>
    <xf numFmtId="0" fontId="5" fillId="3" borderId="22" xfId="0" applyFont="1" applyFill="1" applyBorder="1" applyAlignment="1" applyProtection="1">
      <alignment horizontal="left" vertical="center" indent="1"/>
      <protection locked="0"/>
    </xf>
    <xf numFmtId="0" fontId="53" fillId="8" borderId="0" xfId="0" applyFont="1" applyFill="1" applyAlignment="1">
      <alignment horizontal="center" vertical="center"/>
    </xf>
    <xf numFmtId="0" fontId="18" fillId="0" borderId="0" xfId="0" applyFont="1" applyAlignment="1">
      <alignment horizontal="left"/>
    </xf>
    <xf numFmtId="0" fontId="23" fillId="13" borderId="15" xfId="0" applyFont="1" applyFill="1" applyBorder="1" applyAlignment="1">
      <alignment horizontal="center" vertical="center" wrapText="1"/>
    </xf>
    <xf numFmtId="0" fontId="23" fillId="13" borderId="16" xfId="0" applyFont="1" applyFill="1" applyBorder="1" applyAlignment="1">
      <alignment horizontal="center" vertical="center" wrapText="1"/>
    </xf>
    <xf numFmtId="0" fontId="23" fillId="13" borderId="17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/>
    </xf>
    <xf numFmtId="0" fontId="29" fillId="13" borderId="19" xfId="0" applyFont="1" applyFill="1" applyBorder="1" applyAlignment="1">
      <alignment horizontal="left" vertical="center" indent="1"/>
    </xf>
    <xf numFmtId="0" fontId="11" fillId="24" borderId="23" xfId="0" applyFont="1" applyFill="1" applyBorder="1" applyAlignment="1">
      <alignment horizontal="left" vertical="center" indent="3"/>
    </xf>
  </cellXfs>
  <cellStyles count="2">
    <cellStyle name="Normal" xfId="0" builtinId="0" customBuiltin="1"/>
    <cellStyle name="Uthevingsfarge4" xfId="1" builtinId="41"/>
  </cellStyles>
  <dxfs count="76">
    <dxf>
      <font>
        <color theme="3" tint="-0.499984740745262"/>
      </font>
      <fill>
        <patternFill>
          <bgColor theme="3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b/>
        <i/>
        <color theme="4"/>
      </font>
      <fill>
        <patternFill patternType="none">
          <bgColor auto="1"/>
        </patternFill>
      </fill>
    </dxf>
    <dxf>
      <font>
        <b/>
        <i/>
        <color theme="4"/>
      </font>
      <fill>
        <patternFill patternType="none">
          <bgColor auto="1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4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5" tint="0.79998168889431442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4"/>
      </font>
      <fill>
        <patternFill>
          <bgColor theme="5" tint="0.79998168889431442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4"/>
      </font>
      <fill>
        <patternFill>
          <bgColor theme="5" tint="0.79998168889431442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7" tint="-0.749961851863155"/>
      </font>
      <fill>
        <patternFill>
          <bgColor theme="7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b/>
        <i/>
        <color theme="4"/>
      </font>
      <fill>
        <patternFill patternType="none">
          <bgColor auto="1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4"/>
      </font>
      <fill>
        <patternFill>
          <bgColor theme="5" tint="0.79998168889431442"/>
        </patternFill>
      </fill>
    </dxf>
    <dxf>
      <font>
        <color theme="4"/>
      </font>
      <fill>
        <patternFill>
          <bgColor rgb="FFFFFFB1"/>
        </patternFill>
      </fill>
    </dxf>
    <dxf>
      <font>
        <color theme="4"/>
      </font>
      <fill>
        <patternFill>
          <bgColor theme="3"/>
        </patternFill>
      </fill>
    </dxf>
    <dxf>
      <font>
        <color theme="4"/>
      </font>
      <fill>
        <patternFill>
          <bgColor theme="2" tint="0.79998168889431442"/>
        </patternFill>
      </fill>
    </dxf>
    <dxf>
      <font>
        <color theme="4"/>
      </font>
      <fill>
        <patternFill>
          <bgColor rgb="FFFFFFB1"/>
        </patternFill>
      </fill>
    </dxf>
    <dxf>
      <font>
        <color theme="4"/>
      </font>
      <fill>
        <patternFill>
          <bgColor theme="3"/>
        </patternFill>
      </fill>
    </dxf>
    <dxf>
      <font>
        <color theme="4"/>
      </font>
      <fill>
        <patternFill>
          <bgColor theme="2" tint="0.79998168889431442"/>
        </patternFill>
      </fill>
    </dxf>
    <dxf>
      <font>
        <color theme="2" tint="-0.499984740745262"/>
      </font>
      <fill>
        <patternFill>
          <bgColor theme="2" tint="0.79998168889431442"/>
        </patternFill>
      </fill>
    </dxf>
    <dxf>
      <font>
        <color theme="4"/>
      </font>
      <fill>
        <patternFill>
          <bgColor rgb="FFFFFFB1"/>
        </patternFill>
      </fill>
    </dxf>
    <dxf>
      <font>
        <color theme="4"/>
      </font>
      <fill>
        <patternFill>
          <bgColor theme="3"/>
        </patternFill>
      </fill>
    </dxf>
  </dxfs>
  <tableStyles count="0" defaultTableStyle="TableStyleMedium2" defaultPivotStyle="PivotStyleLight16"/>
  <colors>
    <mruColors>
      <color rgb="FFF2F5FF"/>
      <color rgb="FFF5FF56"/>
      <color rgb="FFF8FAFF"/>
      <color rgb="FFFCFAF7"/>
      <color rgb="FFF3F0EF"/>
      <color rgb="FF021E57"/>
      <color rgb="FFE2E0DF"/>
      <color rgb="FF3531CF"/>
      <color rgb="FF251CB0"/>
      <color rgb="FF4E60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ds Nordnes" id="{EAFDE89B-BE60-4D70-81B7-C2F392ACC2DB}" userId="S::mads.nordnes@tieto.com::20162311-5543-4abb-8198-81c21aedf45b" providerId="AD"/>
  <person displayName="Mads Nordnes" id="{E458400C-77C1-49B8-84EA-9D48772B6BF6}" userId="S::mads.nordnes@tietoevry.com::20162311-5543-4abb-8198-81c21aedf45b" providerId="AD"/>
</personList>
</file>

<file path=xl/theme/theme1.xml><?xml version="1.0" encoding="utf-8"?>
<a:theme xmlns:a="http://schemas.openxmlformats.org/drawingml/2006/main" name="Office Theme">
  <a:themeElements>
    <a:clrScheme name="TietoEvry">
      <a:dk1>
        <a:srgbClr val="000000"/>
      </a:dk1>
      <a:lt1>
        <a:srgbClr val="FFFFFF"/>
      </a:lt1>
      <a:dk2>
        <a:srgbClr val="F9423A"/>
      </a:dk2>
      <a:lt2>
        <a:srgbClr val="26D07C"/>
      </a:lt2>
      <a:accent1>
        <a:srgbClr val="280071"/>
      </a:accent1>
      <a:accent2>
        <a:srgbClr val="B1B5CE"/>
      </a:accent2>
      <a:accent3>
        <a:srgbClr val="E0E1EB"/>
      </a:accent3>
      <a:accent4>
        <a:srgbClr val="F7EAE4"/>
      </a:accent4>
      <a:accent5>
        <a:srgbClr val="EACBBB"/>
      </a:accent5>
      <a:accent6>
        <a:srgbClr val="6E6259"/>
      </a:accent6>
      <a:hlink>
        <a:srgbClr val="000000"/>
      </a:hlink>
      <a:folHlink>
        <a:srgbClr val="000000"/>
      </a:folHlink>
    </a:clrScheme>
    <a:fontScheme name="TietoEvry - Calibri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Warm Gray">
      <a:srgbClr val="6E6259"/>
    </a:custClr>
    <a:custClr name="Warm Gray 90%">
      <a:srgbClr val="7B7168"/>
    </a:custClr>
    <a:custClr name="Warm Gray">
      <a:srgbClr val="6E6259"/>
    </a:custClr>
    <a:custClr name="Warm Gray 80%">
      <a:srgbClr val="8B807C"/>
    </a:custClr>
    <a:custClr name="Warm Gray 70%">
      <a:srgbClr val="9C918C"/>
    </a:custClr>
    <a:custClr name="Warm Gray 60%">
      <a:srgbClr val="A9A09B"/>
    </a:custClr>
    <a:custClr name="Warm Gray 50%">
      <a:srgbClr val="B6B1AE"/>
    </a:custClr>
    <a:custClr name="Warm Gray 40%">
      <a:srgbClr val="C5C0BD"/>
    </a:custClr>
    <a:custClr name="Warm Gray 30%">
      <a:srgbClr val="D4D0CD"/>
    </a:custClr>
    <a:custClr name="Warm Gray 20%">
      <a:srgbClr val="E2E0DE"/>
    </a:custClr>
    <a:custClr name="Warm Gray 10%">
      <a:srgbClr val="F1EFED"/>
    </a:custClr>
    <a:custClr name="Hero Red">
      <a:srgbClr val="F9423A"/>
    </a:custClr>
    <a:custClr name="Maroon">
      <a:srgbClr val="64302F"/>
    </a:custClr>
    <a:custClr name="Peach">
      <a:srgbClr val="EACBBB"/>
    </a:custClr>
    <a:custClr name="Peach 40%">
      <a:srgbClr val="F7EAE4"/>
    </a:custClr>
    <a:custClr name="Peach 30%">
      <a:srgbClr val="FAF5F1"/>
    </a:custClr>
    <a:custClr name="Peach 20%">
      <a:srgbClr val="FCF8F5"/>
    </a:custClr>
    <a:custClr name="Peach 10%">
      <a:srgbClr val="FEFAF9"/>
    </a:custClr>
    <a:custClr name="White">
      <a:srgbClr val="FFFFFF"/>
    </a:custClr>
    <a:custClr name="CTA Yellow">
      <a:srgbClr val="E9EC6B"/>
    </a:custClr>
    <a:custClr name="Warm Gray 5%">
      <a:srgbClr val="F9F6F8"/>
    </a:custClr>
    <a:custClr name="Cool Gray">
      <a:srgbClr val="52565A"/>
    </a:custClr>
    <a:custClr name="Cool Gray 90%">
      <a:srgbClr val="63676A"/>
    </a:custClr>
    <a:custClr name="Cool Gray 80%">
      <a:srgbClr val="74787B"/>
    </a:custClr>
    <a:custClr name="Cool Gray 70%">
      <a:srgbClr val="86888B"/>
    </a:custClr>
    <a:custClr name="Cool Gray 60%">
      <a:srgbClr val="989A9C"/>
    </a:custClr>
    <a:custClr name="Cool Gray 50%">
      <a:srgbClr val="A9AAAC"/>
    </a:custClr>
    <a:custClr name="Cool Gray 40%">
      <a:srgbClr val="CBCCCD"/>
    </a:custClr>
    <a:custClr name="Cool Gray 30%">
      <a:srgbClr val="D4D5D5"/>
    </a:custClr>
    <a:custClr name="Cool Gray 20%">
      <a:srgbClr val="DDDDDE"/>
    </a:custClr>
    <a:custClr name="Cool Gray 10%">
      <a:srgbClr val="EDEEEE"/>
    </a:custClr>
    <a:custClr name="Black">
      <a:srgbClr val="000000"/>
    </a:custClr>
    <a:custClr name="Dark Blue">
      <a:srgbClr val="0C1D48"/>
    </a:custClr>
    <a:custClr name="Hero Blue">
      <a:srgbClr val="280071"/>
    </a:custClr>
    <a:custClr name="Violet">
      <a:srgbClr val="B1B5CE"/>
    </a:custClr>
    <a:custClr name="Violet 40%">
      <a:srgbClr val="E0E1EB"/>
    </a:custClr>
    <a:custClr name="Violet 30%">
      <a:srgbClr val="E7E9F0"/>
    </a:custClr>
    <a:custClr name="Violet 20%">
      <a:srgbClr val="EFF1F5"/>
    </a:custClr>
    <a:custClr name="Violet 10%">
      <a:srgbClr val="F8F7FF"/>
    </a:custClr>
    <a:custClr name="CTA Green">
      <a:srgbClr val="26D07C"/>
    </a:custClr>
    <a:custClr name="Cool Gray 5%">
      <a:srgbClr val="F6F6F8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" dT="2026-02-21T08:55:51.31" personId="{EAFDE89B-BE60-4D70-81B7-C2F392ACC2DB}" id="{3BC9FB34-FAE4-48B7-842F-4C4E9A598391}">
    <text>Fast sum? %-utregning av prosjekt? Må avklares</text>
  </threadedComment>
  <threadedComment ref="C18" dT="2026-02-21T08:54:08.73" personId="{EAFDE89B-BE60-4D70-81B7-C2F392ACC2DB}" id="{15FB18D7-8FD1-4436-AB63-A2A4C64987A0}">
    <text>Kan endres ved behov</text>
  </threadedComment>
  <threadedComment ref="C34" dT="2026-02-21T08:55:31.48" personId="{EAFDE89B-BE60-4D70-81B7-C2F392ACC2DB}" id="{221D24F4-7298-43F3-8D05-AA6957453B75}">
    <text>Tallet her er ikke samme som i tabellen over fordi statusmøter og risikopåslag ikke er inkludert i utregningen.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" dT="2026-02-26T12:06:01.81" personId="{EAFDE89B-BE60-4D70-81B7-C2F392ACC2DB}" id="{234CD00D-B990-44F8-8222-9EF83B84CFFA}">
    <text>1 miljø = 1
2 miljøer = 1.5
3 miljøer = 2</text>
  </threadedComment>
  <threadedComment ref="F2" dT="2025-11-29T07:52:39.02" personId="{E458400C-77C1-49B8-84EA-9D48772B6BF6}" id="{A69D3224-0C98-4CED-BEC5-2A9B94F5667F}">
    <text>Tallene er hentet fra WIKI</text>
  </threadedComment>
  <threadedComment ref="C78" dT="2025-11-29T08:48:59.02" personId="{E458400C-77C1-49B8-84EA-9D48772B6BF6}" id="{8BBF840A-F3BF-4A48-BEB4-A8C372DF825C}">
    <text>Budsjett for ferdigstillelse er inkludert i modul-budsjettet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4BF0AD-5930-46AC-AF25-0A3020A63DEC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bbcb98fb-032e-4ba7-8990-971a0059319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06FF-32C8-4763-8F31-494CC34AE423}">
  <dimension ref="B1:U50"/>
  <sheetViews>
    <sheetView showGridLines="0" topLeftCell="A21" zoomScale="80" zoomScaleNormal="80" workbookViewId="0">
      <selection activeCell="C29" sqref="C29"/>
    </sheetView>
  </sheetViews>
  <sheetFormatPr baseColWidth="10" defaultColWidth="11" defaultRowHeight="20.149999999999999" customHeight="1" x14ac:dyDescent="0.35"/>
  <cols>
    <col min="1" max="1" width="5.08203125" style="49" customWidth="1"/>
    <col min="2" max="2" width="28.5" style="49" bestFit="1" customWidth="1"/>
    <col min="3" max="3" width="10.25" style="54" customWidth="1"/>
    <col min="4" max="4" width="66.33203125" style="49" customWidth="1"/>
    <col min="5" max="5" width="4.58203125" style="49" customWidth="1"/>
    <col min="6" max="6" width="5.25" style="123" customWidth="1"/>
    <col min="7" max="7" width="64.25" style="49" customWidth="1"/>
    <col min="8" max="8" width="84.5" style="49" bestFit="1" customWidth="1"/>
    <col min="9" max="9" width="41.75" style="49" customWidth="1"/>
    <col min="10" max="11" width="14.58203125" style="49" customWidth="1"/>
    <col min="12" max="12" width="19.33203125" style="54" customWidth="1"/>
    <col min="13" max="13" width="17" style="54" customWidth="1"/>
    <col min="14" max="14" width="20.58203125" style="54" customWidth="1"/>
    <col min="15" max="15" width="7.75" style="49" customWidth="1"/>
    <col min="16" max="16" width="20.25" style="49" customWidth="1"/>
    <col min="17" max="21" width="14.58203125" style="49" customWidth="1"/>
    <col min="22" max="22" width="18.58203125" style="49" customWidth="1"/>
    <col min="23" max="16384" width="11" style="49"/>
  </cols>
  <sheetData>
    <row r="1" spans="2:21" s="80" customFormat="1" ht="20.149999999999999" customHeight="1" x14ac:dyDescent="0.35">
      <c r="C1" s="81"/>
      <c r="F1" s="122"/>
      <c r="L1" s="81"/>
      <c r="M1" s="81"/>
      <c r="N1" s="81"/>
    </row>
    <row r="2" spans="2:21" s="80" customFormat="1" ht="35.65" customHeight="1" x14ac:dyDescent="0.35">
      <c r="B2" s="83" t="s">
        <v>0</v>
      </c>
      <c r="C2" s="82"/>
      <c r="D2" s="82"/>
      <c r="F2" s="122"/>
      <c r="L2" s="81"/>
      <c r="M2" s="81"/>
      <c r="N2" s="81"/>
    </row>
    <row r="3" spans="2:21" s="80" customFormat="1" ht="16" x14ac:dyDescent="0.35">
      <c r="B3" s="104" t="s">
        <v>1</v>
      </c>
      <c r="C3" s="82"/>
      <c r="D3" s="82"/>
      <c r="F3" s="122"/>
      <c r="L3" s="81"/>
      <c r="M3" s="81"/>
      <c r="N3" s="81"/>
    </row>
    <row r="4" spans="2:21" s="80" customFormat="1" ht="20.149999999999999" customHeight="1" x14ac:dyDescent="0.35">
      <c r="B4" s="105"/>
      <c r="C4" s="106"/>
      <c r="D4" s="106"/>
      <c r="F4" s="122"/>
      <c r="L4" s="81"/>
      <c r="M4" s="81"/>
      <c r="N4" s="81"/>
    </row>
    <row r="5" spans="2:21" ht="20.149999999999999" customHeight="1" x14ac:dyDescent="0.35">
      <c r="B5" s="134"/>
      <c r="C5" s="135"/>
      <c r="D5" s="135"/>
    </row>
    <row r="6" spans="2:21" ht="30" customHeight="1" x14ac:dyDescent="0.45">
      <c r="B6" s="136" t="s">
        <v>2</v>
      </c>
      <c r="C6" s="255" t="s">
        <v>3</v>
      </c>
      <c r="D6" s="255"/>
      <c r="F6" s="252" t="s">
        <v>4</v>
      </c>
      <c r="G6" s="252"/>
      <c r="H6" s="252"/>
      <c r="I6" s="252"/>
      <c r="J6" s="252"/>
      <c r="K6" s="252"/>
      <c r="L6" s="252"/>
      <c r="M6" s="252"/>
      <c r="N6" s="252"/>
      <c r="O6" s="18"/>
      <c r="P6" s="55"/>
      <c r="Q6" s="254" t="s">
        <v>5</v>
      </c>
      <c r="R6" s="254"/>
      <c r="S6" s="254"/>
      <c r="T6" s="254"/>
      <c r="U6" s="254"/>
    </row>
    <row r="7" spans="2:21" ht="30" customHeight="1" x14ac:dyDescent="0.35">
      <c r="B7" s="136" t="s">
        <v>6</v>
      </c>
      <c r="C7" s="255" t="s">
        <v>7</v>
      </c>
      <c r="D7" s="255"/>
      <c r="F7" s="75" t="s">
        <v>8</v>
      </c>
      <c r="G7" s="74" t="s">
        <v>9</v>
      </c>
      <c r="H7" s="74" t="s">
        <v>10</v>
      </c>
      <c r="I7" s="74" t="s">
        <v>11</v>
      </c>
      <c r="J7" s="74" t="s">
        <v>12</v>
      </c>
      <c r="K7" s="74" t="s">
        <v>13</v>
      </c>
      <c r="L7" s="75" t="s">
        <v>14</v>
      </c>
      <c r="M7" s="75" t="s">
        <v>5</v>
      </c>
      <c r="N7" s="75" t="s">
        <v>15</v>
      </c>
      <c r="O7" s="18"/>
      <c r="P7" s="109" t="s">
        <v>16</v>
      </c>
      <c r="Q7" s="79" t="s">
        <v>17</v>
      </c>
      <c r="R7" s="79" t="s">
        <v>18</v>
      </c>
      <c r="S7" s="79" t="s">
        <v>19</v>
      </c>
      <c r="T7" s="79" t="s">
        <v>20</v>
      </c>
      <c r="U7" s="79" t="s">
        <v>21</v>
      </c>
    </row>
    <row r="8" spans="2:21" ht="30" customHeight="1" x14ac:dyDescent="0.35">
      <c r="B8" s="136" t="s">
        <v>22</v>
      </c>
      <c r="C8" s="253">
        <v>1</v>
      </c>
      <c r="D8" s="253"/>
      <c r="F8" s="125">
        <f t="shared" ref="F8:F32" si="0">ROW() - ROW($F$9) + 1</f>
        <v>0</v>
      </c>
      <c r="G8" s="126" t="s">
        <v>23</v>
      </c>
      <c r="H8" s="126" t="s">
        <v>24</v>
      </c>
      <c r="I8" s="127" t="s">
        <v>25</v>
      </c>
      <c r="J8" s="127" t="s">
        <v>26</v>
      </c>
      <c r="K8" s="132" t="s">
        <v>27</v>
      </c>
      <c r="L8" s="128" t="s">
        <v>28</v>
      </c>
      <c r="M8" s="128" t="s">
        <v>20</v>
      </c>
      <c r="N8" s="129" t="str">
        <f t="shared" ref="N8:N31" si="1">IFERROR(INDEX($Q$8:$U$12,MATCH(L8,$P$8:$P$12,0),MATCH(M8,$Q$7:$U$7,0)),"")</f>
        <v>Høy</v>
      </c>
      <c r="O8" s="251" t="s">
        <v>14</v>
      </c>
      <c r="P8" s="56" t="s">
        <v>29</v>
      </c>
      <c r="Q8" s="151" t="s">
        <v>30</v>
      </c>
      <c r="R8" s="151" t="s">
        <v>30</v>
      </c>
      <c r="S8" s="150" t="s">
        <v>31</v>
      </c>
      <c r="T8" s="150" t="s">
        <v>31</v>
      </c>
      <c r="U8" s="150" t="s">
        <v>31</v>
      </c>
    </row>
    <row r="9" spans="2:21" s="47" customFormat="1" ht="30" customHeight="1" x14ac:dyDescent="0.35">
      <c r="E9" s="48"/>
      <c r="F9" s="124">
        <f t="shared" si="0"/>
        <v>1</v>
      </c>
      <c r="G9" s="50"/>
      <c r="H9" s="50"/>
      <c r="I9" s="61"/>
      <c r="J9" s="61"/>
      <c r="K9" s="133"/>
      <c r="L9" s="51"/>
      <c r="M9" s="51"/>
      <c r="N9" s="46" t="str">
        <f t="shared" si="1"/>
        <v/>
      </c>
      <c r="O9" s="251"/>
      <c r="P9" s="56" t="s">
        <v>28</v>
      </c>
      <c r="Q9" s="57" t="s">
        <v>32</v>
      </c>
      <c r="R9" s="151" t="s">
        <v>30</v>
      </c>
      <c r="S9" s="151" t="s">
        <v>30</v>
      </c>
      <c r="T9" s="150" t="s">
        <v>31</v>
      </c>
      <c r="U9" s="150" t="s">
        <v>31</v>
      </c>
    </row>
    <row r="10" spans="2:21" ht="30" customHeight="1" x14ac:dyDescent="0.35">
      <c r="B10" s="252" t="s">
        <v>33</v>
      </c>
      <c r="C10" s="252"/>
      <c r="D10" s="252"/>
      <c r="F10" s="124">
        <f t="shared" si="0"/>
        <v>2</v>
      </c>
      <c r="G10" s="50"/>
      <c r="H10" s="50"/>
      <c r="I10" s="61"/>
      <c r="J10" s="61"/>
      <c r="K10" s="133"/>
      <c r="L10" s="51"/>
      <c r="M10" s="51"/>
      <c r="N10" s="46" t="str">
        <f t="shared" si="1"/>
        <v/>
      </c>
      <c r="O10" s="251"/>
      <c r="P10" s="56" t="s">
        <v>34</v>
      </c>
      <c r="Q10" s="57" t="s">
        <v>32</v>
      </c>
      <c r="R10" s="151" t="s">
        <v>30</v>
      </c>
      <c r="S10" s="151" t="s">
        <v>30</v>
      </c>
      <c r="T10" s="151" t="s">
        <v>30</v>
      </c>
      <c r="U10" s="150" t="s">
        <v>31</v>
      </c>
    </row>
    <row r="11" spans="2:21" ht="30" customHeight="1" x14ac:dyDescent="0.35">
      <c r="B11" s="74" t="s">
        <v>13</v>
      </c>
      <c r="C11" s="76" t="s">
        <v>35</v>
      </c>
      <c r="D11" s="74" t="s">
        <v>36</v>
      </c>
      <c r="F11" s="124">
        <f t="shared" si="0"/>
        <v>3</v>
      </c>
      <c r="G11" s="50"/>
      <c r="H11" s="50"/>
      <c r="I11" s="61"/>
      <c r="J11" s="61"/>
      <c r="K11" s="133"/>
      <c r="L11" s="51"/>
      <c r="M11" s="51"/>
      <c r="N11" s="46" t="str">
        <f t="shared" si="1"/>
        <v/>
      </c>
      <c r="O11" s="251"/>
      <c r="P11" s="56" t="s">
        <v>37</v>
      </c>
      <c r="Q11" s="57" t="s">
        <v>32</v>
      </c>
      <c r="R11" s="57" t="s">
        <v>32</v>
      </c>
      <c r="S11" s="151" t="s">
        <v>30</v>
      </c>
      <c r="T11" s="151" t="s">
        <v>30</v>
      </c>
      <c r="U11" s="151" t="s">
        <v>30</v>
      </c>
    </row>
    <row r="12" spans="2:21" ht="30" customHeight="1" x14ac:dyDescent="0.35">
      <c r="B12" s="64" t="s">
        <v>38</v>
      </c>
      <c r="C12" s="142">
        <f>SUM(C24:C33)</f>
        <v>378</v>
      </c>
      <c r="D12" s="50"/>
      <c r="F12" s="124">
        <f t="shared" si="0"/>
        <v>4</v>
      </c>
      <c r="G12" s="50"/>
      <c r="H12" s="50"/>
      <c r="I12" s="61"/>
      <c r="J12" s="61"/>
      <c r="K12" s="133"/>
      <c r="L12" s="51"/>
      <c r="M12" s="51"/>
      <c r="N12" s="46" t="str">
        <f t="shared" si="1"/>
        <v/>
      </c>
      <c r="O12" s="251"/>
      <c r="P12" s="56" t="s">
        <v>39</v>
      </c>
      <c r="Q12" s="57" t="s">
        <v>32</v>
      </c>
      <c r="R12" s="57" t="s">
        <v>32</v>
      </c>
      <c r="S12" s="57" t="s">
        <v>32</v>
      </c>
      <c r="T12" s="57" t="s">
        <v>32</v>
      </c>
      <c r="U12" s="151" t="s">
        <v>30</v>
      </c>
    </row>
    <row r="13" spans="2:21" ht="30" customHeight="1" x14ac:dyDescent="0.35">
      <c r="B13" s="64" t="s">
        <v>40</v>
      </c>
      <c r="C13" s="142">
        <v>70</v>
      </c>
      <c r="D13" s="238">
        <v>0.2</v>
      </c>
      <c r="F13" s="124">
        <f t="shared" si="0"/>
        <v>5</v>
      </c>
      <c r="G13" s="50"/>
      <c r="H13" s="50"/>
      <c r="I13" s="61"/>
      <c r="J13" s="61"/>
      <c r="K13" s="133"/>
      <c r="L13" s="51"/>
      <c r="M13" s="51"/>
      <c r="N13" s="46" t="str">
        <f t="shared" si="1"/>
        <v/>
      </c>
      <c r="O13" s="137"/>
      <c r="P13" s="18"/>
      <c r="Q13" s="18"/>
      <c r="R13" s="18"/>
      <c r="S13" s="18"/>
      <c r="T13" s="18"/>
      <c r="U13" s="18"/>
    </row>
    <row r="14" spans="2:21" ht="30" customHeight="1" x14ac:dyDescent="0.45">
      <c r="B14" s="64" t="s">
        <v>41</v>
      </c>
      <c r="C14" s="142">
        <f>C28</f>
        <v>0</v>
      </c>
      <c r="D14" s="50"/>
      <c r="F14" s="124">
        <f t="shared" si="0"/>
        <v>6</v>
      </c>
      <c r="G14" s="50"/>
      <c r="H14" s="50"/>
      <c r="I14" s="61"/>
      <c r="J14" s="61"/>
      <c r="K14" s="133"/>
      <c r="L14" s="51"/>
      <c r="M14" s="51"/>
      <c r="N14" s="46" t="str">
        <f t="shared" si="1"/>
        <v/>
      </c>
      <c r="O14" s="137"/>
      <c r="P14" s="55"/>
      <c r="Q14" s="254" t="s">
        <v>5</v>
      </c>
      <c r="R14" s="254"/>
      <c r="S14" s="254"/>
      <c r="T14" s="254"/>
      <c r="U14" s="254"/>
    </row>
    <row r="15" spans="2:21" ht="30" customHeight="1" x14ac:dyDescent="0.35">
      <c r="B15" s="64" t="s">
        <v>42</v>
      </c>
      <c r="C15" s="142">
        <v>3</v>
      </c>
      <c r="D15" s="50" t="s">
        <v>43</v>
      </c>
      <c r="F15" s="124">
        <f t="shared" si="0"/>
        <v>7</v>
      </c>
      <c r="G15" s="50"/>
      <c r="H15" s="50"/>
      <c r="I15" s="61"/>
      <c r="J15" s="61"/>
      <c r="K15" s="133"/>
      <c r="L15" s="51"/>
      <c r="M15" s="51"/>
      <c r="N15" s="46" t="str">
        <f t="shared" si="1"/>
        <v/>
      </c>
      <c r="O15" s="137"/>
      <c r="P15" s="109" t="s">
        <v>44</v>
      </c>
      <c r="Q15" s="79" t="s">
        <v>17</v>
      </c>
      <c r="R15" s="79" t="s">
        <v>18</v>
      </c>
      <c r="S15" s="79" t="s">
        <v>19</v>
      </c>
      <c r="T15" s="79" t="s">
        <v>20</v>
      </c>
      <c r="U15" s="79" t="s">
        <v>21</v>
      </c>
    </row>
    <row r="16" spans="2:21" ht="30" customHeight="1" x14ac:dyDescent="0.35">
      <c r="B16" s="65" t="s">
        <v>45</v>
      </c>
      <c r="C16" s="143"/>
      <c r="D16" s="52" t="s">
        <v>43</v>
      </c>
      <c r="F16" s="124">
        <f t="shared" si="0"/>
        <v>8</v>
      </c>
      <c r="G16" s="50"/>
      <c r="H16" s="50"/>
      <c r="I16" s="61"/>
      <c r="J16" s="61"/>
      <c r="K16" s="133"/>
      <c r="L16" s="51"/>
      <c r="M16" s="51"/>
      <c r="N16" s="46" t="str">
        <f t="shared" si="1"/>
        <v/>
      </c>
      <c r="O16" s="251" t="s">
        <v>14</v>
      </c>
      <c r="P16" s="56" t="s">
        <v>29</v>
      </c>
      <c r="Q16" s="58" t="str">
        <f>IF(COUNTIFS($L$8:$L$31,$P8,$M$8:$M$31,$Q$7)=0,"",COUNTIFS($L$8:$L$31,$P8,$M$8:$M$31,$Q$7))</f>
        <v/>
      </c>
      <c r="R16" s="58" t="str">
        <f>IF(COUNTIFS($L$8:$L$31,$P8,$M$8:$M$31,$R$7)=0,"",COUNTIFS($L$8:$L$31,$P8,$M$8:$M$31,$R$7))</f>
        <v/>
      </c>
      <c r="S16" s="59" t="str">
        <f>IF(COUNTIFS($L$8:$L$31,P8,$M$8:$M$31,$S$7)=0,"",COUNTIFS($L$8:$L$31,P8,$M$8:$M$31,$S$7))</f>
        <v/>
      </c>
      <c r="T16" s="59" t="str">
        <f>IF(COUNTIFS($L$8:$L$31,P8,$M$8:$M$31,$T$7)=0,"",COUNTIFS($L$8:$L$31,P8,$M$8:$M$31,$T$7))</f>
        <v/>
      </c>
      <c r="U16" s="59" t="str">
        <f>IF(COUNTIFS($L$8:$L$31,P8,$M$8:$M$31,$U$7)=0,"",COUNTIFS($L$8:$L$31,P8,$M$8:$M$31,$U$7))</f>
        <v/>
      </c>
    </row>
    <row r="17" spans="2:21" ht="30" customHeight="1" x14ac:dyDescent="0.35">
      <c r="B17" s="66" t="s">
        <v>46</v>
      </c>
      <c r="C17" s="67">
        <f>SUM(C12:C16)</f>
        <v>451</v>
      </c>
      <c r="D17" s="53"/>
      <c r="F17" s="124">
        <f t="shared" si="0"/>
        <v>9</v>
      </c>
      <c r="G17" s="50"/>
      <c r="H17" s="50"/>
      <c r="I17" s="61"/>
      <c r="J17" s="61"/>
      <c r="K17" s="133"/>
      <c r="L17" s="51"/>
      <c r="M17" s="51"/>
      <c r="N17" s="46" t="str">
        <f t="shared" si="1"/>
        <v/>
      </c>
      <c r="O17" s="251"/>
      <c r="P17" s="56" t="s">
        <v>28</v>
      </c>
      <c r="Q17" s="60" t="str">
        <f>IF(COUNTIFS($L$8:$L$31,$P9,$M$8:$M$31,$Q$7)=0,"",COUNTIFS($L$8:$L$31,$P9,$M$8:$M$31,$Q$7))</f>
        <v/>
      </c>
      <c r="R17" s="58" t="str">
        <f>IF(COUNTIFS($L$8:$L$31,$P9,$M$8:$M$31,$R$7)=0,"",COUNTIFS($L$8:$L$31,$P9,$M$8:$M$31,$R$7))</f>
        <v/>
      </c>
      <c r="S17" s="58" t="str">
        <f>IF(COUNTIFS($L$8:$L$31,P9,$M$8:$M$31,$S$7)=0,"",COUNTIFS($L$8:$L$31,P9,$M$8:$M$31,$S$7))</f>
        <v/>
      </c>
      <c r="T17" s="59">
        <f>IF(COUNTIFS($L$8:$L$31,P9,$M$8:$M$31,$T$7)=0,"",COUNTIFS($L$8:$L$31,P9,$M$8:$M$31,$T$7))</f>
        <v>1</v>
      </c>
      <c r="U17" s="59" t="str">
        <f>IF(COUNTIFS($L$8:$L$31,P9,$M$8:$M$31,$U$7)=0,"",COUNTIFS($L$8:$L$31,P9,$M$8:$M$31,$U$7))</f>
        <v/>
      </c>
    </row>
    <row r="18" spans="2:21" ht="30" customHeight="1" x14ac:dyDescent="0.35">
      <c r="B18" s="145" t="s">
        <v>47</v>
      </c>
      <c r="C18" s="141">
        <v>0.1</v>
      </c>
      <c r="D18" s="144"/>
      <c r="F18" s="124">
        <f t="shared" si="0"/>
        <v>10</v>
      </c>
      <c r="G18" s="50"/>
      <c r="H18" s="50"/>
      <c r="I18" s="61"/>
      <c r="J18" s="61"/>
      <c r="K18" s="133"/>
      <c r="L18" s="51"/>
      <c r="M18" s="51"/>
      <c r="N18" s="46" t="str">
        <f t="shared" si="1"/>
        <v/>
      </c>
      <c r="O18" s="251"/>
      <c r="P18" s="56" t="s">
        <v>34</v>
      </c>
      <c r="Q18" s="60" t="str">
        <f>IF(COUNTIFS($L$8:$L$31,$P10,$M$8:$M$31,$Q$7)=0,"",COUNTIFS($L$8:$L$31,$P10,$M$8:$M$31,$Q$7))</f>
        <v/>
      </c>
      <c r="R18" s="58" t="str">
        <f>IF(COUNTIFS($L$8:$L$31,$P10,$M$8:$M$31,$R$7)=0,"",COUNTIFS($L$8:$L$31,$P10,$M$8:$M$31,$R$7))</f>
        <v/>
      </c>
      <c r="S18" s="58" t="str">
        <f>IF(COUNTIFS($L$8:$L$31,P10,$M$8:$M$31,$S$7)=0,"",COUNTIFS($L$8:$L$31,P10,$M$8:$M$31,$S$7))</f>
        <v/>
      </c>
      <c r="T18" s="58" t="str">
        <f>IF(COUNTIFS($L$8:$L$31,P10,$M$8:$M$31,$T$7)=0,"",COUNTIFS($L$8:$L$31,P10,$M$8:$M$31,$T$7))</f>
        <v/>
      </c>
      <c r="U18" s="59" t="str">
        <f>IF(COUNTIFS($L$8:$L$31,P10,$M$8:$M$31,$U$7)=0,"",COUNTIFS($L$8:$L$31,P10,$M$8:$M$31,$U$7))</f>
        <v/>
      </c>
    </row>
    <row r="19" spans="2:21" ht="30" customHeight="1" x14ac:dyDescent="0.35">
      <c r="B19" s="62" t="s">
        <v>48</v>
      </c>
      <c r="C19" s="63">
        <f>(C12+C13+C14)*(1+C18)</f>
        <v>492.80000000000007</v>
      </c>
      <c r="D19" s="68" t="s">
        <v>49</v>
      </c>
      <c r="F19" s="124">
        <f t="shared" si="0"/>
        <v>11</v>
      </c>
      <c r="G19" s="50"/>
      <c r="H19" s="50"/>
      <c r="I19" s="61"/>
      <c r="J19" s="61"/>
      <c r="K19" s="133"/>
      <c r="L19" s="51"/>
      <c r="M19" s="51"/>
      <c r="N19" s="46" t="str">
        <f t="shared" si="1"/>
        <v/>
      </c>
      <c r="O19" s="251"/>
      <c r="P19" s="56" t="s">
        <v>37</v>
      </c>
      <c r="Q19" s="60" t="str">
        <f>IF(COUNTIFS($L$8:$L$31,$P11,$M$8:$M$31,$Q$7)=0,"",COUNTIFS($L$8:$L$31,$P11,$M$8:$M$31,$Q$7))</f>
        <v/>
      </c>
      <c r="R19" s="60" t="str">
        <f>IF(COUNTIFS($L$8:$L$31,$P11,$M$8:$M$31,$R$7)=0,"",COUNTIFS($L$8:$L$31,$P11,$M$8:$M$31,$R$7))</f>
        <v/>
      </c>
      <c r="S19" s="58" t="str">
        <f>IF(COUNTIFS($L$8:$L$31,P11,$M$8:$M$31,$S$7)=0,"",COUNTIFS($L$8:$L$31,P11,$M$8:$M$31,$S$7))</f>
        <v/>
      </c>
      <c r="T19" s="58" t="str">
        <f>IF(COUNTIFS($L$8:$L$31,P11,$M$8:$M$31,$T$7)=0,"",COUNTIFS($L$8:$L$31,P11,$M$8:$M$31,$T$7))</f>
        <v/>
      </c>
      <c r="U19" s="58" t="str">
        <f>IF(COUNTIFS($L$8:$L$31,P11,$M$8:$M$31,$U$7)=0,"",COUNTIFS($L$8:$L$31,P11,$M$8:$M$31,$U$7))</f>
        <v/>
      </c>
    </row>
    <row r="20" spans="2:21" ht="30" customHeight="1" x14ac:dyDescent="0.35">
      <c r="F20" s="124">
        <f t="shared" si="0"/>
        <v>12</v>
      </c>
      <c r="G20" s="50"/>
      <c r="H20" s="50"/>
      <c r="I20" s="61"/>
      <c r="J20" s="61"/>
      <c r="K20" s="133"/>
      <c r="L20" s="51"/>
      <c r="M20" s="51"/>
      <c r="N20" s="46" t="str">
        <f t="shared" si="1"/>
        <v/>
      </c>
      <c r="O20" s="251"/>
      <c r="P20" s="56" t="s">
        <v>39</v>
      </c>
      <c r="Q20" s="60" t="str">
        <f>IF(COUNTIFS($L$8:$L$31,$P12,$M$8:$M$31,$Q$7)=0,"",COUNTIFS($L$8:$L$31,$P12,$M$8:$M$31,$Q$7))</f>
        <v/>
      </c>
      <c r="R20" s="60" t="str">
        <f>IF(COUNTIFS($L$8:$L$31,P12,$M$8:$M$31,$R$7)=0,"",COUNTIFS($L$8:$L$31,P12,$M$8:$M$31,$R$7))</f>
        <v/>
      </c>
      <c r="S20" s="60" t="str">
        <f>IF(COUNTIFS($L$8:$L$31,P12,$M$8:$M$31,$S$7)=0,"",COUNTIFS($L$8:$L$31,P12,$M$8:$M$31,$S$7))</f>
        <v/>
      </c>
      <c r="T20" s="60" t="str">
        <f>IF(COUNTIFS($L$8:$L$31,P12,$M$8:$M$31,$T$7)=0,"",COUNTIFS($L$8:$L$31,P12,$M$8:$M$31,$T$7))</f>
        <v/>
      </c>
      <c r="U20" s="58" t="str">
        <f>IF(COUNTIFS($L$8:$L$31,P12,$M$8:$M$31,$U$7)=0,"",COUNTIFS($L$8:$L$31,P12,$M$8:$M$31,$U$7))</f>
        <v/>
      </c>
    </row>
    <row r="21" spans="2:21" ht="30" customHeight="1" x14ac:dyDescent="0.35">
      <c r="B21" s="237" t="s">
        <v>50</v>
      </c>
      <c r="C21" s="237"/>
      <c r="D21" s="237"/>
      <c r="F21" s="124">
        <f t="shared" si="0"/>
        <v>13</v>
      </c>
      <c r="G21" s="50"/>
      <c r="H21" s="50"/>
      <c r="I21" s="61"/>
      <c r="J21" s="61"/>
      <c r="K21" s="133"/>
      <c r="L21" s="51"/>
      <c r="M21" s="51"/>
      <c r="N21" s="46" t="str">
        <f t="shared" si="1"/>
        <v/>
      </c>
    </row>
    <row r="22" spans="2:21" ht="30" customHeight="1" x14ac:dyDescent="0.35">
      <c r="B22" s="77" t="s">
        <v>13</v>
      </c>
      <c r="C22" s="78" t="s">
        <v>35</v>
      </c>
      <c r="D22" s="77" t="s">
        <v>36</v>
      </c>
      <c r="F22" s="124">
        <f t="shared" si="0"/>
        <v>14</v>
      </c>
      <c r="G22" s="50"/>
      <c r="H22" s="50"/>
      <c r="I22" s="61"/>
      <c r="J22" s="61"/>
      <c r="K22" s="133"/>
      <c r="L22" s="51"/>
      <c r="M22" s="51"/>
      <c r="N22" s="46" t="str">
        <f t="shared" si="1"/>
        <v/>
      </c>
    </row>
    <row r="23" spans="2:21" ht="30" customHeight="1" x14ac:dyDescent="0.35">
      <c r="B23" s="64" t="str" cm="1">
        <f t="array" ref="B23:B33">'Datavalidering (skjules)'!B14:B24</f>
        <v>Prosjektledelse</v>
      </c>
      <c r="C23" s="142">
        <v>70</v>
      </c>
      <c r="D23" s="239" t="s">
        <v>51</v>
      </c>
      <c r="F23" s="124">
        <f t="shared" si="0"/>
        <v>15</v>
      </c>
      <c r="G23" s="50"/>
      <c r="H23" s="50"/>
      <c r="I23" s="61"/>
      <c r="J23" s="61"/>
      <c r="K23" s="133"/>
      <c r="L23" s="51"/>
      <c r="M23" s="51"/>
      <c r="N23" s="46" t="str">
        <f t="shared" si="1"/>
        <v/>
      </c>
    </row>
    <row r="24" spans="2:21" ht="30" customHeight="1" x14ac:dyDescent="0.35">
      <c r="B24" s="64" t="str">
        <v>Analysering</v>
      </c>
      <c r="C24" s="142">
        <f>SUMIF(Fremdriftsplan!$H$1:$H$1542,B24,Fremdriftsplan!$F$1:$F$1542)</f>
        <v>3.5</v>
      </c>
      <c r="D24" s="50"/>
      <c r="F24" s="124">
        <f t="shared" si="0"/>
        <v>16</v>
      </c>
      <c r="G24" s="50"/>
      <c r="H24" s="50"/>
      <c r="I24" s="61"/>
      <c r="J24" s="61"/>
      <c r="K24" s="133"/>
      <c r="L24" s="51"/>
      <c r="M24" s="51"/>
      <c r="N24" s="46" t="str">
        <f t="shared" si="1"/>
        <v/>
      </c>
    </row>
    <row r="25" spans="2:21" ht="30" customHeight="1" x14ac:dyDescent="0.35">
      <c r="B25" s="64" t="str">
        <v>Dokumentering og spesifisering</v>
      </c>
      <c r="C25" s="142">
        <f>SUMIF(Fremdriftsplan!$H$1:$H$1542,B25,Fremdriftsplan!$F$1:$F$1542)</f>
        <v>13</v>
      </c>
      <c r="D25" s="50"/>
      <c r="F25" s="124">
        <f t="shared" si="0"/>
        <v>17</v>
      </c>
      <c r="G25" s="50"/>
      <c r="H25" s="50"/>
      <c r="I25" s="61"/>
      <c r="J25" s="61"/>
      <c r="K25" s="133"/>
      <c r="L25" s="51"/>
      <c r="M25" s="51"/>
      <c r="N25" s="46" t="str">
        <f t="shared" si="1"/>
        <v/>
      </c>
    </row>
    <row r="26" spans="2:21" ht="30" customHeight="1" x14ac:dyDescent="0.35">
      <c r="B26" s="64" t="str">
        <v>Utvikling</v>
      </c>
      <c r="C26" s="142">
        <f>SUMIF(Fremdriftsplan!$H$1:$H$1542,B26,Fremdriftsplan!$F$1:$F$1542)</f>
        <v>0</v>
      </c>
      <c r="D26" s="50"/>
      <c r="F26" s="124">
        <f t="shared" si="0"/>
        <v>18</v>
      </c>
      <c r="G26" s="50"/>
      <c r="H26" s="50"/>
      <c r="I26" s="61"/>
      <c r="J26" s="61"/>
      <c r="K26" s="133"/>
      <c r="L26" s="51"/>
      <c r="M26" s="51"/>
      <c r="N26" s="46" t="str">
        <f t="shared" si="1"/>
        <v/>
      </c>
    </row>
    <row r="27" spans="2:21" ht="30" customHeight="1" x14ac:dyDescent="0.35">
      <c r="B27" s="64" t="str">
        <v>Implementering</v>
      </c>
      <c r="C27" s="142">
        <f>SUMIF(Fremdriftsplan!$H$1:$H$1542,B27,Fremdriftsplan!$F$1:$F$1542)</f>
        <v>20.5</v>
      </c>
      <c r="D27" s="50"/>
      <c r="F27" s="124">
        <f t="shared" si="0"/>
        <v>19</v>
      </c>
      <c r="G27" s="50"/>
      <c r="H27" s="50"/>
      <c r="I27" s="61"/>
      <c r="J27" s="61"/>
      <c r="K27" s="133"/>
      <c r="L27" s="51"/>
      <c r="M27" s="51"/>
      <c r="N27" s="46" t="str">
        <f t="shared" si="1"/>
        <v/>
      </c>
    </row>
    <row r="28" spans="2:21" ht="30" customHeight="1" x14ac:dyDescent="0.35">
      <c r="B28" s="64" t="str">
        <v>Migrering</v>
      </c>
      <c r="C28" s="142">
        <f>SUMIF(Fremdriftsplan!$H$1:$H$1542,B28,Fremdriftsplan!$F$1:$F$1542)</f>
        <v>0</v>
      </c>
      <c r="D28" s="50"/>
      <c r="F28" s="124">
        <f t="shared" si="0"/>
        <v>20</v>
      </c>
      <c r="G28" s="50"/>
      <c r="H28" s="50"/>
      <c r="I28" s="61"/>
      <c r="J28" s="61"/>
      <c r="K28" s="133"/>
      <c r="L28" s="51"/>
      <c r="M28" s="51"/>
      <c r="N28" s="46" t="str">
        <f t="shared" si="1"/>
        <v/>
      </c>
    </row>
    <row r="29" spans="2:21" ht="30" customHeight="1" x14ac:dyDescent="0.35">
      <c r="B29" s="64" t="str">
        <v>Installering</v>
      </c>
      <c r="C29" s="142">
        <f>SUMIF(Fremdriftsplan!$H$1:$H$1542,Prosjektoversikt!B29,Fremdriftsplan!$F$1:$F$1542)</f>
        <v>227</v>
      </c>
      <c r="D29" s="50"/>
      <c r="F29" s="124">
        <f t="shared" si="0"/>
        <v>21</v>
      </c>
      <c r="G29" s="50"/>
      <c r="H29" s="50"/>
      <c r="I29" s="61"/>
      <c r="J29" s="61"/>
      <c r="K29" s="133"/>
      <c r="L29" s="51"/>
      <c r="M29" s="51"/>
      <c r="N29" s="46" t="str">
        <f t="shared" si="1"/>
        <v/>
      </c>
    </row>
    <row r="30" spans="2:21" ht="30" customHeight="1" x14ac:dyDescent="0.35">
      <c r="B30" s="64" t="str">
        <v>Testing</v>
      </c>
      <c r="C30" s="142">
        <f>SUMIF(Fremdriftsplan!$H$1:$H$1542,B30,Fremdriftsplan!$F$1:$F$1542)</f>
        <v>30.5</v>
      </c>
      <c r="D30" s="50"/>
      <c r="F30" s="124">
        <f t="shared" si="0"/>
        <v>22</v>
      </c>
      <c r="G30" s="50"/>
      <c r="H30" s="50"/>
      <c r="I30" s="61"/>
      <c r="J30" s="61"/>
      <c r="K30" s="133"/>
      <c r="L30" s="51"/>
      <c r="M30" s="51"/>
      <c r="N30" s="46" t="str">
        <f t="shared" si="1"/>
        <v/>
      </c>
    </row>
    <row r="31" spans="2:21" ht="30" customHeight="1" x14ac:dyDescent="0.35">
      <c r="B31" s="64" t="str">
        <v>Rådgivning</v>
      </c>
      <c r="C31" s="142">
        <f>SUMIF(Fremdriftsplan!$H$1:$H$1542,B31,Fremdriftsplan!$F$1:$F$1542)</f>
        <v>0</v>
      </c>
      <c r="D31" s="50"/>
      <c r="F31" s="124">
        <f t="shared" si="0"/>
        <v>23</v>
      </c>
      <c r="G31" s="50"/>
      <c r="H31" s="50"/>
      <c r="I31" s="61"/>
      <c r="J31" s="61"/>
      <c r="K31" s="133"/>
      <c r="L31" s="51"/>
      <c r="M31" s="51"/>
      <c r="N31" s="46" t="str">
        <f t="shared" si="1"/>
        <v/>
      </c>
    </row>
    <row r="32" spans="2:21" ht="30" customHeight="1" x14ac:dyDescent="0.35">
      <c r="B32" s="64" t="str">
        <v>Opplæring</v>
      </c>
      <c r="C32" s="142">
        <f>SUMIF(Fremdriftsplan!$H$1:$H$1542,B32,Fremdriftsplan!$F$1:$F$1542)</f>
        <v>42</v>
      </c>
      <c r="D32" s="50"/>
      <c r="F32" s="124">
        <f t="shared" si="0"/>
        <v>24</v>
      </c>
      <c r="G32" s="50"/>
      <c r="H32" s="50"/>
      <c r="I32" s="61"/>
      <c r="J32" s="61"/>
      <c r="K32" s="133"/>
      <c r="L32" s="51"/>
      <c r="M32" s="51"/>
      <c r="N32" s="46"/>
      <c r="R32" s="47"/>
    </row>
    <row r="33" spans="2:4" ht="30" customHeight="1" x14ac:dyDescent="0.35">
      <c r="B33" s="65" t="str">
        <v>Generelle møter</v>
      </c>
      <c r="C33" s="142">
        <f>SUMIF(Fremdriftsplan!$H$1:$H$1542,B33,Fremdriftsplan!$F$1:$F$1542)</f>
        <v>41.5</v>
      </c>
      <c r="D33" s="146" t="s">
        <v>52</v>
      </c>
    </row>
    <row r="34" spans="2:4" ht="30" customHeight="1" x14ac:dyDescent="0.35">
      <c r="B34" s="62" t="s">
        <v>46</v>
      </c>
      <c r="C34" s="63">
        <f>SUM(C24:C27,C29:C33)</f>
        <v>378</v>
      </c>
      <c r="D34" s="62"/>
    </row>
    <row r="35" spans="2:4" ht="30" customHeight="1" x14ac:dyDescent="0.35"/>
    <row r="36" spans="2:4" ht="30" customHeight="1" x14ac:dyDescent="0.35"/>
    <row r="37" spans="2:4" ht="30" customHeight="1" x14ac:dyDescent="0.35"/>
    <row r="38" spans="2:4" ht="30" customHeight="1" x14ac:dyDescent="0.35">
      <c r="C38" s="49"/>
    </row>
    <row r="39" spans="2:4" ht="30" customHeight="1" x14ac:dyDescent="0.35">
      <c r="C39" s="49"/>
    </row>
    <row r="40" spans="2:4" ht="30" customHeight="1" x14ac:dyDescent="0.35">
      <c r="C40" s="49"/>
    </row>
    <row r="41" spans="2:4" ht="20.149999999999999" customHeight="1" x14ac:dyDescent="0.35">
      <c r="C41" s="49"/>
    </row>
    <row r="42" spans="2:4" ht="20.149999999999999" customHeight="1" x14ac:dyDescent="0.35">
      <c r="C42" s="49"/>
    </row>
    <row r="43" spans="2:4" ht="20.149999999999999" customHeight="1" x14ac:dyDescent="0.35">
      <c r="C43" s="49"/>
    </row>
    <row r="44" spans="2:4" ht="20.149999999999999" customHeight="1" x14ac:dyDescent="0.35">
      <c r="C44" s="49"/>
    </row>
    <row r="45" spans="2:4" ht="20.149999999999999" customHeight="1" x14ac:dyDescent="0.35">
      <c r="C45" s="49"/>
    </row>
    <row r="46" spans="2:4" ht="20.149999999999999" customHeight="1" x14ac:dyDescent="0.35">
      <c r="C46" s="49"/>
    </row>
    <row r="47" spans="2:4" ht="20.149999999999999" customHeight="1" x14ac:dyDescent="0.35">
      <c r="C47" s="49"/>
    </row>
    <row r="48" spans="2:4" ht="20.149999999999999" customHeight="1" x14ac:dyDescent="0.35">
      <c r="C48" s="49"/>
    </row>
    <row r="49" spans="3:3" ht="20.149999999999999" customHeight="1" x14ac:dyDescent="0.35">
      <c r="C49" s="49"/>
    </row>
    <row r="50" spans="3:3" ht="20.149999999999999" customHeight="1" x14ac:dyDescent="0.35">
      <c r="C50" s="49"/>
    </row>
  </sheetData>
  <sheetProtection formatCells="0" formatColumns="0" formatRows="0" insertColumns="0" insertRows="0" selectLockedCells="1" sort="0" autoFilter="0" pivotTables="0"/>
  <mergeCells count="9">
    <mergeCell ref="O16:O20"/>
    <mergeCell ref="B10:D10"/>
    <mergeCell ref="C8:D8"/>
    <mergeCell ref="Q6:U6"/>
    <mergeCell ref="Q14:U14"/>
    <mergeCell ref="C6:D6"/>
    <mergeCell ref="C7:D7"/>
    <mergeCell ref="F6:N6"/>
    <mergeCell ref="O8:O12"/>
  </mergeCells>
  <conditionalFormatting sqref="N8:N32">
    <cfRule type="cellIs" dxfId="75" priority="1" operator="equal">
      <formula>"Høy"</formula>
    </cfRule>
    <cfRule type="cellIs" dxfId="74" priority="2" operator="equal">
      <formula>"Medium"</formula>
    </cfRule>
    <cfRule type="cellIs" dxfId="73" priority="3" operator="equal">
      <formula>"Lav"</formula>
    </cfRule>
  </conditionalFormatting>
  <conditionalFormatting sqref="Q8:U12">
    <cfRule type="cellIs" dxfId="72" priority="7" operator="equal">
      <formula>"Lav"</formula>
    </cfRule>
    <cfRule type="cellIs" dxfId="71" priority="8" operator="equal">
      <formula>"Høy"</formula>
    </cfRule>
    <cfRule type="cellIs" dxfId="70" priority="9" operator="equal">
      <formula>"Medium"</formula>
    </cfRule>
  </conditionalFormatting>
  <conditionalFormatting sqref="Q16:U20">
    <cfRule type="cellIs" dxfId="69" priority="4" operator="equal">
      <formula>"Lav"</formula>
    </cfRule>
    <cfRule type="cellIs" dxfId="68" priority="5" operator="equal">
      <formula>"Høy"</formula>
    </cfRule>
    <cfRule type="cellIs" dxfId="67" priority="6" operator="equal">
      <formula>"Medium"</formula>
    </cfRule>
  </conditionalFormatting>
  <dataValidations disablePrompts="1" count="2">
    <dataValidation type="list" allowBlank="1" showInputMessage="1" showErrorMessage="1" sqref="L8:L31" xr:uid="{2F0C45A7-0926-4360-B3B2-F066551874B4}">
      <formula1>$P$8:$P$12</formula1>
    </dataValidation>
    <dataValidation type="list" allowBlank="1" showInputMessage="1" showErrorMessage="1" sqref="M8:M31" xr:uid="{53E47E2D-8BB4-42C7-9B16-CEAE56FD1B41}">
      <formula1>$Q$7:$U$7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5B85D0B-B015-46F2-8A3D-AAB8A6DA42EE}">
          <x14:formula1>
            <xm:f>'Datavalidering (skjules)'!$E$14:$E$31</xm:f>
          </x14:formula1>
          <xm:sqref>K8:K31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C6A5C-BCD6-4BF9-89B5-3CAF7EF51222}">
  <dimension ref="A1:Q139"/>
  <sheetViews>
    <sheetView showGridLines="0" tabSelected="1" zoomScale="70" zoomScaleNormal="70" workbookViewId="0">
      <pane ySplit="2" topLeftCell="A49" activePane="bottomLeft" state="frozen"/>
      <selection pane="bottomLeft" activeCell="F58" sqref="F58"/>
    </sheetView>
  </sheetViews>
  <sheetFormatPr baseColWidth="10" defaultColWidth="11" defaultRowHeight="20.149999999999999" customHeight="1" outlineLevelRow="1" outlineLevelCol="1" x14ac:dyDescent="0.35"/>
  <cols>
    <col min="1" max="1" width="17.5" customWidth="1"/>
    <col min="2" max="2" width="79.83203125" bestFit="1" customWidth="1"/>
    <col min="3" max="4" width="6.58203125" style="107" customWidth="1" outlineLevel="1"/>
    <col min="5" max="5" width="9" style="2" customWidth="1" outlineLevel="1"/>
    <col min="6" max="6" width="9.58203125" style="90" customWidth="1"/>
    <col min="7" max="7" width="11.83203125" style="2" customWidth="1"/>
    <col min="8" max="8" width="30.08203125" style="2" customWidth="1"/>
    <col min="9" max="9" width="24.75" style="6" customWidth="1"/>
    <col min="10" max="10" width="22.5" style="6" customWidth="1"/>
    <col min="11" max="11" width="24.33203125" style="6" customWidth="1"/>
    <col min="12" max="12" width="16.25" style="7" bestFit="1" customWidth="1"/>
    <col min="13" max="13" width="12.25" style="7" bestFit="1" customWidth="1"/>
    <col min="14" max="15" width="11" style="2" customWidth="1"/>
    <col min="16" max="16" width="9.58203125" style="6" customWidth="1"/>
    <col min="17" max="17" width="111.33203125" style="13" customWidth="1"/>
  </cols>
  <sheetData>
    <row r="1" spans="1:17" s="18" customFormat="1" ht="84" customHeight="1" x14ac:dyDescent="0.35">
      <c r="A1" s="115" t="s">
        <v>53</v>
      </c>
      <c r="B1" s="110"/>
      <c r="C1" s="256"/>
      <c r="D1" s="256"/>
      <c r="E1" s="256"/>
      <c r="F1" s="256"/>
      <c r="G1" s="256"/>
      <c r="H1" s="256"/>
      <c r="I1" s="97"/>
      <c r="J1" s="97"/>
      <c r="K1" s="97"/>
      <c r="L1" s="98"/>
      <c r="M1" s="98"/>
      <c r="N1" s="111"/>
      <c r="O1" s="111"/>
      <c r="P1" s="97"/>
      <c r="Q1" s="99"/>
    </row>
    <row r="2" spans="1:17" ht="32.15" customHeight="1" thickBot="1" x14ac:dyDescent="0.4">
      <c r="A2" s="112"/>
      <c r="B2" s="113" t="s">
        <v>54</v>
      </c>
      <c r="C2" s="153" t="s">
        <v>56</v>
      </c>
      <c r="D2" s="153" t="s">
        <v>57</v>
      </c>
      <c r="E2" s="153" t="s">
        <v>58</v>
      </c>
      <c r="F2" s="154" t="s">
        <v>59</v>
      </c>
      <c r="G2" s="152" t="s">
        <v>15</v>
      </c>
      <c r="H2" s="152" t="s">
        <v>13</v>
      </c>
      <c r="I2" s="113" t="s">
        <v>60</v>
      </c>
      <c r="J2" s="113" t="s">
        <v>61</v>
      </c>
      <c r="K2" s="113" t="s">
        <v>62</v>
      </c>
      <c r="L2" s="114" t="s">
        <v>63</v>
      </c>
      <c r="M2" s="114" t="s">
        <v>64</v>
      </c>
      <c r="N2" s="114" t="s">
        <v>65</v>
      </c>
      <c r="O2" s="114" t="s">
        <v>66</v>
      </c>
      <c r="P2" s="114" t="s">
        <v>67</v>
      </c>
      <c r="Q2" s="113" t="s">
        <v>68</v>
      </c>
    </row>
    <row r="3" spans="1:17" ht="22" customHeight="1" x14ac:dyDescent="0.35">
      <c r="A3" s="195" t="s">
        <v>69</v>
      </c>
      <c r="B3" s="196" t="str">
        <f>_xlfn.XLOOKUP(A3,Milepæler!$B$5:$B$13,Milepæler!$C$5:$C$13,)</f>
        <v>Kontrakten er signert</v>
      </c>
      <c r="C3" s="198"/>
      <c r="D3" s="198"/>
      <c r="E3" s="197"/>
      <c r="F3" s="199"/>
      <c r="G3" s="197"/>
      <c r="H3" s="197"/>
      <c r="I3" s="200"/>
      <c r="J3" s="200"/>
      <c r="K3" s="200"/>
      <c r="L3" s="201" t="s">
        <v>349</v>
      </c>
      <c r="M3" s="201"/>
      <c r="N3" s="197"/>
      <c r="O3" s="197"/>
      <c r="P3" s="202"/>
      <c r="Q3" s="203"/>
    </row>
    <row r="4" spans="1:17" ht="22" customHeight="1" x14ac:dyDescent="0.35">
      <c r="A4" s="223" t="s">
        <v>74</v>
      </c>
      <c r="B4" s="224" t="s">
        <v>75</v>
      </c>
      <c r="C4" s="176"/>
      <c r="D4" s="176"/>
      <c r="E4" s="175"/>
      <c r="F4" s="175"/>
      <c r="G4" s="175"/>
      <c r="H4" s="228"/>
      <c r="I4" s="227"/>
      <c r="J4" s="227"/>
      <c r="K4" s="227"/>
      <c r="L4" s="226"/>
      <c r="M4" s="225"/>
      <c r="N4" s="177"/>
      <c r="O4" s="177"/>
      <c r="P4" s="221"/>
      <c r="Q4" s="222"/>
    </row>
    <row r="5" spans="1:17" ht="22" customHeight="1" x14ac:dyDescent="0.35">
      <c r="A5" s="184" t="s">
        <v>76</v>
      </c>
      <c r="B5" s="161" t="str">
        <f>_xlfn.XLOOKUP(A5,Milepæler!$B$5:$B$30,Milepæler!$C$5:$C$30,)</f>
        <v>Prosjektet er igangsatt</v>
      </c>
      <c r="C5" s="162"/>
      <c r="D5" s="162"/>
      <c r="E5" s="161"/>
      <c r="F5" s="161"/>
      <c r="G5" s="161"/>
      <c r="H5" s="161"/>
      <c r="I5" s="161"/>
      <c r="J5" s="161"/>
      <c r="K5" s="161"/>
      <c r="L5" s="161"/>
      <c r="M5" s="161"/>
      <c r="N5" s="163"/>
      <c r="O5" s="163"/>
      <c r="P5" s="161"/>
      <c r="Q5" s="185"/>
    </row>
    <row r="6" spans="1:17" ht="22" customHeight="1" x14ac:dyDescent="0.35">
      <c r="A6" s="194"/>
      <c r="B6" s="159" t="s">
        <v>77</v>
      </c>
      <c r="C6" s="157">
        <v>10</v>
      </c>
      <c r="D6" s="157">
        <v>10</v>
      </c>
      <c r="E6" s="156">
        <v>1</v>
      </c>
      <c r="F6" s="158">
        <f>IFERROR(AVERAGE(C6:D6)*_xlfn.XLOOKUP(E6,'Datavalidering (skjules)'!$I$7:$I$12,'Datavalidering (skjules)'!$J$7:$J$12),"")</f>
        <v>10</v>
      </c>
      <c r="G6" s="156" t="s">
        <v>32</v>
      </c>
      <c r="H6" s="156" t="s">
        <v>40</v>
      </c>
      <c r="I6" s="159" t="s">
        <v>79</v>
      </c>
      <c r="J6" s="159"/>
      <c r="K6" s="159" t="s">
        <v>80</v>
      </c>
      <c r="L6" s="219" t="s">
        <v>349</v>
      </c>
      <c r="M6" s="219"/>
      <c r="N6" s="156"/>
      <c r="O6" s="156"/>
      <c r="P6" s="160">
        <v>0</v>
      </c>
      <c r="Q6" s="182" t="s">
        <v>81</v>
      </c>
    </row>
    <row r="7" spans="1:17" ht="22" customHeight="1" x14ac:dyDescent="0.35">
      <c r="A7" s="194"/>
      <c r="B7" s="159" t="s">
        <v>82</v>
      </c>
      <c r="C7" s="157"/>
      <c r="D7" s="157"/>
      <c r="E7" s="156">
        <v>1</v>
      </c>
      <c r="F7" s="158" t="str">
        <f>IFERROR(AVERAGE(C7:D7)*_xlfn.XLOOKUP(E7,'Datavalidering (skjules)'!$I$7:$I$12,'Datavalidering (skjules)'!$J$7:$J$12),"")</f>
        <v/>
      </c>
      <c r="G7" s="156" t="s">
        <v>32</v>
      </c>
      <c r="H7" s="156" t="s">
        <v>40</v>
      </c>
      <c r="I7" s="159" t="s">
        <v>83</v>
      </c>
      <c r="J7" s="159"/>
      <c r="K7" s="159" t="s">
        <v>80</v>
      </c>
      <c r="L7" s="219" t="s">
        <v>362</v>
      </c>
      <c r="M7" s="219" t="s">
        <v>363</v>
      </c>
      <c r="N7" s="156"/>
      <c r="O7" s="156"/>
      <c r="P7" s="160">
        <v>0</v>
      </c>
      <c r="Q7" s="182" t="s">
        <v>84</v>
      </c>
    </row>
    <row r="8" spans="1:17" ht="22" customHeight="1" x14ac:dyDescent="0.35">
      <c r="A8" s="194"/>
      <c r="B8" s="159" t="s">
        <v>85</v>
      </c>
      <c r="C8" s="157">
        <v>1</v>
      </c>
      <c r="D8" s="157">
        <v>6</v>
      </c>
      <c r="E8" s="156">
        <v>1</v>
      </c>
      <c r="F8" s="158">
        <f>IFERROR(AVERAGE(C8:D8)*_xlfn.XLOOKUP(E8,'Datavalidering (skjules)'!$I$7:$I$12,'Datavalidering (skjules)'!$J$7:$J$12),"")</f>
        <v>3.5</v>
      </c>
      <c r="G8" s="156" t="s">
        <v>32</v>
      </c>
      <c r="H8" s="156" t="s">
        <v>86</v>
      </c>
      <c r="I8" s="159" t="s">
        <v>87</v>
      </c>
      <c r="J8" s="159"/>
      <c r="K8" s="159"/>
      <c r="L8" s="219" t="s">
        <v>362</v>
      </c>
      <c r="M8" s="219" t="s">
        <v>362</v>
      </c>
      <c r="N8" s="156" t="s">
        <v>73</v>
      </c>
      <c r="O8" s="156"/>
      <c r="P8" s="160">
        <v>0</v>
      </c>
      <c r="Q8" s="182" t="s">
        <v>88</v>
      </c>
    </row>
    <row r="9" spans="1:17" ht="22" customHeight="1" x14ac:dyDescent="0.35">
      <c r="A9" s="194"/>
      <c r="B9" s="159" t="s">
        <v>90</v>
      </c>
      <c r="C9" s="157">
        <v>2</v>
      </c>
      <c r="D9" s="157">
        <v>6</v>
      </c>
      <c r="E9" s="156">
        <v>1</v>
      </c>
      <c r="F9" s="158">
        <f>IFERROR(AVERAGE(C9:D9)*_xlfn.XLOOKUP(E9,'Datavalidering (skjules)'!$I$7:$I$12,'Datavalidering (skjules)'!$J$7:$J$12),"")</f>
        <v>4</v>
      </c>
      <c r="G9" s="156" t="s">
        <v>32</v>
      </c>
      <c r="H9" s="156" t="s">
        <v>86</v>
      </c>
      <c r="I9" s="159" t="s">
        <v>91</v>
      </c>
      <c r="J9" s="159"/>
      <c r="K9" s="159" t="s">
        <v>80</v>
      </c>
      <c r="L9" s="219" t="s">
        <v>363</v>
      </c>
      <c r="M9" s="219" t="s">
        <v>363</v>
      </c>
      <c r="N9" s="156" t="s">
        <v>92</v>
      </c>
      <c r="O9" s="156"/>
      <c r="P9" s="160">
        <v>0</v>
      </c>
      <c r="Q9" s="182" t="s">
        <v>93</v>
      </c>
    </row>
    <row r="10" spans="1:17" ht="22" customHeight="1" x14ac:dyDescent="0.35">
      <c r="A10" s="194"/>
      <c r="B10" s="159" t="s">
        <v>94</v>
      </c>
      <c r="C10" s="157">
        <v>1</v>
      </c>
      <c r="D10" s="157">
        <v>2</v>
      </c>
      <c r="E10" s="156">
        <v>1</v>
      </c>
      <c r="F10" s="158">
        <f>IFERROR(AVERAGE(C10:D10)*_xlfn.XLOOKUP(E10,'Datavalidering (skjules)'!$I$7:$I$12,'Datavalidering (skjules)'!$J$7:$J$12),"")</f>
        <v>1.5</v>
      </c>
      <c r="G10" s="156" t="s">
        <v>30</v>
      </c>
      <c r="H10" s="156" t="s">
        <v>86</v>
      </c>
      <c r="I10" s="159" t="s">
        <v>87</v>
      </c>
      <c r="J10" s="159"/>
      <c r="K10" s="159" t="s">
        <v>95</v>
      </c>
      <c r="L10" s="219" t="s">
        <v>363</v>
      </c>
      <c r="M10" s="219" t="s">
        <v>363</v>
      </c>
      <c r="N10" s="156" t="s">
        <v>73</v>
      </c>
      <c r="O10" s="156"/>
      <c r="P10" s="160">
        <v>0</v>
      </c>
      <c r="Q10" s="182" t="s">
        <v>96</v>
      </c>
    </row>
    <row r="11" spans="1:17" ht="22" customHeight="1" x14ac:dyDescent="0.35">
      <c r="A11" s="194"/>
      <c r="B11" s="159" t="s">
        <v>98</v>
      </c>
      <c r="C11" s="157">
        <v>1</v>
      </c>
      <c r="D11" s="157">
        <v>1</v>
      </c>
      <c r="E11" s="156">
        <v>1</v>
      </c>
      <c r="F11" s="158">
        <f>IFERROR(AVERAGE(C11:D11)*_xlfn.XLOOKUP(E11,'Datavalidering (skjules)'!$I$7:$I$12,'Datavalidering (skjules)'!$J$7:$J$12),"")</f>
        <v>1</v>
      </c>
      <c r="G11" s="156" t="s">
        <v>32</v>
      </c>
      <c r="H11" s="156" t="s">
        <v>40</v>
      </c>
      <c r="I11" s="159" t="s">
        <v>71</v>
      </c>
      <c r="J11" s="159"/>
      <c r="K11" s="159" t="s">
        <v>89</v>
      </c>
      <c r="L11" s="219" t="s">
        <v>363</v>
      </c>
      <c r="M11" s="219" t="s">
        <v>363</v>
      </c>
      <c r="N11" s="156"/>
      <c r="O11" s="156"/>
      <c r="P11" s="160">
        <v>0</v>
      </c>
      <c r="Q11" s="182" t="s">
        <v>99</v>
      </c>
    </row>
    <row r="12" spans="1:17" ht="22" customHeight="1" thickBot="1" x14ac:dyDescent="0.4">
      <c r="A12" s="204" t="s">
        <v>100</v>
      </c>
      <c r="B12" s="190" t="str">
        <f>_xlfn.XLOOKUP(A12,Milepæler!$B$5:$B$30,Milepæler!$C$5:$C$30,)</f>
        <v>Omforent fremdriftsplan er godkjent</v>
      </c>
      <c r="C12" s="205"/>
      <c r="D12" s="205"/>
      <c r="E12" s="192"/>
      <c r="F12" s="192"/>
      <c r="G12" s="192"/>
      <c r="H12" s="192"/>
      <c r="I12" s="206"/>
      <c r="J12" s="206"/>
      <c r="K12" s="206"/>
      <c r="L12" s="206" t="s">
        <v>363</v>
      </c>
      <c r="M12" s="206" t="s">
        <v>363</v>
      </c>
      <c r="N12" s="206"/>
      <c r="O12" s="206"/>
      <c r="P12" s="207"/>
      <c r="Q12" s="208"/>
    </row>
    <row r="13" spans="1:17" ht="22" customHeight="1" thickBot="1" x14ac:dyDescent="0.4">
      <c r="F13" s="2"/>
      <c r="L13" s="11"/>
      <c r="M13" s="11"/>
    </row>
    <row r="14" spans="1:17" ht="22" customHeight="1" x14ac:dyDescent="0.35">
      <c r="A14" s="231" t="s">
        <v>101</v>
      </c>
      <c r="B14" s="230" t="s">
        <v>102</v>
      </c>
      <c r="C14" s="179"/>
      <c r="D14" s="179"/>
      <c r="E14" s="178"/>
      <c r="F14" s="178"/>
      <c r="G14" s="178"/>
      <c r="H14" s="220"/>
      <c r="I14" s="229"/>
      <c r="J14" s="229"/>
      <c r="K14" s="229"/>
      <c r="L14" s="229"/>
      <c r="M14" s="230"/>
      <c r="N14" s="180"/>
      <c r="O14" s="180"/>
      <c r="P14" s="220"/>
      <c r="Q14" s="232"/>
    </row>
    <row r="15" spans="1:17" ht="22" customHeight="1" x14ac:dyDescent="0.35">
      <c r="A15" s="181"/>
      <c r="B15" s="159" t="s">
        <v>103</v>
      </c>
      <c r="C15" s="157">
        <v>2</v>
      </c>
      <c r="D15" s="157">
        <v>3</v>
      </c>
      <c r="E15" s="156">
        <v>1</v>
      </c>
      <c r="F15" s="158">
        <f>IFERROR(AVERAGE(C15:D15)*_xlfn.XLOOKUP(E15,'Datavalidering (skjules)'!$I$7:$I$12,'Datavalidering (skjules)'!$J$7:$J$12),"")</f>
        <v>2.5</v>
      </c>
      <c r="G15" s="156" t="s">
        <v>32</v>
      </c>
      <c r="H15" s="156" t="s">
        <v>40</v>
      </c>
      <c r="I15" s="159" t="s">
        <v>87</v>
      </c>
      <c r="J15" s="159"/>
      <c r="K15" s="159" t="s">
        <v>80</v>
      </c>
      <c r="L15" s="219" t="s">
        <v>364</v>
      </c>
      <c r="M15" s="219" t="s">
        <v>364</v>
      </c>
      <c r="N15" s="156" t="s">
        <v>104</v>
      </c>
      <c r="O15" s="156"/>
      <c r="P15" s="160">
        <v>0</v>
      </c>
      <c r="Q15" s="182" t="s">
        <v>105</v>
      </c>
    </row>
    <row r="16" spans="1:17" ht="22" customHeight="1" x14ac:dyDescent="0.35">
      <c r="A16" s="183"/>
      <c r="B16" s="159" t="s">
        <v>348</v>
      </c>
      <c r="C16" s="157"/>
      <c r="D16" s="157"/>
      <c r="E16" s="156">
        <v>1</v>
      </c>
      <c r="F16" s="158" t="str">
        <f>IFERROR(AVERAGE(C16:D16)*_xlfn.XLOOKUP(E16,'Datavalidering (skjules)'!$I$7:$I$12,'Datavalidering (skjules)'!$J$7:$J$12),"")</f>
        <v/>
      </c>
      <c r="G16" s="156" t="s">
        <v>30</v>
      </c>
      <c r="H16" s="156" t="s">
        <v>97</v>
      </c>
      <c r="I16" s="159" t="s">
        <v>71</v>
      </c>
      <c r="J16" s="159"/>
      <c r="K16" s="159" t="s">
        <v>95</v>
      </c>
      <c r="L16" s="219" t="s">
        <v>364</v>
      </c>
      <c r="M16" s="219" t="s">
        <v>364</v>
      </c>
      <c r="N16" s="156"/>
      <c r="O16" s="156"/>
      <c r="P16" s="160">
        <v>0</v>
      </c>
      <c r="Q16" s="182" t="s">
        <v>106</v>
      </c>
    </row>
    <row r="17" spans="1:17" ht="22" customHeight="1" x14ac:dyDescent="0.35">
      <c r="A17" s="184" t="s">
        <v>107</v>
      </c>
      <c r="B17" s="161" t="str">
        <f>_xlfn.XLOOKUP(A17,Milepæler!$B$5:$B$30,Milepæler!$C$5:$C$30,)</f>
        <v>Avtalt miljø er klart for funksjonelt oppsett og verifisering</v>
      </c>
      <c r="C17" s="162"/>
      <c r="D17" s="162"/>
      <c r="E17" s="161"/>
      <c r="F17" s="161"/>
      <c r="G17" s="161"/>
      <c r="H17" s="161"/>
      <c r="I17" s="161"/>
      <c r="J17" s="161"/>
      <c r="K17" s="161"/>
      <c r="L17" s="161"/>
      <c r="M17" s="161"/>
      <c r="N17" s="163"/>
      <c r="O17" s="163"/>
      <c r="P17" s="161"/>
      <c r="Q17" s="185"/>
    </row>
    <row r="18" spans="1:17" ht="22" customHeight="1" x14ac:dyDescent="0.35">
      <c r="A18" s="183"/>
      <c r="B18" s="234" t="s">
        <v>108</v>
      </c>
      <c r="C18" s="211"/>
      <c r="D18" s="211"/>
      <c r="E18" s="210"/>
      <c r="F18" s="209"/>
      <c r="G18" s="210"/>
      <c r="H18" s="210"/>
      <c r="I18" s="212"/>
      <c r="J18" s="212"/>
      <c r="K18" s="212"/>
      <c r="L18" s="213"/>
      <c r="M18" s="213"/>
      <c r="N18" s="210"/>
      <c r="O18" s="210"/>
      <c r="P18" s="214"/>
      <c r="Q18" s="215"/>
    </row>
    <row r="19" spans="1:17" ht="22" customHeight="1" x14ac:dyDescent="0.35">
      <c r="A19" s="183"/>
      <c r="B19" s="155" t="s">
        <v>360</v>
      </c>
      <c r="C19" s="157">
        <v>2</v>
      </c>
      <c r="D19" s="157">
        <v>5</v>
      </c>
      <c r="E19" s="156">
        <v>1</v>
      </c>
      <c r="F19" s="158">
        <f>IFERROR(AVERAGE(C19:D19)*_xlfn.XLOOKUP(E19,'Datavalidering (skjules)'!$I$7:$I$12,'Datavalidering (skjules)'!$J$7:$J$12),"")</f>
        <v>3.5</v>
      </c>
      <c r="G19" s="156" t="s">
        <v>32</v>
      </c>
      <c r="H19" s="156" t="s">
        <v>111</v>
      </c>
      <c r="I19" s="159" t="s">
        <v>71</v>
      </c>
      <c r="J19" s="159"/>
      <c r="K19" s="159" t="s">
        <v>80</v>
      </c>
      <c r="L19" s="219" t="s">
        <v>364</v>
      </c>
      <c r="M19" s="219" t="s">
        <v>364</v>
      </c>
      <c r="N19" s="156" t="s">
        <v>92</v>
      </c>
      <c r="O19" s="156"/>
      <c r="P19" s="160">
        <v>0</v>
      </c>
      <c r="Q19" s="182" t="s">
        <v>112</v>
      </c>
    </row>
    <row r="20" spans="1:17" ht="22" customHeight="1" x14ac:dyDescent="0.35">
      <c r="A20" s="183"/>
      <c r="B20" s="234" t="s">
        <v>113</v>
      </c>
      <c r="C20" s="211"/>
      <c r="D20" s="211"/>
      <c r="E20" s="210"/>
      <c r="F20" s="209"/>
      <c r="G20" s="210"/>
      <c r="H20" s="210"/>
      <c r="I20" s="212"/>
      <c r="J20" s="212"/>
      <c r="K20" s="212"/>
      <c r="L20" s="213"/>
      <c r="M20" s="213"/>
      <c r="N20" s="210"/>
      <c r="O20" s="210"/>
      <c r="P20" s="214"/>
      <c r="Q20" s="215"/>
    </row>
    <row r="21" spans="1:17" ht="22" customHeight="1" x14ac:dyDescent="0.35">
      <c r="A21" s="183"/>
      <c r="B21" s="164" t="s">
        <v>359</v>
      </c>
      <c r="C21" s="157" t="s">
        <v>114</v>
      </c>
      <c r="D21" s="157">
        <v>2</v>
      </c>
      <c r="E21" s="156">
        <v>1</v>
      </c>
      <c r="F21" s="158">
        <f>IFERROR(AVERAGE(C21:D21)*_xlfn.XLOOKUP(E21,'Datavalidering (skjules)'!$I$7:$I$12,'Datavalidering (skjules)'!$J$7:$J$12),"")</f>
        <v>2</v>
      </c>
      <c r="G21" s="156" t="s">
        <v>32</v>
      </c>
      <c r="H21" s="156" t="s">
        <v>109</v>
      </c>
      <c r="I21" s="159" t="s">
        <v>87</v>
      </c>
      <c r="J21" s="159"/>
      <c r="K21" s="159" t="s">
        <v>80</v>
      </c>
      <c r="L21" s="219" t="s">
        <v>364</v>
      </c>
      <c r="M21" s="219" t="s">
        <v>364</v>
      </c>
      <c r="N21" s="156"/>
      <c r="O21" s="156"/>
      <c r="P21" s="160">
        <v>0</v>
      </c>
      <c r="Q21" s="182" t="s">
        <v>115</v>
      </c>
    </row>
    <row r="22" spans="1:17" ht="22" customHeight="1" x14ac:dyDescent="0.35">
      <c r="A22" s="183"/>
      <c r="B22" s="165" t="s">
        <v>117</v>
      </c>
      <c r="C22" s="157" t="s">
        <v>114</v>
      </c>
      <c r="D22" s="157">
        <v>6</v>
      </c>
      <c r="E22" s="156">
        <v>1</v>
      </c>
      <c r="F22" s="158">
        <f>IFERROR(AVERAGE(C22:D22)*_xlfn.XLOOKUP(E22,'Datavalidering (skjules)'!$I$7:$I$12,'Datavalidering (skjules)'!$J$7:$J$12),"")</f>
        <v>6</v>
      </c>
      <c r="G22" s="156" t="s">
        <v>32</v>
      </c>
      <c r="H22" s="156" t="s">
        <v>109</v>
      </c>
      <c r="I22" s="159" t="s">
        <v>71</v>
      </c>
      <c r="J22" s="159"/>
      <c r="K22" s="159" t="s">
        <v>80</v>
      </c>
      <c r="L22" s="219" t="s">
        <v>365</v>
      </c>
      <c r="M22" s="219" t="s">
        <v>365</v>
      </c>
      <c r="N22" s="156" t="s">
        <v>110</v>
      </c>
      <c r="O22" s="156"/>
      <c r="P22" s="160">
        <v>0</v>
      </c>
      <c r="Q22" s="182" t="s">
        <v>116</v>
      </c>
    </row>
    <row r="23" spans="1:17" ht="22" customHeight="1" x14ac:dyDescent="0.35">
      <c r="A23" s="181"/>
      <c r="B23" s="165" t="s">
        <v>118</v>
      </c>
      <c r="C23" s="157" t="s">
        <v>114</v>
      </c>
      <c r="D23" s="157">
        <v>6</v>
      </c>
      <c r="E23" s="156">
        <v>1</v>
      </c>
      <c r="F23" s="158">
        <f>IFERROR(AVERAGE(C23:D23)*_xlfn.XLOOKUP(E23,'Datavalidering (skjules)'!$I$7:$I$12,'Datavalidering (skjules)'!$J$7:$J$12),"")</f>
        <v>6</v>
      </c>
      <c r="G23" s="156" t="s">
        <v>32</v>
      </c>
      <c r="H23" s="156" t="s">
        <v>109</v>
      </c>
      <c r="I23" s="159" t="s">
        <v>71</v>
      </c>
      <c r="J23" s="159"/>
      <c r="K23" s="159" t="s">
        <v>80</v>
      </c>
      <c r="L23" s="219" t="s">
        <v>365</v>
      </c>
      <c r="M23" s="219" t="s">
        <v>365</v>
      </c>
      <c r="N23" s="156" t="s">
        <v>110</v>
      </c>
      <c r="O23" s="156"/>
      <c r="P23" s="160">
        <v>0</v>
      </c>
      <c r="Q23" s="182" t="s">
        <v>116</v>
      </c>
    </row>
    <row r="24" spans="1:17" ht="22" customHeight="1" x14ac:dyDescent="0.35">
      <c r="A24" s="181"/>
      <c r="B24" s="165" t="s">
        <v>119</v>
      </c>
      <c r="C24" s="157" t="s">
        <v>114</v>
      </c>
      <c r="D24" s="157">
        <v>6</v>
      </c>
      <c r="E24" s="156">
        <v>1</v>
      </c>
      <c r="F24" s="158">
        <f>IFERROR(AVERAGE(C24:D24)*_xlfn.XLOOKUP(E24,'Datavalidering (skjules)'!$I$7:$I$12,'Datavalidering (skjules)'!$J$7:$J$12),"")</f>
        <v>6</v>
      </c>
      <c r="G24" s="156" t="s">
        <v>32</v>
      </c>
      <c r="H24" s="156" t="s">
        <v>109</v>
      </c>
      <c r="I24" s="159" t="s">
        <v>71</v>
      </c>
      <c r="J24" s="159"/>
      <c r="K24" s="159" t="s">
        <v>80</v>
      </c>
      <c r="L24" s="219" t="s">
        <v>366</v>
      </c>
      <c r="M24" s="219" t="s">
        <v>366</v>
      </c>
      <c r="N24" s="156" t="s">
        <v>110</v>
      </c>
      <c r="O24" s="156"/>
      <c r="P24" s="160">
        <v>0</v>
      </c>
      <c r="Q24" s="182" t="s">
        <v>116</v>
      </c>
    </row>
    <row r="25" spans="1:17" ht="22" customHeight="1" x14ac:dyDescent="0.35">
      <c r="A25" s="181"/>
      <c r="B25" s="165" t="s">
        <v>358</v>
      </c>
      <c r="C25" s="157" t="s">
        <v>114</v>
      </c>
      <c r="D25" s="157">
        <v>4</v>
      </c>
      <c r="E25" s="156">
        <v>1</v>
      </c>
      <c r="F25" s="158">
        <f>IFERROR(AVERAGE(C25:D25)*_xlfn.XLOOKUP(E25,'Datavalidering (skjules)'!$I$7:$I$12,'Datavalidering (skjules)'!$J$7:$J$12),"")</f>
        <v>4</v>
      </c>
      <c r="G25" s="156" t="s">
        <v>32</v>
      </c>
      <c r="H25" s="156" t="s">
        <v>109</v>
      </c>
      <c r="I25" s="159" t="s">
        <v>71</v>
      </c>
      <c r="J25" s="159"/>
      <c r="K25" s="159" t="s">
        <v>80</v>
      </c>
      <c r="L25" s="219" t="s">
        <v>366</v>
      </c>
      <c r="M25" s="219" t="s">
        <v>366</v>
      </c>
      <c r="N25" s="156" t="s">
        <v>92</v>
      </c>
      <c r="O25" s="156"/>
      <c r="P25" s="160">
        <v>0</v>
      </c>
      <c r="Q25" s="182" t="s">
        <v>116</v>
      </c>
    </row>
    <row r="26" spans="1:17" ht="22" customHeight="1" x14ac:dyDescent="0.35">
      <c r="A26" s="183"/>
      <c r="B26" s="234" t="s">
        <v>354</v>
      </c>
      <c r="C26" s="211"/>
      <c r="D26" s="211"/>
      <c r="E26" s="210"/>
      <c r="F26" s="209"/>
      <c r="G26" s="210"/>
      <c r="H26" s="210"/>
      <c r="I26" s="212"/>
      <c r="J26" s="212"/>
      <c r="K26" s="212"/>
      <c r="L26" s="213"/>
      <c r="M26" s="213"/>
      <c r="N26" s="210"/>
      <c r="O26" s="210"/>
      <c r="P26" s="214"/>
      <c r="Q26" s="215"/>
    </row>
    <row r="27" spans="1:17" ht="22" customHeight="1" x14ac:dyDescent="0.35">
      <c r="A27" s="183"/>
      <c r="B27" s="165" t="s">
        <v>117</v>
      </c>
      <c r="C27" s="157" t="s">
        <v>114</v>
      </c>
      <c r="D27" s="157">
        <v>6</v>
      </c>
      <c r="E27" s="156">
        <v>1</v>
      </c>
      <c r="F27" s="158">
        <f>IFERROR(AVERAGE(C27:D27)*_xlfn.XLOOKUP(E27,'Datavalidering (skjules)'!$I$7:$I$12,'Datavalidering (skjules)'!$J$7:$J$12),"")</f>
        <v>6</v>
      </c>
      <c r="G27" s="156" t="s">
        <v>32</v>
      </c>
      <c r="H27" s="156" t="s">
        <v>109</v>
      </c>
      <c r="I27" s="159" t="s">
        <v>71</v>
      </c>
      <c r="J27" s="159"/>
      <c r="K27" s="159" t="s">
        <v>334</v>
      </c>
      <c r="L27" s="219"/>
      <c r="M27" s="219"/>
      <c r="N27" s="156" t="s">
        <v>110</v>
      </c>
      <c r="O27" s="156"/>
      <c r="P27" s="160">
        <v>0</v>
      </c>
      <c r="Q27" s="182" t="s">
        <v>116</v>
      </c>
    </row>
    <row r="28" spans="1:17" ht="22" customHeight="1" x14ac:dyDescent="0.35">
      <c r="A28" s="181"/>
      <c r="B28" s="165" t="s">
        <v>118</v>
      </c>
      <c r="C28" s="157" t="s">
        <v>114</v>
      </c>
      <c r="D28" s="157">
        <v>6</v>
      </c>
      <c r="E28" s="156">
        <v>1</v>
      </c>
      <c r="F28" s="158">
        <f>IFERROR(AVERAGE(C28:D28)*_xlfn.XLOOKUP(E28,'Datavalidering (skjules)'!$I$7:$I$12,'Datavalidering (skjules)'!$J$7:$J$12),"")</f>
        <v>6</v>
      </c>
      <c r="G28" s="156" t="s">
        <v>32</v>
      </c>
      <c r="H28" s="156" t="s">
        <v>109</v>
      </c>
      <c r="I28" s="159" t="s">
        <v>71</v>
      </c>
      <c r="J28" s="159"/>
      <c r="K28" s="159" t="s">
        <v>334</v>
      </c>
      <c r="L28" s="219"/>
      <c r="M28" s="219"/>
      <c r="N28" s="156" t="s">
        <v>110</v>
      </c>
      <c r="O28" s="156"/>
      <c r="P28" s="160">
        <v>0</v>
      </c>
      <c r="Q28" s="182" t="s">
        <v>116</v>
      </c>
    </row>
    <row r="29" spans="1:17" ht="22" customHeight="1" x14ac:dyDescent="0.35">
      <c r="A29" s="181"/>
      <c r="B29" s="165" t="s">
        <v>119</v>
      </c>
      <c r="C29" s="157" t="s">
        <v>114</v>
      </c>
      <c r="D29" s="157">
        <v>6</v>
      </c>
      <c r="E29" s="156">
        <v>1</v>
      </c>
      <c r="F29" s="158">
        <f>IFERROR(AVERAGE(C29:D29)*_xlfn.XLOOKUP(E29,'Datavalidering (skjules)'!$I$7:$I$12,'Datavalidering (skjules)'!$J$7:$J$12),"")</f>
        <v>6</v>
      </c>
      <c r="G29" s="156" t="s">
        <v>32</v>
      </c>
      <c r="H29" s="156" t="s">
        <v>109</v>
      </c>
      <c r="I29" s="159" t="s">
        <v>71</v>
      </c>
      <c r="J29" s="159"/>
      <c r="K29" s="159" t="s">
        <v>334</v>
      </c>
      <c r="L29" s="219"/>
      <c r="M29" s="219"/>
      <c r="N29" s="156" t="s">
        <v>110</v>
      </c>
      <c r="O29" s="156"/>
      <c r="P29" s="160">
        <v>0</v>
      </c>
      <c r="Q29" s="182" t="s">
        <v>116</v>
      </c>
    </row>
    <row r="30" spans="1:17" ht="22" customHeight="1" x14ac:dyDescent="0.35">
      <c r="A30" s="181"/>
      <c r="B30" s="234" t="s">
        <v>355</v>
      </c>
      <c r="C30" s="216"/>
      <c r="D30" s="216"/>
      <c r="E30" s="209"/>
      <c r="F30" s="209"/>
      <c r="G30" s="209"/>
      <c r="H30" s="209"/>
      <c r="I30" s="209"/>
      <c r="J30" s="209"/>
      <c r="K30" s="209"/>
      <c r="L30" s="209"/>
      <c r="M30" s="209"/>
      <c r="N30" s="217"/>
      <c r="O30" s="217"/>
      <c r="P30" s="209"/>
      <c r="Q30" s="218"/>
    </row>
    <row r="31" spans="1:17" ht="22" customHeight="1" x14ac:dyDescent="0.35">
      <c r="A31" s="181"/>
      <c r="B31" s="165" t="s">
        <v>121</v>
      </c>
      <c r="C31" s="157">
        <v>8</v>
      </c>
      <c r="D31" s="157">
        <v>8</v>
      </c>
      <c r="E31" s="156">
        <v>1</v>
      </c>
      <c r="F31" s="158">
        <f>IFERROR(AVERAGE(C31:D31)*_xlfn.XLOOKUP(E31,'Datavalidering (skjules)'!$I$7:$I$12,'Datavalidering (skjules)'!$J$7:$J$12),"")</f>
        <v>8</v>
      </c>
      <c r="G31" s="156" t="s">
        <v>30</v>
      </c>
      <c r="H31" s="156" t="s">
        <v>122</v>
      </c>
      <c r="I31" s="159" t="s">
        <v>71</v>
      </c>
      <c r="J31" s="159"/>
      <c r="K31" s="159" t="s">
        <v>80</v>
      </c>
      <c r="L31" s="219" t="s">
        <v>367</v>
      </c>
      <c r="M31" s="219" t="s">
        <v>367</v>
      </c>
      <c r="N31" s="156" t="s">
        <v>73</v>
      </c>
      <c r="O31" s="156"/>
      <c r="P31" s="160">
        <v>0</v>
      </c>
      <c r="Q31" s="182" t="s">
        <v>123</v>
      </c>
    </row>
    <row r="32" spans="1:17" ht="22" customHeight="1" x14ac:dyDescent="0.35">
      <c r="A32" s="181"/>
      <c r="B32" s="164" t="s">
        <v>124</v>
      </c>
      <c r="C32" s="157">
        <v>1</v>
      </c>
      <c r="D32" s="157">
        <v>4</v>
      </c>
      <c r="E32" s="156">
        <v>1</v>
      </c>
      <c r="F32" s="158">
        <f>IFERROR(AVERAGE(C32:D32)*_xlfn.XLOOKUP(E32,'Datavalidering (skjules)'!$I$7:$I$12,'Datavalidering (skjules)'!$J$7:$J$12),"")</f>
        <v>2.5</v>
      </c>
      <c r="G32" s="156" t="s">
        <v>32</v>
      </c>
      <c r="H32" s="156" t="s">
        <v>86</v>
      </c>
      <c r="I32" s="159" t="s">
        <v>71</v>
      </c>
      <c r="J32" s="159"/>
      <c r="K32" s="159" t="s">
        <v>80</v>
      </c>
      <c r="L32" s="219" t="s">
        <v>367</v>
      </c>
      <c r="M32" s="219" t="s">
        <v>367</v>
      </c>
      <c r="N32" s="156" t="s">
        <v>73</v>
      </c>
      <c r="O32" s="156"/>
      <c r="P32" s="160">
        <v>0</v>
      </c>
      <c r="Q32" s="182" t="s">
        <v>125</v>
      </c>
    </row>
    <row r="33" spans="1:17" ht="22" customHeight="1" x14ac:dyDescent="0.35">
      <c r="A33" s="181"/>
      <c r="B33" s="164" t="s">
        <v>356</v>
      </c>
      <c r="C33" s="157">
        <v>30</v>
      </c>
      <c r="D33" s="157">
        <v>30</v>
      </c>
      <c r="E33" s="156">
        <v>1</v>
      </c>
      <c r="F33" s="158"/>
      <c r="G33" s="156" t="s">
        <v>32</v>
      </c>
      <c r="H33" s="156" t="s">
        <v>86</v>
      </c>
      <c r="I33" s="159" t="s">
        <v>71</v>
      </c>
      <c r="J33" s="159"/>
      <c r="K33" s="159" t="s">
        <v>80</v>
      </c>
      <c r="L33" s="219" t="s">
        <v>368</v>
      </c>
      <c r="M33" s="219" t="s">
        <v>368</v>
      </c>
      <c r="N33" s="156" t="s">
        <v>73</v>
      </c>
      <c r="O33" s="156"/>
      <c r="P33" s="160">
        <v>0</v>
      </c>
      <c r="Q33" s="182" t="s">
        <v>125</v>
      </c>
    </row>
    <row r="34" spans="1:17" ht="22" customHeight="1" x14ac:dyDescent="0.35">
      <c r="A34" s="181"/>
      <c r="B34" s="164" t="s">
        <v>357</v>
      </c>
      <c r="C34" s="157">
        <v>30</v>
      </c>
      <c r="D34" s="157">
        <v>30</v>
      </c>
      <c r="E34" s="156">
        <v>1</v>
      </c>
      <c r="F34" s="158">
        <v>30</v>
      </c>
      <c r="G34" s="156" t="s">
        <v>32</v>
      </c>
      <c r="H34" s="156" t="s">
        <v>86</v>
      </c>
      <c r="I34" s="159" t="s">
        <v>71</v>
      </c>
      <c r="J34" s="159"/>
      <c r="K34" s="159" t="s">
        <v>80</v>
      </c>
      <c r="L34" s="219" t="s">
        <v>369</v>
      </c>
      <c r="M34" s="219" t="s">
        <v>369</v>
      </c>
      <c r="N34" s="156" t="s">
        <v>73</v>
      </c>
      <c r="O34" s="156"/>
      <c r="P34" s="160">
        <v>0</v>
      </c>
      <c r="Q34" s="182" t="s">
        <v>125</v>
      </c>
    </row>
    <row r="35" spans="1:17" ht="22" customHeight="1" outlineLevel="1" x14ac:dyDescent="0.35">
      <c r="A35" s="181"/>
      <c r="B35" s="174" t="s">
        <v>126</v>
      </c>
      <c r="C35" s="168"/>
      <c r="D35" s="168"/>
      <c r="E35" s="167"/>
      <c r="F35" s="163"/>
      <c r="G35" s="167"/>
      <c r="H35" s="167"/>
      <c r="I35" s="169"/>
      <c r="J35" s="169"/>
      <c r="K35" s="169"/>
      <c r="L35" s="170"/>
      <c r="M35" s="170"/>
      <c r="N35" s="167"/>
      <c r="O35" s="167"/>
      <c r="P35" s="171"/>
      <c r="Q35" s="186"/>
    </row>
    <row r="36" spans="1:17" ht="22" customHeight="1" outlineLevel="1" x14ac:dyDescent="0.35">
      <c r="A36" s="181"/>
      <c r="B36" s="173" t="s">
        <v>127</v>
      </c>
      <c r="C36" s="157">
        <v>6</v>
      </c>
      <c r="D36" s="157">
        <v>24</v>
      </c>
      <c r="E36" s="156">
        <v>1</v>
      </c>
      <c r="F36" s="158">
        <f>IFERROR(AVERAGE(C36:D36)*_xlfn.XLOOKUP(E36,'Datavalidering (skjules)'!$I$7:$I$12,'Datavalidering (skjules)'!$J$7:$J$12),"")</f>
        <v>15</v>
      </c>
      <c r="G36" s="156" t="s">
        <v>30</v>
      </c>
      <c r="H36" s="156" t="s">
        <v>97</v>
      </c>
      <c r="I36" s="159" t="s">
        <v>71</v>
      </c>
      <c r="J36" s="159"/>
      <c r="K36" s="159" t="s">
        <v>80</v>
      </c>
      <c r="L36" s="219" t="s">
        <v>370</v>
      </c>
      <c r="M36" s="219" t="s">
        <v>371</v>
      </c>
      <c r="N36" s="156"/>
      <c r="O36" s="156"/>
      <c r="P36" s="172">
        <v>0</v>
      </c>
      <c r="Q36" s="182" t="s">
        <v>128</v>
      </c>
    </row>
    <row r="37" spans="1:17" ht="22" customHeight="1" outlineLevel="1" x14ac:dyDescent="0.35">
      <c r="A37" s="181" t="s">
        <v>350</v>
      </c>
      <c r="B37" s="263" t="s">
        <v>129</v>
      </c>
      <c r="C37" s="157">
        <v>2</v>
      </c>
      <c r="D37" s="157">
        <v>6</v>
      </c>
      <c r="E37" s="156">
        <v>1</v>
      </c>
      <c r="F37" s="158">
        <f>IFERROR(AVERAGE(C37:D37)*_xlfn.XLOOKUP(E37,'Datavalidering (skjules)'!$I$7:$I$12,'Datavalidering (skjules)'!$J$7:$J$12),"")</f>
        <v>4</v>
      </c>
      <c r="G37" s="156" t="s">
        <v>32</v>
      </c>
      <c r="H37" s="156" t="s">
        <v>97</v>
      </c>
      <c r="I37" s="159" t="s">
        <v>71</v>
      </c>
      <c r="J37" s="159"/>
      <c r="K37" s="159" t="s">
        <v>80</v>
      </c>
      <c r="L37" s="219" t="s">
        <v>370</v>
      </c>
      <c r="M37" s="219" t="s">
        <v>371</v>
      </c>
      <c r="N37" s="156"/>
      <c r="O37" s="156"/>
      <c r="P37" s="172">
        <v>0</v>
      </c>
      <c r="Q37" s="182" t="s">
        <v>128</v>
      </c>
    </row>
    <row r="38" spans="1:17" ht="22" customHeight="1" outlineLevel="1" x14ac:dyDescent="0.35">
      <c r="A38" s="181" t="s">
        <v>350</v>
      </c>
      <c r="B38" s="263" t="s">
        <v>130</v>
      </c>
      <c r="C38" s="157">
        <v>2</v>
      </c>
      <c r="D38" s="157">
        <v>6</v>
      </c>
      <c r="E38" s="156">
        <v>1</v>
      </c>
      <c r="F38" s="158">
        <f>IFERROR(AVERAGE(C38:D38)*_xlfn.XLOOKUP(E38,'Datavalidering (skjules)'!$I$7:$I$12,'Datavalidering (skjules)'!$J$7:$J$12),"")</f>
        <v>4</v>
      </c>
      <c r="G38" s="156" t="s">
        <v>32</v>
      </c>
      <c r="H38" s="156" t="s">
        <v>97</v>
      </c>
      <c r="I38" s="159" t="s">
        <v>71</v>
      </c>
      <c r="J38" s="159"/>
      <c r="K38" s="159" t="s">
        <v>80</v>
      </c>
      <c r="L38" s="219" t="s">
        <v>370</v>
      </c>
      <c r="M38" s="219" t="s">
        <v>371</v>
      </c>
      <c r="N38" s="156"/>
      <c r="O38" s="156"/>
      <c r="P38" s="172">
        <v>0</v>
      </c>
      <c r="Q38" s="182" t="s">
        <v>128</v>
      </c>
    </row>
    <row r="39" spans="1:17" ht="22" customHeight="1" outlineLevel="1" x14ac:dyDescent="0.35">
      <c r="A39" s="181"/>
      <c r="B39" s="174" t="s">
        <v>138</v>
      </c>
      <c r="C39" s="166"/>
      <c r="D39" s="166"/>
      <c r="E39" s="163"/>
      <c r="F39" s="163"/>
      <c r="G39" s="167"/>
      <c r="H39" s="167"/>
      <c r="I39" s="167"/>
      <c r="J39" s="169"/>
      <c r="K39" s="169"/>
      <c r="L39" s="170"/>
      <c r="M39" s="170"/>
      <c r="N39" s="167"/>
      <c r="O39" s="167"/>
      <c r="P39" s="171"/>
      <c r="Q39" s="186"/>
    </row>
    <row r="40" spans="1:17" ht="22" customHeight="1" outlineLevel="1" x14ac:dyDescent="0.35">
      <c r="A40" s="181" t="s">
        <v>350</v>
      </c>
      <c r="B40" s="173" t="s">
        <v>141</v>
      </c>
      <c r="C40" s="157">
        <v>2</v>
      </c>
      <c r="D40" s="157">
        <v>6</v>
      </c>
      <c r="E40" s="156">
        <v>1</v>
      </c>
      <c r="F40" s="158"/>
      <c r="G40" s="156" t="s">
        <v>30</v>
      </c>
      <c r="H40" s="156" t="s">
        <v>97</v>
      </c>
      <c r="I40" s="159" t="s">
        <v>71</v>
      </c>
      <c r="J40" s="159"/>
      <c r="K40" s="159" t="s">
        <v>80</v>
      </c>
      <c r="L40" s="219" t="s">
        <v>370</v>
      </c>
      <c r="M40" s="219" t="s">
        <v>371</v>
      </c>
      <c r="N40" s="156"/>
      <c r="O40" s="156"/>
      <c r="P40" s="172">
        <v>0</v>
      </c>
      <c r="Q40" s="182" t="s">
        <v>128</v>
      </c>
    </row>
    <row r="41" spans="1:17" ht="22" customHeight="1" outlineLevel="1" x14ac:dyDescent="0.35">
      <c r="A41" s="181" t="s">
        <v>350</v>
      </c>
      <c r="B41" s="173" t="s">
        <v>142</v>
      </c>
      <c r="C41" s="157">
        <v>12</v>
      </c>
      <c r="D41" s="157">
        <v>24</v>
      </c>
      <c r="E41" s="156">
        <v>1</v>
      </c>
      <c r="F41" s="158"/>
      <c r="G41" s="156" t="s">
        <v>30</v>
      </c>
      <c r="H41" s="156" t="s">
        <v>97</v>
      </c>
      <c r="I41" s="159" t="s">
        <v>71</v>
      </c>
      <c r="J41" s="159"/>
      <c r="K41" s="159" t="s">
        <v>80</v>
      </c>
      <c r="L41" s="219" t="s">
        <v>370</v>
      </c>
      <c r="M41" s="219" t="s">
        <v>371</v>
      </c>
      <c r="N41" s="156"/>
      <c r="O41" s="156"/>
      <c r="P41" s="172">
        <v>0</v>
      </c>
      <c r="Q41" s="182" t="s">
        <v>128</v>
      </c>
    </row>
    <row r="42" spans="1:17" ht="22" customHeight="1" outlineLevel="1" x14ac:dyDescent="0.35">
      <c r="A42" s="181"/>
      <c r="B42" s="174" t="s">
        <v>143</v>
      </c>
      <c r="C42" s="166"/>
      <c r="D42" s="166"/>
      <c r="E42" s="163"/>
      <c r="F42" s="163"/>
      <c r="G42" s="167"/>
      <c r="H42" s="167"/>
      <c r="I42" s="167"/>
      <c r="J42" s="169"/>
      <c r="K42" s="169"/>
      <c r="L42" s="170"/>
      <c r="M42" s="170"/>
      <c r="N42" s="167"/>
      <c r="O42" s="167"/>
      <c r="P42" s="171"/>
      <c r="Q42" s="186"/>
    </row>
    <row r="43" spans="1:17" ht="22" customHeight="1" outlineLevel="1" x14ac:dyDescent="0.35">
      <c r="A43" s="181" t="s">
        <v>350</v>
      </c>
      <c r="B43" s="173" t="s">
        <v>144</v>
      </c>
      <c r="C43" s="157">
        <v>4</v>
      </c>
      <c r="D43" s="157">
        <v>10</v>
      </c>
      <c r="E43" s="156">
        <v>1</v>
      </c>
      <c r="F43" s="158"/>
      <c r="G43" s="156" t="s">
        <v>32</v>
      </c>
      <c r="H43" s="156" t="s">
        <v>97</v>
      </c>
      <c r="I43" s="159" t="s">
        <v>71</v>
      </c>
      <c r="J43" s="159"/>
      <c r="K43" s="159" t="s">
        <v>80</v>
      </c>
      <c r="L43" s="219" t="s">
        <v>370</v>
      </c>
      <c r="M43" s="219" t="s">
        <v>371</v>
      </c>
      <c r="N43" s="156"/>
      <c r="O43" s="156"/>
      <c r="P43" s="172">
        <v>0</v>
      </c>
      <c r="Q43" s="182" t="s">
        <v>128</v>
      </c>
    </row>
    <row r="44" spans="1:17" ht="22" customHeight="1" outlineLevel="1" x14ac:dyDescent="0.35">
      <c r="A44" s="181" t="s">
        <v>350</v>
      </c>
      <c r="B44" s="173" t="s">
        <v>145</v>
      </c>
      <c r="C44" s="157">
        <v>2</v>
      </c>
      <c r="D44" s="157">
        <v>4</v>
      </c>
      <c r="E44" s="156">
        <v>1</v>
      </c>
      <c r="F44" s="158"/>
      <c r="G44" s="156" t="s">
        <v>32</v>
      </c>
      <c r="H44" s="156" t="s">
        <v>97</v>
      </c>
      <c r="I44" s="159" t="s">
        <v>71</v>
      </c>
      <c r="J44" s="159"/>
      <c r="K44" s="159" t="s">
        <v>80</v>
      </c>
      <c r="L44" s="219" t="s">
        <v>370</v>
      </c>
      <c r="M44" s="219" t="s">
        <v>371</v>
      </c>
      <c r="N44" s="156"/>
      <c r="O44" s="156"/>
      <c r="P44" s="172">
        <v>0</v>
      </c>
      <c r="Q44" s="182" t="s">
        <v>128</v>
      </c>
    </row>
    <row r="45" spans="1:17" ht="22" customHeight="1" outlineLevel="1" x14ac:dyDescent="0.35">
      <c r="A45" s="181"/>
      <c r="B45" s="173" t="s">
        <v>146</v>
      </c>
      <c r="C45" s="157">
        <v>4</v>
      </c>
      <c r="D45" s="157">
        <v>10</v>
      </c>
      <c r="E45" s="156">
        <v>1</v>
      </c>
      <c r="F45" s="158">
        <f>IFERROR(AVERAGE(C45:D45)*_xlfn.XLOOKUP(E45,'Datavalidering (skjules)'!$I$7:$I$12,'Datavalidering (skjules)'!$J$7:$J$12),"")</f>
        <v>7</v>
      </c>
      <c r="G45" s="156" t="s">
        <v>32</v>
      </c>
      <c r="H45" s="156" t="s">
        <v>97</v>
      </c>
      <c r="I45" s="159" t="s">
        <v>71</v>
      </c>
      <c r="J45" s="159"/>
      <c r="K45" s="159" t="s">
        <v>80</v>
      </c>
      <c r="L45" s="219" t="s">
        <v>370</v>
      </c>
      <c r="M45" s="219" t="s">
        <v>371</v>
      </c>
      <c r="N45" s="156"/>
      <c r="O45" s="156"/>
      <c r="P45" s="172">
        <v>0</v>
      </c>
      <c r="Q45" s="182" t="s">
        <v>128</v>
      </c>
    </row>
    <row r="46" spans="1:17" ht="22" customHeight="1" outlineLevel="1" x14ac:dyDescent="0.35">
      <c r="A46" s="181"/>
      <c r="B46" s="173" t="s">
        <v>147</v>
      </c>
      <c r="C46" s="157">
        <v>2</v>
      </c>
      <c r="D46" s="157">
        <v>4</v>
      </c>
      <c r="E46" s="156">
        <v>1</v>
      </c>
      <c r="F46" s="158">
        <f>IFERROR(AVERAGE(C46:D46)*_xlfn.XLOOKUP(E46,'Datavalidering (skjules)'!$I$7:$I$12,'Datavalidering (skjules)'!$J$7:$J$12),"")</f>
        <v>3</v>
      </c>
      <c r="G46" s="156" t="s">
        <v>32</v>
      </c>
      <c r="H46" s="156" t="s">
        <v>97</v>
      </c>
      <c r="I46" s="159" t="s">
        <v>71</v>
      </c>
      <c r="J46" s="159"/>
      <c r="K46" s="159" t="s">
        <v>80</v>
      </c>
      <c r="L46" s="219" t="s">
        <v>370</v>
      </c>
      <c r="M46" s="219" t="s">
        <v>371</v>
      </c>
      <c r="N46" s="156"/>
      <c r="O46" s="156"/>
      <c r="P46" s="172">
        <v>0</v>
      </c>
      <c r="Q46" s="182" t="s">
        <v>128</v>
      </c>
    </row>
    <row r="47" spans="1:17" ht="22" customHeight="1" outlineLevel="1" x14ac:dyDescent="0.35">
      <c r="A47" s="181"/>
      <c r="B47" s="174" t="s">
        <v>149</v>
      </c>
      <c r="C47" s="166"/>
      <c r="D47" s="166"/>
      <c r="E47" s="163"/>
      <c r="F47" s="163"/>
      <c r="G47" s="167"/>
      <c r="H47" s="167"/>
      <c r="I47" s="167"/>
      <c r="J47" s="169"/>
      <c r="K47" s="169"/>
      <c r="L47" s="170"/>
      <c r="M47" s="170"/>
      <c r="N47" s="167"/>
      <c r="O47" s="167"/>
      <c r="P47" s="171"/>
      <c r="Q47" s="186"/>
    </row>
    <row r="48" spans="1:17" ht="22" customHeight="1" outlineLevel="1" x14ac:dyDescent="0.35">
      <c r="A48" s="181" t="s">
        <v>350</v>
      </c>
      <c r="B48" s="173" t="s">
        <v>150</v>
      </c>
      <c r="C48" s="157">
        <v>20</v>
      </c>
      <c r="D48" s="157">
        <v>24</v>
      </c>
      <c r="E48" s="156">
        <v>1</v>
      </c>
      <c r="F48" s="158"/>
      <c r="G48" s="156" t="s">
        <v>32</v>
      </c>
      <c r="H48" s="156" t="s">
        <v>97</v>
      </c>
      <c r="I48" s="159" t="s">
        <v>71</v>
      </c>
      <c r="J48" s="159"/>
      <c r="K48" s="159" t="s">
        <v>80</v>
      </c>
      <c r="L48" s="219" t="s">
        <v>370</v>
      </c>
      <c r="M48" s="219" t="s">
        <v>371</v>
      </c>
      <c r="N48" s="156"/>
      <c r="O48" s="156"/>
      <c r="P48" s="172">
        <v>0</v>
      </c>
      <c r="Q48" s="182" t="s">
        <v>128</v>
      </c>
    </row>
    <row r="49" spans="1:17" ht="22" customHeight="1" outlineLevel="1" x14ac:dyDescent="0.35">
      <c r="A49" s="181" t="s">
        <v>350</v>
      </c>
      <c r="B49" s="173" t="s">
        <v>156</v>
      </c>
      <c r="C49" s="157">
        <v>4</v>
      </c>
      <c r="D49" s="157">
        <v>4</v>
      </c>
      <c r="E49" s="156">
        <v>1</v>
      </c>
      <c r="F49" s="158"/>
      <c r="G49" s="156" t="s">
        <v>32</v>
      </c>
      <c r="H49" s="156" t="s">
        <v>97</v>
      </c>
      <c r="I49" s="159" t="s">
        <v>71</v>
      </c>
      <c r="J49" s="159"/>
      <c r="K49" s="159" t="s">
        <v>80</v>
      </c>
      <c r="L49" s="219" t="s">
        <v>370</v>
      </c>
      <c r="M49" s="219" t="s">
        <v>371</v>
      </c>
      <c r="N49" s="156"/>
      <c r="O49" s="156"/>
      <c r="P49" s="172">
        <v>0</v>
      </c>
      <c r="Q49" s="182" t="s">
        <v>128</v>
      </c>
    </row>
    <row r="50" spans="1:17" ht="22" customHeight="1" outlineLevel="1" x14ac:dyDescent="0.35">
      <c r="A50" s="181" t="s">
        <v>350</v>
      </c>
      <c r="B50" s="263" t="s">
        <v>157</v>
      </c>
      <c r="C50" s="157">
        <v>4</v>
      </c>
      <c r="D50" s="157">
        <v>4</v>
      </c>
      <c r="E50" s="156">
        <v>1</v>
      </c>
      <c r="F50" s="158">
        <f>IFERROR(AVERAGE(C50:D50)*_xlfn.XLOOKUP(E50,'Datavalidering (skjules)'!$I$7:$I$12,'Datavalidering (skjules)'!$J$7:$J$12),"")</f>
        <v>4</v>
      </c>
      <c r="G50" s="156" t="s">
        <v>32</v>
      </c>
      <c r="H50" s="156" t="s">
        <v>97</v>
      </c>
      <c r="I50" s="159" t="s">
        <v>71</v>
      </c>
      <c r="J50" s="159"/>
      <c r="K50" s="159" t="s">
        <v>80</v>
      </c>
      <c r="L50" s="219" t="s">
        <v>370</v>
      </c>
      <c r="M50" s="219" t="s">
        <v>371</v>
      </c>
      <c r="N50" s="156"/>
      <c r="O50" s="156"/>
      <c r="P50" s="172">
        <v>0</v>
      </c>
      <c r="Q50" s="182" t="s">
        <v>128</v>
      </c>
    </row>
    <row r="51" spans="1:17" ht="22" customHeight="1" outlineLevel="1" x14ac:dyDescent="0.35">
      <c r="A51" s="181"/>
      <c r="B51" s="174" t="s">
        <v>158</v>
      </c>
      <c r="C51" s="166"/>
      <c r="D51" s="166"/>
      <c r="E51" s="163"/>
      <c r="F51" s="163"/>
      <c r="G51" s="167"/>
      <c r="H51" s="167"/>
      <c r="I51" s="167"/>
      <c r="J51" s="169"/>
      <c r="K51" s="169"/>
      <c r="L51" s="170"/>
      <c r="M51" s="170"/>
      <c r="N51" s="167"/>
      <c r="O51" s="167"/>
      <c r="P51" s="171"/>
      <c r="Q51" s="186"/>
    </row>
    <row r="52" spans="1:17" ht="22" customHeight="1" outlineLevel="1" x14ac:dyDescent="0.35">
      <c r="A52" s="181"/>
      <c r="B52" s="173" t="s">
        <v>160</v>
      </c>
      <c r="C52" s="157">
        <v>10</v>
      </c>
      <c r="D52" s="157">
        <v>18</v>
      </c>
      <c r="E52" s="156">
        <v>1</v>
      </c>
      <c r="F52" s="158">
        <f>IFERROR(AVERAGE(C52:D52)*_xlfn.XLOOKUP(E52,'Datavalidering (skjules)'!$I$7:$I$12,'Datavalidering (skjules)'!$J$7:$J$12),"")</f>
        <v>14</v>
      </c>
      <c r="G52" s="156" t="s">
        <v>32</v>
      </c>
      <c r="H52" s="156" t="s">
        <v>97</v>
      </c>
      <c r="I52" s="159" t="s">
        <v>71</v>
      </c>
      <c r="J52" s="159"/>
      <c r="K52" s="159" t="s">
        <v>80</v>
      </c>
      <c r="L52" s="219" t="s">
        <v>370</v>
      </c>
      <c r="M52" s="219" t="s">
        <v>371</v>
      </c>
      <c r="N52" s="156"/>
      <c r="O52" s="156"/>
      <c r="P52" s="172">
        <v>0</v>
      </c>
      <c r="Q52" s="182" t="s">
        <v>128</v>
      </c>
    </row>
    <row r="53" spans="1:17" ht="22" customHeight="1" outlineLevel="1" x14ac:dyDescent="0.35">
      <c r="A53" s="181"/>
      <c r="B53" s="174" t="s">
        <v>161</v>
      </c>
      <c r="C53" s="166"/>
      <c r="D53" s="166"/>
      <c r="E53" s="163"/>
      <c r="F53" s="163"/>
      <c r="G53" s="167"/>
      <c r="H53" s="167"/>
      <c r="I53" s="167"/>
      <c r="J53" s="169"/>
      <c r="K53" s="169"/>
      <c r="L53" s="170"/>
      <c r="M53" s="170"/>
      <c r="N53" s="167"/>
      <c r="O53" s="167"/>
      <c r="P53" s="171"/>
      <c r="Q53" s="186"/>
    </row>
    <row r="54" spans="1:17" ht="22" customHeight="1" outlineLevel="1" x14ac:dyDescent="0.35">
      <c r="A54" s="181"/>
      <c r="B54" s="173" t="s">
        <v>162</v>
      </c>
      <c r="C54" s="157">
        <v>30</v>
      </c>
      <c r="D54" s="157">
        <v>30</v>
      </c>
      <c r="E54" s="156">
        <v>1</v>
      </c>
      <c r="F54" s="158">
        <f>IFERROR(AVERAGE(C54:D54)*_xlfn.XLOOKUP(E54,'Datavalidering (skjules)'!$I$7:$I$12,'Datavalidering (skjules)'!$J$7:$J$12),"")</f>
        <v>30</v>
      </c>
      <c r="G54" s="156" t="s">
        <v>30</v>
      </c>
      <c r="H54" s="156" t="s">
        <v>97</v>
      </c>
      <c r="I54" s="159" t="s">
        <v>71</v>
      </c>
      <c r="J54" s="159"/>
      <c r="K54" s="159" t="s">
        <v>80</v>
      </c>
      <c r="L54" s="219" t="s">
        <v>370</v>
      </c>
      <c r="M54" s="219" t="s">
        <v>371</v>
      </c>
      <c r="N54" s="156"/>
      <c r="O54" s="156"/>
      <c r="P54" s="172">
        <v>0</v>
      </c>
      <c r="Q54" s="182" t="s">
        <v>128</v>
      </c>
    </row>
    <row r="55" spans="1:17" ht="22" customHeight="1" outlineLevel="1" x14ac:dyDescent="0.35">
      <c r="A55" s="181"/>
      <c r="B55" s="173" t="s">
        <v>163</v>
      </c>
      <c r="C55" s="157">
        <v>4</v>
      </c>
      <c r="D55" s="157">
        <v>4</v>
      </c>
      <c r="E55" s="156">
        <v>1</v>
      </c>
      <c r="F55" s="158">
        <f>IFERROR(AVERAGE(C55:D55)*_xlfn.XLOOKUP(E55,'Datavalidering (skjules)'!$I$7:$I$12,'Datavalidering (skjules)'!$J$7:$J$12),"")</f>
        <v>4</v>
      </c>
      <c r="G55" s="156" t="s">
        <v>32</v>
      </c>
      <c r="H55" s="156" t="s">
        <v>97</v>
      </c>
      <c r="I55" s="159" t="s">
        <v>71</v>
      </c>
      <c r="J55" s="159"/>
      <c r="K55" s="159" t="s">
        <v>80</v>
      </c>
      <c r="L55" s="219" t="s">
        <v>370</v>
      </c>
      <c r="M55" s="219" t="s">
        <v>371</v>
      </c>
      <c r="N55" s="156"/>
      <c r="O55" s="156"/>
      <c r="P55" s="172">
        <v>0</v>
      </c>
      <c r="Q55" s="182" t="s">
        <v>128</v>
      </c>
    </row>
    <row r="56" spans="1:17" ht="22" customHeight="1" outlineLevel="1" x14ac:dyDescent="0.35">
      <c r="A56" s="181"/>
      <c r="B56" s="174" t="s">
        <v>170</v>
      </c>
      <c r="C56" s="166"/>
      <c r="D56" s="166"/>
      <c r="E56" s="163"/>
      <c r="F56" s="163"/>
      <c r="G56" s="167"/>
      <c r="H56" s="167"/>
      <c r="I56" s="167"/>
      <c r="J56" s="169"/>
      <c r="K56" s="169"/>
      <c r="L56" s="170"/>
      <c r="M56" s="170"/>
      <c r="N56" s="167"/>
      <c r="O56" s="167"/>
      <c r="P56" s="171"/>
      <c r="Q56" s="186"/>
    </row>
    <row r="57" spans="1:17" ht="22" customHeight="1" outlineLevel="1" x14ac:dyDescent="0.35">
      <c r="A57" s="181"/>
      <c r="B57" s="173" t="s">
        <v>175</v>
      </c>
      <c r="C57" s="157">
        <v>4</v>
      </c>
      <c r="D57" s="157">
        <v>4</v>
      </c>
      <c r="E57" s="156">
        <v>1</v>
      </c>
      <c r="F57" s="158">
        <f>IFERROR(AVERAGE(C57:D57)*_xlfn.XLOOKUP(E57,'Datavalidering (skjules)'!$I$7:$I$12,'Datavalidering (skjules)'!$J$7:$J$12),"")</f>
        <v>4</v>
      </c>
      <c r="G57" s="156" t="s">
        <v>30</v>
      </c>
      <c r="H57" s="156" t="s">
        <v>97</v>
      </c>
      <c r="I57" s="159" t="s">
        <v>71</v>
      </c>
      <c r="J57" s="159"/>
      <c r="K57" s="159" t="s">
        <v>80</v>
      </c>
      <c r="L57" s="219" t="s">
        <v>370</v>
      </c>
      <c r="M57" s="219" t="s">
        <v>371</v>
      </c>
      <c r="N57" s="156"/>
      <c r="O57" s="156"/>
      <c r="P57" s="172">
        <v>0</v>
      </c>
      <c r="Q57" s="182" t="s">
        <v>128</v>
      </c>
    </row>
    <row r="58" spans="1:17" ht="22" customHeight="1" outlineLevel="1" x14ac:dyDescent="0.35">
      <c r="A58" s="181"/>
      <c r="B58" s="263" t="s">
        <v>176</v>
      </c>
      <c r="C58" s="157">
        <v>8</v>
      </c>
      <c r="D58" s="157">
        <v>16</v>
      </c>
      <c r="E58" s="156">
        <v>1</v>
      </c>
      <c r="F58" s="158">
        <f>IFERROR(AVERAGE(C58:D58)*_xlfn.XLOOKUP(E58,'Datavalidering (skjules)'!$I$7:$I$12,'Datavalidering (skjules)'!$J$7:$J$12),"")</f>
        <v>12</v>
      </c>
      <c r="G58" s="156" t="s">
        <v>30</v>
      </c>
      <c r="H58" s="156" t="s">
        <v>97</v>
      </c>
      <c r="I58" s="159" t="s">
        <v>71</v>
      </c>
      <c r="J58" s="159"/>
      <c r="K58" s="159" t="s">
        <v>80</v>
      </c>
      <c r="L58" s="219" t="s">
        <v>370</v>
      </c>
      <c r="M58" s="219" t="s">
        <v>371</v>
      </c>
      <c r="N58" s="156"/>
      <c r="O58" s="156"/>
      <c r="P58" s="172">
        <v>0</v>
      </c>
      <c r="Q58" s="182" t="s">
        <v>128</v>
      </c>
    </row>
    <row r="59" spans="1:17" ht="22" customHeight="1" outlineLevel="1" x14ac:dyDescent="0.35">
      <c r="A59" s="181"/>
      <c r="B59" s="174" t="s">
        <v>177</v>
      </c>
      <c r="C59" s="166"/>
      <c r="D59" s="166"/>
      <c r="E59" s="163"/>
      <c r="F59" s="163"/>
      <c r="G59" s="167"/>
      <c r="H59" s="167"/>
      <c r="I59" s="167"/>
      <c r="J59" s="169"/>
      <c r="K59" s="169"/>
      <c r="L59" s="170"/>
      <c r="M59" s="170"/>
      <c r="N59" s="167"/>
      <c r="O59" s="167"/>
      <c r="P59" s="171"/>
      <c r="Q59" s="186"/>
    </row>
    <row r="60" spans="1:17" ht="22" customHeight="1" outlineLevel="1" x14ac:dyDescent="0.35">
      <c r="A60" s="181"/>
      <c r="B60" s="173" t="s">
        <v>178</v>
      </c>
      <c r="C60" s="157">
        <v>10</v>
      </c>
      <c r="D60" s="157">
        <v>14</v>
      </c>
      <c r="E60" s="156">
        <v>1</v>
      </c>
      <c r="F60" s="158">
        <f>IFERROR(AVERAGE(C60:D60)*_xlfn.XLOOKUP(E60,'Datavalidering (skjules)'!$I$7:$I$12,'Datavalidering (skjules)'!$J$7:$J$12),"")</f>
        <v>12</v>
      </c>
      <c r="G60" s="156" t="s">
        <v>32</v>
      </c>
      <c r="H60" s="156" t="s">
        <v>97</v>
      </c>
      <c r="I60" s="159" t="s">
        <v>71</v>
      </c>
      <c r="J60" s="159"/>
      <c r="K60" s="159" t="s">
        <v>80</v>
      </c>
      <c r="L60" s="219" t="s">
        <v>370</v>
      </c>
      <c r="M60" s="219" t="s">
        <v>371</v>
      </c>
      <c r="N60" s="156"/>
      <c r="O60" s="156"/>
      <c r="P60" s="172">
        <v>0</v>
      </c>
      <c r="Q60" s="182" t="s">
        <v>128</v>
      </c>
    </row>
    <row r="61" spans="1:17" ht="22" customHeight="1" outlineLevel="1" x14ac:dyDescent="0.35">
      <c r="A61" s="181" t="s">
        <v>350</v>
      </c>
      <c r="B61" s="263" t="s">
        <v>179</v>
      </c>
      <c r="C61" s="157">
        <v>10</v>
      </c>
      <c r="D61" s="157">
        <v>14</v>
      </c>
      <c r="E61" s="156">
        <v>1</v>
      </c>
      <c r="F61" s="158">
        <f>IFERROR(AVERAGE(C61:D61)*_xlfn.XLOOKUP(E61,'Datavalidering (skjules)'!$I$7:$I$12,'Datavalidering (skjules)'!$J$7:$J$12),"")</f>
        <v>12</v>
      </c>
      <c r="G61" s="156" t="s">
        <v>30</v>
      </c>
      <c r="H61" s="156" t="s">
        <v>97</v>
      </c>
      <c r="I61" s="159" t="s">
        <v>71</v>
      </c>
      <c r="J61" s="159"/>
      <c r="K61" s="159" t="s">
        <v>80</v>
      </c>
      <c r="L61" s="219" t="s">
        <v>370</v>
      </c>
      <c r="M61" s="219" t="s">
        <v>371</v>
      </c>
      <c r="N61" s="156"/>
      <c r="O61" s="156"/>
      <c r="P61" s="172">
        <v>0</v>
      </c>
      <c r="Q61" s="182" t="s">
        <v>128</v>
      </c>
    </row>
    <row r="62" spans="1:17" ht="22" customHeight="1" outlineLevel="1" x14ac:dyDescent="0.35">
      <c r="A62" s="181"/>
      <c r="B62" s="173" t="s">
        <v>180</v>
      </c>
      <c r="C62" s="157">
        <v>12</v>
      </c>
      <c r="D62" s="157">
        <v>16</v>
      </c>
      <c r="E62" s="156">
        <v>1</v>
      </c>
      <c r="F62" s="158">
        <f>IFERROR(AVERAGE(C62:D62)*_xlfn.XLOOKUP(E62,'Datavalidering (skjules)'!$I$7:$I$12,'Datavalidering (skjules)'!$J$7:$J$12),"")</f>
        <v>14</v>
      </c>
      <c r="G62" s="156" t="s">
        <v>32</v>
      </c>
      <c r="H62" s="156" t="s">
        <v>97</v>
      </c>
      <c r="I62" s="159" t="s">
        <v>71</v>
      </c>
      <c r="J62" s="159"/>
      <c r="K62" s="159" t="s">
        <v>80</v>
      </c>
      <c r="L62" s="219" t="s">
        <v>370</v>
      </c>
      <c r="M62" s="219" t="s">
        <v>371</v>
      </c>
      <c r="N62" s="156"/>
      <c r="O62" s="156"/>
      <c r="P62" s="172">
        <v>0</v>
      </c>
      <c r="Q62" s="182" t="s">
        <v>128</v>
      </c>
    </row>
    <row r="63" spans="1:17" ht="22" customHeight="1" outlineLevel="1" x14ac:dyDescent="0.35">
      <c r="A63" s="181"/>
      <c r="B63" s="174" t="s">
        <v>181</v>
      </c>
      <c r="C63" s="166"/>
      <c r="D63" s="166"/>
      <c r="E63" s="163"/>
      <c r="F63" s="163"/>
      <c r="G63" s="167"/>
      <c r="H63" s="167"/>
      <c r="I63" s="167"/>
      <c r="J63" s="169"/>
      <c r="K63" s="169"/>
      <c r="L63" s="169"/>
      <c r="M63" s="169"/>
      <c r="N63" s="167"/>
      <c r="O63" s="167"/>
      <c r="P63" s="171"/>
      <c r="Q63" s="186"/>
    </row>
    <row r="64" spans="1:17" ht="22" customHeight="1" outlineLevel="1" x14ac:dyDescent="0.35">
      <c r="A64" s="181" t="s">
        <v>350</v>
      </c>
      <c r="B64" s="173" t="s">
        <v>184</v>
      </c>
      <c r="C64" s="157">
        <v>6</v>
      </c>
      <c r="D64" s="157">
        <v>8</v>
      </c>
      <c r="E64" s="156">
        <v>1</v>
      </c>
      <c r="F64" s="158"/>
      <c r="G64" s="156" t="s">
        <v>32</v>
      </c>
      <c r="H64" s="156" t="s">
        <v>97</v>
      </c>
      <c r="I64" s="159" t="s">
        <v>71</v>
      </c>
      <c r="J64" s="159"/>
      <c r="K64" s="159" t="s">
        <v>80</v>
      </c>
      <c r="L64" s="219" t="s">
        <v>370</v>
      </c>
      <c r="M64" s="219" t="s">
        <v>371</v>
      </c>
      <c r="N64" s="156"/>
      <c r="O64" s="156"/>
      <c r="P64" s="172">
        <v>0</v>
      </c>
      <c r="Q64" s="182" t="s">
        <v>128</v>
      </c>
    </row>
    <row r="65" spans="1:17" ht="22" customHeight="1" outlineLevel="1" x14ac:dyDescent="0.35">
      <c r="A65" s="181"/>
      <c r="B65" s="174" t="s">
        <v>186</v>
      </c>
      <c r="C65" s="166"/>
      <c r="D65" s="166"/>
      <c r="E65" s="163"/>
      <c r="F65" s="163"/>
      <c r="G65" s="167"/>
      <c r="H65" s="167"/>
      <c r="I65" s="167"/>
      <c r="J65" s="169"/>
      <c r="K65" s="169"/>
      <c r="L65" s="170"/>
      <c r="M65" s="170"/>
      <c r="N65" s="167"/>
      <c r="O65" s="167"/>
      <c r="P65" s="171"/>
      <c r="Q65" s="186"/>
    </row>
    <row r="66" spans="1:17" ht="22" customHeight="1" outlineLevel="1" x14ac:dyDescent="0.35">
      <c r="A66" s="181"/>
      <c r="B66" s="173" t="s">
        <v>188</v>
      </c>
      <c r="C66" s="157">
        <v>22</v>
      </c>
      <c r="D66" s="157">
        <v>26</v>
      </c>
      <c r="E66" s="156">
        <v>1</v>
      </c>
      <c r="F66" s="158">
        <f>IFERROR(AVERAGE(C66:D66)*_xlfn.XLOOKUP(E66,'Datavalidering (skjules)'!$I$7:$I$12,'Datavalidering (skjules)'!$J$7:$J$12),"")</f>
        <v>24</v>
      </c>
      <c r="G66" s="156" t="s">
        <v>32</v>
      </c>
      <c r="H66" s="156" t="s">
        <v>97</v>
      </c>
      <c r="I66" s="159" t="s">
        <v>71</v>
      </c>
      <c r="J66" s="159"/>
      <c r="K66" s="159" t="s">
        <v>80</v>
      </c>
      <c r="L66" s="219" t="s">
        <v>370</v>
      </c>
      <c r="M66" s="219" t="s">
        <v>371</v>
      </c>
      <c r="N66" s="156"/>
      <c r="O66" s="156"/>
      <c r="P66" s="172">
        <v>0</v>
      </c>
      <c r="Q66" s="182" t="s">
        <v>128</v>
      </c>
    </row>
    <row r="67" spans="1:17" ht="22" customHeight="1" outlineLevel="1" x14ac:dyDescent="0.35">
      <c r="A67" s="181"/>
      <c r="B67" s="173" t="s">
        <v>351</v>
      </c>
      <c r="C67" s="157">
        <v>2</v>
      </c>
      <c r="D67" s="157">
        <v>6</v>
      </c>
      <c r="E67" s="156">
        <v>1</v>
      </c>
      <c r="F67" s="158">
        <f>IFERROR(AVERAGE(C67:D67)*_xlfn.XLOOKUP(E67,'Datavalidering (skjules)'!$I$7:$I$12,'Datavalidering (skjules)'!$J$7:$J$12),"")</f>
        <v>4</v>
      </c>
      <c r="G67" s="156" t="s">
        <v>32</v>
      </c>
      <c r="H67" s="156" t="s">
        <v>97</v>
      </c>
      <c r="I67" s="159" t="s">
        <v>71</v>
      </c>
      <c r="J67" s="159"/>
      <c r="K67" s="159" t="s">
        <v>80</v>
      </c>
      <c r="L67" s="219" t="s">
        <v>370</v>
      </c>
      <c r="M67" s="219" t="s">
        <v>371</v>
      </c>
      <c r="N67" s="156"/>
      <c r="O67" s="156"/>
      <c r="P67" s="172">
        <v>0</v>
      </c>
      <c r="Q67" s="182" t="s">
        <v>128</v>
      </c>
    </row>
    <row r="68" spans="1:17" ht="22" customHeight="1" outlineLevel="1" x14ac:dyDescent="0.35">
      <c r="A68" s="181"/>
      <c r="B68" s="173" t="s">
        <v>361</v>
      </c>
      <c r="C68" s="157"/>
      <c r="D68" s="157"/>
      <c r="E68" s="156">
        <v>1</v>
      </c>
      <c r="F68" s="158" t="str">
        <f>IFERROR(AVERAGE(C68:D68)*_xlfn.XLOOKUP(E68,'Datavalidering (skjules)'!$I$7:$I$12,'Datavalidering (skjules)'!$J$7:$J$12),"")</f>
        <v/>
      </c>
      <c r="G68" s="156" t="s">
        <v>32</v>
      </c>
      <c r="H68" s="156" t="s">
        <v>97</v>
      </c>
      <c r="I68" s="159" t="s">
        <v>71</v>
      </c>
      <c r="J68" s="159"/>
      <c r="K68" s="159" t="s">
        <v>80</v>
      </c>
      <c r="L68" s="219" t="s">
        <v>370</v>
      </c>
      <c r="M68" s="219" t="s">
        <v>371</v>
      </c>
      <c r="N68" s="156"/>
      <c r="O68" s="156"/>
      <c r="P68" s="172">
        <v>0</v>
      </c>
      <c r="Q68" s="182" t="s">
        <v>128</v>
      </c>
    </row>
    <row r="69" spans="1:17" ht="22" customHeight="1" outlineLevel="1" x14ac:dyDescent="0.35">
      <c r="A69" s="181"/>
      <c r="B69" s="173" t="s">
        <v>352</v>
      </c>
      <c r="C69" s="157">
        <v>20</v>
      </c>
      <c r="D69" s="157">
        <v>40</v>
      </c>
      <c r="E69" s="156">
        <v>1</v>
      </c>
      <c r="F69" s="158">
        <f>IFERROR(AVERAGE(C69:D69)*_xlfn.XLOOKUP(E69,'Datavalidering (skjules)'!$I$7:$I$12,'Datavalidering (skjules)'!$J$7:$J$12),"")</f>
        <v>30</v>
      </c>
      <c r="G69" s="156" t="s">
        <v>32</v>
      </c>
      <c r="H69" s="156" t="s">
        <v>97</v>
      </c>
      <c r="I69" s="159" t="s">
        <v>71</v>
      </c>
      <c r="J69" s="159"/>
      <c r="K69" s="159" t="s">
        <v>80</v>
      </c>
      <c r="L69" s="219" t="s">
        <v>370</v>
      </c>
      <c r="M69" s="219" t="s">
        <v>371</v>
      </c>
      <c r="N69" s="156"/>
      <c r="O69" s="156"/>
      <c r="P69" s="172">
        <v>0</v>
      </c>
      <c r="Q69" s="182" t="s">
        <v>128</v>
      </c>
    </row>
    <row r="70" spans="1:17" ht="22" customHeight="1" outlineLevel="1" x14ac:dyDescent="0.35">
      <c r="A70" s="181"/>
      <c r="B70" s="173" t="s">
        <v>353</v>
      </c>
      <c r="C70" s="157">
        <v>20</v>
      </c>
      <c r="D70" s="157">
        <v>40</v>
      </c>
      <c r="E70" s="156">
        <v>1</v>
      </c>
      <c r="F70" s="158">
        <f>IFERROR(AVERAGE(C70:D70)*_xlfn.XLOOKUP(E70,'Datavalidering (skjules)'!$I$7:$I$12,'Datavalidering (skjules)'!$J$7:$J$12),"")</f>
        <v>30</v>
      </c>
      <c r="G70" s="156" t="s">
        <v>32</v>
      </c>
      <c r="H70" s="156" t="s">
        <v>97</v>
      </c>
      <c r="I70" s="159" t="s">
        <v>71</v>
      </c>
      <c r="J70" s="159"/>
      <c r="K70" s="159" t="s">
        <v>80</v>
      </c>
      <c r="L70" s="219" t="s">
        <v>370</v>
      </c>
      <c r="M70" s="219" t="s">
        <v>371</v>
      </c>
      <c r="N70" s="156"/>
      <c r="O70" s="156"/>
      <c r="P70" s="172">
        <v>0</v>
      </c>
      <c r="Q70" s="182" t="s">
        <v>128</v>
      </c>
    </row>
    <row r="71" spans="1:17" ht="22" customHeight="1" x14ac:dyDescent="0.35">
      <c r="A71" s="181"/>
      <c r="B71" s="234" t="s">
        <v>190</v>
      </c>
      <c r="C71" s="216"/>
      <c r="D71" s="216"/>
      <c r="E71" s="209"/>
      <c r="F71" s="209"/>
      <c r="G71" s="209"/>
      <c r="H71" s="209"/>
      <c r="I71" s="209"/>
      <c r="J71" s="209"/>
      <c r="K71" s="209"/>
      <c r="L71" s="219" t="s">
        <v>370</v>
      </c>
      <c r="M71" s="219" t="s">
        <v>371</v>
      </c>
      <c r="N71" s="217"/>
      <c r="O71" s="217"/>
      <c r="P71" s="209"/>
      <c r="Q71" s="218"/>
    </row>
    <row r="72" spans="1:17" ht="22" customHeight="1" x14ac:dyDescent="0.35">
      <c r="A72" s="187"/>
      <c r="B72" s="165" t="s">
        <v>191</v>
      </c>
      <c r="C72" s="157">
        <v>2</v>
      </c>
      <c r="D72" s="157">
        <v>8</v>
      </c>
      <c r="E72" s="156">
        <v>1</v>
      </c>
      <c r="F72" s="158">
        <f>IFERROR(AVERAGE(C72:D72)*_xlfn.XLOOKUP(E72,'Datavalidering (skjules)'!$I$7:$I$12,'Datavalidering (skjules)'!$J$7:$J$12),"")</f>
        <v>5</v>
      </c>
      <c r="G72" s="156" t="s">
        <v>30</v>
      </c>
      <c r="H72" s="156" t="s">
        <v>122</v>
      </c>
      <c r="I72" s="159" t="s">
        <v>71</v>
      </c>
      <c r="J72" s="159"/>
      <c r="K72" s="159"/>
      <c r="L72" s="219" t="s">
        <v>372</v>
      </c>
      <c r="M72" s="219" t="s">
        <v>372</v>
      </c>
      <c r="N72" s="156"/>
      <c r="O72" s="156"/>
      <c r="P72" s="160">
        <v>0</v>
      </c>
      <c r="Q72" s="182" t="s">
        <v>192</v>
      </c>
    </row>
    <row r="73" spans="1:17" ht="22" customHeight="1" x14ac:dyDescent="0.35">
      <c r="A73" s="187"/>
      <c r="B73" s="165" t="s">
        <v>193</v>
      </c>
      <c r="C73" s="157"/>
      <c r="D73" s="157"/>
      <c r="E73" s="156">
        <v>1</v>
      </c>
      <c r="F73" s="158" t="str">
        <f>IFERROR(AVERAGE(C73:D73)*_xlfn.XLOOKUP(E73,'Datavalidering (skjules)'!$I$7:$I$12,'Datavalidering (skjules)'!$J$7:$J$12),"")</f>
        <v/>
      </c>
      <c r="G73" s="156" t="s">
        <v>32</v>
      </c>
      <c r="H73" s="156" t="s">
        <v>122</v>
      </c>
      <c r="I73" s="159" t="s">
        <v>83</v>
      </c>
      <c r="J73" s="159"/>
      <c r="K73" s="159"/>
      <c r="L73" s="219" t="s">
        <v>372</v>
      </c>
      <c r="M73" s="219" t="s">
        <v>372</v>
      </c>
      <c r="N73" s="156"/>
      <c r="O73" s="156"/>
      <c r="P73" s="160">
        <v>0</v>
      </c>
      <c r="Q73" s="188" t="s">
        <v>194</v>
      </c>
    </row>
    <row r="74" spans="1:17" ht="22" customHeight="1" thickBot="1" x14ac:dyDescent="0.4">
      <c r="A74" s="189" t="s">
        <v>195</v>
      </c>
      <c r="B74" s="190" t="str">
        <f>_xlfn.XLOOKUP(A74,Milepæler!$B$5:$B$30,Milepæler!$C$5:$C$30,)</f>
        <v>Konfigurasjonsdokumentet er godkjent</v>
      </c>
      <c r="C74" s="191"/>
      <c r="D74" s="191"/>
      <c r="E74" s="190"/>
      <c r="F74" s="190"/>
      <c r="G74" s="190"/>
      <c r="H74" s="190"/>
      <c r="I74" s="190"/>
      <c r="J74" s="190"/>
      <c r="K74" s="190"/>
      <c r="L74" s="190" t="s">
        <v>372</v>
      </c>
      <c r="M74" s="190" t="s">
        <v>372</v>
      </c>
      <c r="N74" s="192"/>
      <c r="O74" s="192"/>
      <c r="P74" s="190"/>
      <c r="Q74" s="193"/>
    </row>
    <row r="75" spans="1:17" ht="22" customHeight="1" thickBot="1" x14ac:dyDescent="0.4">
      <c r="F75" s="2"/>
    </row>
    <row r="76" spans="1:17" ht="22" customHeight="1" x14ac:dyDescent="0.35">
      <c r="A76" s="231" t="s">
        <v>196</v>
      </c>
      <c r="B76" s="230" t="s">
        <v>197</v>
      </c>
      <c r="C76" s="179"/>
      <c r="D76" s="179"/>
      <c r="E76" s="178"/>
      <c r="F76" s="178"/>
      <c r="G76" s="178"/>
      <c r="H76" s="220"/>
      <c r="I76" s="229"/>
      <c r="J76" s="229"/>
      <c r="K76" s="229"/>
      <c r="L76" s="233"/>
      <c r="M76" s="230"/>
      <c r="N76" s="180"/>
      <c r="O76" s="180"/>
      <c r="P76" s="220"/>
      <c r="Q76" s="232"/>
    </row>
    <row r="77" spans="1:17" ht="22" customHeight="1" x14ac:dyDescent="0.35">
      <c r="A77" s="181"/>
      <c r="B77" s="155" t="s">
        <v>198</v>
      </c>
      <c r="C77" s="157">
        <v>6</v>
      </c>
      <c r="D77" s="157">
        <v>12</v>
      </c>
      <c r="E77" s="156">
        <v>2</v>
      </c>
      <c r="F77" s="158">
        <f>IFERROR(AVERAGE(C77:D77)*_xlfn.XLOOKUP(E77,'Datavalidering (skjules)'!$I$7:$I$12,'Datavalidering (skjules)'!$J$7:$J$12),"")</f>
        <v>13.5</v>
      </c>
      <c r="G77" s="156" t="s">
        <v>30</v>
      </c>
      <c r="H77" s="156" t="s">
        <v>199</v>
      </c>
      <c r="I77" s="159" t="s">
        <v>87</v>
      </c>
      <c r="J77" s="159"/>
      <c r="K77" s="159"/>
      <c r="L77" s="219" t="s">
        <v>373</v>
      </c>
      <c r="M77" s="219" t="s">
        <v>374</v>
      </c>
      <c r="N77" s="156"/>
      <c r="O77" s="156"/>
      <c r="P77" s="160">
        <v>0</v>
      </c>
      <c r="Q77" s="182" t="s">
        <v>200</v>
      </c>
    </row>
    <row r="78" spans="1:17" ht="22" customHeight="1" x14ac:dyDescent="0.35">
      <c r="A78" s="181"/>
      <c r="B78" s="155" t="s">
        <v>201</v>
      </c>
      <c r="C78" s="157" t="s">
        <v>114</v>
      </c>
      <c r="D78" s="157" t="s">
        <v>114</v>
      </c>
      <c r="E78" s="156">
        <v>1</v>
      </c>
      <c r="F78" s="158" t="str">
        <f>IFERROR(AVERAGE(C78:D78)*_xlfn.XLOOKUP(E78,'Datavalidering (skjules)'!$I$7:$I$12,'Datavalidering (skjules)'!$J$7:$J$12),"")</f>
        <v/>
      </c>
      <c r="G78" s="156" t="s">
        <v>32</v>
      </c>
      <c r="H78" s="156" t="s">
        <v>97</v>
      </c>
      <c r="I78" s="159" t="s">
        <v>71</v>
      </c>
      <c r="J78" s="159"/>
      <c r="K78" s="159"/>
      <c r="L78" s="219" t="s">
        <v>373</v>
      </c>
      <c r="M78" s="219" t="s">
        <v>374</v>
      </c>
      <c r="N78" s="156"/>
      <c r="O78" s="156"/>
      <c r="P78" s="160">
        <v>0</v>
      </c>
      <c r="Q78" s="182" t="s">
        <v>202</v>
      </c>
    </row>
    <row r="79" spans="1:17" ht="22" customHeight="1" x14ac:dyDescent="0.35">
      <c r="A79" s="181"/>
      <c r="B79" s="155" t="s">
        <v>384</v>
      </c>
      <c r="C79" s="157">
        <v>6</v>
      </c>
      <c r="D79" s="157">
        <v>10</v>
      </c>
      <c r="E79" s="156">
        <v>1</v>
      </c>
      <c r="F79" s="158">
        <f>IFERROR(AVERAGE(C79:D79)*_xlfn.XLOOKUP(E79,'Datavalidering (skjules)'!$I$7:$I$12,'Datavalidering (skjules)'!$J$7:$J$12),"")</f>
        <v>8</v>
      </c>
      <c r="G79" s="156"/>
      <c r="H79" s="159" t="s">
        <v>87</v>
      </c>
      <c r="I79" s="159" t="s">
        <v>87</v>
      </c>
      <c r="J79" s="159"/>
      <c r="K79" s="159"/>
      <c r="L79" s="219" t="s">
        <v>373</v>
      </c>
      <c r="M79" s="219" t="s">
        <v>374</v>
      </c>
      <c r="N79" s="156"/>
      <c r="O79" s="156"/>
      <c r="P79" s="160">
        <v>0</v>
      </c>
      <c r="Q79" s="182"/>
    </row>
    <row r="80" spans="1:17" ht="22" customHeight="1" x14ac:dyDescent="0.35">
      <c r="A80" s="181"/>
      <c r="B80" s="155" t="s">
        <v>203</v>
      </c>
      <c r="C80" s="157">
        <v>8</v>
      </c>
      <c r="D80" s="157">
        <v>8</v>
      </c>
      <c r="E80" s="156">
        <v>2</v>
      </c>
      <c r="F80" s="158">
        <f>IFERROR(AVERAGE(C80:D80)*_xlfn.XLOOKUP(E80,'Datavalidering (skjules)'!$I$7:$I$12,'Datavalidering (skjules)'!$J$7:$J$12),"")</f>
        <v>12</v>
      </c>
      <c r="G80" s="156" t="s">
        <v>30</v>
      </c>
      <c r="H80" s="156" t="s">
        <v>204</v>
      </c>
      <c r="I80" s="159" t="s">
        <v>87</v>
      </c>
      <c r="J80" s="159"/>
      <c r="K80" s="159"/>
      <c r="L80" s="219" t="s">
        <v>373</v>
      </c>
      <c r="M80" s="219" t="s">
        <v>374</v>
      </c>
      <c r="N80" s="156"/>
      <c r="O80" s="156"/>
      <c r="P80" s="160">
        <v>0</v>
      </c>
      <c r="Q80" s="182" t="s">
        <v>205</v>
      </c>
    </row>
    <row r="81" spans="1:17" ht="22" customHeight="1" thickBot="1" x14ac:dyDescent="0.4">
      <c r="A81" s="189" t="s">
        <v>210</v>
      </c>
      <c r="B81" s="190" t="str">
        <f>_xlfn.XLOOKUP(A81,Milepæler!$B$5:$B$30,Milepæler!$C$5:$C$30,)</f>
        <v>Løsningen er klar for Kundens Godkjenningsprøve</v>
      </c>
      <c r="C81" s="191"/>
      <c r="D81" s="191"/>
      <c r="E81" s="190"/>
      <c r="F81" s="190"/>
      <c r="G81" s="190"/>
      <c r="H81" s="190"/>
      <c r="I81" s="190"/>
      <c r="J81" s="190"/>
      <c r="K81" s="190"/>
      <c r="L81" s="190" t="s">
        <v>374</v>
      </c>
      <c r="M81" s="190" t="s">
        <v>374</v>
      </c>
      <c r="N81" s="192"/>
      <c r="O81" s="192"/>
      <c r="P81" s="190"/>
      <c r="Q81" s="193"/>
    </row>
    <row r="82" spans="1:17" s="6" customFormat="1" ht="22" customHeight="1" thickBot="1" x14ac:dyDescent="0.4">
      <c r="C82" s="108"/>
      <c r="D82" s="108"/>
      <c r="G82" s="37"/>
      <c r="N82" s="7"/>
      <c r="O82" s="7"/>
    </row>
    <row r="83" spans="1:17" ht="22" customHeight="1" x14ac:dyDescent="0.35">
      <c r="A83" s="231" t="s">
        <v>211</v>
      </c>
      <c r="B83" s="230" t="s">
        <v>381</v>
      </c>
      <c r="C83" s="179"/>
      <c r="D83" s="179"/>
      <c r="E83" s="178"/>
      <c r="F83" s="178"/>
      <c r="G83" s="178"/>
      <c r="H83" s="220"/>
      <c r="I83" s="229"/>
      <c r="J83" s="229"/>
      <c r="K83" s="229"/>
      <c r="L83" s="233"/>
      <c r="M83" s="230"/>
      <c r="N83" s="180"/>
      <c r="O83" s="180"/>
      <c r="P83" s="220"/>
      <c r="Q83" s="232"/>
    </row>
    <row r="84" spans="1:17" s="6" customFormat="1" ht="22" customHeight="1" x14ac:dyDescent="0.35">
      <c r="A84" s="181"/>
      <c r="B84" s="159" t="s">
        <v>212</v>
      </c>
      <c r="C84" s="157">
        <v>1</v>
      </c>
      <c r="D84" s="157">
        <v>2</v>
      </c>
      <c r="E84" s="156">
        <v>1</v>
      </c>
      <c r="F84" s="158">
        <f>IFERROR(AVERAGE(C84:D84)*_xlfn.XLOOKUP(E84,'Datavalidering (skjules)'!$I$7:$I$12,'Datavalidering (skjules)'!$J$7:$J$12),"")</f>
        <v>1.5</v>
      </c>
      <c r="G84" s="156" t="s">
        <v>32</v>
      </c>
      <c r="H84" s="156" t="s">
        <v>204</v>
      </c>
      <c r="I84" s="159" t="s">
        <v>71</v>
      </c>
      <c r="J84" s="159"/>
      <c r="K84" s="159" t="s">
        <v>80</v>
      </c>
      <c r="L84" s="219" t="s">
        <v>376</v>
      </c>
      <c r="M84" s="219" t="s">
        <v>376</v>
      </c>
      <c r="N84" s="156" t="s">
        <v>73</v>
      </c>
      <c r="O84" s="156"/>
      <c r="P84" s="160">
        <v>0</v>
      </c>
      <c r="Q84" s="182" t="s">
        <v>213</v>
      </c>
    </row>
    <row r="85" spans="1:17" s="6" customFormat="1" ht="22" customHeight="1" x14ac:dyDescent="0.35">
      <c r="A85" s="181"/>
      <c r="B85" s="159" t="s">
        <v>382</v>
      </c>
      <c r="C85" s="157"/>
      <c r="D85" s="157"/>
      <c r="E85" s="156">
        <v>1</v>
      </c>
      <c r="F85" s="158" t="str">
        <f>IFERROR(AVERAGE(C85:D85)*_xlfn.XLOOKUP(E85,'Datavalidering (skjules)'!$I$7:$I$12,'Datavalidering (skjules)'!$J$7:$J$12),"")</f>
        <v/>
      </c>
      <c r="G85" s="156" t="s">
        <v>32</v>
      </c>
      <c r="H85" s="156" t="s">
        <v>204</v>
      </c>
      <c r="I85" s="159" t="s">
        <v>83</v>
      </c>
      <c r="J85" s="159"/>
      <c r="K85" s="159"/>
      <c r="L85" s="219" t="s">
        <v>376</v>
      </c>
      <c r="M85" s="219" t="s">
        <v>377</v>
      </c>
      <c r="N85" s="156"/>
      <c r="O85" s="156"/>
      <c r="P85" s="160">
        <v>0</v>
      </c>
      <c r="Q85" s="182" t="s">
        <v>214</v>
      </c>
    </row>
    <row r="86" spans="1:17" s="6" customFormat="1" ht="22" customHeight="1" x14ac:dyDescent="0.35">
      <c r="A86" s="181"/>
      <c r="B86" s="159" t="s">
        <v>383</v>
      </c>
      <c r="C86" s="157">
        <v>20</v>
      </c>
      <c r="D86" s="157">
        <v>20</v>
      </c>
      <c r="E86" s="156">
        <v>1</v>
      </c>
      <c r="F86" s="158">
        <v>10</v>
      </c>
      <c r="G86" s="156" t="s">
        <v>30</v>
      </c>
      <c r="H86" s="156" t="s">
        <v>204</v>
      </c>
      <c r="I86" s="159" t="s">
        <v>87</v>
      </c>
      <c r="J86" s="159"/>
      <c r="K86" s="159"/>
      <c r="L86" s="219" t="s">
        <v>376</v>
      </c>
      <c r="M86" s="219" t="s">
        <v>377</v>
      </c>
      <c r="N86" s="156"/>
      <c r="O86" s="156"/>
      <c r="P86" s="160">
        <v>0</v>
      </c>
      <c r="Q86" s="182" t="s">
        <v>215</v>
      </c>
    </row>
    <row r="87" spans="1:17" s="6" customFormat="1" ht="22" customHeight="1" x14ac:dyDescent="0.35">
      <c r="A87" s="181"/>
      <c r="B87" s="159" t="s">
        <v>216</v>
      </c>
      <c r="C87" s="157">
        <v>1</v>
      </c>
      <c r="D87" s="157">
        <v>2</v>
      </c>
      <c r="E87" s="156">
        <v>1</v>
      </c>
      <c r="F87" s="158">
        <f>IFERROR(AVERAGE(C87:D87)*_xlfn.XLOOKUP(E87,'Datavalidering (skjules)'!$I$7:$I$12,'Datavalidering (skjules)'!$J$7:$J$12),"")</f>
        <v>1.5</v>
      </c>
      <c r="G87" s="156" t="s">
        <v>32</v>
      </c>
      <c r="H87" s="156" t="s">
        <v>204</v>
      </c>
      <c r="I87" s="159" t="s">
        <v>71</v>
      </c>
      <c r="J87" s="159"/>
      <c r="K87" s="159" t="s">
        <v>217</v>
      </c>
      <c r="L87" s="219" t="s">
        <v>378</v>
      </c>
      <c r="M87" s="219" t="s">
        <v>378</v>
      </c>
      <c r="N87" s="156" t="s">
        <v>73</v>
      </c>
      <c r="O87" s="156"/>
      <c r="P87" s="160">
        <v>0</v>
      </c>
      <c r="Q87" s="182" t="s">
        <v>218</v>
      </c>
    </row>
    <row r="88" spans="1:17" s="6" customFormat="1" ht="22" customHeight="1" x14ac:dyDescent="0.35">
      <c r="A88" s="181"/>
      <c r="B88" s="159" t="s">
        <v>219</v>
      </c>
      <c r="C88" s="157">
        <v>1</v>
      </c>
      <c r="D88" s="157">
        <v>2</v>
      </c>
      <c r="E88" s="156">
        <v>1</v>
      </c>
      <c r="F88" s="158">
        <f>IFERROR(AVERAGE(C88:D88)*_xlfn.XLOOKUP(E88,'Datavalidering (skjules)'!$I$7:$I$12,'Datavalidering (skjules)'!$J$7:$J$12),"")</f>
        <v>1.5</v>
      </c>
      <c r="G88" s="156" t="s">
        <v>32</v>
      </c>
      <c r="H88" s="156" t="s">
        <v>204</v>
      </c>
      <c r="I88" s="159" t="s">
        <v>71</v>
      </c>
      <c r="J88" s="159"/>
      <c r="K88" s="159" t="s">
        <v>217</v>
      </c>
      <c r="L88" s="219" t="s">
        <v>377</v>
      </c>
      <c r="M88" s="219" t="s">
        <v>377</v>
      </c>
      <c r="N88" s="156" t="s">
        <v>73</v>
      </c>
      <c r="O88" s="156"/>
      <c r="P88" s="160">
        <v>0</v>
      </c>
      <c r="Q88" s="182" t="s">
        <v>220</v>
      </c>
    </row>
    <row r="89" spans="1:17" s="6" customFormat="1" ht="22" customHeight="1" x14ac:dyDescent="0.35">
      <c r="A89" s="184" t="s">
        <v>221</v>
      </c>
      <c r="B89" s="161" t="str">
        <f>_xlfn.XLOOKUP(A89,Milepæler!$B$5:$B$30,Milepæler!$C$5:$C$30,)</f>
        <v>Perioden for Godkjenningsprøven er utløpt og Løsningen er godkjent iht. akseptansekriteriene</v>
      </c>
      <c r="C89" s="168"/>
      <c r="D89" s="168"/>
      <c r="E89" s="167"/>
      <c r="F89" s="167"/>
      <c r="G89" s="167"/>
      <c r="H89" s="167"/>
      <c r="I89" s="169"/>
      <c r="J89" s="169"/>
      <c r="K89" s="169"/>
      <c r="L89" s="250" t="s">
        <v>377</v>
      </c>
      <c r="M89" s="250" t="s">
        <v>377</v>
      </c>
      <c r="N89" s="167"/>
      <c r="O89" s="167"/>
      <c r="P89" s="171"/>
      <c r="Q89" s="186"/>
    </row>
    <row r="90" spans="1:17" s="6" customFormat="1" ht="22" customHeight="1" x14ac:dyDescent="0.35">
      <c r="C90" s="108"/>
      <c r="D90" s="108"/>
      <c r="E90" s="108"/>
      <c r="F90" s="108"/>
      <c r="G90" s="37"/>
      <c r="N90" s="7"/>
      <c r="O90" s="7"/>
    </row>
    <row r="91" spans="1:17" s="6" customFormat="1" ht="22" customHeight="1" thickBot="1" x14ac:dyDescent="0.4">
      <c r="C91" s="108"/>
      <c r="D91" s="108"/>
      <c r="E91" s="108"/>
      <c r="F91" s="108"/>
      <c r="G91" s="37"/>
      <c r="N91" s="7"/>
      <c r="O91" s="7"/>
    </row>
    <row r="92" spans="1:17" ht="22" customHeight="1" x14ac:dyDescent="0.35">
      <c r="A92" s="231" t="s">
        <v>222</v>
      </c>
      <c r="B92" s="230" t="s">
        <v>223</v>
      </c>
      <c r="C92" s="179"/>
      <c r="D92" s="179"/>
      <c r="E92" s="179"/>
      <c r="F92" s="179"/>
      <c r="G92" s="178"/>
      <c r="H92" s="220"/>
      <c r="I92" s="229"/>
      <c r="J92" s="229"/>
      <c r="K92" s="229"/>
      <c r="L92" s="233"/>
      <c r="M92" s="230"/>
      <c r="N92" s="180"/>
      <c r="O92" s="180"/>
      <c r="P92" s="220"/>
      <c r="Q92" s="232"/>
    </row>
    <row r="93" spans="1:17" ht="22" customHeight="1" x14ac:dyDescent="0.35">
      <c r="A93" s="181"/>
      <c r="B93" s="209" t="s">
        <v>224</v>
      </c>
      <c r="C93" s="216"/>
      <c r="D93" s="216"/>
      <c r="E93" s="216"/>
      <c r="F93" s="216"/>
      <c r="G93" s="209"/>
      <c r="H93" s="209"/>
      <c r="I93" s="209"/>
      <c r="J93" s="209"/>
      <c r="K93" s="209"/>
      <c r="L93" s="209"/>
      <c r="M93" s="209"/>
      <c r="N93" s="217"/>
      <c r="O93" s="217"/>
      <c r="P93" s="209"/>
      <c r="Q93" s="218"/>
    </row>
    <row r="94" spans="1:17" s="6" customFormat="1" ht="22" customHeight="1" x14ac:dyDescent="0.35">
      <c r="A94" s="181"/>
      <c r="B94" s="159" t="s">
        <v>227</v>
      </c>
      <c r="C94" s="157"/>
      <c r="D94" s="157"/>
      <c r="E94" s="156">
        <v>1</v>
      </c>
      <c r="F94" s="158" t="str">
        <f>IFERROR(AVERAGE(C94:D94)*_xlfn.XLOOKUP(E94,'Datavalidering (skjules)'!$I$7:$I$12,'Datavalidering (skjules)'!$J$7:$J$12),"")</f>
        <v/>
      </c>
      <c r="G94" s="156" t="s">
        <v>32</v>
      </c>
      <c r="H94" s="156" t="s">
        <v>204</v>
      </c>
      <c r="I94" s="159" t="s">
        <v>71</v>
      </c>
      <c r="J94" s="159"/>
      <c r="K94" s="159" t="s">
        <v>217</v>
      </c>
      <c r="L94" s="219" t="s">
        <v>379</v>
      </c>
      <c r="M94" s="219" t="s">
        <v>379</v>
      </c>
      <c r="N94" s="156"/>
      <c r="O94" s="156"/>
      <c r="P94" s="160">
        <v>0</v>
      </c>
      <c r="Q94" s="182" t="s">
        <v>228</v>
      </c>
    </row>
    <row r="95" spans="1:17" ht="22" customHeight="1" x14ac:dyDescent="0.35">
      <c r="A95" s="181"/>
      <c r="B95" s="234" t="s">
        <v>229</v>
      </c>
      <c r="C95" s="216"/>
      <c r="D95" s="216"/>
      <c r="E95" s="209"/>
      <c r="F95" s="209"/>
      <c r="G95" s="209"/>
      <c r="H95" s="209"/>
      <c r="I95" s="209"/>
      <c r="J95" s="209"/>
      <c r="K95" s="209"/>
      <c r="L95" s="209"/>
      <c r="M95" s="209"/>
      <c r="N95" s="217"/>
      <c r="O95" s="217"/>
      <c r="P95" s="209"/>
      <c r="Q95" s="218"/>
    </row>
    <row r="96" spans="1:17" s="6" customFormat="1" ht="22" customHeight="1" x14ac:dyDescent="0.35">
      <c r="A96" s="181"/>
      <c r="B96" s="164" t="s">
        <v>375</v>
      </c>
      <c r="C96" s="157">
        <v>0</v>
      </c>
      <c r="D96" s="157">
        <v>4</v>
      </c>
      <c r="E96" s="156">
        <v>1</v>
      </c>
      <c r="F96" s="158">
        <f>IFERROR(AVERAGE(C96:D96)*_xlfn.XLOOKUP(E96,'Datavalidering (skjules)'!$I$7:$I$12,'Datavalidering (skjules)'!$J$7:$J$12),"")</f>
        <v>2</v>
      </c>
      <c r="G96" s="156" t="s">
        <v>32</v>
      </c>
      <c r="H96" s="156" t="s">
        <v>199</v>
      </c>
      <c r="I96" s="159" t="s">
        <v>87</v>
      </c>
      <c r="J96" s="159"/>
      <c r="K96" s="159"/>
      <c r="L96" s="219" t="s">
        <v>379</v>
      </c>
      <c r="M96" s="219" t="s">
        <v>379</v>
      </c>
      <c r="N96" s="156"/>
      <c r="O96" s="156"/>
      <c r="P96" s="160">
        <v>0</v>
      </c>
      <c r="Q96" s="182" t="s">
        <v>202</v>
      </c>
    </row>
    <row r="97" spans="1:17" s="6" customFormat="1" ht="22" customHeight="1" x14ac:dyDescent="0.35">
      <c r="A97" s="181"/>
      <c r="B97" s="164" t="s">
        <v>206</v>
      </c>
      <c r="C97" s="157"/>
      <c r="D97" s="157"/>
      <c r="E97" s="156">
        <v>1</v>
      </c>
      <c r="F97" s="158">
        <v>5</v>
      </c>
      <c r="G97" s="156" t="s">
        <v>32</v>
      </c>
      <c r="H97" s="156" t="s">
        <v>199</v>
      </c>
      <c r="I97" s="159" t="s">
        <v>207</v>
      </c>
      <c r="J97" s="159"/>
      <c r="K97" s="159" t="s">
        <v>208</v>
      </c>
      <c r="L97" s="219" t="s">
        <v>379</v>
      </c>
      <c r="M97" s="219" t="s">
        <v>379</v>
      </c>
      <c r="N97" s="156"/>
      <c r="O97" s="156"/>
      <c r="P97" s="160">
        <v>0</v>
      </c>
      <c r="Q97" s="182" t="s">
        <v>209</v>
      </c>
    </row>
    <row r="98" spans="1:17" s="6" customFormat="1" ht="22" customHeight="1" x14ac:dyDescent="0.35">
      <c r="A98" s="181"/>
      <c r="B98" s="164" t="s">
        <v>232</v>
      </c>
      <c r="C98" s="157">
        <v>4</v>
      </c>
      <c r="D98" s="157">
        <v>4</v>
      </c>
      <c r="E98" s="156">
        <v>1</v>
      </c>
      <c r="F98" s="158">
        <f>IFERROR(AVERAGE(C98:D98)*_xlfn.XLOOKUP(E98,'Datavalidering (skjules)'!$I$7:$I$12,'Datavalidering (skjules)'!$J$7:$J$12),"")</f>
        <v>4</v>
      </c>
      <c r="G98" s="156" t="s">
        <v>32</v>
      </c>
      <c r="H98" s="156" t="s">
        <v>204</v>
      </c>
      <c r="I98" s="159" t="s">
        <v>71</v>
      </c>
      <c r="J98" s="159"/>
      <c r="K98" s="159" t="s">
        <v>226</v>
      </c>
      <c r="L98" s="219" t="s">
        <v>379</v>
      </c>
      <c r="M98" s="219" t="s">
        <v>379</v>
      </c>
      <c r="N98" s="156"/>
      <c r="O98" s="156"/>
      <c r="P98" s="160">
        <v>0</v>
      </c>
      <c r="Q98" s="182" t="s">
        <v>233</v>
      </c>
    </row>
    <row r="99" spans="1:17" s="6" customFormat="1" ht="22" customHeight="1" x14ac:dyDescent="0.35">
      <c r="A99" s="181"/>
      <c r="B99" s="164" t="s">
        <v>234</v>
      </c>
      <c r="C99" s="157">
        <v>1</v>
      </c>
      <c r="D99" s="157">
        <v>2</v>
      </c>
      <c r="E99" s="156">
        <v>1</v>
      </c>
      <c r="F99" s="158">
        <f>IFERROR(AVERAGE(C99:D99)*_xlfn.XLOOKUP(E99,'Datavalidering (skjules)'!$I$7:$I$12,'Datavalidering (skjules)'!$J$7:$J$12),"")</f>
        <v>1.5</v>
      </c>
      <c r="G99" s="156" t="s">
        <v>32</v>
      </c>
      <c r="H99" s="156" t="s">
        <v>40</v>
      </c>
      <c r="I99" s="159" t="s">
        <v>91</v>
      </c>
      <c r="J99" s="159"/>
      <c r="K99" s="159" t="s">
        <v>226</v>
      </c>
      <c r="L99" s="219" t="s">
        <v>379</v>
      </c>
      <c r="M99" s="219" t="s">
        <v>379</v>
      </c>
      <c r="N99" s="156"/>
      <c r="O99" s="156"/>
      <c r="P99" s="160">
        <v>0</v>
      </c>
      <c r="Q99" s="182" t="s">
        <v>235</v>
      </c>
    </row>
    <row r="100" spans="1:17" ht="22" customHeight="1" thickBot="1" x14ac:dyDescent="0.4">
      <c r="A100" s="189" t="s">
        <v>236</v>
      </c>
      <c r="B100" s="190" t="str">
        <f>_xlfn.XLOOKUP(A100,Milepæler!$B$5:$B$30,Milepæler!$C$5:$C$30,)</f>
        <v>Løsningen er driftsatt og tilgjengeliggjort for sluttbrukerne</v>
      </c>
      <c r="C100" s="191"/>
      <c r="D100" s="191"/>
      <c r="E100" s="190"/>
      <c r="F100" s="190"/>
      <c r="G100" s="190"/>
      <c r="H100" s="190"/>
      <c r="I100" s="190"/>
      <c r="J100" s="190"/>
      <c r="K100" s="190"/>
      <c r="L100" s="190" t="s">
        <v>379</v>
      </c>
      <c r="M100" s="190" t="s">
        <v>379</v>
      </c>
      <c r="N100" s="192"/>
      <c r="O100" s="192"/>
      <c r="P100" s="190"/>
      <c r="Q100" s="193"/>
    </row>
    <row r="101" spans="1:17" s="6" customFormat="1" ht="22" customHeight="1" thickBot="1" x14ac:dyDescent="0.4">
      <c r="C101" s="108"/>
      <c r="D101" s="108"/>
      <c r="G101" s="37"/>
      <c r="N101" s="7"/>
      <c r="O101" s="7"/>
    </row>
    <row r="102" spans="1:17" ht="22" customHeight="1" x14ac:dyDescent="0.35">
      <c r="A102" s="231" t="s">
        <v>237</v>
      </c>
      <c r="B102" s="230" t="s">
        <v>238</v>
      </c>
      <c r="C102" s="179"/>
      <c r="D102" s="179"/>
      <c r="E102" s="178"/>
      <c r="F102" s="178" t="str">
        <f>IFERROR(AVERAGE(C102:D102)*_xlfn.XLOOKUP(E102,'Datavalidering (skjules)'!$I$7:$I$12,'Datavalidering (skjules)'!$J$7:$J$12),"")</f>
        <v/>
      </c>
      <c r="G102" s="178"/>
      <c r="H102" s="220"/>
      <c r="I102" s="229"/>
      <c r="J102" s="229"/>
      <c r="K102" s="229"/>
      <c r="L102" s="233"/>
      <c r="M102" s="230"/>
      <c r="N102" s="180"/>
      <c r="O102" s="180"/>
      <c r="P102" s="220"/>
      <c r="Q102" s="232"/>
    </row>
    <row r="103" spans="1:17" s="6" customFormat="1" ht="22" customHeight="1" x14ac:dyDescent="0.35">
      <c r="A103" s="181"/>
      <c r="B103" s="159" t="s">
        <v>240</v>
      </c>
      <c r="C103" s="157">
        <v>2</v>
      </c>
      <c r="D103" s="157">
        <v>4</v>
      </c>
      <c r="E103" s="156">
        <v>1</v>
      </c>
      <c r="F103" s="158"/>
      <c r="G103" s="156" t="s">
        <v>32</v>
      </c>
      <c r="H103" s="156" t="s">
        <v>86</v>
      </c>
      <c r="I103" s="159" t="s">
        <v>71</v>
      </c>
      <c r="J103" s="159"/>
      <c r="K103" s="159" t="s">
        <v>80</v>
      </c>
      <c r="L103" s="219" t="s">
        <v>380</v>
      </c>
      <c r="M103" s="219" t="s">
        <v>380</v>
      </c>
      <c r="N103" s="156" t="s">
        <v>73</v>
      </c>
      <c r="O103" s="156"/>
      <c r="P103" s="160">
        <v>0</v>
      </c>
      <c r="Q103" s="182" t="s">
        <v>241</v>
      </c>
    </row>
    <row r="104" spans="1:17" s="6" customFormat="1" ht="22" customHeight="1" x14ac:dyDescent="0.35">
      <c r="A104" s="181"/>
      <c r="B104" s="159" t="s">
        <v>242</v>
      </c>
      <c r="C104" s="157">
        <v>4</v>
      </c>
      <c r="D104" s="157">
        <v>6</v>
      </c>
      <c r="E104" s="156">
        <v>1</v>
      </c>
      <c r="F104" s="158">
        <f>IFERROR(AVERAGE(C104:D104)*_xlfn.XLOOKUP(E104,'Datavalidering (skjules)'!$I$7:$I$12,'Datavalidering (skjules)'!$J$7:$J$12),"")</f>
        <v>5</v>
      </c>
      <c r="G104" s="156" t="s">
        <v>32</v>
      </c>
      <c r="H104" s="156" t="s">
        <v>40</v>
      </c>
      <c r="I104" s="159" t="s">
        <v>87</v>
      </c>
      <c r="J104" s="159"/>
      <c r="K104" s="159"/>
      <c r="L104" s="219" t="s">
        <v>380</v>
      </c>
      <c r="M104" s="219" t="s">
        <v>380</v>
      </c>
      <c r="N104" s="156"/>
      <c r="O104" s="156"/>
      <c r="P104" s="160">
        <v>0</v>
      </c>
      <c r="Q104" s="182" t="s">
        <v>243</v>
      </c>
    </row>
    <row r="105" spans="1:17" ht="22" customHeight="1" thickBot="1" x14ac:dyDescent="0.4">
      <c r="A105" s="189" t="s">
        <v>244</v>
      </c>
      <c r="B105" s="190" t="str">
        <f>_xlfn.XLOOKUP(A105,Milepæler!$B$5:$B$30,Milepæler!$C$5:$C$30,)</f>
        <v>Prosjektet er avsluttet og overlevert til forvaltning</v>
      </c>
      <c r="C105" s="191"/>
      <c r="D105" s="191"/>
      <c r="E105" s="190"/>
      <c r="F105" s="190"/>
      <c r="G105" s="190"/>
      <c r="H105" s="190"/>
      <c r="I105" s="190"/>
      <c r="J105" s="190"/>
      <c r="K105" s="190"/>
      <c r="L105" s="190" t="s">
        <v>380</v>
      </c>
      <c r="M105" s="190" t="s">
        <v>380</v>
      </c>
      <c r="N105" s="192"/>
      <c r="O105" s="192"/>
      <c r="P105" s="190"/>
      <c r="Q105" s="193"/>
    </row>
    <row r="106" spans="1:17" ht="22" customHeight="1" x14ac:dyDescent="0.35">
      <c r="F106" s="240"/>
      <c r="G106" s="240"/>
    </row>
    <row r="107" spans="1:17" ht="22" customHeight="1" x14ac:dyDescent="0.35"/>
    <row r="108" spans="1:17" ht="22" customHeight="1" x14ac:dyDescent="0.35"/>
    <row r="109" spans="1:17" ht="22" customHeight="1" x14ac:dyDescent="0.35"/>
    <row r="110" spans="1:17" ht="22" customHeight="1" x14ac:dyDescent="0.35"/>
    <row r="111" spans="1:17" ht="22" customHeight="1" x14ac:dyDescent="0.35"/>
    <row r="112" spans="1:17" ht="22" customHeight="1" x14ac:dyDescent="0.35"/>
    <row r="113" ht="22" customHeight="1" x14ac:dyDescent="0.35"/>
    <row r="114" ht="22" customHeight="1" x14ac:dyDescent="0.35"/>
    <row r="115" ht="22" customHeight="1" x14ac:dyDescent="0.35"/>
    <row r="116" ht="22" customHeight="1" x14ac:dyDescent="0.35"/>
    <row r="117" ht="22" customHeight="1" x14ac:dyDescent="0.35"/>
    <row r="118" ht="22" customHeight="1" x14ac:dyDescent="0.35"/>
    <row r="119" ht="22" customHeight="1" x14ac:dyDescent="0.35"/>
    <row r="120" ht="22" customHeight="1" x14ac:dyDescent="0.35"/>
    <row r="121" ht="22" customHeight="1" x14ac:dyDescent="0.35"/>
    <row r="122" ht="22" customHeight="1" x14ac:dyDescent="0.35"/>
    <row r="123" ht="22" customHeight="1" x14ac:dyDescent="0.35"/>
    <row r="124" ht="22" customHeight="1" x14ac:dyDescent="0.35"/>
    <row r="125" ht="22" customHeight="1" x14ac:dyDescent="0.35"/>
    <row r="126" ht="22" customHeight="1" x14ac:dyDescent="0.35"/>
    <row r="127" ht="22" customHeight="1" x14ac:dyDescent="0.35"/>
    <row r="128" ht="22" customHeight="1" x14ac:dyDescent="0.35"/>
    <row r="129" ht="22" customHeight="1" x14ac:dyDescent="0.35"/>
    <row r="130" ht="22" customHeight="1" x14ac:dyDescent="0.35"/>
    <row r="131" ht="22" customHeight="1" x14ac:dyDescent="0.35"/>
    <row r="132" ht="22" customHeight="1" x14ac:dyDescent="0.35"/>
    <row r="133" ht="22" customHeight="1" x14ac:dyDescent="0.35"/>
    <row r="134" ht="22" customHeight="1" x14ac:dyDescent="0.35"/>
    <row r="135" ht="22" customHeight="1" x14ac:dyDescent="0.35"/>
    <row r="136" ht="22" customHeight="1" x14ac:dyDescent="0.35"/>
    <row r="137" ht="22" customHeight="1" x14ac:dyDescent="0.35"/>
    <row r="138" ht="22" customHeight="1" x14ac:dyDescent="0.35"/>
    <row r="139" ht="22" customHeight="1" x14ac:dyDescent="0.35"/>
  </sheetData>
  <mergeCells count="1">
    <mergeCell ref="C1:H1"/>
  </mergeCells>
  <conditionalFormatting sqref="C6:E11 C15:E16 C18:E29 C31:E35 C72:E73 C77:E80 C84:E88 C89:F89 C94:E94 C96:E99 C103:E104">
    <cfRule type="containsText" dxfId="66" priority="178" operator="containsText" text="Nei">
      <formula>NOT(ISERROR(SEARCH("Nei",C6)))</formula>
    </cfRule>
    <cfRule type="containsText" dxfId="65" priority="177" operator="containsText" text="Ja">
      <formula>NOT(ISERROR(SEARCH("Ja",C6)))</formula>
    </cfRule>
  </conditionalFormatting>
  <conditionalFormatting sqref="F6:F11 F15:F16 F19 F21:F25 F27:F29 F31:F34 F36:F38 F40:F41 F43:F46 F48:F50 F52 F54:F55 F57:F58 F60:F62 F64 F66:F70 F72:F73 F77:F80 F84:F88 F94 F96:F99 F103:F104">
    <cfRule type="containsText" dxfId="64" priority="176" operator="containsText" text="PL">
      <formula>NOT(ISERROR(SEARCH("PL",F6)))</formula>
    </cfRule>
  </conditionalFormatting>
  <conditionalFormatting sqref="G6:H11 G15:H16 G18:H29 G31:H70 G77:H78 G79 G80:H80 G94:H94 G96:H99 G103:H104">
    <cfRule type="containsText" dxfId="63" priority="172" operator="containsText" text="Lav">
      <formula>NOT(ISERROR(SEARCH("Lav",G6)))</formula>
    </cfRule>
    <cfRule type="containsText" dxfId="62" priority="171" operator="containsText" text="Medium">
      <formula>NOT(ISERROR(SEARCH("Medium",G6)))</formula>
    </cfRule>
    <cfRule type="containsText" dxfId="61" priority="170" operator="containsText" text="Høy">
      <formula>NOT(ISERROR(SEARCH("Høy",G6)))</formula>
    </cfRule>
  </conditionalFormatting>
  <conditionalFormatting sqref="G72:H73">
    <cfRule type="containsText" dxfId="60" priority="341" operator="containsText" text="Lav">
      <formula>NOT(ISERROR(SEARCH("Lav",G72)))</formula>
    </cfRule>
    <cfRule type="containsText" dxfId="59" priority="340" operator="containsText" text="Medium">
      <formula>NOT(ISERROR(SEARCH("Medium",G72)))</formula>
    </cfRule>
    <cfRule type="containsText" dxfId="58" priority="339" operator="containsText" text="Høy">
      <formula>NOT(ISERROR(SEARCH("Høy",G72)))</formula>
    </cfRule>
  </conditionalFormatting>
  <conditionalFormatting sqref="G84:H89">
    <cfRule type="containsText" dxfId="57" priority="194" operator="containsText" text="Lav">
      <formula>NOT(ISERROR(SEARCH("Lav",G84)))</formula>
    </cfRule>
    <cfRule type="containsText" dxfId="56" priority="193" operator="containsText" text="Medium">
      <formula>NOT(ISERROR(SEARCH("Medium",G84)))</formula>
    </cfRule>
    <cfRule type="containsText" dxfId="55" priority="192" operator="containsText" text="Høy">
      <formula>NOT(ISERROR(SEARCH("Høy",G84)))</formula>
    </cfRule>
  </conditionalFormatting>
  <conditionalFormatting sqref="I39">
    <cfRule type="containsText" dxfId="54" priority="93" operator="containsText" text="Høy">
      <formula>NOT(ISERROR(SEARCH("Høy",I39)))</formula>
    </cfRule>
    <cfRule type="containsText" dxfId="53" priority="94" operator="containsText" text="Medium">
      <formula>NOT(ISERROR(SEARCH("Medium",I39)))</formula>
    </cfRule>
    <cfRule type="containsText" dxfId="52" priority="95" operator="containsText" text="Lav">
      <formula>NOT(ISERROR(SEARCH("Lav",I39)))</formula>
    </cfRule>
  </conditionalFormatting>
  <conditionalFormatting sqref="I42">
    <cfRule type="containsText" dxfId="51" priority="96" operator="containsText" text="Høy">
      <formula>NOT(ISERROR(SEARCH("Høy",I42)))</formula>
    </cfRule>
    <cfRule type="containsText" dxfId="50" priority="97" operator="containsText" text="Medium">
      <formula>NOT(ISERROR(SEARCH("Medium",I42)))</formula>
    </cfRule>
    <cfRule type="containsText" dxfId="49" priority="98" operator="containsText" text="Lav">
      <formula>NOT(ISERROR(SEARCH("Lav",I42)))</formula>
    </cfRule>
  </conditionalFormatting>
  <conditionalFormatting sqref="I47">
    <cfRule type="containsText" dxfId="48" priority="99" operator="containsText" text="Høy">
      <formula>NOT(ISERROR(SEARCH("Høy",I47)))</formula>
    </cfRule>
    <cfRule type="containsText" dxfId="47" priority="100" operator="containsText" text="Medium">
      <formula>NOT(ISERROR(SEARCH("Medium",I47)))</formula>
    </cfRule>
    <cfRule type="containsText" dxfId="46" priority="101" operator="containsText" text="Lav">
      <formula>NOT(ISERROR(SEARCH("Lav",I47)))</formula>
    </cfRule>
  </conditionalFormatting>
  <conditionalFormatting sqref="I51">
    <cfRule type="containsText" dxfId="45" priority="102" operator="containsText" text="Høy">
      <formula>NOT(ISERROR(SEARCH("Høy",I51)))</formula>
    </cfRule>
    <cfRule type="containsText" dxfId="44" priority="104" operator="containsText" text="Lav">
      <formula>NOT(ISERROR(SEARCH("Lav",I51)))</formula>
    </cfRule>
    <cfRule type="containsText" dxfId="43" priority="103" operator="containsText" text="Medium">
      <formula>NOT(ISERROR(SEARCH("Medium",I51)))</formula>
    </cfRule>
  </conditionalFormatting>
  <conditionalFormatting sqref="I53">
    <cfRule type="containsText" dxfId="42" priority="107" operator="containsText" text="Lav">
      <formula>NOT(ISERROR(SEARCH("Lav",I53)))</formula>
    </cfRule>
    <cfRule type="containsText" dxfId="41" priority="106" operator="containsText" text="Medium">
      <formula>NOT(ISERROR(SEARCH("Medium",I53)))</formula>
    </cfRule>
    <cfRule type="containsText" dxfId="40" priority="105" operator="containsText" text="Høy">
      <formula>NOT(ISERROR(SEARCH("Høy",I53)))</formula>
    </cfRule>
  </conditionalFormatting>
  <conditionalFormatting sqref="I56">
    <cfRule type="containsText" dxfId="39" priority="113" operator="containsText" text="Lav">
      <formula>NOT(ISERROR(SEARCH("Lav",I56)))</formula>
    </cfRule>
    <cfRule type="containsText" dxfId="38" priority="112" operator="containsText" text="Medium">
      <formula>NOT(ISERROR(SEARCH("Medium",I56)))</formula>
    </cfRule>
    <cfRule type="containsText" dxfId="37" priority="111" operator="containsText" text="Høy">
      <formula>NOT(ISERROR(SEARCH("Høy",I56)))</formula>
    </cfRule>
  </conditionalFormatting>
  <conditionalFormatting sqref="I59">
    <cfRule type="containsText" dxfId="36" priority="116" operator="containsText" text="Lav">
      <formula>NOT(ISERROR(SEARCH("Lav",I59)))</formula>
    </cfRule>
    <cfRule type="containsText" dxfId="35" priority="115" operator="containsText" text="Medium">
      <formula>NOT(ISERROR(SEARCH("Medium",I59)))</formula>
    </cfRule>
    <cfRule type="containsText" dxfId="34" priority="114" operator="containsText" text="Høy">
      <formula>NOT(ISERROR(SEARCH("Høy",I59)))</formula>
    </cfRule>
  </conditionalFormatting>
  <conditionalFormatting sqref="I63">
    <cfRule type="containsText" dxfId="33" priority="118" operator="containsText" text="Medium">
      <formula>NOT(ISERROR(SEARCH("Medium",I63)))</formula>
    </cfRule>
    <cfRule type="containsText" dxfId="32" priority="119" operator="containsText" text="Lav">
      <formula>NOT(ISERROR(SEARCH("Lav",I63)))</formula>
    </cfRule>
    <cfRule type="containsText" dxfId="31" priority="117" operator="containsText" text="Høy">
      <formula>NOT(ISERROR(SEARCH("Høy",I63)))</formula>
    </cfRule>
  </conditionalFormatting>
  <conditionalFormatting sqref="I65">
    <cfRule type="containsText" dxfId="30" priority="120" operator="containsText" text="Høy">
      <formula>NOT(ISERROR(SEARCH("Høy",I65)))</formula>
    </cfRule>
    <cfRule type="containsText" dxfId="29" priority="121" operator="containsText" text="Medium">
      <formula>NOT(ISERROR(SEARCH("Medium",I65)))</formula>
    </cfRule>
    <cfRule type="containsText" dxfId="28" priority="122" operator="containsText" text="Lav">
      <formula>NOT(ISERROR(SEARCH("Lav",I65)))</formula>
    </cfRule>
  </conditionalFormatting>
  <conditionalFormatting sqref="P6:P11 P15:P16 P94 P96:P99 P18:P29 P103:P104 P31:P70 P77:P80">
    <cfRule type="colorScale" priority="179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P72:P73">
    <cfRule type="colorScale" priority="354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P84:P89">
    <cfRule type="colorScale" priority="268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809051C-630F-41FB-814D-7980093120AF}">
          <x14:formula1>
            <xm:f>'Datavalidering (skjules)'!$C$3:$C$5</xm:f>
          </x14:formula1>
          <xm:sqref>G84:G88 G5:G11 G93:G99 G103:G104 G77:G80 G15:G74</xm:sqref>
        </x14:dataValidation>
        <x14:dataValidation type="list" allowBlank="1" showInputMessage="1" showErrorMessage="1" xr:uid="{E882B0B1-9D95-4751-9F6B-F6514E2CA491}">
          <x14:formula1>
            <xm:f>'Datavalidering (skjules)'!$B$14:$B$31</xm:f>
          </x14:formula1>
          <xm:sqref>H84:H88 H5:H11 H93:H99 H103:H104 H15:H74 H77:H78 H80</xm:sqref>
        </x14:dataValidation>
        <x14:dataValidation type="list" allowBlank="1" showInputMessage="1" showErrorMessage="1" xr:uid="{78E4A35E-1A7F-4332-9666-D25DE5716725}">
          <x14:formula1>
            <xm:f>'Datavalidering (skjules)'!$I$7:$I$9</xm:f>
          </x14:formula1>
          <xm:sqref>F100 E84:E88 E72:E73 E103:E104 E60:E62 E54:E55 E43:E46 E6:E11 E15:E16 E19 E27:E29 E96:E99 E94 E21:E25 E77:E80 E36:E38 E40:E41 E48:E50 E52 E57:E58 E64 E66:E70 E31:E34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0304-E9A1-4FE3-9256-8D002A9DEAB5}">
  <dimension ref="B2:D24"/>
  <sheetViews>
    <sheetView showGridLines="0" zoomScale="115" zoomScaleNormal="115" workbookViewId="0">
      <selection activeCell="C29" sqref="C29"/>
    </sheetView>
  </sheetViews>
  <sheetFormatPr baseColWidth="10" defaultColWidth="11" defaultRowHeight="15.5" x14ac:dyDescent="0.35"/>
  <cols>
    <col min="2" max="2" width="7.5" style="19" customWidth="1"/>
    <col min="3" max="3" width="79.75" bestFit="1" customWidth="1"/>
    <col min="4" max="4" width="90.5" bestFit="1" customWidth="1"/>
  </cols>
  <sheetData>
    <row r="2" spans="2:4" ht="26" x14ac:dyDescent="0.6">
      <c r="B2" s="257" t="s">
        <v>245</v>
      </c>
      <c r="C2" s="257"/>
    </row>
    <row r="4" spans="2:4" ht="20.149999999999999" customHeight="1" x14ac:dyDescent="0.35">
      <c r="B4" s="79" t="s">
        <v>8</v>
      </c>
      <c r="C4" s="138" t="s">
        <v>246</v>
      </c>
      <c r="D4" s="138" t="s">
        <v>36</v>
      </c>
    </row>
    <row r="5" spans="2:4" ht="20.149999999999999" customHeight="1" x14ac:dyDescent="0.35">
      <c r="B5" s="29" t="s">
        <v>69</v>
      </c>
      <c r="C5" s="5" t="s">
        <v>247</v>
      </c>
      <c r="D5" s="5"/>
    </row>
    <row r="6" spans="2:4" ht="20.149999999999999" customHeight="1" x14ac:dyDescent="0.35">
      <c r="B6" s="29" t="s">
        <v>76</v>
      </c>
      <c r="C6" s="5" t="s">
        <v>248</v>
      </c>
      <c r="D6" s="5" t="s">
        <v>249</v>
      </c>
    </row>
    <row r="7" spans="2:4" ht="20.149999999999999" customHeight="1" x14ac:dyDescent="0.35">
      <c r="B7" s="29" t="s">
        <v>100</v>
      </c>
      <c r="C7" s="5" t="s">
        <v>250</v>
      </c>
      <c r="D7" s="5"/>
    </row>
    <row r="8" spans="2:4" ht="20.149999999999999" customHeight="1" x14ac:dyDescent="0.35">
      <c r="B8" s="29" t="s">
        <v>107</v>
      </c>
      <c r="C8" s="5" t="s">
        <v>251</v>
      </c>
      <c r="D8" s="236" t="s">
        <v>252</v>
      </c>
    </row>
    <row r="9" spans="2:4" ht="20.149999999999999" customHeight="1" x14ac:dyDescent="0.35">
      <c r="B9" s="29" t="s">
        <v>195</v>
      </c>
      <c r="C9" s="5" t="s">
        <v>253</v>
      </c>
      <c r="D9" s="5"/>
    </row>
    <row r="10" spans="2:4" ht="20.149999999999999" customHeight="1" x14ac:dyDescent="0.35">
      <c r="B10" s="29" t="s">
        <v>210</v>
      </c>
      <c r="C10" s="5" t="s">
        <v>254</v>
      </c>
      <c r="D10" s="5"/>
    </row>
    <row r="11" spans="2:4" ht="20.149999999999999" customHeight="1" x14ac:dyDescent="0.35">
      <c r="B11" s="29" t="s">
        <v>221</v>
      </c>
      <c r="C11" s="5" t="s">
        <v>255</v>
      </c>
      <c r="D11" s="5" t="s">
        <v>256</v>
      </c>
    </row>
    <row r="12" spans="2:4" ht="20.149999999999999" customHeight="1" x14ac:dyDescent="0.35">
      <c r="B12" s="29" t="s">
        <v>236</v>
      </c>
      <c r="C12" s="5" t="s">
        <v>257</v>
      </c>
      <c r="D12" s="5"/>
    </row>
    <row r="13" spans="2:4" ht="20.149999999999999" customHeight="1" x14ac:dyDescent="0.35">
      <c r="B13" s="29" t="s">
        <v>244</v>
      </c>
      <c r="C13" s="5" t="s">
        <v>258</v>
      </c>
      <c r="D13" s="5"/>
    </row>
    <row r="14" spans="2:4" x14ac:dyDescent="0.35">
      <c r="B14" s="29"/>
      <c r="C14" s="1"/>
      <c r="D14" s="1"/>
    </row>
    <row r="15" spans="2:4" x14ac:dyDescent="0.35">
      <c r="B15" s="30"/>
      <c r="C15" s="1"/>
      <c r="D15" s="1"/>
    </row>
    <row r="16" spans="2:4" x14ac:dyDescent="0.35">
      <c r="B16" s="30"/>
      <c r="C16" s="1"/>
      <c r="D16" s="1"/>
    </row>
    <row r="17" spans="2:4" x14ac:dyDescent="0.35">
      <c r="B17" s="30"/>
      <c r="C17" s="1"/>
      <c r="D17" s="1"/>
    </row>
    <row r="18" spans="2:4" x14ac:dyDescent="0.35">
      <c r="B18" s="30"/>
      <c r="C18" s="1"/>
      <c r="D18" s="1"/>
    </row>
    <row r="19" spans="2:4" x14ac:dyDescent="0.35">
      <c r="B19" s="30"/>
      <c r="C19" s="1"/>
      <c r="D19" s="1"/>
    </row>
    <row r="20" spans="2:4" x14ac:dyDescent="0.35">
      <c r="B20" s="30"/>
      <c r="C20" s="1"/>
      <c r="D20" s="1"/>
    </row>
    <row r="21" spans="2:4" x14ac:dyDescent="0.35">
      <c r="B21" s="30"/>
      <c r="C21" s="1"/>
      <c r="D21" s="1"/>
    </row>
    <row r="22" spans="2:4" x14ac:dyDescent="0.35">
      <c r="B22" s="30"/>
      <c r="C22" s="1"/>
      <c r="D22" s="1"/>
    </row>
    <row r="23" spans="2:4" x14ac:dyDescent="0.35">
      <c r="B23" s="30"/>
      <c r="C23" s="1"/>
      <c r="D23" s="1"/>
    </row>
    <row r="24" spans="2:4" x14ac:dyDescent="0.35">
      <c r="B24" s="30"/>
      <c r="C24" s="1"/>
      <c r="D24" s="1"/>
    </row>
  </sheetData>
  <mergeCells count="1">
    <mergeCell ref="B2:C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7875-5C14-4E63-A222-8EEEF76A01F3}">
  <dimension ref="B3:J31"/>
  <sheetViews>
    <sheetView showGridLines="0" topLeftCell="E1" workbookViewId="0">
      <selection activeCell="Q16" sqref="Q16"/>
    </sheetView>
  </sheetViews>
  <sheetFormatPr baseColWidth="10" defaultColWidth="11" defaultRowHeight="20.149999999999999" customHeight="1" x14ac:dyDescent="0.35"/>
  <cols>
    <col min="1" max="1" width="11" style="18"/>
    <col min="2" max="2" width="31.75" style="18" customWidth="1"/>
    <col min="3" max="3" width="44.08203125" style="18" customWidth="1"/>
    <col min="4" max="4" width="11" style="18"/>
    <col min="5" max="5" width="34.08203125" style="18" customWidth="1"/>
    <col min="6" max="6" width="42.33203125" style="18" bestFit="1" customWidth="1"/>
    <col min="7" max="16384" width="11" style="18"/>
  </cols>
  <sheetData>
    <row r="3" spans="2:10" ht="20.149999999999999" customHeight="1" x14ac:dyDescent="0.35">
      <c r="B3" s="18" t="s">
        <v>78</v>
      </c>
      <c r="C3" s="18" t="s">
        <v>32</v>
      </c>
    </row>
    <row r="4" spans="2:10" ht="20.149999999999999" customHeight="1" x14ac:dyDescent="0.35">
      <c r="B4" s="18" t="s">
        <v>70</v>
      </c>
      <c r="C4" s="18" t="s">
        <v>30</v>
      </c>
    </row>
    <row r="5" spans="2:10" ht="20.149999999999999" customHeight="1" x14ac:dyDescent="0.35">
      <c r="C5" s="18" t="s">
        <v>31</v>
      </c>
    </row>
    <row r="6" spans="2:10" ht="20.149999999999999" customHeight="1" x14ac:dyDescent="0.35">
      <c r="I6" s="18" t="s">
        <v>259</v>
      </c>
      <c r="J6" s="18" t="s">
        <v>260</v>
      </c>
    </row>
    <row r="7" spans="2:10" ht="20.149999999999999" customHeight="1" x14ac:dyDescent="0.35">
      <c r="I7" s="18">
        <v>1</v>
      </c>
      <c r="J7" s="235">
        <v>1</v>
      </c>
    </row>
    <row r="8" spans="2:10" ht="20.149999999999999" customHeight="1" x14ac:dyDescent="0.35">
      <c r="B8" s="18" t="s">
        <v>261</v>
      </c>
      <c r="I8" s="18">
        <v>2</v>
      </c>
      <c r="J8" s="235">
        <v>1.5</v>
      </c>
    </row>
    <row r="9" spans="2:10" ht="20.149999999999999" customHeight="1" x14ac:dyDescent="0.35">
      <c r="I9" s="18">
        <v>3</v>
      </c>
      <c r="J9" s="235">
        <v>2</v>
      </c>
    </row>
    <row r="10" spans="2:10" ht="20.149999999999999" customHeight="1" x14ac:dyDescent="0.35">
      <c r="J10" s="235"/>
    </row>
    <row r="11" spans="2:10" ht="20.149999999999999" customHeight="1" x14ac:dyDescent="0.35">
      <c r="J11" s="235"/>
    </row>
    <row r="12" spans="2:10" ht="20.149999999999999" customHeight="1" x14ac:dyDescent="0.35">
      <c r="J12" s="235"/>
    </row>
    <row r="13" spans="2:10" ht="20.149999999999999" customHeight="1" x14ac:dyDescent="0.35">
      <c r="B13" s="149" t="s">
        <v>16</v>
      </c>
      <c r="C13" s="149" t="s">
        <v>262</v>
      </c>
      <c r="E13" s="149" t="s">
        <v>263</v>
      </c>
      <c r="F13" s="149" t="s">
        <v>262</v>
      </c>
    </row>
    <row r="14" spans="2:10" ht="20.149999999999999" customHeight="1" x14ac:dyDescent="0.35">
      <c r="B14" s="5" t="s">
        <v>40</v>
      </c>
      <c r="C14" s="5" t="s">
        <v>264</v>
      </c>
      <c r="E14" s="5" t="s">
        <v>265</v>
      </c>
      <c r="F14" s="5" t="s">
        <v>264</v>
      </c>
    </row>
    <row r="15" spans="2:10" ht="20.149999999999999" customHeight="1" x14ac:dyDescent="0.35">
      <c r="B15" s="5" t="s">
        <v>111</v>
      </c>
      <c r="C15" s="5"/>
      <c r="E15" s="5" t="s">
        <v>266</v>
      </c>
      <c r="F15" s="5"/>
    </row>
    <row r="16" spans="2:10" ht="20.149999999999999" customHeight="1" x14ac:dyDescent="0.35">
      <c r="B16" s="5" t="s">
        <v>122</v>
      </c>
      <c r="C16" s="5"/>
      <c r="E16" s="5" t="s">
        <v>267</v>
      </c>
      <c r="F16" s="5"/>
    </row>
    <row r="17" spans="2:6" ht="20.149999999999999" customHeight="1" x14ac:dyDescent="0.35">
      <c r="B17" s="5" t="s">
        <v>231</v>
      </c>
      <c r="C17" s="5"/>
      <c r="E17" s="5" t="s">
        <v>268</v>
      </c>
      <c r="F17" s="5"/>
    </row>
    <row r="18" spans="2:6" ht="20.149999999999999" customHeight="1" x14ac:dyDescent="0.35">
      <c r="B18" s="5" t="s">
        <v>199</v>
      </c>
      <c r="C18" s="5"/>
      <c r="E18" s="5" t="s">
        <v>269</v>
      </c>
      <c r="F18" s="5"/>
    </row>
    <row r="19" spans="2:6" ht="20.149999999999999" customHeight="1" x14ac:dyDescent="0.35">
      <c r="B19" s="5" t="s">
        <v>41</v>
      </c>
      <c r="C19" s="5"/>
      <c r="E19" s="5" t="s">
        <v>270</v>
      </c>
      <c r="F19" s="5"/>
    </row>
    <row r="20" spans="2:6" ht="20.149999999999999" customHeight="1" x14ac:dyDescent="0.35">
      <c r="B20" s="5" t="s">
        <v>97</v>
      </c>
      <c r="C20" s="5"/>
      <c r="E20" s="5" t="s">
        <v>271</v>
      </c>
      <c r="F20" s="5"/>
    </row>
    <row r="21" spans="2:6" ht="20.149999999999999" customHeight="1" x14ac:dyDescent="0.35">
      <c r="B21" s="5" t="s">
        <v>204</v>
      </c>
      <c r="C21" s="5"/>
      <c r="E21" s="5" t="s">
        <v>27</v>
      </c>
      <c r="F21" s="5"/>
    </row>
    <row r="22" spans="2:6" ht="20.149999999999999" customHeight="1" x14ac:dyDescent="0.35">
      <c r="B22" s="5" t="s">
        <v>225</v>
      </c>
      <c r="C22" s="5"/>
      <c r="E22" s="5" t="s">
        <v>272</v>
      </c>
      <c r="F22" s="5"/>
    </row>
    <row r="23" spans="2:6" ht="20.149999999999999" customHeight="1" x14ac:dyDescent="0.35">
      <c r="B23" s="5" t="s">
        <v>109</v>
      </c>
      <c r="C23" s="5"/>
      <c r="E23" s="5"/>
      <c r="F23" s="5"/>
    </row>
    <row r="24" spans="2:6" ht="20.149999999999999" customHeight="1" x14ac:dyDescent="0.35">
      <c r="B24" s="5" t="s">
        <v>86</v>
      </c>
      <c r="C24" s="5"/>
      <c r="E24" s="5"/>
      <c r="F24" s="5"/>
    </row>
    <row r="25" spans="2:6" ht="20.149999999999999" customHeight="1" x14ac:dyDescent="0.35">
      <c r="B25" s="5"/>
      <c r="C25" s="5"/>
      <c r="E25" s="5"/>
      <c r="F25" s="5"/>
    </row>
    <row r="26" spans="2:6" ht="20.149999999999999" customHeight="1" x14ac:dyDescent="0.35">
      <c r="B26" s="5"/>
      <c r="C26" s="5"/>
      <c r="E26" s="5"/>
      <c r="F26" s="5"/>
    </row>
    <row r="27" spans="2:6" ht="20.149999999999999" customHeight="1" x14ac:dyDescent="0.35">
      <c r="B27" s="5"/>
      <c r="C27" s="5"/>
      <c r="E27" s="5"/>
      <c r="F27" s="5"/>
    </row>
    <row r="28" spans="2:6" ht="20.149999999999999" customHeight="1" x14ac:dyDescent="0.35">
      <c r="B28" s="5"/>
      <c r="C28" s="5"/>
      <c r="E28" s="5"/>
      <c r="F28" s="5"/>
    </row>
    <row r="29" spans="2:6" ht="20.149999999999999" customHeight="1" x14ac:dyDescent="0.35">
      <c r="B29" s="5"/>
      <c r="C29" s="5"/>
      <c r="E29" s="5"/>
      <c r="F29" s="5"/>
    </row>
    <row r="30" spans="2:6" ht="20.149999999999999" customHeight="1" x14ac:dyDescent="0.35">
      <c r="B30" s="5"/>
      <c r="C30" s="5"/>
      <c r="E30" s="5"/>
      <c r="F30" s="5"/>
    </row>
    <row r="31" spans="2:6" ht="20.149999999999999" customHeight="1" x14ac:dyDescent="0.35">
      <c r="B31" s="5"/>
      <c r="C31" s="5"/>
      <c r="E31" s="5"/>
      <c r="F31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581-9F2E-468F-9816-04E380AD15FA}">
  <dimension ref="A1:X131"/>
  <sheetViews>
    <sheetView showGridLines="0" topLeftCell="A102" zoomScaleNormal="100" workbookViewId="0">
      <selection activeCell="A124" sqref="A124:XFD124"/>
    </sheetView>
  </sheetViews>
  <sheetFormatPr baseColWidth="10" defaultColWidth="11" defaultRowHeight="15.5" x14ac:dyDescent="0.35"/>
  <cols>
    <col min="2" max="2" width="80.58203125" customWidth="1"/>
    <col min="3" max="3" width="4.4140625" style="248" customWidth="1"/>
    <col min="4" max="4" width="13.75" customWidth="1"/>
    <col min="5" max="5" width="8.25" customWidth="1"/>
    <col min="6" max="6" width="8.33203125" customWidth="1"/>
    <col min="7" max="7" width="9.58203125" customWidth="1"/>
    <col min="9" max="9" width="22.83203125" customWidth="1"/>
    <col min="10" max="10" width="12.25" hidden="1" customWidth="1"/>
    <col min="11" max="11" width="0" hidden="1" customWidth="1"/>
    <col min="12" max="12" width="25.25" hidden="1" customWidth="1"/>
    <col min="13" max="14" width="11" hidden="1" customWidth="1"/>
    <col min="15" max="15" width="11" style="2" customWidth="1"/>
    <col min="16" max="17" width="11" customWidth="1"/>
    <col min="18" max="18" width="76.33203125" style="131" bestFit="1" customWidth="1"/>
    <col min="19" max="24" width="6.75" customWidth="1"/>
  </cols>
  <sheetData>
    <row r="1" spans="1:24" s="18" customFormat="1" ht="60" customHeight="1" thickBot="1" x14ac:dyDescent="0.4">
      <c r="A1" s="262" t="s">
        <v>273</v>
      </c>
      <c r="B1" s="262"/>
      <c r="C1" s="242"/>
      <c r="D1" s="261" t="s">
        <v>274</v>
      </c>
      <c r="E1" s="261"/>
      <c r="F1" s="261"/>
      <c r="G1" s="261"/>
      <c r="H1" s="261"/>
      <c r="I1" s="261"/>
      <c r="J1" s="27"/>
      <c r="K1" s="27"/>
      <c r="L1" s="27"/>
      <c r="M1" s="28"/>
      <c r="N1" s="28"/>
      <c r="O1" s="111"/>
      <c r="P1" s="147"/>
      <c r="Q1" s="97"/>
      <c r="R1" s="148"/>
      <c r="S1" s="116" t="s">
        <v>275</v>
      </c>
      <c r="T1" s="117" t="s">
        <v>26</v>
      </c>
      <c r="U1" s="118" t="s">
        <v>276</v>
      </c>
      <c r="V1" s="119" t="s">
        <v>277</v>
      </c>
      <c r="W1" s="120" t="s">
        <v>278</v>
      </c>
      <c r="X1" s="121" t="s">
        <v>279</v>
      </c>
    </row>
    <row r="2" spans="1:24" ht="48" customHeight="1" x14ac:dyDescent="0.35">
      <c r="A2" s="84" t="s">
        <v>280</v>
      </c>
      <c r="B2" s="70" t="s">
        <v>54</v>
      </c>
      <c r="C2" s="243"/>
      <c r="D2" s="69" t="s">
        <v>55</v>
      </c>
      <c r="E2" s="69" t="s">
        <v>281</v>
      </c>
      <c r="F2" s="69" t="s">
        <v>282</v>
      </c>
      <c r="G2" s="69" t="s">
        <v>283</v>
      </c>
      <c r="H2" s="69" t="s">
        <v>15</v>
      </c>
      <c r="I2" s="69" t="s">
        <v>13</v>
      </c>
      <c r="J2" s="70" t="s">
        <v>12</v>
      </c>
      <c r="K2" s="70" t="s">
        <v>284</v>
      </c>
      <c r="L2" s="70" t="s">
        <v>62</v>
      </c>
      <c r="M2" s="71" t="s">
        <v>63</v>
      </c>
      <c r="N2" s="71" t="s">
        <v>64</v>
      </c>
      <c r="O2" s="71" t="s">
        <v>65</v>
      </c>
      <c r="P2" s="70" t="s">
        <v>66</v>
      </c>
      <c r="Q2" s="72" t="s">
        <v>67</v>
      </c>
      <c r="R2" s="73" t="s">
        <v>68</v>
      </c>
      <c r="S2" s="258" t="s">
        <v>285</v>
      </c>
      <c r="T2" s="259"/>
      <c r="U2" s="259"/>
      <c r="V2" s="259"/>
      <c r="W2" s="259"/>
      <c r="X2" s="260"/>
    </row>
    <row r="3" spans="1:24" ht="20.149999999999999" customHeight="1" x14ac:dyDescent="0.35">
      <c r="A3" s="85" t="s">
        <v>286</v>
      </c>
      <c r="B3" s="3"/>
      <c r="C3" s="244"/>
      <c r="D3" s="16"/>
      <c r="E3" s="16"/>
      <c r="F3" s="16"/>
      <c r="G3" s="16"/>
      <c r="H3" s="16"/>
      <c r="I3" s="16"/>
      <c r="J3" s="8"/>
      <c r="K3" s="8"/>
      <c r="L3" s="8"/>
      <c r="M3" s="9"/>
      <c r="N3" s="9"/>
      <c r="O3" s="9"/>
      <c r="P3" s="9"/>
      <c r="Q3" s="14"/>
      <c r="R3" s="41"/>
      <c r="S3" s="43"/>
      <c r="T3" s="43"/>
      <c r="U3" s="43"/>
      <c r="V3" s="43"/>
      <c r="W3" s="43"/>
      <c r="X3" s="8"/>
    </row>
    <row r="4" spans="1:24" ht="20.149999999999999" customHeight="1" x14ac:dyDescent="0.35">
      <c r="A4" s="42"/>
      <c r="B4" s="4" t="s">
        <v>287</v>
      </c>
      <c r="C4" s="245"/>
      <c r="D4" s="17" t="s">
        <v>70</v>
      </c>
      <c r="E4" s="87"/>
      <c r="F4" s="87"/>
      <c r="G4" s="91" t="str">
        <f>IFERROR(AVERAGE(E4:F4),"")</f>
        <v/>
      </c>
      <c r="H4" s="17" t="s">
        <v>32</v>
      </c>
      <c r="I4" s="17" t="s">
        <v>40</v>
      </c>
      <c r="J4" s="4" t="s">
        <v>288</v>
      </c>
      <c r="K4" s="4"/>
      <c r="L4" s="4" t="s">
        <v>80</v>
      </c>
      <c r="M4" s="10"/>
      <c r="N4" s="10"/>
      <c r="O4" s="17"/>
      <c r="P4" s="4"/>
      <c r="Q4" s="15">
        <v>0</v>
      </c>
      <c r="R4" s="4"/>
      <c r="S4" s="45" t="s">
        <v>289</v>
      </c>
      <c r="T4" s="45" t="s">
        <v>290</v>
      </c>
      <c r="U4" s="45" t="s">
        <v>290</v>
      </c>
      <c r="V4" s="45" t="s">
        <v>290</v>
      </c>
      <c r="W4" s="45"/>
      <c r="X4" s="12" t="s">
        <v>291</v>
      </c>
    </row>
    <row r="5" spans="1:24" ht="20.149999999999999" customHeight="1" x14ac:dyDescent="0.35">
      <c r="A5" s="42"/>
      <c r="B5" s="4" t="s">
        <v>292</v>
      </c>
      <c r="C5" s="245"/>
      <c r="D5" s="17" t="s">
        <v>70</v>
      </c>
      <c r="E5" s="87"/>
      <c r="F5" s="87"/>
      <c r="G5" s="91" t="str">
        <f>IFERROR(AVERAGE(E5:F5),"")</f>
        <v/>
      </c>
      <c r="H5" s="17" t="s">
        <v>32</v>
      </c>
      <c r="I5" s="17"/>
      <c r="J5" s="4"/>
      <c r="K5" s="4"/>
      <c r="L5" s="4"/>
      <c r="M5" s="10"/>
      <c r="N5" s="10"/>
      <c r="O5" s="17"/>
      <c r="P5" s="4"/>
      <c r="Q5" s="15"/>
      <c r="R5" s="4"/>
      <c r="S5" s="45"/>
      <c r="T5" s="45"/>
      <c r="U5" s="45"/>
      <c r="V5" s="45"/>
      <c r="W5" s="45"/>
      <c r="X5" s="12"/>
    </row>
    <row r="6" spans="1:24" ht="20.149999999999999" customHeight="1" x14ac:dyDescent="0.35">
      <c r="A6" s="42"/>
      <c r="B6" s="4" t="s">
        <v>293</v>
      </c>
      <c r="C6" s="245"/>
      <c r="D6" s="17" t="s">
        <v>70</v>
      </c>
      <c r="E6" s="87"/>
      <c r="F6" s="87"/>
      <c r="G6" s="91" t="str">
        <f t="shared" ref="G6:G61" si="0">IFERROR(AVERAGE(E6:F6),"")</f>
        <v/>
      </c>
      <c r="H6" s="17" t="s">
        <v>30</v>
      </c>
      <c r="I6" s="17"/>
      <c r="J6" s="4"/>
      <c r="K6" s="4"/>
      <c r="L6" s="4"/>
      <c r="M6" s="10"/>
      <c r="N6" s="10"/>
      <c r="O6" s="17"/>
      <c r="P6" s="4"/>
      <c r="Q6" s="15">
        <v>0</v>
      </c>
      <c r="R6" s="4"/>
      <c r="S6" s="45"/>
      <c r="T6" s="45"/>
      <c r="U6" s="45"/>
      <c r="V6" s="45"/>
      <c r="W6" s="45"/>
      <c r="X6" s="12"/>
    </row>
    <row r="7" spans="1:24" ht="20.149999999999999" customHeight="1" x14ac:dyDescent="0.35">
      <c r="A7" s="96" t="s">
        <v>294</v>
      </c>
      <c r="B7" s="4" t="s">
        <v>295</v>
      </c>
      <c r="C7" s="245"/>
      <c r="D7" s="17" t="s">
        <v>70</v>
      </c>
      <c r="E7" s="87">
        <v>1</v>
      </c>
      <c r="F7" s="87">
        <v>2</v>
      </c>
      <c r="G7" s="91">
        <f t="shared" si="0"/>
        <v>1.5</v>
      </c>
      <c r="H7" s="17" t="s">
        <v>32</v>
      </c>
      <c r="I7" s="17" t="s">
        <v>40</v>
      </c>
      <c r="J7" s="4" t="s">
        <v>288</v>
      </c>
      <c r="K7" s="4"/>
      <c r="L7" s="4" t="s">
        <v>72</v>
      </c>
      <c r="M7" s="10"/>
      <c r="N7" s="10"/>
      <c r="O7" s="17"/>
      <c r="P7" s="4"/>
      <c r="Q7" s="15">
        <v>0</v>
      </c>
      <c r="R7" s="100" t="s">
        <v>296</v>
      </c>
      <c r="S7" s="45"/>
      <c r="T7" s="45"/>
      <c r="U7" s="45"/>
      <c r="V7" s="45"/>
      <c r="W7" s="45"/>
      <c r="X7" s="12"/>
    </row>
    <row r="8" spans="1:24" ht="20.149999999999999" customHeight="1" x14ac:dyDescent="0.35">
      <c r="A8" s="42"/>
      <c r="B8" s="12" t="s">
        <v>297</v>
      </c>
      <c r="C8" s="246"/>
      <c r="D8" s="17" t="s">
        <v>70</v>
      </c>
      <c r="E8" s="87"/>
      <c r="F8" s="87"/>
      <c r="G8" s="91" t="str">
        <f t="shared" si="0"/>
        <v/>
      </c>
      <c r="H8" s="17" t="s">
        <v>32</v>
      </c>
      <c r="I8" s="17"/>
      <c r="J8" s="4"/>
      <c r="K8" s="4"/>
      <c r="L8" s="4"/>
      <c r="M8" s="10"/>
      <c r="N8" s="10"/>
      <c r="O8" s="17"/>
      <c r="P8" s="4"/>
      <c r="Q8" s="15">
        <v>0</v>
      </c>
      <c r="R8" s="100" t="s">
        <v>298</v>
      </c>
      <c r="S8" s="45" t="s">
        <v>291</v>
      </c>
      <c r="T8" s="45" t="s">
        <v>289</v>
      </c>
      <c r="U8" s="45" t="s">
        <v>289</v>
      </c>
      <c r="V8" s="45" t="s">
        <v>289</v>
      </c>
      <c r="W8" s="45"/>
      <c r="X8" s="12"/>
    </row>
    <row r="9" spans="1:24" ht="20.149999999999999" customHeight="1" x14ac:dyDescent="0.35">
      <c r="A9" s="42"/>
      <c r="B9" s="12" t="s">
        <v>299</v>
      </c>
      <c r="C9" s="246"/>
      <c r="D9" s="17" t="s">
        <v>70</v>
      </c>
      <c r="E9" s="87"/>
      <c r="F9" s="87"/>
      <c r="G9" s="91" t="str">
        <f t="shared" si="0"/>
        <v/>
      </c>
      <c r="H9" s="17" t="s">
        <v>30</v>
      </c>
      <c r="I9" s="17"/>
      <c r="J9" s="4"/>
      <c r="K9" s="4"/>
      <c r="L9" s="4"/>
      <c r="M9" s="10"/>
      <c r="N9" s="10"/>
      <c r="O9" s="17"/>
      <c r="P9" s="4"/>
      <c r="Q9" s="15">
        <v>0</v>
      </c>
      <c r="R9" s="130" t="s">
        <v>300</v>
      </c>
      <c r="S9" s="45"/>
      <c r="T9" s="45" t="s">
        <v>289</v>
      </c>
      <c r="U9" s="45"/>
      <c r="V9" s="45"/>
      <c r="W9" s="45"/>
      <c r="X9" s="12"/>
    </row>
    <row r="10" spans="1:24" ht="20.149999999999999" customHeight="1" x14ac:dyDescent="0.35">
      <c r="A10" s="42"/>
      <c r="B10" s="12" t="s">
        <v>301</v>
      </c>
      <c r="C10" s="246"/>
      <c r="D10" s="17" t="s">
        <v>70</v>
      </c>
      <c r="E10" s="87"/>
      <c r="F10" s="87"/>
      <c r="G10" s="91" t="str">
        <f t="shared" si="0"/>
        <v/>
      </c>
      <c r="H10" s="17" t="s">
        <v>30</v>
      </c>
      <c r="I10" s="17"/>
      <c r="J10" s="4"/>
      <c r="K10" s="4"/>
      <c r="L10" s="4"/>
      <c r="M10" s="10"/>
      <c r="N10" s="10"/>
      <c r="O10" s="17"/>
      <c r="P10" s="4"/>
      <c r="Q10" s="15"/>
      <c r="R10" s="100"/>
      <c r="S10" s="45"/>
      <c r="T10" s="45"/>
      <c r="U10" s="45"/>
      <c r="V10" s="45"/>
      <c r="W10" s="45"/>
      <c r="X10" s="12"/>
    </row>
    <row r="11" spans="1:24" ht="20.149999999999999" customHeight="1" x14ac:dyDescent="0.35">
      <c r="A11" s="42"/>
      <c r="B11" s="12"/>
      <c r="C11" s="246"/>
      <c r="D11" s="17" t="s">
        <v>70</v>
      </c>
      <c r="E11" s="87"/>
      <c r="F11" s="87"/>
      <c r="G11" s="91" t="str">
        <f t="shared" si="0"/>
        <v/>
      </c>
      <c r="H11" s="17" t="s">
        <v>32</v>
      </c>
      <c r="I11" s="17"/>
      <c r="J11" s="4"/>
      <c r="K11" s="4"/>
      <c r="L11" s="4"/>
      <c r="M11" s="10"/>
      <c r="N11" s="10"/>
      <c r="O11" s="17"/>
      <c r="P11" s="4"/>
      <c r="Q11" s="15"/>
      <c r="R11" s="100"/>
      <c r="S11" s="45"/>
      <c r="T11" s="45"/>
      <c r="U11" s="45"/>
      <c r="V11" s="45"/>
      <c r="W11" s="45"/>
      <c r="X11" s="12"/>
    </row>
    <row r="12" spans="1:24" ht="20.149999999999999" customHeight="1" x14ac:dyDescent="0.35">
      <c r="A12" s="38"/>
      <c r="B12" s="22" t="s">
        <v>302</v>
      </c>
      <c r="C12" s="247"/>
      <c r="D12" s="22"/>
      <c r="E12" s="101"/>
      <c r="F12" s="101"/>
      <c r="G12" s="93" t="str">
        <f t="shared" ref="G12:G15" si="1">IFERROR(AVERAGE(E12:F12),"")</f>
        <v/>
      </c>
      <c r="H12" s="22"/>
      <c r="I12" s="22"/>
      <c r="J12" s="22"/>
      <c r="K12" s="22"/>
      <c r="L12" s="22"/>
      <c r="M12" s="22"/>
      <c r="N12" s="22"/>
      <c r="O12" s="44"/>
      <c r="P12" s="22"/>
      <c r="Q12" s="22"/>
      <c r="R12" s="22"/>
      <c r="S12" s="44"/>
      <c r="T12" s="44"/>
      <c r="U12" s="44"/>
      <c r="V12" s="44"/>
      <c r="W12" s="44"/>
      <c r="X12" s="22"/>
    </row>
    <row r="13" spans="1:24" ht="20.149999999999999" customHeight="1" x14ac:dyDescent="0.35">
      <c r="A13" s="42"/>
      <c r="B13" s="21" t="s">
        <v>303</v>
      </c>
      <c r="C13" s="246"/>
      <c r="D13" s="17" t="s">
        <v>70</v>
      </c>
      <c r="E13" s="87" t="s">
        <v>114</v>
      </c>
      <c r="F13" s="87">
        <v>1</v>
      </c>
      <c r="G13" s="95">
        <f t="shared" si="1"/>
        <v>1</v>
      </c>
      <c r="H13" s="17" t="s">
        <v>32</v>
      </c>
      <c r="I13" s="17"/>
      <c r="J13" s="4"/>
      <c r="K13" s="4"/>
      <c r="L13" s="4"/>
      <c r="M13" s="10"/>
      <c r="N13" s="10"/>
      <c r="O13" s="17"/>
      <c r="P13" s="4"/>
      <c r="Q13" s="15">
        <v>0</v>
      </c>
      <c r="R13" s="100" t="s">
        <v>304</v>
      </c>
      <c r="S13" s="17" t="s">
        <v>305</v>
      </c>
      <c r="T13" s="45" t="s">
        <v>289</v>
      </c>
      <c r="U13" s="45"/>
      <c r="V13" s="45"/>
      <c r="W13" s="45"/>
      <c r="X13" s="12"/>
    </row>
    <row r="14" spans="1:24" ht="20.149999999999999" customHeight="1" x14ac:dyDescent="0.35">
      <c r="A14" s="42"/>
      <c r="B14" s="21" t="s">
        <v>306</v>
      </c>
      <c r="C14" s="246"/>
      <c r="D14" s="17" t="s">
        <v>70</v>
      </c>
      <c r="E14" s="87">
        <v>12</v>
      </c>
      <c r="F14" s="87">
        <v>18</v>
      </c>
      <c r="G14" s="95">
        <f t="shared" si="1"/>
        <v>15</v>
      </c>
      <c r="H14" s="17" t="s">
        <v>32</v>
      </c>
      <c r="I14" s="17"/>
      <c r="J14" s="4"/>
      <c r="K14" s="4"/>
      <c r="L14" s="4"/>
      <c r="M14" s="10"/>
      <c r="N14" s="10"/>
      <c r="O14" s="17" t="s">
        <v>307</v>
      </c>
      <c r="P14" s="4"/>
      <c r="Q14" s="15">
        <v>0</v>
      </c>
      <c r="R14" s="100"/>
      <c r="S14" s="17" t="s">
        <v>305</v>
      </c>
      <c r="T14" s="45" t="s">
        <v>289</v>
      </c>
      <c r="U14" s="45"/>
      <c r="V14" s="45"/>
      <c r="W14" s="45"/>
      <c r="X14" s="12"/>
    </row>
    <row r="15" spans="1:24" ht="20.149999999999999" customHeight="1" x14ac:dyDescent="0.35">
      <c r="A15" s="42"/>
      <c r="B15" s="21" t="s">
        <v>308</v>
      </c>
      <c r="C15" s="246"/>
      <c r="D15" s="17" t="s">
        <v>70</v>
      </c>
      <c r="E15" s="87">
        <v>1</v>
      </c>
      <c r="F15" s="87">
        <v>4</v>
      </c>
      <c r="G15" s="95">
        <f t="shared" si="1"/>
        <v>2.5</v>
      </c>
      <c r="H15" s="17" t="s">
        <v>30</v>
      </c>
      <c r="I15" s="17"/>
      <c r="J15" s="4"/>
      <c r="K15" s="4"/>
      <c r="L15" s="4"/>
      <c r="M15" s="10"/>
      <c r="N15" s="10"/>
      <c r="O15" s="17" t="s">
        <v>73</v>
      </c>
      <c r="P15" s="4"/>
      <c r="Q15" s="15">
        <v>0</v>
      </c>
      <c r="R15" s="100"/>
      <c r="S15" s="17" t="s">
        <v>305</v>
      </c>
      <c r="T15" s="45" t="s">
        <v>289</v>
      </c>
      <c r="U15" s="45"/>
      <c r="V15" s="45"/>
      <c r="W15" s="45"/>
      <c r="X15" s="12"/>
    </row>
    <row r="16" spans="1:24" ht="20.149999999999999" customHeight="1" x14ac:dyDescent="0.35">
      <c r="A16" s="42"/>
      <c r="B16" s="21" t="s">
        <v>309</v>
      </c>
      <c r="C16" s="246"/>
      <c r="D16" s="17" t="s">
        <v>70</v>
      </c>
      <c r="E16" s="87"/>
      <c r="F16" s="87"/>
      <c r="G16" s="95" t="str">
        <f t="shared" si="0"/>
        <v/>
      </c>
      <c r="H16" s="17" t="s">
        <v>32</v>
      </c>
      <c r="I16" s="17"/>
      <c r="J16" s="4"/>
      <c r="K16" s="4"/>
      <c r="L16" s="4"/>
      <c r="M16" s="10"/>
      <c r="N16" s="10"/>
      <c r="O16" s="17"/>
      <c r="P16" s="4"/>
      <c r="Q16" s="15">
        <v>0</v>
      </c>
      <c r="R16" s="100"/>
      <c r="S16" s="17" t="s">
        <v>305</v>
      </c>
      <c r="T16" s="45" t="s">
        <v>289</v>
      </c>
      <c r="U16" s="45"/>
      <c r="V16" s="45"/>
      <c r="W16" s="45"/>
      <c r="X16" s="12"/>
    </row>
    <row r="17" spans="1:24" ht="20.149999999999999" customHeight="1" x14ac:dyDescent="0.35">
      <c r="A17" s="38"/>
      <c r="B17" s="22" t="s">
        <v>310</v>
      </c>
      <c r="C17" s="247"/>
      <c r="D17" s="22"/>
      <c r="E17" s="101"/>
      <c r="F17" s="101"/>
      <c r="G17" s="93" t="str">
        <f t="shared" si="0"/>
        <v/>
      </c>
      <c r="H17" s="22"/>
      <c r="I17" s="22"/>
      <c r="J17" s="22"/>
      <c r="K17" s="22"/>
      <c r="L17" s="22"/>
      <c r="M17" s="22"/>
      <c r="N17" s="22"/>
      <c r="O17" s="44"/>
      <c r="P17" s="22"/>
      <c r="Q17" s="22"/>
      <c r="R17" s="22" t="s">
        <v>311</v>
      </c>
      <c r="S17" s="44"/>
      <c r="T17" s="44"/>
      <c r="U17" s="44"/>
      <c r="V17" s="44"/>
      <c r="W17" s="44"/>
      <c r="X17" s="22"/>
    </row>
    <row r="18" spans="1:24" ht="20.149999999999999" customHeight="1" x14ac:dyDescent="0.35">
      <c r="A18" s="42"/>
      <c r="B18" s="21" t="s">
        <v>312</v>
      </c>
      <c r="C18" s="246"/>
      <c r="D18" s="17" t="s">
        <v>70</v>
      </c>
      <c r="E18" s="87">
        <v>2</v>
      </c>
      <c r="F18" s="87">
        <v>4</v>
      </c>
      <c r="G18" s="91">
        <f t="shared" si="0"/>
        <v>3</v>
      </c>
      <c r="H18" s="17" t="s">
        <v>32</v>
      </c>
      <c r="I18" s="17"/>
      <c r="J18" s="4"/>
      <c r="K18" s="4"/>
      <c r="L18" s="4"/>
      <c r="M18" s="10"/>
      <c r="N18" s="10"/>
      <c r="O18" s="17"/>
      <c r="P18" s="4"/>
      <c r="Q18" s="15">
        <v>0</v>
      </c>
      <c r="R18" s="100"/>
      <c r="S18" s="45"/>
      <c r="T18" s="45"/>
      <c r="U18" s="45"/>
      <c r="V18" s="45"/>
      <c r="W18" s="45"/>
      <c r="X18" s="12"/>
    </row>
    <row r="19" spans="1:24" ht="20.149999999999999" customHeight="1" x14ac:dyDescent="0.35">
      <c r="A19" s="42"/>
      <c r="B19" s="21" t="s">
        <v>313</v>
      </c>
      <c r="C19" s="246"/>
      <c r="D19" s="17" t="s">
        <v>70</v>
      </c>
      <c r="E19" s="87">
        <v>2</v>
      </c>
      <c r="F19" s="87">
        <v>4</v>
      </c>
      <c r="G19" s="91">
        <f t="shared" si="0"/>
        <v>3</v>
      </c>
      <c r="H19" s="17" t="s">
        <v>32</v>
      </c>
      <c r="I19" s="17"/>
      <c r="J19" s="4"/>
      <c r="K19" s="4"/>
      <c r="L19" s="4"/>
      <c r="M19" s="10"/>
      <c r="N19" s="10"/>
      <c r="O19" s="17"/>
      <c r="P19" s="4"/>
      <c r="Q19" s="15">
        <v>0</v>
      </c>
      <c r="R19" s="100"/>
      <c r="S19" s="45"/>
      <c r="T19" s="45"/>
      <c r="U19" s="45"/>
      <c r="V19" s="45"/>
      <c r="W19" s="45"/>
      <c r="X19" s="12"/>
    </row>
    <row r="20" spans="1:24" ht="20.149999999999999" customHeight="1" x14ac:dyDescent="0.35">
      <c r="A20" s="42"/>
      <c r="B20" s="21" t="s">
        <v>314</v>
      </c>
      <c r="C20" s="246"/>
      <c r="D20" s="17" t="s">
        <v>70</v>
      </c>
      <c r="E20" s="87">
        <v>2</v>
      </c>
      <c r="F20" s="87">
        <v>6</v>
      </c>
      <c r="G20" s="91">
        <f t="shared" si="0"/>
        <v>4</v>
      </c>
      <c r="H20" s="17" t="s">
        <v>32</v>
      </c>
      <c r="I20" s="17"/>
      <c r="J20" s="4"/>
      <c r="K20" s="4"/>
      <c r="L20" s="4"/>
      <c r="M20" s="10"/>
      <c r="N20" s="10"/>
      <c r="O20" s="17"/>
      <c r="P20" s="4"/>
      <c r="Q20" s="15">
        <v>0</v>
      </c>
      <c r="R20" s="100"/>
      <c r="S20" s="45"/>
      <c r="T20" s="45"/>
      <c r="U20" s="45"/>
      <c r="V20" s="45"/>
      <c r="W20" s="45"/>
      <c r="X20" s="12"/>
    </row>
    <row r="21" spans="1:24" ht="20.149999999999999" customHeight="1" x14ac:dyDescent="0.35">
      <c r="A21" s="42"/>
      <c r="B21" s="21" t="s">
        <v>315</v>
      </c>
      <c r="C21" s="246"/>
      <c r="D21" s="17" t="s">
        <v>70</v>
      </c>
      <c r="E21" s="87">
        <v>2</v>
      </c>
      <c r="F21" s="87">
        <v>10</v>
      </c>
      <c r="G21" s="91">
        <f t="shared" si="0"/>
        <v>6</v>
      </c>
      <c r="H21" s="17" t="s">
        <v>30</v>
      </c>
      <c r="I21" s="17"/>
      <c r="J21" s="4"/>
      <c r="K21" s="4"/>
      <c r="L21" s="4"/>
      <c r="M21" s="10"/>
      <c r="N21" s="10"/>
      <c r="O21" s="17"/>
      <c r="P21" s="4"/>
      <c r="Q21" s="15">
        <v>0</v>
      </c>
      <c r="R21" s="100"/>
      <c r="S21" s="45"/>
      <c r="T21" s="45"/>
      <c r="U21" s="45"/>
      <c r="V21" s="45"/>
      <c r="W21" s="45"/>
      <c r="X21" s="12"/>
    </row>
    <row r="22" spans="1:24" ht="20.149999999999999" customHeight="1" x14ac:dyDescent="0.35">
      <c r="A22" s="42"/>
      <c r="B22" s="12"/>
      <c r="C22" s="246"/>
      <c r="D22" s="17"/>
      <c r="E22" s="87"/>
      <c r="F22" s="87"/>
      <c r="G22" s="91"/>
      <c r="H22" s="17"/>
      <c r="I22" s="17"/>
      <c r="J22" s="4"/>
      <c r="K22" s="4"/>
      <c r="L22" s="4"/>
      <c r="M22" s="10"/>
      <c r="N22" s="10"/>
      <c r="O22" s="17"/>
      <c r="P22" s="4"/>
      <c r="Q22" s="15">
        <v>0</v>
      </c>
      <c r="R22" s="139"/>
      <c r="S22" s="140"/>
      <c r="T22" s="140"/>
      <c r="U22" s="140"/>
      <c r="V22" s="140"/>
      <c r="W22" s="140"/>
      <c r="X22" s="12"/>
    </row>
    <row r="23" spans="1:24" ht="20.149999999999999" customHeight="1" x14ac:dyDescent="0.35">
      <c r="A23" s="38"/>
      <c r="B23" s="22" t="s">
        <v>316</v>
      </c>
      <c r="C23" s="247"/>
      <c r="D23" s="22"/>
      <c r="E23" s="101"/>
      <c r="F23" s="101"/>
      <c r="G23" s="93"/>
      <c r="H23" s="22"/>
      <c r="I23" s="22"/>
      <c r="J23" s="22"/>
      <c r="K23" s="22"/>
      <c r="L23" s="22"/>
      <c r="M23" s="22"/>
      <c r="N23" s="22"/>
      <c r="O23" s="44"/>
      <c r="P23" s="22"/>
      <c r="Q23" s="22"/>
      <c r="R23" s="22" t="s">
        <v>317</v>
      </c>
      <c r="S23" s="44"/>
      <c r="T23" s="44"/>
      <c r="U23" s="44"/>
      <c r="V23" s="44"/>
      <c r="W23" s="44"/>
      <c r="X23" s="22"/>
    </row>
    <row r="24" spans="1:24" ht="20.149999999999999" customHeight="1" x14ac:dyDescent="0.35">
      <c r="A24" s="42"/>
      <c r="B24" s="21" t="s">
        <v>318</v>
      </c>
      <c r="C24" s="246"/>
      <c r="D24" s="17" t="s">
        <v>78</v>
      </c>
      <c r="E24" s="87"/>
      <c r="F24" s="87"/>
      <c r="G24" s="91" t="str">
        <f t="shared" ref="G24:G27" si="2">IFERROR(AVERAGE(E24:F24),"")</f>
        <v/>
      </c>
      <c r="H24" s="17" t="s">
        <v>32</v>
      </c>
      <c r="I24" s="17"/>
      <c r="J24" s="4"/>
      <c r="K24" s="4"/>
      <c r="L24" s="4"/>
      <c r="M24" s="10"/>
      <c r="N24" s="10"/>
      <c r="O24" s="17"/>
      <c r="P24" s="4"/>
      <c r="Q24" s="15">
        <v>0</v>
      </c>
      <c r="R24" s="100"/>
      <c r="S24" s="45"/>
      <c r="T24" s="45"/>
      <c r="U24" s="45"/>
      <c r="V24" s="45"/>
      <c r="W24" s="45"/>
      <c r="X24" s="12"/>
    </row>
    <row r="25" spans="1:24" ht="20.149999999999999" customHeight="1" x14ac:dyDescent="0.35">
      <c r="A25" s="42"/>
      <c r="B25" s="21" t="s">
        <v>319</v>
      </c>
      <c r="C25" s="246"/>
      <c r="D25" s="17" t="s">
        <v>78</v>
      </c>
      <c r="E25" s="87"/>
      <c r="F25" s="87"/>
      <c r="G25" s="91" t="str">
        <f t="shared" si="2"/>
        <v/>
      </c>
      <c r="H25" s="17" t="s">
        <v>32</v>
      </c>
      <c r="I25" s="17"/>
      <c r="J25" s="4"/>
      <c r="K25" s="4"/>
      <c r="L25" s="4"/>
      <c r="M25" s="10"/>
      <c r="N25" s="10"/>
      <c r="O25" s="17"/>
      <c r="P25" s="4"/>
      <c r="Q25" s="15">
        <v>0</v>
      </c>
      <c r="R25" s="100"/>
      <c r="S25" s="45"/>
      <c r="T25" s="45"/>
      <c r="U25" s="45"/>
      <c r="V25" s="45"/>
      <c r="W25" s="45"/>
      <c r="X25" s="12"/>
    </row>
    <row r="26" spans="1:24" ht="20.149999999999999" customHeight="1" x14ac:dyDescent="0.35">
      <c r="A26" s="42"/>
      <c r="B26" s="21"/>
      <c r="C26" s="246"/>
      <c r="D26" s="17" t="s">
        <v>70</v>
      </c>
      <c r="E26" s="87"/>
      <c r="F26" s="87"/>
      <c r="G26" s="91" t="str">
        <f t="shared" si="2"/>
        <v/>
      </c>
      <c r="H26" s="17" t="s">
        <v>32</v>
      </c>
      <c r="I26" s="17"/>
      <c r="J26" s="4"/>
      <c r="K26" s="4"/>
      <c r="L26" s="4"/>
      <c r="M26" s="10"/>
      <c r="N26" s="10"/>
      <c r="O26" s="17"/>
      <c r="P26" s="4"/>
      <c r="Q26" s="15">
        <v>0</v>
      </c>
      <c r="R26" s="100"/>
      <c r="S26" s="45"/>
      <c r="T26" s="45"/>
      <c r="U26" s="45"/>
      <c r="V26" s="45"/>
      <c r="W26" s="45"/>
      <c r="X26" s="12"/>
    </row>
    <row r="27" spans="1:24" ht="20.149999999999999" customHeight="1" x14ac:dyDescent="0.35">
      <c r="A27" s="42"/>
      <c r="B27" s="21"/>
      <c r="C27" s="246"/>
      <c r="D27" s="17" t="s">
        <v>70</v>
      </c>
      <c r="E27" s="87"/>
      <c r="F27" s="87"/>
      <c r="G27" s="91" t="str">
        <f t="shared" si="2"/>
        <v/>
      </c>
      <c r="H27" s="17" t="s">
        <v>32</v>
      </c>
      <c r="I27" s="17"/>
      <c r="J27" s="4"/>
      <c r="K27" s="4"/>
      <c r="L27" s="4"/>
      <c r="M27" s="10"/>
      <c r="N27" s="10"/>
      <c r="O27" s="17"/>
      <c r="P27" s="4"/>
      <c r="Q27" s="15">
        <v>0</v>
      </c>
      <c r="R27" s="100"/>
      <c r="S27" s="45"/>
      <c r="T27" s="45"/>
      <c r="U27" s="45"/>
      <c r="V27" s="45"/>
      <c r="W27" s="45"/>
      <c r="X27" s="12"/>
    </row>
    <row r="28" spans="1:24" ht="20.149999999999999" customHeight="1" x14ac:dyDescent="0.35">
      <c r="A28" s="42"/>
      <c r="B28" s="21"/>
      <c r="C28" s="246"/>
      <c r="D28" s="17" t="s">
        <v>70</v>
      </c>
      <c r="E28" s="87"/>
      <c r="F28" s="87"/>
      <c r="G28" s="91" t="str">
        <f t="shared" ref="G28" si="3">IFERROR(AVERAGE(E28:F28),"")</f>
        <v/>
      </c>
      <c r="H28" s="17" t="s">
        <v>32</v>
      </c>
      <c r="I28" s="17"/>
      <c r="J28" s="4"/>
      <c r="K28" s="4"/>
      <c r="L28" s="4"/>
      <c r="M28" s="10"/>
      <c r="N28" s="10"/>
      <c r="O28" s="17"/>
      <c r="P28" s="4"/>
      <c r="Q28" s="15">
        <v>0</v>
      </c>
      <c r="R28" s="100"/>
      <c r="S28" s="45"/>
      <c r="T28" s="45"/>
      <c r="U28" s="45"/>
      <c r="V28" s="45"/>
      <c r="W28" s="45"/>
      <c r="X28" s="12"/>
    </row>
    <row r="29" spans="1:24" ht="20.149999999999999" customHeight="1" x14ac:dyDescent="0.35">
      <c r="A29" s="40" t="s">
        <v>74</v>
      </c>
      <c r="B29" s="3"/>
      <c r="C29" s="244"/>
      <c r="D29" s="16"/>
      <c r="E29" s="102"/>
      <c r="F29" s="102"/>
      <c r="G29" s="16" t="str">
        <f t="shared" si="0"/>
        <v/>
      </c>
      <c r="H29" s="16"/>
      <c r="I29" s="16"/>
      <c r="J29" s="8"/>
      <c r="K29" s="8"/>
      <c r="L29" s="8"/>
      <c r="M29" s="9"/>
      <c r="N29" s="9"/>
      <c r="O29" s="9"/>
      <c r="P29" s="9"/>
      <c r="Q29" s="14"/>
      <c r="R29" s="41"/>
      <c r="S29" s="43"/>
      <c r="T29" s="43"/>
      <c r="U29" s="43"/>
      <c r="V29" s="43"/>
      <c r="W29" s="43"/>
      <c r="X29" s="8"/>
    </row>
    <row r="30" spans="1:24" ht="20.149999999999999" customHeight="1" x14ac:dyDescent="0.35">
      <c r="A30" s="42"/>
      <c r="B30" s="4"/>
      <c r="C30" s="245"/>
      <c r="D30" s="17" t="s">
        <v>70</v>
      </c>
      <c r="E30" s="87"/>
      <c r="F30" s="87"/>
      <c r="G30" s="91" t="str">
        <f t="shared" si="0"/>
        <v/>
      </c>
      <c r="H30" s="17" t="s">
        <v>32</v>
      </c>
      <c r="I30" s="17"/>
      <c r="J30" s="4"/>
      <c r="K30" s="4"/>
      <c r="L30" s="4"/>
      <c r="M30" s="10"/>
      <c r="N30" s="10"/>
      <c r="O30" s="17"/>
      <c r="P30" s="4"/>
      <c r="Q30" s="15">
        <v>0</v>
      </c>
      <c r="R30" s="4"/>
      <c r="S30" s="45"/>
      <c r="T30" s="45"/>
      <c r="U30" s="45"/>
      <c r="V30" s="45"/>
      <c r="W30" s="45"/>
      <c r="X30" s="12"/>
    </row>
    <row r="31" spans="1:24" ht="20.149999999999999" customHeight="1" x14ac:dyDescent="0.35">
      <c r="A31" s="42"/>
      <c r="B31" s="4"/>
      <c r="C31" s="245"/>
      <c r="D31" s="17" t="s">
        <v>70</v>
      </c>
      <c r="E31" s="87"/>
      <c r="F31" s="87"/>
      <c r="G31" s="91" t="str">
        <f t="shared" si="0"/>
        <v/>
      </c>
      <c r="H31" s="17" t="s">
        <v>32</v>
      </c>
      <c r="I31" s="17"/>
      <c r="J31" s="4"/>
      <c r="K31" s="4"/>
      <c r="L31" s="4"/>
      <c r="M31" s="10"/>
      <c r="N31" s="10"/>
      <c r="O31" s="17"/>
      <c r="P31" s="4"/>
      <c r="Q31" s="15">
        <v>0</v>
      </c>
      <c r="R31" s="4"/>
      <c r="S31" s="45"/>
      <c r="T31" s="45"/>
      <c r="U31" s="45"/>
      <c r="V31" s="45"/>
      <c r="W31" s="45"/>
      <c r="X31" s="12"/>
    </row>
    <row r="32" spans="1:24" ht="20.149999999999999" customHeight="1" x14ac:dyDescent="0.35">
      <c r="A32" s="40" t="s">
        <v>101</v>
      </c>
      <c r="B32" s="3"/>
      <c r="C32" s="244"/>
      <c r="D32" s="16"/>
      <c r="E32" s="102"/>
      <c r="F32" s="102"/>
      <c r="G32" s="92" t="str">
        <f t="shared" si="0"/>
        <v/>
      </c>
      <c r="H32" s="16"/>
      <c r="I32" s="16"/>
      <c r="J32" s="8"/>
      <c r="K32" s="8"/>
      <c r="L32" s="8"/>
      <c r="M32" s="9"/>
      <c r="N32" s="9"/>
      <c r="O32" s="9"/>
      <c r="P32" s="9"/>
      <c r="Q32" s="14"/>
      <c r="R32" s="41"/>
      <c r="S32" s="43"/>
      <c r="T32" s="43"/>
      <c r="U32" s="43"/>
      <c r="V32" s="43"/>
      <c r="W32" s="43"/>
      <c r="X32" s="8"/>
    </row>
    <row r="33" spans="1:24" ht="20.149999999999999" customHeight="1" x14ac:dyDescent="0.35">
      <c r="A33" s="42"/>
      <c r="B33" s="4" t="s">
        <v>320</v>
      </c>
      <c r="C33" s="245"/>
      <c r="D33" s="17" t="s">
        <v>78</v>
      </c>
      <c r="E33" s="87"/>
      <c r="F33" s="87"/>
      <c r="G33" s="91" t="str">
        <f t="shared" si="0"/>
        <v/>
      </c>
      <c r="H33" s="17" t="s">
        <v>32</v>
      </c>
      <c r="I33" s="17"/>
      <c r="J33" s="4"/>
      <c r="K33" s="4"/>
      <c r="L33" s="4"/>
      <c r="M33" s="10"/>
      <c r="N33" s="10"/>
      <c r="O33" s="17"/>
      <c r="P33" s="4"/>
      <c r="Q33" s="15">
        <v>0</v>
      </c>
      <c r="R33" s="4"/>
      <c r="S33" s="45"/>
      <c r="T33" s="45"/>
      <c r="U33" s="45"/>
      <c r="V33" s="45"/>
      <c r="W33" s="45"/>
      <c r="X33" s="12"/>
    </row>
    <row r="34" spans="1:24" ht="20.149999999999999" customHeight="1" x14ac:dyDescent="0.35">
      <c r="A34" s="42"/>
      <c r="B34" s="4" t="s">
        <v>321</v>
      </c>
      <c r="C34" s="245"/>
      <c r="D34" s="17" t="s">
        <v>70</v>
      </c>
      <c r="E34" s="87"/>
      <c r="F34" s="87"/>
      <c r="G34" s="91" t="str">
        <f t="shared" si="0"/>
        <v/>
      </c>
      <c r="H34" s="17" t="s">
        <v>32</v>
      </c>
      <c r="I34" s="17"/>
      <c r="J34" s="4"/>
      <c r="K34" s="4"/>
      <c r="L34" s="4"/>
      <c r="M34" s="10"/>
      <c r="N34" s="10"/>
      <c r="O34" s="17"/>
      <c r="P34" s="4"/>
      <c r="Q34" s="15">
        <v>0</v>
      </c>
      <c r="R34" s="4" t="s">
        <v>322</v>
      </c>
      <c r="S34" s="45"/>
      <c r="T34" s="45"/>
      <c r="U34" s="45"/>
      <c r="V34" s="45"/>
      <c r="W34" s="45"/>
      <c r="X34" s="12"/>
    </row>
    <row r="35" spans="1:24" ht="20.149999999999999" customHeight="1" x14ac:dyDescent="0.35">
      <c r="A35" s="38"/>
      <c r="B35" s="22" t="s">
        <v>120</v>
      </c>
      <c r="C35" s="247"/>
      <c r="D35" s="22"/>
      <c r="E35" s="101"/>
      <c r="F35" s="101"/>
      <c r="G35" s="93" t="str">
        <f t="shared" si="0"/>
        <v/>
      </c>
      <c r="H35" s="22"/>
      <c r="I35" s="22"/>
      <c r="J35" s="22"/>
      <c r="K35" s="22"/>
      <c r="L35" s="22"/>
      <c r="M35" s="22"/>
      <c r="N35" s="22"/>
      <c r="O35" s="44"/>
      <c r="P35" s="22"/>
      <c r="Q35" s="22"/>
      <c r="R35" s="22"/>
      <c r="S35" s="44"/>
      <c r="T35" s="44"/>
      <c r="U35" s="44"/>
      <c r="V35" s="44"/>
      <c r="W35" s="44"/>
      <c r="X35" s="22"/>
    </row>
    <row r="36" spans="1:24" ht="20.149999999999999" customHeight="1" x14ac:dyDescent="0.35">
      <c r="A36" s="42"/>
      <c r="B36" s="20" t="s">
        <v>323</v>
      </c>
      <c r="C36" s="245"/>
      <c r="D36" s="17" t="s">
        <v>70</v>
      </c>
      <c r="E36" s="87"/>
      <c r="F36" s="87"/>
      <c r="G36" s="91" t="str">
        <f t="shared" si="0"/>
        <v/>
      </c>
      <c r="H36" s="17" t="s">
        <v>32</v>
      </c>
      <c r="I36" s="17"/>
      <c r="J36" s="4"/>
      <c r="K36" s="4"/>
      <c r="L36" s="4"/>
      <c r="M36" s="10"/>
      <c r="N36" s="10"/>
      <c r="O36" s="17"/>
      <c r="P36" s="4"/>
      <c r="Q36" s="15">
        <v>0</v>
      </c>
      <c r="R36" s="4"/>
      <c r="S36" s="45"/>
      <c r="T36" s="45"/>
      <c r="U36" s="45"/>
      <c r="V36" s="45"/>
      <c r="W36" s="45"/>
      <c r="X36" s="12"/>
    </row>
    <row r="37" spans="1:24" ht="20.149999999999999" customHeight="1" x14ac:dyDescent="0.35">
      <c r="A37" s="42"/>
      <c r="B37" s="20" t="s">
        <v>324</v>
      </c>
      <c r="C37" s="245"/>
      <c r="D37" s="17" t="s">
        <v>70</v>
      </c>
      <c r="E37" s="87"/>
      <c r="F37" s="87"/>
      <c r="G37" s="91" t="str">
        <f t="shared" si="0"/>
        <v/>
      </c>
      <c r="H37" s="17" t="s">
        <v>32</v>
      </c>
      <c r="I37" s="17"/>
      <c r="J37" s="4"/>
      <c r="K37" s="4"/>
      <c r="L37" s="4"/>
      <c r="M37" s="10"/>
      <c r="N37" s="10"/>
      <c r="O37" s="17"/>
      <c r="P37" s="4"/>
      <c r="Q37" s="15">
        <v>0</v>
      </c>
      <c r="R37" s="4"/>
      <c r="S37" s="45"/>
      <c r="T37" s="45"/>
      <c r="U37" s="45"/>
      <c r="V37" s="45"/>
      <c r="W37" s="45"/>
      <c r="X37" s="12"/>
    </row>
    <row r="38" spans="1:24" ht="20.149999999999999" customHeight="1" x14ac:dyDescent="0.35">
      <c r="A38" s="42"/>
      <c r="B38" s="20" t="s">
        <v>325</v>
      </c>
      <c r="C38" s="245"/>
      <c r="D38" s="17" t="s">
        <v>70</v>
      </c>
      <c r="E38" s="87"/>
      <c r="F38" s="87"/>
      <c r="G38" s="91" t="str">
        <f t="shared" si="0"/>
        <v/>
      </c>
      <c r="H38" s="17" t="s">
        <v>32</v>
      </c>
      <c r="I38" s="17"/>
      <c r="J38" s="4"/>
      <c r="K38" s="4"/>
      <c r="L38" s="4"/>
      <c r="M38" s="10"/>
      <c r="N38" s="10"/>
      <c r="O38" s="17"/>
      <c r="P38" s="4"/>
      <c r="Q38" s="15">
        <v>0</v>
      </c>
      <c r="R38" s="4"/>
      <c r="S38" s="45"/>
      <c r="T38" s="45"/>
      <c r="U38" s="45"/>
      <c r="V38" s="45"/>
      <c r="W38" s="45"/>
      <c r="X38" s="12"/>
    </row>
    <row r="39" spans="1:24" ht="20.149999999999999" customHeight="1" x14ac:dyDescent="0.35">
      <c r="A39" s="42"/>
      <c r="B39" s="21" t="s">
        <v>326</v>
      </c>
      <c r="C39" s="246"/>
      <c r="D39" s="17" t="s">
        <v>70</v>
      </c>
      <c r="E39" s="87"/>
      <c r="F39" s="87"/>
      <c r="G39" s="91" t="str">
        <f t="shared" si="0"/>
        <v/>
      </c>
      <c r="H39" s="17" t="s">
        <v>32</v>
      </c>
      <c r="I39" s="17"/>
      <c r="J39" s="4"/>
      <c r="K39" s="4"/>
      <c r="L39" s="4"/>
      <c r="M39" s="10"/>
      <c r="N39" s="10"/>
      <c r="O39" s="17"/>
      <c r="P39" s="4"/>
      <c r="Q39" s="15">
        <v>0</v>
      </c>
      <c r="R39" s="4"/>
      <c r="S39" s="45"/>
      <c r="T39" s="45"/>
      <c r="U39" s="45"/>
      <c r="V39" s="45"/>
      <c r="W39" s="45"/>
      <c r="X39" s="12"/>
    </row>
    <row r="40" spans="1:24" ht="20.149999999999999" customHeight="1" x14ac:dyDescent="0.35">
      <c r="A40" s="39"/>
      <c r="B40" s="22" t="s">
        <v>113</v>
      </c>
      <c r="C40" s="247"/>
      <c r="D40" s="23"/>
      <c r="E40" s="103"/>
      <c r="F40" s="103"/>
      <c r="G40" s="93" t="str">
        <f t="shared" si="0"/>
        <v/>
      </c>
      <c r="H40" s="23"/>
      <c r="I40" s="23"/>
      <c r="J40" s="24"/>
      <c r="K40" s="24"/>
      <c r="L40" s="24"/>
      <c r="M40" s="25"/>
      <c r="N40" s="25"/>
      <c r="O40" s="23"/>
      <c r="P40" s="24"/>
      <c r="Q40" s="26"/>
      <c r="R40" s="24"/>
      <c r="S40" s="23"/>
      <c r="T40" s="23"/>
      <c r="U40" s="23"/>
      <c r="V40" s="23"/>
      <c r="W40" s="23"/>
      <c r="X40" s="24"/>
    </row>
    <row r="41" spans="1:24" ht="20.149999999999999" customHeight="1" x14ac:dyDescent="0.35">
      <c r="A41" s="42"/>
      <c r="B41" s="21" t="s">
        <v>327</v>
      </c>
      <c r="C41" s="246"/>
      <c r="D41" s="17" t="s">
        <v>70</v>
      </c>
      <c r="E41" s="87" t="s">
        <v>114</v>
      </c>
      <c r="F41" s="87">
        <v>10</v>
      </c>
      <c r="G41" s="91">
        <f t="shared" si="0"/>
        <v>10</v>
      </c>
      <c r="H41" s="17" t="s">
        <v>32</v>
      </c>
      <c r="I41" s="17" t="s">
        <v>109</v>
      </c>
      <c r="J41" s="4" t="s">
        <v>288</v>
      </c>
      <c r="K41" s="4"/>
      <c r="L41" s="4" t="s">
        <v>80</v>
      </c>
      <c r="M41" s="10"/>
      <c r="N41" s="10"/>
      <c r="O41" s="17"/>
      <c r="P41" s="4"/>
      <c r="Q41" s="15">
        <v>0</v>
      </c>
      <c r="R41" s="4"/>
      <c r="S41" s="17" t="s">
        <v>305</v>
      </c>
      <c r="T41" s="17" t="s">
        <v>289</v>
      </c>
      <c r="U41" s="45"/>
      <c r="V41" s="45"/>
      <c r="W41" s="45"/>
      <c r="X41" s="12"/>
    </row>
    <row r="42" spans="1:24" ht="20.149999999999999" customHeight="1" x14ac:dyDescent="0.35">
      <c r="A42" s="42"/>
      <c r="B42" s="21" t="s">
        <v>328</v>
      </c>
      <c r="C42" s="246"/>
      <c r="D42" s="17" t="s">
        <v>70</v>
      </c>
      <c r="E42" s="87" t="s">
        <v>114</v>
      </c>
      <c r="F42" s="87">
        <v>4</v>
      </c>
      <c r="G42" s="91">
        <f t="shared" si="0"/>
        <v>4</v>
      </c>
      <c r="H42" s="17" t="s">
        <v>32</v>
      </c>
      <c r="I42" s="17" t="s">
        <v>109</v>
      </c>
      <c r="J42" s="4" t="s">
        <v>288</v>
      </c>
      <c r="K42" s="4"/>
      <c r="L42" s="4" t="s">
        <v>80</v>
      </c>
      <c r="M42" s="10"/>
      <c r="N42" s="10"/>
      <c r="O42" s="17"/>
      <c r="P42" s="4"/>
      <c r="Q42" s="15">
        <v>0</v>
      </c>
      <c r="R42" s="4"/>
      <c r="S42" s="17" t="s">
        <v>305</v>
      </c>
      <c r="T42" s="17" t="s">
        <v>289</v>
      </c>
      <c r="U42" s="45"/>
      <c r="V42" s="45"/>
      <c r="W42" s="45"/>
      <c r="X42" s="12"/>
    </row>
    <row r="43" spans="1:24" ht="20.149999999999999" customHeight="1" x14ac:dyDescent="0.35">
      <c r="A43" s="42"/>
      <c r="B43" s="21" t="s">
        <v>329</v>
      </c>
      <c r="C43" s="246"/>
      <c r="D43" s="17" t="s">
        <v>70</v>
      </c>
      <c r="E43" s="87" t="s">
        <v>114</v>
      </c>
      <c r="F43" s="87">
        <v>12</v>
      </c>
      <c r="G43" s="91">
        <f t="shared" si="0"/>
        <v>12</v>
      </c>
      <c r="H43" s="17" t="s">
        <v>32</v>
      </c>
      <c r="I43" s="17" t="s">
        <v>109</v>
      </c>
      <c r="J43" s="4" t="s">
        <v>288</v>
      </c>
      <c r="K43" s="4"/>
      <c r="L43" s="4" t="s">
        <v>80</v>
      </c>
      <c r="M43" s="10"/>
      <c r="N43" s="10"/>
      <c r="O43" s="17"/>
      <c r="P43" s="4"/>
      <c r="Q43" s="15">
        <v>0</v>
      </c>
      <c r="R43" s="4"/>
      <c r="S43" s="17" t="s">
        <v>305</v>
      </c>
      <c r="T43" s="17" t="s">
        <v>289</v>
      </c>
      <c r="U43" s="45"/>
      <c r="V43" s="45"/>
      <c r="W43" s="45"/>
      <c r="X43" s="12"/>
    </row>
    <row r="44" spans="1:24" ht="20.149999999999999" customHeight="1" x14ac:dyDescent="0.35">
      <c r="A44" s="39"/>
      <c r="B44" s="22" t="s">
        <v>330</v>
      </c>
      <c r="C44" s="247"/>
      <c r="D44" s="23"/>
      <c r="E44" s="103"/>
      <c r="F44" s="103"/>
      <c r="G44" s="93" t="str">
        <f t="shared" si="0"/>
        <v/>
      </c>
      <c r="H44" s="23"/>
      <c r="I44" s="23"/>
      <c r="J44" s="24"/>
      <c r="K44" s="24"/>
      <c r="L44" s="24"/>
      <c r="M44" s="25"/>
      <c r="N44" s="25"/>
      <c r="O44" s="23"/>
      <c r="P44" s="24"/>
      <c r="Q44" s="26"/>
      <c r="R44" s="24"/>
      <c r="S44" s="23"/>
      <c r="T44" s="23"/>
      <c r="U44" s="23"/>
      <c r="V44" s="23"/>
      <c r="W44" s="23"/>
      <c r="X44" s="24"/>
    </row>
    <row r="45" spans="1:24" ht="20.149999999999999" customHeight="1" x14ac:dyDescent="0.35">
      <c r="A45" s="39"/>
      <c r="B45" s="21" t="s">
        <v>331</v>
      </c>
      <c r="C45" s="246"/>
      <c r="D45" s="17" t="s">
        <v>70</v>
      </c>
      <c r="E45" s="87" t="s">
        <v>114</v>
      </c>
      <c r="F45" s="87">
        <v>6</v>
      </c>
      <c r="G45" s="91">
        <f t="shared" ref="G45:G46" si="4">IFERROR(AVERAGE(E45:F45),"")</f>
        <v>6</v>
      </c>
      <c r="H45" s="17" t="s">
        <v>32</v>
      </c>
      <c r="I45" s="17" t="s">
        <v>109</v>
      </c>
      <c r="J45" s="4" t="s">
        <v>288</v>
      </c>
      <c r="K45" s="4"/>
      <c r="L45" s="4" t="s">
        <v>239</v>
      </c>
      <c r="M45" s="10"/>
      <c r="N45" s="10"/>
      <c r="O45" s="17"/>
      <c r="P45" s="4"/>
      <c r="Q45" s="15">
        <v>0</v>
      </c>
      <c r="R45" s="4"/>
      <c r="S45" s="17" t="s">
        <v>305</v>
      </c>
      <c r="T45" s="17" t="s">
        <v>289</v>
      </c>
      <c r="U45" s="17"/>
      <c r="V45" s="17"/>
      <c r="W45" s="17"/>
      <c r="X45" s="4"/>
    </row>
    <row r="46" spans="1:24" ht="20.149999999999999" customHeight="1" x14ac:dyDescent="0.35">
      <c r="A46" s="38"/>
      <c r="B46" s="21" t="s">
        <v>332</v>
      </c>
      <c r="C46" s="246"/>
      <c r="D46" s="17" t="s">
        <v>70</v>
      </c>
      <c r="E46" s="87" t="s">
        <v>114</v>
      </c>
      <c r="F46" s="87">
        <v>6</v>
      </c>
      <c r="G46" s="91">
        <f t="shared" si="4"/>
        <v>6</v>
      </c>
      <c r="H46" s="17" t="s">
        <v>32</v>
      </c>
      <c r="I46" s="17" t="s">
        <v>109</v>
      </c>
      <c r="J46" s="4" t="s">
        <v>288</v>
      </c>
      <c r="K46" s="4"/>
      <c r="L46" s="4" t="s">
        <v>239</v>
      </c>
      <c r="M46" s="10"/>
      <c r="N46" s="10"/>
      <c r="O46" s="17"/>
      <c r="P46" s="4"/>
      <c r="Q46" s="15">
        <v>0</v>
      </c>
      <c r="R46" s="4"/>
      <c r="S46" s="17" t="s">
        <v>305</v>
      </c>
      <c r="T46" s="17" t="s">
        <v>289</v>
      </c>
      <c r="U46" s="17"/>
      <c r="V46" s="17"/>
      <c r="W46" s="17"/>
      <c r="X46" s="4"/>
    </row>
    <row r="47" spans="1:24" ht="20.149999999999999" customHeight="1" x14ac:dyDescent="0.35">
      <c r="A47" s="42"/>
      <c r="B47" s="20" t="s">
        <v>333</v>
      </c>
      <c r="C47" s="245"/>
      <c r="D47" s="17" t="s">
        <v>70</v>
      </c>
      <c r="E47" s="87" t="s">
        <v>114</v>
      </c>
      <c r="F47" s="87"/>
      <c r="G47" s="91" t="str">
        <f t="shared" si="0"/>
        <v/>
      </c>
      <c r="H47" s="17" t="s">
        <v>32</v>
      </c>
      <c r="I47" s="17" t="s">
        <v>109</v>
      </c>
      <c r="J47" s="4" t="s">
        <v>288</v>
      </c>
      <c r="K47" s="4"/>
      <c r="L47" s="4" t="s">
        <v>334</v>
      </c>
      <c r="M47" s="10"/>
      <c r="N47" s="10"/>
      <c r="O47" s="17"/>
      <c r="P47" s="4"/>
      <c r="Q47" s="15">
        <v>0</v>
      </c>
      <c r="R47" s="4"/>
      <c r="S47" s="17" t="s">
        <v>305</v>
      </c>
      <c r="T47" s="17" t="s">
        <v>289</v>
      </c>
      <c r="U47" s="45"/>
      <c r="V47" s="45"/>
      <c r="W47" s="45"/>
      <c r="X47" s="12"/>
    </row>
    <row r="48" spans="1:24" ht="20.149999999999999" customHeight="1" x14ac:dyDescent="0.35">
      <c r="A48" s="39"/>
      <c r="B48" s="22" t="s">
        <v>335</v>
      </c>
      <c r="C48" s="247"/>
      <c r="D48" s="23"/>
      <c r="E48" s="103"/>
      <c r="F48" s="103"/>
      <c r="G48" s="93" t="str">
        <f t="shared" si="0"/>
        <v/>
      </c>
      <c r="H48" s="23"/>
      <c r="I48" s="23"/>
      <c r="J48" s="24"/>
      <c r="K48" s="24"/>
      <c r="L48" s="24"/>
      <c r="M48" s="25"/>
      <c r="N48" s="25"/>
      <c r="O48" s="23"/>
      <c r="P48" s="24"/>
      <c r="Q48" s="26"/>
      <c r="R48" s="24"/>
      <c r="S48" s="23"/>
      <c r="T48" s="23"/>
      <c r="U48" s="23"/>
      <c r="V48" s="23"/>
      <c r="W48" s="23"/>
      <c r="X48" s="24"/>
    </row>
    <row r="49" spans="1:24" ht="20.149999999999999" customHeight="1" x14ac:dyDescent="0.35">
      <c r="A49" s="39"/>
      <c r="B49" s="21" t="s">
        <v>331</v>
      </c>
      <c r="C49" s="246"/>
      <c r="D49" s="17" t="s">
        <v>70</v>
      </c>
      <c r="E49" s="87" t="s">
        <v>114</v>
      </c>
      <c r="F49" s="87">
        <v>6</v>
      </c>
      <c r="G49" s="91">
        <f t="shared" si="0"/>
        <v>6</v>
      </c>
      <c r="H49" s="17" t="s">
        <v>32</v>
      </c>
      <c r="I49" s="17" t="s">
        <v>109</v>
      </c>
      <c r="J49" s="4" t="s">
        <v>288</v>
      </c>
      <c r="K49" s="4"/>
      <c r="L49" s="4" t="s">
        <v>239</v>
      </c>
      <c r="M49" s="10"/>
      <c r="N49" s="10"/>
      <c r="O49" s="17"/>
      <c r="P49" s="4"/>
      <c r="Q49" s="15">
        <v>0</v>
      </c>
      <c r="R49" s="4"/>
      <c r="S49" s="17" t="s">
        <v>305</v>
      </c>
      <c r="T49" s="17" t="s">
        <v>289</v>
      </c>
      <c r="U49" s="17"/>
      <c r="V49" s="17"/>
      <c r="W49" s="17"/>
      <c r="X49" s="4"/>
    </row>
    <row r="50" spans="1:24" ht="20.149999999999999" customHeight="1" x14ac:dyDescent="0.35">
      <c r="A50" s="39"/>
      <c r="B50" s="21" t="s">
        <v>336</v>
      </c>
      <c r="C50" s="246"/>
      <c r="D50" s="17" t="s">
        <v>70</v>
      </c>
      <c r="E50" s="87" t="s">
        <v>114</v>
      </c>
      <c r="F50" s="87">
        <v>6</v>
      </c>
      <c r="G50" s="91">
        <f t="shared" si="0"/>
        <v>6</v>
      </c>
      <c r="H50" s="17" t="s">
        <v>32</v>
      </c>
      <c r="I50" s="17" t="s">
        <v>109</v>
      </c>
      <c r="J50" s="4" t="s">
        <v>288</v>
      </c>
      <c r="K50" s="4"/>
      <c r="L50" s="4" t="s">
        <v>239</v>
      </c>
      <c r="M50" s="10"/>
      <c r="N50" s="10"/>
      <c r="O50" s="17"/>
      <c r="P50" s="4"/>
      <c r="Q50" s="15">
        <v>0</v>
      </c>
      <c r="R50" s="4"/>
      <c r="S50" s="17" t="s">
        <v>305</v>
      </c>
      <c r="T50" s="17" t="s">
        <v>289</v>
      </c>
      <c r="U50" s="17"/>
      <c r="V50" s="17"/>
      <c r="W50" s="17"/>
      <c r="X50" s="4"/>
    </row>
    <row r="51" spans="1:24" ht="20.149999999999999" customHeight="1" x14ac:dyDescent="0.35">
      <c r="A51" s="38"/>
      <c r="B51" s="21" t="s">
        <v>332</v>
      </c>
      <c r="C51" s="246"/>
      <c r="D51" s="17" t="s">
        <v>70</v>
      </c>
      <c r="E51" s="87" t="s">
        <v>114</v>
      </c>
      <c r="F51" s="87">
        <v>6</v>
      </c>
      <c r="G51" s="91">
        <f t="shared" si="0"/>
        <v>6</v>
      </c>
      <c r="H51" s="17" t="s">
        <v>32</v>
      </c>
      <c r="I51" s="17" t="s">
        <v>109</v>
      </c>
      <c r="J51" s="4" t="s">
        <v>288</v>
      </c>
      <c r="K51" s="4"/>
      <c r="L51" s="4" t="s">
        <v>239</v>
      </c>
      <c r="M51" s="10"/>
      <c r="N51" s="10"/>
      <c r="O51" s="17"/>
      <c r="P51" s="4"/>
      <c r="Q51" s="15">
        <v>0</v>
      </c>
      <c r="R51" s="4"/>
      <c r="S51" s="17" t="s">
        <v>305</v>
      </c>
      <c r="T51" s="17" t="s">
        <v>289</v>
      </c>
      <c r="U51" s="17"/>
      <c r="V51" s="17"/>
      <c r="W51" s="17"/>
      <c r="X51" s="4"/>
    </row>
    <row r="52" spans="1:24" ht="20.149999999999999" customHeight="1" x14ac:dyDescent="0.35">
      <c r="A52" s="38"/>
      <c r="B52" s="21" t="s">
        <v>337</v>
      </c>
      <c r="C52" s="246"/>
      <c r="D52" s="17" t="s">
        <v>70</v>
      </c>
      <c r="E52" s="87" t="s">
        <v>114</v>
      </c>
      <c r="F52" s="87">
        <v>6</v>
      </c>
      <c r="G52" s="91">
        <f t="shared" si="0"/>
        <v>6</v>
      </c>
      <c r="H52" s="17" t="s">
        <v>32</v>
      </c>
      <c r="I52" s="17" t="s">
        <v>109</v>
      </c>
      <c r="J52" s="4" t="s">
        <v>288</v>
      </c>
      <c r="K52" s="4"/>
      <c r="L52" s="4" t="s">
        <v>239</v>
      </c>
      <c r="M52" s="10"/>
      <c r="N52" s="10"/>
      <c r="O52" s="17"/>
      <c r="P52" s="4"/>
      <c r="Q52" s="15">
        <v>0</v>
      </c>
      <c r="R52" s="4"/>
      <c r="S52" s="17" t="s">
        <v>305</v>
      </c>
      <c r="T52" s="17" t="s">
        <v>289</v>
      </c>
      <c r="U52" s="17"/>
      <c r="V52" s="17"/>
      <c r="W52" s="17"/>
      <c r="X52" s="4"/>
    </row>
    <row r="53" spans="1:24" ht="20.149999999999999" customHeight="1" x14ac:dyDescent="0.35">
      <c r="A53" s="40" t="s">
        <v>211</v>
      </c>
      <c r="B53" s="3"/>
      <c r="C53" s="244"/>
      <c r="D53" s="16"/>
      <c r="E53" s="102"/>
      <c r="F53" s="102"/>
      <c r="G53" s="92" t="str">
        <f t="shared" si="0"/>
        <v/>
      </c>
      <c r="H53" s="16"/>
      <c r="I53" s="16"/>
      <c r="J53" s="8"/>
      <c r="K53" s="8"/>
      <c r="L53" s="8"/>
      <c r="M53" s="9"/>
      <c r="N53" s="9"/>
      <c r="O53" s="9"/>
      <c r="P53" s="9"/>
      <c r="Q53" s="14"/>
      <c r="R53" s="41"/>
      <c r="S53" s="43"/>
      <c r="T53" s="43"/>
      <c r="U53" s="43"/>
      <c r="V53" s="43"/>
      <c r="W53" s="43"/>
      <c r="X53" s="8"/>
    </row>
    <row r="54" spans="1:24" ht="20.149999999999999" customHeight="1" x14ac:dyDescent="0.35">
      <c r="A54" s="38"/>
      <c r="B54" s="21" t="s">
        <v>297</v>
      </c>
      <c r="C54" s="246"/>
      <c r="D54" s="17" t="s">
        <v>70</v>
      </c>
      <c r="E54" s="87"/>
      <c r="F54" s="87"/>
      <c r="G54" s="91" t="str">
        <f t="shared" si="0"/>
        <v/>
      </c>
      <c r="H54" s="17" t="s">
        <v>32</v>
      </c>
      <c r="I54" s="17" t="s">
        <v>204</v>
      </c>
      <c r="J54" s="4" t="s">
        <v>288</v>
      </c>
      <c r="K54" s="4"/>
      <c r="L54" s="4"/>
      <c r="M54" s="10"/>
      <c r="N54" s="10"/>
      <c r="O54" s="17"/>
      <c r="P54" s="4"/>
      <c r="Q54" s="15">
        <v>0</v>
      </c>
      <c r="R54" s="86"/>
      <c r="S54" s="17"/>
      <c r="T54" s="17"/>
      <c r="U54" s="17"/>
      <c r="V54" s="17" t="s">
        <v>289</v>
      </c>
      <c r="W54" s="17"/>
      <c r="X54" s="4"/>
    </row>
    <row r="55" spans="1:24" ht="20.149999999999999" customHeight="1" x14ac:dyDescent="0.35">
      <c r="A55" s="38"/>
      <c r="B55" s="21"/>
      <c r="C55" s="246"/>
      <c r="D55" s="17" t="s">
        <v>70</v>
      </c>
      <c r="E55" s="87"/>
      <c r="F55" s="87"/>
      <c r="G55" s="91" t="str">
        <f t="shared" si="0"/>
        <v/>
      </c>
      <c r="H55" s="17" t="s">
        <v>32</v>
      </c>
      <c r="I55" s="17"/>
      <c r="J55" s="4"/>
      <c r="K55" s="4"/>
      <c r="L55" s="4"/>
      <c r="M55" s="10"/>
      <c r="N55" s="10"/>
      <c r="O55" s="17"/>
      <c r="P55" s="4"/>
      <c r="Q55" s="15">
        <v>0</v>
      </c>
      <c r="R55" s="86"/>
      <c r="S55" s="17"/>
      <c r="T55" s="17" t="s">
        <v>338</v>
      </c>
      <c r="U55" s="17" t="s">
        <v>338</v>
      </c>
      <c r="V55" s="17"/>
      <c r="W55" s="17"/>
      <c r="X55" s="4"/>
    </row>
    <row r="56" spans="1:24" ht="20.149999999999999" customHeight="1" x14ac:dyDescent="0.35">
      <c r="A56" s="40" t="s">
        <v>222</v>
      </c>
      <c r="B56" s="3"/>
      <c r="C56" s="244"/>
      <c r="D56" s="16"/>
      <c r="E56" s="102"/>
      <c r="F56" s="102"/>
      <c r="G56" s="92" t="str">
        <f t="shared" si="0"/>
        <v/>
      </c>
      <c r="H56" s="16"/>
      <c r="I56" s="16"/>
      <c r="J56" s="8"/>
      <c r="K56" s="8"/>
      <c r="L56" s="8"/>
      <c r="M56" s="9"/>
      <c r="N56" s="9"/>
      <c r="O56" s="9"/>
      <c r="P56" s="9"/>
      <c r="Q56" s="14"/>
      <c r="R56" s="41"/>
      <c r="S56" s="43"/>
      <c r="T56" s="43"/>
      <c r="U56" s="43"/>
      <c r="V56" s="43"/>
      <c r="W56" s="43"/>
      <c r="X56" s="8"/>
    </row>
    <row r="57" spans="1:24" s="6" customFormat="1" ht="19.899999999999999" customHeight="1" x14ac:dyDescent="0.35">
      <c r="A57" s="38"/>
      <c r="B57" s="4" t="s">
        <v>339</v>
      </c>
      <c r="C57" s="245"/>
      <c r="D57" s="17" t="s">
        <v>70</v>
      </c>
      <c r="E57" s="87"/>
      <c r="F57" s="87"/>
      <c r="G57" s="91" t="str">
        <f t="shared" si="0"/>
        <v/>
      </c>
      <c r="H57" s="17" t="s">
        <v>32</v>
      </c>
      <c r="I57" s="17" t="s">
        <v>97</v>
      </c>
      <c r="J57" s="4" t="s">
        <v>288</v>
      </c>
      <c r="K57" s="4"/>
      <c r="L57" s="4"/>
      <c r="M57" s="10"/>
      <c r="N57" s="10"/>
      <c r="O57" s="17"/>
      <c r="P57" s="4"/>
      <c r="Q57" s="15">
        <v>0</v>
      </c>
      <c r="R57" s="4"/>
      <c r="S57" s="17"/>
      <c r="T57" s="17"/>
      <c r="U57" s="17"/>
      <c r="V57" s="17" t="s">
        <v>289</v>
      </c>
      <c r="W57" s="17"/>
      <c r="X57" s="4"/>
    </row>
    <row r="58" spans="1:24" s="6" customFormat="1" ht="19.899999999999999" customHeight="1" x14ac:dyDescent="0.35">
      <c r="A58" s="38"/>
      <c r="B58" s="4" t="s">
        <v>340</v>
      </c>
      <c r="C58" s="245"/>
      <c r="D58" s="17" t="s">
        <v>70</v>
      </c>
      <c r="E58" s="87"/>
      <c r="F58" s="87"/>
      <c r="G58" s="91" t="str">
        <f t="shared" si="0"/>
        <v/>
      </c>
      <c r="H58" s="17" t="s">
        <v>32</v>
      </c>
      <c r="I58" s="17" t="s">
        <v>97</v>
      </c>
      <c r="J58" s="4" t="s">
        <v>6</v>
      </c>
      <c r="K58" s="4"/>
      <c r="L58" s="4"/>
      <c r="M58" s="10"/>
      <c r="N58" s="10"/>
      <c r="O58" s="17"/>
      <c r="P58" s="4"/>
      <c r="Q58" s="15">
        <v>0</v>
      </c>
      <c r="R58" s="4" t="s">
        <v>230</v>
      </c>
      <c r="S58" s="17"/>
      <c r="T58" s="17" t="s">
        <v>338</v>
      </c>
      <c r="U58" s="17" t="s">
        <v>338</v>
      </c>
      <c r="V58" s="17"/>
      <c r="W58" s="17"/>
      <c r="X58" s="4"/>
    </row>
    <row r="59" spans="1:24" s="6" customFormat="1" ht="19.899999999999999" customHeight="1" x14ac:dyDescent="0.35">
      <c r="A59" s="38"/>
      <c r="B59" s="4" t="s">
        <v>341</v>
      </c>
      <c r="C59" s="245"/>
      <c r="D59" s="17" t="s">
        <v>70</v>
      </c>
      <c r="E59" s="87"/>
      <c r="F59" s="87"/>
      <c r="G59" s="91" t="str">
        <f t="shared" si="0"/>
        <v/>
      </c>
      <c r="H59" s="17" t="s">
        <v>32</v>
      </c>
      <c r="I59" s="17" t="s">
        <v>97</v>
      </c>
      <c r="J59" s="4" t="s">
        <v>288</v>
      </c>
      <c r="K59" s="4"/>
      <c r="L59" s="4"/>
      <c r="M59" s="10"/>
      <c r="N59" s="10"/>
      <c r="O59" s="17"/>
      <c r="P59" s="4"/>
      <c r="Q59" s="15">
        <v>0</v>
      </c>
      <c r="R59" s="4"/>
      <c r="S59" s="17"/>
      <c r="T59" s="17"/>
      <c r="U59" s="17"/>
      <c r="V59" s="17" t="s">
        <v>289</v>
      </c>
      <c r="W59" s="17"/>
      <c r="X59" s="4"/>
    </row>
    <row r="60" spans="1:24" s="6" customFormat="1" ht="19.899999999999999" customHeight="1" x14ac:dyDescent="0.35">
      <c r="A60" s="38"/>
      <c r="B60" s="4" t="s">
        <v>342</v>
      </c>
      <c r="C60" s="245"/>
      <c r="D60" s="17" t="s">
        <v>70</v>
      </c>
      <c r="E60" s="87"/>
      <c r="F60" s="87"/>
      <c r="G60" s="91" t="str">
        <f t="shared" si="0"/>
        <v/>
      </c>
      <c r="H60" s="17" t="s">
        <v>32</v>
      </c>
      <c r="I60" s="17" t="s">
        <v>97</v>
      </c>
      <c r="J60" s="4" t="s">
        <v>6</v>
      </c>
      <c r="K60" s="4"/>
      <c r="L60" s="4"/>
      <c r="M60" s="10"/>
      <c r="N60" s="10"/>
      <c r="O60" s="17"/>
      <c r="P60" s="4"/>
      <c r="Q60" s="15">
        <v>0</v>
      </c>
      <c r="R60" s="4"/>
      <c r="S60" s="17"/>
      <c r="T60" s="17" t="s">
        <v>338</v>
      </c>
      <c r="U60" s="17" t="s">
        <v>289</v>
      </c>
      <c r="V60" s="17"/>
      <c r="W60" s="17"/>
      <c r="X60" s="4"/>
    </row>
    <row r="61" spans="1:24" s="6" customFormat="1" ht="19.899999999999999" customHeight="1" x14ac:dyDescent="0.35">
      <c r="A61" s="38"/>
      <c r="B61" s="4" t="s">
        <v>343</v>
      </c>
      <c r="C61" s="245"/>
      <c r="D61" s="17" t="s">
        <v>70</v>
      </c>
      <c r="E61" s="87"/>
      <c r="F61" s="87"/>
      <c r="G61" s="91" t="str">
        <f t="shared" si="0"/>
        <v/>
      </c>
      <c r="H61" s="17" t="s">
        <v>32</v>
      </c>
      <c r="I61" s="17" t="s">
        <v>231</v>
      </c>
      <c r="J61" s="4" t="s">
        <v>288</v>
      </c>
      <c r="K61" s="4"/>
      <c r="L61" s="4"/>
      <c r="M61" s="10"/>
      <c r="N61" s="10"/>
      <c r="O61" s="17"/>
      <c r="P61" s="4"/>
      <c r="Q61" s="15">
        <v>0</v>
      </c>
      <c r="R61" s="4"/>
      <c r="S61" s="17"/>
      <c r="T61" s="17" t="s">
        <v>344</v>
      </c>
      <c r="U61" s="17" t="s">
        <v>338</v>
      </c>
      <c r="V61" s="17" t="s">
        <v>289</v>
      </c>
      <c r="W61" s="17"/>
      <c r="X61" s="4"/>
    </row>
    <row r="63" spans="1:24" ht="20.149999999999999" customHeight="1" thickBot="1" x14ac:dyDescent="0.4"/>
    <row r="64" spans="1:24" s="18" customFormat="1" ht="60" customHeight="1" thickBot="1" x14ac:dyDescent="0.4">
      <c r="A64" s="262" t="s">
        <v>345</v>
      </c>
      <c r="B64" s="262"/>
      <c r="C64" s="242"/>
      <c r="D64" s="261" t="s">
        <v>274</v>
      </c>
      <c r="E64" s="261"/>
      <c r="F64" s="261"/>
      <c r="G64" s="261"/>
      <c r="H64" s="261"/>
      <c r="I64" s="261"/>
      <c r="J64" s="27"/>
      <c r="K64" s="27"/>
      <c r="L64" s="27"/>
      <c r="M64" s="28"/>
      <c r="N64" s="28"/>
      <c r="O64" s="111"/>
      <c r="P64" s="147"/>
      <c r="Q64" s="97"/>
      <c r="R64" s="148"/>
      <c r="S64" s="116" t="s">
        <v>275</v>
      </c>
      <c r="T64" s="117" t="s">
        <v>26</v>
      </c>
      <c r="U64" s="118" t="s">
        <v>276</v>
      </c>
      <c r="V64" s="119" t="s">
        <v>277</v>
      </c>
      <c r="W64" s="120" t="s">
        <v>278</v>
      </c>
      <c r="X64" s="121" t="s">
        <v>279</v>
      </c>
    </row>
    <row r="65" spans="1:24" ht="48" customHeight="1" x14ac:dyDescent="0.35">
      <c r="A65" s="84"/>
      <c r="B65" s="70" t="s">
        <v>346</v>
      </c>
      <c r="C65" s="243"/>
      <c r="D65" s="69" t="s">
        <v>55</v>
      </c>
      <c r="E65" s="69" t="s">
        <v>281</v>
      </c>
      <c r="F65" s="69" t="s">
        <v>282</v>
      </c>
      <c r="G65" s="69" t="s">
        <v>283</v>
      </c>
      <c r="H65" s="69" t="s">
        <v>15</v>
      </c>
      <c r="I65" s="69" t="s">
        <v>13</v>
      </c>
      <c r="J65" s="70" t="s">
        <v>12</v>
      </c>
      <c r="K65" s="70" t="s">
        <v>284</v>
      </c>
      <c r="L65" s="70" t="s">
        <v>62</v>
      </c>
      <c r="M65" s="71" t="s">
        <v>63</v>
      </c>
      <c r="N65" s="71" t="s">
        <v>64</v>
      </c>
      <c r="O65" s="71" t="s">
        <v>65</v>
      </c>
      <c r="P65" s="70" t="s">
        <v>66</v>
      </c>
      <c r="Q65" s="72" t="s">
        <v>67</v>
      </c>
      <c r="R65" s="73" t="s">
        <v>68</v>
      </c>
      <c r="S65" s="258" t="s">
        <v>285</v>
      </c>
      <c r="T65" s="259"/>
      <c r="U65" s="259"/>
      <c r="V65" s="259"/>
      <c r="W65" s="259"/>
      <c r="X65" s="260"/>
    </row>
    <row r="66" spans="1:24" ht="20.149999999999999" customHeight="1" x14ac:dyDescent="0.35">
      <c r="A66" s="38"/>
      <c r="B66" s="32" t="s">
        <v>131</v>
      </c>
      <c r="C66" s="249"/>
      <c r="D66" s="33"/>
      <c r="E66" s="88"/>
      <c r="F66" s="88"/>
      <c r="G66" s="94"/>
      <c r="H66" s="33"/>
      <c r="I66" s="33"/>
      <c r="J66" s="34"/>
      <c r="K66" s="34"/>
      <c r="L66" s="34"/>
      <c r="M66" s="35"/>
      <c r="N66" s="35"/>
      <c r="O66" s="33"/>
      <c r="P66" s="33"/>
      <c r="Q66" s="36"/>
      <c r="R66" s="34"/>
      <c r="S66" s="33"/>
      <c r="T66" s="33"/>
      <c r="U66" s="33"/>
      <c r="V66" s="33"/>
      <c r="W66" s="33"/>
      <c r="X66" s="34"/>
    </row>
    <row r="67" spans="1:24" ht="20.149999999999999" customHeight="1" x14ac:dyDescent="0.35">
      <c r="A67" s="38"/>
      <c r="B67" s="31" t="s">
        <v>132</v>
      </c>
      <c r="C67" s="246"/>
      <c r="D67" s="17" t="s">
        <v>70</v>
      </c>
      <c r="E67" s="87">
        <v>6</v>
      </c>
      <c r="F67" s="87">
        <v>10</v>
      </c>
      <c r="G67" s="95">
        <f t="shared" ref="G67:G125" si="5">IFERROR(AVERAGE(E67:F67),"")</f>
        <v>8</v>
      </c>
      <c r="H67" s="17" t="s">
        <v>30</v>
      </c>
      <c r="I67" s="17" t="s">
        <v>97</v>
      </c>
      <c r="J67" s="4" t="s">
        <v>288</v>
      </c>
      <c r="K67" s="4"/>
      <c r="L67" s="4" t="s">
        <v>80</v>
      </c>
      <c r="M67" s="10"/>
      <c r="N67" s="10"/>
      <c r="O67" s="17"/>
      <c r="P67" s="17"/>
      <c r="Q67" s="15">
        <v>0</v>
      </c>
      <c r="R67" s="4"/>
      <c r="S67" s="17" t="s">
        <v>305</v>
      </c>
      <c r="T67" s="17" t="s">
        <v>289</v>
      </c>
      <c r="U67" s="17" t="s">
        <v>338</v>
      </c>
      <c r="V67" s="17"/>
      <c r="W67" s="17"/>
      <c r="X67" s="4"/>
    </row>
    <row r="68" spans="1:24" ht="20.149999999999999" customHeight="1" x14ac:dyDescent="0.35">
      <c r="A68" s="38"/>
      <c r="B68" s="31" t="s">
        <v>133</v>
      </c>
      <c r="C68" s="246"/>
      <c r="D68" s="17" t="s">
        <v>70</v>
      </c>
      <c r="E68" s="87">
        <v>8</v>
      </c>
      <c r="F68" s="87">
        <v>12</v>
      </c>
      <c r="G68" s="95">
        <f t="shared" si="5"/>
        <v>10</v>
      </c>
      <c r="H68" s="17" t="s">
        <v>32</v>
      </c>
      <c r="I68" s="17" t="s">
        <v>97</v>
      </c>
      <c r="J68" s="4" t="s">
        <v>288</v>
      </c>
      <c r="K68" s="4"/>
      <c r="L68" s="4" t="s">
        <v>80</v>
      </c>
      <c r="M68" s="10"/>
      <c r="N68" s="10"/>
      <c r="O68" s="17"/>
      <c r="P68" s="17"/>
      <c r="Q68" s="15">
        <v>0</v>
      </c>
      <c r="R68" s="4"/>
      <c r="S68" s="17" t="s">
        <v>305</v>
      </c>
      <c r="T68" s="17" t="s">
        <v>289</v>
      </c>
      <c r="U68" s="17" t="s">
        <v>338</v>
      </c>
      <c r="V68" s="17"/>
      <c r="W68" s="17"/>
      <c r="X68" s="4"/>
    </row>
    <row r="69" spans="1:24" ht="20.149999999999999" customHeight="1" x14ac:dyDescent="0.35">
      <c r="A69" s="38"/>
      <c r="B69" s="31" t="s">
        <v>134</v>
      </c>
      <c r="C69" s="246"/>
      <c r="D69" s="17" t="s">
        <v>70</v>
      </c>
      <c r="E69" s="87">
        <v>15</v>
      </c>
      <c r="F69" s="87">
        <v>19</v>
      </c>
      <c r="G69" s="95">
        <f t="shared" si="5"/>
        <v>17</v>
      </c>
      <c r="H69" s="17" t="s">
        <v>32</v>
      </c>
      <c r="I69" s="17" t="s">
        <v>97</v>
      </c>
      <c r="J69" s="4" t="s">
        <v>288</v>
      </c>
      <c r="K69" s="4"/>
      <c r="L69" s="4" t="s">
        <v>80</v>
      </c>
      <c r="M69" s="10"/>
      <c r="N69" s="10"/>
      <c r="O69" s="17"/>
      <c r="P69" s="17"/>
      <c r="Q69" s="15">
        <v>0</v>
      </c>
      <c r="R69" s="4"/>
      <c r="S69" s="17" t="s">
        <v>305</v>
      </c>
      <c r="T69" s="17" t="s">
        <v>289</v>
      </c>
      <c r="U69" s="17" t="s">
        <v>338</v>
      </c>
      <c r="V69" s="17"/>
      <c r="W69" s="17"/>
      <c r="X69" s="4"/>
    </row>
    <row r="70" spans="1:24" ht="20.149999999999999" customHeight="1" x14ac:dyDescent="0.35">
      <c r="A70" s="38"/>
      <c r="B70" s="31" t="s">
        <v>135</v>
      </c>
      <c r="C70" s="246"/>
      <c r="D70" s="17" t="s">
        <v>70</v>
      </c>
      <c r="E70" s="87">
        <v>15</v>
      </c>
      <c r="F70" s="87">
        <v>19</v>
      </c>
      <c r="G70" s="95">
        <f t="shared" si="5"/>
        <v>17</v>
      </c>
      <c r="H70" s="17" t="s">
        <v>32</v>
      </c>
      <c r="I70" s="17" t="s">
        <v>97</v>
      </c>
      <c r="J70" s="4" t="s">
        <v>288</v>
      </c>
      <c r="K70" s="4"/>
      <c r="L70" s="4" t="s">
        <v>80</v>
      </c>
      <c r="M70" s="10"/>
      <c r="N70" s="10"/>
      <c r="O70" s="17"/>
      <c r="P70" s="17"/>
      <c r="Q70" s="15">
        <v>0</v>
      </c>
      <c r="R70" s="4"/>
      <c r="S70" s="17" t="s">
        <v>305</v>
      </c>
      <c r="T70" s="17" t="s">
        <v>289</v>
      </c>
      <c r="U70" s="17" t="s">
        <v>338</v>
      </c>
      <c r="V70" s="17"/>
      <c r="W70" s="17"/>
      <c r="X70" s="4"/>
    </row>
    <row r="71" spans="1:24" ht="20.149999999999999" customHeight="1" x14ac:dyDescent="0.35">
      <c r="A71" s="38"/>
      <c r="B71" s="31" t="s">
        <v>136</v>
      </c>
      <c r="C71" s="246"/>
      <c r="D71" s="17" t="s">
        <v>70</v>
      </c>
      <c r="E71" s="87">
        <v>1</v>
      </c>
      <c r="F71" s="87">
        <v>1</v>
      </c>
      <c r="G71" s="95">
        <f t="shared" si="5"/>
        <v>1</v>
      </c>
      <c r="H71" s="17" t="s">
        <v>32</v>
      </c>
      <c r="I71" s="17" t="s">
        <v>97</v>
      </c>
      <c r="J71" s="4" t="s">
        <v>288</v>
      </c>
      <c r="K71" s="4"/>
      <c r="L71" s="4" t="s">
        <v>80</v>
      </c>
      <c r="M71" s="10"/>
      <c r="N71" s="10"/>
      <c r="O71" s="17"/>
      <c r="P71" s="17"/>
      <c r="Q71" s="15">
        <v>0</v>
      </c>
      <c r="R71" s="4"/>
      <c r="S71" s="17" t="s">
        <v>305</v>
      </c>
      <c r="T71" s="17" t="s">
        <v>289</v>
      </c>
      <c r="U71" s="17" t="s">
        <v>338</v>
      </c>
      <c r="V71" s="17"/>
      <c r="W71" s="17"/>
      <c r="X71" s="4"/>
    </row>
    <row r="72" spans="1:24" ht="20.149999999999999" customHeight="1" x14ac:dyDescent="0.35">
      <c r="A72" s="38"/>
      <c r="B72" s="31" t="s">
        <v>137</v>
      </c>
      <c r="C72" s="246"/>
      <c r="D72" s="17" t="s">
        <v>70</v>
      </c>
      <c r="E72" s="87">
        <v>1</v>
      </c>
      <c r="F72" s="89">
        <v>2</v>
      </c>
      <c r="G72" s="95">
        <f t="shared" si="5"/>
        <v>1.5</v>
      </c>
      <c r="H72" s="17" t="s">
        <v>32</v>
      </c>
      <c r="I72" s="17" t="s">
        <v>97</v>
      </c>
      <c r="J72" s="4" t="s">
        <v>288</v>
      </c>
      <c r="K72" s="4"/>
      <c r="L72" s="4" t="s">
        <v>80</v>
      </c>
      <c r="M72" s="10"/>
      <c r="N72" s="10"/>
      <c r="O72" s="17"/>
      <c r="P72" s="17"/>
      <c r="Q72" s="15">
        <v>0</v>
      </c>
      <c r="R72" s="4"/>
      <c r="S72" s="17" t="s">
        <v>305</v>
      </c>
      <c r="T72" s="17" t="s">
        <v>289</v>
      </c>
      <c r="U72" s="17" t="s">
        <v>338</v>
      </c>
      <c r="V72" s="17"/>
      <c r="W72" s="17"/>
      <c r="X72" s="4"/>
    </row>
    <row r="73" spans="1:24" ht="20.149999999999999" customHeight="1" x14ac:dyDescent="0.35">
      <c r="A73" s="38"/>
      <c r="B73" s="32" t="s">
        <v>138</v>
      </c>
      <c r="C73" s="249"/>
      <c r="D73" s="33"/>
      <c r="E73" s="88"/>
      <c r="F73" s="88"/>
      <c r="G73" s="94"/>
      <c r="H73" s="33"/>
      <c r="I73" s="33"/>
      <c r="J73" s="34"/>
      <c r="K73" s="34"/>
      <c r="L73" s="34"/>
      <c r="M73" s="35"/>
      <c r="N73" s="35"/>
      <c r="O73" s="33"/>
      <c r="P73" s="33"/>
      <c r="Q73" s="36"/>
      <c r="R73" s="34"/>
      <c r="S73" s="33"/>
      <c r="T73" s="33"/>
      <c r="U73" s="33"/>
      <c r="V73" s="33"/>
      <c r="W73" s="33"/>
      <c r="X73" s="34"/>
    </row>
    <row r="74" spans="1:24" ht="20.149999999999999" customHeight="1" x14ac:dyDescent="0.35">
      <c r="A74" s="38"/>
      <c r="B74" s="31" t="s">
        <v>139</v>
      </c>
      <c r="C74" s="246"/>
      <c r="D74" s="17" t="s">
        <v>70</v>
      </c>
      <c r="E74" s="87">
        <v>8</v>
      </c>
      <c r="F74" s="87">
        <v>16</v>
      </c>
      <c r="G74" s="95">
        <f t="shared" si="5"/>
        <v>12</v>
      </c>
      <c r="H74" s="17" t="s">
        <v>32</v>
      </c>
      <c r="I74" s="17" t="s">
        <v>97</v>
      </c>
      <c r="J74" s="4" t="s">
        <v>288</v>
      </c>
      <c r="K74" s="4"/>
      <c r="L74" s="4" t="s">
        <v>80</v>
      </c>
      <c r="M74" s="10"/>
      <c r="N74" s="10"/>
      <c r="O74" s="17"/>
      <c r="P74" s="17"/>
      <c r="Q74" s="15">
        <v>0</v>
      </c>
      <c r="R74" s="4"/>
      <c r="S74" s="17" t="s">
        <v>305</v>
      </c>
      <c r="T74" s="17" t="s">
        <v>289</v>
      </c>
      <c r="U74" s="17" t="s">
        <v>338</v>
      </c>
      <c r="V74" s="17"/>
      <c r="W74" s="17"/>
      <c r="X74" s="4"/>
    </row>
    <row r="75" spans="1:24" ht="20.149999999999999" customHeight="1" x14ac:dyDescent="0.35">
      <c r="A75" s="38"/>
      <c r="B75" s="31" t="s">
        <v>140</v>
      </c>
      <c r="C75" s="246"/>
      <c r="D75" s="17" t="s">
        <v>70</v>
      </c>
      <c r="E75" s="87">
        <v>8</v>
      </c>
      <c r="F75" s="87">
        <v>16</v>
      </c>
      <c r="G75" s="95">
        <f t="shared" si="5"/>
        <v>12</v>
      </c>
      <c r="H75" s="17" t="s">
        <v>32</v>
      </c>
      <c r="I75" s="17" t="s">
        <v>97</v>
      </c>
      <c r="J75" s="4" t="s">
        <v>288</v>
      </c>
      <c r="K75" s="4"/>
      <c r="L75" s="4" t="s">
        <v>80</v>
      </c>
      <c r="M75" s="10"/>
      <c r="N75" s="10"/>
      <c r="O75" s="17"/>
      <c r="P75" s="17"/>
      <c r="Q75" s="15">
        <v>0</v>
      </c>
      <c r="R75" s="4"/>
      <c r="S75" s="17" t="s">
        <v>305</v>
      </c>
      <c r="T75" s="17" t="s">
        <v>289</v>
      </c>
      <c r="U75" s="17" t="s">
        <v>338</v>
      </c>
      <c r="V75" s="17"/>
      <c r="W75" s="17"/>
      <c r="X75" s="4"/>
    </row>
    <row r="76" spans="1:24" ht="20.149999999999999" customHeight="1" x14ac:dyDescent="0.35">
      <c r="A76" s="38"/>
      <c r="B76" s="31" t="s">
        <v>141</v>
      </c>
      <c r="C76" s="241" t="s">
        <v>350</v>
      </c>
      <c r="D76" s="17" t="s">
        <v>78</v>
      </c>
      <c r="E76" s="87">
        <v>2</v>
      </c>
      <c r="F76" s="87">
        <v>6</v>
      </c>
      <c r="G76" s="95">
        <f t="shared" si="5"/>
        <v>4</v>
      </c>
      <c r="H76" s="17" t="s">
        <v>30</v>
      </c>
      <c r="I76" s="17" t="s">
        <v>97</v>
      </c>
      <c r="J76" s="4" t="s">
        <v>288</v>
      </c>
      <c r="K76" s="4"/>
      <c r="L76" s="4" t="s">
        <v>80</v>
      </c>
      <c r="M76" s="10"/>
      <c r="N76" s="10"/>
      <c r="O76" s="17"/>
      <c r="P76" s="17"/>
      <c r="Q76" s="15">
        <v>0</v>
      </c>
      <c r="R76" s="4"/>
      <c r="S76" s="17" t="s">
        <v>305</v>
      </c>
      <c r="T76" s="17" t="s">
        <v>338</v>
      </c>
      <c r="U76" s="17" t="s">
        <v>289</v>
      </c>
      <c r="V76" s="17"/>
      <c r="W76" s="17"/>
      <c r="X76" s="4"/>
    </row>
    <row r="77" spans="1:24" ht="20.149999999999999" customHeight="1" x14ac:dyDescent="0.35">
      <c r="A77" s="38"/>
      <c r="B77" s="31" t="s">
        <v>142</v>
      </c>
      <c r="C77" s="246" t="s">
        <v>350</v>
      </c>
      <c r="D77" s="17" t="s">
        <v>78</v>
      </c>
      <c r="E77" s="87">
        <v>12</v>
      </c>
      <c r="F77" s="87">
        <v>24</v>
      </c>
      <c r="G77" s="95">
        <f t="shared" si="5"/>
        <v>18</v>
      </c>
      <c r="H77" s="17" t="s">
        <v>30</v>
      </c>
      <c r="I77" s="17" t="s">
        <v>97</v>
      </c>
      <c r="J77" s="4" t="s">
        <v>288</v>
      </c>
      <c r="K77" s="4"/>
      <c r="L77" s="4" t="s">
        <v>80</v>
      </c>
      <c r="M77" s="10"/>
      <c r="N77" s="10"/>
      <c r="O77" s="17"/>
      <c r="P77" s="17"/>
      <c r="Q77" s="15">
        <v>0</v>
      </c>
      <c r="R77" s="4"/>
      <c r="S77" s="17" t="s">
        <v>305</v>
      </c>
      <c r="T77" s="17" t="s">
        <v>338</v>
      </c>
      <c r="U77" s="17" t="s">
        <v>289</v>
      </c>
      <c r="V77" s="17"/>
      <c r="W77" s="17"/>
      <c r="X77" s="4"/>
    </row>
    <row r="78" spans="1:24" ht="20.149999999999999" customHeight="1" x14ac:dyDescent="0.35">
      <c r="A78" s="38"/>
      <c r="B78" s="32" t="s">
        <v>143</v>
      </c>
      <c r="C78" s="249"/>
      <c r="D78" s="33"/>
      <c r="E78" s="88"/>
      <c r="F78" s="88"/>
      <c r="G78" s="94"/>
      <c r="H78" s="33"/>
      <c r="I78" s="33"/>
      <c r="J78" s="34"/>
      <c r="K78" s="34"/>
      <c r="L78" s="34"/>
      <c r="M78" s="35"/>
      <c r="N78" s="35"/>
      <c r="O78" s="33"/>
      <c r="P78" s="33"/>
      <c r="Q78" s="36"/>
      <c r="R78" s="34"/>
      <c r="S78" s="33"/>
      <c r="T78" s="33"/>
      <c r="U78" s="33"/>
      <c r="V78" s="33"/>
      <c r="W78" s="33"/>
      <c r="X78" s="34"/>
    </row>
    <row r="79" spans="1:24" ht="20.149999999999999" customHeight="1" x14ac:dyDescent="0.35">
      <c r="A79" s="38"/>
      <c r="B79" s="31" t="s">
        <v>144</v>
      </c>
      <c r="C79" s="246" t="s">
        <v>350</v>
      </c>
      <c r="D79" s="17" t="s">
        <v>78</v>
      </c>
      <c r="E79" s="87">
        <v>4</v>
      </c>
      <c r="F79" s="87">
        <v>10</v>
      </c>
      <c r="G79" s="95">
        <f t="shared" si="5"/>
        <v>7</v>
      </c>
      <c r="H79" s="17" t="s">
        <v>32</v>
      </c>
      <c r="I79" s="17" t="s">
        <v>97</v>
      </c>
      <c r="J79" s="4" t="s">
        <v>288</v>
      </c>
      <c r="K79" s="4"/>
      <c r="L79" s="4" t="s">
        <v>80</v>
      </c>
      <c r="M79" s="10"/>
      <c r="N79" s="10"/>
      <c r="O79" s="17"/>
      <c r="P79" s="17"/>
      <c r="Q79" s="15">
        <v>0</v>
      </c>
      <c r="R79" s="4"/>
      <c r="S79" s="17" t="s">
        <v>305</v>
      </c>
      <c r="T79" s="17" t="s">
        <v>289</v>
      </c>
      <c r="U79" s="17" t="s">
        <v>338</v>
      </c>
      <c r="V79" s="17"/>
      <c r="W79" s="17"/>
      <c r="X79" s="4"/>
    </row>
    <row r="80" spans="1:24" ht="20.149999999999999" customHeight="1" x14ac:dyDescent="0.35">
      <c r="A80" s="38"/>
      <c r="B80" s="31" t="s">
        <v>145</v>
      </c>
      <c r="C80" s="246" t="s">
        <v>350</v>
      </c>
      <c r="D80" s="17" t="s">
        <v>78</v>
      </c>
      <c r="E80" s="87">
        <v>2</v>
      </c>
      <c r="F80" s="87">
        <v>4</v>
      </c>
      <c r="G80" s="95">
        <f t="shared" si="5"/>
        <v>3</v>
      </c>
      <c r="H80" s="17" t="s">
        <v>32</v>
      </c>
      <c r="I80" s="17" t="s">
        <v>97</v>
      </c>
      <c r="J80" s="4" t="s">
        <v>288</v>
      </c>
      <c r="K80" s="4"/>
      <c r="L80" s="4" t="s">
        <v>80</v>
      </c>
      <c r="M80" s="10"/>
      <c r="N80" s="10"/>
      <c r="O80" s="17"/>
      <c r="P80" s="17"/>
      <c r="Q80" s="15">
        <v>0</v>
      </c>
      <c r="R80" s="4"/>
      <c r="S80" s="17" t="s">
        <v>305</v>
      </c>
      <c r="T80" s="17" t="s">
        <v>289</v>
      </c>
      <c r="U80" s="17" t="s">
        <v>338</v>
      </c>
      <c r="V80" s="17"/>
      <c r="W80" s="17"/>
      <c r="X80" s="4"/>
    </row>
    <row r="81" spans="1:24" ht="20.149999999999999" customHeight="1" x14ac:dyDescent="0.35">
      <c r="A81" s="38"/>
      <c r="B81" s="31" t="s">
        <v>146</v>
      </c>
      <c r="C81" s="246"/>
      <c r="D81" s="17" t="s">
        <v>78</v>
      </c>
      <c r="E81" s="87">
        <v>4</v>
      </c>
      <c r="F81" s="87">
        <v>10</v>
      </c>
      <c r="G81" s="95">
        <f t="shared" si="5"/>
        <v>7</v>
      </c>
      <c r="H81" s="17" t="s">
        <v>32</v>
      </c>
      <c r="I81" s="17" t="s">
        <v>97</v>
      </c>
      <c r="J81" s="4" t="s">
        <v>288</v>
      </c>
      <c r="K81" s="4"/>
      <c r="L81" s="4" t="s">
        <v>80</v>
      </c>
      <c r="M81" s="10"/>
      <c r="N81" s="10"/>
      <c r="O81" s="17"/>
      <c r="P81" s="17"/>
      <c r="Q81" s="15">
        <v>0</v>
      </c>
      <c r="R81" s="4"/>
      <c r="S81" s="17" t="s">
        <v>305</v>
      </c>
      <c r="T81" s="17" t="s">
        <v>289</v>
      </c>
      <c r="U81" s="17" t="s">
        <v>338</v>
      </c>
      <c r="V81" s="17"/>
      <c r="W81" s="17"/>
      <c r="X81" s="4"/>
    </row>
    <row r="82" spans="1:24" ht="20.149999999999999" customHeight="1" x14ac:dyDescent="0.35">
      <c r="A82" s="38"/>
      <c r="B82" s="31" t="s">
        <v>147</v>
      </c>
      <c r="C82" s="246"/>
      <c r="D82" s="17" t="s">
        <v>78</v>
      </c>
      <c r="E82" s="87">
        <v>2</v>
      </c>
      <c r="F82" s="87">
        <v>4</v>
      </c>
      <c r="G82" s="95">
        <f t="shared" si="5"/>
        <v>3</v>
      </c>
      <c r="H82" s="17" t="s">
        <v>32</v>
      </c>
      <c r="I82" s="17" t="s">
        <v>97</v>
      </c>
      <c r="J82" s="4" t="s">
        <v>288</v>
      </c>
      <c r="K82" s="4"/>
      <c r="L82" s="4" t="s">
        <v>80</v>
      </c>
      <c r="M82" s="10"/>
      <c r="N82" s="10"/>
      <c r="O82" s="17"/>
      <c r="P82" s="17"/>
      <c r="Q82" s="15">
        <v>0</v>
      </c>
      <c r="R82" s="4"/>
      <c r="S82" s="17" t="s">
        <v>305</v>
      </c>
      <c r="T82" s="17" t="s">
        <v>289</v>
      </c>
      <c r="U82" s="17" t="s">
        <v>338</v>
      </c>
      <c r="V82" s="17"/>
      <c r="W82" s="17"/>
      <c r="X82" s="4"/>
    </row>
    <row r="83" spans="1:24" ht="20.149999999999999" customHeight="1" x14ac:dyDescent="0.35">
      <c r="A83" s="38"/>
      <c r="B83" s="31" t="s">
        <v>148</v>
      </c>
      <c r="C83" s="246"/>
      <c r="D83" s="17" t="s">
        <v>70</v>
      </c>
      <c r="E83" s="87">
        <v>4</v>
      </c>
      <c r="F83" s="87">
        <v>12</v>
      </c>
      <c r="G83" s="95">
        <f t="shared" si="5"/>
        <v>8</v>
      </c>
      <c r="H83" s="17" t="s">
        <v>32</v>
      </c>
      <c r="I83" s="17" t="s">
        <v>97</v>
      </c>
      <c r="J83" s="4" t="s">
        <v>288</v>
      </c>
      <c r="K83" s="4"/>
      <c r="L83" s="4" t="s">
        <v>80</v>
      </c>
      <c r="M83" s="10"/>
      <c r="N83" s="10"/>
      <c r="O83" s="17"/>
      <c r="P83" s="17"/>
      <c r="Q83" s="15">
        <v>0</v>
      </c>
      <c r="R83" s="4"/>
      <c r="S83" s="17" t="s">
        <v>305</v>
      </c>
      <c r="T83" s="17" t="s">
        <v>289</v>
      </c>
      <c r="U83" s="17" t="s">
        <v>338</v>
      </c>
      <c r="V83" s="17"/>
      <c r="W83" s="17"/>
      <c r="X83" s="4"/>
    </row>
    <row r="84" spans="1:24" ht="20.149999999999999" customHeight="1" x14ac:dyDescent="0.35">
      <c r="A84" s="38"/>
      <c r="B84" s="32" t="s">
        <v>149</v>
      </c>
      <c r="C84" s="249"/>
      <c r="D84" s="33"/>
      <c r="E84" s="88"/>
      <c r="F84" s="88"/>
      <c r="G84" s="94"/>
      <c r="H84" s="33"/>
      <c r="I84" s="33"/>
      <c r="J84" s="34"/>
      <c r="K84" s="34"/>
      <c r="L84" s="34"/>
      <c r="M84" s="35"/>
      <c r="N84" s="35"/>
      <c r="O84" s="33"/>
      <c r="P84" s="33"/>
      <c r="Q84" s="36"/>
      <c r="R84" s="34"/>
      <c r="S84" s="33"/>
      <c r="T84" s="33"/>
      <c r="U84" s="33"/>
      <c r="V84" s="33"/>
      <c r="W84" s="33"/>
      <c r="X84" s="34"/>
    </row>
    <row r="85" spans="1:24" ht="20.149999999999999" customHeight="1" x14ac:dyDescent="0.35">
      <c r="A85" s="38"/>
      <c r="B85" s="31" t="s">
        <v>150</v>
      </c>
      <c r="C85" s="246" t="s">
        <v>350</v>
      </c>
      <c r="D85" s="17" t="s">
        <v>78</v>
      </c>
      <c r="E85" s="87">
        <v>20</v>
      </c>
      <c r="F85" s="87">
        <v>24</v>
      </c>
      <c r="G85" s="95">
        <f t="shared" si="5"/>
        <v>22</v>
      </c>
      <c r="H85" s="17" t="s">
        <v>32</v>
      </c>
      <c r="I85" s="17" t="s">
        <v>97</v>
      </c>
      <c r="J85" s="4" t="s">
        <v>288</v>
      </c>
      <c r="K85" s="4"/>
      <c r="L85" s="4" t="s">
        <v>80</v>
      </c>
      <c r="M85" s="10"/>
      <c r="N85" s="10"/>
      <c r="O85" s="17"/>
      <c r="P85" s="17"/>
      <c r="Q85" s="15">
        <v>0</v>
      </c>
      <c r="R85" s="4"/>
      <c r="S85" s="17" t="s">
        <v>305</v>
      </c>
      <c r="T85" s="17" t="s">
        <v>289</v>
      </c>
      <c r="U85" s="17" t="s">
        <v>338</v>
      </c>
      <c r="V85" s="17"/>
      <c r="W85" s="17"/>
      <c r="X85" s="4"/>
    </row>
    <row r="86" spans="1:24" ht="20.149999999999999" customHeight="1" x14ac:dyDescent="0.35">
      <c r="A86" s="38"/>
      <c r="B86" s="31" t="s">
        <v>151</v>
      </c>
      <c r="C86" s="246"/>
      <c r="D86" s="17" t="s">
        <v>70</v>
      </c>
      <c r="E86" s="87">
        <v>14</v>
      </c>
      <c r="F86" s="87">
        <v>20</v>
      </c>
      <c r="G86" s="95">
        <f t="shared" si="5"/>
        <v>17</v>
      </c>
      <c r="H86" s="17" t="s">
        <v>32</v>
      </c>
      <c r="I86" s="17" t="s">
        <v>97</v>
      </c>
      <c r="J86" s="4" t="s">
        <v>288</v>
      </c>
      <c r="K86" s="4"/>
      <c r="L86" s="4" t="s">
        <v>80</v>
      </c>
      <c r="M86" s="10"/>
      <c r="N86" s="10"/>
      <c r="O86" s="17"/>
      <c r="P86" s="17"/>
      <c r="Q86" s="15">
        <v>0</v>
      </c>
      <c r="R86" s="4"/>
      <c r="S86" s="17" t="s">
        <v>305</v>
      </c>
      <c r="T86" s="17" t="s">
        <v>289</v>
      </c>
      <c r="U86" s="17" t="s">
        <v>338</v>
      </c>
      <c r="V86" s="17"/>
      <c r="W86" s="17"/>
      <c r="X86" s="4"/>
    </row>
    <row r="87" spans="1:24" ht="20.149999999999999" customHeight="1" x14ac:dyDescent="0.35">
      <c r="A87" s="38"/>
      <c r="B87" s="31" t="s">
        <v>152</v>
      </c>
      <c r="C87" s="246"/>
      <c r="D87" s="17" t="s">
        <v>70</v>
      </c>
      <c r="E87" s="87">
        <v>16</v>
      </c>
      <c r="F87" s="87">
        <v>18</v>
      </c>
      <c r="G87" s="95">
        <f t="shared" si="5"/>
        <v>17</v>
      </c>
      <c r="H87" s="17" t="s">
        <v>30</v>
      </c>
      <c r="I87" s="17" t="s">
        <v>97</v>
      </c>
      <c r="J87" s="4" t="s">
        <v>288</v>
      </c>
      <c r="K87" s="4"/>
      <c r="L87" s="4" t="s">
        <v>80</v>
      </c>
      <c r="M87" s="10"/>
      <c r="N87" s="10"/>
      <c r="O87" s="17"/>
      <c r="P87" s="17"/>
      <c r="Q87" s="15">
        <v>0</v>
      </c>
      <c r="R87" s="4"/>
      <c r="S87" s="17" t="s">
        <v>305</v>
      </c>
      <c r="T87" s="17" t="s">
        <v>289</v>
      </c>
      <c r="U87" s="17" t="s">
        <v>338</v>
      </c>
      <c r="V87" s="17"/>
      <c r="W87" s="17"/>
      <c r="X87" s="4"/>
    </row>
    <row r="88" spans="1:24" ht="20.149999999999999" customHeight="1" x14ac:dyDescent="0.35">
      <c r="A88" s="38"/>
      <c r="B88" s="31" t="s">
        <v>153</v>
      </c>
      <c r="C88" s="246"/>
      <c r="D88" s="17" t="s">
        <v>70</v>
      </c>
      <c r="E88" s="87" t="s">
        <v>114</v>
      </c>
      <c r="F88" s="87" t="s">
        <v>114</v>
      </c>
      <c r="G88" s="95" t="str">
        <f t="shared" si="5"/>
        <v/>
      </c>
      <c r="H88" s="17" t="s">
        <v>32</v>
      </c>
      <c r="I88" s="17" t="s">
        <v>97</v>
      </c>
      <c r="J88" s="4" t="s">
        <v>288</v>
      </c>
      <c r="K88" s="4"/>
      <c r="L88" s="4" t="s">
        <v>80</v>
      </c>
      <c r="M88" s="10"/>
      <c r="N88" s="10"/>
      <c r="O88" s="17"/>
      <c r="P88" s="17"/>
      <c r="Q88" s="15">
        <v>0</v>
      </c>
      <c r="R88" s="4"/>
      <c r="S88" s="17" t="s">
        <v>305</v>
      </c>
      <c r="T88" s="17" t="s">
        <v>289</v>
      </c>
      <c r="U88" s="17" t="s">
        <v>338</v>
      </c>
      <c r="V88" s="17"/>
      <c r="W88" s="17"/>
      <c r="X88" s="4"/>
    </row>
    <row r="89" spans="1:24" ht="20.149999999999999" customHeight="1" x14ac:dyDescent="0.35">
      <c r="A89" s="38"/>
      <c r="B89" s="31" t="s">
        <v>154</v>
      </c>
      <c r="C89" s="246"/>
      <c r="D89" s="17" t="s">
        <v>70</v>
      </c>
      <c r="E89" s="87">
        <v>14</v>
      </c>
      <c r="F89" s="87">
        <v>18</v>
      </c>
      <c r="G89" s="95">
        <f t="shared" si="5"/>
        <v>16</v>
      </c>
      <c r="H89" s="17" t="s">
        <v>32</v>
      </c>
      <c r="I89" s="17" t="s">
        <v>97</v>
      </c>
      <c r="J89" s="4" t="s">
        <v>288</v>
      </c>
      <c r="K89" s="4"/>
      <c r="L89" s="4" t="s">
        <v>80</v>
      </c>
      <c r="M89" s="10"/>
      <c r="N89" s="10"/>
      <c r="O89" s="17"/>
      <c r="P89" s="17"/>
      <c r="Q89" s="15">
        <v>0</v>
      </c>
      <c r="R89" s="4"/>
      <c r="S89" s="17" t="s">
        <v>305</v>
      </c>
      <c r="T89" s="17" t="s">
        <v>289</v>
      </c>
      <c r="U89" s="17" t="s">
        <v>338</v>
      </c>
      <c r="V89" s="17"/>
      <c r="W89" s="17"/>
      <c r="X89" s="4"/>
    </row>
    <row r="90" spans="1:24" ht="20.149999999999999" customHeight="1" x14ac:dyDescent="0.35">
      <c r="A90" s="38"/>
      <c r="B90" s="31" t="s">
        <v>155</v>
      </c>
      <c r="C90" s="246"/>
      <c r="D90" s="17" t="s">
        <v>70</v>
      </c>
      <c r="E90" s="87" t="s">
        <v>114</v>
      </c>
      <c r="F90" s="87" t="s">
        <v>114</v>
      </c>
      <c r="G90" s="95" t="str">
        <f t="shared" si="5"/>
        <v/>
      </c>
      <c r="H90" s="17" t="s">
        <v>32</v>
      </c>
      <c r="I90" s="17" t="s">
        <v>97</v>
      </c>
      <c r="J90" s="4" t="s">
        <v>288</v>
      </c>
      <c r="K90" s="4"/>
      <c r="L90" s="4" t="s">
        <v>80</v>
      </c>
      <c r="M90" s="10"/>
      <c r="N90" s="10"/>
      <c r="O90" s="17"/>
      <c r="P90" s="17"/>
      <c r="Q90" s="15">
        <v>0</v>
      </c>
      <c r="R90" s="4"/>
      <c r="S90" s="17" t="s">
        <v>305</v>
      </c>
      <c r="T90" s="17" t="s">
        <v>289</v>
      </c>
      <c r="U90" s="17" t="s">
        <v>338</v>
      </c>
      <c r="V90" s="17"/>
      <c r="W90" s="17"/>
      <c r="X90" s="4"/>
    </row>
    <row r="91" spans="1:24" ht="20.149999999999999" customHeight="1" x14ac:dyDescent="0.35">
      <c r="A91" s="38"/>
      <c r="B91" s="31" t="s">
        <v>156</v>
      </c>
      <c r="C91" s="246" t="s">
        <v>350</v>
      </c>
      <c r="D91" s="17" t="s">
        <v>78</v>
      </c>
      <c r="E91" s="87">
        <v>4</v>
      </c>
      <c r="F91" s="87">
        <v>4</v>
      </c>
      <c r="G91" s="95">
        <f t="shared" si="5"/>
        <v>4</v>
      </c>
      <c r="H91" s="17" t="s">
        <v>32</v>
      </c>
      <c r="I91" s="17" t="s">
        <v>97</v>
      </c>
      <c r="J91" s="4" t="s">
        <v>288</v>
      </c>
      <c r="K91" s="4"/>
      <c r="L91" s="4" t="s">
        <v>80</v>
      </c>
      <c r="M91" s="10"/>
      <c r="N91" s="10"/>
      <c r="O91" s="17"/>
      <c r="P91" s="17"/>
      <c r="Q91" s="15">
        <v>0</v>
      </c>
      <c r="R91" s="4"/>
      <c r="S91" s="17" t="s">
        <v>305</v>
      </c>
      <c r="T91" s="17" t="s">
        <v>289</v>
      </c>
      <c r="U91" s="17" t="s">
        <v>338</v>
      </c>
      <c r="V91" s="17"/>
      <c r="W91" s="17"/>
      <c r="X91" s="4"/>
    </row>
    <row r="92" spans="1:24" ht="20.149999999999999" customHeight="1" x14ac:dyDescent="0.35">
      <c r="A92" s="38"/>
      <c r="B92" s="31" t="s">
        <v>157</v>
      </c>
      <c r="C92" s="246" t="s">
        <v>350</v>
      </c>
      <c r="D92" s="17" t="s">
        <v>78</v>
      </c>
      <c r="E92" s="87">
        <v>4</v>
      </c>
      <c r="F92" s="87">
        <v>4</v>
      </c>
      <c r="G92" s="95">
        <f t="shared" si="5"/>
        <v>4</v>
      </c>
      <c r="H92" s="17" t="s">
        <v>32</v>
      </c>
      <c r="I92" s="17" t="s">
        <v>97</v>
      </c>
      <c r="J92" s="4" t="s">
        <v>288</v>
      </c>
      <c r="K92" s="4"/>
      <c r="L92" s="4" t="s">
        <v>80</v>
      </c>
      <c r="M92" s="10"/>
      <c r="N92" s="10"/>
      <c r="O92" s="17"/>
      <c r="P92" s="17"/>
      <c r="Q92" s="15">
        <v>0</v>
      </c>
      <c r="R92" s="4"/>
      <c r="S92" s="17" t="s">
        <v>305</v>
      </c>
      <c r="T92" s="17" t="s">
        <v>289</v>
      </c>
      <c r="U92" s="17" t="s">
        <v>338</v>
      </c>
      <c r="V92" s="17"/>
      <c r="W92" s="17"/>
      <c r="X92" s="4"/>
    </row>
    <row r="93" spans="1:24" ht="20.149999999999999" customHeight="1" x14ac:dyDescent="0.35">
      <c r="A93" s="38"/>
      <c r="B93" s="32" t="s">
        <v>158</v>
      </c>
      <c r="C93" s="249"/>
      <c r="D93" s="33"/>
      <c r="E93" s="88"/>
      <c r="F93" s="88"/>
      <c r="G93" s="94"/>
      <c r="H93" s="33"/>
      <c r="I93" s="33"/>
      <c r="J93" s="34"/>
      <c r="K93" s="34"/>
      <c r="L93" s="34"/>
      <c r="M93" s="35"/>
      <c r="N93" s="35"/>
      <c r="O93" s="33"/>
      <c r="P93" s="33"/>
      <c r="Q93" s="36"/>
      <c r="R93" s="34"/>
      <c r="S93" s="33"/>
      <c r="T93" s="33"/>
      <c r="U93" s="33"/>
      <c r="V93" s="33"/>
      <c r="W93" s="33"/>
      <c r="X93" s="34"/>
    </row>
    <row r="94" spans="1:24" ht="20.149999999999999" customHeight="1" x14ac:dyDescent="0.35">
      <c r="A94" s="38"/>
      <c r="B94" s="31" t="s">
        <v>159</v>
      </c>
      <c r="C94" s="246"/>
      <c r="D94" s="17" t="s">
        <v>70</v>
      </c>
      <c r="E94" s="87">
        <v>10</v>
      </c>
      <c r="F94" s="87">
        <v>12</v>
      </c>
      <c r="G94" s="95">
        <f t="shared" si="5"/>
        <v>11</v>
      </c>
      <c r="H94" s="17" t="s">
        <v>32</v>
      </c>
      <c r="I94" s="17" t="s">
        <v>97</v>
      </c>
      <c r="J94" s="4" t="s">
        <v>288</v>
      </c>
      <c r="K94" s="4"/>
      <c r="L94" s="4" t="s">
        <v>80</v>
      </c>
      <c r="M94" s="10"/>
      <c r="N94" s="10"/>
      <c r="O94" s="17"/>
      <c r="P94" s="17"/>
      <c r="Q94" s="15">
        <v>0</v>
      </c>
      <c r="R94" s="4"/>
      <c r="S94" s="17" t="s">
        <v>305</v>
      </c>
      <c r="T94" s="17" t="s">
        <v>289</v>
      </c>
      <c r="U94" s="17" t="s">
        <v>338</v>
      </c>
      <c r="V94" s="17"/>
      <c r="W94" s="17"/>
      <c r="X94" s="4"/>
    </row>
    <row r="95" spans="1:24" ht="20.149999999999999" customHeight="1" x14ac:dyDescent="0.35">
      <c r="A95" s="38"/>
      <c r="B95" s="31" t="s">
        <v>160</v>
      </c>
      <c r="C95" s="246"/>
      <c r="D95" s="17" t="s">
        <v>78</v>
      </c>
      <c r="E95" s="87">
        <v>10</v>
      </c>
      <c r="F95" s="87">
        <v>18</v>
      </c>
      <c r="G95" s="95">
        <f t="shared" si="5"/>
        <v>14</v>
      </c>
      <c r="H95" s="17" t="s">
        <v>32</v>
      </c>
      <c r="I95" s="17" t="s">
        <v>97</v>
      </c>
      <c r="J95" s="4" t="s">
        <v>288</v>
      </c>
      <c r="K95" s="4"/>
      <c r="L95" s="4" t="s">
        <v>80</v>
      </c>
      <c r="M95" s="10"/>
      <c r="N95" s="10"/>
      <c r="O95" s="17"/>
      <c r="P95" s="17"/>
      <c r="Q95" s="15">
        <v>0</v>
      </c>
      <c r="R95" s="4"/>
      <c r="S95" s="17" t="s">
        <v>305</v>
      </c>
      <c r="T95" s="17" t="s">
        <v>289</v>
      </c>
      <c r="U95" s="17" t="s">
        <v>338</v>
      </c>
      <c r="V95" s="17"/>
      <c r="W95" s="17"/>
      <c r="X95" s="4"/>
    </row>
    <row r="96" spans="1:24" ht="20.149999999999999" customHeight="1" x14ac:dyDescent="0.35">
      <c r="A96" s="38"/>
      <c r="B96" s="32" t="s">
        <v>161</v>
      </c>
      <c r="C96" s="249"/>
      <c r="D96" s="33"/>
      <c r="E96" s="88"/>
      <c r="F96" s="88"/>
      <c r="G96" s="94"/>
      <c r="H96" s="33"/>
      <c r="I96" s="33"/>
      <c r="J96" s="34"/>
      <c r="K96" s="34"/>
      <c r="L96" s="34"/>
      <c r="M96" s="35"/>
      <c r="N96" s="35"/>
      <c r="O96" s="33"/>
      <c r="P96" s="33"/>
      <c r="Q96" s="36"/>
      <c r="R96" s="34"/>
      <c r="S96" s="33"/>
      <c r="T96" s="33"/>
      <c r="U96" s="33"/>
      <c r="V96" s="33"/>
      <c r="W96" s="33"/>
      <c r="X96" s="34"/>
    </row>
    <row r="97" spans="1:24" ht="20.149999999999999" customHeight="1" x14ac:dyDescent="0.35">
      <c r="A97" s="38"/>
      <c r="B97" s="31" t="s">
        <v>162</v>
      </c>
      <c r="C97" s="246"/>
      <c r="D97" s="17" t="s">
        <v>78</v>
      </c>
      <c r="E97" s="87">
        <v>30</v>
      </c>
      <c r="F97" s="87">
        <v>30</v>
      </c>
      <c r="G97" s="95">
        <f t="shared" si="5"/>
        <v>30</v>
      </c>
      <c r="H97" s="17" t="s">
        <v>30</v>
      </c>
      <c r="I97" s="17" t="s">
        <v>97</v>
      </c>
      <c r="J97" s="4" t="s">
        <v>288</v>
      </c>
      <c r="K97" s="4"/>
      <c r="L97" s="4" t="s">
        <v>80</v>
      </c>
      <c r="M97" s="10"/>
      <c r="N97" s="10"/>
      <c r="O97" s="17"/>
      <c r="P97" s="17"/>
      <c r="Q97" s="15">
        <v>0</v>
      </c>
      <c r="R97" s="4"/>
      <c r="S97" s="17" t="s">
        <v>305</v>
      </c>
      <c r="T97" s="17" t="s">
        <v>289</v>
      </c>
      <c r="U97" s="17" t="s">
        <v>338</v>
      </c>
      <c r="V97" s="17"/>
      <c r="W97" s="17"/>
      <c r="X97" s="4"/>
    </row>
    <row r="98" spans="1:24" ht="20.149999999999999" customHeight="1" x14ac:dyDescent="0.35">
      <c r="A98" s="38"/>
      <c r="B98" s="31" t="s">
        <v>163</v>
      </c>
      <c r="C98" s="246"/>
      <c r="D98" s="17" t="s">
        <v>78</v>
      </c>
      <c r="E98" s="87">
        <v>4</v>
      </c>
      <c r="F98" s="87">
        <v>4</v>
      </c>
      <c r="G98" s="95">
        <f t="shared" si="5"/>
        <v>4</v>
      </c>
      <c r="H98" s="17" t="s">
        <v>32</v>
      </c>
      <c r="I98" s="17" t="s">
        <v>97</v>
      </c>
      <c r="J98" s="4" t="s">
        <v>288</v>
      </c>
      <c r="K98" s="4"/>
      <c r="L98" s="4" t="s">
        <v>80</v>
      </c>
      <c r="M98" s="10"/>
      <c r="N98" s="10"/>
      <c r="O98" s="17"/>
      <c r="P98" s="17"/>
      <c r="Q98" s="15">
        <v>0</v>
      </c>
      <c r="R98" s="4"/>
      <c r="S98" s="17" t="s">
        <v>305</v>
      </c>
      <c r="T98" s="17" t="s">
        <v>289</v>
      </c>
      <c r="U98" s="17" t="s">
        <v>338</v>
      </c>
      <c r="V98" s="17"/>
      <c r="W98" s="17"/>
      <c r="X98" s="4"/>
    </row>
    <row r="99" spans="1:24" ht="20.149999999999999" customHeight="1" x14ac:dyDescent="0.35">
      <c r="A99" s="38"/>
      <c r="B99" s="32" t="s">
        <v>164</v>
      </c>
      <c r="C99" s="249"/>
      <c r="D99" s="33"/>
      <c r="E99" s="88"/>
      <c r="F99" s="88"/>
      <c r="G99" s="94"/>
      <c r="H99" s="33"/>
      <c r="I99" s="33"/>
      <c r="J99" s="34"/>
      <c r="K99" s="34"/>
      <c r="L99" s="34"/>
      <c r="M99" s="35"/>
      <c r="N99" s="35"/>
      <c r="O99" s="33"/>
      <c r="P99" s="33"/>
      <c r="Q99" s="36"/>
      <c r="R99" s="34"/>
      <c r="S99" s="33"/>
      <c r="T99" s="33"/>
      <c r="U99" s="33"/>
      <c r="V99" s="33"/>
      <c r="W99" s="33"/>
      <c r="X99" s="34"/>
    </row>
    <row r="100" spans="1:24" ht="20.149999999999999" customHeight="1" x14ac:dyDescent="0.35">
      <c r="A100" s="38"/>
      <c r="B100" s="31" t="s">
        <v>165</v>
      </c>
      <c r="C100" s="246"/>
      <c r="D100" s="17" t="s">
        <v>70</v>
      </c>
      <c r="E100" s="87">
        <v>16</v>
      </c>
      <c r="F100" s="87">
        <v>35</v>
      </c>
      <c r="G100" s="95">
        <f t="shared" si="5"/>
        <v>25.5</v>
      </c>
      <c r="H100" s="17" t="s">
        <v>30</v>
      </c>
      <c r="I100" s="17" t="s">
        <v>97</v>
      </c>
      <c r="J100" s="4" t="s">
        <v>288</v>
      </c>
      <c r="K100" s="4"/>
      <c r="L100" s="4" t="s">
        <v>80</v>
      </c>
      <c r="M100" s="10"/>
      <c r="N100" s="10"/>
      <c r="O100" s="17"/>
      <c r="P100" s="17"/>
      <c r="Q100" s="15">
        <v>0</v>
      </c>
      <c r="R100" s="4"/>
      <c r="S100" s="17" t="s">
        <v>305</v>
      </c>
      <c r="T100" s="17"/>
      <c r="U100" s="17" t="s">
        <v>338</v>
      </c>
      <c r="V100" s="17" t="s">
        <v>289</v>
      </c>
      <c r="W100" s="17"/>
      <c r="X100" s="4"/>
    </row>
    <row r="101" spans="1:24" ht="20.149999999999999" customHeight="1" x14ac:dyDescent="0.35">
      <c r="A101" s="38"/>
      <c r="B101" s="31" t="s">
        <v>166</v>
      </c>
      <c r="C101" s="246"/>
      <c r="D101" s="17" t="s">
        <v>70</v>
      </c>
      <c r="E101" s="87">
        <v>1</v>
      </c>
      <c r="F101" s="87">
        <v>4</v>
      </c>
      <c r="G101" s="95">
        <f t="shared" si="5"/>
        <v>2.5</v>
      </c>
      <c r="H101" s="17" t="s">
        <v>31</v>
      </c>
      <c r="I101" s="17" t="s">
        <v>97</v>
      </c>
      <c r="J101" s="4" t="s">
        <v>288</v>
      </c>
      <c r="K101" s="4"/>
      <c r="L101" s="4" t="s">
        <v>80</v>
      </c>
      <c r="M101" s="10"/>
      <c r="N101" s="10"/>
      <c r="O101" s="17"/>
      <c r="P101" s="17"/>
      <c r="Q101" s="15">
        <v>0</v>
      </c>
      <c r="R101" s="4"/>
      <c r="S101" s="17" t="s">
        <v>305</v>
      </c>
      <c r="T101" s="17"/>
      <c r="U101" s="17" t="s">
        <v>338</v>
      </c>
      <c r="V101" s="17" t="s">
        <v>289</v>
      </c>
      <c r="W101" s="17"/>
      <c r="X101" s="4"/>
    </row>
    <row r="102" spans="1:24" ht="20.149999999999999" customHeight="1" x14ac:dyDescent="0.35">
      <c r="A102" s="38"/>
      <c r="B102" s="31" t="s">
        <v>167</v>
      </c>
      <c r="C102" s="246"/>
      <c r="D102" s="17" t="s">
        <v>70</v>
      </c>
      <c r="E102" s="87">
        <v>20</v>
      </c>
      <c r="F102" s="87">
        <v>30</v>
      </c>
      <c r="G102" s="95">
        <f t="shared" si="5"/>
        <v>25</v>
      </c>
      <c r="H102" s="17" t="s">
        <v>32</v>
      </c>
      <c r="I102" s="17" t="s">
        <v>97</v>
      </c>
      <c r="J102" s="4" t="s">
        <v>288</v>
      </c>
      <c r="K102" s="4"/>
      <c r="L102" s="4" t="s">
        <v>80</v>
      </c>
      <c r="M102" s="10"/>
      <c r="N102" s="10"/>
      <c r="O102" s="17"/>
      <c r="P102" s="17"/>
      <c r="Q102" s="15">
        <v>0</v>
      </c>
      <c r="R102" s="4"/>
      <c r="S102" s="17" t="s">
        <v>305</v>
      </c>
      <c r="T102" s="17"/>
      <c r="U102" s="17" t="s">
        <v>338</v>
      </c>
      <c r="V102" s="17" t="s">
        <v>289</v>
      </c>
      <c r="W102" s="17"/>
      <c r="X102" s="4"/>
    </row>
    <row r="103" spans="1:24" ht="20.149999999999999" customHeight="1" x14ac:dyDescent="0.35">
      <c r="A103" s="38"/>
      <c r="B103" s="31" t="s">
        <v>168</v>
      </c>
      <c r="C103" s="246"/>
      <c r="D103" s="17" t="s">
        <v>70</v>
      </c>
      <c r="E103" s="87" t="s">
        <v>114</v>
      </c>
      <c r="F103" s="87" t="s">
        <v>114</v>
      </c>
      <c r="G103" s="95" t="str">
        <f t="shared" si="5"/>
        <v/>
      </c>
      <c r="H103" s="17" t="s">
        <v>32</v>
      </c>
      <c r="I103" s="17" t="s">
        <v>97</v>
      </c>
      <c r="J103" s="4" t="s">
        <v>288</v>
      </c>
      <c r="K103" s="4"/>
      <c r="L103" s="4" t="s">
        <v>80</v>
      </c>
      <c r="M103" s="10"/>
      <c r="N103" s="10"/>
      <c r="O103" s="17"/>
      <c r="P103" s="17"/>
      <c r="Q103" s="15">
        <v>0</v>
      </c>
      <c r="R103" s="4"/>
      <c r="S103" s="17" t="s">
        <v>305</v>
      </c>
      <c r="T103" s="17"/>
      <c r="U103" s="17" t="s">
        <v>338</v>
      </c>
      <c r="V103" s="17" t="s">
        <v>289</v>
      </c>
      <c r="W103" s="17"/>
      <c r="X103" s="4"/>
    </row>
    <row r="104" spans="1:24" ht="20.149999999999999" customHeight="1" x14ac:dyDescent="0.35">
      <c r="A104" s="38"/>
      <c r="B104" s="31" t="s">
        <v>169</v>
      </c>
      <c r="C104" s="246"/>
      <c r="D104" s="17" t="s">
        <v>70</v>
      </c>
      <c r="E104" s="87" t="s">
        <v>114</v>
      </c>
      <c r="F104" s="87" t="s">
        <v>114</v>
      </c>
      <c r="G104" s="95" t="str">
        <f t="shared" si="5"/>
        <v/>
      </c>
      <c r="H104" s="17" t="s">
        <v>32</v>
      </c>
      <c r="I104" s="17" t="s">
        <v>97</v>
      </c>
      <c r="J104" s="4" t="s">
        <v>288</v>
      </c>
      <c r="K104" s="4"/>
      <c r="L104" s="4" t="s">
        <v>80</v>
      </c>
      <c r="M104" s="10"/>
      <c r="N104" s="10"/>
      <c r="O104" s="17"/>
      <c r="P104" s="17"/>
      <c r="Q104" s="15">
        <v>0</v>
      </c>
      <c r="R104" s="4"/>
      <c r="S104" s="17" t="s">
        <v>305</v>
      </c>
      <c r="T104" s="17"/>
      <c r="U104" s="17" t="s">
        <v>338</v>
      </c>
      <c r="V104" s="17" t="s">
        <v>289</v>
      </c>
      <c r="W104" s="17"/>
      <c r="X104" s="4"/>
    </row>
    <row r="105" spans="1:24" ht="20.149999999999999" customHeight="1" x14ac:dyDescent="0.35">
      <c r="A105" s="38"/>
      <c r="B105" s="32" t="s">
        <v>170</v>
      </c>
      <c r="C105" s="249"/>
      <c r="D105" s="33"/>
      <c r="E105" s="88"/>
      <c r="F105" s="88"/>
      <c r="G105" s="94"/>
      <c r="H105" s="33"/>
      <c r="I105" s="33"/>
      <c r="J105" s="34"/>
      <c r="K105" s="34"/>
      <c r="L105" s="34"/>
      <c r="M105" s="35"/>
      <c r="N105" s="35"/>
      <c r="O105" s="33"/>
      <c r="P105" s="33"/>
      <c r="Q105" s="36"/>
      <c r="R105" s="34"/>
      <c r="S105" s="33"/>
      <c r="T105" s="33"/>
      <c r="U105" s="33"/>
      <c r="V105" s="33"/>
      <c r="W105" s="33"/>
      <c r="X105" s="34"/>
    </row>
    <row r="106" spans="1:24" ht="20.149999999999999" customHeight="1" x14ac:dyDescent="0.35">
      <c r="A106" s="38"/>
      <c r="B106" s="31" t="s">
        <v>171</v>
      </c>
      <c r="C106" s="246"/>
      <c r="D106" s="17" t="s">
        <v>70</v>
      </c>
      <c r="E106" s="87">
        <v>7</v>
      </c>
      <c r="F106" s="87">
        <v>10</v>
      </c>
      <c r="G106" s="95">
        <f t="shared" si="5"/>
        <v>8.5</v>
      </c>
      <c r="H106" s="17" t="s">
        <v>32</v>
      </c>
      <c r="I106" s="17" t="s">
        <v>97</v>
      </c>
      <c r="J106" s="4" t="s">
        <v>288</v>
      </c>
      <c r="K106" s="4"/>
      <c r="L106" s="4" t="s">
        <v>80</v>
      </c>
      <c r="M106" s="10"/>
      <c r="N106" s="10"/>
      <c r="O106" s="17"/>
      <c r="P106" s="17"/>
      <c r="Q106" s="15">
        <v>0</v>
      </c>
      <c r="R106" s="4"/>
      <c r="S106" s="17" t="s">
        <v>305</v>
      </c>
      <c r="T106" s="17" t="s">
        <v>338</v>
      </c>
      <c r="U106" s="17" t="s">
        <v>338</v>
      </c>
      <c r="V106" s="17" t="s">
        <v>289</v>
      </c>
      <c r="W106" s="17"/>
      <c r="X106" s="4"/>
    </row>
    <row r="107" spans="1:24" ht="20.149999999999999" customHeight="1" x14ac:dyDescent="0.35">
      <c r="A107" s="38"/>
      <c r="B107" s="31" t="s">
        <v>172</v>
      </c>
      <c r="C107" s="246"/>
      <c r="D107" s="17" t="s">
        <v>70</v>
      </c>
      <c r="E107" s="87">
        <v>14</v>
      </c>
      <c r="F107" s="87">
        <v>21</v>
      </c>
      <c r="G107" s="95">
        <f t="shared" si="5"/>
        <v>17.5</v>
      </c>
      <c r="H107" s="17" t="s">
        <v>30</v>
      </c>
      <c r="I107" s="17" t="s">
        <v>97</v>
      </c>
      <c r="J107" s="4" t="s">
        <v>288</v>
      </c>
      <c r="K107" s="4"/>
      <c r="L107" s="4" t="s">
        <v>80</v>
      </c>
      <c r="M107" s="10"/>
      <c r="N107" s="10"/>
      <c r="O107" s="17"/>
      <c r="P107" s="17"/>
      <c r="Q107" s="15">
        <v>0</v>
      </c>
      <c r="R107" s="4"/>
      <c r="S107" s="17" t="s">
        <v>305</v>
      </c>
      <c r="T107" s="17" t="s">
        <v>338</v>
      </c>
      <c r="U107" s="17" t="s">
        <v>338</v>
      </c>
      <c r="V107" s="17" t="s">
        <v>289</v>
      </c>
      <c r="W107" s="17"/>
      <c r="X107" s="4"/>
    </row>
    <row r="108" spans="1:24" ht="20.149999999999999" customHeight="1" x14ac:dyDescent="0.35">
      <c r="A108" s="38"/>
      <c r="B108" s="31" t="s">
        <v>173</v>
      </c>
      <c r="C108" s="246"/>
      <c r="D108" s="17" t="s">
        <v>70</v>
      </c>
      <c r="E108" s="87">
        <v>22</v>
      </c>
      <c r="F108" s="87">
        <v>26</v>
      </c>
      <c r="G108" s="95">
        <f t="shared" si="5"/>
        <v>24</v>
      </c>
      <c r="H108" s="17" t="s">
        <v>30</v>
      </c>
      <c r="I108" s="17" t="s">
        <v>97</v>
      </c>
      <c r="J108" s="4" t="s">
        <v>288</v>
      </c>
      <c r="K108" s="4"/>
      <c r="L108" s="4" t="s">
        <v>80</v>
      </c>
      <c r="M108" s="10"/>
      <c r="N108" s="10"/>
      <c r="O108" s="17"/>
      <c r="P108" s="17"/>
      <c r="Q108" s="15">
        <v>0</v>
      </c>
      <c r="R108" s="4"/>
      <c r="S108" s="17" t="s">
        <v>305</v>
      </c>
      <c r="T108" s="17" t="s">
        <v>338</v>
      </c>
      <c r="U108" s="17" t="s">
        <v>338</v>
      </c>
      <c r="V108" s="17" t="s">
        <v>289</v>
      </c>
      <c r="W108" s="17"/>
      <c r="X108" s="4"/>
    </row>
    <row r="109" spans="1:24" ht="20.149999999999999" customHeight="1" x14ac:dyDescent="0.35">
      <c r="A109" s="38"/>
      <c r="B109" s="31" t="s">
        <v>174</v>
      </c>
      <c r="C109" s="246"/>
      <c r="D109" s="17" t="s">
        <v>70</v>
      </c>
      <c r="E109" s="87">
        <v>8</v>
      </c>
      <c r="F109" s="87">
        <v>11</v>
      </c>
      <c r="G109" s="95">
        <f t="shared" si="5"/>
        <v>9.5</v>
      </c>
      <c r="H109" s="17" t="s">
        <v>32</v>
      </c>
      <c r="I109" s="17" t="s">
        <v>97</v>
      </c>
      <c r="J109" s="4" t="s">
        <v>288</v>
      </c>
      <c r="K109" s="4"/>
      <c r="L109" s="4" t="s">
        <v>80</v>
      </c>
      <c r="M109" s="10"/>
      <c r="N109" s="10"/>
      <c r="O109" s="17"/>
      <c r="P109" s="17"/>
      <c r="Q109" s="15">
        <v>0</v>
      </c>
      <c r="R109" s="4"/>
      <c r="S109" s="17" t="s">
        <v>305</v>
      </c>
      <c r="T109" s="17" t="s">
        <v>338</v>
      </c>
      <c r="U109" s="17" t="s">
        <v>338</v>
      </c>
      <c r="V109" s="17" t="s">
        <v>289</v>
      </c>
      <c r="W109" s="17"/>
      <c r="X109" s="4"/>
    </row>
    <row r="110" spans="1:24" ht="20.149999999999999" customHeight="1" x14ac:dyDescent="0.35">
      <c r="A110" s="38"/>
      <c r="B110" s="31" t="s">
        <v>175</v>
      </c>
      <c r="C110" s="246"/>
      <c r="D110" s="17" t="s">
        <v>78</v>
      </c>
      <c r="E110" s="87">
        <v>4</v>
      </c>
      <c r="F110" s="87">
        <v>4</v>
      </c>
      <c r="G110" s="95">
        <f t="shared" si="5"/>
        <v>4</v>
      </c>
      <c r="H110" s="17" t="s">
        <v>30</v>
      </c>
      <c r="I110" s="17" t="s">
        <v>97</v>
      </c>
      <c r="J110" s="4" t="s">
        <v>288</v>
      </c>
      <c r="K110" s="4"/>
      <c r="L110" s="4" t="s">
        <v>80</v>
      </c>
      <c r="M110" s="10"/>
      <c r="N110" s="10"/>
      <c r="O110" s="17"/>
      <c r="P110" s="17"/>
      <c r="Q110" s="15">
        <v>0</v>
      </c>
      <c r="R110" s="4"/>
      <c r="S110" s="17" t="s">
        <v>305</v>
      </c>
      <c r="T110" s="17"/>
      <c r="U110" s="17" t="s">
        <v>338</v>
      </c>
      <c r="V110" s="17" t="s">
        <v>289</v>
      </c>
      <c r="W110" s="17"/>
      <c r="X110" s="4"/>
    </row>
    <row r="111" spans="1:24" ht="20.149999999999999" customHeight="1" x14ac:dyDescent="0.35">
      <c r="A111" s="38"/>
      <c r="B111" s="31" t="s">
        <v>176</v>
      </c>
      <c r="C111" s="246" t="s">
        <v>350</v>
      </c>
      <c r="D111" s="17" t="s">
        <v>78</v>
      </c>
      <c r="E111" s="87">
        <v>8</v>
      </c>
      <c r="F111" s="87">
        <v>16</v>
      </c>
      <c r="G111" s="95">
        <f t="shared" si="5"/>
        <v>12</v>
      </c>
      <c r="H111" s="17" t="s">
        <v>30</v>
      </c>
      <c r="I111" s="17" t="s">
        <v>97</v>
      </c>
      <c r="J111" s="4" t="s">
        <v>288</v>
      </c>
      <c r="K111" s="4"/>
      <c r="L111" s="4" t="s">
        <v>80</v>
      </c>
      <c r="M111" s="10"/>
      <c r="N111" s="10"/>
      <c r="O111" s="17"/>
      <c r="P111" s="17"/>
      <c r="Q111" s="15">
        <v>0</v>
      </c>
      <c r="R111" s="4"/>
      <c r="S111" s="17" t="s">
        <v>305</v>
      </c>
      <c r="T111" s="17"/>
      <c r="U111" s="17" t="s">
        <v>338</v>
      </c>
      <c r="V111" s="17" t="s">
        <v>289</v>
      </c>
      <c r="W111" s="17"/>
      <c r="X111" s="4"/>
    </row>
    <row r="112" spans="1:24" ht="20.149999999999999" customHeight="1" x14ac:dyDescent="0.35">
      <c r="A112" s="38"/>
      <c r="B112" s="32" t="s">
        <v>177</v>
      </c>
      <c r="C112" s="249"/>
      <c r="D112" s="33"/>
      <c r="E112" s="88"/>
      <c r="F112" s="88"/>
      <c r="G112" s="94"/>
      <c r="H112" s="33"/>
      <c r="I112" s="33"/>
      <c r="J112" s="34"/>
      <c r="K112" s="34"/>
      <c r="L112" s="34"/>
      <c r="M112" s="35"/>
      <c r="N112" s="35"/>
      <c r="O112" s="33"/>
      <c r="P112" s="33"/>
      <c r="Q112" s="36"/>
      <c r="R112" s="34"/>
      <c r="S112" s="33"/>
      <c r="T112" s="33"/>
      <c r="U112" s="33"/>
      <c r="V112" s="33"/>
      <c r="W112" s="33"/>
      <c r="X112" s="34"/>
    </row>
    <row r="113" spans="1:24" ht="20.149999999999999" customHeight="1" x14ac:dyDescent="0.35">
      <c r="A113" s="38"/>
      <c r="B113" s="31" t="s">
        <v>178</v>
      </c>
      <c r="C113" s="246"/>
      <c r="D113" s="17" t="s">
        <v>78</v>
      </c>
      <c r="E113" s="87">
        <v>10</v>
      </c>
      <c r="F113" s="87">
        <v>10</v>
      </c>
      <c r="G113" s="95">
        <f t="shared" si="5"/>
        <v>10</v>
      </c>
      <c r="H113" s="17" t="s">
        <v>32</v>
      </c>
      <c r="I113" s="17" t="s">
        <v>97</v>
      </c>
      <c r="J113" s="4" t="s">
        <v>288</v>
      </c>
      <c r="K113" s="4"/>
      <c r="L113" s="4" t="s">
        <v>80</v>
      </c>
      <c r="M113" s="10"/>
      <c r="N113" s="10"/>
      <c r="O113" s="17"/>
      <c r="P113" s="17"/>
      <c r="Q113" s="15">
        <v>0</v>
      </c>
      <c r="R113" s="4"/>
      <c r="S113" s="17" t="s">
        <v>305</v>
      </c>
      <c r="T113" s="17" t="s">
        <v>289</v>
      </c>
      <c r="U113" s="17" t="s">
        <v>338</v>
      </c>
      <c r="V113" s="17"/>
      <c r="W113" s="17"/>
      <c r="X113" s="4"/>
    </row>
    <row r="114" spans="1:24" ht="20.149999999999999" customHeight="1" x14ac:dyDescent="0.35">
      <c r="A114" s="38"/>
      <c r="B114" s="31" t="s">
        <v>179</v>
      </c>
      <c r="C114" s="246" t="s">
        <v>350</v>
      </c>
      <c r="D114" s="17" t="s">
        <v>78</v>
      </c>
      <c r="E114" s="87">
        <v>10</v>
      </c>
      <c r="F114" s="87">
        <v>14</v>
      </c>
      <c r="G114" s="95">
        <f t="shared" si="5"/>
        <v>12</v>
      </c>
      <c r="H114" s="17" t="s">
        <v>30</v>
      </c>
      <c r="I114" s="17" t="s">
        <v>97</v>
      </c>
      <c r="J114" s="4" t="s">
        <v>288</v>
      </c>
      <c r="K114" s="4"/>
      <c r="L114" s="4" t="s">
        <v>80</v>
      </c>
      <c r="M114" s="10"/>
      <c r="N114" s="10"/>
      <c r="O114" s="17"/>
      <c r="P114" s="17"/>
      <c r="Q114" s="15">
        <v>0</v>
      </c>
      <c r="R114" s="4"/>
      <c r="S114" s="17" t="s">
        <v>305</v>
      </c>
      <c r="T114" s="17" t="s">
        <v>289</v>
      </c>
      <c r="U114" s="17" t="s">
        <v>338</v>
      </c>
      <c r="V114" s="17"/>
      <c r="W114" s="17"/>
      <c r="X114" s="4"/>
    </row>
    <row r="115" spans="1:24" ht="20.149999999999999" customHeight="1" x14ac:dyDescent="0.35">
      <c r="A115" s="38"/>
      <c r="B115" s="31" t="s">
        <v>180</v>
      </c>
      <c r="C115" s="246"/>
      <c r="D115" s="17" t="s">
        <v>78</v>
      </c>
      <c r="E115" s="87">
        <v>12</v>
      </c>
      <c r="F115" s="87">
        <v>16</v>
      </c>
      <c r="G115" s="95">
        <f t="shared" si="5"/>
        <v>14</v>
      </c>
      <c r="H115" s="17" t="s">
        <v>32</v>
      </c>
      <c r="I115" s="17" t="s">
        <v>97</v>
      </c>
      <c r="J115" s="4" t="s">
        <v>288</v>
      </c>
      <c r="K115" s="4"/>
      <c r="L115" s="4" t="s">
        <v>80</v>
      </c>
      <c r="M115" s="10"/>
      <c r="N115" s="10"/>
      <c r="O115" s="17"/>
      <c r="P115" s="17"/>
      <c r="Q115" s="15">
        <v>0</v>
      </c>
      <c r="R115" s="4"/>
      <c r="S115" s="17" t="s">
        <v>305</v>
      </c>
      <c r="T115" s="17" t="s">
        <v>289</v>
      </c>
      <c r="U115" s="17" t="s">
        <v>338</v>
      </c>
      <c r="V115" s="17"/>
      <c r="W115" s="17"/>
      <c r="X115" s="4"/>
    </row>
    <row r="116" spans="1:24" ht="20.149999999999999" customHeight="1" x14ac:dyDescent="0.35">
      <c r="A116" s="38"/>
      <c r="B116" s="31" t="s">
        <v>347</v>
      </c>
      <c r="C116" s="246"/>
      <c r="D116" s="17" t="s">
        <v>70</v>
      </c>
      <c r="E116" s="87"/>
      <c r="F116" s="87"/>
      <c r="G116" s="95" t="str">
        <f t="shared" si="5"/>
        <v/>
      </c>
      <c r="H116" s="17" t="s">
        <v>32</v>
      </c>
      <c r="I116" s="17" t="s">
        <v>97</v>
      </c>
      <c r="J116" s="4" t="s">
        <v>288</v>
      </c>
      <c r="K116" s="4"/>
      <c r="L116" s="4" t="s">
        <v>80</v>
      </c>
      <c r="M116" s="10"/>
      <c r="N116" s="10"/>
      <c r="O116" s="17"/>
      <c r="P116" s="17"/>
      <c r="Q116" s="15">
        <v>0</v>
      </c>
      <c r="R116" s="4"/>
      <c r="S116" s="17" t="s">
        <v>305</v>
      </c>
      <c r="T116" s="17" t="s">
        <v>289</v>
      </c>
      <c r="U116" s="17" t="s">
        <v>338</v>
      </c>
      <c r="V116" s="17"/>
      <c r="W116" s="17"/>
      <c r="X116" s="4"/>
    </row>
    <row r="117" spans="1:24" ht="20.149999999999999" customHeight="1" x14ac:dyDescent="0.35">
      <c r="A117" s="38"/>
      <c r="B117" s="32" t="s">
        <v>181</v>
      </c>
      <c r="C117" s="249"/>
      <c r="D117" s="33"/>
      <c r="E117" s="88"/>
      <c r="F117" s="88"/>
      <c r="G117" s="94"/>
      <c r="H117" s="33"/>
      <c r="I117" s="33"/>
      <c r="J117" s="34"/>
      <c r="K117" s="34"/>
      <c r="L117" s="34"/>
      <c r="M117" s="35"/>
      <c r="N117" s="35"/>
      <c r="O117" s="33"/>
      <c r="P117" s="33"/>
      <c r="Q117" s="36"/>
      <c r="R117" s="34"/>
      <c r="S117" s="33"/>
      <c r="T117" s="33"/>
      <c r="U117" s="33"/>
      <c r="V117" s="33"/>
      <c r="W117" s="33"/>
      <c r="X117" s="34"/>
    </row>
    <row r="118" spans="1:24" ht="20.149999999999999" customHeight="1" x14ac:dyDescent="0.35">
      <c r="A118" s="38"/>
      <c r="B118" s="31" t="s">
        <v>182</v>
      </c>
      <c r="C118" s="246"/>
      <c r="D118" s="17" t="s">
        <v>70</v>
      </c>
      <c r="E118" s="87">
        <v>6</v>
      </c>
      <c r="F118" s="87">
        <v>10</v>
      </c>
      <c r="G118" s="95">
        <f t="shared" si="5"/>
        <v>8</v>
      </c>
      <c r="H118" s="17" t="s">
        <v>32</v>
      </c>
      <c r="I118" s="17" t="s">
        <v>97</v>
      </c>
      <c r="J118" s="4" t="s">
        <v>288</v>
      </c>
      <c r="K118" s="4"/>
      <c r="L118" s="4" t="s">
        <v>80</v>
      </c>
      <c r="M118" s="10"/>
      <c r="N118" s="10"/>
      <c r="O118" s="17"/>
      <c r="P118" s="17"/>
      <c r="Q118" s="15">
        <v>0</v>
      </c>
      <c r="R118" s="4"/>
      <c r="S118" s="17" t="s">
        <v>305</v>
      </c>
      <c r="T118" s="17" t="s">
        <v>289</v>
      </c>
      <c r="U118" s="17" t="s">
        <v>338</v>
      </c>
      <c r="V118" s="17"/>
      <c r="W118" s="17"/>
      <c r="X118" s="4"/>
    </row>
    <row r="119" spans="1:24" ht="20.149999999999999" customHeight="1" x14ac:dyDescent="0.35">
      <c r="A119" s="38"/>
      <c r="B119" s="31" t="s">
        <v>183</v>
      </c>
      <c r="C119" s="246"/>
      <c r="D119" s="17" t="s">
        <v>70</v>
      </c>
      <c r="E119" s="87">
        <v>10</v>
      </c>
      <c r="F119" s="87">
        <v>18</v>
      </c>
      <c r="G119" s="95">
        <f t="shared" si="5"/>
        <v>14</v>
      </c>
      <c r="H119" s="17" t="s">
        <v>32</v>
      </c>
      <c r="I119" s="17" t="s">
        <v>97</v>
      </c>
      <c r="J119" s="4" t="s">
        <v>288</v>
      </c>
      <c r="K119" s="4"/>
      <c r="L119" s="4" t="s">
        <v>80</v>
      </c>
      <c r="M119" s="10"/>
      <c r="N119" s="10"/>
      <c r="O119" s="17"/>
      <c r="P119" s="17"/>
      <c r="Q119" s="15">
        <v>0</v>
      </c>
      <c r="R119" s="4"/>
      <c r="S119" s="17" t="s">
        <v>305</v>
      </c>
      <c r="T119" s="17" t="s">
        <v>289</v>
      </c>
      <c r="U119" s="17" t="s">
        <v>338</v>
      </c>
      <c r="V119" s="17"/>
      <c r="W119" s="17"/>
      <c r="X119" s="4"/>
    </row>
    <row r="120" spans="1:24" ht="20.149999999999999" customHeight="1" x14ac:dyDescent="0.35">
      <c r="A120" s="38"/>
      <c r="B120" s="31" t="s">
        <v>184</v>
      </c>
      <c r="C120" s="246" t="s">
        <v>350</v>
      </c>
      <c r="D120" s="17" t="s">
        <v>78</v>
      </c>
      <c r="E120" s="87">
        <v>6</v>
      </c>
      <c r="F120" s="87">
        <v>8</v>
      </c>
      <c r="G120" s="95">
        <f t="shared" si="5"/>
        <v>7</v>
      </c>
      <c r="H120" s="17" t="s">
        <v>32</v>
      </c>
      <c r="I120" s="17" t="s">
        <v>97</v>
      </c>
      <c r="J120" s="4" t="s">
        <v>288</v>
      </c>
      <c r="K120" s="4"/>
      <c r="L120" s="4" t="s">
        <v>80</v>
      </c>
      <c r="M120" s="10"/>
      <c r="N120" s="10"/>
      <c r="O120" s="17"/>
      <c r="P120" s="17"/>
      <c r="Q120" s="15">
        <v>0</v>
      </c>
      <c r="R120" s="4"/>
      <c r="S120" s="17" t="s">
        <v>305</v>
      </c>
      <c r="T120" s="17" t="s">
        <v>289</v>
      </c>
      <c r="U120" s="17" t="s">
        <v>338</v>
      </c>
      <c r="V120" s="17"/>
      <c r="W120" s="17"/>
      <c r="X120" s="4"/>
    </row>
    <row r="121" spans="1:24" ht="20.149999999999999" customHeight="1" x14ac:dyDescent="0.35">
      <c r="A121" s="38"/>
      <c r="B121" s="31" t="s">
        <v>185</v>
      </c>
      <c r="C121" s="246"/>
      <c r="D121" s="17" t="s">
        <v>70</v>
      </c>
      <c r="E121" s="87">
        <v>33</v>
      </c>
      <c r="F121" s="87">
        <v>46</v>
      </c>
      <c r="G121" s="95">
        <f t="shared" si="5"/>
        <v>39.5</v>
      </c>
      <c r="H121" s="17" t="s">
        <v>30</v>
      </c>
      <c r="I121" s="17" t="s">
        <v>97</v>
      </c>
      <c r="J121" s="4" t="s">
        <v>288</v>
      </c>
      <c r="K121" s="4"/>
      <c r="L121" s="4" t="s">
        <v>80</v>
      </c>
      <c r="M121" s="10"/>
      <c r="N121" s="10"/>
      <c r="O121" s="17"/>
      <c r="P121" s="17"/>
      <c r="Q121" s="15">
        <v>0</v>
      </c>
      <c r="R121" s="4"/>
      <c r="S121" s="17" t="s">
        <v>305</v>
      </c>
      <c r="T121" s="17" t="s">
        <v>289</v>
      </c>
      <c r="U121" s="17" t="s">
        <v>338</v>
      </c>
      <c r="V121" s="17"/>
      <c r="W121" s="17"/>
      <c r="X121" s="4"/>
    </row>
    <row r="122" spans="1:24" ht="20.149999999999999" customHeight="1" x14ac:dyDescent="0.35">
      <c r="A122" s="38"/>
      <c r="B122" s="32" t="s">
        <v>186</v>
      </c>
      <c r="C122" s="249"/>
      <c r="D122" s="33"/>
      <c r="E122" s="88"/>
      <c r="F122" s="88"/>
      <c r="G122" s="94"/>
      <c r="H122" s="33"/>
      <c r="I122" s="33"/>
      <c r="J122" s="34"/>
      <c r="K122" s="34"/>
      <c r="L122" s="34"/>
      <c r="M122" s="35"/>
      <c r="N122" s="35"/>
      <c r="O122" s="33"/>
      <c r="P122" s="33"/>
      <c r="Q122" s="36"/>
      <c r="R122" s="34"/>
      <c r="S122" s="33"/>
      <c r="T122" s="33"/>
      <c r="U122" s="33"/>
      <c r="V122" s="33"/>
      <c r="W122" s="33"/>
      <c r="X122" s="34"/>
    </row>
    <row r="123" spans="1:24" ht="20.149999999999999" customHeight="1" x14ac:dyDescent="0.35">
      <c r="A123" s="38"/>
      <c r="B123" s="31" t="s">
        <v>187</v>
      </c>
      <c r="C123" s="246"/>
      <c r="D123" s="17" t="s">
        <v>70</v>
      </c>
      <c r="E123" s="87">
        <v>14</v>
      </c>
      <c r="F123" s="87">
        <v>16</v>
      </c>
      <c r="G123" s="95">
        <f t="shared" si="5"/>
        <v>15</v>
      </c>
      <c r="H123" s="17" t="s">
        <v>32</v>
      </c>
      <c r="I123" s="17" t="s">
        <v>97</v>
      </c>
      <c r="J123" s="4" t="s">
        <v>288</v>
      </c>
      <c r="K123" s="4"/>
      <c r="L123" s="4" t="s">
        <v>80</v>
      </c>
      <c r="M123" s="10"/>
      <c r="N123" s="10"/>
      <c r="O123" s="17"/>
      <c r="P123" s="17"/>
      <c r="Q123" s="15">
        <v>0</v>
      </c>
      <c r="R123" s="4"/>
      <c r="S123" s="17" t="s">
        <v>305</v>
      </c>
      <c r="T123" s="17" t="s">
        <v>289</v>
      </c>
      <c r="U123" s="17" t="s">
        <v>338</v>
      </c>
      <c r="V123" s="17"/>
      <c r="W123" s="17"/>
      <c r="X123" s="4"/>
    </row>
    <row r="124" spans="1:24" ht="20.149999999999999" customHeight="1" x14ac:dyDescent="0.35">
      <c r="A124" s="38"/>
      <c r="B124" s="31" t="s">
        <v>188</v>
      </c>
      <c r="C124" s="246"/>
      <c r="D124" s="17" t="s">
        <v>78</v>
      </c>
      <c r="E124" s="87">
        <v>22</v>
      </c>
      <c r="F124" s="87">
        <v>26</v>
      </c>
      <c r="G124" s="95">
        <f t="shared" si="5"/>
        <v>24</v>
      </c>
      <c r="H124" s="17" t="s">
        <v>32</v>
      </c>
      <c r="I124" s="17" t="s">
        <v>97</v>
      </c>
      <c r="J124" s="4" t="s">
        <v>288</v>
      </c>
      <c r="K124" s="4"/>
      <c r="L124" s="4" t="s">
        <v>80</v>
      </c>
      <c r="M124" s="10"/>
      <c r="N124" s="10"/>
      <c r="O124" s="17"/>
      <c r="P124" s="17"/>
      <c r="Q124" s="15">
        <v>0</v>
      </c>
      <c r="R124" s="4"/>
      <c r="S124" s="17" t="s">
        <v>305</v>
      </c>
      <c r="T124" s="17" t="s">
        <v>289</v>
      </c>
      <c r="U124" s="17" t="s">
        <v>338</v>
      </c>
      <c r="V124" s="17"/>
      <c r="W124" s="17"/>
      <c r="X124" s="4"/>
    </row>
    <row r="125" spans="1:24" ht="20.149999999999999" customHeight="1" x14ac:dyDescent="0.35">
      <c r="A125" s="38"/>
      <c r="B125" s="31" t="s">
        <v>189</v>
      </c>
      <c r="C125" s="246"/>
      <c r="D125" s="17" t="s">
        <v>70</v>
      </c>
      <c r="E125" s="87">
        <v>4</v>
      </c>
      <c r="F125" s="87">
        <v>4</v>
      </c>
      <c r="G125" s="95">
        <f t="shared" si="5"/>
        <v>4</v>
      </c>
      <c r="H125" s="17" t="s">
        <v>30</v>
      </c>
      <c r="I125" s="17" t="s">
        <v>97</v>
      </c>
      <c r="J125" s="4" t="s">
        <v>288</v>
      </c>
      <c r="K125" s="4"/>
      <c r="L125" s="4" t="s">
        <v>80</v>
      </c>
      <c r="M125" s="10"/>
      <c r="N125" s="10"/>
      <c r="O125" s="17"/>
      <c r="P125" s="17"/>
      <c r="Q125" s="15">
        <v>0</v>
      </c>
      <c r="R125" s="4"/>
      <c r="S125" s="17" t="s">
        <v>305</v>
      </c>
      <c r="T125" s="17" t="s">
        <v>289</v>
      </c>
      <c r="U125" s="17" t="s">
        <v>338</v>
      </c>
      <c r="V125" s="17"/>
      <c r="W125" s="17"/>
      <c r="X125" s="4"/>
    </row>
    <row r="126" spans="1:24" ht="20.149999999999999" customHeight="1" x14ac:dyDescent="0.35"/>
    <row r="127" spans="1:24" ht="20.149999999999999" customHeight="1" x14ac:dyDescent="0.35"/>
    <row r="128" spans="1:24" ht="20.149999999999999" customHeight="1" x14ac:dyDescent="0.35"/>
    <row r="129" ht="20.149999999999999" customHeight="1" x14ac:dyDescent="0.35"/>
    <row r="130" ht="20.149999999999999" customHeight="1" x14ac:dyDescent="0.35"/>
    <row r="131" ht="20.149999999999999" customHeight="1" x14ac:dyDescent="0.35"/>
  </sheetData>
  <mergeCells count="6">
    <mergeCell ref="S65:X65"/>
    <mergeCell ref="S2:X2"/>
    <mergeCell ref="D1:I1"/>
    <mergeCell ref="A1:B1"/>
    <mergeCell ref="A64:B64"/>
    <mergeCell ref="D64:I64"/>
  </mergeCells>
  <conditionalFormatting sqref="D4:F11 D18:F22 D24:F28 D33:F34">
    <cfRule type="containsText" dxfId="27" priority="62" operator="containsText" text="Ja">
      <formula>NOT(ISERROR(SEARCH("Ja",D4)))</formula>
    </cfRule>
    <cfRule type="containsText" dxfId="26" priority="63" operator="containsText" text="Nei">
      <formula>NOT(ISERROR(SEARCH("Nei",D4)))</formula>
    </cfRule>
  </conditionalFormatting>
  <conditionalFormatting sqref="D13:F16 D36:F52 D66:D125">
    <cfRule type="containsText" dxfId="25" priority="11" operator="containsText" text="Ja">
      <formula>NOT(ISERROR(SEARCH("Ja",D13)))</formula>
    </cfRule>
    <cfRule type="containsText" dxfId="24" priority="12" operator="containsText" text="Nei">
      <formula>NOT(ISERROR(SEARCH("Nei",D13)))</formula>
    </cfRule>
  </conditionalFormatting>
  <conditionalFormatting sqref="D30:F31 D54:F55">
    <cfRule type="containsText" dxfId="23" priority="103" operator="containsText" text="Ja">
      <formula>NOT(ISERROR(SEARCH("Ja",D30)))</formula>
    </cfRule>
    <cfRule type="containsText" dxfId="22" priority="104" operator="containsText" text="Nei">
      <formula>NOT(ISERROR(SEARCH("Nei",D30)))</formula>
    </cfRule>
  </conditionalFormatting>
  <conditionalFormatting sqref="D57:F61">
    <cfRule type="containsText" dxfId="21" priority="49" operator="containsText" text="Nei">
      <formula>NOT(ISERROR(SEARCH("Nei",D57)))</formula>
    </cfRule>
    <cfRule type="containsText" dxfId="20" priority="48" operator="containsText" text="Ja">
      <formula>NOT(ISERROR(SEARCH("Ja",D57)))</formula>
    </cfRule>
  </conditionalFormatting>
  <conditionalFormatting sqref="G4:G28 G30:G61 E125:F125">
    <cfRule type="containsText" dxfId="19" priority="6" operator="containsText" text="PL">
      <formula>NOT(ISERROR(SEARCH("PL",E4)))</formula>
    </cfRule>
  </conditionalFormatting>
  <conditionalFormatting sqref="G66:G125">
    <cfRule type="containsText" dxfId="18" priority="7" operator="containsText" text="PL">
      <formula>NOT(ISERROR(SEARCH("PL",G66)))</formula>
    </cfRule>
  </conditionalFormatting>
  <conditionalFormatting sqref="H4:I11 H18:I22 H24:I28 H33:I34 H36:I52">
    <cfRule type="containsText" dxfId="17" priority="60" operator="containsText" text="Lav">
      <formula>NOT(ISERROR(SEARCH("Lav",H4)))</formula>
    </cfRule>
    <cfRule type="containsText" dxfId="16" priority="59" operator="containsText" text="Medium">
      <formula>NOT(ISERROR(SEARCH("Medium",H4)))</formula>
    </cfRule>
    <cfRule type="containsText" dxfId="15" priority="58" operator="containsText" text="Høy">
      <formula>NOT(ISERROR(SEARCH("Høy",H4)))</formula>
    </cfRule>
  </conditionalFormatting>
  <conditionalFormatting sqref="H13:I16">
    <cfRule type="containsText" dxfId="14" priority="1" operator="containsText" text="Høy">
      <formula>NOT(ISERROR(SEARCH("Høy",H13)))</formula>
    </cfRule>
    <cfRule type="containsText" dxfId="13" priority="2" operator="containsText" text="Medium">
      <formula>NOT(ISERROR(SEARCH("Medium",H13)))</formula>
    </cfRule>
    <cfRule type="containsText" dxfId="12" priority="3" operator="containsText" text="Lav">
      <formula>NOT(ISERROR(SEARCH("Lav",H13)))</formula>
    </cfRule>
  </conditionalFormatting>
  <conditionalFormatting sqref="H30:I31">
    <cfRule type="containsText" dxfId="11" priority="20" operator="containsText" text="Høy">
      <formula>NOT(ISERROR(SEARCH("Høy",H30)))</formula>
    </cfRule>
    <cfRule type="containsText" dxfId="10" priority="21" operator="containsText" text="Medium">
      <formula>NOT(ISERROR(SEARCH("Medium",H30)))</formula>
    </cfRule>
    <cfRule type="containsText" dxfId="9" priority="22" operator="containsText" text="Lav">
      <formula>NOT(ISERROR(SEARCH("Lav",H30)))</formula>
    </cfRule>
  </conditionalFormatting>
  <conditionalFormatting sqref="H54:I55">
    <cfRule type="containsText" dxfId="8" priority="14" operator="containsText" text="Høy">
      <formula>NOT(ISERROR(SEARCH("Høy",H54)))</formula>
    </cfRule>
    <cfRule type="containsText" dxfId="7" priority="15" operator="containsText" text="Medium">
      <formula>NOT(ISERROR(SEARCH("Medium",H54)))</formula>
    </cfRule>
    <cfRule type="containsText" dxfId="6" priority="16" operator="containsText" text="Lav">
      <formula>NOT(ISERROR(SEARCH("Lav",H54)))</formula>
    </cfRule>
  </conditionalFormatting>
  <conditionalFormatting sqref="H57:I61">
    <cfRule type="containsText" dxfId="5" priority="45" operator="containsText" text="Medium">
      <formula>NOT(ISERROR(SEARCH("Medium",H57)))</formula>
    </cfRule>
    <cfRule type="containsText" dxfId="4" priority="46" operator="containsText" text="Lav">
      <formula>NOT(ISERROR(SEARCH("Lav",H57)))</formula>
    </cfRule>
    <cfRule type="containsText" dxfId="3" priority="44" operator="containsText" text="Høy">
      <formula>NOT(ISERROR(SEARCH("Høy",H57)))</formula>
    </cfRule>
  </conditionalFormatting>
  <conditionalFormatting sqref="H66:I125">
    <cfRule type="containsText" dxfId="2" priority="10" operator="containsText" text="Lav">
      <formula>NOT(ISERROR(SEARCH("Lav",H66)))</formula>
    </cfRule>
    <cfRule type="containsText" dxfId="1" priority="9" operator="containsText" text="Medium">
      <formula>NOT(ISERROR(SEARCH("Medium",H66)))</formula>
    </cfRule>
    <cfRule type="containsText" dxfId="0" priority="8" operator="containsText" text="Høy">
      <formula>NOT(ISERROR(SEARCH("Høy",H66)))</formula>
    </cfRule>
  </conditionalFormatting>
  <conditionalFormatting sqref="Q6:Q11 Q13:Q16 Q18:Q22 Q24:Q28">
    <cfRule type="colorScale" priority="4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Q33:Q34 Q4:Q5">
    <cfRule type="colorScale" priority="64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Q40">
    <cfRule type="colorScale" priority="98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Q44">
    <cfRule type="colorScale" priority="85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Q48">
    <cfRule type="colorScale" priority="78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Q49:Q52 Q41:Q43 Q36:Q39 Q30:Q31 Q54:Q55 Q45:Q47">
    <cfRule type="colorScale" priority="105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Q57">
    <cfRule type="colorScale" priority="57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Q58:Q61">
    <cfRule type="colorScale" priority="50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Q66:Q125">
    <cfRule type="colorScale" priority="1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A640D74-4062-4BC1-8F23-DE2D3D0F31D5}">
          <x14:formula1>
            <xm:f>'Datavalidering (skjules)'!$B$14:$B$31</xm:f>
          </x14:formula1>
          <xm:sqref>I30:I31 I57:I61 I54:I55 I66:I125 I4:I28 I33:I52</xm:sqref>
        </x14:dataValidation>
        <x14:dataValidation type="list" allowBlank="1" showInputMessage="1" showErrorMessage="1" xr:uid="{A8943A7D-0255-4829-9145-3832F96B250D}">
          <x14:formula1>
            <xm:f>'Datavalidering (skjules)'!$C$3:$C$5</xm:f>
          </x14:formula1>
          <xm:sqref>H66:H125 H57:H61 H30:H31 H54:H55 H4:H28 H33:H52</xm:sqref>
        </x14:dataValidation>
        <x14:dataValidation type="list" allowBlank="1" showInputMessage="1" showErrorMessage="1" xr:uid="{8270DC6A-4515-4AE9-A7D0-14416085C679}">
          <x14:formula1>
            <xm:f>'Datavalidering (skjules)'!$B$3:$B$4</xm:f>
          </x14:formula1>
          <xm:sqref>D57:D61 D54:D55 D30:D31 D66:D125 D4:D28 D33:D52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rmstruktur xmlns="023f50d7-482a-41bc-b63a-6f44f295fafe">Section 03 Bilag 3</Permstruktur>
    <Dato_x0020_sendt_x0020_til_x0020_Kunden xmlns="023f50d7-482a-41bc-b63a-6f44f295fafe" xsi:nil="true"/>
    <Hovedansvarlig xmlns="023f50d7-482a-41bc-b63a-6f44f295fafe">Anniken Vines</Hovedansvarlig>
    <Dokumentstatus xmlns="023f50d7-482a-41bc-b63a-6f44f295fafe">Version 0.50 - In production</Dokumentstatus>
    <Fase_x0020__x0028_vises_x0020_hvor_x0029_ xmlns="023f50d7-482a-41bc-b63a-6f44f295fafe">1) Work in progress</Fase_x0020__x0028_vises_x0020_hvor_x0029_>
  </documentManagement>
</p:properties>
</file>

<file path=customXml/item3.xml><?xml version="1.0" encoding="utf-8"?>
<TemplafyTemplateConfiguration><![CDATA[{"transformationConfigurations":[],"templateName":"Blank - Calibri","templateDescription":"","enableDocumentContentUpdater":false,"version":"2.0"}]]></TemplafyTemplateConfiguration>
</file>

<file path=customXml/item4.xml><?xml version="1.0" encoding="utf-8"?>
<TemplafyFormConfiguration><![CDATA[{"formFields":[],"formDataEntries":[]}]]></TemplafyFormConfiguration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A79B4EB1669F4381C5F4EC5A6F8D44" ma:contentTypeVersion="9" ma:contentTypeDescription="Create a new document." ma:contentTypeScope="" ma:versionID="12c7f23a2482e13be50d61af747df178">
  <xsd:schema xmlns:xsd="http://www.w3.org/2001/XMLSchema" xmlns:xs="http://www.w3.org/2001/XMLSchema" xmlns:p="http://schemas.microsoft.com/office/2006/metadata/properties" xmlns:ns2="023f50d7-482a-41bc-b63a-6f44f295fafe" targetNamespace="http://schemas.microsoft.com/office/2006/metadata/properties" ma:root="true" ma:fieldsID="60465d2ca94020784a0a3004747df3d9" ns2:_="">
    <xsd:import namespace="023f50d7-482a-41bc-b63a-6f44f295fafe"/>
    <xsd:element name="properties">
      <xsd:complexType>
        <xsd:sequence>
          <xsd:element name="documentManagement">
            <xsd:complexType>
              <xsd:all>
                <xsd:element ref="ns2:Hovedansvarlig" minOccurs="0"/>
                <xsd:element ref="ns2:Permstruktur"/>
                <xsd:element ref="ns2:Dokumentstatus"/>
                <xsd:element ref="ns2:Fase_x0020__x0028_vises_x0020_hvor_x0029_"/>
                <xsd:element ref="ns2:Dato_x0020_sendt_x0020_til_x0020_Kunden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f50d7-482a-41bc-b63a-6f44f295fafe" elementFormDefault="qualified">
    <xsd:import namespace="http://schemas.microsoft.com/office/2006/documentManagement/types"/>
    <xsd:import namespace="http://schemas.microsoft.com/office/infopath/2007/PartnerControls"/>
    <xsd:element name="Hovedansvarlig" ma:index="2" nillable="true" ma:displayName="Responsible" ma:default="&lt;fill in&gt;" ma:description="Specify the name of the person who is  responsible for the document." ma:internalName="Hovedansvarlig">
      <xsd:simpleType>
        <xsd:restriction base="dms:Text">
          <xsd:maxLength value="30"/>
        </xsd:restriction>
      </xsd:simpleType>
    </xsd:element>
    <xsd:element name="Permstruktur" ma:index="3" ma:displayName="Document structure" ma:default="- Choose from list" ma:description="First, you need to define a document structure, i.e. a list of names for the sections/dividers/separators, that allows for grouping of documents according to this structure. See the customer's instructions for detalis. If no instructions are given, you must decide/define a section structure yourselves. After the list is defined, assign a section/divider/separator name per document." ma:format="RadioButtons" ma:internalName="Permstruktur">
      <xsd:simpleType>
        <xsd:restriction base="dms:Choice">
          <xsd:enumeration value="- Choose from list"/>
          <xsd:enumeration value="Section 00 Viktige dokumenter"/>
          <xsd:enumeration value="Section 01 Tilbudsbrev"/>
          <xsd:enumeration value="Section 02 Bilag 2"/>
          <xsd:enumeration value="Section 03 Bilag 3"/>
          <xsd:enumeration value="Section 04 Bilag 4"/>
          <xsd:enumeration value="Section 05 Bilag 5"/>
          <xsd:enumeration value="Section 06 Bilag 6"/>
          <xsd:enumeration value="Section 07 Bilag 7/8/9"/>
          <xsd:enumeration value="Section 08 DBA"/>
          <xsd:enumeration value="Section 09 Kladd - ikke send"/>
          <xsd:enumeration value="Section 10"/>
        </xsd:restriction>
      </xsd:simpleType>
    </xsd:element>
    <xsd:element name="Dokumentstatus" ma:index="4" ma:displayName="Document status" ma:description="Specify the document's status / degree of completion." ma:format="RadioButtons" ma:internalName="Dokumentstatus">
      <xsd:simpleType>
        <xsd:restriction base="dms:Choice">
          <xsd:enumeration value="Version 0.05 - Template under construction"/>
          <xsd:enumeration value="Version 0.10 - Ready for work"/>
          <xsd:enumeration value="Version 0.20 - Responsibility/keywords"/>
          <xsd:enumeration value="Version 0.50 - In production"/>
          <xsd:enumeration value="Version 0.70 - Production finished - Ready for QA"/>
          <xsd:enumeration value="Version 0.80 - QA in progress"/>
          <xsd:enumeration value="Version 0.90 - QA completed/approved"/>
          <xsd:enumeration value="Version 0.95 - Layout and document control"/>
          <xsd:enumeration value="Version 1.00 - FINAL (do not change)"/>
          <xsd:enumeration value="Version N/A"/>
        </xsd:restriction>
      </xsd:simpleType>
    </xsd:element>
    <xsd:element name="Fase_x0020__x0028_vises_x0020_hvor_x0029_" ma:index="5" ma:displayName="Production phase" ma:default="1) Work in progress" ma:description="Production phase specifies the documents stage is in the production process. The production phase also determines in which &quot;view&quot; the document is visible (filtered views is used)." ma:format="RadioButtons" ma:internalName="Fase_x0020__x0028_vises_x0020_hvor_x0029_">
      <xsd:simpleType>
        <xsd:restriction base="dms:Choice">
          <xsd:enumeration value="1) Work in progress"/>
          <xsd:enumeration value="2a) Approved and ready for print/delivery"/>
          <xsd:enumeration value="2b) Printed and put in binder(s)"/>
          <xsd:enumeration value="3a) Archive - Sent to customer"/>
        </xsd:restriction>
      </xsd:simpleType>
    </xsd:element>
    <xsd:element name="Dato_x0020_sendt_x0020_til_x0020_Kunden" ma:index="6" nillable="true" ma:displayName="Date sent to customer" ma:description="When the document is sent to the customer, specified the “sent date” here." ma:format="DateOnly" ma:internalName="Dato_x0020_sendt_x0020_til_x0020_Kunden">
      <xsd:simpleType>
        <xsd:restriction base="dms:DateTime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4C2459-8500-42AE-A7B9-8CD3A523DD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A39BF3-C28B-409B-BC09-E2EA8D5EE24C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023f50d7-482a-41bc-b63a-6f44f295faf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68E5A6F-3D9E-4275-AC19-61567B2F9BEE}">
  <ds:schemaRefs/>
</ds:datastoreItem>
</file>

<file path=customXml/itemProps4.xml><?xml version="1.0" encoding="utf-8"?>
<ds:datastoreItem xmlns:ds="http://schemas.openxmlformats.org/officeDocument/2006/customXml" ds:itemID="{97B404D8-EB1E-497C-9EC0-E5B4C835FFB0}">
  <ds:schemaRefs/>
</ds:datastoreItem>
</file>

<file path=customXml/itemProps5.xml><?xml version="1.0" encoding="utf-8"?>
<ds:datastoreItem xmlns:ds="http://schemas.openxmlformats.org/officeDocument/2006/customXml" ds:itemID="{66B9BD59-18FC-47B8-9DC3-3DCB80900D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3f50d7-482a-41bc-b63a-6f44f295fa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Prosjektoversikt</vt:lpstr>
      <vt:lpstr>Fremdriftsplan</vt:lpstr>
      <vt:lpstr>Milepæler</vt:lpstr>
      <vt:lpstr>Datavalidering (skjules)</vt:lpstr>
      <vt:lpstr>Opsjoner og tilleggsaktiviteter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Fremdriftsplan med estimater - P360 Implementering</dc:title>
  <dc:subject/>
  <dc:creator>Mads Nordnes</dc:creator>
  <cp:keywords/>
  <dc:description/>
  <cp:lastModifiedBy>Erlend Medhus</cp:lastModifiedBy>
  <cp:revision/>
  <dcterms:created xsi:type="dcterms:W3CDTF">2025-11-05T09:11:46Z</dcterms:created>
  <dcterms:modified xsi:type="dcterms:W3CDTF">2026-10-02T08:15:44Z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tietoevry</vt:lpwstr>
  </property>
  <property fmtid="{D5CDD505-2E9C-101B-9397-08002B2CF9AE}" pid="3" name="TemplafyTemplateId">
    <vt:lpwstr>904217523610192216</vt:lpwstr>
  </property>
  <property fmtid="{D5CDD505-2E9C-101B-9397-08002B2CF9AE}" pid="4" name="TemplafyUserProfileId">
    <vt:lpwstr>637888834008069119</vt:lpwstr>
  </property>
  <property fmtid="{D5CDD505-2E9C-101B-9397-08002B2CF9AE}" pid="5" name="TemplafyLanguageCode">
    <vt:lpwstr>nb-NO</vt:lpwstr>
  </property>
  <property fmtid="{D5CDD505-2E9C-101B-9397-08002B2CF9AE}" pid="6" name="TemplafyFromBlank">
    <vt:bool>true</vt:bool>
  </property>
  <property fmtid="{D5CDD505-2E9C-101B-9397-08002B2CF9AE}" pid="7" name="MSIP_Label_3b623b29-abd1-4de3-a20c-27566d79b7c7_Enabled">
    <vt:lpwstr>true</vt:lpwstr>
  </property>
  <property fmtid="{D5CDD505-2E9C-101B-9397-08002B2CF9AE}" pid="8" name="MSIP_Label_3b623b29-abd1-4de3-a20c-27566d79b7c7_SetDate">
    <vt:lpwstr>2025-11-21T09:10:48Z</vt:lpwstr>
  </property>
  <property fmtid="{D5CDD505-2E9C-101B-9397-08002B2CF9AE}" pid="9" name="MSIP_Label_3b623b29-abd1-4de3-a20c-27566d79b7c7_Method">
    <vt:lpwstr>Standard</vt:lpwstr>
  </property>
  <property fmtid="{D5CDD505-2E9C-101B-9397-08002B2CF9AE}" pid="10" name="MSIP_Label_3b623b29-abd1-4de3-a20c-27566d79b7c7_Name">
    <vt:lpwstr>3b623b29-abd1-4de3-a20c-27566d79b7c7</vt:lpwstr>
  </property>
  <property fmtid="{D5CDD505-2E9C-101B-9397-08002B2CF9AE}" pid="11" name="MSIP_Label_3b623b29-abd1-4de3-a20c-27566d79b7c7_SiteId">
    <vt:lpwstr>cbede638-a3d9-459f-8f4e-24ced73b4e5e</vt:lpwstr>
  </property>
  <property fmtid="{D5CDD505-2E9C-101B-9397-08002B2CF9AE}" pid="12" name="MSIP_Label_3b623b29-abd1-4de3-a20c-27566d79b7c7_ActionId">
    <vt:lpwstr>033622f0-5b6b-4814-bfdd-37258bbbb2f4</vt:lpwstr>
  </property>
  <property fmtid="{D5CDD505-2E9C-101B-9397-08002B2CF9AE}" pid="13" name="MSIP_Label_3b623b29-abd1-4de3-a20c-27566d79b7c7_ContentBits">
    <vt:lpwstr>0</vt:lpwstr>
  </property>
  <property fmtid="{D5CDD505-2E9C-101B-9397-08002B2CF9AE}" pid="14" name="MSIP_Label_3b623b29-abd1-4de3-a20c-27566d79b7c7_Tag">
    <vt:lpwstr>10, 3, 0, 1</vt:lpwstr>
  </property>
  <property fmtid="{D5CDD505-2E9C-101B-9397-08002B2CF9AE}" pid="15" name="ContentTypeId">
    <vt:lpwstr>0x01010080A79B4EB1669F4381C5F4EC5A6F8D44</vt:lpwstr>
  </property>
</Properties>
</file>