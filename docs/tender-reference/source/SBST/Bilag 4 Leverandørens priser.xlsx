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tietoevry.sharepoint.com/sites/Udbud/Shared Documents/Social- og Boligstyrelsen/Udbud 2026/3. Modtaget Udbudsmateriale/"/>
    </mc:Choice>
  </mc:AlternateContent>
  <xr:revisionPtr revIDLastSave="19" documentId="13_ncr:1_{DC84ED8A-45BB-46F5-9485-269CB14ED1B0}" xr6:coauthVersionLast="47" xr6:coauthVersionMax="47" xr10:uidLastSave="{F1CBC66D-161F-42D5-BA95-9603C0401EAB}"/>
  <bookViews>
    <workbookView minimized="1" xWindow="-22605" yWindow="3420" windowWidth="6360" windowHeight="4005" activeTab="1" xr2:uid="{065FD1B0-0408-4BB8-B222-C88095DB6BB4}"/>
  </bookViews>
  <sheets>
    <sheet name="1. Vejledning" sheetId="8" r:id="rId1"/>
    <sheet name="2. Leverandørens priser" sheetId="5" r:id="rId2"/>
    <sheet name="3. Eksempel" sheetId="7" r:id="rId3"/>
  </sheets>
  <externalReferences>
    <externalReference r:id="rId4"/>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E64" i="5" l="1"/>
  <c r="E61" i="5"/>
  <c r="K61" i="5" s="1"/>
  <c r="K84" i="5"/>
  <c r="K60" i="5"/>
  <c r="K36" i="5"/>
  <c r="K55" i="5"/>
  <c r="K54" i="5"/>
  <c r="K80" i="5"/>
  <c r="K79" i="5"/>
  <c r="K78" i="5"/>
  <c r="K27" i="5"/>
  <c r="K77" i="5"/>
  <c r="J79" i="5"/>
  <c r="J78" i="5"/>
  <c r="J77" i="5"/>
  <c r="K76" i="5"/>
  <c r="J76" i="5"/>
  <c r="K75" i="5"/>
  <c r="J75" i="5"/>
  <c r="K59" i="5"/>
  <c r="K70" i="5"/>
  <c r="K69" i="5"/>
  <c r="K64" i="5"/>
  <c r="K63" i="5"/>
  <c r="K62" i="5"/>
  <c r="K53" i="5"/>
  <c r="K52" i="5"/>
  <c r="K51" i="5"/>
  <c r="K50" i="5"/>
  <c r="K49" i="5"/>
  <c r="K48" i="5"/>
  <c r="K47" i="5"/>
  <c r="K28" i="5"/>
  <c r="K29" i="5"/>
  <c r="K30" i="5"/>
  <c r="K31" i="5"/>
  <c r="K37" i="5"/>
  <c r="K38" i="5"/>
  <c r="K39" i="5"/>
  <c r="K40" i="5"/>
  <c r="K41" i="5"/>
  <c r="K42" i="5"/>
  <c r="K81" i="5" l="1"/>
  <c r="K65" i="5"/>
  <c r="K71" i="5"/>
  <c r="K32" i="5"/>
  <c r="K43" i="5"/>
  <c r="J17" i="7" l="1"/>
  <c r="J18" i="7"/>
  <c r="J19" i="7"/>
  <c r="J20" i="7"/>
  <c r="J21" i="7"/>
  <c r="J22" i="7"/>
  <c r="K17" i="5" l="1"/>
  <c r="K18" i="5"/>
  <c r="K19" i="5"/>
  <c r="K20" i="5"/>
  <c r="K21" i="5"/>
  <c r="K22" i="5"/>
  <c r="K17" i="7"/>
  <c r="K18" i="7"/>
  <c r="K16" i="7"/>
  <c r="K16" i="5" l="1"/>
  <c r="K39" i="7" l="1"/>
  <c r="K40" i="7"/>
  <c r="K41" i="7"/>
  <c r="K42" i="7"/>
  <c r="K43" i="7"/>
  <c r="K44" i="7"/>
  <c r="K38" i="7"/>
  <c r="K33" i="7"/>
  <c r="K32" i="7"/>
  <c r="K31" i="7"/>
  <c r="K30" i="7"/>
  <c r="K29" i="7"/>
  <c r="K28" i="7"/>
  <c r="K27" i="7"/>
  <c r="K22" i="7"/>
  <c r="K21" i="7"/>
  <c r="K20" i="7"/>
  <c r="K19" i="7"/>
  <c r="J16" i="7"/>
  <c r="K11" i="7"/>
  <c r="K10" i="7"/>
  <c r="K9" i="7"/>
  <c r="K8" i="7"/>
  <c r="K7" i="7"/>
  <c r="K6" i="7"/>
  <c r="K5" i="7"/>
  <c r="K6" i="5"/>
  <c r="K7" i="5"/>
  <c r="K8" i="5"/>
  <c r="K9" i="5"/>
  <c r="K10" i="5"/>
  <c r="K11" i="5"/>
  <c r="K5" i="5"/>
  <c r="K45" i="7" l="1"/>
  <c r="K34" i="7"/>
  <c r="K23" i="7"/>
  <c r="K12" i="7"/>
  <c r="J17" i="5"/>
  <c r="J18" i="5"/>
  <c r="J19" i="5"/>
  <c r="J20" i="5"/>
  <c r="J21" i="5"/>
  <c r="J22" i="5"/>
  <c r="J16" i="5"/>
  <c r="K12" i="5"/>
  <c r="K48" i="7" l="1"/>
  <c r="M48" i="7" s="1"/>
  <c r="K23" i="5"/>
  <c r="M84" i="5" s="1"/>
</calcChain>
</file>

<file path=xl/sharedStrings.xml><?xml version="1.0" encoding="utf-8"?>
<sst xmlns="http://schemas.openxmlformats.org/spreadsheetml/2006/main" count="190" uniqueCount="108">
  <si>
    <t>Antal måneder</t>
  </si>
  <si>
    <t>Beskrivelse af ydelsen</t>
  </si>
  <si>
    <t>Antal timer</t>
  </si>
  <si>
    <t>Evt. kommentar</t>
  </si>
  <si>
    <t>Leverandørens priser</t>
  </si>
  <si>
    <t>1. Tidsubegrænsede licenser/eje</t>
  </si>
  <si>
    <t>2. Tidsbegrænsede licenser/abonnement/leje</t>
  </si>
  <si>
    <t>3. Ydelser (specificeret)</t>
  </si>
  <si>
    <t>4. Ydelser (uspecificeret)</t>
  </si>
  <si>
    <t>SKU-nummer</t>
  </si>
  <si>
    <t>5. Samlet evalueringsteknisk pris</t>
  </si>
  <si>
    <t>EKSEMPEL - UDFYLDT AF KUNDEN (GRØNNE FELTER) OG EFTERFØLGENDE AF LEVERANDØREN (GULE FELTER)</t>
  </si>
  <si>
    <t>321654-DEF</t>
  </si>
  <si>
    <t>Delta softwarepakke 1</t>
  </si>
  <si>
    <t>123789-ABC</t>
  </si>
  <si>
    <t>Ajax cloud softwarepakke 1</t>
  </si>
  <si>
    <t>Heraf udgør Kundebetaling (1%)</t>
  </si>
  <si>
    <t xml:space="preserve">Beløb, som indgår i den evalueringstekniske pris    </t>
  </si>
  <si>
    <t xml:space="preserve">Beløb, som indgår i den evalueringstekniske pris:    </t>
  </si>
  <si>
    <t>Pris pr. licens ex. moms DKK</t>
  </si>
  <si>
    <t>Pris pr. time ex. moms DKK</t>
  </si>
  <si>
    <t>Pris pr. ydelse ex. moms DKK</t>
  </si>
  <si>
    <t>Overskrifter</t>
  </si>
  <si>
    <t>Underoverskrifter</t>
  </si>
  <si>
    <t>Kundens oplysninger vedr. tilbudte varelinjer</t>
  </si>
  <si>
    <t xml:space="preserve">Betegnelse </t>
  </si>
  <si>
    <t>Betegnelse</t>
  </si>
  <si>
    <t>Antal licenser</t>
  </si>
  <si>
    <t>Pris i alt for licenser ex. moms ("Antal licenser" * "Pris pr. licens") DKK</t>
  </si>
  <si>
    <t>Uddannelse af superbrugere</t>
  </si>
  <si>
    <t>Implementering</t>
  </si>
  <si>
    <t xml:space="preserve">Beløb, som udgør den samlede evalueringstekniske pris og dermed danner grundlaget for kundens evaluering af pris:    </t>
  </si>
  <si>
    <t>Virksomhedsnavn:</t>
  </si>
  <si>
    <t>Samlet pris pr. ydelse ex. moms ("Antal timer" * "Pris pr. time") DKK</t>
  </si>
  <si>
    <t>Pris pr. licens pr. år ("Pris pr licens pr. måned" * 12) DKK</t>
  </si>
  <si>
    <t>Herunder er det væsentligt nedenfor i forklaringen til tilbudsgiver, at gøre rede for udfyldelse af de enkelte kolonner og forklare, hvad kolonner med ”kommentarer” må bruges til (herunder at feltet ikke kan indgå i Kundens evaluering).
Det er hensigtsmæssigt at låse arket, så kun de felter tilbudsgiver skal udfylde (de gule), er tilgængelige for tilbudsgiverne.</t>
  </si>
  <si>
    <t>Pris pr. licens pr. måned ex. moms DKK</t>
  </si>
  <si>
    <t>Pris pr. licens ekskl. moms DKK</t>
  </si>
  <si>
    <t>Pris pr. licens pr. måned ekskl. moms DKK</t>
  </si>
  <si>
    <t>Pris i alt for licenser ekskl. moms ("Antal licenser" * "Pris pr. licens") DKK</t>
  </si>
  <si>
    <t>Nedenstående vejledning til tilbudsgiver tilrettes i relevant omfang af kunden i forhold til den konkrete anskaffelse og konkrete prismodel.</t>
  </si>
  <si>
    <r>
      <rPr>
        <b/>
        <sz val="11"/>
        <color theme="1"/>
        <rFont val="Calibri"/>
        <family val="2"/>
        <scheme val="minor"/>
      </rPr>
      <t>Vejledning til tilbudsgiver</t>
    </r>
    <r>
      <rPr>
        <sz val="11"/>
        <color theme="1"/>
        <rFont val="Calibri"/>
        <family val="2"/>
        <scheme val="minor"/>
      </rPr>
      <t xml:space="preserve">
Anvendte farvekoder:
De gule felter udfyldes af Leverandøren.
Der gøres opmærksom på, at alle priser skal tilbydes i DKK og at priserne jf. bilag 7 Trepartsaftale, skal omfatte ”kundebetaling” på 1%.</t>
    </r>
  </si>
  <si>
    <t>Udfyldes af tilbudsgiver</t>
  </si>
  <si>
    <t>Pris pr. time ekskl. moms DKK</t>
  </si>
  <si>
    <t>De gule felter udfyldes af tilbudsgiver.
Der gøres opmærksom på, at alle priser skal tilbydes, ekskl. moms, i DKK og at priserne jf. bilag 7 Trepartsaftale, skal omfatte ”kundebetaling” på 1%.</t>
  </si>
  <si>
    <t>Pris pr. ydelse ekskl. moms DKK</t>
  </si>
  <si>
    <t>Samlet pris pr. ydelse ekskl. moms ("Antal timer" * "Pris pr. time") DKK</t>
  </si>
  <si>
    <r>
      <t>Heraf udgør Kundebetaling (1%)</t>
    </r>
    <r>
      <rPr>
        <sz val="12"/>
        <color theme="0"/>
        <rFont val="Calibri"/>
        <family val="2"/>
        <scheme val="minor"/>
      </rPr>
      <t xml:space="preserve"> (samlet evalueringsteknisk pris * 0,01)</t>
    </r>
  </si>
  <si>
    <t>Beskrivelse af ydelsen, jf. bilag 1</t>
  </si>
  <si>
    <t>Evt. henvisning til beskrivelse af softwarefunktionalitet jf. bilag 1</t>
  </si>
  <si>
    <t>Yderligere information</t>
  </si>
  <si>
    <t>Overvågningssoftware</t>
  </si>
  <si>
    <t>Se bilag 1 punkt 2.1.2</t>
  </si>
  <si>
    <t>Pris i alt for licenser i perioden ekskl. moms  ("Antal licenser" * "Antal måneder" * "Pris pr. licens pr. måned") DKK</t>
  </si>
  <si>
    <t>Pris i alt for licenser i perioden ex. moms ("Antal licenser" * "Antal måneder" * "Pris pr. licens pr. måned måned") DKK</t>
  </si>
  <si>
    <r>
      <rPr>
        <b/>
        <i/>
        <sz val="11"/>
        <color rgb="FFFF0000"/>
        <rFont val="Calibri"/>
        <family val="2"/>
        <scheme val="minor"/>
      </rPr>
      <t>Formål med bilaget</t>
    </r>
    <r>
      <rPr>
        <i/>
        <sz val="11"/>
        <color rgb="FFFF0000"/>
        <rFont val="Calibri"/>
        <family val="2"/>
        <scheme val="minor"/>
      </rPr>
      <t xml:space="preserve">
Dette bilag har til formål at sikre, at de tilbudte priser er tilbudt i henhold til Kundens valgte kriterier og med de ønskede priselementer. På denne måde sikres, at tilbudte priser kan prisevalueres indenfor de gældende rammer. 
Bilaget kan anvendes til indkøb både i kategori 1 ”Pris” og kategori 2 ”Bedste forhold mellem pris og kvalitet”: 
-	Ved indkøb i kategori 1 skal prismodellen alene vise, hvilket tilbud, der har den laveste Evalueringstekniske pris (samlet pris udregnet på basis af opsatte kriterier).
-	Ved indkøb i kategori 2, skal prismodellen også vise den evalueringstekniske pris, som i dette tilfælde anvendes til at identificere, hvilket tilbud der har den laveste pris pr. kvalitetspoint. 
Udregning af pris pr. kvalitetspoint kan med fordel ske ved at anvende SKI’s evalueringsværktøj.
Da det forudsættes, at hver enkelt indkøb vil skulle bestå af meget forskelligartede priselementer, er bilaget udarbejdet med henblik på at </t>
    </r>
    <r>
      <rPr>
        <i/>
        <u/>
        <sz val="11"/>
        <color rgb="FFFF0000"/>
        <rFont val="Calibri"/>
        <family val="2"/>
        <scheme val="minor"/>
      </rPr>
      <t>skulle tilpasses de konkrete behov ved hver enkelt anskaffelse</t>
    </r>
    <r>
      <rPr>
        <i/>
        <sz val="11"/>
        <color rgb="FFFF0000"/>
        <rFont val="Calibri"/>
        <family val="2"/>
        <scheme val="minor"/>
      </rPr>
      <t xml:space="preserve">.
</t>
    </r>
    <r>
      <rPr>
        <b/>
        <i/>
        <sz val="11"/>
        <color rgb="FFFF0000"/>
        <rFont val="Calibri"/>
        <family val="2"/>
        <scheme val="minor"/>
      </rPr>
      <t>Opbygning af bilaget:</t>
    </r>
    <r>
      <rPr>
        <i/>
        <sz val="11"/>
        <color rgb="FFFF0000"/>
        <rFont val="Calibri"/>
        <family val="2"/>
        <scheme val="minor"/>
      </rPr>
      <t xml:space="preserve">
-	Fane ”1: Vejledning” (vejledning til kunden slettes fra miniudbudsmaterialet, vejledning til leverandøren tilpasses i relevant omfang)
-	Fane ”2: Tilbudte priser” (tilpasses konkret anskaffelse og fremsendes sammen med øvrigt miniudbudsmateriale)
-	Fane ”3: Eksempel” (til inspiration, anvendes ikke i miniudbudsmaterialet)
</t>
    </r>
    <r>
      <rPr>
        <b/>
        <i/>
        <sz val="11"/>
        <color rgb="FFFF0000"/>
        <rFont val="Calibri"/>
        <family val="2"/>
        <scheme val="minor"/>
      </rPr>
      <t xml:space="preserve">
Anvendelse af bilaget</t>
    </r>
    <r>
      <rPr>
        <i/>
        <sz val="11"/>
        <color rgb="FFFF0000"/>
        <rFont val="Calibri"/>
        <family val="2"/>
        <scheme val="minor"/>
      </rPr>
      <t xml:space="preserve">
Det er væsentligt, at det endelige bilag, der inkluderes i udbudsmaterialet, er opbygget, så de indkomne tilbud kan evalueres som forudsat. Herunder skal følgende sikres:
-	Det skal efter læsning af bilag 1 og prismodellen i nærværende bilag stå klart for tilbudsgiver, hvad der skal tilbydes og hvordan priserne skal anføres i tilbuddet.
-	Modellen udregner den evalueringstekniske pris på tværs af relevante prisparametre (licenser til leje, licenser til eje, timer, ydelser mm).
-	Det står klart, hvordan den evalueringstekniske pris udregnes (beregnet på estimeret forbrug eller en samlet fast tilbudssum)
-	Eventuelle optioner skal indgå i tilbudsprisen og skal medregnes i den samlede pris / den evalueringstekniske pris. 
-	Modellen omfatter alle relevante kolonner, som tilbudsgiver skal bruge for at afgive et korrekt tilbud (på pris) i forhold til, hvad der efterspørges i de øvrige bilag.
-	Såfremt der ønskes inddraget skifteomkostninger, skal dette ske indenfor de almindelige udbudsretlige rammer og det skal klart fremgå i tilbudsarket, hvordan skifteomkostninger inddrages.
Det anbefales, at Kunden ved tilpasninger af arket i fane 2 følger den systematik, som nu er anvendt og som fremgår i nedenstående udkast til Vejledning til tilbudsgiver:</t>
    </r>
  </si>
  <si>
    <t>Standardsoftwaren inkl. support og vedligehold</t>
  </si>
  <si>
    <t>Forlængelse af Kontraktens varighed med et (1) år</t>
  </si>
  <si>
    <t>Forlængelse af Kontraktens varighed med yderligere et (1) år</t>
  </si>
  <si>
    <t>Aflevering til Rigsarkivet</t>
  </si>
  <si>
    <t>Ydelsen omfatter Leverandørens tekniske bistand til Kunden ifm. Leverandørens Aflevering til Rigsarkivet.
Andre former for bistand til aflevering afregnes efter medgået tid jf. timeprisen angivet i nærværende bilag.</t>
  </si>
  <si>
    <t>Estimeret antal ydelser i aftaleperioden</t>
  </si>
  <si>
    <t>Kundens omkostning pr. time ekskl. Moms DKK</t>
  </si>
  <si>
    <t>Estimeret antal timer</t>
  </si>
  <si>
    <t>Samlet omkostning pr. ydelse ekskl. moms (Omkostning pr. Time*Estimeret antal timer) DKK</t>
  </si>
  <si>
    <t>Interne omkostninger relateret til Kundens deltagelse</t>
  </si>
  <si>
    <t>Kundens deltagelse i installation og implementering af Standardsoftware og Kundespecifikt programmel</t>
  </si>
  <si>
    <t>Kundens deltagelse i konfiguration, tilpasning og test af Standardsoftware og Kundespecifikt programmel</t>
  </si>
  <si>
    <t>Kundens deltagelse i migrering af data fra Kundens Eksisterende System til systemet omfattet af Leverancen</t>
  </si>
  <si>
    <t>Kundens deltagelse i udarbejdelse af dokumentation</t>
  </si>
  <si>
    <t>Kundens deltagelse i uddannelse</t>
  </si>
  <si>
    <t>Estimeret omkostning for Kunden ekskl. moms DKK</t>
  </si>
  <si>
    <t>Relevant?</t>
  </si>
  <si>
    <t>Samlet omkostning pr. ydelse ekskl. moms DKK (afhængig af relevans)</t>
  </si>
  <si>
    <t>Kundens omkostninger til ekstraordinær aflevering til Rigsarkivet</t>
  </si>
  <si>
    <t>Kundens øvrige omstillingsomkostninger</t>
  </si>
  <si>
    <t>Ydelsen indeholder omkostninger til Statens It samt kodeændring i kundespecifik programel</t>
  </si>
  <si>
    <t>5. Leverandørens indledende ydelser - Engangsvederlag</t>
  </si>
  <si>
    <t>8. Samlet evalueringsteknisk pris</t>
  </si>
  <si>
    <t>8. Optioner</t>
  </si>
  <si>
    <t xml:space="preserve">Vederlag for evt. anskaffelse af Kundespecifikt programmel </t>
  </si>
  <si>
    <t xml:space="preserve">Vederlag for installation og implementering af Standardaofsware og Kundespecifikt programmel </t>
  </si>
  <si>
    <t xml:space="preserve">Vederlag for konfiguration, tilpasning og test af Standardsoftware og Kundespecifikt programmel </t>
  </si>
  <si>
    <t>Vederlag for migrering af data fra Kundens eksisterende system til systemet omfattet af leverancen</t>
  </si>
  <si>
    <t>Vederlag for udarbejdelse for dokumentation</t>
  </si>
  <si>
    <t>Vederlag for uddannelse af kundens brugere</t>
  </si>
  <si>
    <t>Ekstraordinær aflevering til Rigsarkivet ifm. skift af ESDH-system</t>
  </si>
  <si>
    <t>App til mobiltelefoner</t>
  </si>
  <si>
    <t>App til tablet</t>
  </si>
  <si>
    <t>Standardlicens er nærmere beskrevet på Bilag 1, 2.1.1</t>
  </si>
  <si>
    <t>Kunden skal bruge 150 licenser til mobiltelefon</t>
  </si>
  <si>
    <t>Kunden skal bruge 10 licenser til tablets</t>
  </si>
  <si>
    <t>Vederlag for gennemførelse af den indledende dialog m. Kunden</t>
  </si>
  <si>
    <t>Kundens deltagelse i den indledende dialog</t>
  </si>
  <si>
    <t>6. Kundens variable skifteomkostninger</t>
  </si>
  <si>
    <t>7. Kundens faste skifteomkostninger</t>
  </si>
  <si>
    <t>Timepris vedr. ydelsesområde 4, jf. Bilag 1</t>
  </si>
  <si>
    <t>Timepris vedr. ydelsesområde 5, jf. Bilag 1</t>
  </si>
  <si>
    <t>Timepris vedr. ophørsydelser, jf. Bilag 10</t>
  </si>
  <si>
    <t>Vederlag for uddannelse af superbrugere</t>
  </si>
  <si>
    <t>App til mobiltelefoner v. brug af forlængelsesoption (1 år)</t>
  </si>
  <si>
    <t>App til tablet v. brug af forlængelsesoption (1 år)</t>
  </si>
  <si>
    <t>App til mobiltelefoner v. forlængelse med yderligere et (1) år</t>
  </si>
  <si>
    <t>App til tablet v. forlængelse med yderligere et (1) år</t>
  </si>
  <si>
    <t>jf. pkt. 3.1.1</t>
  </si>
  <si>
    <t>Undervisning</t>
  </si>
  <si>
    <t>Rådgivning</t>
  </si>
  <si>
    <t>Ja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</si>
</sst>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_(* #,##0_);_(* \(#,##0\);_(* &quot;-&quot;??_);_(@_)"/>
  </numFmts>
  <fonts count="18" x14ac:knownFonts="1">
    <font>
      <sz val="11"/>
      <color theme="1"/>
      <name val="Calibri"/>
      <family val="2"/>
      <scheme val="minor"/>
    </font>
    <font>
      <b/>
      <sz val="14"/>
      <color theme="1"/>
      <name val="Calibri"/>
      <family val="2"/>
      <scheme val="minor"/>
    </font>
    <font>
      <b/>
      <sz val="11"/>
      <color theme="1"/>
      <name val="Calibri"/>
      <family val="2"/>
      <scheme val="minor"/>
    </font>
    <font>
      <i/>
      <sz val="11"/>
      <color theme="1"/>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b/>
      <sz val="14"/>
      <color theme="0"/>
      <name val="Calibri"/>
      <family val="2"/>
      <scheme val="minor"/>
    </font>
    <font>
      <sz val="14"/>
      <color theme="0"/>
      <name val="Calibri"/>
      <family val="2"/>
      <scheme val="minor"/>
    </font>
    <font>
      <b/>
      <sz val="16"/>
      <color theme="1"/>
      <name val="Calibri"/>
      <family val="2"/>
      <scheme val="minor"/>
    </font>
    <font>
      <b/>
      <i/>
      <sz val="11"/>
      <color rgb="FFFF0000"/>
      <name val="Calibri"/>
      <family val="2"/>
      <scheme val="minor"/>
    </font>
    <font>
      <sz val="11"/>
      <color theme="1"/>
      <name val="Calibri"/>
      <family val="2"/>
      <scheme val="minor"/>
    </font>
    <font>
      <b/>
      <sz val="16"/>
      <color rgb="FFFF0000"/>
      <name val="Calibri"/>
      <family val="2"/>
      <scheme val="minor"/>
    </font>
    <font>
      <i/>
      <sz val="11"/>
      <color rgb="FFFF0000"/>
      <name val="Calibri"/>
      <family val="2"/>
      <scheme val="minor"/>
    </font>
    <font>
      <sz val="11"/>
      <color theme="0"/>
      <name val="Calibri"/>
      <family val="2"/>
      <scheme val="minor"/>
    </font>
    <font>
      <sz val="10"/>
      <color theme="1"/>
      <name val="Arial"/>
      <family val="2"/>
    </font>
    <font>
      <i/>
      <sz val="10"/>
      <color rgb="FFFF0000"/>
      <name val="Arial"/>
      <family val="2"/>
    </font>
    <font>
      <i/>
      <u/>
      <sz val="11"/>
      <color rgb="FFFF0000"/>
      <name val="Calibri"/>
      <family val="2"/>
      <scheme val="minor"/>
    </font>
  </fonts>
  <fills count="9">
    <fill>
      <patternFill patternType="none"/>
    </fill>
    <fill>
      <patternFill patternType="gray125"/>
    </fill>
    <fill>
      <patternFill patternType="solid">
        <fgColor theme="4" tint="0.89999084444715716"/>
        <bgColor indexed="64"/>
      </patternFill>
    </fill>
    <fill>
      <patternFill patternType="solid">
        <fgColor theme="0" tint="-0.14999847407452621"/>
        <bgColor indexed="64"/>
      </patternFill>
    </fill>
    <fill>
      <patternFill patternType="solid">
        <fgColor rgb="FFFFFF00"/>
        <bgColor indexed="64"/>
      </patternFill>
    </fill>
    <fill>
      <patternFill patternType="solid">
        <fgColor theme="0"/>
        <bgColor indexed="64"/>
      </patternFill>
    </fill>
    <fill>
      <patternFill patternType="solid">
        <fgColor theme="3"/>
        <bgColor indexed="64"/>
      </patternFill>
    </fill>
    <fill>
      <patternFill patternType="solid">
        <fgColor rgb="FFC2E7DE"/>
        <bgColor indexed="64"/>
      </patternFill>
    </fill>
    <fill>
      <patternFill patternType="solid">
        <fgColor theme="0" tint="-4.9989318521683403E-2"/>
        <bgColor indexed="64"/>
      </patternFill>
    </fill>
  </fills>
  <borders count="2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thin">
        <color indexed="64"/>
      </top>
      <bottom style="medium">
        <color indexed="64"/>
      </bottom>
      <diagonal/>
    </border>
    <border>
      <left/>
      <right/>
      <top style="thin">
        <color indexed="64"/>
      </top>
      <bottom style="medium">
        <color indexed="64"/>
      </bottom>
      <diagonal/>
    </border>
  </borders>
  <cellStyleXfs count="2">
    <xf numFmtId="0" fontId="0" fillId="0" borderId="0"/>
    <xf numFmtId="43" fontId="11" fillId="0" borderId="0" applyFont="0" applyFill="0" applyBorder="0" applyAlignment="0" applyProtection="0"/>
  </cellStyleXfs>
  <cellXfs count="85">
    <xf numFmtId="0" fontId="0" fillId="0" borderId="0" xfId="0"/>
    <xf numFmtId="2" fontId="0" fillId="0" borderId="0" xfId="0" applyNumberFormat="1"/>
    <xf numFmtId="2" fontId="0" fillId="2" borderId="1" xfId="0" applyNumberFormat="1" applyFill="1" applyBorder="1"/>
    <xf numFmtId="2" fontId="0" fillId="4" borderId="2" xfId="0" applyNumberFormat="1" applyFill="1" applyBorder="1" applyAlignment="1">
      <alignment wrapText="1"/>
    </xf>
    <xf numFmtId="2" fontId="0" fillId="3" borderId="1" xfId="0" applyNumberFormat="1" applyFill="1" applyBorder="1"/>
    <xf numFmtId="2" fontId="0" fillId="4" borderId="1" xfId="0" applyNumberFormat="1" applyFill="1" applyBorder="1" applyAlignment="1">
      <alignment wrapText="1"/>
    </xf>
    <xf numFmtId="2" fontId="0" fillId="3" borderId="1" xfId="0" applyNumberFormat="1" applyFill="1" applyBorder="1" applyAlignment="1">
      <alignment wrapText="1"/>
    </xf>
    <xf numFmtId="2" fontId="0" fillId="2" borderId="1" xfId="0" applyNumberFormat="1" applyFill="1" applyBorder="1" applyAlignment="1">
      <alignment wrapText="1"/>
    </xf>
    <xf numFmtId="0" fontId="0" fillId="5" borderId="0" xfId="0" applyFill="1"/>
    <xf numFmtId="2" fontId="0" fillId="4" borderId="11" xfId="0" applyNumberFormat="1" applyFill="1" applyBorder="1" applyAlignment="1">
      <alignment wrapText="1"/>
    </xf>
    <xf numFmtId="2" fontId="0" fillId="4" borderId="12" xfId="0" applyNumberFormat="1" applyFill="1" applyBorder="1" applyAlignment="1">
      <alignment wrapText="1"/>
    </xf>
    <xf numFmtId="2" fontId="0" fillId="3" borderId="11" xfId="0" applyNumberFormat="1" applyFill="1" applyBorder="1"/>
    <xf numFmtId="2" fontId="3" fillId="2" borderId="1" xfId="0" applyNumberFormat="1" applyFont="1" applyFill="1" applyBorder="1" applyAlignment="1">
      <alignment wrapText="1"/>
    </xf>
    <xf numFmtId="2" fontId="0" fillId="2" borderId="10" xfId="0" applyNumberFormat="1" applyFill="1" applyBorder="1" applyAlignment="1">
      <alignment horizontal="left"/>
    </xf>
    <xf numFmtId="2" fontId="0" fillId="3" borderId="1" xfId="0" applyNumberFormat="1" applyFill="1" applyBorder="1" applyAlignment="1">
      <alignment horizontal="left" wrapText="1"/>
    </xf>
    <xf numFmtId="2" fontId="0" fillId="2" borderId="10" xfId="0" applyNumberFormat="1" applyFill="1" applyBorder="1"/>
    <xf numFmtId="2" fontId="0" fillId="2" borderId="13" xfId="0" applyNumberFormat="1" applyFill="1" applyBorder="1"/>
    <xf numFmtId="2" fontId="0" fillId="2" borderId="3" xfId="0" applyNumberFormat="1" applyFill="1" applyBorder="1"/>
    <xf numFmtId="2" fontId="5" fillId="6" borderId="0" xfId="0" applyNumberFormat="1" applyFont="1" applyFill="1"/>
    <xf numFmtId="2" fontId="6" fillId="6" borderId="0" xfId="0" applyNumberFormat="1" applyFont="1" applyFill="1"/>
    <xf numFmtId="2" fontId="4" fillId="0" borderId="0" xfId="0" applyNumberFormat="1" applyFont="1"/>
    <xf numFmtId="2" fontId="0" fillId="5" borderId="0" xfId="0" applyNumberFormat="1" applyFill="1"/>
    <xf numFmtId="2" fontId="4" fillId="5" borderId="0" xfId="0" applyNumberFormat="1" applyFont="1" applyFill="1"/>
    <xf numFmtId="2" fontId="7" fillId="6" borderId="4" xfId="0" applyNumberFormat="1" applyFont="1" applyFill="1" applyBorder="1"/>
    <xf numFmtId="2" fontId="8" fillId="6" borderId="5" xfId="0" applyNumberFormat="1" applyFont="1" applyFill="1" applyBorder="1"/>
    <xf numFmtId="2" fontId="8" fillId="6" borderId="6" xfId="0" applyNumberFormat="1" applyFont="1" applyFill="1" applyBorder="1"/>
    <xf numFmtId="2" fontId="9" fillId="5" borderId="0" xfId="0" applyNumberFormat="1" applyFont="1" applyFill="1"/>
    <xf numFmtId="2" fontId="7" fillId="6" borderId="17" xfId="0" applyNumberFormat="1" applyFont="1" applyFill="1" applyBorder="1"/>
    <xf numFmtId="2" fontId="0" fillId="7" borderId="2" xfId="0" applyNumberFormat="1" applyFill="1" applyBorder="1"/>
    <xf numFmtId="2" fontId="0" fillId="7" borderId="12" xfId="0" applyNumberFormat="1" applyFill="1" applyBorder="1"/>
    <xf numFmtId="1" fontId="0" fillId="4" borderId="1" xfId="0" applyNumberFormat="1" applyFill="1" applyBorder="1" applyAlignment="1">
      <alignment wrapText="1"/>
    </xf>
    <xf numFmtId="1" fontId="0" fillId="4" borderId="11" xfId="0" applyNumberFormat="1" applyFill="1" applyBorder="1" applyAlignment="1">
      <alignment wrapText="1"/>
    </xf>
    <xf numFmtId="2" fontId="12" fillId="5" borderId="0" xfId="0" applyNumberFormat="1" applyFont="1" applyFill="1"/>
    <xf numFmtId="2" fontId="0" fillId="7" borderId="2" xfId="0" applyNumberFormat="1" applyFill="1" applyBorder="1" applyAlignment="1">
      <alignment wrapText="1"/>
    </xf>
    <xf numFmtId="1" fontId="0" fillId="7" borderId="2" xfId="0" applyNumberFormat="1" applyFill="1" applyBorder="1"/>
    <xf numFmtId="1" fontId="0" fillId="7" borderId="12" xfId="0" applyNumberFormat="1" applyFill="1" applyBorder="1"/>
    <xf numFmtId="43" fontId="0" fillId="4" borderId="1" xfId="1" applyFont="1" applyFill="1" applyBorder="1" applyAlignment="1">
      <alignment wrapText="1"/>
    </xf>
    <xf numFmtId="43" fontId="0" fillId="4" borderId="11" xfId="1" applyFont="1" applyFill="1" applyBorder="1" applyAlignment="1">
      <alignment wrapText="1"/>
    </xf>
    <xf numFmtId="43" fontId="0" fillId="4" borderId="2" xfId="1" applyFont="1" applyFill="1" applyBorder="1" applyAlignment="1">
      <alignment wrapText="1"/>
    </xf>
    <xf numFmtId="43" fontId="0" fillId="3" borderId="1" xfId="1" applyFont="1" applyFill="1" applyBorder="1"/>
    <xf numFmtId="43" fontId="2" fillId="3" borderId="16" xfId="1" applyFont="1" applyFill="1" applyBorder="1"/>
    <xf numFmtId="43" fontId="1" fillId="3" borderId="9" xfId="1" applyFont="1" applyFill="1" applyBorder="1"/>
    <xf numFmtId="43" fontId="1" fillId="3" borderId="18" xfId="1" applyFont="1" applyFill="1" applyBorder="1"/>
    <xf numFmtId="164" fontId="0" fillId="7" borderId="2" xfId="1" applyNumberFormat="1" applyFont="1" applyFill="1" applyBorder="1"/>
    <xf numFmtId="164" fontId="0" fillId="7" borderId="12" xfId="1" applyNumberFormat="1" applyFont="1" applyFill="1" applyBorder="1"/>
    <xf numFmtId="2" fontId="0" fillId="0" borderId="0" xfId="0" quotePrefix="1" applyNumberFormat="1"/>
    <xf numFmtId="2" fontId="0" fillId="4" borderId="1" xfId="0" applyNumberFormat="1" applyFill="1" applyBorder="1"/>
    <xf numFmtId="2" fontId="1" fillId="8" borderId="1" xfId="0" applyNumberFormat="1" applyFont="1" applyFill="1" applyBorder="1"/>
    <xf numFmtId="0" fontId="14" fillId="6" borderId="1" xfId="0" applyFont="1" applyFill="1" applyBorder="1"/>
    <xf numFmtId="0" fontId="0" fillId="8" borderId="1" xfId="0" applyFill="1" applyBorder="1"/>
    <xf numFmtId="0" fontId="0" fillId="7" borderId="1" xfId="0" applyFill="1" applyBorder="1"/>
    <xf numFmtId="0" fontId="0" fillId="4" borderId="1" xfId="0" applyFill="1" applyBorder="1"/>
    <xf numFmtId="0" fontId="15" fillId="0" borderId="0" xfId="0" applyFont="1" applyAlignment="1">
      <alignment vertical="center"/>
    </xf>
    <xf numFmtId="0" fontId="0" fillId="0" borderId="22" xfId="0" applyBorder="1"/>
    <xf numFmtId="0" fontId="0" fillId="0" borderId="23" xfId="0" applyBorder="1"/>
    <xf numFmtId="0" fontId="0" fillId="0" borderId="26" xfId="0" applyBorder="1"/>
    <xf numFmtId="0" fontId="16" fillId="0" borderId="0" xfId="0" applyFont="1" applyAlignment="1">
      <alignment vertical="center"/>
    </xf>
    <xf numFmtId="2" fontId="7" fillId="6" borderId="17" xfId="0" applyNumberFormat="1" applyFont="1" applyFill="1" applyBorder="1" applyAlignment="1">
      <alignment wrapText="1"/>
    </xf>
    <xf numFmtId="2" fontId="3" fillId="2" borderId="1" xfId="0" applyNumberFormat="1" applyFont="1" applyFill="1" applyBorder="1"/>
    <xf numFmtId="2" fontId="2" fillId="0" borderId="0" xfId="0" applyNumberFormat="1" applyFont="1" applyAlignment="1">
      <alignment horizontal="right"/>
    </xf>
    <xf numFmtId="43" fontId="2" fillId="0" borderId="0" xfId="1" applyFont="1" applyFill="1" applyBorder="1"/>
    <xf numFmtId="1" fontId="0" fillId="7" borderId="2" xfId="0" applyNumberFormat="1" applyFill="1" applyBorder="1" applyAlignment="1">
      <alignment horizontal="center"/>
    </xf>
    <xf numFmtId="2" fontId="0" fillId="7" borderId="1" xfId="0" applyNumberFormat="1" applyFill="1" applyBorder="1"/>
    <xf numFmtId="43" fontId="2" fillId="3" borderId="9" xfId="1" applyFont="1" applyFill="1" applyBorder="1"/>
    <xf numFmtId="165" fontId="0" fillId="7" borderId="2" xfId="1" applyNumberFormat="1" applyFont="1" applyFill="1" applyBorder="1" applyAlignment="1">
      <alignment horizontal="center"/>
    </xf>
    <xf numFmtId="2" fontId="0" fillId="7" borderId="1" xfId="0" applyNumberFormat="1" applyFill="1" applyBorder="1" applyAlignment="1">
      <alignment wrapText="1"/>
    </xf>
    <xf numFmtId="2" fontId="2" fillId="3" borderId="14" xfId="0" applyNumberFormat="1" applyFont="1" applyFill="1" applyBorder="1" applyAlignment="1">
      <alignment horizontal="right"/>
    </xf>
    <xf numFmtId="2" fontId="2" fillId="3" borderId="15" xfId="0" applyNumberFormat="1" applyFont="1" applyFill="1" applyBorder="1" applyAlignment="1">
      <alignment horizontal="right"/>
    </xf>
    <xf numFmtId="2" fontId="2" fillId="3" borderId="16" xfId="0" applyNumberFormat="1" applyFont="1" applyFill="1" applyBorder="1" applyAlignment="1">
      <alignment horizontal="right"/>
    </xf>
    <xf numFmtId="2" fontId="1" fillId="3" borderId="7" xfId="0" applyNumberFormat="1" applyFont="1" applyFill="1" applyBorder="1" applyAlignment="1">
      <alignment horizontal="right"/>
    </xf>
    <xf numFmtId="2" fontId="1" fillId="3" borderId="8" xfId="0" applyNumberFormat="1" applyFont="1" applyFill="1" applyBorder="1" applyAlignment="1">
      <alignment horizontal="right"/>
    </xf>
    <xf numFmtId="2" fontId="1" fillId="3" borderId="9" xfId="0" applyNumberFormat="1" applyFont="1" applyFill="1" applyBorder="1" applyAlignment="1">
      <alignment horizontal="right"/>
    </xf>
    <xf numFmtId="2" fontId="2" fillId="3" borderId="27" xfId="0" applyNumberFormat="1" applyFont="1" applyFill="1" applyBorder="1" applyAlignment="1">
      <alignment horizontal="right"/>
    </xf>
    <xf numFmtId="2" fontId="2" fillId="3" borderId="28" xfId="0" applyNumberFormat="1" applyFont="1" applyFill="1" applyBorder="1" applyAlignment="1">
      <alignment horizontal="right"/>
    </xf>
    <xf numFmtId="0" fontId="13" fillId="0" borderId="0" xfId="0" applyFont="1" applyAlignment="1">
      <alignment horizontal="left" vertical="top" wrapText="1"/>
    </xf>
    <xf numFmtId="0" fontId="13" fillId="0" borderId="0" xfId="0" applyFont="1" applyAlignment="1">
      <alignment horizontal="left" vertical="top"/>
    </xf>
    <xf numFmtId="0" fontId="0" fillId="0" borderId="19" xfId="0" applyBorder="1" applyAlignment="1">
      <alignment horizontal="left" vertical="top" wrapText="1"/>
    </xf>
    <xf numFmtId="0" fontId="0" fillId="0" borderId="20" xfId="0" applyBorder="1" applyAlignment="1">
      <alignment horizontal="left" vertical="top"/>
    </xf>
    <xf numFmtId="0" fontId="0" fillId="0" borderId="21" xfId="0" applyBorder="1" applyAlignment="1">
      <alignment horizontal="left" vertical="top"/>
    </xf>
    <xf numFmtId="0" fontId="0" fillId="0" borderId="22" xfId="0" applyBorder="1" applyAlignment="1">
      <alignment horizontal="left" vertical="top"/>
    </xf>
    <xf numFmtId="0" fontId="0" fillId="0" borderId="0" xfId="0" applyAlignment="1">
      <alignment horizontal="left" vertical="top"/>
    </xf>
    <xf numFmtId="0" fontId="0" fillId="0" borderId="23" xfId="0" applyBorder="1" applyAlignment="1">
      <alignment horizontal="left" vertical="top"/>
    </xf>
    <xf numFmtId="0" fontId="15" fillId="0" borderId="24" xfId="0" applyFont="1" applyBorder="1" applyAlignment="1">
      <alignment horizontal="left" vertical="top" wrapText="1"/>
    </xf>
    <xf numFmtId="0" fontId="15" fillId="0" borderId="25" xfId="0" applyFont="1" applyBorder="1" applyAlignment="1">
      <alignment horizontal="left" vertical="top" wrapText="1"/>
    </xf>
    <xf numFmtId="2" fontId="0" fillId="4" borderId="1" xfId="0" applyNumberFormat="1" applyFont="1" applyFill="1" applyBorder="1" applyAlignment="1">
      <alignment wrapText="1"/>
    </xf>
  </cellXfs>
  <cellStyles count="2">
    <cellStyle name="Comma" xfId="1" builtinId="3"/>
    <cellStyle name="Normal" xfId="0" builtinId="0"/>
  </cellStyles>
  <dxfs count="0"/>
  <tableStyles count="0" defaultTableStyle="TableStyleMedium2" defaultPivotStyle="PivotStyleLight16"/>
  <colors>
    <mruColors>
      <color rgb="FFC2E7D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externalLink" Target="externalLinks/externalLink1.xml"/><Relationship Id="rId9"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9</xdr:col>
      <xdr:colOff>381000</xdr:colOff>
      <xdr:row>25</xdr:row>
      <xdr:rowOff>296333</xdr:rowOff>
    </xdr:to>
    <xdr:pic>
      <xdr:nvPicPr>
        <xdr:cNvPr id="2" name="Billede 1">
          <a:extLst>
            <a:ext uri="{FF2B5EF4-FFF2-40B4-BE49-F238E27FC236}">
              <a16:creationId xmlns:a16="http://schemas.microsoft.com/office/drawing/2014/main" id="{85FDC949-68E4-4F8C-B5EA-21195B4AF397}"/>
            </a:ext>
          </a:extLst>
        </xdr:cNvPr>
        <xdr:cNvPicPr>
          <a:picLocks noChangeAspect="1"/>
        </xdr:cNvPicPr>
      </xdr:nvPicPr>
      <xdr:blipFill>
        <a:blip xmlns:r="http://schemas.openxmlformats.org/officeDocument/2006/relationships" r:embed="rId1"/>
        <a:stretch>
          <a:fillRect/>
        </a:stretch>
      </xdr:blipFill>
      <xdr:spPr>
        <a:xfrm>
          <a:off x="0" y="1"/>
          <a:ext cx="8043333" cy="505883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1.%20Bid%20Management%20v&#230;rkt&#248;jer/Tender%20tool%20S&amp;BS.xlsx" TargetMode="External"/><Relationship Id="rId2" Type="http://schemas.openxmlformats.org/officeDocument/2006/relationships/externalLinkPath" Target="https://tietoevry.sharepoint.com/sites/Udbud/Shared%20Documents/Social-%20og%20Boligstyrelsen/Udbud%202026/1.%20Bid%20Management%20v&#230;rkt&#248;jer/Tender%20tool%20S&amp;BS.xlsx" TargetMode="External"/><Relationship Id="rId1" Type="http://schemas.openxmlformats.org/officeDocument/2006/relationships/externalLinkPath" Target="/sites/Udbud/Shared%20Documents/Social-%20og%20Boligstyrelsen/Udbud%202026/1.%20Bid%20Management%20v&#230;rkt&#248;jer/Tender%20tool%20S&amp;B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Production Plan"/>
      <sheetName val="Timeline"/>
      <sheetName val="Status"/>
      <sheetName val="Q&amp;A"/>
      <sheetName val="Commitment"/>
      <sheetName val="Risk Management"/>
      <sheetName val="Cost Drivers"/>
      <sheetName val="Pricing"/>
    </sheetNames>
    <sheetDataSet>
      <sheetData sheetId="0"/>
      <sheetData sheetId="1"/>
      <sheetData sheetId="2"/>
      <sheetData sheetId="3"/>
      <sheetData sheetId="4"/>
      <sheetData sheetId="5"/>
      <sheetData sheetId="6"/>
      <sheetData sheetId="7">
        <row r="66">
          <cell r="E66">
            <v>80</v>
          </cell>
        </row>
        <row r="67">
          <cell r="E67">
            <v>350</v>
          </cell>
        </row>
      </sheetData>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CDBB04-513D-4D43-A536-FF95AC21B20B}">
  <dimension ref="A26:N43"/>
  <sheetViews>
    <sheetView showGridLines="0" topLeftCell="A34" zoomScale="90" zoomScaleNormal="90" workbookViewId="0">
      <selection activeCell="C76" sqref="C76"/>
    </sheetView>
  </sheetViews>
  <sheetFormatPr defaultRowHeight="14.5" x14ac:dyDescent="0.35"/>
  <cols>
    <col min="3" max="3" width="41.453125" customWidth="1"/>
    <col min="14" max="14" width="19.453125" customWidth="1"/>
  </cols>
  <sheetData>
    <row r="26" spans="1:14" ht="38.25" customHeight="1" x14ac:dyDescent="0.35"/>
    <row r="27" spans="1:14" ht="394.5" customHeight="1" x14ac:dyDescent="0.35">
      <c r="A27" s="74" t="s">
        <v>55</v>
      </c>
      <c r="B27" s="75"/>
      <c r="C27" s="75"/>
      <c r="D27" s="75"/>
      <c r="E27" s="75"/>
      <c r="F27" s="75"/>
      <c r="G27" s="75"/>
      <c r="H27" s="75"/>
      <c r="I27" s="75"/>
      <c r="J27" s="75"/>
      <c r="K27" s="75"/>
      <c r="L27" s="75"/>
      <c r="M27" s="75"/>
      <c r="N27" s="75"/>
    </row>
    <row r="28" spans="1:14" x14ac:dyDescent="0.35">
      <c r="C28" s="48" t="s">
        <v>22</v>
      </c>
    </row>
    <row r="29" spans="1:14" x14ac:dyDescent="0.35">
      <c r="C29" s="49" t="s">
        <v>23</v>
      </c>
    </row>
    <row r="30" spans="1:14" x14ac:dyDescent="0.35">
      <c r="C30" s="50" t="s">
        <v>24</v>
      </c>
    </row>
    <row r="31" spans="1:14" x14ac:dyDescent="0.35">
      <c r="C31" s="51" t="s">
        <v>42</v>
      </c>
    </row>
    <row r="33" spans="1:14" ht="65.25" customHeight="1" x14ac:dyDescent="0.35">
      <c r="A33" s="74" t="s">
        <v>35</v>
      </c>
      <c r="B33" s="75"/>
      <c r="C33" s="75"/>
      <c r="D33" s="75"/>
      <c r="E33" s="75"/>
      <c r="F33" s="75"/>
      <c r="G33" s="75"/>
      <c r="H33" s="75"/>
      <c r="I33" s="75"/>
      <c r="J33" s="75"/>
      <c r="K33" s="75"/>
      <c r="L33" s="75"/>
      <c r="M33" s="75"/>
      <c r="N33" s="75"/>
    </row>
    <row r="34" spans="1:14" ht="30.75" customHeight="1" x14ac:dyDescent="0.35">
      <c r="A34" s="56" t="s">
        <v>40</v>
      </c>
    </row>
    <row r="35" spans="1:14" x14ac:dyDescent="0.35">
      <c r="A35" s="76" t="s">
        <v>41</v>
      </c>
      <c r="B35" s="77"/>
      <c r="C35" s="77"/>
      <c r="D35" s="77"/>
      <c r="E35" s="77"/>
      <c r="F35" s="77"/>
      <c r="G35" s="77"/>
      <c r="H35" s="77"/>
      <c r="I35" s="77"/>
      <c r="J35" s="77"/>
      <c r="K35" s="77"/>
      <c r="L35" s="77"/>
      <c r="M35" s="77"/>
      <c r="N35" s="78"/>
    </row>
    <row r="36" spans="1:14" x14ac:dyDescent="0.35">
      <c r="A36" s="79"/>
      <c r="B36" s="80"/>
      <c r="C36" s="80"/>
      <c r="D36" s="80"/>
      <c r="E36" s="80"/>
      <c r="F36" s="80"/>
      <c r="G36" s="80"/>
      <c r="H36" s="80"/>
      <c r="I36" s="80"/>
      <c r="J36" s="80"/>
      <c r="K36" s="80"/>
      <c r="L36" s="80"/>
      <c r="M36" s="80"/>
      <c r="N36" s="81"/>
    </row>
    <row r="37" spans="1:14" x14ac:dyDescent="0.35">
      <c r="A37" s="53"/>
      <c r="C37" s="48" t="s">
        <v>22</v>
      </c>
      <c r="N37" s="54"/>
    </row>
    <row r="38" spans="1:14" x14ac:dyDescent="0.35">
      <c r="A38" s="53"/>
      <c r="C38" s="49" t="s">
        <v>23</v>
      </c>
      <c r="N38" s="54"/>
    </row>
    <row r="39" spans="1:14" x14ac:dyDescent="0.35">
      <c r="A39" s="53"/>
      <c r="C39" s="50" t="s">
        <v>24</v>
      </c>
      <c r="N39" s="54"/>
    </row>
    <row r="40" spans="1:14" x14ac:dyDescent="0.35">
      <c r="A40" s="53"/>
      <c r="C40" s="51" t="s">
        <v>42</v>
      </c>
      <c r="N40" s="54"/>
    </row>
    <row r="41" spans="1:14" x14ac:dyDescent="0.35">
      <c r="A41" s="53"/>
      <c r="N41" s="54"/>
    </row>
    <row r="42" spans="1:14" ht="293.25" customHeight="1" x14ac:dyDescent="0.35">
      <c r="A42" s="82" t="s">
        <v>44</v>
      </c>
      <c r="B42" s="83"/>
      <c r="C42" s="83"/>
      <c r="D42" s="83"/>
      <c r="E42" s="83"/>
      <c r="F42" s="83"/>
      <c r="G42" s="83"/>
      <c r="H42" s="83"/>
      <c r="I42" s="83"/>
      <c r="J42" s="83"/>
      <c r="K42" s="83"/>
      <c r="L42" s="83"/>
      <c r="M42" s="83"/>
      <c r="N42" s="55"/>
    </row>
    <row r="43" spans="1:14" x14ac:dyDescent="0.35">
      <c r="A43" s="52"/>
    </row>
  </sheetData>
  <mergeCells count="4">
    <mergeCell ref="A27:N27"/>
    <mergeCell ref="A33:N33"/>
    <mergeCell ref="A35:N36"/>
    <mergeCell ref="A42:M42"/>
  </mergeCells>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7A2906-3114-43B8-9E49-57AEBA03039A}">
  <dimension ref="A1:M86"/>
  <sheetViews>
    <sheetView showGridLines="0" tabSelected="1" topLeftCell="A36" zoomScale="55" zoomScaleNormal="55" workbookViewId="0">
      <selection activeCell="E70" sqref="E70"/>
    </sheetView>
  </sheetViews>
  <sheetFormatPr defaultRowHeight="14.5" x14ac:dyDescent="0.35"/>
  <cols>
    <col min="1" max="1" width="4.453125" customWidth="1"/>
    <col min="2" max="2" width="69.1796875" customWidth="1"/>
    <col min="3" max="3" width="62.453125" customWidth="1"/>
    <col min="4" max="4" width="33.1796875" customWidth="1"/>
    <col min="5" max="7" width="24.453125" customWidth="1"/>
    <col min="8" max="8" width="24.81640625" customWidth="1"/>
    <col min="9" max="9" width="25.1796875" customWidth="1"/>
    <col min="10" max="10" width="19.81640625" customWidth="1"/>
    <col min="11" max="11" width="41.1796875" customWidth="1"/>
    <col min="13" max="13" width="38" customWidth="1"/>
    <col min="14" max="15" width="20.453125" customWidth="1"/>
  </cols>
  <sheetData>
    <row r="1" spans="1:13" s="1" customFormat="1" ht="21" x14ac:dyDescent="0.5">
      <c r="A1" s="21"/>
      <c r="B1" s="26" t="s">
        <v>4</v>
      </c>
      <c r="C1" s="21"/>
      <c r="D1" s="47" t="s">
        <v>32</v>
      </c>
      <c r="E1" s="46"/>
      <c r="F1" s="21"/>
      <c r="G1" s="21"/>
      <c r="H1" s="21"/>
      <c r="I1" s="21"/>
      <c r="J1" s="21"/>
    </row>
    <row r="2" spans="1:13" s="1" customFormat="1" ht="9.75" customHeight="1" x14ac:dyDescent="0.35">
      <c r="A2" s="21"/>
      <c r="B2" s="21"/>
      <c r="C2" s="21"/>
      <c r="D2" s="21"/>
      <c r="E2" s="21"/>
      <c r="F2" s="21"/>
      <c r="G2" s="21"/>
      <c r="H2" s="21"/>
      <c r="I2" s="21"/>
      <c r="J2" s="21"/>
    </row>
    <row r="3" spans="1:13" s="20" customFormat="1" ht="15.5" x14ac:dyDescent="0.35">
      <c r="A3" s="22"/>
      <c r="B3" s="18" t="s">
        <v>5</v>
      </c>
      <c r="C3" s="19"/>
      <c r="D3" s="19"/>
      <c r="E3" s="19"/>
      <c r="F3" s="19"/>
      <c r="G3" s="19"/>
      <c r="H3" s="19"/>
      <c r="I3" s="19"/>
      <c r="J3" s="19"/>
      <c r="K3" s="19"/>
    </row>
    <row r="4" spans="1:13" s="1" customFormat="1" ht="33" customHeight="1" x14ac:dyDescent="0.35">
      <c r="A4" s="21"/>
      <c r="B4" s="12" t="s">
        <v>49</v>
      </c>
      <c r="C4" s="12" t="s">
        <v>50</v>
      </c>
      <c r="D4" s="58" t="s">
        <v>27</v>
      </c>
      <c r="E4" s="2" t="s">
        <v>9</v>
      </c>
      <c r="F4" s="7" t="s">
        <v>25</v>
      </c>
      <c r="G4" s="7" t="s">
        <v>37</v>
      </c>
      <c r="H4" s="2" t="s">
        <v>3</v>
      </c>
      <c r="I4" s="2"/>
      <c r="J4" s="2"/>
      <c r="K4" s="7" t="s">
        <v>39</v>
      </c>
    </row>
    <row r="5" spans="1:13" s="1" customFormat="1" ht="15" customHeight="1" x14ac:dyDescent="0.35">
      <c r="A5" s="21"/>
      <c r="B5" s="28"/>
      <c r="C5" s="28"/>
      <c r="D5" s="34"/>
      <c r="E5" s="30"/>
      <c r="F5" s="5"/>
      <c r="G5" s="36"/>
      <c r="H5" s="3"/>
      <c r="I5" s="4"/>
      <c r="J5" s="4"/>
      <c r="K5" s="39">
        <f>SUM(D5*G5)</f>
        <v>0</v>
      </c>
      <c r="M5" s="45"/>
    </row>
    <row r="6" spans="1:13" s="1" customFormat="1" x14ac:dyDescent="0.35">
      <c r="A6" s="21"/>
      <c r="B6" s="28"/>
      <c r="C6" s="28"/>
      <c r="D6" s="34"/>
      <c r="E6" s="30"/>
      <c r="F6" s="5"/>
      <c r="G6" s="36"/>
      <c r="H6" s="3"/>
      <c r="I6" s="4"/>
      <c r="J6" s="4"/>
      <c r="K6" s="39">
        <f t="shared" ref="K6:K11" si="0">SUM(D6*G6)</f>
        <v>0</v>
      </c>
    </row>
    <row r="7" spans="1:13" s="1" customFormat="1" x14ac:dyDescent="0.35">
      <c r="A7" s="21"/>
      <c r="B7" s="28"/>
      <c r="C7" s="28"/>
      <c r="D7" s="34"/>
      <c r="E7" s="30"/>
      <c r="F7" s="5"/>
      <c r="G7" s="36"/>
      <c r="H7" s="3"/>
      <c r="I7" s="4"/>
      <c r="J7" s="4"/>
      <c r="K7" s="39">
        <f t="shared" si="0"/>
        <v>0</v>
      </c>
    </row>
    <row r="8" spans="1:13" s="1" customFormat="1" x14ac:dyDescent="0.35">
      <c r="A8" s="21"/>
      <c r="B8" s="28"/>
      <c r="C8" s="28"/>
      <c r="D8" s="34"/>
      <c r="E8" s="30"/>
      <c r="F8" s="5"/>
      <c r="G8" s="36"/>
      <c r="H8" s="3"/>
      <c r="I8" s="4"/>
      <c r="J8" s="4"/>
      <c r="K8" s="39">
        <f t="shared" si="0"/>
        <v>0</v>
      </c>
    </row>
    <row r="9" spans="1:13" s="1" customFormat="1" x14ac:dyDescent="0.35">
      <c r="A9" s="21"/>
      <c r="B9" s="28"/>
      <c r="C9" s="28"/>
      <c r="D9" s="34"/>
      <c r="E9" s="30"/>
      <c r="F9" s="5"/>
      <c r="G9" s="36"/>
      <c r="H9" s="3"/>
      <c r="I9" s="4"/>
      <c r="J9" s="4"/>
      <c r="K9" s="39">
        <f t="shared" si="0"/>
        <v>0</v>
      </c>
    </row>
    <row r="10" spans="1:13" s="1" customFormat="1" x14ac:dyDescent="0.35">
      <c r="A10" s="21"/>
      <c r="B10" s="28"/>
      <c r="C10" s="28"/>
      <c r="D10" s="34"/>
      <c r="E10" s="30"/>
      <c r="F10" s="5"/>
      <c r="G10" s="36"/>
      <c r="H10" s="3"/>
      <c r="I10" s="4"/>
      <c r="J10" s="4"/>
      <c r="K10" s="39">
        <f t="shared" si="0"/>
        <v>0</v>
      </c>
    </row>
    <row r="11" spans="1:13" s="1" customFormat="1" ht="15" thickBot="1" x14ac:dyDescent="0.4">
      <c r="A11" s="21"/>
      <c r="B11" s="29"/>
      <c r="C11" s="29"/>
      <c r="D11" s="35"/>
      <c r="E11" s="31"/>
      <c r="F11" s="9"/>
      <c r="G11" s="37"/>
      <c r="H11" s="10"/>
      <c r="I11" s="11"/>
      <c r="J11" s="11"/>
      <c r="K11" s="39">
        <f t="shared" si="0"/>
        <v>0</v>
      </c>
    </row>
    <row r="12" spans="1:13" s="1" customFormat="1" ht="15" thickBot="1" x14ac:dyDescent="0.4">
      <c r="A12" s="21"/>
      <c r="B12" s="66" t="s">
        <v>18</v>
      </c>
      <c r="C12" s="67"/>
      <c r="D12" s="67"/>
      <c r="E12" s="67"/>
      <c r="F12" s="67"/>
      <c r="G12" s="67"/>
      <c r="H12" s="67"/>
      <c r="I12" s="67"/>
      <c r="J12" s="68"/>
      <c r="K12" s="40">
        <f>SUM(K5:K11)</f>
        <v>0</v>
      </c>
    </row>
    <row r="13" spans="1:13" s="1" customFormat="1" x14ac:dyDescent="0.35">
      <c r="A13" s="21"/>
      <c r="B13" s="21"/>
      <c r="C13" s="21"/>
      <c r="D13" s="21"/>
      <c r="E13" s="21"/>
      <c r="F13" s="21"/>
      <c r="G13" s="21"/>
      <c r="H13" s="21"/>
      <c r="I13" s="21"/>
      <c r="J13" s="21"/>
    </row>
    <row r="14" spans="1:13" s="20" customFormat="1" ht="15.5" x14ac:dyDescent="0.35">
      <c r="A14" s="22"/>
      <c r="B14" s="18" t="s">
        <v>6</v>
      </c>
      <c r="C14" s="19"/>
      <c r="D14" s="19"/>
      <c r="E14" s="19"/>
      <c r="F14" s="19"/>
      <c r="G14" s="19"/>
      <c r="H14" s="19"/>
      <c r="I14" s="19"/>
      <c r="J14" s="19"/>
      <c r="K14" s="19"/>
    </row>
    <row r="15" spans="1:13" s="1" customFormat="1" ht="50.25" customHeight="1" x14ac:dyDescent="0.35">
      <c r="A15" s="21"/>
      <c r="B15" s="12" t="s">
        <v>49</v>
      </c>
      <c r="C15" s="12" t="s">
        <v>50</v>
      </c>
      <c r="D15" s="58" t="s">
        <v>27</v>
      </c>
      <c r="E15" s="58" t="s">
        <v>0</v>
      </c>
      <c r="F15" s="2" t="s">
        <v>9</v>
      </c>
      <c r="G15" s="2" t="s">
        <v>26</v>
      </c>
      <c r="H15" s="7" t="s">
        <v>38</v>
      </c>
      <c r="I15" s="2" t="s">
        <v>3</v>
      </c>
      <c r="J15" s="7" t="s">
        <v>34</v>
      </c>
      <c r="K15" s="7" t="s">
        <v>53</v>
      </c>
    </row>
    <row r="16" spans="1:13" s="1" customFormat="1" x14ac:dyDescent="0.35">
      <c r="A16" s="21"/>
      <c r="B16" s="33" t="s">
        <v>56</v>
      </c>
      <c r="C16" s="28" t="s">
        <v>89</v>
      </c>
      <c r="D16" s="34">
        <v>383</v>
      </c>
      <c r="E16" s="34">
        <v>72</v>
      </c>
      <c r="F16" s="3"/>
      <c r="G16" s="3"/>
      <c r="H16" s="3"/>
      <c r="I16" s="3"/>
      <c r="J16" s="39">
        <f>SUM(H16*12)</f>
        <v>0</v>
      </c>
      <c r="K16" s="39">
        <f t="shared" ref="K16:K22" si="1">SUM(D16*E16*H16)</f>
        <v>0</v>
      </c>
    </row>
    <row r="17" spans="1:11" s="1" customFormat="1" x14ac:dyDescent="0.35">
      <c r="A17" s="21"/>
      <c r="B17" s="33" t="s">
        <v>87</v>
      </c>
      <c r="C17" s="28" t="s">
        <v>90</v>
      </c>
      <c r="D17" s="34">
        <v>150</v>
      </c>
      <c r="E17" s="34">
        <v>72</v>
      </c>
      <c r="F17" s="5"/>
      <c r="G17" s="5"/>
      <c r="H17" s="5"/>
      <c r="I17" s="3"/>
      <c r="J17" s="39">
        <f t="shared" ref="J17:J22" si="2">SUM(H17*12)</f>
        <v>0</v>
      </c>
      <c r="K17" s="39">
        <f t="shared" si="1"/>
        <v>0</v>
      </c>
    </row>
    <row r="18" spans="1:11" s="1" customFormat="1" x14ac:dyDescent="0.35">
      <c r="A18" s="21"/>
      <c r="B18" s="33" t="s">
        <v>88</v>
      </c>
      <c r="C18" s="28" t="s">
        <v>91</v>
      </c>
      <c r="D18" s="34">
        <v>10</v>
      </c>
      <c r="E18" s="34">
        <v>72</v>
      </c>
      <c r="F18" s="5"/>
      <c r="G18" s="5"/>
      <c r="H18" s="5"/>
      <c r="I18" s="3"/>
      <c r="J18" s="39">
        <f t="shared" si="2"/>
        <v>0</v>
      </c>
      <c r="K18" s="39">
        <f t="shared" si="1"/>
        <v>0</v>
      </c>
    </row>
    <row r="19" spans="1:11" s="1" customFormat="1" x14ac:dyDescent="0.35">
      <c r="A19" s="21"/>
      <c r="B19" s="28"/>
      <c r="C19" s="28"/>
      <c r="D19" s="34"/>
      <c r="E19" s="34"/>
      <c r="F19" s="5"/>
      <c r="G19" s="5"/>
      <c r="H19" s="5"/>
      <c r="I19" s="3"/>
      <c r="J19" s="39">
        <f t="shared" si="2"/>
        <v>0</v>
      </c>
      <c r="K19" s="39">
        <f t="shared" si="1"/>
        <v>0</v>
      </c>
    </row>
    <row r="20" spans="1:11" s="1" customFormat="1" x14ac:dyDescent="0.35">
      <c r="A20" s="21"/>
      <c r="B20" s="28"/>
      <c r="C20" s="28"/>
      <c r="D20" s="34"/>
      <c r="E20" s="34"/>
      <c r="F20" s="5"/>
      <c r="G20" s="5"/>
      <c r="H20" s="5"/>
      <c r="I20" s="3"/>
      <c r="J20" s="39">
        <f t="shared" si="2"/>
        <v>0</v>
      </c>
      <c r="K20" s="39">
        <f t="shared" si="1"/>
        <v>0</v>
      </c>
    </row>
    <row r="21" spans="1:11" s="1" customFormat="1" x14ac:dyDescent="0.35">
      <c r="A21" s="21"/>
      <c r="B21" s="28"/>
      <c r="C21" s="28"/>
      <c r="D21" s="34"/>
      <c r="E21" s="34"/>
      <c r="F21" s="5"/>
      <c r="G21" s="5"/>
      <c r="H21" s="5"/>
      <c r="I21" s="3"/>
      <c r="J21" s="39">
        <f t="shared" si="2"/>
        <v>0</v>
      </c>
      <c r="K21" s="39">
        <f t="shared" si="1"/>
        <v>0</v>
      </c>
    </row>
    <row r="22" spans="1:11" s="1" customFormat="1" ht="15" thickBot="1" x14ac:dyDescent="0.4">
      <c r="A22" s="21"/>
      <c r="B22" s="29"/>
      <c r="C22" s="29"/>
      <c r="D22" s="35"/>
      <c r="E22" s="35"/>
      <c r="F22" s="9"/>
      <c r="G22" s="9"/>
      <c r="H22" s="9"/>
      <c r="I22" s="10"/>
      <c r="J22" s="39">
        <f t="shared" si="2"/>
        <v>0</v>
      </c>
      <c r="K22" s="39">
        <f t="shared" si="1"/>
        <v>0</v>
      </c>
    </row>
    <row r="23" spans="1:11" s="1" customFormat="1" ht="15" thickBot="1" x14ac:dyDescent="0.4">
      <c r="A23" s="21"/>
      <c r="B23" s="66" t="s">
        <v>18</v>
      </c>
      <c r="C23" s="67"/>
      <c r="D23" s="67"/>
      <c r="E23" s="67"/>
      <c r="F23" s="67"/>
      <c r="G23" s="67"/>
      <c r="H23" s="67"/>
      <c r="I23" s="67"/>
      <c r="J23" s="68"/>
      <c r="K23" s="40">
        <f>SUM(K16:K22)</f>
        <v>0</v>
      </c>
    </row>
    <row r="24" spans="1:11" s="1" customFormat="1" x14ac:dyDescent="0.35">
      <c r="B24" s="59"/>
      <c r="C24" s="59"/>
      <c r="D24" s="59"/>
      <c r="E24" s="59"/>
      <c r="F24" s="59"/>
      <c r="G24" s="59"/>
      <c r="H24" s="59"/>
      <c r="I24" s="59"/>
      <c r="J24" s="59"/>
      <c r="K24" s="60"/>
    </row>
    <row r="25" spans="1:11" s="20" customFormat="1" ht="15.5" x14ac:dyDescent="0.35">
      <c r="A25" s="22"/>
      <c r="B25" s="18" t="s">
        <v>7</v>
      </c>
      <c r="C25" s="19"/>
      <c r="D25" s="19"/>
      <c r="E25" s="19"/>
      <c r="F25" s="19"/>
      <c r="G25" s="19"/>
      <c r="H25" s="19"/>
      <c r="I25" s="19"/>
      <c r="J25" s="19"/>
      <c r="K25" s="19"/>
    </row>
    <row r="26" spans="1:11" s="1" customFormat="1" ht="29" x14ac:dyDescent="0.35">
      <c r="A26" s="21"/>
      <c r="B26" s="58" t="s">
        <v>1</v>
      </c>
      <c r="C26" s="12" t="s">
        <v>50</v>
      </c>
      <c r="D26" s="7" t="s">
        <v>61</v>
      </c>
      <c r="E26" s="7" t="s">
        <v>45</v>
      </c>
      <c r="F26" s="7" t="s">
        <v>3</v>
      </c>
      <c r="G26" s="16"/>
      <c r="H26" s="17"/>
      <c r="I26" s="2"/>
      <c r="J26" s="2"/>
      <c r="K26" s="2" t="s">
        <v>45</v>
      </c>
    </row>
    <row r="27" spans="1:11" s="1" customFormat="1" ht="58" x14ac:dyDescent="0.35">
      <c r="A27" s="21"/>
      <c r="B27" s="28" t="s">
        <v>59</v>
      </c>
      <c r="C27" s="33" t="s">
        <v>60</v>
      </c>
      <c r="D27" s="61">
        <v>2</v>
      </c>
      <c r="E27" s="38"/>
      <c r="F27" s="3"/>
      <c r="G27" s="6"/>
      <c r="H27" s="6"/>
      <c r="I27" s="4"/>
      <c r="J27" s="4"/>
      <c r="K27" s="39">
        <f t="shared" ref="K27:K31" si="3">E27</f>
        <v>0</v>
      </c>
    </row>
    <row r="28" spans="1:11" s="1" customFormat="1" ht="15" customHeight="1" x14ac:dyDescent="0.35">
      <c r="A28" s="21"/>
      <c r="B28" s="28"/>
      <c r="C28" s="28"/>
      <c r="D28" s="61"/>
      <c r="E28" s="38"/>
      <c r="F28" s="3"/>
      <c r="G28" s="6"/>
      <c r="H28" s="6"/>
      <c r="I28" s="4"/>
      <c r="J28" s="4"/>
      <c r="K28" s="39">
        <f t="shared" si="3"/>
        <v>0</v>
      </c>
    </row>
    <row r="29" spans="1:11" s="1" customFormat="1" ht="15" customHeight="1" x14ac:dyDescent="0.35">
      <c r="A29" s="21"/>
      <c r="B29" s="28"/>
      <c r="C29" s="28"/>
      <c r="D29" s="61"/>
      <c r="E29" s="38"/>
      <c r="F29" s="3"/>
      <c r="G29" s="6"/>
      <c r="H29" s="6"/>
      <c r="I29" s="4"/>
      <c r="J29" s="4"/>
      <c r="K29" s="39">
        <f t="shared" si="3"/>
        <v>0</v>
      </c>
    </row>
    <row r="30" spans="1:11" s="1" customFormat="1" ht="15" customHeight="1" x14ac:dyDescent="0.35">
      <c r="A30" s="21"/>
      <c r="B30" s="28"/>
      <c r="C30" s="28"/>
      <c r="D30" s="61"/>
      <c r="E30" s="38"/>
      <c r="F30" s="3"/>
      <c r="G30" s="6"/>
      <c r="H30" s="6"/>
      <c r="I30" s="4"/>
      <c r="J30" s="4"/>
      <c r="K30" s="39">
        <f t="shared" si="3"/>
        <v>0</v>
      </c>
    </row>
    <row r="31" spans="1:11" s="1" customFormat="1" ht="15.75" customHeight="1" thickBot="1" x14ac:dyDescent="0.4">
      <c r="A31" s="21"/>
      <c r="B31" s="28"/>
      <c r="C31" s="28"/>
      <c r="D31" s="61"/>
      <c r="E31" s="38"/>
      <c r="F31" s="3"/>
      <c r="G31" s="6"/>
      <c r="H31" s="6"/>
      <c r="I31" s="4"/>
      <c r="J31" s="4"/>
      <c r="K31" s="39">
        <f t="shared" si="3"/>
        <v>0</v>
      </c>
    </row>
    <row r="32" spans="1:11" s="1" customFormat="1" ht="15" thickBot="1" x14ac:dyDescent="0.4">
      <c r="A32" s="21"/>
      <c r="B32" s="66" t="s">
        <v>18</v>
      </c>
      <c r="C32" s="67"/>
      <c r="D32" s="67"/>
      <c r="E32" s="67"/>
      <c r="F32" s="67"/>
      <c r="G32" s="67"/>
      <c r="H32" s="67"/>
      <c r="I32" s="67"/>
      <c r="J32" s="68"/>
      <c r="K32" s="40">
        <f>SUM(K27:K31)</f>
        <v>0</v>
      </c>
    </row>
    <row r="33" spans="1:13" x14ac:dyDescent="0.35">
      <c r="A33" s="8"/>
      <c r="B33" s="8"/>
      <c r="C33" s="8"/>
      <c r="D33" s="8"/>
      <c r="E33" s="8"/>
      <c r="F33" s="8"/>
      <c r="G33" s="8"/>
      <c r="H33" s="8"/>
      <c r="I33" s="8"/>
      <c r="J33" s="8"/>
    </row>
    <row r="34" spans="1:13" s="20" customFormat="1" ht="15.5" x14ac:dyDescent="0.35">
      <c r="A34" s="22"/>
      <c r="B34" s="18" t="s">
        <v>8</v>
      </c>
      <c r="C34" s="19"/>
      <c r="D34" s="19"/>
      <c r="E34" s="19"/>
      <c r="F34" s="19"/>
      <c r="G34" s="19"/>
      <c r="H34" s="19"/>
      <c r="I34" s="19"/>
      <c r="J34" s="19"/>
      <c r="K34" s="19"/>
    </row>
    <row r="35" spans="1:13" s="1" customFormat="1" ht="29" x14ac:dyDescent="0.35">
      <c r="A35" s="21"/>
      <c r="B35" s="58" t="s">
        <v>1</v>
      </c>
      <c r="C35" s="12" t="s">
        <v>50</v>
      </c>
      <c r="D35" s="2" t="s">
        <v>2</v>
      </c>
      <c r="E35" s="7" t="s">
        <v>43</v>
      </c>
      <c r="F35" s="7" t="s">
        <v>3</v>
      </c>
      <c r="G35" s="16"/>
      <c r="H35" s="17"/>
      <c r="I35" s="2"/>
      <c r="J35" s="2"/>
      <c r="K35" s="7" t="s">
        <v>46</v>
      </c>
    </row>
    <row r="36" spans="1:13" s="1" customFormat="1" x14ac:dyDescent="0.35">
      <c r="A36" s="21"/>
      <c r="B36" s="28" t="s">
        <v>96</v>
      </c>
      <c r="C36" s="33" t="s">
        <v>105</v>
      </c>
      <c r="D36" s="28">
        <v>300</v>
      </c>
      <c r="E36" s="38"/>
      <c r="F36" s="3"/>
      <c r="G36" s="6"/>
      <c r="H36" s="6"/>
      <c r="I36" s="4"/>
      <c r="J36" s="4"/>
      <c r="K36" s="39">
        <f>SUM(D36*E36)</f>
        <v>0</v>
      </c>
    </row>
    <row r="37" spans="1:13" s="1" customFormat="1" ht="15" customHeight="1" x14ac:dyDescent="0.35">
      <c r="A37" s="21"/>
      <c r="B37" s="28" t="s">
        <v>97</v>
      </c>
      <c r="C37" s="28" t="s">
        <v>106</v>
      </c>
      <c r="D37" s="28">
        <v>1000</v>
      </c>
      <c r="E37" s="38"/>
      <c r="F37" s="3"/>
      <c r="G37" s="6"/>
      <c r="H37" s="6"/>
      <c r="I37" s="4"/>
      <c r="J37" s="4"/>
      <c r="K37" s="39">
        <f t="shared" ref="K36:K41" si="4">SUM(D37*E37)</f>
        <v>0</v>
      </c>
    </row>
    <row r="38" spans="1:13" s="1" customFormat="1" ht="15" customHeight="1" x14ac:dyDescent="0.35">
      <c r="A38" s="21"/>
      <c r="B38" s="28" t="s">
        <v>98</v>
      </c>
      <c r="C38" s="28"/>
      <c r="D38" s="28">
        <v>400</v>
      </c>
      <c r="E38" s="38"/>
      <c r="F38" s="3"/>
      <c r="G38" s="6"/>
      <c r="H38" s="6"/>
      <c r="I38" s="4"/>
      <c r="J38" s="4"/>
      <c r="K38" s="39">
        <f t="shared" si="4"/>
        <v>0</v>
      </c>
    </row>
    <row r="39" spans="1:13" s="1" customFormat="1" ht="15" customHeight="1" x14ac:dyDescent="0.35">
      <c r="A39" s="21"/>
      <c r="B39" s="28"/>
      <c r="C39" s="28"/>
      <c r="D39" s="28"/>
      <c r="E39" s="38"/>
      <c r="F39" s="3"/>
      <c r="G39" s="6"/>
      <c r="H39" s="6"/>
      <c r="I39" s="4"/>
      <c r="J39" s="4"/>
      <c r="K39" s="39">
        <f t="shared" si="4"/>
        <v>0</v>
      </c>
    </row>
    <row r="40" spans="1:13" s="1" customFormat="1" ht="15" customHeight="1" x14ac:dyDescent="0.35">
      <c r="A40" s="21"/>
      <c r="B40" s="28"/>
      <c r="C40" s="28"/>
      <c r="D40" s="28"/>
      <c r="E40" s="38"/>
      <c r="F40" s="3"/>
      <c r="G40" s="6"/>
      <c r="H40" s="6"/>
      <c r="I40" s="4"/>
      <c r="J40" s="4"/>
      <c r="K40" s="39">
        <f t="shared" si="4"/>
        <v>0</v>
      </c>
    </row>
    <row r="41" spans="1:13" s="1" customFormat="1" ht="15" customHeight="1" x14ac:dyDescent="0.35">
      <c r="A41" s="21"/>
      <c r="B41" s="28"/>
      <c r="C41" s="28"/>
      <c r="D41" s="28"/>
      <c r="E41" s="38"/>
      <c r="F41" s="3"/>
      <c r="G41" s="6"/>
      <c r="H41" s="6"/>
      <c r="I41" s="4"/>
      <c r="J41" s="4"/>
      <c r="K41" s="39">
        <f t="shared" si="4"/>
        <v>0</v>
      </c>
    </row>
    <row r="42" spans="1:13" s="1" customFormat="1" ht="15.75" customHeight="1" thickBot="1" x14ac:dyDescent="0.4">
      <c r="A42" s="21"/>
      <c r="B42" s="28"/>
      <c r="C42" s="28"/>
      <c r="D42" s="28"/>
      <c r="E42" s="38"/>
      <c r="F42" s="3"/>
      <c r="G42" s="6"/>
      <c r="H42" s="6"/>
      <c r="I42" s="11"/>
      <c r="J42" s="11"/>
      <c r="K42" s="39">
        <f>SUM(D42*E42)</f>
        <v>0</v>
      </c>
    </row>
    <row r="43" spans="1:13" s="1" customFormat="1" ht="15" thickBot="1" x14ac:dyDescent="0.4">
      <c r="A43" s="21"/>
      <c r="B43" s="66" t="s">
        <v>18</v>
      </c>
      <c r="C43" s="67"/>
      <c r="D43" s="67"/>
      <c r="E43" s="67"/>
      <c r="F43" s="67"/>
      <c r="G43" s="67"/>
      <c r="H43" s="67"/>
      <c r="I43" s="67"/>
      <c r="J43" s="68"/>
      <c r="K43" s="40">
        <f>SUM(K36:K42)</f>
        <v>0</v>
      </c>
    </row>
    <row r="44" spans="1:13" s="1" customFormat="1" x14ac:dyDescent="0.35">
      <c r="A44" s="21"/>
      <c r="B44" s="21"/>
      <c r="C44" s="21"/>
      <c r="D44" s="21"/>
      <c r="E44" s="21"/>
      <c r="F44" s="21"/>
      <c r="G44" s="21"/>
      <c r="H44" s="21"/>
      <c r="I44" s="21"/>
      <c r="J44" s="21"/>
      <c r="K44" s="21"/>
    </row>
    <row r="45" spans="1:13" s="20" customFormat="1" ht="15.5" x14ac:dyDescent="0.35">
      <c r="A45" s="22"/>
      <c r="B45" s="18" t="s">
        <v>77</v>
      </c>
      <c r="C45" s="19"/>
      <c r="D45" s="19"/>
      <c r="E45" s="19"/>
      <c r="F45" s="19"/>
      <c r="G45" s="19"/>
      <c r="H45" s="19"/>
      <c r="I45" s="19"/>
      <c r="J45" s="19"/>
      <c r="K45" s="19"/>
    </row>
    <row r="46" spans="1:13" s="1" customFormat="1" ht="33" customHeight="1" x14ac:dyDescent="0.35">
      <c r="A46" s="21"/>
      <c r="B46" s="58" t="s">
        <v>1</v>
      </c>
      <c r="C46" s="12" t="s">
        <v>50</v>
      </c>
      <c r="D46" s="7" t="s">
        <v>45</v>
      </c>
      <c r="E46" s="2" t="s">
        <v>3</v>
      </c>
      <c r="F46" s="2"/>
      <c r="G46" s="2"/>
      <c r="H46" s="2"/>
      <c r="I46" s="2"/>
      <c r="J46" s="2"/>
      <c r="K46" s="7" t="s">
        <v>45</v>
      </c>
    </row>
    <row r="47" spans="1:13" s="1" customFormat="1" x14ac:dyDescent="0.35">
      <c r="A47" s="21"/>
      <c r="B47" s="33" t="s">
        <v>92</v>
      </c>
      <c r="C47" s="28"/>
      <c r="D47" s="36"/>
      <c r="E47" s="3"/>
      <c r="F47" s="6"/>
      <c r="G47" s="6"/>
      <c r="H47" s="6"/>
      <c r="I47" s="6"/>
      <c r="J47" s="6"/>
      <c r="K47" s="39">
        <f t="shared" ref="K47:K54" si="5">SUM(D47)</f>
        <v>0</v>
      </c>
      <c r="M47" s="45"/>
    </row>
    <row r="48" spans="1:13" s="1" customFormat="1" x14ac:dyDescent="0.35">
      <c r="A48" s="21"/>
      <c r="B48" s="33" t="s">
        <v>80</v>
      </c>
      <c r="C48" s="28" t="s">
        <v>104</v>
      </c>
      <c r="D48" s="36"/>
      <c r="E48" s="3"/>
      <c r="F48" s="6"/>
      <c r="G48" s="6"/>
      <c r="H48" s="6"/>
      <c r="I48" s="6"/>
      <c r="J48" s="6"/>
      <c r="K48" s="39">
        <f>SUM(D48)</f>
        <v>0</v>
      </c>
      <c r="M48" s="45"/>
    </row>
    <row r="49" spans="1:13" s="1" customFormat="1" ht="29" x14ac:dyDescent="0.35">
      <c r="A49" s="21"/>
      <c r="B49" s="33" t="s">
        <v>81</v>
      </c>
      <c r="C49" s="28"/>
      <c r="D49" s="36"/>
      <c r="E49" s="3"/>
      <c r="F49" s="6"/>
      <c r="G49" s="6"/>
      <c r="H49" s="6"/>
      <c r="I49" s="6"/>
      <c r="J49" s="6"/>
      <c r="K49" s="39">
        <f t="shared" si="5"/>
        <v>0</v>
      </c>
      <c r="M49" s="45"/>
    </row>
    <row r="50" spans="1:13" s="1" customFormat="1" ht="29" x14ac:dyDescent="0.35">
      <c r="A50" s="21"/>
      <c r="B50" s="65" t="s">
        <v>82</v>
      </c>
      <c r="C50" s="62"/>
      <c r="D50" s="36"/>
      <c r="E50" s="3"/>
      <c r="F50" s="6"/>
      <c r="G50" s="6"/>
      <c r="H50" s="6"/>
      <c r="I50" s="6"/>
      <c r="J50" s="6"/>
      <c r="K50" s="39">
        <f t="shared" si="5"/>
        <v>0</v>
      </c>
      <c r="M50" s="45"/>
    </row>
    <row r="51" spans="1:13" s="1" customFormat="1" ht="15" customHeight="1" x14ac:dyDescent="0.35">
      <c r="A51" s="21"/>
      <c r="B51" s="65" t="s">
        <v>83</v>
      </c>
      <c r="C51" s="62"/>
      <c r="D51" s="36"/>
      <c r="E51" s="5"/>
      <c r="F51" s="6"/>
      <c r="G51" s="6"/>
      <c r="H51" s="6"/>
      <c r="I51" s="6"/>
      <c r="J51" s="6"/>
      <c r="K51" s="39">
        <f t="shared" si="5"/>
        <v>0</v>
      </c>
      <c r="M51" s="45"/>
    </row>
    <row r="52" spans="1:13" s="1" customFormat="1" ht="15" customHeight="1" x14ac:dyDescent="0.35">
      <c r="A52" s="21"/>
      <c r="B52" s="65" t="s">
        <v>84</v>
      </c>
      <c r="C52" s="62"/>
      <c r="D52" s="36"/>
      <c r="E52" s="5"/>
      <c r="F52" s="6"/>
      <c r="G52" s="6"/>
      <c r="H52" s="6"/>
      <c r="I52" s="6"/>
      <c r="J52" s="6"/>
      <c r="K52" s="39">
        <f t="shared" si="5"/>
        <v>0</v>
      </c>
      <c r="M52" s="45"/>
    </row>
    <row r="53" spans="1:13" s="1" customFormat="1" ht="15" customHeight="1" x14ac:dyDescent="0.35">
      <c r="A53" s="21"/>
      <c r="B53" s="65" t="s">
        <v>99</v>
      </c>
      <c r="C53" s="62"/>
      <c r="D53" s="36"/>
      <c r="E53" s="5"/>
      <c r="F53" s="6"/>
      <c r="G53" s="6"/>
      <c r="H53" s="6"/>
      <c r="I53" s="6"/>
      <c r="J53" s="6"/>
      <c r="K53" s="39">
        <f t="shared" si="5"/>
        <v>0</v>
      </c>
      <c r="M53" s="45"/>
    </row>
    <row r="54" spans="1:13" s="1" customFormat="1" ht="15" customHeight="1" x14ac:dyDescent="0.35">
      <c r="A54" s="21"/>
      <c r="B54" s="65" t="s">
        <v>85</v>
      </c>
      <c r="C54" s="62"/>
      <c r="D54" s="36"/>
      <c r="E54" s="5"/>
      <c r="F54" s="6"/>
      <c r="G54" s="6"/>
      <c r="H54" s="6"/>
      <c r="I54" s="6"/>
      <c r="J54" s="6"/>
      <c r="K54" s="39">
        <f t="shared" si="5"/>
        <v>0</v>
      </c>
      <c r="M54" s="45"/>
    </row>
    <row r="55" spans="1:13" s="1" customFormat="1" ht="15" thickBot="1" x14ac:dyDescent="0.4">
      <c r="A55" s="21"/>
      <c r="B55" s="72" t="s">
        <v>18</v>
      </c>
      <c r="C55" s="73"/>
      <c r="D55" s="73"/>
      <c r="E55" s="73"/>
      <c r="F55" s="73"/>
      <c r="G55" s="73"/>
      <c r="H55" s="73"/>
      <c r="I55" s="73"/>
      <c r="J55" s="73"/>
      <c r="K55" s="63">
        <f>SUM(K47:K54)</f>
        <v>0</v>
      </c>
    </row>
    <row r="56" spans="1:13" s="1" customFormat="1" x14ac:dyDescent="0.35">
      <c r="A56" s="21"/>
      <c r="B56" s="21"/>
      <c r="C56" s="21"/>
      <c r="D56" s="21"/>
      <c r="E56" s="21"/>
      <c r="F56" s="21"/>
      <c r="G56" s="21"/>
      <c r="H56" s="21"/>
      <c r="I56" s="21"/>
      <c r="J56" s="21"/>
    </row>
    <row r="57" spans="1:13" s="20" customFormat="1" ht="15.5" x14ac:dyDescent="0.35">
      <c r="A57" s="22"/>
      <c r="B57" s="18" t="s">
        <v>94</v>
      </c>
      <c r="C57" s="19"/>
      <c r="D57" s="19"/>
      <c r="E57" s="19"/>
      <c r="F57" s="19"/>
      <c r="G57" s="19"/>
      <c r="H57" s="19"/>
      <c r="I57" s="19"/>
      <c r="J57" s="19"/>
      <c r="K57" s="19"/>
    </row>
    <row r="58" spans="1:13" s="1" customFormat="1" ht="46.5" customHeight="1" x14ac:dyDescent="0.35">
      <c r="A58" s="21"/>
      <c r="B58" s="58" t="s">
        <v>1</v>
      </c>
      <c r="C58" s="12" t="s">
        <v>50</v>
      </c>
      <c r="D58" s="7" t="s">
        <v>62</v>
      </c>
      <c r="E58" s="7" t="s">
        <v>63</v>
      </c>
      <c r="F58" s="2" t="s">
        <v>3</v>
      </c>
      <c r="G58" s="2"/>
      <c r="H58" s="2"/>
      <c r="I58" s="2"/>
      <c r="J58" s="2"/>
      <c r="K58" s="7" t="s">
        <v>64</v>
      </c>
    </row>
    <row r="59" spans="1:13" s="1" customFormat="1" ht="15" customHeight="1" x14ac:dyDescent="0.35">
      <c r="A59" s="21"/>
      <c r="B59" s="33" t="s">
        <v>93</v>
      </c>
      <c r="C59" s="33" t="s">
        <v>65</v>
      </c>
      <c r="D59" s="33">
        <v>493</v>
      </c>
      <c r="E59" s="84">
        <v>25</v>
      </c>
      <c r="F59" s="3"/>
      <c r="G59" s="6"/>
      <c r="H59" s="6"/>
      <c r="I59" s="6"/>
      <c r="J59" s="6"/>
      <c r="K59" s="39">
        <f>SUM(D59*E59)</f>
        <v>12325</v>
      </c>
      <c r="M59" s="45"/>
    </row>
    <row r="60" spans="1:13" s="1" customFormat="1" ht="29" x14ac:dyDescent="0.35">
      <c r="A60" s="21"/>
      <c r="B60" s="33" t="s">
        <v>66</v>
      </c>
      <c r="C60" s="33" t="s">
        <v>65</v>
      </c>
      <c r="D60" s="33">
        <v>493</v>
      </c>
      <c r="E60" s="5">
        <v>70</v>
      </c>
      <c r="F60" s="3"/>
      <c r="G60" s="6"/>
      <c r="H60" s="6"/>
      <c r="I60" s="6"/>
      <c r="J60" s="6"/>
      <c r="K60" s="39">
        <f>SUM(D60*E60)</f>
        <v>34510</v>
      </c>
      <c r="M60" s="45"/>
    </row>
    <row r="61" spans="1:13" s="1" customFormat="1" ht="29" x14ac:dyDescent="0.35">
      <c r="A61" s="21"/>
      <c r="B61" s="33" t="s">
        <v>67</v>
      </c>
      <c r="C61" s="33" t="s">
        <v>65</v>
      </c>
      <c r="D61" s="33">
        <v>493</v>
      </c>
      <c r="E61" s="5">
        <f>45+55</f>
        <v>100</v>
      </c>
      <c r="F61" s="3"/>
      <c r="G61" s="6"/>
      <c r="H61" s="6"/>
      <c r="I61" s="6"/>
      <c r="J61" s="6"/>
      <c r="K61" s="39">
        <f t="shared" ref="K61:K64" si="6">SUM(D61*E61)</f>
        <v>49300</v>
      </c>
      <c r="M61" s="45"/>
    </row>
    <row r="62" spans="1:13" s="1" customFormat="1" ht="29" x14ac:dyDescent="0.35">
      <c r="A62" s="21"/>
      <c r="B62" s="33" t="s">
        <v>68</v>
      </c>
      <c r="C62" s="33" t="s">
        <v>65</v>
      </c>
      <c r="D62" s="33">
        <v>493</v>
      </c>
      <c r="E62" s="5">
        <v>30</v>
      </c>
      <c r="F62" s="3"/>
      <c r="G62" s="6"/>
      <c r="H62" s="6"/>
      <c r="I62" s="6"/>
      <c r="J62" s="6"/>
      <c r="K62" s="39">
        <f t="shared" si="6"/>
        <v>14790</v>
      </c>
      <c r="M62" s="45"/>
    </row>
    <row r="63" spans="1:13" s="1" customFormat="1" x14ac:dyDescent="0.35">
      <c r="A63" s="21"/>
      <c r="B63" s="28" t="s">
        <v>69</v>
      </c>
      <c r="C63" s="33" t="s">
        <v>65</v>
      </c>
      <c r="D63" s="33">
        <v>493</v>
      </c>
      <c r="E63" s="5">
        <v>0</v>
      </c>
      <c r="F63" s="5"/>
      <c r="G63" s="6"/>
      <c r="H63" s="6"/>
      <c r="I63" s="6"/>
      <c r="J63" s="6"/>
      <c r="K63" s="39">
        <f t="shared" si="6"/>
        <v>0</v>
      </c>
      <c r="M63" s="45"/>
    </row>
    <row r="64" spans="1:13" s="1" customFormat="1" ht="15" customHeight="1" x14ac:dyDescent="0.35">
      <c r="A64" s="21"/>
      <c r="B64" s="33" t="s">
        <v>70</v>
      </c>
      <c r="C64" s="33" t="s">
        <v>65</v>
      </c>
      <c r="D64" s="33">
        <v>493</v>
      </c>
      <c r="E64" s="5">
        <f>[1]Pricing!$E$66+[1]Pricing!$E$67</f>
        <v>430</v>
      </c>
      <c r="F64" s="5"/>
      <c r="G64" s="6"/>
      <c r="H64" s="6"/>
      <c r="I64" s="6"/>
      <c r="J64" s="6"/>
      <c r="K64" s="39">
        <f t="shared" si="6"/>
        <v>211990</v>
      </c>
      <c r="M64" s="45"/>
    </row>
    <row r="65" spans="1:13" s="1" customFormat="1" ht="15" thickBot="1" x14ac:dyDescent="0.4">
      <c r="A65" s="21"/>
      <c r="B65" s="72" t="s">
        <v>18</v>
      </c>
      <c r="C65" s="73"/>
      <c r="D65" s="73"/>
      <c r="E65" s="73"/>
      <c r="F65" s="73"/>
      <c r="G65" s="73"/>
      <c r="H65" s="73"/>
      <c r="I65" s="73"/>
      <c r="J65" s="73"/>
      <c r="K65" s="63">
        <f>SUM(K59:K64)</f>
        <v>322915</v>
      </c>
    </row>
    <row r="66" spans="1:13" s="1" customFormat="1" x14ac:dyDescent="0.35">
      <c r="A66" s="21"/>
      <c r="B66" s="21"/>
      <c r="C66" s="21"/>
      <c r="D66" s="21"/>
      <c r="E66" s="21"/>
      <c r="F66" s="21"/>
      <c r="G66" s="21"/>
      <c r="H66" s="21"/>
      <c r="I66" s="21"/>
      <c r="J66" s="21"/>
    </row>
    <row r="67" spans="1:13" s="20" customFormat="1" ht="15.5" x14ac:dyDescent="0.35">
      <c r="A67" s="22"/>
      <c r="B67" s="18" t="s">
        <v>95</v>
      </c>
      <c r="C67" s="19"/>
      <c r="D67" s="19"/>
      <c r="E67" s="19"/>
      <c r="F67" s="19"/>
      <c r="G67" s="19"/>
      <c r="H67" s="19"/>
      <c r="I67" s="19"/>
      <c r="J67" s="19"/>
      <c r="K67" s="19"/>
    </row>
    <row r="68" spans="1:13" s="1" customFormat="1" ht="33" customHeight="1" x14ac:dyDescent="0.35">
      <c r="A68" s="21"/>
      <c r="B68" s="58" t="s">
        <v>1</v>
      </c>
      <c r="C68" s="12" t="s">
        <v>50</v>
      </c>
      <c r="D68" s="7" t="s">
        <v>71</v>
      </c>
      <c r="E68" s="2" t="s">
        <v>72</v>
      </c>
      <c r="F68" s="2"/>
      <c r="G68" s="7"/>
      <c r="H68" s="7"/>
      <c r="I68" s="7"/>
      <c r="J68" s="2"/>
      <c r="K68" s="7" t="s">
        <v>73</v>
      </c>
    </row>
    <row r="69" spans="1:13" s="1" customFormat="1" ht="15" customHeight="1" x14ac:dyDescent="0.35">
      <c r="A69" s="21"/>
      <c r="B69" s="28" t="s">
        <v>74</v>
      </c>
      <c r="C69" s="28" t="s">
        <v>86</v>
      </c>
      <c r="D69" s="64">
        <v>500000</v>
      </c>
      <c r="E69" s="3" t="s">
        <v>107</v>
      </c>
      <c r="F69" s="6"/>
      <c r="G69" s="6"/>
      <c r="H69" s="6"/>
      <c r="I69" s="6"/>
      <c r="J69" s="6"/>
      <c r="K69" s="39">
        <f>IF(E69="Ja",SUM(D69),0)</f>
        <v>500000</v>
      </c>
      <c r="M69" s="45"/>
    </row>
    <row r="70" spans="1:13" s="1" customFormat="1" ht="29" x14ac:dyDescent="0.35">
      <c r="A70" s="21"/>
      <c r="B70" s="28" t="s">
        <v>75</v>
      </c>
      <c r="C70" s="33" t="s">
        <v>76</v>
      </c>
      <c r="D70" s="64">
        <v>1000000</v>
      </c>
      <c r="E70" s="3" t="s">
        <v>107</v>
      </c>
      <c r="F70" s="6"/>
      <c r="G70" s="6"/>
      <c r="H70" s="6"/>
      <c r="I70" s="6"/>
      <c r="J70" s="6"/>
      <c r="K70" s="39">
        <f>IF(E70="Ja",SUM(D70),0)</f>
        <v>1000000</v>
      </c>
      <c r="M70" s="45"/>
    </row>
    <row r="71" spans="1:13" s="1" customFormat="1" ht="15" thickBot="1" x14ac:dyDescent="0.4">
      <c r="A71" s="21"/>
      <c r="B71" s="72" t="s">
        <v>18</v>
      </c>
      <c r="C71" s="73"/>
      <c r="D71" s="73"/>
      <c r="E71" s="73"/>
      <c r="F71" s="73"/>
      <c r="G71" s="73"/>
      <c r="H71" s="73"/>
      <c r="I71" s="73"/>
      <c r="J71" s="73"/>
      <c r="K71" s="63">
        <f>SUM(K69:K70)</f>
        <v>1500000</v>
      </c>
    </row>
    <row r="72" spans="1:13" s="1" customFormat="1" x14ac:dyDescent="0.35">
      <c r="B72" s="59"/>
      <c r="C72" s="59"/>
      <c r="D72" s="59"/>
      <c r="E72" s="59"/>
      <c r="F72" s="59"/>
      <c r="G72" s="59"/>
      <c r="H72" s="59"/>
      <c r="I72" s="59"/>
      <c r="J72" s="59"/>
      <c r="K72" s="60"/>
    </row>
    <row r="73" spans="1:13" s="20" customFormat="1" ht="15.5" x14ac:dyDescent="0.35">
      <c r="A73" s="22"/>
      <c r="B73" s="18" t="s">
        <v>79</v>
      </c>
      <c r="C73" s="19"/>
      <c r="D73" s="19"/>
      <c r="E73" s="19"/>
      <c r="F73" s="19"/>
      <c r="G73" s="19"/>
      <c r="H73" s="19"/>
      <c r="I73" s="19"/>
      <c r="J73" s="19"/>
      <c r="K73" s="19"/>
    </row>
    <row r="74" spans="1:13" s="1" customFormat="1" ht="50.25" customHeight="1" x14ac:dyDescent="0.35">
      <c r="A74" s="21"/>
      <c r="B74" s="12" t="s">
        <v>49</v>
      </c>
      <c r="C74" s="12" t="s">
        <v>50</v>
      </c>
      <c r="D74" s="58" t="s">
        <v>27</v>
      </c>
      <c r="E74" s="58" t="s">
        <v>0</v>
      </c>
      <c r="F74" s="2" t="s">
        <v>9</v>
      </c>
      <c r="G74" s="2" t="s">
        <v>26</v>
      </c>
      <c r="H74" s="7" t="s">
        <v>38</v>
      </c>
      <c r="I74" s="2" t="s">
        <v>3</v>
      </c>
      <c r="J74" s="7" t="s">
        <v>34</v>
      </c>
      <c r="K74" s="7" t="s">
        <v>53</v>
      </c>
    </row>
    <row r="75" spans="1:13" s="1" customFormat="1" x14ac:dyDescent="0.35">
      <c r="A75" s="21"/>
      <c r="B75" s="33" t="s">
        <v>57</v>
      </c>
      <c r="C75" s="33"/>
      <c r="D75" s="33">
        <v>383</v>
      </c>
      <c r="E75" s="33">
        <v>12</v>
      </c>
      <c r="F75" s="3"/>
      <c r="G75" s="3"/>
      <c r="H75" s="3"/>
      <c r="I75" s="3"/>
      <c r="J75" s="39">
        <f>SUM(H75*12)</f>
        <v>0</v>
      </c>
      <c r="K75" s="39">
        <f t="shared" ref="K75:K76" si="7">SUM(D75*E75*H75)</f>
        <v>0</v>
      </c>
    </row>
    <row r="76" spans="1:13" s="1" customFormat="1" x14ac:dyDescent="0.35">
      <c r="A76" s="21"/>
      <c r="B76" s="33" t="s">
        <v>58</v>
      </c>
      <c r="C76" s="33"/>
      <c r="D76" s="33">
        <v>383</v>
      </c>
      <c r="E76" s="33">
        <v>12</v>
      </c>
      <c r="F76" s="5"/>
      <c r="G76" s="5"/>
      <c r="H76" s="5"/>
      <c r="I76" s="3"/>
      <c r="J76" s="39">
        <f t="shared" ref="J76:J79" si="8">SUM(H76*12)</f>
        <v>0</v>
      </c>
      <c r="K76" s="39">
        <f t="shared" si="7"/>
        <v>0</v>
      </c>
    </row>
    <row r="77" spans="1:13" s="1" customFormat="1" x14ac:dyDescent="0.35">
      <c r="A77" s="21"/>
      <c r="B77" s="33" t="s">
        <v>100</v>
      </c>
      <c r="C77" s="28" t="s">
        <v>90</v>
      </c>
      <c r="D77" s="34">
        <v>150</v>
      </c>
      <c r="E77" s="33">
        <v>12</v>
      </c>
      <c r="F77" s="5"/>
      <c r="G77" s="5"/>
      <c r="H77" s="5"/>
      <c r="I77" s="3"/>
      <c r="J77" s="39">
        <f t="shared" si="8"/>
        <v>0</v>
      </c>
      <c r="K77" s="39">
        <f>SUM(D77*E77*H77)</f>
        <v>0</v>
      </c>
    </row>
    <row r="78" spans="1:13" s="1" customFormat="1" x14ac:dyDescent="0.35">
      <c r="A78" s="21"/>
      <c r="B78" s="33" t="s">
        <v>101</v>
      </c>
      <c r="C78" s="28" t="s">
        <v>91</v>
      </c>
      <c r="D78" s="34">
        <v>10</v>
      </c>
      <c r="E78" s="33">
        <v>12</v>
      </c>
      <c r="F78" s="5"/>
      <c r="G78" s="5"/>
      <c r="H78" s="5"/>
      <c r="I78" s="3"/>
      <c r="J78" s="39">
        <f t="shared" si="8"/>
        <v>0</v>
      </c>
      <c r="K78" s="39">
        <f>SUM(D78*E78*H78)</f>
        <v>0</v>
      </c>
    </row>
    <row r="79" spans="1:13" s="1" customFormat="1" x14ac:dyDescent="0.35">
      <c r="A79" s="21"/>
      <c r="B79" s="33" t="s">
        <v>102</v>
      </c>
      <c r="C79" s="28" t="s">
        <v>90</v>
      </c>
      <c r="D79" s="34">
        <v>150</v>
      </c>
      <c r="E79" s="33">
        <v>12</v>
      </c>
      <c r="F79" s="5"/>
      <c r="G79" s="5"/>
      <c r="H79" s="5"/>
      <c r="I79" s="3"/>
      <c r="J79" s="39">
        <f t="shared" si="8"/>
        <v>0</v>
      </c>
      <c r="K79" s="39">
        <f t="shared" ref="K79" si="9">SUM(D79*E79*H79)</f>
        <v>0</v>
      </c>
    </row>
    <row r="80" spans="1:13" s="1" customFormat="1" ht="15" thickBot="1" x14ac:dyDescent="0.4">
      <c r="A80" s="21"/>
      <c r="B80" s="33" t="s">
        <v>103</v>
      </c>
      <c r="C80" s="28" t="s">
        <v>91</v>
      </c>
      <c r="D80" s="34">
        <v>10</v>
      </c>
      <c r="E80" s="33">
        <v>12</v>
      </c>
      <c r="F80" s="5"/>
      <c r="G80" s="5"/>
      <c r="H80" s="5"/>
      <c r="I80" s="3"/>
      <c r="J80" s="39"/>
      <c r="K80" s="39">
        <f>SUM(D80*E80*H80)</f>
        <v>0</v>
      </c>
    </row>
    <row r="81" spans="1:13" s="1" customFormat="1" ht="15" thickBot="1" x14ac:dyDescent="0.4">
      <c r="A81" s="21"/>
      <c r="B81" s="66" t="s">
        <v>18</v>
      </c>
      <c r="C81" s="67"/>
      <c r="D81" s="67"/>
      <c r="E81" s="67"/>
      <c r="F81" s="67"/>
      <c r="G81" s="67"/>
      <c r="H81" s="67"/>
      <c r="I81" s="67"/>
      <c r="J81" s="68"/>
      <c r="K81" s="40">
        <f>SUM(K75:K80)</f>
        <v>0</v>
      </c>
    </row>
    <row r="82" spans="1:13" ht="15" thickBot="1" x14ac:dyDescent="0.4">
      <c r="A82" s="8"/>
      <c r="B82" s="8"/>
      <c r="C82" s="8"/>
      <c r="D82" s="8"/>
      <c r="E82" s="8"/>
      <c r="F82" s="8"/>
      <c r="G82" s="8"/>
      <c r="H82" s="8"/>
      <c r="I82" s="8"/>
      <c r="J82" s="8"/>
      <c r="K82" s="8"/>
    </row>
    <row r="83" spans="1:13" s="20" customFormat="1" ht="58.5" customHeight="1" x14ac:dyDescent="0.45">
      <c r="A83" s="22"/>
      <c r="B83" s="23" t="s">
        <v>78</v>
      </c>
      <c r="C83" s="24"/>
      <c r="D83" s="24"/>
      <c r="E83" s="24"/>
      <c r="F83" s="24"/>
      <c r="G83" s="24"/>
      <c r="H83" s="24"/>
      <c r="I83" s="25"/>
      <c r="J83" s="25"/>
      <c r="K83" s="25"/>
      <c r="M83" s="57" t="s">
        <v>47</v>
      </c>
    </row>
    <row r="84" spans="1:13" s="1" customFormat="1" ht="19" thickBot="1" x14ac:dyDescent="0.5">
      <c r="A84" s="21"/>
      <c r="B84" s="69" t="s">
        <v>31</v>
      </c>
      <c r="C84" s="70"/>
      <c r="D84" s="70"/>
      <c r="E84" s="70"/>
      <c r="F84" s="70"/>
      <c r="G84" s="70"/>
      <c r="H84" s="70"/>
      <c r="I84" s="70"/>
      <c r="J84" s="71"/>
      <c r="K84" s="41">
        <f>SUM(K12,K23,K43,K32)</f>
        <v>0</v>
      </c>
      <c r="M84" s="42">
        <f>K84*0.01</f>
        <v>0</v>
      </c>
    </row>
    <row r="85" spans="1:13" x14ac:dyDescent="0.35">
      <c r="A85" s="8"/>
      <c r="B85" s="8"/>
      <c r="C85" s="8"/>
      <c r="D85" s="8"/>
      <c r="E85" s="8"/>
      <c r="F85" s="8"/>
      <c r="G85" s="8"/>
      <c r="H85" s="8"/>
      <c r="I85" s="8"/>
      <c r="J85" s="8"/>
    </row>
    <row r="86" spans="1:13" s="8" customFormat="1" x14ac:dyDescent="0.35"/>
  </sheetData>
  <mergeCells count="9">
    <mergeCell ref="B12:J12"/>
    <mergeCell ref="B23:J23"/>
    <mergeCell ref="B43:J43"/>
    <mergeCell ref="B32:J32"/>
    <mergeCell ref="B84:J84"/>
    <mergeCell ref="B55:J55"/>
    <mergeCell ref="B65:J65"/>
    <mergeCell ref="B71:J71"/>
    <mergeCell ref="B81:J81"/>
  </mergeCells>
  <dataValidations count="1">
    <dataValidation type="list" allowBlank="1" showInputMessage="1" showErrorMessage="1" sqref="E69:E70" xr:uid="{960F22F4-ADE9-4006-8EF5-2675137D87EB}">
      <formula1>"Ja,Nej"</formula1>
    </dataValidation>
  </dataValidation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5415ED-6282-46A8-B575-C661FB24DC67}">
  <dimension ref="A1:M50"/>
  <sheetViews>
    <sheetView showGridLines="0" zoomScaleNormal="114" workbookViewId="0">
      <selection activeCell="C28" sqref="C28"/>
    </sheetView>
  </sheetViews>
  <sheetFormatPr defaultRowHeight="14.5" x14ac:dyDescent="0.35"/>
  <cols>
    <col min="1" max="1" width="4.453125" customWidth="1"/>
    <col min="2" max="2" width="39.453125" customWidth="1"/>
    <col min="3" max="3" width="35.453125" customWidth="1"/>
    <col min="4" max="4" width="26.81640625" customWidth="1"/>
    <col min="5" max="6" width="24.453125" customWidth="1"/>
    <col min="7" max="7" width="35.54296875" customWidth="1"/>
    <col min="8" max="8" width="28" customWidth="1"/>
    <col min="9" max="9" width="25.1796875" customWidth="1"/>
    <col min="10" max="10" width="20.81640625" customWidth="1"/>
    <col min="11" max="11" width="41.54296875" customWidth="1"/>
    <col min="13" max="13" width="38.453125" customWidth="1"/>
  </cols>
  <sheetData>
    <row r="1" spans="1:11" s="1" customFormat="1" ht="21" x14ac:dyDescent="0.5">
      <c r="A1" s="21"/>
      <c r="B1" s="26" t="s">
        <v>4</v>
      </c>
      <c r="C1" s="21"/>
      <c r="D1" s="32" t="s">
        <v>11</v>
      </c>
      <c r="E1" s="32"/>
      <c r="F1" s="21"/>
      <c r="G1" s="21"/>
      <c r="H1" s="21"/>
      <c r="I1" s="21"/>
      <c r="J1" s="21"/>
    </row>
    <row r="2" spans="1:11" s="1" customFormat="1" ht="9.75" customHeight="1" x14ac:dyDescent="0.35">
      <c r="A2" s="21"/>
      <c r="B2" s="21"/>
      <c r="C2" s="21"/>
      <c r="D2" s="21"/>
      <c r="E2" s="21"/>
      <c r="F2" s="21"/>
      <c r="G2" s="21"/>
      <c r="H2" s="21"/>
      <c r="I2" s="21"/>
      <c r="J2" s="21"/>
    </row>
    <row r="3" spans="1:11" s="20" customFormat="1" ht="15.5" x14ac:dyDescent="0.35">
      <c r="A3" s="22"/>
      <c r="B3" s="18" t="s">
        <v>5</v>
      </c>
      <c r="C3" s="19"/>
      <c r="D3" s="19"/>
      <c r="E3" s="19"/>
      <c r="F3" s="19"/>
      <c r="G3" s="19"/>
      <c r="H3" s="19"/>
      <c r="I3" s="19"/>
      <c r="J3" s="19"/>
      <c r="K3" s="19"/>
    </row>
    <row r="4" spans="1:11" s="1" customFormat="1" ht="29" x14ac:dyDescent="0.35">
      <c r="A4" s="21"/>
      <c r="B4" s="12" t="s">
        <v>49</v>
      </c>
      <c r="C4" s="12" t="s">
        <v>50</v>
      </c>
      <c r="D4" s="2" t="s">
        <v>27</v>
      </c>
      <c r="E4" s="2" t="s">
        <v>9</v>
      </c>
      <c r="F4" s="7" t="s">
        <v>25</v>
      </c>
      <c r="G4" s="7" t="s">
        <v>19</v>
      </c>
      <c r="H4" s="2" t="s">
        <v>3</v>
      </c>
      <c r="I4" s="2"/>
      <c r="J4" s="2"/>
      <c r="K4" s="7" t="s">
        <v>28</v>
      </c>
    </row>
    <row r="5" spans="1:11" s="1" customFormat="1" ht="15" customHeight="1" x14ac:dyDescent="0.35">
      <c r="A5" s="21"/>
      <c r="B5" s="28" t="s">
        <v>51</v>
      </c>
      <c r="C5" s="28" t="s">
        <v>52</v>
      </c>
      <c r="D5" s="43">
        <v>60</v>
      </c>
      <c r="E5" s="30" t="s">
        <v>12</v>
      </c>
      <c r="F5" s="5" t="s">
        <v>13</v>
      </c>
      <c r="G5" s="36">
        <v>15000</v>
      </c>
      <c r="H5" s="3"/>
      <c r="I5" s="4"/>
      <c r="J5" s="4"/>
      <c r="K5" s="39">
        <f>SUM(D5*G5)</f>
        <v>900000</v>
      </c>
    </row>
    <row r="6" spans="1:11" s="1" customFormat="1" x14ac:dyDescent="0.35">
      <c r="A6" s="21"/>
      <c r="B6" s="28"/>
      <c r="C6" s="28"/>
      <c r="D6" s="43"/>
      <c r="E6" s="30"/>
      <c r="F6" s="5"/>
      <c r="G6" s="36"/>
      <c r="H6" s="3"/>
      <c r="I6" s="4"/>
      <c r="J6" s="4"/>
      <c r="K6" s="39">
        <f t="shared" ref="K6:K11" si="0">SUM(D6*G6)</f>
        <v>0</v>
      </c>
    </row>
    <row r="7" spans="1:11" s="1" customFormat="1" x14ac:dyDescent="0.35">
      <c r="A7" s="21"/>
      <c r="B7" s="28"/>
      <c r="C7" s="28"/>
      <c r="D7" s="43"/>
      <c r="E7" s="30"/>
      <c r="F7" s="5"/>
      <c r="G7" s="36"/>
      <c r="H7" s="3"/>
      <c r="I7" s="4"/>
      <c r="J7" s="4"/>
      <c r="K7" s="39">
        <f t="shared" si="0"/>
        <v>0</v>
      </c>
    </row>
    <row r="8" spans="1:11" s="1" customFormat="1" x14ac:dyDescent="0.35">
      <c r="A8" s="21"/>
      <c r="B8" s="28"/>
      <c r="C8" s="28"/>
      <c r="D8" s="43"/>
      <c r="E8" s="30"/>
      <c r="F8" s="5"/>
      <c r="G8" s="36"/>
      <c r="H8" s="3"/>
      <c r="I8" s="4"/>
      <c r="J8" s="4"/>
      <c r="K8" s="39">
        <f t="shared" si="0"/>
        <v>0</v>
      </c>
    </row>
    <row r="9" spans="1:11" s="1" customFormat="1" x14ac:dyDescent="0.35">
      <c r="A9" s="21"/>
      <c r="B9" s="28"/>
      <c r="C9" s="28"/>
      <c r="D9" s="43"/>
      <c r="E9" s="30"/>
      <c r="F9" s="5"/>
      <c r="G9" s="36"/>
      <c r="H9" s="3"/>
      <c r="I9" s="4"/>
      <c r="J9" s="4"/>
      <c r="K9" s="39">
        <f t="shared" si="0"/>
        <v>0</v>
      </c>
    </row>
    <row r="10" spans="1:11" s="1" customFormat="1" x14ac:dyDescent="0.35">
      <c r="A10" s="21"/>
      <c r="B10" s="28"/>
      <c r="C10" s="28"/>
      <c r="D10" s="43"/>
      <c r="E10" s="30"/>
      <c r="F10" s="5"/>
      <c r="G10" s="36"/>
      <c r="H10" s="3"/>
      <c r="I10" s="4"/>
      <c r="J10" s="4"/>
      <c r="K10" s="39">
        <f t="shared" si="0"/>
        <v>0</v>
      </c>
    </row>
    <row r="11" spans="1:11" s="1" customFormat="1" ht="15" thickBot="1" x14ac:dyDescent="0.4">
      <c r="A11" s="21"/>
      <c r="B11" s="29"/>
      <c r="C11" s="29"/>
      <c r="D11" s="44"/>
      <c r="E11" s="31"/>
      <c r="F11" s="9"/>
      <c r="G11" s="37"/>
      <c r="H11" s="10"/>
      <c r="I11" s="11"/>
      <c r="J11" s="11"/>
      <c r="K11" s="39">
        <f t="shared" si="0"/>
        <v>0</v>
      </c>
    </row>
    <row r="12" spans="1:11" s="1" customFormat="1" ht="15" thickBot="1" x14ac:dyDescent="0.4">
      <c r="A12" s="21"/>
      <c r="B12" s="66" t="s">
        <v>17</v>
      </c>
      <c r="C12" s="67"/>
      <c r="D12" s="67"/>
      <c r="E12" s="67"/>
      <c r="F12" s="67"/>
      <c r="G12" s="67"/>
      <c r="H12" s="67"/>
      <c r="I12" s="67"/>
      <c r="J12" s="68"/>
      <c r="K12" s="40">
        <f>SUM(K5:K11)</f>
        <v>900000</v>
      </c>
    </row>
    <row r="13" spans="1:11" s="1" customFormat="1" x14ac:dyDescent="0.35">
      <c r="A13" s="21"/>
      <c r="B13" s="21"/>
      <c r="C13" s="21"/>
      <c r="D13" s="21"/>
      <c r="E13" s="21"/>
      <c r="F13" s="21"/>
      <c r="G13" s="21"/>
      <c r="H13" s="21"/>
      <c r="I13" s="21"/>
      <c r="J13" s="21"/>
    </row>
    <row r="14" spans="1:11" s="20" customFormat="1" ht="15.5" x14ac:dyDescent="0.35">
      <c r="A14" s="22"/>
      <c r="B14" s="18" t="s">
        <v>6</v>
      </c>
      <c r="C14" s="19"/>
      <c r="D14" s="19"/>
      <c r="E14" s="19"/>
      <c r="F14" s="19"/>
      <c r="G14" s="19"/>
      <c r="H14" s="19"/>
      <c r="I14" s="19"/>
      <c r="J14" s="19"/>
      <c r="K14" s="19"/>
    </row>
    <row r="15" spans="1:11" s="1" customFormat="1" ht="56.25" customHeight="1" x14ac:dyDescent="0.35">
      <c r="A15" s="21"/>
      <c r="B15" s="12" t="s">
        <v>49</v>
      </c>
      <c r="C15" s="12" t="s">
        <v>50</v>
      </c>
      <c r="D15" s="2" t="s">
        <v>27</v>
      </c>
      <c r="E15" s="2" t="s">
        <v>0</v>
      </c>
      <c r="F15" s="2" t="s">
        <v>9</v>
      </c>
      <c r="G15" s="2" t="s">
        <v>26</v>
      </c>
      <c r="H15" s="7" t="s">
        <v>36</v>
      </c>
      <c r="I15" s="2" t="s">
        <v>3</v>
      </c>
      <c r="J15" s="7" t="s">
        <v>34</v>
      </c>
      <c r="K15" s="7" t="s">
        <v>54</v>
      </c>
    </row>
    <row r="16" spans="1:11" s="1" customFormat="1" x14ac:dyDescent="0.35">
      <c r="A16" s="21"/>
      <c r="B16" s="28" t="s">
        <v>51</v>
      </c>
      <c r="C16" s="28" t="s">
        <v>52</v>
      </c>
      <c r="D16" s="43">
        <v>15</v>
      </c>
      <c r="E16" s="34">
        <v>36</v>
      </c>
      <c r="F16" s="3" t="s">
        <v>14</v>
      </c>
      <c r="G16" s="3" t="s">
        <v>15</v>
      </c>
      <c r="H16" s="38">
        <v>500</v>
      </c>
      <c r="I16" s="3"/>
      <c r="J16" s="39">
        <f t="shared" ref="J16:J22" si="1">SUM(H16*12)</f>
        <v>6000</v>
      </c>
      <c r="K16" s="39">
        <f>SUM(D16*E16*H16)</f>
        <v>270000</v>
      </c>
    </row>
    <row r="17" spans="1:11" s="1" customFormat="1" x14ac:dyDescent="0.35">
      <c r="A17" s="21"/>
      <c r="B17" s="28"/>
      <c r="C17" s="28"/>
      <c r="D17" s="43"/>
      <c r="E17" s="34"/>
      <c r="F17" s="5"/>
      <c r="G17" s="5"/>
      <c r="H17" s="36"/>
      <c r="I17" s="3"/>
      <c r="J17" s="39">
        <f t="shared" si="1"/>
        <v>0</v>
      </c>
      <c r="K17" s="39">
        <f>SUM(D17*E17*H17)</f>
        <v>0</v>
      </c>
    </row>
    <row r="18" spans="1:11" s="1" customFormat="1" x14ac:dyDescent="0.35">
      <c r="A18" s="21"/>
      <c r="B18" s="28"/>
      <c r="C18" s="33"/>
      <c r="D18" s="43"/>
      <c r="E18" s="34"/>
      <c r="F18" s="5"/>
      <c r="G18" s="5"/>
      <c r="H18" s="36"/>
      <c r="I18" s="3"/>
      <c r="J18" s="39">
        <f t="shared" si="1"/>
        <v>0</v>
      </c>
      <c r="K18" s="39">
        <f>SUM(D18*E18*H18)</f>
        <v>0</v>
      </c>
    </row>
    <row r="19" spans="1:11" s="1" customFormat="1" x14ac:dyDescent="0.35">
      <c r="A19" s="21"/>
      <c r="B19" s="28"/>
      <c r="C19" s="28"/>
      <c r="D19" s="43"/>
      <c r="E19" s="34"/>
      <c r="F19" s="5"/>
      <c r="G19" s="5"/>
      <c r="H19" s="36"/>
      <c r="I19" s="3"/>
      <c r="J19" s="39">
        <f t="shared" si="1"/>
        <v>0</v>
      </c>
      <c r="K19" s="39">
        <f t="shared" ref="K19:K22" si="2">SUM(D19*E19)</f>
        <v>0</v>
      </c>
    </row>
    <row r="20" spans="1:11" s="1" customFormat="1" x14ac:dyDescent="0.35">
      <c r="A20" s="21"/>
      <c r="B20" s="28"/>
      <c r="C20" s="28"/>
      <c r="D20" s="43"/>
      <c r="E20" s="34"/>
      <c r="F20" s="5"/>
      <c r="G20" s="5"/>
      <c r="H20" s="36"/>
      <c r="I20" s="3"/>
      <c r="J20" s="39">
        <f t="shared" si="1"/>
        <v>0</v>
      </c>
      <c r="K20" s="39">
        <f t="shared" si="2"/>
        <v>0</v>
      </c>
    </row>
    <row r="21" spans="1:11" s="1" customFormat="1" x14ac:dyDescent="0.35">
      <c r="A21" s="21"/>
      <c r="B21" s="28"/>
      <c r="C21" s="28"/>
      <c r="D21" s="43"/>
      <c r="E21" s="34"/>
      <c r="F21" s="5"/>
      <c r="G21" s="5"/>
      <c r="H21" s="36"/>
      <c r="I21" s="3"/>
      <c r="J21" s="39">
        <f t="shared" si="1"/>
        <v>0</v>
      </c>
      <c r="K21" s="39">
        <f t="shared" si="2"/>
        <v>0</v>
      </c>
    </row>
    <row r="22" spans="1:11" s="1" customFormat="1" ht="15" thickBot="1" x14ac:dyDescent="0.4">
      <c r="A22" s="21"/>
      <c r="B22" s="29"/>
      <c r="C22" s="29"/>
      <c r="D22" s="44"/>
      <c r="E22" s="35"/>
      <c r="F22" s="9"/>
      <c r="G22" s="9"/>
      <c r="H22" s="37"/>
      <c r="I22" s="10"/>
      <c r="J22" s="39">
        <f t="shared" si="1"/>
        <v>0</v>
      </c>
      <c r="K22" s="39">
        <f t="shared" si="2"/>
        <v>0</v>
      </c>
    </row>
    <row r="23" spans="1:11" s="1" customFormat="1" ht="15" thickBot="1" x14ac:dyDescent="0.4">
      <c r="A23" s="21"/>
      <c r="B23" s="66" t="s">
        <v>17</v>
      </c>
      <c r="C23" s="67"/>
      <c r="D23" s="67"/>
      <c r="E23" s="67"/>
      <c r="F23" s="67"/>
      <c r="G23" s="67"/>
      <c r="H23" s="67"/>
      <c r="I23" s="67"/>
      <c r="J23" s="68"/>
      <c r="K23" s="40">
        <f>SUM(K16:K22)</f>
        <v>270000</v>
      </c>
    </row>
    <row r="24" spans="1:11" x14ac:dyDescent="0.35">
      <c r="A24" s="8"/>
      <c r="B24" s="8"/>
      <c r="C24" s="8"/>
      <c r="D24" s="8"/>
      <c r="E24" s="8"/>
      <c r="F24" s="8"/>
      <c r="G24" s="8"/>
      <c r="H24" s="8"/>
      <c r="I24" s="8"/>
      <c r="J24" s="8"/>
    </row>
    <row r="25" spans="1:11" s="20" customFormat="1" ht="15.5" x14ac:dyDescent="0.35">
      <c r="A25" s="22"/>
      <c r="B25" s="18" t="s">
        <v>7</v>
      </c>
      <c r="C25" s="19"/>
      <c r="D25" s="19"/>
      <c r="E25" s="19"/>
      <c r="F25" s="19"/>
      <c r="G25" s="19"/>
      <c r="H25" s="19"/>
      <c r="I25" s="19"/>
      <c r="J25" s="19"/>
      <c r="K25" s="19"/>
    </row>
    <row r="26" spans="1:11" s="1" customFormat="1" ht="29" x14ac:dyDescent="0.35">
      <c r="A26" s="21"/>
      <c r="B26" s="58" t="s">
        <v>48</v>
      </c>
      <c r="C26" s="2" t="s">
        <v>2</v>
      </c>
      <c r="D26" s="2" t="s">
        <v>20</v>
      </c>
      <c r="E26" s="7" t="s">
        <v>3</v>
      </c>
      <c r="F26" s="15"/>
      <c r="G26" s="16"/>
      <c r="H26" s="17"/>
      <c r="I26" s="2"/>
      <c r="J26" s="2"/>
      <c r="K26" s="7" t="s">
        <v>33</v>
      </c>
    </row>
    <row r="27" spans="1:11" s="1" customFormat="1" x14ac:dyDescent="0.35">
      <c r="A27" s="21"/>
      <c r="B27" s="28" t="s">
        <v>29</v>
      </c>
      <c r="C27" s="38">
        <v>30</v>
      </c>
      <c r="D27" s="38">
        <v>1100</v>
      </c>
      <c r="E27" s="3"/>
      <c r="F27" s="6"/>
      <c r="G27" s="6"/>
      <c r="H27" s="6"/>
      <c r="I27" s="4"/>
      <c r="J27" s="4"/>
      <c r="K27" s="39">
        <f>SUM(C27*D27)</f>
        <v>33000</v>
      </c>
    </row>
    <row r="28" spans="1:11" s="1" customFormat="1" ht="15" customHeight="1" x14ac:dyDescent="0.35">
      <c r="A28" s="21"/>
      <c r="B28" s="28"/>
      <c r="C28" s="38"/>
      <c r="D28" s="38"/>
      <c r="E28" s="3"/>
      <c r="F28" s="6"/>
      <c r="G28" s="6"/>
      <c r="H28" s="6"/>
      <c r="I28" s="4"/>
      <c r="J28" s="4"/>
      <c r="K28" s="39">
        <f t="shared" ref="K28:K33" si="3">SUM(C28*D28)</f>
        <v>0</v>
      </c>
    </row>
    <row r="29" spans="1:11" s="1" customFormat="1" ht="15" customHeight="1" x14ac:dyDescent="0.35">
      <c r="A29" s="21"/>
      <c r="B29" s="28"/>
      <c r="C29" s="38"/>
      <c r="D29" s="38"/>
      <c r="E29" s="3"/>
      <c r="F29" s="6"/>
      <c r="G29" s="6"/>
      <c r="H29" s="6"/>
      <c r="I29" s="4"/>
      <c r="J29" s="4"/>
      <c r="K29" s="39">
        <f t="shared" si="3"/>
        <v>0</v>
      </c>
    </row>
    <row r="30" spans="1:11" s="1" customFormat="1" ht="15" customHeight="1" x14ac:dyDescent="0.35">
      <c r="A30" s="21"/>
      <c r="B30" s="28"/>
      <c r="C30" s="38"/>
      <c r="D30" s="38"/>
      <c r="E30" s="3"/>
      <c r="F30" s="6"/>
      <c r="G30" s="6"/>
      <c r="H30" s="6"/>
      <c r="I30" s="4"/>
      <c r="J30" s="4"/>
      <c r="K30" s="39">
        <f t="shared" si="3"/>
        <v>0</v>
      </c>
    </row>
    <row r="31" spans="1:11" s="1" customFormat="1" ht="15" customHeight="1" x14ac:dyDescent="0.35">
      <c r="A31" s="21"/>
      <c r="B31" s="28"/>
      <c r="C31" s="38"/>
      <c r="D31" s="38"/>
      <c r="E31" s="3"/>
      <c r="F31" s="6"/>
      <c r="G31" s="6"/>
      <c r="H31" s="6"/>
      <c r="I31" s="4"/>
      <c r="J31" s="4"/>
      <c r="K31" s="39">
        <f t="shared" si="3"/>
        <v>0</v>
      </c>
    </row>
    <row r="32" spans="1:11" s="1" customFormat="1" ht="15" customHeight="1" x14ac:dyDescent="0.35">
      <c r="A32" s="21"/>
      <c r="B32" s="28"/>
      <c r="C32" s="38"/>
      <c r="D32" s="38"/>
      <c r="E32" s="3"/>
      <c r="F32" s="6"/>
      <c r="G32" s="6"/>
      <c r="H32" s="6"/>
      <c r="I32" s="4"/>
      <c r="J32" s="4"/>
      <c r="K32" s="39">
        <f t="shared" si="3"/>
        <v>0</v>
      </c>
    </row>
    <row r="33" spans="1:13" s="1" customFormat="1" ht="15.75" customHeight="1" thickBot="1" x14ac:dyDescent="0.4">
      <c r="A33" s="21"/>
      <c r="B33" s="28"/>
      <c r="C33" s="38"/>
      <c r="D33" s="38"/>
      <c r="E33" s="3"/>
      <c r="F33" s="6"/>
      <c r="G33" s="6"/>
      <c r="H33" s="6"/>
      <c r="I33" s="11"/>
      <c r="J33" s="11"/>
      <c r="K33" s="39">
        <f t="shared" si="3"/>
        <v>0</v>
      </c>
    </row>
    <row r="34" spans="1:13" s="1" customFormat="1" ht="15" thickBot="1" x14ac:dyDescent="0.4">
      <c r="A34" s="21"/>
      <c r="B34" s="66" t="s">
        <v>17</v>
      </c>
      <c r="C34" s="67"/>
      <c r="D34" s="67"/>
      <c r="E34" s="67"/>
      <c r="F34" s="67"/>
      <c r="G34" s="67"/>
      <c r="H34" s="67"/>
      <c r="I34" s="67"/>
      <c r="J34" s="68"/>
      <c r="K34" s="40">
        <f>SUM(K27:K33)</f>
        <v>33000</v>
      </c>
    </row>
    <row r="35" spans="1:13" s="1" customFormat="1" x14ac:dyDescent="0.35">
      <c r="A35" s="21"/>
      <c r="B35" s="21"/>
      <c r="C35" s="21"/>
      <c r="D35" s="21"/>
      <c r="E35" s="21"/>
      <c r="F35" s="21"/>
      <c r="G35" s="21"/>
      <c r="H35" s="21"/>
      <c r="I35" s="21"/>
      <c r="J35" s="21"/>
      <c r="K35" s="21"/>
    </row>
    <row r="36" spans="1:13" s="20" customFormat="1" ht="15.5" x14ac:dyDescent="0.35">
      <c r="A36" s="22"/>
      <c r="B36" s="18" t="s">
        <v>8</v>
      </c>
      <c r="C36" s="19"/>
      <c r="D36" s="19"/>
      <c r="E36" s="19"/>
      <c r="F36" s="19"/>
      <c r="G36" s="19"/>
      <c r="H36" s="19"/>
      <c r="I36" s="19"/>
      <c r="J36" s="19"/>
      <c r="K36" s="19"/>
    </row>
    <row r="37" spans="1:13" s="1" customFormat="1" x14ac:dyDescent="0.35">
      <c r="A37" s="21"/>
      <c r="B37" s="2" t="s">
        <v>1</v>
      </c>
      <c r="C37" s="2" t="s">
        <v>21</v>
      </c>
      <c r="D37" s="7" t="s">
        <v>3</v>
      </c>
      <c r="E37" s="13"/>
      <c r="F37" s="15"/>
      <c r="G37" s="16"/>
      <c r="H37" s="17"/>
      <c r="I37" s="2"/>
      <c r="J37" s="2"/>
      <c r="K37" s="2" t="s">
        <v>21</v>
      </c>
    </row>
    <row r="38" spans="1:13" s="1" customFormat="1" x14ac:dyDescent="0.35">
      <c r="A38" s="21"/>
      <c r="B38" s="33" t="s">
        <v>30</v>
      </c>
      <c r="C38" s="38">
        <v>120000</v>
      </c>
      <c r="D38" s="3"/>
      <c r="E38" s="14"/>
      <c r="F38" s="6"/>
      <c r="G38" s="6"/>
      <c r="H38" s="6"/>
      <c r="I38" s="4"/>
      <c r="J38" s="4"/>
      <c r="K38" s="39">
        <f>C38</f>
        <v>120000</v>
      </c>
    </row>
    <row r="39" spans="1:13" s="1" customFormat="1" ht="15" customHeight="1" x14ac:dyDescent="0.35">
      <c r="A39" s="21"/>
      <c r="B39" s="28"/>
      <c r="C39" s="38"/>
      <c r="D39" s="3"/>
      <c r="E39" s="14"/>
      <c r="F39" s="6"/>
      <c r="G39" s="6"/>
      <c r="H39" s="6"/>
      <c r="I39" s="4"/>
      <c r="J39" s="4"/>
      <c r="K39" s="39">
        <f t="shared" ref="K39:K44" si="4">C39</f>
        <v>0</v>
      </c>
    </row>
    <row r="40" spans="1:13" s="1" customFormat="1" ht="15" customHeight="1" x14ac:dyDescent="0.35">
      <c r="A40" s="21"/>
      <c r="B40" s="28"/>
      <c r="C40" s="38"/>
      <c r="D40" s="3"/>
      <c r="E40" s="14"/>
      <c r="F40" s="6"/>
      <c r="G40" s="6"/>
      <c r="H40" s="6"/>
      <c r="I40" s="4"/>
      <c r="J40" s="4"/>
      <c r="K40" s="39">
        <f t="shared" si="4"/>
        <v>0</v>
      </c>
    </row>
    <row r="41" spans="1:13" s="1" customFormat="1" ht="15" customHeight="1" x14ac:dyDescent="0.35">
      <c r="A41" s="21"/>
      <c r="B41" s="28"/>
      <c r="C41" s="38"/>
      <c r="D41" s="3"/>
      <c r="E41" s="14"/>
      <c r="F41" s="6"/>
      <c r="G41" s="6"/>
      <c r="H41" s="6"/>
      <c r="I41" s="4"/>
      <c r="J41" s="4"/>
      <c r="K41" s="39">
        <f t="shared" si="4"/>
        <v>0</v>
      </c>
    </row>
    <row r="42" spans="1:13" s="1" customFormat="1" ht="15" customHeight="1" x14ac:dyDescent="0.35">
      <c r="A42" s="21"/>
      <c r="B42" s="28"/>
      <c r="C42" s="38"/>
      <c r="D42" s="3"/>
      <c r="E42" s="14"/>
      <c r="F42" s="6"/>
      <c r="G42" s="6"/>
      <c r="H42" s="6"/>
      <c r="I42" s="4"/>
      <c r="J42" s="4"/>
      <c r="K42" s="39">
        <f t="shared" si="4"/>
        <v>0</v>
      </c>
    </row>
    <row r="43" spans="1:13" s="1" customFormat="1" ht="15" customHeight="1" x14ac:dyDescent="0.35">
      <c r="A43" s="21"/>
      <c r="B43" s="28"/>
      <c r="C43" s="38"/>
      <c r="D43" s="3"/>
      <c r="E43" s="14"/>
      <c r="F43" s="6"/>
      <c r="G43" s="6"/>
      <c r="H43" s="6"/>
      <c r="I43" s="4"/>
      <c r="J43" s="4"/>
      <c r="K43" s="39">
        <f t="shared" si="4"/>
        <v>0</v>
      </c>
    </row>
    <row r="44" spans="1:13" s="1" customFormat="1" ht="15.75" customHeight="1" thickBot="1" x14ac:dyDescent="0.4">
      <c r="A44" s="21"/>
      <c r="B44" s="28"/>
      <c r="C44" s="38"/>
      <c r="D44" s="3"/>
      <c r="E44" s="14"/>
      <c r="F44" s="6"/>
      <c r="G44" s="6"/>
      <c r="H44" s="6"/>
      <c r="I44" s="4"/>
      <c r="J44" s="4"/>
      <c r="K44" s="39">
        <f t="shared" si="4"/>
        <v>0</v>
      </c>
    </row>
    <row r="45" spans="1:13" s="1" customFormat="1" ht="15" thickBot="1" x14ac:dyDescent="0.4">
      <c r="A45" s="21"/>
      <c r="B45" s="66" t="s">
        <v>17</v>
      </c>
      <c r="C45" s="67"/>
      <c r="D45" s="67"/>
      <c r="E45" s="67"/>
      <c r="F45" s="67"/>
      <c r="G45" s="67"/>
      <c r="H45" s="67"/>
      <c r="I45" s="67"/>
      <c r="J45" s="68"/>
      <c r="K45" s="40">
        <f>SUM(K38:K44)</f>
        <v>120000</v>
      </c>
    </row>
    <row r="46" spans="1:13" ht="15" thickBot="1" x14ac:dyDescent="0.4">
      <c r="A46" s="8"/>
      <c r="B46" s="8"/>
      <c r="C46" s="8"/>
      <c r="D46" s="8"/>
      <c r="E46" s="8"/>
      <c r="F46" s="8"/>
      <c r="G46" s="8"/>
      <c r="H46" s="8"/>
      <c r="I46" s="8"/>
      <c r="J46" s="8"/>
      <c r="K46" s="8"/>
    </row>
    <row r="47" spans="1:13" s="20" customFormat="1" ht="18.5" x14ac:dyDescent="0.45">
      <c r="A47" s="22"/>
      <c r="B47" s="23" t="s">
        <v>10</v>
      </c>
      <c r="C47" s="24"/>
      <c r="D47" s="24"/>
      <c r="E47" s="24"/>
      <c r="F47" s="24"/>
      <c r="G47" s="24"/>
      <c r="H47" s="24"/>
      <c r="I47" s="25"/>
      <c r="J47" s="25"/>
      <c r="K47" s="25"/>
      <c r="M47" s="27" t="s">
        <v>16</v>
      </c>
    </row>
    <row r="48" spans="1:13" s="1" customFormat="1" ht="19" thickBot="1" x14ac:dyDescent="0.5">
      <c r="A48" s="21"/>
      <c r="B48" s="69" t="s">
        <v>31</v>
      </c>
      <c r="C48" s="70"/>
      <c r="D48" s="70"/>
      <c r="E48" s="70"/>
      <c r="F48" s="70"/>
      <c r="G48" s="70"/>
      <c r="H48" s="70"/>
      <c r="I48" s="70"/>
      <c r="J48" s="71"/>
      <c r="K48" s="41">
        <f>SUM(K12,K23,K34,K45)</f>
        <v>1323000</v>
      </c>
      <c r="M48" s="42">
        <f>K48*0.01</f>
        <v>13230</v>
      </c>
    </row>
    <row r="49" spans="1:10" x14ac:dyDescent="0.35">
      <c r="A49" s="8"/>
      <c r="B49" s="8"/>
      <c r="C49" s="8"/>
      <c r="D49" s="8"/>
      <c r="E49" s="8"/>
      <c r="F49" s="8"/>
      <c r="G49" s="8"/>
      <c r="H49" s="8"/>
      <c r="I49" s="8"/>
      <c r="J49" s="8"/>
    </row>
    <row r="50" spans="1:10" s="8" customFormat="1" x14ac:dyDescent="0.35"/>
  </sheetData>
  <mergeCells count="5">
    <mergeCell ref="B12:J12"/>
    <mergeCell ref="B23:J23"/>
    <mergeCell ref="B34:J34"/>
    <mergeCell ref="B45:J45"/>
    <mergeCell ref="B48:J48"/>
  </mergeCells>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tatus xmlns="b73f0ba2-c1d2-466f-9235-ae73bb9ff120" xsi:nil="true"/>
    <lcf76f155ced4ddcb4097134ff3c332f xmlns="b73f0ba2-c1d2-466f-9235-ae73bb9ff120">
      <Terms xmlns="http://schemas.microsoft.com/office/infopath/2007/PartnerControls"/>
    </lcf76f155ced4ddcb4097134ff3c332f>
    <TaxCatchAll xmlns="f1d9970b-4544-420a-9933-3165d3bbdf1e" xsi:nil="true"/>
    <Kommentar xmlns="b73f0ba2-c1d2-466f-9235-ae73bb9ff120" xsi:nil="true"/>
    <Ansvarlig xmlns="b73f0ba2-c1d2-466f-9235-ae73bb9ff120">
      <UserInfo>
        <DisplayName/>
        <AccountId xsi:nil="true"/>
        <AccountType/>
      </UserInfo>
    </Ansvarlig>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9C1001A0C32584A94199C02B2639F76" ma:contentTypeVersion="15" ma:contentTypeDescription="Create a new document." ma:contentTypeScope="" ma:versionID="6e5c6ded4866e81a4edb86be980a2fbf">
  <xsd:schema xmlns:xsd="http://www.w3.org/2001/XMLSchema" xmlns:xs="http://www.w3.org/2001/XMLSchema" xmlns:p="http://schemas.microsoft.com/office/2006/metadata/properties" xmlns:ns2="b73f0ba2-c1d2-466f-9235-ae73bb9ff120" xmlns:ns3="f1d9970b-4544-420a-9933-3165d3bbdf1e" targetNamespace="http://schemas.microsoft.com/office/2006/metadata/properties" ma:root="true" ma:fieldsID="9d6719f0c58147e739d849f55a5ed8ef" ns2:_="" ns3:_="">
    <xsd:import namespace="b73f0ba2-c1d2-466f-9235-ae73bb9ff120"/>
    <xsd:import namespace="f1d9970b-4544-420a-9933-3165d3bbdf1e"/>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BillingMetadata"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Ansvarlig" minOccurs="0"/>
                <xsd:element ref="ns2:Status" minOccurs="0"/>
                <xsd:element ref="ns2:MediaLengthInSeconds" minOccurs="0"/>
                <xsd:element ref="ns2:Kommenta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73f0ba2-c1d2-466f-9235-ae73bb9ff120"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BillingMetadata" ma:index="11" nillable="true" ma:displayName="MediaServiceBillingMetadata" ma:hidden="true" ma:internalName="MediaServiceBillingMetadata" ma:readOnly="true">
      <xsd:simpleType>
        <xsd:restriction base="dms:Note"/>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b9b5fb31-6e74-4bbd-a1b2-5ea6ef8e2523"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Ansvarlig" ma:index="19" nillable="true" ma:displayName="Ansvarlig" ma:format="Dropdown" ma:list="UserInfo" ma:SharePointGroup="0" ma:internalName="Ansvarlig">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tatus" ma:index="20" nillable="true" ma:displayName="Status" ma:format="Dropdown" ma:internalName="Status">
      <xsd:simpleType>
        <xsd:restriction base="dms:Choice">
          <xsd:enumeration value="Ikke startet"/>
          <xsd:enumeration value="Igang"/>
          <xsd:enumeration value="1st draft"/>
          <xsd:enumeration value="Første review done"/>
          <xsd:enumeration value="Final"/>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Kommentar" ma:index="22" nillable="true" ma:displayName="Kommentar" ma:format="Dropdown" ma:internalName="Kommentar">
      <xsd:simpleType>
        <xsd:restriction base="dms:Text">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f1d9970b-4544-420a-9933-3165d3bbdf1e"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3989154-4aae-44d3-b5fc-4828a24a5933}" ma:internalName="TaxCatchAll" ma:showField="CatchAllData" ma:web="f1d9970b-4544-420a-9933-3165d3bbdf1e">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A7BF5DE-3AC8-4957-AC23-731784720CE2}">
  <ds:schemaRefs>
    <ds:schemaRef ds:uri="http://schemas.microsoft.com/office/2006/documentManagement/types"/>
    <ds:schemaRef ds:uri="http://purl.org/dc/elements/1.1/"/>
    <ds:schemaRef ds:uri="f1d9970b-4544-420a-9933-3165d3bbdf1e"/>
    <ds:schemaRef ds:uri="http://purl.org/dc/terms/"/>
    <ds:schemaRef ds:uri="http://www.w3.org/XML/1998/namespace"/>
    <ds:schemaRef ds:uri="http://schemas.microsoft.com/office/infopath/2007/PartnerControls"/>
    <ds:schemaRef ds:uri="http://schemas.openxmlformats.org/package/2006/metadata/core-properties"/>
    <ds:schemaRef ds:uri="b73f0ba2-c1d2-466f-9235-ae73bb9ff120"/>
    <ds:schemaRef ds:uri="http://schemas.microsoft.com/office/2006/metadata/properties"/>
    <ds:schemaRef ds:uri="http://purl.org/dc/dcmitype/"/>
  </ds:schemaRefs>
</ds:datastoreItem>
</file>

<file path=customXml/itemProps2.xml><?xml version="1.0" encoding="utf-8"?>
<ds:datastoreItem xmlns:ds="http://schemas.openxmlformats.org/officeDocument/2006/customXml" ds:itemID="{BDFD39CD-A9F0-4319-ABA7-1D4153251339}">
  <ds:schemaRefs>
    <ds:schemaRef ds:uri="http://schemas.microsoft.com/sharepoint/v3/contenttype/forms"/>
  </ds:schemaRefs>
</ds:datastoreItem>
</file>

<file path=customXml/itemProps3.xml><?xml version="1.0" encoding="utf-8"?>
<ds:datastoreItem xmlns:ds="http://schemas.openxmlformats.org/officeDocument/2006/customXml" ds:itemID="{DF30FB6A-3092-4152-A99B-B07174D4538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1. Vejledning</vt:lpstr>
      <vt:lpstr>2. Leverandørens priser</vt:lpstr>
      <vt:lpstr>3. Eksempel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Berit Bünger Torp</dc:creator>
  <cp:lastModifiedBy>Anita Odsbjerg Pedersen</cp:lastModifiedBy>
  <dcterms:created xsi:type="dcterms:W3CDTF">2021-01-28T09:43:58Z</dcterms:created>
  <dcterms:modified xsi:type="dcterms:W3CDTF">2026-09-17T15:00:28Z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0x010100D9C1001A0C32584A94199C02B2639F76</vt:lpwstr>
  </property>
  <property fmtid="{D5CDD505-2E9C-101B-9397-08002B2CF9AE}" pid="3" name="MediaServiceImageTags">
    <vt:lpwstr/>
  </property>
</Properties>
</file>