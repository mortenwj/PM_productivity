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heets/sheet1.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ortenJensen\Downloads\"/>
    </mc:Choice>
  </mc:AlternateContent>
  <xr:revisionPtr revIDLastSave="0" documentId="8_{943626B4-BBC9-41D6-86F9-505DAFB24728}" xr6:coauthVersionLast="47" xr6:coauthVersionMax="47" xr10:uidLastSave="{00000000-0000-0000-0000-000000000000}"/>
  <bookViews>
    <workbookView xWindow="-110" yWindow="-110" windowWidth="19420" windowHeight="11500" activeTab="2" xr2:uid="{FFF81B3A-8282-47DB-A667-445C54387296}"/>
  </bookViews>
  <sheets>
    <sheet name="Production Plan" sheetId="1" r:id="rId1"/>
    <sheet name="Red flags" sheetId="10" state="hidden" r:id="rId2"/>
    <sheet name="Q&amp;A" sheetId="6" r:id="rId3"/>
    <sheet name="Timeline" sheetId="8" r:id="rId4"/>
    <sheet name="Status" sheetId="5" r:id="rId5"/>
    <sheet name="Commitment" sheetId="2" r:id="rId6"/>
    <sheet name="Risk Management" sheetId="3" r:id="rId7"/>
    <sheet name="Cost Drivers" sheetId="7" r:id="rId8"/>
    <sheet name="Pricing" sheetId="4" r:id="rId9"/>
    <sheet name="Evalueringshieraki" sheetId="9" r:id="rId10"/>
    <sheet name="Diagram1" sheetId="11" r:id="rId11"/>
  </sheets>
  <definedNames>
    <definedName name="_xlnm._FilterDatabase" localSheetId="5" hidden="1">Commitment!$A$1:$L$1000</definedName>
    <definedName name="_xlnm._FilterDatabase" localSheetId="7" hidden="1">'Cost Drivers'!$A$1:$I$1078</definedName>
    <definedName name="_xlnm._FilterDatabase" localSheetId="0" hidden="1">'Production Plan'!$A$1:$AH$358</definedName>
    <definedName name="_xlnm._FilterDatabase" localSheetId="2" hidden="1">'Q&amp;A'!$A$1:$I$100</definedName>
    <definedName name="_xlnm._FilterDatabase" localSheetId="6" hidden="1">'Risk Management'!$A$1:$N$453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4" i="5" l="1"/>
  <c r="I75" i="5"/>
  <c r="I76" i="5"/>
  <c r="I77" i="5"/>
  <c r="I78" i="5"/>
  <c r="I79" i="5"/>
  <c r="I80" i="5"/>
  <c r="I81" i="5"/>
  <c r="I82" i="5"/>
  <c r="I83" i="5"/>
  <c r="I84" i="5"/>
  <c r="I85" i="5"/>
  <c r="I73" i="5"/>
  <c r="H74" i="5"/>
  <c r="H75" i="5"/>
  <c r="H76" i="5"/>
  <c r="H77" i="5"/>
  <c r="H78" i="5"/>
  <c r="H79" i="5"/>
  <c r="H80" i="5"/>
  <c r="H81" i="5"/>
  <c r="H82" i="5"/>
  <c r="H83" i="5"/>
  <c r="H84" i="5"/>
  <c r="H85" i="5"/>
  <c r="H73" i="5"/>
  <c r="G74" i="5"/>
  <c r="G75" i="5"/>
  <c r="G76" i="5"/>
  <c r="G77" i="5"/>
  <c r="G78" i="5"/>
  <c r="G79" i="5"/>
  <c r="G80" i="5"/>
  <c r="G81" i="5"/>
  <c r="G82" i="5"/>
  <c r="G83" i="5"/>
  <c r="G84" i="5"/>
  <c r="G85" i="5"/>
  <c r="G73" i="5"/>
  <c r="F74" i="5"/>
  <c r="F75" i="5"/>
  <c r="F76" i="5"/>
  <c r="F77" i="5"/>
  <c r="F78" i="5"/>
  <c r="F79" i="5"/>
  <c r="F80" i="5"/>
  <c r="F81" i="5"/>
  <c r="F82" i="5"/>
  <c r="F83" i="5"/>
  <c r="F84" i="5"/>
  <c r="F85" i="5"/>
  <c r="F86" i="5"/>
  <c r="F73" i="5"/>
  <c r="E74" i="5"/>
  <c r="E75" i="5"/>
  <c r="E76" i="5"/>
  <c r="E77" i="5"/>
  <c r="E78" i="5"/>
  <c r="E79" i="5"/>
  <c r="E80" i="5"/>
  <c r="E81" i="5"/>
  <c r="E82" i="5"/>
  <c r="E83" i="5"/>
  <c r="E84" i="5"/>
  <c r="E85" i="5"/>
  <c r="E73" i="5"/>
  <c r="D73" i="5"/>
  <c r="D74" i="5"/>
  <c r="D75" i="5"/>
  <c r="D76" i="5"/>
  <c r="D77" i="5"/>
  <c r="D78" i="5"/>
  <c r="D79" i="5"/>
  <c r="D80" i="5"/>
  <c r="D81" i="5"/>
  <c r="D82" i="5"/>
  <c r="D83" i="5"/>
  <c r="D84" i="5"/>
  <c r="D85" i="5"/>
  <c r="G29" i="5"/>
  <c r="I52" i="5"/>
  <c r="I53" i="5"/>
  <c r="I54" i="5"/>
  <c r="I55" i="5"/>
  <c r="I56" i="5"/>
  <c r="I57" i="5"/>
  <c r="I58" i="5"/>
  <c r="I59" i="5"/>
  <c r="I60" i="5"/>
  <c r="I61" i="5"/>
  <c r="I62" i="5"/>
  <c r="I63" i="5"/>
  <c r="I51" i="5"/>
  <c r="H52" i="5"/>
  <c r="H53" i="5"/>
  <c r="H54" i="5"/>
  <c r="H55" i="5"/>
  <c r="H56" i="5"/>
  <c r="H57" i="5"/>
  <c r="H58" i="5"/>
  <c r="H59" i="5"/>
  <c r="H60" i="5"/>
  <c r="H61" i="5"/>
  <c r="H62" i="5"/>
  <c r="H63" i="5"/>
  <c r="H51" i="5"/>
  <c r="G52" i="5"/>
  <c r="G53" i="5"/>
  <c r="G54" i="5"/>
  <c r="G55" i="5"/>
  <c r="G56" i="5"/>
  <c r="G57" i="5"/>
  <c r="G58" i="5"/>
  <c r="G59" i="5"/>
  <c r="G60" i="5"/>
  <c r="G61" i="5"/>
  <c r="G62" i="5"/>
  <c r="G63" i="5"/>
  <c r="G51" i="5"/>
  <c r="F52" i="5"/>
  <c r="F53" i="5"/>
  <c r="F54" i="5"/>
  <c r="F55" i="5"/>
  <c r="F56" i="5"/>
  <c r="F57" i="5"/>
  <c r="F58" i="5"/>
  <c r="F59" i="5"/>
  <c r="F60" i="5"/>
  <c r="F61" i="5"/>
  <c r="F62" i="5"/>
  <c r="F63" i="5"/>
  <c r="F51" i="5"/>
  <c r="E55" i="5"/>
  <c r="E56" i="5"/>
  <c r="E57" i="5"/>
  <c r="E58" i="5"/>
  <c r="E59" i="5"/>
  <c r="E60" i="5"/>
  <c r="E61" i="5"/>
  <c r="E62" i="5"/>
  <c r="E63" i="5"/>
  <c r="E54" i="5"/>
  <c r="E53" i="5"/>
  <c r="E52" i="5"/>
  <c r="E51" i="5"/>
  <c r="D51" i="5"/>
  <c r="D60" i="5"/>
  <c r="D63" i="5"/>
  <c r="D61" i="5"/>
  <c r="D59" i="5"/>
  <c r="D58" i="5"/>
  <c r="D57" i="5"/>
  <c r="D56" i="5"/>
  <c r="D55" i="5"/>
  <c r="D54" i="5"/>
  <c r="D53" i="5"/>
  <c r="D52" i="5"/>
  <c r="D62" i="5"/>
  <c r="E13" i="5"/>
  <c r="G30" i="5"/>
  <c r="G31" i="5"/>
  <c r="G32" i="5"/>
  <c r="G33" i="5"/>
  <c r="G34" i="5"/>
  <c r="G35" i="5"/>
  <c r="G36" i="5"/>
  <c r="G37" i="5"/>
  <c r="G38" i="5"/>
  <c r="G39" i="5"/>
  <c r="G40" i="5"/>
  <c r="G41" i="5"/>
  <c r="H8" i="5"/>
  <c r="G14" i="5"/>
  <c r="G15" i="5"/>
  <c r="G16" i="5"/>
  <c r="G17" i="5"/>
  <c r="G18" i="5"/>
  <c r="G13" i="5"/>
  <c r="E38" i="5"/>
  <c r="E39" i="5"/>
  <c r="H348" i="1"/>
  <c r="E37" i="5"/>
  <c r="E40" i="5"/>
  <c r="E41" i="5"/>
  <c r="E32" i="5"/>
  <c r="E30" i="5"/>
  <c r="E31" i="5"/>
  <c r="E33" i="5"/>
  <c r="E34" i="5"/>
  <c r="E35" i="5"/>
  <c r="D88" i="5" l="1"/>
  <c r="H40" i="5"/>
  <c r="I86" i="5"/>
  <c r="H86" i="5"/>
  <c r="G86" i="5"/>
  <c r="D86" i="5"/>
  <c r="E86" i="5"/>
  <c r="I64" i="5"/>
  <c r="H64" i="5"/>
  <c r="G64" i="5"/>
  <c r="F64" i="5"/>
  <c r="E64" i="5"/>
  <c r="H39" i="5"/>
  <c r="H38" i="5"/>
  <c r="H32" i="5"/>
  <c r="H34" i="5"/>
  <c r="H41" i="5"/>
  <c r="D64" i="5"/>
  <c r="H31" i="5"/>
  <c r="H30" i="5"/>
  <c r="H37" i="5"/>
  <c r="H36" i="5"/>
  <c r="H35" i="5"/>
  <c r="G42" i="5"/>
  <c r="G43" i="5" s="1"/>
  <c r="H33" i="5"/>
  <c r="G19" i="5"/>
  <c r="G20" i="5" s="1"/>
  <c r="H29" i="5"/>
  <c r="H312" i="1"/>
  <c r="W312" i="1"/>
  <c r="H313" i="1"/>
  <c r="W313" i="1"/>
  <c r="H314" i="1"/>
  <c r="W314" i="1"/>
  <c r="H315" i="1"/>
  <c r="W315" i="1"/>
  <c r="H316" i="1"/>
  <c r="W316" i="1"/>
  <c r="H317" i="1"/>
  <c r="W317" i="1"/>
  <c r="H318" i="1"/>
  <c r="W318" i="1"/>
  <c r="H319" i="1"/>
  <c r="W319" i="1"/>
  <c r="H320" i="1"/>
  <c r="W320" i="1"/>
  <c r="H321" i="1"/>
  <c r="W321" i="1"/>
  <c r="H322" i="1"/>
  <c r="W322" i="1"/>
  <c r="H323" i="1"/>
  <c r="W323" i="1"/>
  <c r="H324" i="1"/>
  <c r="W324" i="1"/>
  <c r="H325" i="1"/>
  <c r="W325" i="1"/>
  <c r="H326" i="1"/>
  <c r="W326" i="1"/>
  <c r="H327" i="1"/>
  <c r="W327" i="1"/>
  <c r="H328" i="1"/>
  <c r="W328" i="1"/>
  <c r="H329" i="1"/>
  <c r="W329" i="1"/>
  <c r="H330" i="1"/>
  <c r="W330" i="1"/>
  <c r="H331" i="1"/>
  <c r="W331" i="1"/>
  <c r="H332" i="1"/>
  <c r="W332" i="1"/>
  <c r="H333" i="1"/>
  <c r="W333" i="1"/>
  <c r="H334" i="1"/>
  <c r="W334" i="1"/>
  <c r="H335" i="1"/>
  <c r="W335" i="1"/>
  <c r="H336" i="1"/>
  <c r="W336" i="1"/>
  <c r="H337" i="1"/>
  <c r="W337" i="1"/>
  <c r="H338" i="1"/>
  <c r="W338" i="1"/>
  <c r="H339" i="1"/>
  <c r="W339" i="1"/>
  <c r="H340" i="1"/>
  <c r="W340" i="1"/>
  <c r="H341" i="1"/>
  <c r="W341" i="1"/>
  <c r="H342" i="1"/>
  <c r="W342" i="1"/>
  <c r="H343" i="1"/>
  <c r="W343" i="1"/>
  <c r="H344" i="1"/>
  <c r="W344" i="1"/>
  <c r="H345" i="1"/>
  <c r="W345" i="1"/>
  <c r="H346" i="1"/>
  <c r="W346" i="1"/>
  <c r="H347" i="1"/>
  <c r="W347" i="1"/>
  <c r="H349" i="1"/>
  <c r="W349" i="1"/>
  <c r="H350" i="1"/>
  <c r="W350" i="1"/>
  <c r="H351" i="1"/>
  <c r="W351" i="1"/>
  <c r="H352" i="1"/>
  <c r="W352" i="1"/>
  <c r="H353" i="1"/>
  <c r="W353" i="1"/>
  <c r="H354" i="1"/>
  <c r="W354" i="1"/>
  <c r="H355" i="1"/>
  <c r="W355" i="1"/>
  <c r="H356" i="1"/>
  <c r="W356" i="1"/>
  <c r="H357" i="1"/>
  <c r="W357" i="1"/>
  <c r="H358" i="1"/>
  <c r="W358" i="1"/>
  <c r="H301" i="1"/>
  <c r="W301" i="1"/>
  <c r="H302" i="1"/>
  <c r="W302" i="1"/>
  <c r="H303" i="1"/>
  <c r="W303" i="1"/>
  <c r="H304" i="1"/>
  <c r="W304" i="1"/>
  <c r="H305" i="1"/>
  <c r="W305" i="1"/>
  <c r="H306" i="1"/>
  <c r="W306" i="1"/>
  <c r="H307" i="1"/>
  <c r="W307" i="1"/>
  <c r="H308" i="1"/>
  <c r="W308" i="1"/>
  <c r="H309" i="1"/>
  <c r="W309" i="1"/>
  <c r="H310" i="1"/>
  <c r="W310" i="1"/>
  <c r="H311" i="1"/>
  <c r="W311" i="1"/>
  <c r="H292" i="1"/>
  <c r="H293" i="1"/>
  <c r="H294" i="1"/>
  <c r="H295" i="1"/>
  <c r="H296" i="1"/>
  <c r="H297" i="1"/>
  <c r="H298" i="1"/>
  <c r="H299" i="1"/>
  <c r="H300" i="1"/>
  <c r="H42" i="5" l="1"/>
  <c r="H43" i="5" s="1"/>
  <c r="H270" i="1"/>
  <c r="H271" i="1"/>
  <c r="H27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73" i="1"/>
  <c r="H274" i="1"/>
  <c r="H275" i="1"/>
  <c r="H276" i="1"/>
  <c r="H277" i="1"/>
  <c r="H278" i="1"/>
  <c r="H279" i="1"/>
  <c r="H280" i="1"/>
  <c r="H281" i="1"/>
  <c r="H282" i="1"/>
  <c r="H283" i="1"/>
  <c r="H284" i="1"/>
  <c r="H285" i="1"/>
  <c r="H286" i="1"/>
  <c r="H287" i="1"/>
  <c r="H288" i="1"/>
  <c r="H289" i="1"/>
  <c r="H290" i="1"/>
  <c r="H291" i="1"/>
  <c r="H2" i="1"/>
  <c r="A5" i="7"/>
  <c r="B5" i="7" s="1"/>
  <c r="A6" i="7"/>
  <c r="B6" i="7" s="1"/>
  <c r="A7" i="7"/>
  <c r="C7" i="7" s="1"/>
  <c r="A8" i="7"/>
  <c r="B8" i="7" s="1"/>
  <c r="A9" i="7"/>
  <c r="C9" i="7" s="1"/>
  <c r="A10" i="7"/>
  <c r="A11" i="7"/>
  <c r="C11" i="7" s="1"/>
  <c r="A12" i="7"/>
  <c r="B12" i="7" s="1"/>
  <c r="A13" i="7"/>
  <c r="B13" i="7" s="1"/>
  <c r="A14" i="7"/>
  <c r="B14" i="7" s="1"/>
  <c r="A15" i="7"/>
  <c r="C15" i="7" s="1"/>
  <c r="A16" i="7"/>
  <c r="B16" i="7" s="1"/>
  <c r="A17" i="7"/>
  <c r="B17" i="7" s="1"/>
  <c r="A18" i="7"/>
  <c r="A19" i="7"/>
  <c r="C19" i="7" s="1"/>
  <c r="A20" i="7"/>
  <c r="C20" i="7" s="1"/>
  <c r="A21" i="7"/>
  <c r="A22" i="7"/>
  <c r="B22" i="7" s="1"/>
  <c r="A23" i="7"/>
  <c r="C23" i="7" s="1"/>
  <c r="A24" i="7"/>
  <c r="B24" i="7" s="1"/>
  <c r="A25" i="7"/>
  <c r="C25" i="7" s="1"/>
  <c r="A26" i="7"/>
  <c r="A27" i="7"/>
  <c r="C27" i="7" s="1"/>
  <c r="A28" i="7"/>
  <c r="B28" i="7" s="1"/>
  <c r="A29" i="7"/>
  <c r="A30" i="7"/>
  <c r="B30" i="7" s="1"/>
  <c r="A31" i="7"/>
  <c r="C31" i="7" s="1"/>
  <c r="A32" i="7"/>
  <c r="C32" i="7" s="1"/>
  <c r="A33" i="7"/>
  <c r="A34" i="7"/>
  <c r="A35" i="7"/>
  <c r="C35" i="7" s="1"/>
  <c r="A36" i="7"/>
  <c r="B36" i="7" s="1"/>
  <c r="A37" i="7"/>
  <c r="C37" i="7" s="1"/>
  <c r="A38" i="7"/>
  <c r="B38" i="7" s="1"/>
  <c r="A39" i="7"/>
  <c r="C39" i="7" s="1"/>
  <c r="A40" i="7"/>
  <c r="A41" i="7"/>
  <c r="B41" i="7" s="1"/>
  <c r="A42" i="7"/>
  <c r="A43" i="7"/>
  <c r="C43" i="7" s="1"/>
  <c r="A44" i="7"/>
  <c r="B44" i="7" s="1"/>
  <c r="A45" i="7"/>
  <c r="C45" i="7" s="1"/>
  <c r="A46" i="7"/>
  <c r="B46" i="7" s="1"/>
  <c r="A47" i="7"/>
  <c r="C47" i="7" s="1"/>
  <c r="A48" i="7"/>
  <c r="B48" i="7" s="1"/>
  <c r="A49" i="7"/>
  <c r="A50" i="7"/>
  <c r="A51" i="7"/>
  <c r="C51" i="7" s="1"/>
  <c r="A52" i="7"/>
  <c r="C52" i="7" s="1"/>
  <c r="A53" i="7"/>
  <c r="B53" i="7" s="1"/>
  <c r="A54" i="7"/>
  <c r="B54" i="7" s="1"/>
  <c r="A55" i="7"/>
  <c r="C55" i="7" s="1"/>
  <c r="A56" i="7"/>
  <c r="B56" i="7" s="1"/>
  <c r="A57" i="7"/>
  <c r="A58" i="7"/>
  <c r="A59" i="7"/>
  <c r="C59" i="7" s="1"/>
  <c r="A60" i="7"/>
  <c r="B60" i="7" s="1"/>
  <c r="A61" i="7"/>
  <c r="B61" i="7" s="1"/>
  <c r="A62" i="7"/>
  <c r="B62" i="7" s="1"/>
  <c r="A63" i="7"/>
  <c r="C63" i="7" s="1"/>
  <c r="A64" i="7"/>
  <c r="C64" i="7" s="1"/>
  <c r="A65" i="7"/>
  <c r="B65" i="7" s="1"/>
  <c r="A66" i="7"/>
  <c r="A67" i="7"/>
  <c r="C67" i="7" s="1"/>
  <c r="A68" i="7"/>
  <c r="B68" i="7" s="1"/>
  <c r="A69" i="7"/>
  <c r="B69" i="7" s="1"/>
  <c r="A70" i="7"/>
  <c r="B70" i="7" s="1"/>
  <c r="A71" i="7"/>
  <c r="C71" i="7" s="1"/>
  <c r="A72" i="7"/>
  <c r="B72" i="7" s="1"/>
  <c r="A73" i="7"/>
  <c r="A74" i="7"/>
  <c r="A75" i="7"/>
  <c r="C75" i="7" s="1"/>
  <c r="A76" i="7"/>
  <c r="B76" i="7" s="1"/>
  <c r="A77" i="7"/>
  <c r="B77" i="7" s="1"/>
  <c r="A78" i="7"/>
  <c r="A79" i="7"/>
  <c r="C79" i="7" s="1"/>
  <c r="A80" i="7"/>
  <c r="B80" i="7" s="1"/>
  <c r="A81" i="7"/>
  <c r="A82" i="7"/>
  <c r="B82" i="7" s="1"/>
  <c r="A83" i="7"/>
  <c r="C83" i="7" s="1"/>
  <c r="A84" i="7"/>
  <c r="B84" i="7" s="1"/>
  <c r="A85" i="7"/>
  <c r="B85" i="7" s="1"/>
  <c r="A86" i="7"/>
  <c r="B86" i="7" s="1"/>
  <c r="A87" i="7"/>
  <c r="C87" i="7" s="1"/>
  <c r="A88" i="7"/>
  <c r="C88" i="7" s="1"/>
  <c r="A89" i="7"/>
  <c r="B89" i="7" s="1"/>
  <c r="A90" i="7"/>
  <c r="B90" i="7" s="1"/>
  <c r="A91" i="7"/>
  <c r="C91" i="7" s="1"/>
  <c r="A92" i="7"/>
  <c r="A93" i="7"/>
  <c r="B93" i="7" s="1"/>
  <c r="A94" i="7"/>
  <c r="A95" i="7"/>
  <c r="C95" i="7" s="1"/>
  <c r="A96" i="7"/>
  <c r="A97" i="7"/>
  <c r="B97" i="7" s="1"/>
  <c r="A98" i="7"/>
  <c r="B98" i="7" s="1"/>
  <c r="A99" i="7"/>
  <c r="C99" i="7" s="1"/>
  <c r="A100" i="7"/>
  <c r="B100" i="7" s="1"/>
  <c r="A101" i="7"/>
  <c r="A102" i="7"/>
  <c r="B102" i="7" s="1"/>
  <c r="A103" i="7"/>
  <c r="C103" i="7" s="1"/>
  <c r="A104" i="7"/>
  <c r="A105" i="7"/>
  <c r="A106" i="7"/>
  <c r="B106" i="7" s="1"/>
  <c r="A107" i="7"/>
  <c r="C107" i="7" s="1"/>
  <c r="A108" i="7"/>
  <c r="A109" i="7"/>
  <c r="C109" i="7" s="1"/>
  <c r="A110" i="7"/>
  <c r="B110" i="7" s="1"/>
  <c r="A111" i="7"/>
  <c r="A112" i="7"/>
  <c r="A113" i="7"/>
  <c r="C113" i="7" s="1"/>
  <c r="A114" i="7"/>
  <c r="A115" i="7"/>
  <c r="C115" i="7" s="1"/>
  <c r="A116" i="7"/>
  <c r="B116" i="7" s="1"/>
  <c r="A117" i="7"/>
  <c r="A118" i="7"/>
  <c r="B118" i="7" s="1"/>
  <c r="A119" i="7"/>
  <c r="C119" i="7" s="1"/>
  <c r="A120" i="7"/>
  <c r="C120" i="7" s="1"/>
  <c r="A121" i="7"/>
  <c r="A122" i="7"/>
  <c r="B122" i="7" s="1"/>
  <c r="A123" i="7"/>
  <c r="C123" i="7" s="1"/>
  <c r="A124" i="7"/>
  <c r="A125" i="7"/>
  <c r="B125" i="7" s="1"/>
  <c r="A126" i="7"/>
  <c r="A127" i="7"/>
  <c r="A128" i="7"/>
  <c r="B128" i="7" s="1"/>
  <c r="A129" i="7"/>
  <c r="A130" i="7"/>
  <c r="A131" i="7"/>
  <c r="C131" i="7" s="1"/>
  <c r="A132" i="7"/>
  <c r="B132" i="7" s="1"/>
  <c r="A133" i="7"/>
  <c r="B133" i="7" s="1"/>
  <c r="A134" i="7"/>
  <c r="B134" i="7" s="1"/>
  <c r="A135" i="7"/>
  <c r="C135" i="7" s="1"/>
  <c r="A136" i="7"/>
  <c r="B136" i="7" s="1"/>
  <c r="A137" i="7"/>
  <c r="B137" i="7" s="1"/>
  <c r="A138" i="7"/>
  <c r="B138" i="7" s="1"/>
  <c r="A139" i="7"/>
  <c r="C139" i="7" s="1"/>
  <c r="A140" i="7"/>
  <c r="A141" i="7"/>
  <c r="A142" i="7"/>
  <c r="B142" i="7" s="1"/>
  <c r="A143" i="7"/>
  <c r="A144" i="7"/>
  <c r="B144" i="7" s="1"/>
  <c r="A145" i="7"/>
  <c r="A146" i="7"/>
  <c r="A147" i="7"/>
  <c r="C147" i="7" s="1"/>
  <c r="A148" i="7"/>
  <c r="B148" i="7" s="1"/>
  <c r="A149" i="7"/>
  <c r="A150" i="7"/>
  <c r="B150" i="7" s="1"/>
  <c r="A151" i="7"/>
  <c r="C151" i="7" s="1"/>
  <c r="A152" i="7"/>
  <c r="A153" i="7"/>
  <c r="C153" i="7" s="1"/>
  <c r="A154" i="7"/>
  <c r="B154" i="7" s="1"/>
  <c r="A155" i="7"/>
  <c r="C155" i="7" s="1"/>
  <c r="A156" i="7"/>
  <c r="A157" i="7"/>
  <c r="A158" i="7"/>
  <c r="A159" i="7"/>
  <c r="A160" i="7"/>
  <c r="B160" i="7" s="1"/>
  <c r="A161" i="7"/>
  <c r="B161" i="7" s="1"/>
  <c r="A162" i="7"/>
  <c r="A163" i="7"/>
  <c r="C163" i="7" s="1"/>
  <c r="A164" i="7"/>
  <c r="B164" i="7" s="1"/>
  <c r="A165" i="7"/>
  <c r="C165" i="7" s="1"/>
  <c r="A166" i="7"/>
  <c r="B166" i="7" s="1"/>
  <c r="A167" i="7"/>
  <c r="C167" i="7" s="1"/>
  <c r="A168" i="7"/>
  <c r="B168" i="7" s="1"/>
  <c r="A169" i="7"/>
  <c r="B169" i="7" s="1"/>
  <c r="A170" i="7"/>
  <c r="B170" i="7" s="1"/>
  <c r="A171" i="7"/>
  <c r="A172" i="7"/>
  <c r="C172" i="7" s="1"/>
  <c r="A173" i="7"/>
  <c r="B173" i="7" s="1"/>
  <c r="A174" i="7"/>
  <c r="B174" i="7" s="1"/>
  <c r="A175" i="7"/>
  <c r="C175" i="7" s="1"/>
  <c r="A176" i="7"/>
  <c r="B176" i="7" s="1"/>
  <c r="A177" i="7"/>
  <c r="B177" i="7" s="1"/>
  <c r="A178" i="7"/>
  <c r="A179" i="7"/>
  <c r="C179" i="7" s="1"/>
  <c r="A180" i="7"/>
  <c r="A181" i="7"/>
  <c r="A182" i="7"/>
  <c r="B182" i="7" s="1"/>
  <c r="A183" i="7"/>
  <c r="A184" i="7"/>
  <c r="C184" i="7" s="1"/>
  <c r="A185" i="7"/>
  <c r="B185" i="7" s="1"/>
  <c r="A186" i="7"/>
  <c r="B186" i="7" s="1"/>
  <c r="A187" i="7"/>
  <c r="A188" i="7"/>
  <c r="C188" i="7" s="1"/>
  <c r="A189" i="7"/>
  <c r="B189" i="7" s="1"/>
  <c r="A190" i="7"/>
  <c r="A191" i="7"/>
  <c r="A192" i="7"/>
  <c r="B192" i="7" s="1"/>
  <c r="A193" i="7"/>
  <c r="A194" i="7"/>
  <c r="B194" i="7" s="1"/>
  <c r="A195" i="7"/>
  <c r="C195" i="7" s="1"/>
  <c r="A196" i="7"/>
  <c r="A197" i="7"/>
  <c r="B197" i="7" s="1"/>
  <c r="A198" i="7"/>
  <c r="B198" i="7" s="1"/>
  <c r="A199" i="7"/>
  <c r="A200" i="7"/>
  <c r="A201" i="7"/>
  <c r="B201" i="7" s="1"/>
  <c r="A202" i="7"/>
  <c r="A203" i="7"/>
  <c r="A204" i="7"/>
  <c r="A205" i="7"/>
  <c r="B205" i="7" s="1"/>
  <c r="A206" i="7"/>
  <c r="B206" i="7" s="1"/>
  <c r="A207" i="7"/>
  <c r="C207" i="7" s="1"/>
  <c r="A208" i="7"/>
  <c r="A209" i="7"/>
  <c r="B209" i="7" s="1"/>
  <c r="A210" i="7"/>
  <c r="A211" i="7"/>
  <c r="C211" i="7" s="1"/>
  <c r="A212" i="7"/>
  <c r="A213" i="7"/>
  <c r="B213" i="7" s="1"/>
  <c r="A214" i="7"/>
  <c r="B214" i="7" s="1"/>
  <c r="A215" i="7"/>
  <c r="A216" i="7"/>
  <c r="A217" i="7"/>
  <c r="B217" i="7" s="1"/>
  <c r="A218" i="7"/>
  <c r="A219" i="7"/>
  <c r="A220" i="7"/>
  <c r="A221" i="7"/>
  <c r="B221" i="7" s="1"/>
  <c r="A222" i="7"/>
  <c r="B222" i="7" s="1"/>
  <c r="A223" i="7"/>
  <c r="A224" i="7"/>
  <c r="A225" i="7"/>
  <c r="B225" i="7" s="1"/>
  <c r="A226" i="7"/>
  <c r="B226" i="7" s="1"/>
  <c r="A227" i="7"/>
  <c r="C227" i="7" s="1"/>
  <c r="A228" i="7"/>
  <c r="A229" i="7"/>
  <c r="B229" i="7" s="1"/>
  <c r="A230" i="7"/>
  <c r="B230" i="7" s="1"/>
  <c r="A231" i="7"/>
  <c r="A232" i="7"/>
  <c r="A233" i="7"/>
  <c r="B233" i="7" s="1"/>
  <c r="A234" i="7"/>
  <c r="A235" i="7"/>
  <c r="A236" i="7"/>
  <c r="C236" i="7" s="1"/>
  <c r="A237" i="7"/>
  <c r="B237" i="7" s="1"/>
  <c r="A238" i="7"/>
  <c r="A239" i="7"/>
  <c r="C239" i="7" s="1"/>
  <c r="A240" i="7"/>
  <c r="A241" i="7"/>
  <c r="B241" i="7" s="1"/>
  <c r="A242" i="7"/>
  <c r="A243" i="7"/>
  <c r="C243" i="7" s="1"/>
  <c r="A244" i="7"/>
  <c r="B244" i="7" s="1"/>
  <c r="A245" i="7"/>
  <c r="B245" i="7" s="1"/>
  <c r="A246" i="7"/>
  <c r="B246" i="7" s="1"/>
  <c r="A247" i="7"/>
  <c r="C247" i="7" s="1"/>
  <c r="A248" i="7"/>
  <c r="A249" i="7"/>
  <c r="B249" i="7" s="1"/>
  <c r="A250" i="7"/>
  <c r="B250" i="7" s="1"/>
  <c r="A251" i="7"/>
  <c r="C251" i="7" s="1"/>
  <c r="A252" i="7"/>
  <c r="A253" i="7"/>
  <c r="B253" i="7" s="1"/>
  <c r="A254" i="7"/>
  <c r="A255" i="7"/>
  <c r="A256" i="7"/>
  <c r="B256" i="7" s="1"/>
  <c r="A257" i="7"/>
  <c r="B257" i="7" s="1"/>
  <c r="A258" i="7"/>
  <c r="A259" i="7"/>
  <c r="C259" i="7" s="1"/>
  <c r="A260" i="7"/>
  <c r="C260" i="7" s="1"/>
  <c r="A261" i="7"/>
  <c r="C261" i="7" s="1"/>
  <c r="A262" i="7"/>
  <c r="B262" i="7" s="1"/>
  <c r="A263" i="7"/>
  <c r="C263" i="7" s="1"/>
  <c r="A264" i="7"/>
  <c r="A265" i="7"/>
  <c r="B265" i="7" s="1"/>
  <c r="A266" i="7"/>
  <c r="B266" i="7" s="1"/>
  <c r="A267" i="7"/>
  <c r="A268" i="7"/>
  <c r="A269" i="7"/>
  <c r="B269" i="7" s="1"/>
  <c r="A270" i="7"/>
  <c r="B270" i="7" s="1"/>
  <c r="A271" i="7"/>
  <c r="C271" i="7" s="1"/>
  <c r="A272" i="7"/>
  <c r="B272" i="7" s="1"/>
  <c r="A273" i="7"/>
  <c r="B273" i="7" s="1"/>
  <c r="A274" i="7"/>
  <c r="A275" i="7"/>
  <c r="C275" i="7" s="1"/>
  <c r="A276" i="7"/>
  <c r="C276" i="7" s="1"/>
  <c r="A277" i="7"/>
  <c r="B277" i="7" s="1"/>
  <c r="A278" i="7"/>
  <c r="B278" i="7" s="1"/>
  <c r="A279" i="7"/>
  <c r="C279" i="7" s="1"/>
  <c r="A280" i="7"/>
  <c r="C280" i="7" s="1"/>
  <c r="A281" i="7"/>
  <c r="B281" i="7" s="1"/>
  <c r="A282" i="7"/>
  <c r="B282" i="7" s="1"/>
  <c r="A283" i="7"/>
  <c r="C283" i="7" s="1"/>
  <c r="A284" i="7"/>
  <c r="C284" i="7" s="1"/>
  <c r="A285" i="7"/>
  <c r="B285" i="7" s="1"/>
  <c r="A286" i="7"/>
  <c r="A287" i="7"/>
  <c r="A288" i="7"/>
  <c r="B288" i="7" s="1"/>
  <c r="A289" i="7"/>
  <c r="B289" i="7" s="1"/>
  <c r="A290" i="7"/>
  <c r="A291" i="7"/>
  <c r="C291" i="7" s="1"/>
  <c r="A292" i="7"/>
  <c r="A293" i="7"/>
  <c r="B293" i="7" s="1"/>
  <c r="A294" i="7"/>
  <c r="B294" i="7" s="1"/>
  <c r="A295" i="7"/>
  <c r="C295" i="7" s="1"/>
  <c r="A296" i="7"/>
  <c r="A297" i="7"/>
  <c r="B297" i="7" s="1"/>
  <c r="A298" i="7"/>
  <c r="B298" i="7" s="1"/>
  <c r="A299" i="7"/>
  <c r="A300" i="7"/>
  <c r="A301" i="7"/>
  <c r="B301" i="7" s="1"/>
  <c r="A302" i="7"/>
  <c r="A303" i="7"/>
  <c r="A304" i="7"/>
  <c r="B304" i="7" s="1"/>
  <c r="A305" i="7"/>
  <c r="C305" i="7" s="1"/>
  <c r="A306" i="7"/>
  <c r="A307" i="7"/>
  <c r="C307" i="7" s="1"/>
  <c r="A308" i="7"/>
  <c r="C308" i="7" s="1"/>
  <c r="A309" i="7"/>
  <c r="A310" i="7"/>
  <c r="B310" i="7" s="1"/>
  <c r="A311" i="7"/>
  <c r="A312" i="7"/>
  <c r="C312" i="7" s="1"/>
  <c r="A313" i="7"/>
  <c r="C313" i="7" s="1"/>
  <c r="A314" i="7"/>
  <c r="B314" i="7" s="1"/>
  <c r="A315" i="7"/>
  <c r="A316" i="7"/>
  <c r="C316" i="7" s="1"/>
  <c r="A317" i="7"/>
  <c r="C317" i="7" s="1"/>
  <c r="A318" i="7"/>
  <c r="B318" i="7" s="1"/>
  <c r="A319" i="7"/>
  <c r="A320" i="7"/>
  <c r="B320" i="7" s="1"/>
  <c r="A321" i="7"/>
  <c r="B321" i="7" s="1"/>
  <c r="A322" i="7"/>
  <c r="A323" i="7"/>
  <c r="C323" i="7" s="1"/>
  <c r="A324" i="7"/>
  <c r="C324" i="7" s="1"/>
  <c r="A325" i="7"/>
  <c r="B325" i="7" s="1"/>
  <c r="A326" i="7"/>
  <c r="B326" i="7" s="1"/>
  <c r="A327" i="7"/>
  <c r="C327" i="7" s="1"/>
  <c r="A328" i="7"/>
  <c r="A329" i="7"/>
  <c r="C329" i="7" s="1"/>
  <c r="A330" i="7"/>
  <c r="A331" i="7"/>
  <c r="A332" i="7"/>
  <c r="A333" i="7"/>
  <c r="A334" i="7"/>
  <c r="B334" i="7" s="1"/>
  <c r="A335" i="7"/>
  <c r="A336" i="7"/>
  <c r="B336" i="7" s="1"/>
  <c r="A337" i="7"/>
  <c r="B337" i="7" s="1"/>
  <c r="A338" i="7"/>
  <c r="A339" i="7"/>
  <c r="C339" i="7" s="1"/>
  <c r="A340" i="7"/>
  <c r="A341" i="7"/>
  <c r="B341" i="7" s="1"/>
  <c r="A342" i="7"/>
  <c r="B342" i="7" s="1"/>
  <c r="A343" i="7"/>
  <c r="A344" i="7"/>
  <c r="A345" i="7"/>
  <c r="A346" i="7"/>
  <c r="A347" i="7"/>
  <c r="C347" i="7" s="1"/>
  <c r="A348" i="7"/>
  <c r="B348" i="7" s="1"/>
  <c r="A349" i="7"/>
  <c r="A350" i="7"/>
  <c r="C350" i="7" s="1"/>
  <c r="A351" i="7"/>
  <c r="A352" i="7"/>
  <c r="A353" i="7"/>
  <c r="A354" i="7"/>
  <c r="A355" i="7"/>
  <c r="A356" i="7"/>
  <c r="B356" i="7" s="1"/>
  <c r="A357" i="7"/>
  <c r="A358" i="7"/>
  <c r="A359" i="7"/>
  <c r="A360" i="7"/>
  <c r="C360" i="7" s="1"/>
  <c r="A361" i="7"/>
  <c r="A362" i="7"/>
  <c r="A363" i="7"/>
  <c r="A364" i="7"/>
  <c r="B364" i="7" s="1"/>
  <c r="A365" i="7"/>
  <c r="A366" i="7"/>
  <c r="C366" i="7" s="1"/>
  <c r="A367" i="7"/>
  <c r="B367" i="7" s="1"/>
  <c r="A368" i="7"/>
  <c r="A369" i="7"/>
  <c r="A370" i="7"/>
  <c r="C370" i="7" s="1"/>
  <c r="B370" i="7"/>
  <c r="A371" i="7"/>
  <c r="A372" i="7"/>
  <c r="B372" i="7" s="1"/>
  <c r="A373" i="7"/>
  <c r="C373" i="7" s="1"/>
  <c r="A374" i="7"/>
  <c r="C374" i="7" s="1"/>
  <c r="A375" i="7"/>
  <c r="C375" i="7" s="1"/>
  <c r="A376" i="7"/>
  <c r="C376" i="7" s="1"/>
  <c r="A377" i="7"/>
  <c r="A378" i="7"/>
  <c r="A379" i="7"/>
  <c r="C379" i="7" s="1"/>
  <c r="B379" i="7"/>
  <c r="A380" i="7"/>
  <c r="A381" i="7"/>
  <c r="A382" i="7"/>
  <c r="C382" i="7" s="1"/>
  <c r="A383" i="7"/>
  <c r="A384" i="7"/>
  <c r="A385" i="7"/>
  <c r="A386" i="7"/>
  <c r="C386" i="7" s="1"/>
  <c r="A387" i="7"/>
  <c r="C387" i="7" s="1"/>
  <c r="A388" i="7"/>
  <c r="A389" i="7"/>
  <c r="A390" i="7"/>
  <c r="C390" i="7" s="1"/>
  <c r="A391" i="7"/>
  <c r="C391" i="7" s="1"/>
  <c r="A392" i="7"/>
  <c r="C392" i="7" s="1"/>
  <c r="A393" i="7"/>
  <c r="A394" i="7"/>
  <c r="A395" i="7"/>
  <c r="B395" i="7" s="1"/>
  <c r="A396" i="7"/>
  <c r="B396" i="7" s="1"/>
  <c r="A397" i="7"/>
  <c r="A398" i="7"/>
  <c r="C398" i="7" s="1"/>
  <c r="A399" i="7"/>
  <c r="C399" i="7" s="1"/>
  <c r="A400" i="7"/>
  <c r="A401" i="7"/>
  <c r="A402" i="7"/>
  <c r="A403" i="7"/>
  <c r="C403" i="7" s="1"/>
  <c r="A404" i="7"/>
  <c r="B404" i="7" s="1"/>
  <c r="A405" i="7"/>
  <c r="A406" i="7"/>
  <c r="A407" i="7"/>
  <c r="A408" i="7"/>
  <c r="C408" i="7" s="1"/>
  <c r="A409" i="7"/>
  <c r="A410" i="7"/>
  <c r="A411" i="7"/>
  <c r="C411" i="7" s="1"/>
  <c r="A412" i="7"/>
  <c r="A413" i="7"/>
  <c r="A414" i="7"/>
  <c r="C414" i="7" s="1"/>
  <c r="A415" i="7"/>
  <c r="A416" i="7"/>
  <c r="A417" i="7"/>
  <c r="A418" i="7"/>
  <c r="A419" i="7"/>
  <c r="A420" i="7"/>
  <c r="B420" i="7" s="1"/>
  <c r="A421" i="7"/>
  <c r="A422" i="7"/>
  <c r="A423" i="7"/>
  <c r="C423" i="7" s="1"/>
  <c r="A424" i="7"/>
  <c r="C424" i="7" s="1"/>
  <c r="A425" i="7"/>
  <c r="A426" i="7"/>
  <c r="A427" i="7"/>
  <c r="C427" i="7" s="1"/>
  <c r="A428" i="7"/>
  <c r="B428" i="7" s="1"/>
  <c r="A429" i="7"/>
  <c r="A430" i="7"/>
  <c r="C430" i="7" s="1"/>
  <c r="A431" i="7"/>
  <c r="B431" i="7" s="1"/>
  <c r="A432" i="7"/>
  <c r="A433" i="7"/>
  <c r="A434" i="7"/>
  <c r="C434" i="7" s="1"/>
  <c r="A435" i="7"/>
  <c r="A436" i="7"/>
  <c r="B436" i="7" s="1"/>
  <c r="A437" i="7"/>
  <c r="A438" i="7"/>
  <c r="C438" i="7" s="1"/>
  <c r="A439" i="7"/>
  <c r="A440" i="7"/>
  <c r="A441" i="7"/>
  <c r="A442" i="7"/>
  <c r="A443" i="7"/>
  <c r="C443" i="7" s="1"/>
  <c r="A444" i="7"/>
  <c r="B444" i="7" s="1"/>
  <c r="A445" i="7"/>
  <c r="A446" i="7"/>
  <c r="A447" i="7"/>
  <c r="B447" i="7" s="1"/>
  <c r="A448" i="7"/>
  <c r="A449" i="7"/>
  <c r="A450" i="7"/>
  <c r="A451" i="7"/>
  <c r="C451" i="7" s="1"/>
  <c r="A452" i="7"/>
  <c r="B452" i="7" s="1"/>
  <c r="A453" i="7"/>
  <c r="A454" i="7"/>
  <c r="C454" i="7" s="1"/>
  <c r="A455" i="7"/>
  <c r="A456" i="7"/>
  <c r="C456" i="7" s="1"/>
  <c r="A457" i="7"/>
  <c r="C457" i="7" s="1"/>
  <c r="A458" i="7"/>
  <c r="B458" i="7" s="1"/>
  <c r="A459" i="7"/>
  <c r="A460" i="7"/>
  <c r="A461" i="7"/>
  <c r="C461" i="7" s="1"/>
  <c r="A462" i="7"/>
  <c r="C462" i="7" s="1"/>
  <c r="A463" i="7"/>
  <c r="A464" i="7"/>
  <c r="C464" i="7" s="1"/>
  <c r="A465" i="7"/>
  <c r="A466" i="7"/>
  <c r="A467" i="7"/>
  <c r="B467" i="7" s="1"/>
  <c r="A468" i="7"/>
  <c r="A469" i="7"/>
  <c r="A470" i="7"/>
  <c r="B470" i="7" s="1"/>
  <c r="A471" i="7"/>
  <c r="B471" i="7" s="1"/>
  <c r="A472" i="7"/>
  <c r="B472" i="7" s="1"/>
  <c r="A473" i="7"/>
  <c r="A474" i="7"/>
  <c r="A475" i="7"/>
  <c r="C475" i="7" s="1"/>
  <c r="A476" i="7"/>
  <c r="A477" i="7"/>
  <c r="A478" i="7"/>
  <c r="C478" i="7" s="1"/>
  <c r="A479" i="7"/>
  <c r="C479" i="7" s="1"/>
  <c r="A480" i="7"/>
  <c r="B480" i="7" s="1"/>
  <c r="A481" i="7"/>
  <c r="A482" i="7"/>
  <c r="C482" i="7" s="1"/>
  <c r="A483" i="7"/>
  <c r="C483" i="7" s="1"/>
  <c r="A484" i="7"/>
  <c r="A485" i="7"/>
  <c r="A486" i="7"/>
  <c r="B486" i="7" s="1"/>
  <c r="A487" i="7"/>
  <c r="B487" i="7" s="1"/>
  <c r="A488" i="7"/>
  <c r="A489" i="7"/>
  <c r="A490" i="7"/>
  <c r="C490" i="7" s="1"/>
  <c r="A491" i="7"/>
  <c r="B491" i="7" s="1"/>
  <c r="A492" i="7"/>
  <c r="B492" i="7" s="1"/>
  <c r="A493" i="7"/>
  <c r="A494" i="7"/>
  <c r="C494" i="7" s="1"/>
  <c r="A495" i="7"/>
  <c r="C495" i="7" s="1"/>
  <c r="A496" i="7"/>
  <c r="C496" i="7" s="1"/>
  <c r="A497" i="7"/>
  <c r="A498" i="7"/>
  <c r="C498" i="7" s="1"/>
  <c r="A499" i="7"/>
  <c r="B499" i="7" s="1"/>
  <c r="A500" i="7"/>
  <c r="A501" i="7"/>
  <c r="A502" i="7"/>
  <c r="C502" i="7" s="1"/>
  <c r="A503" i="7"/>
  <c r="B503" i="7" s="1"/>
  <c r="A504" i="7"/>
  <c r="A505" i="7"/>
  <c r="C505" i="7" s="1"/>
  <c r="A506" i="7"/>
  <c r="C506" i="7" s="1"/>
  <c r="A507" i="7"/>
  <c r="C507" i="7" s="1"/>
  <c r="A508" i="7"/>
  <c r="B508" i="7" s="1"/>
  <c r="A509" i="7"/>
  <c r="A510" i="7"/>
  <c r="C510" i="7" s="1"/>
  <c r="A511" i="7"/>
  <c r="C511" i="7" s="1"/>
  <c r="A512" i="7"/>
  <c r="B512" i="7" s="1"/>
  <c r="A513" i="7"/>
  <c r="A514" i="7"/>
  <c r="A515" i="7"/>
  <c r="C515" i="7" s="1"/>
  <c r="A516" i="7"/>
  <c r="B516" i="7" s="1"/>
  <c r="A517" i="7"/>
  <c r="A518" i="7"/>
  <c r="A519" i="7"/>
  <c r="B519" i="7" s="1"/>
  <c r="A520" i="7"/>
  <c r="B520" i="7" s="1"/>
  <c r="A521" i="7"/>
  <c r="C521" i="7" s="1"/>
  <c r="A522" i="7"/>
  <c r="C522" i="7" s="1"/>
  <c r="A523" i="7"/>
  <c r="C523" i="7" s="1"/>
  <c r="A524" i="7"/>
  <c r="A525" i="7"/>
  <c r="A526" i="7"/>
  <c r="A527" i="7"/>
  <c r="B527" i="7" s="1"/>
  <c r="A528" i="7"/>
  <c r="C528" i="7" s="1"/>
  <c r="A529" i="7"/>
  <c r="C529" i="7" s="1"/>
  <c r="A530" i="7"/>
  <c r="A531" i="7"/>
  <c r="B531" i="7" s="1"/>
  <c r="A532" i="7"/>
  <c r="B532" i="7" s="1"/>
  <c r="A533" i="7"/>
  <c r="A534" i="7"/>
  <c r="B534" i="7" s="1"/>
  <c r="A535" i="7"/>
  <c r="C535" i="7" s="1"/>
  <c r="A536" i="7"/>
  <c r="B536" i="7" s="1"/>
  <c r="A537" i="7"/>
  <c r="C537" i="7" s="1"/>
  <c r="A538" i="7"/>
  <c r="A539" i="7"/>
  <c r="C539" i="7" s="1"/>
  <c r="A540" i="7"/>
  <c r="A541" i="7"/>
  <c r="A542" i="7"/>
  <c r="C542" i="7" s="1"/>
  <c r="A543" i="7"/>
  <c r="A544" i="7"/>
  <c r="B544" i="7" s="1"/>
  <c r="A545" i="7"/>
  <c r="A546" i="7"/>
  <c r="A547" i="7"/>
  <c r="C547" i="7" s="1"/>
  <c r="A548" i="7"/>
  <c r="B548" i="7" s="1"/>
  <c r="A549" i="7"/>
  <c r="A550" i="7"/>
  <c r="A551" i="7"/>
  <c r="C551" i="7" s="1"/>
  <c r="A552" i="7"/>
  <c r="B552" i="7" s="1"/>
  <c r="A553" i="7"/>
  <c r="C553" i="7" s="1"/>
  <c r="A554" i="7"/>
  <c r="A555" i="7"/>
  <c r="B555" i="7" s="1"/>
  <c r="A556" i="7"/>
  <c r="B556" i="7" s="1"/>
  <c r="A557" i="7"/>
  <c r="A558" i="7"/>
  <c r="A559" i="7"/>
  <c r="B559" i="7" s="1"/>
  <c r="A560" i="7"/>
  <c r="C560" i="7" s="1"/>
  <c r="A561" i="7"/>
  <c r="A562" i="7"/>
  <c r="C562" i="7" s="1"/>
  <c r="A563" i="7"/>
  <c r="B563" i="7" s="1"/>
  <c r="A564" i="7"/>
  <c r="B564" i="7" s="1"/>
  <c r="A565" i="7"/>
  <c r="A566" i="7"/>
  <c r="C566" i="7" s="1"/>
  <c r="A567" i="7"/>
  <c r="B567" i="7" s="1"/>
  <c r="A568" i="7"/>
  <c r="C568" i="7" s="1"/>
  <c r="A569" i="7"/>
  <c r="A570" i="7"/>
  <c r="C570" i="7" s="1"/>
  <c r="A571" i="7"/>
  <c r="C571" i="7" s="1"/>
  <c r="A572" i="7"/>
  <c r="A573" i="7"/>
  <c r="A574" i="7"/>
  <c r="C574" i="7" s="1"/>
  <c r="A575" i="7"/>
  <c r="B575" i="7" s="1"/>
  <c r="A576" i="7"/>
  <c r="C576" i="7" s="1"/>
  <c r="A577" i="7"/>
  <c r="A578" i="7"/>
  <c r="A579" i="7"/>
  <c r="B579" i="7" s="1"/>
  <c r="A580" i="7"/>
  <c r="B580" i="7" s="1"/>
  <c r="A581" i="7"/>
  <c r="A582" i="7"/>
  <c r="A583" i="7"/>
  <c r="B583" i="7" s="1"/>
  <c r="A584" i="7"/>
  <c r="B584" i="7" s="1"/>
  <c r="A585" i="7"/>
  <c r="A586" i="7"/>
  <c r="C586" i="7" s="1"/>
  <c r="A587" i="7"/>
  <c r="B587" i="7" s="1"/>
  <c r="A588" i="7"/>
  <c r="A589" i="7"/>
  <c r="A590" i="7"/>
  <c r="B590" i="7" s="1"/>
  <c r="A591" i="7"/>
  <c r="C591" i="7" s="1"/>
  <c r="A592" i="7"/>
  <c r="C592" i="7" s="1"/>
  <c r="A593" i="7"/>
  <c r="C593" i="7" s="1"/>
  <c r="A594" i="7"/>
  <c r="A595" i="7"/>
  <c r="A596" i="7"/>
  <c r="B596" i="7" s="1"/>
  <c r="A597" i="7"/>
  <c r="A598" i="7"/>
  <c r="B598" i="7" s="1"/>
  <c r="A599" i="7"/>
  <c r="B599" i="7" s="1"/>
  <c r="A600" i="7"/>
  <c r="B600" i="7" s="1"/>
  <c r="A601" i="7"/>
  <c r="C601" i="7" s="1"/>
  <c r="A602" i="7"/>
  <c r="A603" i="7"/>
  <c r="C603" i="7" s="1"/>
  <c r="A604" i="7"/>
  <c r="A605" i="7"/>
  <c r="A606" i="7"/>
  <c r="C606" i="7" s="1"/>
  <c r="A607" i="7"/>
  <c r="A608" i="7"/>
  <c r="C608" i="7" s="1"/>
  <c r="A609" i="7"/>
  <c r="A610" i="7"/>
  <c r="C610" i="7" s="1"/>
  <c r="A611" i="7"/>
  <c r="B611" i="7" s="1"/>
  <c r="A612" i="7"/>
  <c r="B612" i="7" s="1"/>
  <c r="A613" i="7"/>
  <c r="A614" i="7"/>
  <c r="C614" i="7" s="1"/>
  <c r="A615" i="7"/>
  <c r="C615" i="7" s="1"/>
  <c r="A616" i="7"/>
  <c r="B616" i="7" s="1"/>
  <c r="A617" i="7"/>
  <c r="A618" i="7"/>
  <c r="C618" i="7" s="1"/>
  <c r="A619" i="7"/>
  <c r="C619" i="7" s="1"/>
  <c r="A620" i="7"/>
  <c r="B620" i="7" s="1"/>
  <c r="A621" i="7"/>
  <c r="A622" i="7"/>
  <c r="A623" i="7"/>
  <c r="C623" i="7" s="1"/>
  <c r="A624" i="7"/>
  <c r="A625" i="7"/>
  <c r="A626" i="7"/>
  <c r="C626" i="7" s="1"/>
  <c r="A627" i="7"/>
  <c r="B627" i="7" s="1"/>
  <c r="A628" i="7"/>
  <c r="B628" i="7" s="1"/>
  <c r="A629" i="7"/>
  <c r="A630" i="7"/>
  <c r="A631" i="7"/>
  <c r="C631" i="7" s="1"/>
  <c r="A632" i="7"/>
  <c r="A633" i="7"/>
  <c r="C633" i="7" s="1"/>
  <c r="A634" i="7"/>
  <c r="A635" i="7"/>
  <c r="A636" i="7"/>
  <c r="B636" i="7" s="1"/>
  <c r="A637" i="7"/>
  <c r="B637" i="7" s="1"/>
  <c r="A638" i="7"/>
  <c r="C638" i="7" s="1"/>
  <c r="A639" i="7"/>
  <c r="B639" i="7" s="1"/>
  <c r="A640" i="7"/>
  <c r="B640" i="7" s="1"/>
  <c r="A641" i="7"/>
  <c r="A642" i="7"/>
  <c r="A643" i="7"/>
  <c r="B643" i="7" s="1"/>
  <c r="A644" i="7"/>
  <c r="B644" i="7" s="1"/>
  <c r="A645" i="7"/>
  <c r="A646" i="7"/>
  <c r="B646" i="7" s="1"/>
  <c r="A647" i="7"/>
  <c r="B647" i="7" s="1"/>
  <c r="A648" i="7"/>
  <c r="C648" i="7" s="1"/>
  <c r="A649" i="7"/>
  <c r="C649" i="7" s="1"/>
  <c r="A650" i="7"/>
  <c r="A651" i="7"/>
  <c r="A652" i="7"/>
  <c r="B652" i="7" s="1"/>
  <c r="A653" i="7"/>
  <c r="A654" i="7"/>
  <c r="A655" i="7"/>
  <c r="C655" i="7" s="1"/>
  <c r="A656" i="7"/>
  <c r="A657" i="7"/>
  <c r="A658" i="7"/>
  <c r="C658" i="7" s="1"/>
  <c r="A659" i="7"/>
  <c r="B659" i="7" s="1"/>
  <c r="A660" i="7"/>
  <c r="A661" i="7"/>
  <c r="A662" i="7"/>
  <c r="C662" i="7" s="1"/>
  <c r="A663" i="7"/>
  <c r="A664" i="7"/>
  <c r="A665" i="7"/>
  <c r="C665" i="7" s="1"/>
  <c r="A666" i="7"/>
  <c r="A667" i="7"/>
  <c r="B667" i="7" s="1"/>
  <c r="A668" i="7"/>
  <c r="B668" i="7" s="1"/>
  <c r="A669" i="7"/>
  <c r="A670" i="7"/>
  <c r="B670" i="7" s="1"/>
  <c r="A671" i="7"/>
  <c r="C671" i="7" s="1"/>
  <c r="A672" i="7"/>
  <c r="C672" i="7" s="1"/>
  <c r="A673" i="7"/>
  <c r="C673" i="7" s="1"/>
  <c r="A674" i="7"/>
  <c r="A675" i="7"/>
  <c r="C675" i="7" s="1"/>
  <c r="A676" i="7"/>
  <c r="B676" i="7" s="1"/>
  <c r="A677" i="7"/>
  <c r="B677" i="7" s="1"/>
  <c r="A678" i="7"/>
  <c r="C678" i="7" s="1"/>
  <c r="A679" i="7"/>
  <c r="C679" i="7" s="1"/>
  <c r="A680" i="7"/>
  <c r="B680" i="7" s="1"/>
  <c r="A681" i="7"/>
  <c r="A682" i="7"/>
  <c r="A683" i="7"/>
  <c r="B683" i="7" s="1"/>
  <c r="A684" i="7"/>
  <c r="B684" i="7" s="1"/>
  <c r="A685" i="7"/>
  <c r="A686" i="7"/>
  <c r="B686" i="7" s="1"/>
  <c r="A687" i="7"/>
  <c r="A688" i="7"/>
  <c r="B688" i="7" s="1"/>
  <c r="A689" i="7"/>
  <c r="C689" i="7" s="1"/>
  <c r="A690" i="7"/>
  <c r="A691" i="7"/>
  <c r="B691" i="7" s="1"/>
  <c r="A692" i="7"/>
  <c r="B692" i="7" s="1"/>
  <c r="A693" i="7"/>
  <c r="C693" i="7" s="1"/>
  <c r="A694" i="7"/>
  <c r="B694" i="7" s="1"/>
  <c r="C694" i="7"/>
  <c r="A695" i="7"/>
  <c r="C695" i="7" s="1"/>
  <c r="A696" i="7"/>
  <c r="C696" i="7" s="1"/>
  <c r="A697" i="7"/>
  <c r="A698" i="7"/>
  <c r="A699" i="7"/>
  <c r="B699" i="7" s="1"/>
  <c r="A700" i="7"/>
  <c r="A701" i="7"/>
  <c r="B701" i="7" s="1"/>
  <c r="A702" i="7"/>
  <c r="B702" i="7" s="1"/>
  <c r="A703" i="7"/>
  <c r="A704" i="7"/>
  <c r="B704" i="7" s="1"/>
  <c r="A705" i="7"/>
  <c r="C705" i="7" s="1"/>
  <c r="A706" i="7"/>
  <c r="A707" i="7"/>
  <c r="C707" i="7" s="1"/>
  <c r="A708" i="7"/>
  <c r="B708" i="7" s="1"/>
  <c r="A709" i="7"/>
  <c r="C709" i="7" s="1"/>
  <c r="A710" i="7"/>
  <c r="C710" i="7" s="1"/>
  <c r="A711" i="7"/>
  <c r="C711" i="7" s="1"/>
  <c r="A712" i="7"/>
  <c r="B712" i="7" s="1"/>
  <c r="A713" i="7"/>
  <c r="C713" i="7" s="1"/>
  <c r="A714" i="7"/>
  <c r="A715" i="7"/>
  <c r="A716" i="7"/>
  <c r="B716" i="7" s="1"/>
  <c r="A717" i="7"/>
  <c r="C717" i="7" s="1"/>
  <c r="A718" i="7"/>
  <c r="B718" i="7" s="1"/>
  <c r="A719" i="7"/>
  <c r="A720" i="7"/>
  <c r="B720" i="7" s="1"/>
  <c r="A721" i="7"/>
  <c r="C721" i="7" s="1"/>
  <c r="A722" i="7"/>
  <c r="A723" i="7"/>
  <c r="B723" i="7" s="1"/>
  <c r="A724" i="7"/>
  <c r="B724" i="7" s="1"/>
  <c r="A725" i="7"/>
  <c r="B725" i="7" s="1"/>
  <c r="A726" i="7"/>
  <c r="B726" i="7" s="1"/>
  <c r="A727" i="7"/>
  <c r="C727" i="7" s="1"/>
  <c r="A728" i="7"/>
  <c r="B728" i="7" s="1"/>
  <c r="A729" i="7"/>
  <c r="C729" i="7" s="1"/>
  <c r="A730" i="7"/>
  <c r="A731" i="7"/>
  <c r="B731" i="7" s="1"/>
  <c r="A732" i="7"/>
  <c r="B732" i="7" s="1"/>
  <c r="A733" i="7"/>
  <c r="B733" i="7" s="1"/>
  <c r="A734" i="7"/>
  <c r="B734" i="7" s="1"/>
  <c r="A735" i="7"/>
  <c r="C735" i="7" s="1"/>
  <c r="A736" i="7"/>
  <c r="B736" i="7" s="1"/>
  <c r="A737" i="7"/>
  <c r="C737" i="7" s="1"/>
  <c r="A738" i="7"/>
  <c r="A739" i="7"/>
  <c r="C739" i="7" s="1"/>
  <c r="A740" i="7"/>
  <c r="B740" i="7" s="1"/>
  <c r="A741" i="7"/>
  <c r="C741" i="7" s="1"/>
  <c r="A742" i="7"/>
  <c r="B742" i="7" s="1"/>
  <c r="A743" i="7"/>
  <c r="C743" i="7" s="1"/>
  <c r="A744" i="7"/>
  <c r="C744" i="7" s="1"/>
  <c r="A745" i="7"/>
  <c r="C745" i="7" s="1"/>
  <c r="A746" i="7"/>
  <c r="A747" i="7"/>
  <c r="B747" i="7" s="1"/>
  <c r="A748" i="7"/>
  <c r="B748" i="7" s="1"/>
  <c r="A749" i="7"/>
  <c r="C749" i="7" s="1"/>
  <c r="A750" i="7"/>
  <c r="B750" i="7" s="1"/>
  <c r="A751" i="7"/>
  <c r="A752" i="7"/>
  <c r="B752" i="7" s="1"/>
  <c r="A753" i="7"/>
  <c r="C753" i="7" s="1"/>
  <c r="A754" i="7"/>
  <c r="A755" i="7"/>
  <c r="C755" i="7" s="1"/>
  <c r="A756" i="7"/>
  <c r="A757" i="7"/>
  <c r="B757" i="7" s="1"/>
  <c r="A758" i="7"/>
  <c r="B758" i="7" s="1"/>
  <c r="A759" i="7"/>
  <c r="A760" i="7"/>
  <c r="B760" i="7" s="1"/>
  <c r="A761" i="7"/>
  <c r="C761" i="7" s="1"/>
  <c r="A762" i="7"/>
  <c r="A763" i="7"/>
  <c r="B763" i="7" s="1"/>
  <c r="A764" i="7"/>
  <c r="B764" i="7" s="1"/>
  <c r="A765" i="7"/>
  <c r="B765" i="7" s="1"/>
  <c r="A766" i="7"/>
  <c r="B766" i="7" s="1"/>
  <c r="A767" i="7"/>
  <c r="A768" i="7"/>
  <c r="B768" i="7" s="1"/>
  <c r="A769" i="7"/>
  <c r="C769" i="7" s="1"/>
  <c r="A770" i="7"/>
  <c r="A771" i="7"/>
  <c r="C771" i="7" s="1"/>
  <c r="A772" i="7"/>
  <c r="A773" i="7"/>
  <c r="C773" i="7" s="1"/>
  <c r="A774" i="7"/>
  <c r="A775" i="7"/>
  <c r="C775" i="7" s="1"/>
  <c r="A776" i="7"/>
  <c r="C776" i="7" s="1"/>
  <c r="A777" i="7"/>
  <c r="C777" i="7" s="1"/>
  <c r="A778" i="7"/>
  <c r="A779" i="7"/>
  <c r="C779" i="7" s="1"/>
  <c r="A780" i="7"/>
  <c r="B780" i="7" s="1"/>
  <c r="A781" i="7"/>
  <c r="B781" i="7" s="1"/>
  <c r="A782" i="7"/>
  <c r="C782" i="7" s="1"/>
  <c r="A783" i="7"/>
  <c r="A784" i="7"/>
  <c r="B784" i="7" s="1"/>
  <c r="A785" i="7"/>
  <c r="C785" i="7" s="1"/>
  <c r="A786" i="7"/>
  <c r="A787" i="7"/>
  <c r="A788" i="7"/>
  <c r="B788" i="7" s="1"/>
  <c r="A789" i="7"/>
  <c r="C789" i="7" s="1"/>
  <c r="A790" i="7"/>
  <c r="A791" i="7"/>
  <c r="C791" i="7" s="1"/>
  <c r="A792" i="7"/>
  <c r="B792" i="7" s="1"/>
  <c r="A793" i="7"/>
  <c r="C793" i="7" s="1"/>
  <c r="A794" i="7"/>
  <c r="A795" i="7"/>
  <c r="B795" i="7" s="1"/>
  <c r="A796" i="7"/>
  <c r="B796" i="7" s="1"/>
  <c r="A797" i="7"/>
  <c r="B797" i="7" s="1"/>
  <c r="A798" i="7"/>
  <c r="B798" i="7" s="1"/>
  <c r="A799" i="7"/>
  <c r="C799" i="7" s="1"/>
  <c r="A800" i="7"/>
  <c r="C800" i="7" s="1"/>
  <c r="A801" i="7"/>
  <c r="C801" i="7" s="1"/>
  <c r="A802" i="7"/>
  <c r="A803" i="7"/>
  <c r="A804" i="7"/>
  <c r="B804" i="7" s="1"/>
  <c r="A805" i="7"/>
  <c r="C805" i="7" s="1"/>
  <c r="A806" i="7"/>
  <c r="C806" i="7" s="1"/>
  <c r="A807" i="7"/>
  <c r="A808" i="7"/>
  <c r="B808" i="7" s="1"/>
  <c r="A809" i="7"/>
  <c r="C809" i="7" s="1"/>
  <c r="A810" i="7"/>
  <c r="A811" i="7"/>
  <c r="B811" i="7" s="1"/>
  <c r="A812" i="7"/>
  <c r="B812" i="7" s="1"/>
  <c r="A813" i="7"/>
  <c r="C813" i="7" s="1"/>
  <c r="A814" i="7"/>
  <c r="A815" i="7"/>
  <c r="C815" i="7" s="1"/>
  <c r="A816" i="7"/>
  <c r="C816" i="7" s="1"/>
  <c r="A817" i="7"/>
  <c r="C817" i="7" s="1"/>
  <c r="A818" i="7"/>
  <c r="A819" i="7"/>
  <c r="A820" i="7"/>
  <c r="B820" i="7" s="1"/>
  <c r="A821" i="7"/>
  <c r="C821" i="7" s="1"/>
  <c r="A822" i="7"/>
  <c r="C822" i="7" s="1"/>
  <c r="A823" i="7"/>
  <c r="C823" i="7" s="1"/>
  <c r="A824" i="7"/>
  <c r="B824" i="7" s="1"/>
  <c r="A825" i="7"/>
  <c r="C825" i="7" s="1"/>
  <c r="A826" i="7"/>
  <c r="A827" i="7"/>
  <c r="B827" i="7" s="1"/>
  <c r="A828" i="7"/>
  <c r="B828" i="7" s="1"/>
  <c r="A829" i="7"/>
  <c r="C829" i="7" s="1"/>
  <c r="A830" i="7"/>
  <c r="B830" i="7" s="1"/>
  <c r="A831" i="7"/>
  <c r="C831" i="7" s="1"/>
  <c r="A832" i="7"/>
  <c r="B832" i="7" s="1"/>
  <c r="A833" i="7"/>
  <c r="C833" i="7" s="1"/>
  <c r="A834" i="7"/>
  <c r="A835" i="7"/>
  <c r="C835" i="7" s="1"/>
  <c r="A836" i="7"/>
  <c r="B836" i="7" s="1"/>
  <c r="A837" i="7"/>
  <c r="C837" i="7" s="1"/>
  <c r="A838" i="7"/>
  <c r="C838" i="7" s="1"/>
  <c r="A839" i="7"/>
  <c r="C839" i="7" s="1"/>
  <c r="A840" i="7"/>
  <c r="B840" i="7" s="1"/>
  <c r="A841" i="7"/>
  <c r="A842" i="7"/>
  <c r="A843" i="7"/>
  <c r="B843" i="7" s="1"/>
  <c r="A844" i="7"/>
  <c r="B844" i="7" s="1"/>
  <c r="A845" i="7"/>
  <c r="A846" i="7"/>
  <c r="B846" i="7" s="1"/>
  <c r="A847" i="7"/>
  <c r="C847" i="7" s="1"/>
  <c r="A848" i="7"/>
  <c r="B848" i="7" s="1"/>
  <c r="A849" i="7"/>
  <c r="A850" i="7"/>
  <c r="A851" i="7"/>
  <c r="C851" i="7" s="1"/>
  <c r="A852" i="7"/>
  <c r="B852" i="7" s="1"/>
  <c r="A853" i="7"/>
  <c r="B853" i="7" s="1"/>
  <c r="A854" i="7"/>
  <c r="C854" i="7" s="1"/>
  <c r="A855" i="7"/>
  <c r="C855" i="7" s="1"/>
  <c r="A856" i="7"/>
  <c r="B856" i="7" s="1"/>
  <c r="A857" i="7"/>
  <c r="C857" i="7" s="1"/>
  <c r="A858" i="7"/>
  <c r="A859" i="7"/>
  <c r="B859" i="7" s="1"/>
  <c r="A860" i="7"/>
  <c r="B860" i="7" s="1"/>
  <c r="A861" i="7"/>
  <c r="B861" i="7" s="1"/>
  <c r="A862" i="7"/>
  <c r="B862" i="7" s="1"/>
  <c r="A863" i="7"/>
  <c r="A864" i="7"/>
  <c r="C864" i="7" s="1"/>
  <c r="A865" i="7"/>
  <c r="C865" i="7" s="1"/>
  <c r="A866" i="7"/>
  <c r="A867" i="7"/>
  <c r="C867" i="7" s="1"/>
  <c r="A868" i="7"/>
  <c r="B868" i="7" s="1"/>
  <c r="A869" i="7"/>
  <c r="B869" i="7" s="1"/>
  <c r="A870" i="7"/>
  <c r="B870" i="7" s="1"/>
  <c r="A871" i="7"/>
  <c r="C871" i="7" s="1"/>
  <c r="A872" i="7"/>
  <c r="B872" i="7" s="1"/>
  <c r="A873" i="7"/>
  <c r="C873" i="7" s="1"/>
  <c r="A874" i="7"/>
  <c r="A875" i="7"/>
  <c r="B875" i="7" s="1"/>
  <c r="A876" i="7"/>
  <c r="A877" i="7"/>
  <c r="B877" i="7" s="1"/>
  <c r="A878" i="7"/>
  <c r="B878" i="7" s="1"/>
  <c r="A879" i="7"/>
  <c r="C879" i="7" s="1"/>
  <c r="A880" i="7"/>
  <c r="B880" i="7" s="1"/>
  <c r="A881" i="7"/>
  <c r="C881" i="7" s="1"/>
  <c r="A882" i="7"/>
  <c r="A883" i="7"/>
  <c r="C883" i="7" s="1"/>
  <c r="A884" i="7"/>
  <c r="A885" i="7"/>
  <c r="C885" i="7" s="1"/>
  <c r="A886" i="7"/>
  <c r="B886" i="7" s="1"/>
  <c r="A887" i="7"/>
  <c r="C887" i="7" s="1"/>
  <c r="A888" i="7"/>
  <c r="C888" i="7" s="1"/>
  <c r="A889" i="7"/>
  <c r="B889" i="7" s="1"/>
  <c r="A890" i="7"/>
  <c r="A891" i="7"/>
  <c r="C891" i="7" s="1"/>
  <c r="A892" i="7"/>
  <c r="C892" i="7" s="1"/>
  <c r="A893" i="7"/>
  <c r="C893" i="7" s="1"/>
  <c r="A894" i="7"/>
  <c r="B894" i="7" s="1"/>
  <c r="A895" i="7"/>
  <c r="A896" i="7"/>
  <c r="C896" i="7" s="1"/>
  <c r="A897" i="7"/>
  <c r="B897" i="7" s="1"/>
  <c r="A898" i="7"/>
  <c r="A899" i="7"/>
  <c r="C899" i="7" s="1"/>
  <c r="A900" i="7"/>
  <c r="B900" i="7" s="1"/>
  <c r="A901" i="7"/>
  <c r="C901" i="7" s="1"/>
  <c r="A902" i="7"/>
  <c r="A903" i="7"/>
  <c r="C903" i="7" s="1"/>
  <c r="A904" i="7"/>
  <c r="C904" i="7" s="1"/>
  <c r="A905" i="7"/>
  <c r="B905" i="7" s="1"/>
  <c r="A906" i="7"/>
  <c r="A907" i="7"/>
  <c r="B907" i="7" s="1"/>
  <c r="A908" i="7"/>
  <c r="B908" i="7" s="1"/>
  <c r="A909" i="7"/>
  <c r="B909" i="7" s="1"/>
  <c r="A910" i="7"/>
  <c r="B910" i="7" s="1"/>
  <c r="A911" i="7"/>
  <c r="C911" i="7" s="1"/>
  <c r="A912" i="7"/>
  <c r="C912" i="7" s="1"/>
  <c r="A913" i="7"/>
  <c r="B913" i="7" s="1"/>
  <c r="A914" i="7"/>
  <c r="B914" i="7" s="1"/>
  <c r="A915" i="7"/>
  <c r="B915" i="7" s="1"/>
  <c r="A916" i="7"/>
  <c r="B916" i="7" s="1"/>
  <c r="A917" i="7"/>
  <c r="A918" i="7"/>
  <c r="B918" i="7" s="1"/>
  <c r="A919" i="7"/>
  <c r="C919" i="7" s="1"/>
  <c r="A920" i="7"/>
  <c r="A921" i="7"/>
  <c r="C921" i="7" s="1"/>
  <c r="A922" i="7"/>
  <c r="A923" i="7"/>
  <c r="C923" i="7" s="1"/>
  <c r="A924" i="7"/>
  <c r="B924" i="7" s="1"/>
  <c r="A925" i="7"/>
  <c r="B925" i="7" s="1"/>
  <c r="A926" i="7"/>
  <c r="B926" i="7" s="1"/>
  <c r="A927" i="7"/>
  <c r="A928" i="7"/>
  <c r="C928" i="7" s="1"/>
  <c r="A929" i="7"/>
  <c r="B929" i="7" s="1"/>
  <c r="A930" i="7"/>
  <c r="B930" i="7" s="1"/>
  <c r="A931" i="7"/>
  <c r="C931" i="7" s="1"/>
  <c r="A932" i="7"/>
  <c r="B932" i="7" s="1"/>
  <c r="A933" i="7"/>
  <c r="C933" i="7" s="1"/>
  <c r="A934" i="7"/>
  <c r="B934" i="7" s="1"/>
  <c r="A935" i="7"/>
  <c r="C935" i="7" s="1"/>
  <c r="A936" i="7"/>
  <c r="C936" i="7" s="1"/>
  <c r="A937" i="7"/>
  <c r="B937" i="7" s="1"/>
  <c r="A938" i="7"/>
  <c r="B938" i="7" s="1"/>
  <c r="A939" i="7"/>
  <c r="B939" i="7" s="1"/>
  <c r="A940" i="7"/>
  <c r="B940" i="7" s="1"/>
  <c r="A941" i="7"/>
  <c r="B941" i="7" s="1"/>
  <c r="A942" i="7"/>
  <c r="B942" i="7" s="1"/>
  <c r="A943" i="7"/>
  <c r="C943" i="7" s="1"/>
  <c r="A944" i="7"/>
  <c r="B944" i="7" s="1"/>
  <c r="A945" i="7"/>
  <c r="B945" i="7" s="1"/>
  <c r="A946" i="7"/>
  <c r="A947" i="7"/>
  <c r="C947" i="7" s="1"/>
  <c r="A948" i="7"/>
  <c r="B948" i="7" s="1"/>
  <c r="A949" i="7"/>
  <c r="B949" i="7" s="1"/>
  <c r="A950" i="7"/>
  <c r="B950" i="7" s="1"/>
  <c r="A951" i="7"/>
  <c r="C951" i="7" s="1"/>
  <c r="A952" i="7"/>
  <c r="C952" i="7" s="1"/>
  <c r="A953" i="7"/>
  <c r="C953" i="7" s="1"/>
  <c r="A954" i="7"/>
  <c r="B954" i="7" s="1"/>
  <c r="A955" i="7"/>
  <c r="A956" i="7"/>
  <c r="C956" i="7" s="1"/>
  <c r="A957" i="7"/>
  <c r="B957" i="7" s="1"/>
  <c r="A958" i="7"/>
  <c r="B958" i="7" s="1"/>
  <c r="A959" i="7"/>
  <c r="A960" i="7"/>
  <c r="C960" i="7" s="1"/>
  <c r="A961" i="7"/>
  <c r="B961" i="7" s="1"/>
  <c r="A962" i="7"/>
  <c r="A963" i="7"/>
  <c r="C963" i="7" s="1"/>
  <c r="A964" i="7"/>
  <c r="B964" i="7" s="1"/>
  <c r="A965" i="7"/>
  <c r="C965" i="7" s="1"/>
  <c r="A966" i="7"/>
  <c r="B966" i="7" s="1"/>
  <c r="A967" i="7"/>
  <c r="A968" i="7"/>
  <c r="B968" i="7" s="1"/>
  <c r="A969" i="7"/>
  <c r="A970" i="7"/>
  <c r="B970" i="7" s="1"/>
  <c r="A971" i="7"/>
  <c r="C971" i="7" s="1"/>
  <c r="A972" i="7"/>
  <c r="B972" i="7" s="1"/>
  <c r="A973" i="7"/>
  <c r="B973" i="7" s="1"/>
  <c r="A974" i="7"/>
  <c r="B974" i="7" s="1"/>
  <c r="A975" i="7"/>
  <c r="B975" i="7" s="1"/>
  <c r="A976" i="7"/>
  <c r="B976" i="7" s="1"/>
  <c r="A977" i="7"/>
  <c r="C977" i="7" s="1"/>
  <c r="A978" i="7"/>
  <c r="B978" i="7" s="1"/>
  <c r="A979" i="7"/>
  <c r="C979" i="7" s="1"/>
  <c r="A980" i="7"/>
  <c r="B980" i="7" s="1"/>
  <c r="A981" i="7"/>
  <c r="C981" i="7" s="1"/>
  <c r="A982" i="7"/>
  <c r="B982" i="7" s="1"/>
  <c r="A983" i="7"/>
  <c r="A984" i="7"/>
  <c r="B984" i="7" s="1"/>
  <c r="A985" i="7"/>
  <c r="C985" i="7" s="1"/>
  <c r="A986" i="7"/>
  <c r="B986" i="7" s="1"/>
  <c r="A987" i="7"/>
  <c r="C987" i="7" s="1"/>
  <c r="A988" i="7"/>
  <c r="B988" i="7" s="1"/>
  <c r="A989" i="7"/>
  <c r="B989" i="7" s="1"/>
  <c r="A990" i="7"/>
  <c r="B990" i="7" s="1"/>
  <c r="A991" i="7"/>
  <c r="C991" i="7" s="1"/>
  <c r="A992" i="7"/>
  <c r="B992" i="7" s="1"/>
  <c r="A993" i="7"/>
  <c r="C993" i="7" s="1"/>
  <c r="A994" i="7"/>
  <c r="B994" i="7" s="1"/>
  <c r="A995" i="7"/>
  <c r="A996" i="7"/>
  <c r="B996" i="7" s="1"/>
  <c r="A997" i="7"/>
  <c r="C997" i="7" s="1"/>
  <c r="A998" i="7"/>
  <c r="A999" i="7"/>
  <c r="B999" i="7" s="1"/>
  <c r="A1000" i="7"/>
  <c r="B1000" i="7" s="1"/>
  <c r="A1001" i="7"/>
  <c r="C1001" i="7" s="1"/>
  <c r="A1002" i="7"/>
  <c r="B1002" i="7" s="1"/>
  <c r="A1003" i="7"/>
  <c r="C1003" i="7" s="1"/>
  <c r="A1004" i="7"/>
  <c r="B1004" i="7" s="1"/>
  <c r="A1005" i="7"/>
  <c r="B1005" i="7" s="1"/>
  <c r="A1006" i="7"/>
  <c r="B1006" i="7" s="1"/>
  <c r="A1007" i="7"/>
  <c r="C1007" i="7" s="1"/>
  <c r="A1008" i="7"/>
  <c r="B1008" i="7" s="1"/>
  <c r="A1009" i="7"/>
  <c r="C1009" i="7" s="1"/>
  <c r="A1010" i="7"/>
  <c r="B1010" i="7" s="1"/>
  <c r="A1011" i="7"/>
  <c r="C1011" i="7" s="1"/>
  <c r="A1012" i="7"/>
  <c r="B1012" i="7" s="1"/>
  <c r="A1013" i="7"/>
  <c r="B1013" i="7" s="1"/>
  <c r="A1014" i="7"/>
  <c r="B1014" i="7" s="1"/>
  <c r="A1015" i="7"/>
  <c r="B1015" i="7" s="1"/>
  <c r="A1016" i="7"/>
  <c r="B1016" i="7" s="1"/>
  <c r="A1017" i="7"/>
  <c r="A1018" i="7"/>
  <c r="B1018" i="7" s="1"/>
  <c r="A1019" i="7"/>
  <c r="A1020" i="7"/>
  <c r="B1020" i="7" s="1"/>
  <c r="A1021" i="7"/>
  <c r="C1021" i="7" s="1"/>
  <c r="A1022" i="7"/>
  <c r="B1022" i="7" s="1"/>
  <c r="A1023" i="7"/>
  <c r="A1024" i="7"/>
  <c r="B1024" i="7" s="1"/>
  <c r="A1025" i="7"/>
  <c r="C1025" i="7" s="1"/>
  <c r="A1026" i="7"/>
  <c r="C1026" i="7" s="1"/>
  <c r="A1027" i="7"/>
  <c r="C1027" i="7" s="1"/>
  <c r="A1028" i="7"/>
  <c r="B1028" i="7" s="1"/>
  <c r="A1029" i="7"/>
  <c r="B1029" i="7" s="1"/>
  <c r="A1030" i="7"/>
  <c r="B1030" i="7" s="1"/>
  <c r="A1031" i="7"/>
  <c r="B1031" i="7" s="1"/>
  <c r="A1032" i="7"/>
  <c r="B1032" i="7" s="1"/>
  <c r="A1033" i="7"/>
  <c r="C1033" i="7" s="1"/>
  <c r="A1034" i="7"/>
  <c r="B1034" i="7" s="1"/>
  <c r="A1035" i="7"/>
  <c r="C1035" i="7" s="1"/>
  <c r="A1036" i="7"/>
  <c r="B1036" i="7" s="1"/>
  <c r="A1037" i="7"/>
  <c r="B1037" i="7" s="1"/>
  <c r="A1038" i="7"/>
  <c r="B1038" i="7" s="1"/>
  <c r="A1039" i="7"/>
  <c r="B1039" i="7" s="1"/>
  <c r="A1040" i="7"/>
  <c r="B1040" i="7" s="1"/>
  <c r="A1041" i="7"/>
  <c r="C1041" i="7" s="1"/>
  <c r="A1042" i="7"/>
  <c r="C1042" i="7" s="1"/>
  <c r="A1043" i="7"/>
  <c r="C1043" i="7" s="1"/>
  <c r="A1044" i="7"/>
  <c r="B1044" i="7" s="1"/>
  <c r="A1045" i="7"/>
  <c r="B1045" i="7" s="1"/>
  <c r="A1046" i="7"/>
  <c r="B1046" i="7" s="1"/>
  <c r="A1047" i="7"/>
  <c r="B1047" i="7" s="1"/>
  <c r="A1048" i="7"/>
  <c r="B1048" i="7" s="1"/>
  <c r="A1049" i="7"/>
  <c r="A1050" i="7"/>
  <c r="B1050" i="7" s="1"/>
  <c r="A1051" i="7"/>
  <c r="C1051" i="7" s="1"/>
  <c r="A1052" i="7"/>
  <c r="B1052" i="7" s="1"/>
  <c r="A1053" i="7"/>
  <c r="C1053" i="7" s="1"/>
  <c r="A1054" i="7"/>
  <c r="B1054" i="7" s="1"/>
  <c r="A1055" i="7"/>
  <c r="B1055" i="7" s="1"/>
  <c r="A1056" i="7"/>
  <c r="B1056" i="7" s="1"/>
  <c r="A1057" i="7"/>
  <c r="C1057" i="7" s="1"/>
  <c r="A1058" i="7"/>
  <c r="B1058" i="7" s="1"/>
  <c r="A1059" i="7"/>
  <c r="C1059" i="7" s="1"/>
  <c r="A1060" i="7"/>
  <c r="B1060" i="7" s="1"/>
  <c r="A1061" i="7"/>
  <c r="C1061" i="7" s="1"/>
  <c r="A1062" i="7"/>
  <c r="B1062" i="7" s="1"/>
  <c r="A1063" i="7"/>
  <c r="B1063" i="7" s="1"/>
  <c r="A1064" i="7"/>
  <c r="B1064" i="7" s="1"/>
  <c r="A1065" i="7"/>
  <c r="C1065" i="7" s="1"/>
  <c r="A1066" i="7"/>
  <c r="B1066" i="7" s="1"/>
  <c r="A1067" i="7"/>
  <c r="C1067" i="7" s="1"/>
  <c r="A1068" i="7"/>
  <c r="B1068" i="7" s="1"/>
  <c r="A1069" i="7"/>
  <c r="B1069" i="7" s="1"/>
  <c r="A1070" i="7"/>
  <c r="B1070" i="7" s="1"/>
  <c r="A1071" i="7"/>
  <c r="B1071" i="7" s="1"/>
  <c r="A1072" i="7"/>
  <c r="B1072" i="7" s="1"/>
  <c r="A1073" i="7"/>
  <c r="A1074" i="7"/>
  <c r="C1074" i="7" s="1"/>
  <c r="A1075" i="7"/>
  <c r="C1075" i="7" s="1"/>
  <c r="A1076" i="7"/>
  <c r="B1076" i="7" s="1"/>
  <c r="A1077" i="7"/>
  <c r="C1077" i="7" s="1"/>
  <c r="A1078" i="7"/>
  <c r="B1078" i="7" s="1"/>
  <c r="A3" i="7"/>
  <c r="B3" i="7" s="1"/>
  <c r="A4" i="7"/>
  <c r="B4" i="7" s="1"/>
  <c r="A2" i="7"/>
  <c r="C2" i="7" s="1"/>
  <c r="A12" i="3"/>
  <c r="C12" i="3" s="1"/>
  <c r="A13" i="3"/>
  <c r="B13" i="3" s="1"/>
  <c r="A14" i="3"/>
  <c r="B14" i="3" s="1"/>
  <c r="A15" i="3"/>
  <c r="C15" i="3" s="1"/>
  <c r="A16" i="3"/>
  <c r="B16" i="3" s="1"/>
  <c r="A17" i="3"/>
  <c r="A18" i="3"/>
  <c r="B18" i="3" s="1"/>
  <c r="A19" i="3"/>
  <c r="C19" i="3" s="1"/>
  <c r="A20" i="3"/>
  <c r="B20" i="3" s="1"/>
  <c r="A21" i="3"/>
  <c r="C21" i="3" s="1"/>
  <c r="A22" i="3"/>
  <c r="C22" i="3" s="1"/>
  <c r="A23" i="3"/>
  <c r="C23" i="3" s="1"/>
  <c r="A24" i="3"/>
  <c r="C24" i="3" s="1"/>
  <c r="A25" i="3"/>
  <c r="A26" i="3"/>
  <c r="A27" i="3"/>
  <c r="C27" i="3" s="1"/>
  <c r="A28" i="3"/>
  <c r="B28" i="3" s="1"/>
  <c r="A29" i="3"/>
  <c r="C29" i="3" s="1"/>
  <c r="A30" i="3"/>
  <c r="C30" i="3" s="1"/>
  <c r="A31" i="3"/>
  <c r="C31" i="3" s="1"/>
  <c r="A32" i="3"/>
  <c r="B32" i="3" s="1"/>
  <c r="A33" i="3"/>
  <c r="A34" i="3"/>
  <c r="A35" i="3"/>
  <c r="A36" i="3"/>
  <c r="B36" i="3" s="1"/>
  <c r="A37" i="3"/>
  <c r="B37" i="3" s="1"/>
  <c r="A38" i="3"/>
  <c r="B38" i="3" s="1"/>
  <c r="A39" i="3"/>
  <c r="C39" i="3" s="1"/>
  <c r="A40" i="3"/>
  <c r="B40" i="3" s="1"/>
  <c r="A41" i="3"/>
  <c r="A42" i="3"/>
  <c r="A43" i="3"/>
  <c r="C43" i="3" s="1"/>
  <c r="A44" i="3"/>
  <c r="C44" i="3" s="1"/>
  <c r="A45" i="3"/>
  <c r="C45" i="3" s="1"/>
  <c r="A46" i="3"/>
  <c r="B46" i="3" s="1"/>
  <c r="A47" i="3"/>
  <c r="C47" i="3" s="1"/>
  <c r="A48" i="3"/>
  <c r="C48" i="3" s="1"/>
  <c r="A49" i="3"/>
  <c r="A50" i="3"/>
  <c r="C50" i="3" s="1"/>
  <c r="A51" i="3"/>
  <c r="C51" i="3" s="1"/>
  <c r="A52" i="3"/>
  <c r="B52" i="3" s="1"/>
  <c r="A53" i="3"/>
  <c r="C53" i="3" s="1"/>
  <c r="A54" i="3"/>
  <c r="B54" i="3" s="1"/>
  <c r="A55" i="3"/>
  <c r="C55" i="3" s="1"/>
  <c r="A56" i="3"/>
  <c r="B56" i="3" s="1"/>
  <c r="A57" i="3"/>
  <c r="A58" i="3"/>
  <c r="A59" i="3"/>
  <c r="C59" i="3" s="1"/>
  <c r="A60" i="3"/>
  <c r="B60" i="3" s="1"/>
  <c r="A61" i="3"/>
  <c r="B61" i="3" s="1"/>
  <c r="A62" i="3"/>
  <c r="C62" i="3" s="1"/>
  <c r="A63" i="3"/>
  <c r="C63" i="3" s="1"/>
  <c r="A64" i="3"/>
  <c r="C64" i="3" s="1"/>
  <c r="A65" i="3"/>
  <c r="B65" i="3" s="1"/>
  <c r="A66" i="3"/>
  <c r="A67" i="3"/>
  <c r="A68" i="3"/>
  <c r="B68" i="3" s="1"/>
  <c r="A69" i="3"/>
  <c r="B69" i="3" s="1"/>
  <c r="A70" i="3"/>
  <c r="C70" i="3" s="1"/>
  <c r="A71" i="3"/>
  <c r="C71" i="3" s="1"/>
  <c r="A72" i="3"/>
  <c r="B72" i="3" s="1"/>
  <c r="A73" i="3"/>
  <c r="A74" i="3"/>
  <c r="A75" i="3"/>
  <c r="C75" i="3" s="1"/>
  <c r="A76" i="3"/>
  <c r="C76" i="3" s="1"/>
  <c r="A77" i="3"/>
  <c r="B77" i="3" s="1"/>
  <c r="A78" i="3"/>
  <c r="B78" i="3" s="1"/>
  <c r="A79" i="3"/>
  <c r="C79" i="3" s="1"/>
  <c r="A80" i="3"/>
  <c r="B80" i="3" s="1"/>
  <c r="A81" i="3"/>
  <c r="B81" i="3" s="1"/>
  <c r="A82" i="3"/>
  <c r="A83" i="3"/>
  <c r="C83" i="3" s="1"/>
  <c r="A84" i="3"/>
  <c r="B84" i="3" s="1"/>
  <c r="A85" i="3"/>
  <c r="C85" i="3" s="1"/>
  <c r="A86" i="3"/>
  <c r="B86" i="3" s="1"/>
  <c r="A87" i="3"/>
  <c r="C87" i="3" s="1"/>
  <c r="A88" i="3"/>
  <c r="B88" i="3" s="1"/>
  <c r="A89" i="3"/>
  <c r="A90" i="3"/>
  <c r="A91" i="3"/>
  <c r="C91" i="3" s="1"/>
  <c r="A92" i="3"/>
  <c r="C92" i="3" s="1"/>
  <c r="A93" i="3"/>
  <c r="B93" i="3" s="1"/>
  <c r="A94" i="3"/>
  <c r="C94" i="3" s="1"/>
  <c r="A95" i="3"/>
  <c r="C95" i="3" s="1"/>
  <c r="A96" i="3"/>
  <c r="B96" i="3" s="1"/>
  <c r="A97" i="3"/>
  <c r="C97" i="3" s="1"/>
  <c r="A98" i="3"/>
  <c r="A99" i="3"/>
  <c r="A100" i="3"/>
  <c r="C100" i="3" s="1"/>
  <c r="A101" i="3"/>
  <c r="B101" i="3" s="1"/>
  <c r="A102" i="3"/>
  <c r="C102" i="3" s="1"/>
  <c r="A103" i="3"/>
  <c r="C103" i="3" s="1"/>
  <c r="A104" i="3"/>
  <c r="B104" i="3" s="1"/>
  <c r="A105" i="3"/>
  <c r="A106" i="3"/>
  <c r="A107" i="3"/>
  <c r="C107" i="3" s="1"/>
  <c r="A108" i="3"/>
  <c r="C108" i="3" s="1"/>
  <c r="A109" i="3"/>
  <c r="B109" i="3" s="1"/>
  <c r="A110" i="3"/>
  <c r="B110" i="3" s="1"/>
  <c r="A111" i="3"/>
  <c r="C111" i="3" s="1"/>
  <c r="A112" i="3"/>
  <c r="B112" i="3" s="1"/>
  <c r="A113" i="3"/>
  <c r="A114" i="3"/>
  <c r="A115" i="3"/>
  <c r="C115" i="3" s="1"/>
  <c r="A116" i="3"/>
  <c r="B116" i="3" s="1"/>
  <c r="A117" i="3"/>
  <c r="C117" i="3" s="1"/>
  <c r="A118" i="3"/>
  <c r="C118" i="3" s="1"/>
  <c r="A119" i="3"/>
  <c r="C119" i="3" s="1"/>
  <c r="A120" i="3"/>
  <c r="B120" i="3" s="1"/>
  <c r="A121" i="3"/>
  <c r="A122" i="3"/>
  <c r="A123" i="3"/>
  <c r="C123" i="3" s="1"/>
  <c r="A124" i="3"/>
  <c r="B124" i="3" s="1"/>
  <c r="A125" i="3"/>
  <c r="B125" i="3" s="1"/>
  <c r="A126" i="3"/>
  <c r="C126" i="3" s="1"/>
  <c r="A127" i="3"/>
  <c r="C127" i="3" s="1"/>
  <c r="A128" i="3"/>
  <c r="C128" i="3" s="1"/>
  <c r="A129" i="3"/>
  <c r="A130" i="3"/>
  <c r="A131" i="3"/>
  <c r="A132" i="3"/>
  <c r="B132" i="3" s="1"/>
  <c r="A133" i="3"/>
  <c r="B133" i="3" s="1"/>
  <c r="A134" i="3"/>
  <c r="B134" i="3" s="1"/>
  <c r="A135" i="3"/>
  <c r="C135" i="3" s="1"/>
  <c r="A136" i="3"/>
  <c r="B136" i="3" s="1"/>
  <c r="A137" i="3"/>
  <c r="A138" i="3"/>
  <c r="B138" i="3" s="1"/>
  <c r="A139" i="3"/>
  <c r="C139" i="3" s="1"/>
  <c r="A140" i="3"/>
  <c r="C140" i="3" s="1"/>
  <c r="A141" i="3"/>
  <c r="B141" i="3" s="1"/>
  <c r="A142" i="3"/>
  <c r="B142" i="3" s="1"/>
  <c r="A143" i="3"/>
  <c r="C143" i="3" s="1"/>
  <c r="A144" i="3"/>
  <c r="C144" i="3" s="1"/>
  <c r="A145" i="3"/>
  <c r="A146" i="3"/>
  <c r="A147" i="3"/>
  <c r="C147" i="3" s="1"/>
  <c r="A148" i="3"/>
  <c r="B148" i="3" s="1"/>
  <c r="A149" i="3"/>
  <c r="C149" i="3" s="1"/>
  <c r="A150" i="3"/>
  <c r="B150" i="3" s="1"/>
  <c r="A151" i="3"/>
  <c r="C151" i="3" s="1"/>
  <c r="A152" i="3"/>
  <c r="B152" i="3" s="1"/>
  <c r="A153" i="3"/>
  <c r="A154" i="3"/>
  <c r="B154" i="3" s="1"/>
  <c r="A155" i="3"/>
  <c r="C155" i="3" s="1"/>
  <c r="A156" i="3"/>
  <c r="B156" i="3" s="1"/>
  <c r="A157" i="3"/>
  <c r="B157" i="3" s="1"/>
  <c r="A158" i="3"/>
  <c r="C158" i="3" s="1"/>
  <c r="A159" i="3"/>
  <c r="C159" i="3" s="1"/>
  <c r="A160" i="3"/>
  <c r="C160" i="3" s="1"/>
  <c r="A161" i="3"/>
  <c r="A162" i="3"/>
  <c r="A163" i="3"/>
  <c r="A164" i="3"/>
  <c r="B164" i="3" s="1"/>
  <c r="A165" i="3"/>
  <c r="C165" i="3" s="1"/>
  <c r="A166" i="3"/>
  <c r="B166" i="3" s="1"/>
  <c r="A167" i="3"/>
  <c r="C167" i="3" s="1"/>
  <c r="A168" i="3"/>
  <c r="B168" i="3" s="1"/>
  <c r="A169" i="3"/>
  <c r="A170" i="3"/>
  <c r="C170" i="3" s="1"/>
  <c r="A171" i="3"/>
  <c r="C171" i="3" s="1"/>
  <c r="A172" i="3"/>
  <c r="C172" i="3" s="1"/>
  <c r="A173" i="3"/>
  <c r="B173" i="3" s="1"/>
  <c r="A174" i="3"/>
  <c r="B174" i="3" s="1"/>
  <c r="A175" i="3"/>
  <c r="C175" i="3" s="1"/>
  <c r="A176" i="3"/>
  <c r="B176" i="3" s="1"/>
  <c r="A177" i="3"/>
  <c r="A178" i="3"/>
  <c r="A179" i="3"/>
  <c r="C179" i="3" s="1"/>
  <c r="A180" i="3"/>
  <c r="B180" i="3" s="1"/>
  <c r="A181" i="3"/>
  <c r="C181" i="3" s="1"/>
  <c r="A182" i="3"/>
  <c r="B182" i="3" s="1"/>
  <c r="A183" i="3"/>
  <c r="C183" i="3" s="1"/>
  <c r="A184" i="3"/>
  <c r="C184" i="3" s="1"/>
  <c r="A185" i="3"/>
  <c r="B185" i="3" s="1"/>
  <c r="A186" i="3"/>
  <c r="A187" i="3"/>
  <c r="C187" i="3" s="1"/>
  <c r="A188" i="3"/>
  <c r="C188" i="3" s="1"/>
  <c r="A189" i="3"/>
  <c r="B189" i="3" s="1"/>
  <c r="A190" i="3"/>
  <c r="C190" i="3" s="1"/>
  <c r="A191" i="3"/>
  <c r="C191" i="3" s="1"/>
  <c r="A192" i="3"/>
  <c r="B192" i="3" s="1"/>
  <c r="A193" i="3"/>
  <c r="A194" i="3"/>
  <c r="A195" i="3"/>
  <c r="A196" i="3"/>
  <c r="B196" i="3" s="1"/>
  <c r="A197" i="3"/>
  <c r="B197" i="3" s="1"/>
  <c r="A198" i="3"/>
  <c r="B198" i="3" s="1"/>
  <c r="A199" i="3"/>
  <c r="C199" i="3" s="1"/>
  <c r="A200" i="3"/>
  <c r="B200" i="3" s="1"/>
  <c r="A201" i="3"/>
  <c r="B201" i="3" s="1"/>
  <c r="A202" i="3"/>
  <c r="A203" i="3"/>
  <c r="C203" i="3" s="1"/>
  <c r="A204" i="3"/>
  <c r="C204" i="3" s="1"/>
  <c r="A205" i="3"/>
  <c r="B205" i="3" s="1"/>
  <c r="A206" i="3"/>
  <c r="B206" i="3" s="1"/>
  <c r="A207" i="3"/>
  <c r="C207" i="3" s="1"/>
  <c r="A208" i="3"/>
  <c r="B208" i="3" s="1"/>
  <c r="A209" i="3"/>
  <c r="A210" i="3"/>
  <c r="A211" i="3"/>
  <c r="C211" i="3" s="1"/>
  <c r="A212" i="3"/>
  <c r="C212" i="3" s="1"/>
  <c r="A213" i="3"/>
  <c r="C213" i="3" s="1"/>
  <c r="A214" i="3"/>
  <c r="B214" i="3" s="1"/>
  <c r="A215" i="3"/>
  <c r="C215" i="3" s="1"/>
  <c r="A216" i="3"/>
  <c r="B216" i="3" s="1"/>
  <c r="A217" i="3"/>
  <c r="C217" i="3" s="1"/>
  <c r="A218" i="3"/>
  <c r="A219" i="3"/>
  <c r="C219" i="3" s="1"/>
  <c r="A220" i="3"/>
  <c r="B220" i="3" s="1"/>
  <c r="A221" i="3"/>
  <c r="B221" i="3" s="1"/>
  <c r="A222" i="3"/>
  <c r="C222" i="3" s="1"/>
  <c r="A223" i="3"/>
  <c r="C223" i="3" s="1"/>
  <c r="A224" i="3"/>
  <c r="B224" i="3" s="1"/>
  <c r="A225" i="3"/>
  <c r="A226" i="3"/>
  <c r="B226" i="3" s="1"/>
  <c r="A227" i="3"/>
  <c r="A228" i="3"/>
  <c r="C228" i="3" s="1"/>
  <c r="A229" i="3"/>
  <c r="B229" i="3" s="1"/>
  <c r="A230" i="3"/>
  <c r="B230" i="3" s="1"/>
  <c r="A231" i="3"/>
  <c r="C231" i="3" s="1"/>
  <c r="A232" i="3"/>
  <c r="B232" i="3" s="1"/>
  <c r="A233" i="3"/>
  <c r="C233" i="3" s="1"/>
  <c r="A234" i="3"/>
  <c r="A235" i="3"/>
  <c r="C235" i="3" s="1"/>
  <c r="A236" i="3"/>
  <c r="C236" i="3" s="1"/>
  <c r="A237" i="3"/>
  <c r="B237" i="3" s="1"/>
  <c r="A238" i="3"/>
  <c r="C238" i="3" s="1"/>
  <c r="A239" i="3"/>
  <c r="C239" i="3" s="1"/>
  <c r="A240" i="3"/>
  <c r="B240" i="3" s="1"/>
  <c r="A241" i="3"/>
  <c r="A242" i="3"/>
  <c r="B242" i="3" s="1"/>
  <c r="A243" i="3"/>
  <c r="C243" i="3" s="1"/>
  <c r="A244" i="3"/>
  <c r="B244" i="3" s="1"/>
  <c r="A245" i="3"/>
  <c r="C245" i="3" s="1"/>
  <c r="A246" i="3"/>
  <c r="B246" i="3" s="1"/>
  <c r="A247" i="3"/>
  <c r="C247" i="3" s="1"/>
  <c r="A248" i="3"/>
  <c r="B248" i="3" s="1"/>
  <c r="A249" i="3"/>
  <c r="A250" i="3"/>
  <c r="A251" i="3"/>
  <c r="C251" i="3" s="1"/>
  <c r="A252" i="3"/>
  <c r="B252" i="3" s="1"/>
  <c r="A253" i="3"/>
  <c r="B253" i="3" s="1"/>
  <c r="A254" i="3"/>
  <c r="C254" i="3" s="1"/>
  <c r="A255" i="3"/>
  <c r="C255" i="3" s="1"/>
  <c r="A256" i="3"/>
  <c r="B256" i="3" s="1"/>
  <c r="A257" i="3"/>
  <c r="A258" i="3"/>
  <c r="B258" i="3" s="1"/>
  <c r="A259" i="3"/>
  <c r="A260" i="3"/>
  <c r="B260" i="3" s="1"/>
  <c r="A261" i="3"/>
  <c r="B261" i="3" s="1"/>
  <c r="A262" i="3"/>
  <c r="B262" i="3" s="1"/>
  <c r="A263" i="3"/>
  <c r="C263" i="3" s="1"/>
  <c r="A264" i="3"/>
  <c r="B264" i="3" s="1"/>
  <c r="A265" i="3"/>
  <c r="A266" i="3"/>
  <c r="A267" i="3"/>
  <c r="C267" i="3" s="1"/>
  <c r="A268" i="3"/>
  <c r="C268" i="3" s="1"/>
  <c r="A269" i="3"/>
  <c r="B269" i="3" s="1"/>
  <c r="A270" i="3"/>
  <c r="B270" i="3" s="1"/>
  <c r="A271" i="3"/>
  <c r="C271" i="3" s="1"/>
  <c r="A272" i="3"/>
  <c r="C272" i="3" s="1"/>
  <c r="A273" i="3"/>
  <c r="A274" i="3"/>
  <c r="B274" i="3" s="1"/>
  <c r="A275" i="3"/>
  <c r="C275" i="3" s="1"/>
  <c r="A276" i="3"/>
  <c r="B276" i="3" s="1"/>
  <c r="A277" i="3"/>
  <c r="C277" i="3" s="1"/>
  <c r="A278" i="3"/>
  <c r="B278" i="3" s="1"/>
  <c r="A279" i="3"/>
  <c r="C279" i="3" s="1"/>
  <c r="A280" i="3"/>
  <c r="C280" i="3" s="1"/>
  <c r="A281" i="3"/>
  <c r="A282" i="3"/>
  <c r="A283" i="3"/>
  <c r="C283" i="3" s="1"/>
  <c r="A284" i="3"/>
  <c r="B284" i="3" s="1"/>
  <c r="A285" i="3"/>
  <c r="C285" i="3" s="1"/>
  <c r="A286" i="3"/>
  <c r="C286" i="3" s="1"/>
  <c r="A287" i="3"/>
  <c r="C287" i="3" s="1"/>
  <c r="A288" i="3"/>
  <c r="C288" i="3" s="1"/>
  <c r="A289" i="3"/>
  <c r="B289" i="3" s="1"/>
  <c r="A290" i="3"/>
  <c r="C290" i="3" s="1"/>
  <c r="A291" i="3"/>
  <c r="A292" i="3"/>
  <c r="B292" i="3" s="1"/>
  <c r="A293" i="3"/>
  <c r="B293" i="3" s="1"/>
  <c r="A294" i="3"/>
  <c r="B294" i="3" s="1"/>
  <c r="A295" i="3"/>
  <c r="C295" i="3" s="1"/>
  <c r="A296" i="3"/>
  <c r="B296" i="3" s="1"/>
  <c r="A297" i="3"/>
  <c r="A298" i="3"/>
  <c r="A299" i="3"/>
  <c r="C299" i="3" s="1"/>
  <c r="A300" i="3"/>
  <c r="C300" i="3" s="1"/>
  <c r="A301" i="3"/>
  <c r="C301" i="3" s="1"/>
  <c r="A302" i="3"/>
  <c r="B302" i="3" s="1"/>
  <c r="A303" i="3"/>
  <c r="C303" i="3" s="1"/>
  <c r="A304" i="3"/>
  <c r="B304" i="3" s="1"/>
  <c r="A305" i="3"/>
  <c r="B305" i="3" s="1"/>
  <c r="A306" i="3"/>
  <c r="C306" i="3" s="1"/>
  <c r="A307" i="3"/>
  <c r="C307" i="3" s="1"/>
  <c r="A308" i="3"/>
  <c r="B308" i="3" s="1"/>
  <c r="A309" i="3"/>
  <c r="C309" i="3" s="1"/>
  <c r="A310" i="3"/>
  <c r="B310" i="3" s="1"/>
  <c r="A311" i="3"/>
  <c r="C311" i="3" s="1"/>
  <c r="A312" i="3"/>
  <c r="B312" i="3" s="1"/>
  <c r="A313" i="3"/>
  <c r="A314" i="3"/>
  <c r="A315" i="3"/>
  <c r="C315" i="3" s="1"/>
  <c r="A316" i="3"/>
  <c r="B316" i="3" s="1"/>
  <c r="A317" i="3"/>
  <c r="B317" i="3" s="1"/>
  <c r="A318" i="3"/>
  <c r="C318" i="3" s="1"/>
  <c r="A319" i="3"/>
  <c r="C319" i="3" s="1"/>
  <c r="A320" i="3"/>
  <c r="B320" i="3" s="1"/>
  <c r="A321" i="3"/>
  <c r="B321" i="3" s="1"/>
  <c r="A322" i="3"/>
  <c r="A323" i="3"/>
  <c r="A324" i="3"/>
  <c r="B324" i="3" s="1"/>
  <c r="A325" i="3"/>
  <c r="B325" i="3" s="1"/>
  <c r="A326" i="3"/>
  <c r="B326" i="3" s="1"/>
  <c r="A327" i="3"/>
  <c r="C327" i="3" s="1"/>
  <c r="A328" i="3"/>
  <c r="B328" i="3" s="1"/>
  <c r="A329" i="3"/>
  <c r="A330" i="3"/>
  <c r="A331" i="3"/>
  <c r="C331" i="3" s="1"/>
  <c r="A332" i="3"/>
  <c r="C332" i="3" s="1"/>
  <c r="A333" i="3"/>
  <c r="B333" i="3" s="1"/>
  <c r="A334" i="3"/>
  <c r="B334" i="3" s="1"/>
  <c r="A335" i="3"/>
  <c r="C335" i="3" s="1"/>
  <c r="A336" i="3"/>
  <c r="B336" i="3" s="1"/>
  <c r="A337" i="3"/>
  <c r="B337" i="3" s="1"/>
  <c r="A338" i="3"/>
  <c r="A339" i="3"/>
  <c r="C339" i="3" s="1"/>
  <c r="A340" i="3"/>
  <c r="B340" i="3" s="1"/>
  <c r="A341" i="3"/>
  <c r="C341" i="3" s="1"/>
  <c r="A342" i="3"/>
  <c r="B342" i="3" s="1"/>
  <c r="A343" i="3"/>
  <c r="B343" i="3" s="1"/>
  <c r="A344" i="3"/>
  <c r="B344" i="3" s="1"/>
  <c r="A345" i="3"/>
  <c r="A346" i="3"/>
  <c r="B346" i="3" s="1"/>
  <c r="A347" i="3"/>
  <c r="C347" i="3" s="1"/>
  <c r="A348" i="3"/>
  <c r="B348" i="3" s="1"/>
  <c r="A349" i="3"/>
  <c r="C349" i="3" s="1"/>
  <c r="A350" i="3"/>
  <c r="B350" i="3" s="1"/>
  <c r="A351" i="3"/>
  <c r="B351" i="3" s="1"/>
  <c r="A352" i="3"/>
  <c r="B352" i="3" s="1"/>
  <c r="A353" i="3"/>
  <c r="A354" i="3"/>
  <c r="A355" i="3"/>
  <c r="B355" i="3" s="1"/>
  <c r="A356" i="3"/>
  <c r="C356" i="3" s="1"/>
  <c r="A357" i="3"/>
  <c r="C357" i="3" s="1"/>
  <c r="A358" i="3"/>
  <c r="B358" i="3" s="1"/>
  <c r="A359" i="3"/>
  <c r="B359" i="3" s="1"/>
  <c r="A360" i="3"/>
  <c r="B360" i="3" s="1"/>
  <c r="A361" i="3"/>
  <c r="A362" i="3"/>
  <c r="A363" i="3"/>
  <c r="B363" i="3" s="1"/>
  <c r="A364" i="3"/>
  <c r="B364" i="3" s="1"/>
  <c r="A365" i="3"/>
  <c r="C365" i="3" s="1"/>
  <c r="A366" i="3"/>
  <c r="B366" i="3" s="1"/>
  <c r="A367" i="3"/>
  <c r="B367" i="3" s="1"/>
  <c r="A368" i="3"/>
  <c r="B368" i="3" s="1"/>
  <c r="A369" i="3"/>
  <c r="C369" i="3" s="1"/>
  <c r="A370" i="3"/>
  <c r="C370" i="3" s="1"/>
  <c r="A371" i="3"/>
  <c r="B371" i="3" s="1"/>
  <c r="A372" i="3"/>
  <c r="C372" i="3" s="1"/>
  <c r="A373" i="3"/>
  <c r="C373" i="3" s="1"/>
  <c r="A374" i="3"/>
  <c r="B374" i="3" s="1"/>
  <c r="A375" i="3"/>
  <c r="B375" i="3" s="1"/>
  <c r="A376" i="3"/>
  <c r="B376" i="3" s="1"/>
  <c r="A377" i="3"/>
  <c r="A378" i="3"/>
  <c r="B378" i="3" s="1"/>
  <c r="A379" i="3"/>
  <c r="C379" i="3" s="1"/>
  <c r="A380" i="3"/>
  <c r="B380" i="3" s="1"/>
  <c r="A381" i="3"/>
  <c r="C381" i="3" s="1"/>
  <c r="A382" i="3"/>
  <c r="C382" i="3" s="1"/>
  <c r="A383" i="3"/>
  <c r="B383" i="3" s="1"/>
  <c r="A384" i="3"/>
  <c r="B384" i="3" s="1"/>
  <c r="A385" i="3"/>
  <c r="A386" i="3"/>
  <c r="A387" i="3"/>
  <c r="B387" i="3" s="1"/>
  <c r="A388" i="3"/>
  <c r="B388" i="3" s="1"/>
  <c r="A389" i="3"/>
  <c r="B389" i="3" s="1"/>
  <c r="A390" i="3"/>
  <c r="B390" i="3" s="1"/>
  <c r="A391" i="3"/>
  <c r="C391" i="3" s="1"/>
  <c r="A392" i="3"/>
  <c r="B392" i="3" s="1"/>
  <c r="A393" i="3"/>
  <c r="A394" i="3"/>
  <c r="A395" i="3"/>
  <c r="B395" i="3" s="1"/>
  <c r="A396" i="3"/>
  <c r="B396" i="3" s="1"/>
  <c r="A397" i="3"/>
  <c r="B397" i="3" s="1"/>
  <c r="A398" i="3"/>
  <c r="B398" i="3" s="1"/>
  <c r="A399" i="3"/>
  <c r="B399" i="3" s="1"/>
  <c r="A400" i="3"/>
  <c r="B400" i="3" s="1"/>
  <c r="A401" i="3"/>
  <c r="A402" i="3"/>
  <c r="A403" i="3"/>
  <c r="C403" i="3" s="1"/>
  <c r="A404" i="3"/>
  <c r="B404" i="3" s="1"/>
  <c r="A405" i="3"/>
  <c r="B405" i="3" s="1"/>
  <c r="A406" i="3"/>
  <c r="B406" i="3" s="1"/>
  <c r="A407" i="3"/>
  <c r="B407" i="3" s="1"/>
  <c r="A408" i="3"/>
  <c r="B408" i="3" s="1"/>
  <c r="A409" i="3"/>
  <c r="A410" i="3"/>
  <c r="A411" i="3"/>
  <c r="B411" i="3" s="1"/>
  <c r="A412" i="3"/>
  <c r="B412" i="3" s="1"/>
  <c r="A413" i="3"/>
  <c r="B413" i="3" s="1"/>
  <c r="A414" i="3"/>
  <c r="C414" i="3" s="1"/>
  <c r="A415" i="3"/>
  <c r="B415" i="3" s="1"/>
  <c r="A416" i="3"/>
  <c r="B416" i="3" s="1"/>
  <c r="A417" i="3"/>
  <c r="A418" i="3"/>
  <c r="A419" i="3"/>
  <c r="B419" i="3" s="1"/>
  <c r="A420" i="3"/>
  <c r="B420" i="3" s="1"/>
  <c r="A421" i="3"/>
  <c r="B421" i="3" s="1"/>
  <c r="A422" i="3"/>
  <c r="B422" i="3" s="1"/>
  <c r="A423" i="3"/>
  <c r="C423" i="3" s="1"/>
  <c r="A424" i="3"/>
  <c r="B424" i="3" s="1"/>
  <c r="A425" i="3"/>
  <c r="A426" i="3"/>
  <c r="A427" i="3"/>
  <c r="B427" i="3" s="1"/>
  <c r="A428" i="3"/>
  <c r="B428" i="3" s="1"/>
  <c r="A429" i="3"/>
  <c r="B429" i="3" s="1"/>
  <c r="A430" i="3"/>
  <c r="B430" i="3" s="1"/>
  <c r="A431" i="3"/>
  <c r="B431" i="3" s="1"/>
  <c r="A432" i="3"/>
  <c r="B432" i="3" s="1"/>
  <c r="A433" i="3"/>
  <c r="A434" i="3"/>
  <c r="A435" i="3"/>
  <c r="C435" i="3" s="1"/>
  <c r="A436" i="3"/>
  <c r="B436" i="3" s="1"/>
  <c r="A437" i="3"/>
  <c r="B437" i="3" s="1"/>
  <c r="A438" i="3"/>
  <c r="B438" i="3" s="1"/>
  <c r="A439" i="3"/>
  <c r="B439" i="3" s="1"/>
  <c r="A440" i="3"/>
  <c r="B440" i="3" s="1"/>
  <c r="A441" i="3"/>
  <c r="A442" i="3"/>
  <c r="A443" i="3"/>
  <c r="B443" i="3" s="1"/>
  <c r="A444" i="3"/>
  <c r="B444" i="3" s="1"/>
  <c r="A445" i="3"/>
  <c r="B445" i="3" s="1"/>
  <c r="A446" i="3"/>
  <c r="C446" i="3" s="1"/>
  <c r="A447" i="3"/>
  <c r="B447" i="3" s="1"/>
  <c r="A448" i="3"/>
  <c r="B448" i="3" s="1"/>
  <c r="A449" i="3"/>
  <c r="A450" i="3"/>
  <c r="A451" i="3"/>
  <c r="B451" i="3" s="1"/>
  <c r="A452" i="3"/>
  <c r="B452" i="3" s="1"/>
  <c r="A453" i="3"/>
  <c r="B453" i="3" s="1"/>
  <c r="A3" i="3"/>
  <c r="A4" i="3"/>
  <c r="B4" i="3" s="1"/>
  <c r="A5" i="3"/>
  <c r="B5" i="3" s="1"/>
  <c r="A6" i="3"/>
  <c r="A7" i="3"/>
  <c r="A8" i="3"/>
  <c r="B8" i="3" s="1"/>
  <c r="A9" i="3"/>
  <c r="B9" i="3" s="1"/>
  <c r="A10" i="3"/>
  <c r="B10" i="3" s="1"/>
  <c r="A11" i="3"/>
  <c r="C11" i="3" s="1"/>
  <c r="A2" i="3"/>
  <c r="A2" i="2"/>
  <c r="B2" i="2" s="1"/>
  <c r="A3" i="2"/>
  <c r="B3" i="2" s="1"/>
  <c r="A4" i="2"/>
  <c r="B4" i="2" s="1"/>
  <c r="A5" i="2"/>
  <c r="B5" i="2" s="1"/>
  <c r="A6" i="2"/>
  <c r="B6" i="2" s="1"/>
  <c r="A7" i="2"/>
  <c r="B7" i="2" s="1"/>
  <c r="A8" i="2"/>
  <c r="B8" i="2" s="1"/>
  <c r="A9" i="2"/>
  <c r="B9" i="2" s="1"/>
  <c r="A10" i="2"/>
  <c r="B10" i="2" s="1"/>
  <c r="A11" i="2"/>
  <c r="B11" i="2" s="1"/>
  <c r="A12" i="2"/>
  <c r="B12" i="2" s="1"/>
  <c r="A13" i="2"/>
  <c r="B13" i="2" s="1"/>
  <c r="A14" i="2"/>
  <c r="B14" i="2" s="1"/>
  <c r="A15" i="2"/>
  <c r="B15" i="2" s="1"/>
  <c r="A16" i="2"/>
  <c r="B16" i="2" s="1"/>
  <c r="A17" i="2"/>
  <c r="B17" i="2" s="1"/>
  <c r="A18" i="2"/>
  <c r="B18" i="2" s="1"/>
  <c r="A19" i="2"/>
  <c r="B19" i="2" s="1"/>
  <c r="A20" i="2"/>
  <c r="B20" i="2" s="1"/>
  <c r="A21" i="2"/>
  <c r="B21" i="2" s="1"/>
  <c r="A22" i="2"/>
  <c r="B22" i="2" s="1"/>
  <c r="A23" i="2"/>
  <c r="B23" i="2" s="1"/>
  <c r="A24" i="2"/>
  <c r="B24" i="2" s="1"/>
  <c r="A25" i="2"/>
  <c r="B25" i="2" s="1"/>
  <c r="A26" i="2"/>
  <c r="B26" i="2" s="1"/>
  <c r="A27" i="2"/>
  <c r="B27" i="2" s="1"/>
  <c r="A28" i="2"/>
  <c r="B28" i="2" s="1"/>
  <c r="A29" i="2"/>
  <c r="B29" i="2" s="1"/>
  <c r="A30" i="2"/>
  <c r="B30" i="2" s="1"/>
  <c r="A31" i="2"/>
  <c r="B31" i="2" s="1"/>
  <c r="A32" i="2"/>
  <c r="B32" i="2" s="1"/>
  <c r="A33" i="2"/>
  <c r="B33" i="2" s="1"/>
  <c r="A34" i="2"/>
  <c r="B34" i="2" s="1"/>
  <c r="A35" i="2"/>
  <c r="B35" i="2" s="1"/>
  <c r="A36" i="2"/>
  <c r="B36" i="2" s="1"/>
  <c r="A37" i="2"/>
  <c r="B37" i="2" s="1"/>
  <c r="A38" i="2"/>
  <c r="B38" i="2" s="1"/>
  <c r="A39" i="2"/>
  <c r="B39" i="2" s="1"/>
  <c r="A40" i="2"/>
  <c r="B40" i="2" s="1"/>
  <c r="A41" i="2"/>
  <c r="B41" i="2" s="1"/>
  <c r="A42" i="2"/>
  <c r="B42" i="2" s="1"/>
  <c r="A43" i="2"/>
  <c r="B43" i="2" s="1"/>
  <c r="A44" i="2"/>
  <c r="B44" i="2" s="1"/>
  <c r="A45" i="2"/>
  <c r="B45" i="2" s="1"/>
  <c r="A46" i="2"/>
  <c r="B46" i="2" s="1"/>
  <c r="A47" i="2"/>
  <c r="B47" i="2" s="1"/>
  <c r="A48" i="2"/>
  <c r="B48" i="2" s="1"/>
  <c r="A49" i="2"/>
  <c r="B49" i="2" s="1"/>
  <c r="A50" i="2"/>
  <c r="B50" i="2" s="1"/>
  <c r="A51" i="2"/>
  <c r="B51" i="2" s="1"/>
  <c r="A52" i="2"/>
  <c r="B52" i="2" s="1"/>
  <c r="A53" i="2"/>
  <c r="B53" i="2" s="1"/>
  <c r="A54" i="2"/>
  <c r="B54" i="2" s="1"/>
  <c r="A55" i="2"/>
  <c r="B55" i="2" s="1"/>
  <c r="A56" i="2"/>
  <c r="B56" i="2" s="1"/>
  <c r="A57" i="2"/>
  <c r="B57" i="2" s="1"/>
  <c r="A58" i="2"/>
  <c r="B58" i="2" s="1"/>
  <c r="A59" i="2"/>
  <c r="B59" i="2" s="1"/>
  <c r="A60" i="2"/>
  <c r="B60" i="2" s="1"/>
  <c r="A61" i="2"/>
  <c r="B61" i="2" s="1"/>
  <c r="A62" i="2"/>
  <c r="B62" i="2" s="1"/>
  <c r="A63" i="2"/>
  <c r="B63" i="2" s="1"/>
  <c r="A64" i="2"/>
  <c r="B64" i="2" s="1"/>
  <c r="A65" i="2"/>
  <c r="B65" i="2" s="1"/>
  <c r="A66" i="2"/>
  <c r="B66" i="2" s="1"/>
  <c r="A67" i="2"/>
  <c r="B67" i="2" s="1"/>
  <c r="A68" i="2"/>
  <c r="B68" i="2" s="1"/>
  <c r="A69" i="2"/>
  <c r="B69" i="2" s="1"/>
  <c r="A70" i="2"/>
  <c r="B70" i="2" s="1"/>
  <c r="A71" i="2"/>
  <c r="B71" i="2" s="1"/>
  <c r="A72" i="2"/>
  <c r="B72" i="2" s="1"/>
  <c r="A73" i="2"/>
  <c r="B73" i="2" s="1"/>
  <c r="A74" i="2"/>
  <c r="B74" i="2" s="1"/>
  <c r="A75" i="2"/>
  <c r="B75" i="2" s="1"/>
  <c r="A76" i="2"/>
  <c r="B76" i="2" s="1"/>
  <c r="A77" i="2"/>
  <c r="B77" i="2" s="1"/>
  <c r="A78" i="2"/>
  <c r="B78" i="2" s="1"/>
  <c r="A79" i="2"/>
  <c r="B79" i="2" s="1"/>
  <c r="A80" i="2"/>
  <c r="B80" i="2" s="1"/>
  <c r="A81" i="2"/>
  <c r="B81" i="2" s="1"/>
  <c r="A82" i="2"/>
  <c r="B82" i="2" s="1"/>
  <c r="A83" i="2"/>
  <c r="B83" i="2" s="1"/>
  <c r="A84" i="2"/>
  <c r="B84" i="2" s="1"/>
  <c r="A85" i="2"/>
  <c r="B85" i="2" s="1"/>
  <c r="A86" i="2"/>
  <c r="B86" i="2" s="1"/>
  <c r="A87" i="2"/>
  <c r="B87" i="2" s="1"/>
  <c r="A88" i="2"/>
  <c r="B88" i="2" s="1"/>
  <c r="A89" i="2"/>
  <c r="B89" i="2" s="1"/>
  <c r="A90" i="2"/>
  <c r="B90" i="2" s="1"/>
  <c r="A91" i="2"/>
  <c r="B91" i="2" s="1"/>
  <c r="A92" i="2"/>
  <c r="B92" i="2" s="1"/>
  <c r="A93" i="2"/>
  <c r="B93" i="2" s="1"/>
  <c r="A94" i="2"/>
  <c r="B94" i="2" s="1"/>
  <c r="A95" i="2"/>
  <c r="B95" i="2" s="1"/>
  <c r="A96" i="2"/>
  <c r="B96" i="2" s="1"/>
  <c r="A97" i="2"/>
  <c r="B97" i="2" s="1"/>
  <c r="A98" i="2"/>
  <c r="B98" i="2" s="1"/>
  <c r="A99" i="2"/>
  <c r="B99" i="2" s="1"/>
  <c r="A100" i="2"/>
  <c r="B100" i="2" s="1"/>
  <c r="A101" i="2"/>
  <c r="B101" i="2" s="1"/>
  <c r="A102" i="2"/>
  <c r="B102" i="2" s="1"/>
  <c r="A103" i="2"/>
  <c r="B103" i="2" s="1"/>
  <c r="A104" i="2"/>
  <c r="B104" i="2" s="1"/>
  <c r="A105" i="2"/>
  <c r="B105" i="2" s="1"/>
  <c r="A106" i="2"/>
  <c r="B106" i="2" s="1"/>
  <c r="A107" i="2"/>
  <c r="B107" i="2" s="1"/>
  <c r="A108" i="2"/>
  <c r="B108" i="2" s="1"/>
  <c r="A109" i="2"/>
  <c r="B109" i="2" s="1"/>
  <c r="A110" i="2"/>
  <c r="B110" i="2" s="1"/>
  <c r="A111" i="2"/>
  <c r="B111" i="2" s="1"/>
  <c r="A112" i="2"/>
  <c r="B112" i="2" s="1"/>
  <c r="A113" i="2"/>
  <c r="B113" i="2" s="1"/>
  <c r="A114" i="2"/>
  <c r="B114" i="2" s="1"/>
  <c r="A115" i="2"/>
  <c r="B115" i="2" s="1"/>
  <c r="A116" i="2"/>
  <c r="B116" i="2" s="1"/>
  <c r="A117" i="2"/>
  <c r="B117" i="2" s="1"/>
  <c r="A118" i="2"/>
  <c r="B118" i="2" s="1"/>
  <c r="A119" i="2"/>
  <c r="B119" i="2" s="1"/>
  <c r="A120" i="2"/>
  <c r="B120" i="2" s="1"/>
  <c r="A121" i="2"/>
  <c r="B121" i="2" s="1"/>
  <c r="A122" i="2"/>
  <c r="B122" i="2" s="1"/>
  <c r="A123" i="2"/>
  <c r="B123" i="2" s="1"/>
  <c r="A124" i="2"/>
  <c r="B124" i="2" s="1"/>
  <c r="A125" i="2"/>
  <c r="B125" i="2" s="1"/>
  <c r="A126" i="2"/>
  <c r="B126" i="2" s="1"/>
  <c r="A127" i="2"/>
  <c r="B127" i="2" s="1"/>
  <c r="A128" i="2"/>
  <c r="B128" i="2" s="1"/>
  <c r="A129" i="2"/>
  <c r="B129" i="2" s="1"/>
  <c r="A130" i="2"/>
  <c r="B130" i="2" s="1"/>
  <c r="A131" i="2"/>
  <c r="B131" i="2" s="1"/>
  <c r="A132" i="2"/>
  <c r="B132" i="2" s="1"/>
  <c r="A133" i="2"/>
  <c r="B133" i="2" s="1"/>
  <c r="A134" i="2"/>
  <c r="B134" i="2" s="1"/>
  <c r="A135" i="2"/>
  <c r="B135" i="2" s="1"/>
  <c r="A136" i="2"/>
  <c r="B136" i="2" s="1"/>
  <c r="A137" i="2"/>
  <c r="B137" i="2" s="1"/>
  <c r="A138" i="2"/>
  <c r="B138" i="2" s="1"/>
  <c r="A139" i="2"/>
  <c r="B139" i="2" s="1"/>
  <c r="A140" i="2"/>
  <c r="B140" i="2" s="1"/>
  <c r="A141" i="2"/>
  <c r="B141" i="2" s="1"/>
  <c r="A142" i="2"/>
  <c r="B142" i="2" s="1"/>
  <c r="A143" i="2"/>
  <c r="B143" i="2" s="1"/>
  <c r="A144" i="2"/>
  <c r="B144" i="2" s="1"/>
  <c r="A145" i="2"/>
  <c r="B145" i="2" s="1"/>
  <c r="A146" i="2"/>
  <c r="B146" i="2" s="1"/>
  <c r="A147" i="2"/>
  <c r="B147" i="2" s="1"/>
  <c r="A148" i="2"/>
  <c r="B148" i="2" s="1"/>
  <c r="A149" i="2"/>
  <c r="B149" i="2" s="1"/>
  <c r="A150" i="2"/>
  <c r="B150" i="2" s="1"/>
  <c r="A151" i="2"/>
  <c r="B151" i="2" s="1"/>
  <c r="A152" i="2"/>
  <c r="B152" i="2" s="1"/>
  <c r="A153" i="2"/>
  <c r="B153" i="2" s="1"/>
  <c r="A154" i="2"/>
  <c r="B154" i="2" s="1"/>
  <c r="A155" i="2"/>
  <c r="B155" i="2" s="1"/>
  <c r="A156" i="2"/>
  <c r="B156" i="2" s="1"/>
  <c r="A157" i="2"/>
  <c r="B157" i="2" s="1"/>
  <c r="A158" i="2"/>
  <c r="B158" i="2" s="1"/>
  <c r="A159" i="2"/>
  <c r="B159" i="2" s="1"/>
  <c r="A160" i="2"/>
  <c r="B160" i="2" s="1"/>
  <c r="A161" i="2"/>
  <c r="B161" i="2" s="1"/>
  <c r="A162" i="2"/>
  <c r="B162" i="2" s="1"/>
  <c r="A163" i="2"/>
  <c r="B163" i="2" s="1"/>
  <c r="A164" i="2"/>
  <c r="B164" i="2" s="1"/>
  <c r="A165" i="2"/>
  <c r="B165" i="2" s="1"/>
  <c r="A166" i="2"/>
  <c r="B166" i="2" s="1"/>
  <c r="A167" i="2"/>
  <c r="B167" i="2" s="1"/>
  <c r="A168" i="2"/>
  <c r="B168" i="2" s="1"/>
  <c r="A169" i="2"/>
  <c r="B169" i="2" s="1"/>
  <c r="A170" i="2"/>
  <c r="B170" i="2" s="1"/>
  <c r="A171" i="2"/>
  <c r="B171" i="2" s="1"/>
  <c r="A172" i="2"/>
  <c r="B172" i="2" s="1"/>
  <c r="A173" i="2"/>
  <c r="B173" i="2" s="1"/>
  <c r="A174" i="2"/>
  <c r="B174" i="2" s="1"/>
  <c r="A175" i="2"/>
  <c r="B175" i="2" s="1"/>
  <c r="A176" i="2"/>
  <c r="B176" i="2" s="1"/>
  <c r="A177" i="2"/>
  <c r="B177" i="2" s="1"/>
  <c r="A178" i="2"/>
  <c r="B178" i="2" s="1"/>
  <c r="A179" i="2"/>
  <c r="B179" i="2" s="1"/>
  <c r="A180" i="2"/>
  <c r="B180" i="2" s="1"/>
  <c r="A181" i="2"/>
  <c r="B181" i="2" s="1"/>
  <c r="A182" i="2"/>
  <c r="B182" i="2" s="1"/>
  <c r="A183" i="2"/>
  <c r="B183" i="2" s="1"/>
  <c r="A184" i="2"/>
  <c r="B184" i="2" s="1"/>
  <c r="A185" i="2"/>
  <c r="B185" i="2" s="1"/>
  <c r="A186" i="2"/>
  <c r="B186" i="2" s="1"/>
  <c r="A187" i="2"/>
  <c r="B187" i="2" s="1"/>
  <c r="A188" i="2"/>
  <c r="B188" i="2" s="1"/>
  <c r="A189" i="2"/>
  <c r="B189" i="2" s="1"/>
  <c r="A190" i="2"/>
  <c r="B190" i="2" s="1"/>
  <c r="A191" i="2"/>
  <c r="B191" i="2" s="1"/>
  <c r="A192" i="2"/>
  <c r="B192" i="2" s="1"/>
  <c r="A193" i="2"/>
  <c r="B193" i="2" s="1"/>
  <c r="A194" i="2"/>
  <c r="B194" i="2" s="1"/>
  <c r="A195" i="2"/>
  <c r="B195" i="2" s="1"/>
  <c r="A196" i="2"/>
  <c r="B196" i="2" s="1"/>
  <c r="A197" i="2"/>
  <c r="B197" i="2" s="1"/>
  <c r="A198" i="2"/>
  <c r="B198" i="2" s="1"/>
  <c r="A199" i="2"/>
  <c r="B199" i="2" s="1"/>
  <c r="A200" i="2"/>
  <c r="B200" i="2" s="1"/>
  <c r="A201" i="2"/>
  <c r="B201" i="2" s="1"/>
  <c r="A202" i="2"/>
  <c r="B202" i="2" s="1"/>
  <c r="A203" i="2"/>
  <c r="B203" i="2" s="1"/>
  <c r="A204" i="2"/>
  <c r="B204" i="2" s="1"/>
  <c r="A205" i="2"/>
  <c r="B205" i="2" s="1"/>
  <c r="A206" i="2"/>
  <c r="B206" i="2" s="1"/>
  <c r="A207" i="2"/>
  <c r="B207" i="2" s="1"/>
  <c r="A208" i="2"/>
  <c r="B208" i="2" s="1"/>
  <c r="A209" i="2"/>
  <c r="B209" i="2" s="1"/>
  <c r="A210" i="2"/>
  <c r="B210" i="2" s="1"/>
  <c r="A211" i="2"/>
  <c r="B211" i="2" s="1"/>
  <c r="A212" i="2"/>
  <c r="B212" i="2" s="1"/>
  <c r="A213" i="2"/>
  <c r="B213" i="2" s="1"/>
  <c r="A214" i="2"/>
  <c r="B214" i="2" s="1"/>
  <c r="A215" i="2"/>
  <c r="B215" i="2" s="1"/>
  <c r="A216" i="2"/>
  <c r="B216" i="2" s="1"/>
  <c r="A217" i="2"/>
  <c r="B217" i="2" s="1"/>
  <c r="A218" i="2"/>
  <c r="B218" i="2" s="1"/>
  <c r="A219" i="2"/>
  <c r="B219" i="2" s="1"/>
  <c r="A220" i="2"/>
  <c r="B220" i="2" s="1"/>
  <c r="A221" i="2"/>
  <c r="B221" i="2" s="1"/>
  <c r="A222" i="2"/>
  <c r="B222" i="2" s="1"/>
  <c r="A223" i="2"/>
  <c r="B223" i="2" s="1"/>
  <c r="A224" i="2"/>
  <c r="B224" i="2" s="1"/>
  <c r="A225" i="2"/>
  <c r="B225" i="2" s="1"/>
  <c r="A226" i="2"/>
  <c r="B226" i="2" s="1"/>
  <c r="A227" i="2"/>
  <c r="B227" i="2" s="1"/>
  <c r="A228" i="2"/>
  <c r="B228" i="2" s="1"/>
  <c r="A229" i="2"/>
  <c r="B229" i="2" s="1"/>
  <c r="A230" i="2"/>
  <c r="B230" i="2" s="1"/>
  <c r="A231" i="2"/>
  <c r="B231" i="2" s="1"/>
  <c r="A232" i="2"/>
  <c r="B232" i="2" s="1"/>
  <c r="A233" i="2"/>
  <c r="B233" i="2" s="1"/>
  <c r="A234" i="2"/>
  <c r="B234" i="2" s="1"/>
  <c r="A235" i="2"/>
  <c r="B235" i="2" s="1"/>
  <c r="A236" i="2"/>
  <c r="B236" i="2" s="1"/>
  <c r="A237" i="2"/>
  <c r="B237" i="2" s="1"/>
  <c r="A238" i="2"/>
  <c r="B238" i="2" s="1"/>
  <c r="A239" i="2"/>
  <c r="B239" i="2" s="1"/>
  <c r="A240" i="2"/>
  <c r="B240" i="2" s="1"/>
  <c r="A241" i="2"/>
  <c r="B241" i="2" s="1"/>
  <c r="A242" i="2"/>
  <c r="B242" i="2" s="1"/>
  <c r="A243" i="2"/>
  <c r="B243" i="2" s="1"/>
  <c r="A244" i="2"/>
  <c r="B244" i="2" s="1"/>
  <c r="A245" i="2"/>
  <c r="B245" i="2" s="1"/>
  <c r="A246" i="2"/>
  <c r="B246" i="2" s="1"/>
  <c r="A247" i="2"/>
  <c r="B247" i="2" s="1"/>
  <c r="A248" i="2"/>
  <c r="B248" i="2" s="1"/>
  <c r="A249" i="2"/>
  <c r="B249" i="2" s="1"/>
  <c r="A250" i="2"/>
  <c r="B250" i="2" s="1"/>
  <c r="A251" i="2"/>
  <c r="B251" i="2" s="1"/>
  <c r="A252" i="2"/>
  <c r="B252" i="2" s="1"/>
  <c r="A253" i="2"/>
  <c r="B253" i="2" s="1"/>
  <c r="A254" i="2"/>
  <c r="B254" i="2" s="1"/>
  <c r="A255" i="2"/>
  <c r="B255" i="2" s="1"/>
  <c r="A256" i="2"/>
  <c r="B256" i="2" s="1"/>
  <c r="A257" i="2"/>
  <c r="B257" i="2" s="1"/>
  <c r="A258" i="2"/>
  <c r="B258" i="2" s="1"/>
  <c r="A259" i="2"/>
  <c r="B259" i="2" s="1"/>
  <c r="A260" i="2"/>
  <c r="B260" i="2" s="1"/>
  <c r="A261" i="2"/>
  <c r="B261" i="2" s="1"/>
  <c r="A262" i="2"/>
  <c r="B262" i="2" s="1"/>
  <c r="A263" i="2"/>
  <c r="B263" i="2" s="1"/>
  <c r="A264" i="2"/>
  <c r="B264" i="2" s="1"/>
  <c r="A265" i="2"/>
  <c r="B265" i="2" s="1"/>
  <c r="A266" i="2"/>
  <c r="B266" i="2" s="1"/>
  <c r="A267" i="2"/>
  <c r="B267" i="2" s="1"/>
  <c r="A268" i="2"/>
  <c r="B268" i="2" s="1"/>
  <c r="A269" i="2"/>
  <c r="B269" i="2" s="1"/>
  <c r="A270" i="2"/>
  <c r="B270" i="2" s="1"/>
  <c r="A271" i="2"/>
  <c r="B271" i="2" s="1"/>
  <c r="A272" i="2"/>
  <c r="B272" i="2" s="1"/>
  <c r="A273" i="2"/>
  <c r="B273" i="2" s="1"/>
  <c r="A274" i="2"/>
  <c r="B274" i="2" s="1"/>
  <c r="A275" i="2"/>
  <c r="B275" i="2" s="1"/>
  <c r="A276" i="2"/>
  <c r="B276" i="2" s="1"/>
  <c r="A277" i="2"/>
  <c r="B277" i="2" s="1"/>
  <c r="A278" i="2"/>
  <c r="B278" i="2" s="1"/>
  <c r="A279" i="2"/>
  <c r="B279" i="2" s="1"/>
  <c r="A280" i="2"/>
  <c r="B280" i="2" s="1"/>
  <c r="A281" i="2"/>
  <c r="B281" i="2" s="1"/>
  <c r="A282" i="2"/>
  <c r="B282" i="2" s="1"/>
  <c r="A283" i="2"/>
  <c r="B283" i="2" s="1"/>
  <c r="A284" i="2"/>
  <c r="B284" i="2" s="1"/>
  <c r="A285" i="2"/>
  <c r="B285" i="2" s="1"/>
  <c r="A286" i="2"/>
  <c r="B286" i="2" s="1"/>
  <c r="A287" i="2"/>
  <c r="B287" i="2" s="1"/>
  <c r="A288" i="2"/>
  <c r="B288" i="2" s="1"/>
  <c r="A289" i="2"/>
  <c r="B289" i="2" s="1"/>
  <c r="A290" i="2"/>
  <c r="B290" i="2" s="1"/>
  <c r="A291" i="2"/>
  <c r="B291" i="2" s="1"/>
  <c r="A292" i="2"/>
  <c r="B292" i="2" s="1"/>
  <c r="A293" i="2"/>
  <c r="B293" i="2" s="1"/>
  <c r="A294" i="2"/>
  <c r="B294" i="2" s="1"/>
  <c r="A295" i="2"/>
  <c r="B295" i="2" s="1"/>
  <c r="A296" i="2"/>
  <c r="B296" i="2" s="1"/>
  <c r="A297" i="2"/>
  <c r="B297" i="2" s="1"/>
  <c r="A298" i="2"/>
  <c r="B298" i="2" s="1"/>
  <c r="A299" i="2"/>
  <c r="B299" i="2" s="1"/>
  <c r="A300" i="2"/>
  <c r="B300" i="2" s="1"/>
  <c r="A301" i="2"/>
  <c r="B301" i="2" s="1"/>
  <c r="A302" i="2"/>
  <c r="B302" i="2" s="1"/>
  <c r="A303" i="2"/>
  <c r="B303" i="2" s="1"/>
  <c r="A304" i="2"/>
  <c r="B304" i="2" s="1"/>
  <c r="A305" i="2"/>
  <c r="B305" i="2" s="1"/>
  <c r="A306" i="2"/>
  <c r="B306" i="2" s="1"/>
  <c r="A307" i="2"/>
  <c r="B307" i="2" s="1"/>
  <c r="A308" i="2"/>
  <c r="B308" i="2" s="1"/>
  <c r="A309" i="2"/>
  <c r="B309" i="2" s="1"/>
  <c r="A310" i="2"/>
  <c r="B310" i="2" s="1"/>
  <c r="A311" i="2"/>
  <c r="B311" i="2" s="1"/>
  <c r="A312" i="2"/>
  <c r="B312" i="2" s="1"/>
  <c r="A313" i="2"/>
  <c r="B313" i="2" s="1"/>
  <c r="A314" i="2"/>
  <c r="B314" i="2" s="1"/>
  <c r="A315" i="2"/>
  <c r="B315" i="2" s="1"/>
  <c r="A316" i="2"/>
  <c r="B316" i="2" s="1"/>
  <c r="A317" i="2"/>
  <c r="B317" i="2" s="1"/>
  <c r="A318" i="2"/>
  <c r="B318" i="2" s="1"/>
  <c r="A319" i="2"/>
  <c r="B319" i="2" s="1"/>
  <c r="A320" i="2"/>
  <c r="B320" i="2" s="1"/>
  <c r="A321" i="2"/>
  <c r="B321" i="2" s="1"/>
  <c r="A322" i="2"/>
  <c r="B322" i="2" s="1"/>
  <c r="A323" i="2"/>
  <c r="B323" i="2" s="1"/>
  <c r="A324" i="2"/>
  <c r="B324" i="2" s="1"/>
  <c r="A325" i="2"/>
  <c r="B325" i="2" s="1"/>
  <c r="A326" i="2"/>
  <c r="B326" i="2" s="1"/>
  <c r="A327" i="2"/>
  <c r="B327" i="2" s="1"/>
  <c r="A328" i="2"/>
  <c r="B328" i="2" s="1"/>
  <c r="A329" i="2"/>
  <c r="B329" i="2" s="1"/>
  <c r="A330" i="2"/>
  <c r="B330" i="2" s="1"/>
  <c r="A331" i="2"/>
  <c r="B331" i="2" s="1"/>
  <c r="A332" i="2"/>
  <c r="B332" i="2" s="1"/>
  <c r="A333" i="2"/>
  <c r="B333" i="2" s="1"/>
  <c r="A334" i="2"/>
  <c r="B334" i="2" s="1"/>
  <c r="A335" i="2"/>
  <c r="B335" i="2" s="1"/>
  <c r="A336" i="2"/>
  <c r="B336" i="2" s="1"/>
  <c r="A337" i="2"/>
  <c r="B337" i="2" s="1"/>
  <c r="A338" i="2"/>
  <c r="B338" i="2" s="1"/>
  <c r="A339" i="2"/>
  <c r="B339" i="2" s="1"/>
  <c r="A340" i="2"/>
  <c r="B340" i="2" s="1"/>
  <c r="A341" i="2"/>
  <c r="B341" i="2" s="1"/>
  <c r="A342" i="2"/>
  <c r="B342" i="2" s="1"/>
  <c r="A343" i="2"/>
  <c r="B343" i="2" s="1"/>
  <c r="A344" i="2"/>
  <c r="B344" i="2" s="1"/>
  <c r="A345" i="2"/>
  <c r="B345" i="2" s="1"/>
  <c r="A346" i="2"/>
  <c r="B346" i="2" s="1"/>
  <c r="A347" i="2"/>
  <c r="B347" i="2" s="1"/>
  <c r="A348" i="2"/>
  <c r="B348" i="2" s="1"/>
  <c r="A349" i="2"/>
  <c r="B349" i="2" s="1"/>
  <c r="A350" i="2"/>
  <c r="B350" i="2" s="1"/>
  <c r="A351" i="2"/>
  <c r="B351" i="2" s="1"/>
  <c r="A352" i="2"/>
  <c r="B352" i="2" s="1"/>
  <c r="A353" i="2"/>
  <c r="B353" i="2" s="1"/>
  <c r="A354" i="2"/>
  <c r="B354" i="2" s="1"/>
  <c r="A355" i="2"/>
  <c r="B355" i="2" s="1"/>
  <c r="A356" i="2"/>
  <c r="B356" i="2" s="1"/>
  <c r="A357" i="2"/>
  <c r="B357" i="2" s="1"/>
  <c r="A358" i="2"/>
  <c r="B358" i="2" s="1"/>
  <c r="A359" i="2"/>
  <c r="B359" i="2" s="1"/>
  <c r="A360" i="2"/>
  <c r="B360" i="2" s="1"/>
  <c r="A361" i="2"/>
  <c r="B361" i="2" s="1"/>
  <c r="A362" i="2"/>
  <c r="B362" i="2" s="1"/>
  <c r="A363" i="2"/>
  <c r="B363" i="2" s="1"/>
  <c r="A364" i="2"/>
  <c r="B364" i="2" s="1"/>
  <c r="A365" i="2"/>
  <c r="B365" i="2" s="1"/>
  <c r="A366" i="2"/>
  <c r="B366" i="2" s="1"/>
  <c r="A367" i="2"/>
  <c r="B367" i="2" s="1"/>
  <c r="A368" i="2"/>
  <c r="B368" i="2" s="1"/>
  <c r="A369" i="2"/>
  <c r="B369" i="2" s="1"/>
  <c r="A370" i="2"/>
  <c r="B370" i="2" s="1"/>
  <c r="A371" i="2"/>
  <c r="B371" i="2" s="1"/>
  <c r="A372" i="2"/>
  <c r="B372" i="2" s="1"/>
  <c r="A373" i="2"/>
  <c r="B373" i="2" s="1"/>
  <c r="A374" i="2"/>
  <c r="B374" i="2" s="1"/>
  <c r="A375" i="2"/>
  <c r="B375" i="2" s="1"/>
  <c r="A376" i="2"/>
  <c r="B376" i="2" s="1"/>
  <c r="A377" i="2"/>
  <c r="B377" i="2" s="1"/>
  <c r="A378" i="2"/>
  <c r="B378" i="2" s="1"/>
  <c r="A379" i="2"/>
  <c r="B379" i="2" s="1"/>
  <c r="A380" i="2"/>
  <c r="B380" i="2" s="1"/>
  <c r="A381" i="2"/>
  <c r="B381" i="2" s="1"/>
  <c r="A382" i="2"/>
  <c r="B382" i="2" s="1"/>
  <c r="A383" i="2"/>
  <c r="B383" i="2" s="1"/>
  <c r="A384" i="2"/>
  <c r="B384" i="2" s="1"/>
  <c r="A385" i="2"/>
  <c r="B385" i="2" s="1"/>
  <c r="A386" i="2"/>
  <c r="B386" i="2" s="1"/>
  <c r="A387" i="2"/>
  <c r="B387" i="2" s="1"/>
  <c r="A388" i="2"/>
  <c r="B388" i="2" s="1"/>
  <c r="A389" i="2"/>
  <c r="B389" i="2" s="1"/>
  <c r="A390" i="2"/>
  <c r="B390" i="2" s="1"/>
  <c r="A391" i="2"/>
  <c r="B391" i="2" s="1"/>
  <c r="A392" i="2"/>
  <c r="B392" i="2" s="1"/>
  <c r="A393" i="2"/>
  <c r="B393" i="2" s="1"/>
  <c r="A394" i="2"/>
  <c r="B394" i="2" s="1"/>
  <c r="A395" i="2"/>
  <c r="B395" i="2" s="1"/>
  <c r="A396" i="2"/>
  <c r="B396" i="2" s="1"/>
  <c r="A397" i="2"/>
  <c r="B397" i="2" s="1"/>
  <c r="A398" i="2"/>
  <c r="B398" i="2" s="1"/>
  <c r="A399" i="2"/>
  <c r="B399" i="2" s="1"/>
  <c r="A400" i="2"/>
  <c r="B400" i="2" s="1"/>
  <c r="A401" i="2"/>
  <c r="B401" i="2" s="1"/>
  <c r="A402" i="2"/>
  <c r="B402" i="2" s="1"/>
  <c r="A403" i="2"/>
  <c r="B403" i="2" s="1"/>
  <c r="A404" i="2"/>
  <c r="B404" i="2" s="1"/>
  <c r="A405" i="2"/>
  <c r="B405" i="2" s="1"/>
  <c r="A406" i="2"/>
  <c r="B406" i="2" s="1"/>
  <c r="A407" i="2"/>
  <c r="B407" i="2" s="1"/>
  <c r="A408" i="2"/>
  <c r="B408" i="2" s="1"/>
  <c r="A409" i="2"/>
  <c r="B409" i="2" s="1"/>
  <c r="A410" i="2"/>
  <c r="B410" i="2" s="1"/>
  <c r="A411" i="2"/>
  <c r="B411" i="2" s="1"/>
  <c r="A412" i="2"/>
  <c r="B412" i="2" s="1"/>
  <c r="A413" i="2"/>
  <c r="B413" i="2" s="1"/>
  <c r="A414" i="2"/>
  <c r="B414" i="2" s="1"/>
  <c r="A415" i="2"/>
  <c r="B415" i="2" s="1"/>
  <c r="A416" i="2"/>
  <c r="B416" i="2" s="1"/>
  <c r="A417" i="2"/>
  <c r="B417" i="2" s="1"/>
  <c r="A418" i="2"/>
  <c r="B418" i="2" s="1"/>
  <c r="A419" i="2"/>
  <c r="B419" i="2" s="1"/>
  <c r="A420" i="2"/>
  <c r="B420" i="2" s="1"/>
  <c r="A421" i="2"/>
  <c r="B421" i="2" s="1"/>
  <c r="A422" i="2"/>
  <c r="B422" i="2" s="1"/>
  <c r="A423" i="2"/>
  <c r="B423" i="2" s="1"/>
  <c r="A424" i="2"/>
  <c r="B424" i="2" s="1"/>
  <c r="A425" i="2"/>
  <c r="B425" i="2" s="1"/>
  <c r="A426" i="2"/>
  <c r="B426" i="2" s="1"/>
  <c r="A427" i="2"/>
  <c r="B427" i="2" s="1"/>
  <c r="A428" i="2"/>
  <c r="B428" i="2" s="1"/>
  <c r="A429" i="2"/>
  <c r="B429" i="2" s="1"/>
  <c r="A430" i="2"/>
  <c r="B430" i="2" s="1"/>
  <c r="A431" i="2"/>
  <c r="B431" i="2" s="1"/>
  <c r="A432" i="2"/>
  <c r="B432" i="2" s="1"/>
  <c r="A433" i="2"/>
  <c r="B433" i="2" s="1"/>
  <c r="A434" i="2"/>
  <c r="B434" i="2" s="1"/>
  <c r="A435" i="2"/>
  <c r="B435" i="2" s="1"/>
  <c r="A436" i="2"/>
  <c r="B436" i="2" s="1"/>
  <c r="A437" i="2"/>
  <c r="B437" i="2" s="1"/>
  <c r="A438" i="2"/>
  <c r="B438" i="2" s="1"/>
  <c r="A439" i="2"/>
  <c r="B439" i="2" s="1"/>
  <c r="A440" i="2"/>
  <c r="B440" i="2" s="1"/>
  <c r="A441" i="2"/>
  <c r="B441" i="2" s="1"/>
  <c r="A442" i="2"/>
  <c r="B442" i="2" s="1"/>
  <c r="A443" i="2"/>
  <c r="B443" i="2" s="1"/>
  <c r="A444" i="2"/>
  <c r="B444" i="2" s="1"/>
  <c r="A445" i="2"/>
  <c r="B445" i="2" s="1"/>
  <c r="A446" i="2"/>
  <c r="B446" i="2" s="1"/>
  <c r="A447" i="2"/>
  <c r="B447" i="2" s="1"/>
  <c r="A448" i="2"/>
  <c r="B448" i="2" s="1"/>
  <c r="A449" i="2"/>
  <c r="B449" i="2" s="1"/>
  <c r="A450" i="2"/>
  <c r="B450" i="2" s="1"/>
  <c r="A451" i="2"/>
  <c r="B451" i="2" s="1"/>
  <c r="A452" i="2"/>
  <c r="B452" i="2" s="1"/>
  <c r="A453" i="2"/>
  <c r="B453" i="2" s="1"/>
  <c r="A454" i="2"/>
  <c r="B454" i="2" s="1"/>
  <c r="A455" i="2"/>
  <c r="B455" i="2" s="1"/>
  <c r="A456" i="2"/>
  <c r="B456" i="2" s="1"/>
  <c r="A457" i="2"/>
  <c r="B457" i="2" s="1"/>
  <c r="A458" i="2"/>
  <c r="B458" i="2" s="1"/>
  <c r="A459" i="2"/>
  <c r="B459" i="2" s="1"/>
  <c r="A460" i="2"/>
  <c r="B460" i="2" s="1"/>
  <c r="A461" i="2"/>
  <c r="B461" i="2" s="1"/>
  <c r="A462" i="2"/>
  <c r="B462" i="2" s="1"/>
  <c r="A463" i="2"/>
  <c r="B463" i="2" s="1"/>
  <c r="A464" i="2"/>
  <c r="B464" i="2" s="1"/>
  <c r="A465" i="2"/>
  <c r="B465" i="2" s="1"/>
  <c r="A466" i="2"/>
  <c r="B466" i="2" s="1"/>
  <c r="A467" i="2"/>
  <c r="B467" i="2" s="1"/>
  <c r="A468" i="2"/>
  <c r="B468" i="2" s="1"/>
  <c r="A469" i="2"/>
  <c r="B469" i="2" s="1"/>
  <c r="A470" i="2"/>
  <c r="B470" i="2" s="1"/>
  <c r="A471" i="2"/>
  <c r="B471" i="2" s="1"/>
  <c r="A472" i="2"/>
  <c r="B472" i="2" s="1"/>
  <c r="A473" i="2"/>
  <c r="B473" i="2" s="1"/>
  <c r="A474" i="2"/>
  <c r="B474" i="2" s="1"/>
  <c r="A475" i="2"/>
  <c r="B475" i="2" s="1"/>
  <c r="A476" i="2"/>
  <c r="B476" i="2" s="1"/>
  <c r="A477" i="2"/>
  <c r="B477" i="2" s="1"/>
  <c r="A478" i="2"/>
  <c r="B478" i="2" s="1"/>
  <c r="A479" i="2"/>
  <c r="B479" i="2" s="1"/>
  <c r="A480" i="2"/>
  <c r="B480" i="2" s="1"/>
  <c r="A481" i="2"/>
  <c r="B481" i="2" s="1"/>
  <c r="A482" i="2"/>
  <c r="B482" i="2" s="1"/>
  <c r="A483" i="2"/>
  <c r="B483" i="2" s="1"/>
  <c r="A484" i="2"/>
  <c r="B484" i="2" s="1"/>
  <c r="A485" i="2"/>
  <c r="B485" i="2" s="1"/>
  <c r="A486" i="2"/>
  <c r="B486" i="2" s="1"/>
  <c r="A487" i="2"/>
  <c r="B487" i="2" s="1"/>
  <c r="A488" i="2"/>
  <c r="B488" i="2" s="1"/>
  <c r="A489" i="2"/>
  <c r="B489" i="2" s="1"/>
  <c r="A490" i="2"/>
  <c r="B490" i="2" s="1"/>
  <c r="A491" i="2"/>
  <c r="B491" i="2" s="1"/>
  <c r="A492" i="2"/>
  <c r="B492" i="2" s="1"/>
  <c r="A493" i="2"/>
  <c r="B493" i="2" s="1"/>
  <c r="A494" i="2"/>
  <c r="B494" i="2" s="1"/>
  <c r="A495" i="2"/>
  <c r="B495" i="2" s="1"/>
  <c r="A496" i="2"/>
  <c r="B496" i="2" s="1"/>
  <c r="A497" i="2"/>
  <c r="B497" i="2" s="1"/>
  <c r="A498" i="2"/>
  <c r="B498" i="2" s="1"/>
  <c r="A499" i="2"/>
  <c r="B499" i="2" s="1"/>
  <c r="A500" i="2"/>
  <c r="B500" i="2" s="1"/>
  <c r="A501" i="2"/>
  <c r="B501" i="2" s="1"/>
  <c r="A502" i="2"/>
  <c r="B502" i="2" s="1"/>
  <c r="A503" i="2"/>
  <c r="B503" i="2" s="1"/>
  <c r="A504" i="2"/>
  <c r="B504" i="2" s="1"/>
  <c r="A505" i="2"/>
  <c r="B505" i="2" s="1"/>
  <c r="A506" i="2"/>
  <c r="B506" i="2" s="1"/>
  <c r="A507" i="2"/>
  <c r="B507" i="2" s="1"/>
  <c r="A508" i="2"/>
  <c r="B508" i="2" s="1"/>
  <c r="A509" i="2"/>
  <c r="B509" i="2" s="1"/>
  <c r="A510" i="2"/>
  <c r="B510" i="2" s="1"/>
  <c r="A511" i="2"/>
  <c r="B511" i="2" s="1"/>
  <c r="A512" i="2"/>
  <c r="B512" i="2" s="1"/>
  <c r="A513" i="2"/>
  <c r="B513" i="2" s="1"/>
  <c r="A514" i="2"/>
  <c r="B514" i="2" s="1"/>
  <c r="A515" i="2"/>
  <c r="B515" i="2" s="1"/>
  <c r="A516" i="2"/>
  <c r="B516" i="2" s="1"/>
  <c r="A517" i="2"/>
  <c r="B517" i="2" s="1"/>
  <c r="A518" i="2"/>
  <c r="B518" i="2" s="1"/>
  <c r="A519" i="2"/>
  <c r="B519" i="2" s="1"/>
  <c r="A520" i="2"/>
  <c r="B520" i="2" s="1"/>
  <c r="A521" i="2"/>
  <c r="B521" i="2" s="1"/>
  <c r="A522" i="2"/>
  <c r="B522" i="2" s="1"/>
  <c r="A523" i="2"/>
  <c r="B523" i="2" s="1"/>
  <c r="A524" i="2"/>
  <c r="B524" i="2" s="1"/>
  <c r="A525" i="2"/>
  <c r="B525" i="2" s="1"/>
  <c r="A526" i="2"/>
  <c r="B526" i="2" s="1"/>
  <c r="A527" i="2"/>
  <c r="B527" i="2" s="1"/>
  <c r="A528" i="2"/>
  <c r="B528" i="2" s="1"/>
  <c r="A529" i="2"/>
  <c r="B529" i="2" s="1"/>
  <c r="A530" i="2"/>
  <c r="B530" i="2" s="1"/>
  <c r="A531" i="2"/>
  <c r="B531" i="2" s="1"/>
  <c r="A532" i="2"/>
  <c r="B532" i="2" s="1"/>
  <c r="A533" i="2"/>
  <c r="B533" i="2" s="1"/>
  <c r="A534" i="2"/>
  <c r="B534" i="2" s="1"/>
  <c r="A535" i="2"/>
  <c r="B535" i="2" s="1"/>
  <c r="A536" i="2"/>
  <c r="B536" i="2" s="1"/>
  <c r="A537" i="2"/>
  <c r="B537" i="2" s="1"/>
  <c r="A538" i="2"/>
  <c r="B538" i="2" s="1"/>
  <c r="A539" i="2"/>
  <c r="B539" i="2" s="1"/>
  <c r="A540" i="2"/>
  <c r="B540" i="2" s="1"/>
  <c r="A541" i="2"/>
  <c r="B541" i="2" s="1"/>
  <c r="A542" i="2"/>
  <c r="B542" i="2" s="1"/>
  <c r="A543" i="2"/>
  <c r="B543" i="2" s="1"/>
  <c r="A544" i="2"/>
  <c r="B544" i="2" s="1"/>
  <c r="A545" i="2"/>
  <c r="B545" i="2" s="1"/>
  <c r="A546" i="2"/>
  <c r="B546" i="2" s="1"/>
  <c r="A547" i="2"/>
  <c r="B547" i="2" s="1"/>
  <c r="A548" i="2"/>
  <c r="B548" i="2" s="1"/>
  <c r="A549" i="2"/>
  <c r="B549" i="2" s="1"/>
  <c r="A550" i="2"/>
  <c r="B550" i="2" s="1"/>
  <c r="A551" i="2"/>
  <c r="B551" i="2" s="1"/>
  <c r="A552" i="2"/>
  <c r="B552" i="2" s="1"/>
  <c r="A553" i="2"/>
  <c r="B553" i="2" s="1"/>
  <c r="A554" i="2"/>
  <c r="B554" i="2" s="1"/>
  <c r="A555" i="2"/>
  <c r="B555" i="2" s="1"/>
  <c r="A556" i="2"/>
  <c r="B556" i="2" s="1"/>
  <c r="A557" i="2"/>
  <c r="B557" i="2" s="1"/>
  <c r="A558" i="2"/>
  <c r="B558" i="2" s="1"/>
  <c r="A559" i="2"/>
  <c r="B559" i="2" s="1"/>
  <c r="A560" i="2"/>
  <c r="B560" i="2" s="1"/>
  <c r="A561" i="2"/>
  <c r="B561" i="2" s="1"/>
  <c r="A562" i="2"/>
  <c r="B562" i="2" s="1"/>
  <c r="A563" i="2"/>
  <c r="B563" i="2" s="1"/>
  <c r="A564" i="2"/>
  <c r="B564" i="2" s="1"/>
  <c r="A565" i="2"/>
  <c r="B565" i="2" s="1"/>
  <c r="A566" i="2"/>
  <c r="B566" i="2" s="1"/>
  <c r="A567" i="2"/>
  <c r="B567" i="2" s="1"/>
  <c r="A568" i="2"/>
  <c r="B568" i="2" s="1"/>
  <c r="A569" i="2"/>
  <c r="B569" i="2" s="1"/>
  <c r="A570" i="2"/>
  <c r="B570" i="2" s="1"/>
  <c r="A571" i="2"/>
  <c r="B571" i="2" s="1"/>
  <c r="A572" i="2"/>
  <c r="B572" i="2" s="1"/>
  <c r="A573" i="2"/>
  <c r="B573" i="2" s="1"/>
  <c r="A574" i="2"/>
  <c r="B574" i="2" s="1"/>
  <c r="A575" i="2"/>
  <c r="B575" i="2" s="1"/>
  <c r="A576" i="2"/>
  <c r="B576" i="2" s="1"/>
  <c r="A577" i="2"/>
  <c r="B577" i="2" s="1"/>
  <c r="A578" i="2"/>
  <c r="B578" i="2" s="1"/>
  <c r="A579" i="2"/>
  <c r="B579" i="2" s="1"/>
  <c r="A580" i="2"/>
  <c r="B580" i="2" s="1"/>
  <c r="A581" i="2"/>
  <c r="B581" i="2" s="1"/>
  <c r="A582" i="2"/>
  <c r="B582" i="2" s="1"/>
  <c r="A583" i="2"/>
  <c r="B583" i="2" s="1"/>
  <c r="A584" i="2"/>
  <c r="B584" i="2" s="1"/>
  <c r="A585" i="2"/>
  <c r="B585" i="2" s="1"/>
  <c r="A586" i="2"/>
  <c r="B586" i="2" s="1"/>
  <c r="A587" i="2"/>
  <c r="B587" i="2" s="1"/>
  <c r="A588" i="2"/>
  <c r="B588" i="2" s="1"/>
  <c r="A589" i="2"/>
  <c r="B589" i="2" s="1"/>
  <c r="A590" i="2"/>
  <c r="B590" i="2" s="1"/>
  <c r="A591" i="2"/>
  <c r="B591" i="2" s="1"/>
  <c r="A592" i="2"/>
  <c r="B592" i="2" s="1"/>
  <c r="A593" i="2"/>
  <c r="B593" i="2" s="1"/>
  <c r="A594" i="2"/>
  <c r="B594" i="2" s="1"/>
  <c r="A595" i="2"/>
  <c r="B595" i="2" s="1"/>
  <c r="A596" i="2"/>
  <c r="B596" i="2" s="1"/>
  <c r="A597" i="2"/>
  <c r="B597" i="2" s="1"/>
  <c r="A598" i="2"/>
  <c r="B598" i="2" s="1"/>
  <c r="A599" i="2"/>
  <c r="B599" i="2" s="1"/>
  <c r="A600" i="2"/>
  <c r="B600" i="2" s="1"/>
  <c r="A601" i="2"/>
  <c r="B601" i="2" s="1"/>
  <c r="A602" i="2"/>
  <c r="B602" i="2" s="1"/>
  <c r="A603" i="2"/>
  <c r="B603" i="2" s="1"/>
  <c r="A604" i="2"/>
  <c r="B604" i="2" s="1"/>
  <c r="A605" i="2"/>
  <c r="B605" i="2" s="1"/>
  <c r="A606" i="2"/>
  <c r="B606" i="2" s="1"/>
  <c r="A607" i="2"/>
  <c r="B607" i="2" s="1"/>
  <c r="A608" i="2"/>
  <c r="B608" i="2" s="1"/>
  <c r="A609" i="2"/>
  <c r="B609" i="2" s="1"/>
  <c r="A610" i="2"/>
  <c r="B610" i="2" s="1"/>
  <c r="A611" i="2"/>
  <c r="B611" i="2" s="1"/>
  <c r="A612" i="2"/>
  <c r="B612" i="2" s="1"/>
  <c r="A613" i="2"/>
  <c r="B613" i="2" s="1"/>
  <c r="A614" i="2"/>
  <c r="B614" i="2" s="1"/>
  <c r="A615" i="2"/>
  <c r="B615" i="2" s="1"/>
  <c r="A616" i="2"/>
  <c r="B616" i="2" s="1"/>
  <c r="A617" i="2"/>
  <c r="B617" i="2" s="1"/>
  <c r="A618" i="2"/>
  <c r="B618" i="2" s="1"/>
  <c r="A619" i="2"/>
  <c r="B619" i="2" s="1"/>
  <c r="A620" i="2"/>
  <c r="B620" i="2" s="1"/>
  <c r="A621" i="2"/>
  <c r="B621" i="2" s="1"/>
  <c r="A622" i="2"/>
  <c r="B622" i="2" s="1"/>
  <c r="A623" i="2"/>
  <c r="B623" i="2" s="1"/>
  <c r="A624" i="2"/>
  <c r="B624" i="2" s="1"/>
  <c r="A625" i="2"/>
  <c r="B625" i="2" s="1"/>
  <c r="A626" i="2"/>
  <c r="B626" i="2" s="1"/>
  <c r="A627" i="2"/>
  <c r="B627" i="2" s="1"/>
  <c r="A628" i="2"/>
  <c r="B628" i="2" s="1"/>
  <c r="A629" i="2"/>
  <c r="B629" i="2" s="1"/>
  <c r="A630" i="2"/>
  <c r="B630" i="2" s="1"/>
  <c r="A631" i="2"/>
  <c r="B631" i="2" s="1"/>
  <c r="A632" i="2"/>
  <c r="B632" i="2" s="1"/>
  <c r="A633" i="2"/>
  <c r="B633" i="2" s="1"/>
  <c r="A634" i="2"/>
  <c r="B634" i="2" s="1"/>
  <c r="A635" i="2"/>
  <c r="B635" i="2" s="1"/>
  <c r="A636" i="2"/>
  <c r="B636" i="2" s="1"/>
  <c r="A637" i="2"/>
  <c r="B637" i="2" s="1"/>
  <c r="A638" i="2"/>
  <c r="B638" i="2" s="1"/>
  <c r="A639" i="2"/>
  <c r="B639" i="2" s="1"/>
  <c r="A640" i="2"/>
  <c r="B640" i="2" s="1"/>
  <c r="A641" i="2"/>
  <c r="B641" i="2" s="1"/>
  <c r="A642" i="2"/>
  <c r="B642" i="2" s="1"/>
  <c r="A643" i="2"/>
  <c r="B643" i="2" s="1"/>
  <c r="A644" i="2"/>
  <c r="B644" i="2" s="1"/>
  <c r="A645" i="2"/>
  <c r="B645" i="2" s="1"/>
  <c r="A646" i="2"/>
  <c r="B646" i="2" s="1"/>
  <c r="A647" i="2"/>
  <c r="B647" i="2" s="1"/>
  <c r="A648" i="2"/>
  <c r="B648" i="2" s="1"/>
  <c r="A649" i="2"/>
  <c r="B649" i="2" s="1"/>
  <c r="A650" i="2"/>
  <c r="B650" i="2" s="1"/>
  <c r="A651" i="2"/>
  <c r="B651" i="2" s="1"/>
  <c r="A652" i="2"/>
  <c r="B652" i="2" s="1"/>
  <c r="A653" i="2"/>
  <c r="B653" i="2" s="1"/>
  <c r="A654" i="2"/>
  <c r="B654" i="2" s="1"/>
  <c r="A655" i="2"/>
  <c r="B655" i="2" s="1"/>
  <c r="A656" i="2"/>
  <c r="B656" i="2" s="1"/>
  <c r="A657" i="2"/>
  <c r="B657" i="2" s="1"/>
  <c r="A658" i="2"/>
  <c r="B658" i="2" s="1"/>
  <c r="A659" i="2"/>
  <c r="B659" i="2" s="1"/>
  <c r="A660" i="2"/>
  <c r="B660" i="2" s="1"/>
  <c r="A661" i="2"/>
  <c r="B661" i="2" s="1"/>
  <c r="A662" i="2"/>
  <c r="B662" i="2" s="1"/>
  <c r="A663" i="2"/>
  <c r="B663" i="2" s="1"/>
  <c r="A664" i="2"/>
  <c r="B664" i="2" s="1"/>
  <c r="A665" i="2"/>
  <c r="B665" i="2" s="1"/>
  <c r="A666" i="2"/>
  <c r="B666" i="2" s="1"/>
  <c r="A667" i="2"/>
  <c r="B667" i="2" s="1"/>
  <c r="A668" i="2"/>
  <c r="B668" i="2" s="1"/>
  <c r="A669" i="2"/>
  <c r="B669" i="2" s="1"/>
  <c r="A670" i="2"/>
  <c r="B670" i="2" s="1"/>
  <c r="A671" i="2"/>
  <c r="B671" i="2" s="1"/>
  <c r="A672" i="2"/>
  <c r="B672" i="2" s="1"/>
  <c r="A673" i="2"/>
  <c r="B673" i="2" s="1"/>
  <c r="A674" i="2"/>
  <c r="B674" i="2" s="1"/>
  <c r="A675" i="2"/>
  <c r="B675" i="2" s="1"/>
  <c r="A676" i="2"/>
  <c r="B676" i="2" s="1"/>
  <c r="A677" i="2"/>
  <c r="B677" i="2" s="1"/>
  <c r="A678" i="2"/>
  <c r="B678" i="2" s="1"/>
  <c r="A679" i="2"/>
  <c r="B679" i="2" s="1"/>
  <c r="A680" i="2"/>
  <c r="B680" i="2" s="1"/>
  <c r="A681" i="2"/>
  <c r="B681" i="2" s="1"/>
  <c r="A682" i="2"/>
  <c r="B682" i="2" s="1"/>
  <c r="A683" i="2"/>
  <c r="B683" i="2" s="1"/>
  <c r="A684" i="2"/>
  <c r="B684" i="2" s="1"/>
  <c r="A685" i="2"/>
  <c r="B685" i="2" s="1"/>
  <c r="A686" i="2"/>
  <c r="B686" i="2" s="1"/>
  <c r="A687" i="2"/>
  <c r="B687" i="2" s="1"/>
  <c r="A688" i="2"/>
  <c r="B688" i="2" s="1"/>
  <c r="A689" i="2"/>
  <c r="B689" i="2" s="1"/>
  <c r="A690" i="2"/>
  <c r="B690" i="2" s="1"/>
  <c r="A691" i="2"/>
  <c r="B691" i="2" s="1"/>
  <c r="A692" i="2"/>
  <c r="B692" i="2" s="1"/>
  <c r="A693" i="2"/>
  <c r="B693" i="2" s="1"/>
  <c r="A694" i="2"/>
  <c r="B694" i="2" s="1"/>
  <c r="A695" i="2"/>
  <c r="B695" i="2" s="1"/>
  <c r="A696" i="2"/>
  <c r="B696" i="2" s="1"/>
  <c r="A697" i="2"/>
  <c r="B697" i="2" s="1"/>
  <c r="A698" i="2"/>
  <c r="B698" i="2" s="1"/>
  <c r="A699" i="2"/>
  <c r="B699" i="2" s="1"/>
  <c r="A700" i="2"/>
  <c r="B700" i="2" s="1"/>
  <c r="A701" i="2"/>
  <c r="B701" i="2" s="1"/>
  <c r="A702" i="2"/>
  <c r="B702" i="2" s="1"/>
  <c r="A703" i="2"/>
  <c r="B703" i="2" s="1"/>
  <c r="A704" i="2"/>
  <c r="B704" i="2" s="1"/>
  <c r="A705" i="2"/>
  <c r="B705" i="2" s="1"/>
  <c r="A706" i="2"/>
  <c r="B706" i="2" s="1"/>
  <c r="A707" i="2"/>
  <c r="B707" i="2" s="1"/>
  <c r="A708" i="2"/>
  <c r="B708" i="2" s="1"/>
  <c r="A709" i="2"/>
  <c r="B709" i="2" s="1"/>
  <c r="A710" i="2"/>
  <c r="B710" i="2" s="1"/>
  <c r="A711" i="2"/>
  <c r="B711" i="2" s="1"/>
  <c r="A712" i="2"/>
  <c r="B712" i="2" s="1"/>
  <c r="A713" i="2"/>
  <c r="B713" i="2" s="1"/>
  <c r="A714" i="2"/>
  <c r="B714" i="2" s="1"/>
  <c r="A715" i="2"/>
  <c r="B715" i="2" s="1"/>
  <c r="A716" i="2"/>
  <c r="B716" i="2" s="1"/>
  <c r="A717" i="2"/>
  <c r="B717" i="2" s="1"/>
  <c r="A718" i="2"/>
  <c r="B718" i="2" s="1"/>
  <c r="A719" i="2"/>
  <c r="B719" i="2" s="1"/>
  <c r="A720" i="2"/>
  <c r="B720" i="2" s="1"/>
  <c r="A721" i="2"/>
  <c r="B721" i="2" s="1"/>
  <c r="A722" i="2"/>
  <c r="B722" i="2" s="1"/>
  <c r="A723" i="2"/>
  <c r="B723" i="2" s="1"/>
  <c r="A724" i="2"/>
  <c r="B724" i="2" s="1"/>
  <c r="A725" i="2"/>
  <c r="B725" i="2" s="1"/>
  <c r="A726" i="2"/>
  <c r="B726" i="2" s="1"/>
  <c r="A727" i="2"/>
  <c r="B727" i="2" s="1"/>
  <c r="A728" i="2"/>
  <c r="B728" i="2" s="1"/>
  <c r="A729" i="2"/>
  <c r="B729" i="2" s="1"/>
  <c r="A730" i="2"/>
  <c r="B730" i="2" s="1"/>
  <c r="A731" i="2"/>
  <c r="B731" i="2" s="1"/>
  <c r="A732" i="2"/>
  <c r="B732" i="2" s="1"/>
  <c r="A733" i="2"/>
  <c r="B733" i="2" s="1"/>
  <c r="A734" i="2"/>
  <c r="B734" i="2" s="1"/>
  <c r="A735" i="2"/>
  <c r="B735" i="2" s="1"/>
  <c r="A736" i="2"/>
  <c r="B736" i="2" s="1"/>
  <c r="A737" i="2"/>
  <c r="B737" i="2" s="1"/>
  <c r="A738" i="2"/>
  <c r="B738" i="2" s="1"/>
  <c r="A739" i="2"/>
  <c r="B739" i="2" s="1"/>
  <c r="A740" i="2"/>
  <c r="B740" i="2" s="1"/>
  <c r="A741" i="2"/>
  <c r="B741" i="2" s="1"/>
  <c r="A742" i="2"/>
  <c r="B742" i="2" s="1"/>
  <c r="A743" i="2"/>
  <c r="B743" i="2" s="1"/>
  <c r="A744" i="2"/>
  <c r="B744" i="2" s="1"/>
  <c r="A745" i="2"/>
  <c r="B745" i="2" s="1"/>
  <c r="A746" i="2"/>
  <c r="B746" i="2" s="1"/>
  <c r="A747" i="2"/>
  <c r="B747" i="2" s="1"/>
  <c r="A748" i="2"/>
  <c r="B748" i="2" s="1"/>
  <c r="A749" i="2"/>
  <c r="B749" i="2" s="1"/>
  <c r="A750" i="2"/>
  <c r="B750" i="2" s="1"/>
  <c r="A751" i="2"/>
  <c r="B751" i="2" s="1"/>
  <c r="A752" i="2"/>
  <c r="B752" i="2" s="1"/>
  <c r="A753" i="2"/>
  <c r="B753" i="2" s="1"/>
  <c r="A754" i="2"/>
  <c r="B754" i="2" s="1"/>
  <c r="A755" i="2"/>
  <c r="B755" i="2" s="1"/>
  <c r="A756" i="2"/>
  <c r="B756" i="2" s="1"/>
  <c r="A757" i="2"/>
  <c r="B757" i="2" s="1"/>
  <c r="A758" i="2"/>
  <c r="B758" i="2" s="1"/>
  <c r="A759" i="2"/>
  <c r="B759" i="2" s="1"/>
  <c r="A760" i="2"/>
  <c r="B760" i="2" s="1"/>
  <c r="A761" i="2"/>
  <c r="B761" i="2" s="1"/>
  <c r="A762" i="2"/>
  <c r="B762" i="2" s="1"/>
  <c r="A763" i="2"/>
  <c r="B763" i="2" s="1"/>
  <c r="A764" i="2"/>
  <c r="B764" i="2" s="1"/>
  <c r="A765" i="2"/>
  <c r="B765" i="2" s="1"/>
  <c r="A766" i="2"/>
  <c r="B766" i="2" s="1"/>
  <c r="A767" i="2"/>
  <c r="B767" i="2" s="1"/>
  <c r="A768" i="2"/>
  <c r="B768" i="2" s="1"/>
  <c r="A769" i="2"/>
  <c r="B769" i="2" s="1"/>
  <c r="A770" i="2"/>
  <c r="B770" i="2" s="1"/>
  <c r="A771" i="2"/>
  <c r="B771" i="2" s="1"/>
  <c r="A772" i="2"/>
  <c r="B772" i="2" s="1"/>
  <c r="A773" i="2"/>
  <c r="B773" i="2" s="1"/>
  <c r="A774" i="2"/>
  <c r="B774" i="2" s="1"/>
  <c r="A775" i="2"/>
  <c r="B775" i="2" s="1"/>
  <c r="A776" i="2"/>
  <c r="B776" i="2" s="1"/>
  <c r="A777" i="2"/>
  <c r="B777" i="2" s="1"/>
  <c r="A778" i="2"/>
  <c r="B778" i="2" s="1"/>
  <c r="A779" i="2"/>
  <c r="B779" i="2" s="1"/>
  <c r="A780" i="2"/>
  <c r="B780" i="2" s="1"/>
  <c r="A781" i="2"/>
  <c r="B781" i="2" s="1"/>
  <c r="A782" i="2"/>
  <c r="B782" i="2" s="1"/>
  <c r="A783" i="2"/>
  <c r="B783" i="2" s="1"/>
  <c r="A784" i="2"/>
  <c r="B784" i="2" s="1"/>
  <c r="A785" i="2"/>
  <c r="B785" i="2" s="1"/>
  <c r="A786" i="2"/>
  <c r="B786" i="2" s="1"/>
  <c r="A787" i="2"/>
  <c r="B787" i="2" s="1"/>
  <c r="A788" i="2"/>
  <c r="B788" i="2" s="1"/>
  <c r="A789" i="2"/>
  <c r="B789" i="2" s="1"/>
  <c r="A790" i="2"/>
  <c r="B790" i="2" s="1"/>
  <c r="A791" i="2"/>
  <c r="B791" i="2" s="1"/>
  <c r="A792" i="2"/>
  <c r="B792" i="2" s="1"/>
  <c r="A793" i="2"/>
  <c r="B793" i="2" s="1"/>
  <c r="A794" i="2"/>
  <c r="B794" i="2" s="1"/>
  <c r="A795" i="2"/>
  <c r="B795" i="2" s="1"/>
  <c r="A796" i="2"/>
  <c r="B796" i="2" s="1"/>
  <c r="A797" i="2"/>
  <c r="B797" i="2" s="1"/>
  <c r="A798" i="2"/>
  <c r="B798" i="2" s="1"/>
  <c r="A799" i="2"/>
  <c r="B799" i="2" s="1"/>
  <c r="A800" i="2"/>
  <c r="B800" i="2" s="1"/>
  <c r="A801" i="2"/>
  <c r="B801" i="2" s="1"/>
  <c r="A802" i="2"/>
  <c r="B802" i="2" s="1"/>
  <c r="A803" i="2"/>
  <c r="B803" i="2" s="1"/>
  <c r="A804" i="2"/>
  <c r="B804" i="2" s="1"/>
  <c r="A805" i="2"/>
  <c r="B805" i="2" s="1"/>
  <c r="A806" i="2"/>
  <c r="B806" i="2" s="1"/>
  <c r="A807" i="2"/>
  <c r="B807" i="2" s="1"/>
  <c r="A808" i="2"/>
  <c r="B808" i="2" s="1"/>
  <c r="A809" i="2"/>
  <c r="B809" i="2" s="1"/>
  <c r="A810" i="2"/>
  <c r="B810" i="2" s="1"/>
  <c r="A811" i="2"/>
  <c r="B811" i="2" s="1"/>
  <c r="A812" i="2"/>
  <c r="B812" i="2" s="1"/>
  <c r="A813" i="2"/>
  <c r="B813" i="2" s="1"/>
  <c r="A814" i="2"/>
  <c r="B814" i="2" s="1"/>
  <c r="A815" i="2"/>
  <c r="B815" i="2" s="1"/>
  <c r="A816" i="2"/>
  <c r="B816" i="2" s="1"/>
  <c r="A817" i="2"/>
  <c r="B817" i="2" s="1"/>
  <c r="A818" i="2"/>
  <c r="B818" i="2" s="1"/>
  <c r="A819" i="2"/>
  <c r="B819" i="2" s="1"/>
  <c r="A820" i="2"/>
  <c r="B820" i="2" s="1"/>
  <c r="A821" i="2"/>
  <c r="B821" i="2" s="1"/>
  <c r="A822" i="2"/>
  <c r="B822" i="2" s="1"/>
  <c r="A823" i="2"/>
  <c r="B823" i="2" s="1"/>
  <c r="A824" i="2"/>
  <c r="B824" i="2" s="1"/>
  <c r="A825" i="2"/>
  <c r="B825" i="2" s="1"/>
  <c r="A826" i="2"/>
  <c r="B826" i="2" s="1"/>
  <c r="A827" i="2"/>
  <c r="B827" i="2" s="1"/>
  <c r="A828" i="2"/>
  <c r="B828" i="2" s="1"/>
  <c r="A829" i="2"/>
  <c r="B829" i="2" s="1"/>
  <c r="A830" i="2"/>
  <c r="B830" i="2" s="1"/>
  <c r="A831" i="2"/>
  <c r="B831" i="2" s="1"/>
  <c r="A832" i="2"/>
  <c r="B832" i="2" s="1"/>
  <c r="A833" i="2"/>
  <c r="B833" i="2" s="1"/>
  <c r="A834" i="2"/>
  <c r="B834" i="2" s="1"/>
  <c r="A835" i="2"/>
  <c r="B835" i="2" s="1"/>
  <c r="A836" i="2"/>
  <c r="B836" i="2" s="1"/>
  <c r="A837" i="2"/>
  <c r="B837" i="2" s="1"/>
  <c r="A838" i="2"/>
  <c r="B838" i="2" s="1"/>
  <c r="A839" i="2"/>
  <c r="B839" i="2" s="1"/>
  <c r="A840" i="2"/>
  <c r="B840" i="2" s="1"/>
  <c r="A841" i="2"/>
  <c r="B841" i="2" s="1"/>
  <c r="A842" i="2"/>
  <c r="B842" i="2" s="1"/>
  <c r="A843" i="2"/>
  <c r="B843" i="2" s="1"/>
  <c r="A844" i="2"/>
  <c r="B844" i="2" s="1"/>
  <c r="A845" i="2"/>
  <c r="B845" i="2" s="1"/>
  <c r="A846" i="2"/>
  <c r="B846" i="2" s="1"/>
  <c r="A847" i="2"/>
  <c r="B847" i="2" s="1"/>
  <c r="A848" i="2"/>
  <c r="B848" i="2" s="1"/>
  <c r="A849" i="2"/>
  <c r="B849" i="2" s="1"/>
  <c r="A850" i="2"/>
  <c r="B850" i="2" s="1"/>
  <c r="A851" i="2"/>
  <c r="B851" i="2" s="1"/>
  <c r="A852" i="2"/>
  <c r="B852" i="2" s="1"/>
  <c r="A853" i="2"/>
  <c r="B853" i="2" s="1"/>
  <c r="A854" i="2"/>
  <c r="B854" i="2" s="1"/>
  <c r="A855" i="2"/>
  <c r="B855" i="2" s="1"/>
  <c r="A856" i="2"/>
  <c r="B856" i="2" s="1"/>
  <c r="A857" i="2"/>
  <c r="B857" i="2" s="1"/>
  <c r="A858" i="2"/>
  <c r="B858" i="2" s="1"/>
  <c r="A859" i="2"/>
  <c r="B859" i="2" s="1"/>
  <c r="A860" i="2"/>
  <c r="B860" i="2" s="1"/>
  <c r="A861" i="2"/>
  <c r="B861" i="2" s="1"/>
  <c r="A862" i="2"/>
  <c r="B862" i="2" s="1"/>
  <c r="A863" i="2"/>
  <c r="B863" i="2" s="1"/>
  <c r="A864" i="2"/>
  <c r="B864" i="2" s="1"/>
  <c r="A865" i="2"/>
  <c r="B865" i="2" s="1"/>
  <c r="A866" i="2"/>
  <c r="B866" i="2" s="1"/>
  <c r="A867" i="2"/>
  <c r="B867" i="2" s="1"/>
  <c r="A868" i="2"/>
  <c r="B868" i="2" s="1"/>
  <c r="A869" i="2"/>
  <c r="B869" i="2" s="1"/>
  <c r="A870" i="2"/>
  <c r="B870" i="2" s="1"/>
  <c r="A871" i="2"/>
  <c r="B871" i="2" s="1"/>
  <c r="A872" i="2"/>
  <c r="B872" i="2" s="1"/>
  <c r="A873" i="2"/>
  <c r="B873" i="2" s="1"/>
  <c r="A874" i="2"/>
  <c r="B874" i="2" s="1"/>
  <c r="A875" i="2"/>
  <c r="B875" i="2" s="1"/>
  <c r="A876" i="2"/>
  <c r="B876" i="2" s="1"/>
  <c r="A877" i="2"/>
  <c r="B877" i="2" s="1"/>
  <c r="A878" i="2"/>
  <c r="B878" i="2" s="1"/>
  <c r="A879" i="2"/>
  <c r="B879" i="2" s="1"/>
  <c r="A880" i="2"/>
  <c r="B880" i="2" s="1"/>
  <c r="A881" i="2"/>
  <c r="B881" i="2" s="1"/>
  <c r="A882" i="2"/>
  <c r="B882" i="2" s="1"/>
  <c r="A883" i="2"/>
  <c r="B883" i="2" s="1"/>
  <c r="A884" i="2"/>
  <c r="B884" i="2" s="1"/>
  <c r="A885" i="2"/>
  <c r="B885" i="2" s="1"/>
  <c r="A886" i="2"/>
  <c r="B886" i="2" s="1"/>
  <c r="A887" i="2"/>
  <c r="B887" i="2" s="1"/>
  <c r="A888" i="2"/>
  <c r="B888" i="2" s="1"/>
  <c r="A889" i="2"/>
  <c r="B889" i="2" s="1"/>
  <c r="A890" i="2"/>
  <c r="B890" i="2" s="1"/>
  <c r="A891" i="2"/>
  <c r="B891" i="2" s="1"/>
  <c r="A892" i="2"/>
  <c r="B892" i="2" s="1"/>
  <c r="A893" i="2"/>
  <c r="B893" i="2" s="1"/>
  <c r="A894" i="2"/>
  <c r="B894" i="2" s="1"/>
  <c r="A895" i="2"/>
  <c r="B895" i="2" s="1"/>
  <c r="A896" i="2"/>
  <c r="B896" i="2" s="1"/>
  <c r="A897" i="2"/>
  <c r="B897" i="2" s="1"/>
  <c r="A898" i="2"/>
  <c r="B898" i="2" s="1"/>
  <c r="A899" i="2"/>
  <c r="B899" i="2" s="1"/>
  <c r="A900" i="2"/>
  <c r="B900" i="2" s="1"/>
  <c r="A901" i="2"/>
  <c r="B901" i="2" s="1"/>
  <c r="A902" i="2"/>
  <c r="B902" i="2" s="1"/>
  <c r="A903" i="2"/>
  <c r="B903" i="2" s="1"/>
  <c r="A904" i="2"/>
  <c r="B904" i="2" s="1"/>
  <c r="A905" i="2"/>
  <c r="B905" i="2" s="1"/>
  <c r="A906" i="2"/>
  <c r="B906" i="2" s="1"/>
  <c r="A907" i="2"/>
  <c r="B907" i="2" s="1"/>
  <c r="A908" i="2"/>
  <c r="B908" i="2" s="1"/>
  <c r="A909" i="2"/>
  <c r="B909" i="2" s="1"/>
  <c r="A910" i="2"/>
  <c r="B910" i="2" s="1"/>
  <c r="A911" i="2"/>
  <c r="B911" i="2" s="1"/>
  <c r="A912" i="2"/>
  <c r="B912" i="2" s="1"/>
  <c r="A913" i="2"/>
  <c r="B913" i="2" s="1"/>
  <c r="A914" i="2"/>
  <c r="B914" i="2" s="1"/>
  <c r="A915" i="2"/>
  <c r="B915" i="2" s="1"/>
  <c r="A916" i="2"/>
  <c r="B916" i="2" s="1"/>
  <c r="A917" i="2"/>
  <c r="B917" i="2" s="1"/>
  <c r="A918" i="2"/>
  <c r="B918" i="2" s="1"/>
  <c r="A919" i="2"/>
  <c r="B919" i="2" s="1"/>
  <c r="A920" i="2"/>
  <c r="B920" i="2" s="1"/>
  <c r="A921" i="2"/>
  <c r="B921" i="2" s="1"/>
  <c r="A922" i="2"/>
  <c r="B922" i="2" s="1"/>
  <c r="A923" i="2"/>
  <c r="B923" i="2" s="1"/>
  <c r="A924" i="2"/>
  <c r="B924" i="2" s="1"/>
  <c r="A925" i="2"/>
  <c r="B925" i="2" s="1"/>
  <c r="A926" i="2"/>
  <c r="B926" i="2" s="1"/>
  <c r="A927" i="2"/>
  <c r="B927" i="2" s="1"/>
  <c r="A928" i="2"/>
  <c r="B928" i="2" s="1"/>
  <c r="A929" i="2"/>
  <c r="B929" i="2" s="1"/>
  <c r="A930" i="2"/>
  <c r="B930" i="2" s="1"/>
  <c r="A931" i="2"/>
  <c r="B931" i="2" s="1"/>
  <c r="A932" i="2"/>
  <c r="B932" i="2" s="1"/>
  <c r="A933" i="2"/>
  <c r="B933" i="2" s="1"/>
  <c r="A934" i="2"/>
  <c r="B934" i="2" s="1"/>
  <c r="A935" i="2"/>
  <c r="B935" i="2" s="1"/>
  <c r="A936" i="2"/>
  <c r="B936" i="2" s="1"/>
  <c r="A937" i="2"/>
  <c r="B937" i="2" s="1"/>
  <c r="A938" i="2"/>
  <c r="B938" i="2" s="1"/>
  <c r="A939" i="2"/>
  <c r="B939" i="2" s="1"/>
  <c r="A940" i="2"/>
  <c r="B940" i="2" s="1"/>
  <c r="A941" i="2"/>
  <c r="B941" i="2" s="1"/>
  <c r="A942" i="2"/>
  <c r="B942" i="2" s="1"/>
  <c r="A943" i="2"/>
  <c r="B943" i="2" s="1"/>
  <c r="A944" i="2"/>
  <c r="B944" i="2" s="1"/>
  <c r="A945" i="2"/>
  <c r="B945" i="2" s="1"/>
  <c r="A946" i="2"/>
  <c r="B946" i="2" s="1"/>
  <c r="A947" i="2"/>
  <c r="B947" i="2" s="1"/>
  <c r="A948" i="2"/>
  <c r="B948" i="2" s="1"/>
  <c r="A949" i="2"/>
  <c r="B949" i="2" s="1"/>
  <c r="A950" i="2"/>
  <c r="B950" i="2" s="1"/>
  <c r="A951" i="2"/>
  <c r="B951" i="2" s="1"/>
  <c r="A952" i="2"/>
  <c r="B952" i="2" s="1"/>
  <c r="A953" i="2"/>
  <c r="B953" i="2" s="1"/>
  <c r="A954" i="2"/>
  <c r="B954" i="2" s="1"/>
  <c r="A955" i="2"/>
  <c r="B955" i="2" s="1"/>
  <c r="A956" i="2"/>
  <c r="B956" i="2" s="1"/>
  <c r="A957" i="2"/>
  <c r="B957" i="2" s="1"/>
  <c r="A958" i="2"/>
  <c r="B958" i="2" s="1"/>
  <c r="A959" i="2"/>
  <c r="B959" i="2" s="1"/>
  <c r="A960" i="2"/>
  <c r="B960" i="2" s="1"/>
  <c r="A961" i="2"/>
  <c r="B961" i="2" s="1"/>
  <c r="A962" i="2"/>
  <c r="B962" i="2" s="1"/>
  <c r="A963" i="2"/>
  <c r="B963" i="2" s="1"/>
  <c r="A964" i="2"/>
  <c r="B964" i="2" s="1"/>
  <c r="A965" i="2"/>
  <c r="B965" i="2" s="1"/>
  <c r="A966" i="2"/>
  <c r="B966" i="2" s="1"/>
  <c r="A967" i="2"/>
  <c r="B967" i="2" s="1"/>
  <c r="A968" i="2"/>
  <c r="B968" i="2" s="1"/>
  <c r="A969" i="2"/>
  <c r="B969" i="2" s="1"/>
  <c r="A970" i="2"/>
  <c r="B970" i="2" s="1"/>
  <c r="A971" i="2"/>
  <c r="B971" i="2" s="1"/>
  <c r="A972" i="2"/>
  <c r="B972" i="2" s="1"/>
  <c r="A973" i="2"/>
  <c r="B973" i="2" s="1"/>
  <c r="A974" i="2"/>
  <c r="B974" i="2" s="1"/>
  <c r="A975" i="2"/>
  <c r="B975" i="2" s="1"/>
  <c r="A976" i="2"/>
  <c r="B976" i="2" s="1"/>
  <c r="A977" i="2"/>
  <c r="B977" i="2" s="1"/>
  <c r="A978" i="2"/>
  <c r="B978" i="2" s="1"/>
  <c r="A979" i="2"/>
  <c r="B979" i="2" s="1"/>
  <c r="A980" i="2"/>
  <c r="B980" i="2" s="1"/>
  <c r="A981" i="2"/>
  <c r="B981" i="2" s="1"/>
  <c r="A982" i="2"/>
  <c r="B982" i="2" s="1"/>
  <c r="A983" i="2"/>
  <c r="B983" i="2" s="1"/>
  <c r="A984" i="2"/>
  <c r="B984" i="2" s="1"/>
  <c r="A985" i="2"/>
  <c r="B985" i="2" s="1"/>
  <c r="A986" i="2"/>
  <c r="B986" i="2" s="1"/>
  <c r="A987" i="2"/>
  <c r="B987" i="2" s="1"/>
  <c r="A988" i="2"/>
  <c r="B988" i="2" s="1"/>
  <c r="A989" i="2"/>
  <c r="B989" i="2" s="1"/>
  <c r="A990" i="2"/>
  <c r="B990" i="2" s="1"/>
  <c r="A991" i="2"/>
  <c r="B991" i="2" s="1"/>
  <c r="A992" i="2"/>
  <c r="B992" i="2" s="1"/>
  <c r="A993" i="2"/>
  <c r="B993" i="2" s="1"/>
  <c r="A994" i="2"/>
  <c r="B994" i="2" s="1"/>
  <c r="A995" i="2"/>
  <c r="B995" i="2" s="1"/>
  <c r="A996" i="2"/>
  <c r="B996" i="2" s="1"/>
  <c r="A997" i="2"/>
  <c r="B997" i="2" s="1"/>
  <c r="A998" i="2"/>
  <c r="B998" i="2" s="1"/>
  <c r="A999" i="2"/>
  <c r="B999" i="2" s="1"/>
  <c r="A1000" i="2"/>
  <c r="B1000" i="2" s="1"/>
  <c r="E29" i="5"/>
  <c r="E36" i="5"/>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2" i="1"/>
  <c r="E14" i="5"/>
  <c r="E15" i="5"/>
  <c r="E16" i="5"/>
  <c r="E17" i="5"/>
  <c r="E18" i="5"/>
  <c r="D8" i="5"/>
  <c r="D66" i="5" s="1"/>
  <c r="C647" i="7" l="1"/>
  <c r="B947" i="7"/>
  <c r="H14" i="5"/>
  <c r="H15" i="5"/>
  <c r="H13" i="5"/>
  <c r="H18" i="5"/>
  <c r="H17" i="5"/>
  <c r="H16" i="5"/>
  <c r="F39" i="5"/>
  <c r="F38" i="5"/>
  <c r="B829" i="7"/>
  <c r="B822" i="7"/>
  <c r="B952" i="7"/>
  <c r="E42" i="5"/>
  <c r="F41" i="5"/>
  <c r="F40" i="5"/>
  <c r="F37" i="5"/>
  <c r="F35" i="5"/>
  <c r="F32" i="5"/>
  <c r="F33" i="5"/>
  <c r="F34" i="5"/>
  <c r="F30" i="5"/>
  <c r="F31" i="5"/>
  <c r="C616" i="7"/>
  <c r="C536" i="7"/>
  <c r="B495" i="7"/>
  <c r="B392" i="7"/>
  <c r="C579" i="7"/>
  <c r="C337" i="7"/>
  <c r="C314" i="7"/>
  <c r="B386" i="7"/>
  <c r="B816" i="7"/>
  <c r="C1062" i="7"/>
  <c r="B821" i="7"/>
  <c r="B936" i="7"/>
  <c r="C747" i="7"/>
  <c r="B560" i="7"/>
  <c r="C1071" i="7"/>
  <c r="B1041" i="7"/>
  <c r="B987" i="7"/>
  <c r="C950" i="7"/>
  <c r="B883" i="7"/>
  <c r="B591" i="7"/>
  <c r="B461" i="7"/>
  <c r="B398" i="7"/>
  <c r="B977" i="7"/>
  <c r="B911" i="7"/>
  <c r="C765" i="7"/>
  <c r="C758" i="7"/>
  <c r="C520" i="7"/>
  <c r="C1006" i="7"/>
  <c r="B743" i="7"/>
  <c r="B1043" i="7"/>
  <c r="B1026" i="7"/>
  <c r="B943" i="7"/>
  <c r="B923" i="7"/>
  <c r="C742" i="7"/>
  <c r="B618" i="7"/>
  <c r="C548" i="7"/>
  <c r="C527" i="7"/>
  <c r="C491" i="7"/>
  <c r="C470" i="7"/>
  <c r="B1077" i="7"/>
  <c r="B1025" i="7"/>
  <c r="B1011" i="7"/>
  <c r="C990" i="7"/>
  <c r="B901" i="7"/>
  <c r="B888" i="7"/>
  <c r="B855" i="7"/>
  <c r="B809" i="7"/>
  <c r="C780" i="7"/>
  <c r="B773" i="7"/>
  <c r="C688" i="7"/>
  <c r="C659" i="7"/>
  <c r="C652" i="7"/>
  <c r="B456" i="7"/>
  <c r="B411" i="7"/>
  <c r="C404" i="7"/>
  <c r="C1029" i="7"/>
  <c r="C1034" i="7"/>
  <c r="C1010" i="7"/>
  <c r="C940" i="7"/>
  <c r="B912" i="7"/>
  <c r="B887" i="7"/>
  <c r="C846" i="7"/>
  <c r="C792" i="7"/>
  <c r="B785" i="7"/>
  <c r="B739" i="7"/>
  <c r="C732" i="7"/>
  <c r="B592" i="7"/>
  <c r="B551" i="7"/>
  <c r="B390" i="7"/>
  <c r="C1045" i="7"/>
  <c r="B933" i="7"/>
  <c r="C905" i="7"/>
  <c r="B899" i="7"/>
  <c r="B892" i="7"/>
  <c r="C880" i="7"/>
  <c r="B867" i="7"/>
  <c r="B839" i="7"/>
  <c r="C686" i="7"/>
  <c r="C620" i="7"/>
  <c r="C563" i="7"/>
  <c r="B479" i="7"/>
  <c r="C472" i="7"/>
  <c r="B438" i="7"/>
  <c r="C431" i="7"/>
  <c r="C395" i="7"/>
  <c r="C1038" i="7"/>
  <c r="B1021" i="7"/>
  <c r="B879" i="7"/>
  <c r="C872" i="7"/>
  <c r="B838" i="7"/>
  <c r="C811" i="7"/>
  <c r="B755" i="7"/>
  <c r="C748" i="7"/>
  <c r="C677" i="7"/>
  <c r="B648" i="7"/>
  <c r="B576" i="7"/>
  <c r="C555" i="7"/>
  <c r="B542" i="7"/>
  <c r="B521" i="7"/>
  <c r="B464" i="7"/>
  <c r="C458" i="7"/>
  <c r="B313" i="7"/>
  <c r="C348" i="7"/>
  <c r="C318" i="7"/>
  <c r="C508" i="7"/>
  <c r="B374" i="7"/>
  <c r="B329" i="7"/>
  <c r="C559" i="7"/>
  <c r="C797" i="7"/>
  <c r="C639" i="7"/>
  <c r="B1051" i="7"/>
  <c r="C1022" i="7"/>
  <c r="B981" i="7"/>
  <c r="B928" i="7"/>
  <c r="C908" i="7"/>
  <c r="C861" i="7"/>
  <c r="B835" i="7"/>
  <c r="B777" i="7"/>
  <c r="C764" i="7"/>
  <c r="B713" i="7"/>
  <c r="B678" i="7"/>
  <c r="B672" i="7"/>
  <c r="B658" i="7"/>
  <c r="B603" i="7"/>
  <c r="C596" i="7"/>
  <c r="B571" i="7"/>
  <c r="B454" i="7"/>
  <c r="C1055" i="7"/>
  <c r="C877" i="7"/>
  <c r="C503" i="7"/>
  <c r="C169" i="7"/>
  <c r="B1067" i="7"/>
  <c r="B1061" i="7"/>
  <c r="C944" i="7"/>
  <c r="B893" i="7"/>
  <c r="B871" i="7"/>
  <c r="B813" i="7"/>
  <c r="B800" i="7"/>
  <c r="B749" i="7"/>
  <c r="B744" i="7"/>
  <c r="B711" i="7"/>
  <c r="C580" i="7"/>
  <c r="C575" i="7"/>
  <c r="B496" i="7"/>
  <c r="B457" i="7"/>
  <c r="C452" i="7"/>
  <c r="B375" i="7"/>
  <c r="C288" i="7"/>
  <c r="C281" i="7"/>
  <c r="B67" i="7"/>
  <c r="B32" i="7"/>
  <c r="C17" i="7"/>
  <c r="B9" i="7"/>
  <c r="C24" i="7"/>
  <c r="C36" i="7"/>
  <c r="C293" i="7"/>
  <c r="B64" i="7"/>
  <c r="C226" i="7"/>
  <c r="C48" i="7"/>
  <c r="C298" i="7"/>
  <c r="C14" i="7"/>
  <c r="C177" i="7"/>
  <c r="B25" i="7"/>
  <c r="B261" i="7"/>
  <c r="B113" i="7"/>
  <c r="B45" i="7"/>
  <c r="B75" i="7"/>
  <c r="C1078" i="7"/>
  <c r="C1066" i="7"/>
  <c r="C1030" i="7"/>
  <c r="B1007" i="7"/>
  <c r="C973" i="7"/>
  <c r="C966" i="7"/>
  <c r="B935" i="7"/>
  <c r="C915" i="7"/>
  <c r="B837" i="7"/>
  <c r="B831" i="7"/>
  <c r="B825" i="7"/>
  <c r="C796" i="7"/>
  <c r="C728" i="7"/>
  <c r="B721" i="7"/>
  <c r="C708" i="7"/>
  <c r="C680" i="7"/>
  <c r="B606" i="7"/>
  <c r="B568" i="7"/>
  <c r="C544" i="7"/>
  <c r="C531" i="7"/>
  <c r="B511" i="7"/>
  <c r="B505" i="7"/>
  <c r="C420" i="7"/>
  <c r="B399" i="7"/>
  <c r="B317" i="7"/>
  <c r="C304" i="7"/>
  <c r="C53" i="7"/>
  <c r="C256" i="7"/>
  <c r="B165" i="7"/>
  <c r="C125" i="7"/>
  <c r="C13" i="7"/>
  <c r="C266" i="7"/>
  <c r="C197" i="7"/>
  <c r="B107" i="7"/>
  <c r="C258" i="3"/>
  <c r="C487" i="7"/>
  <c r="C285" i="7"/>
  <c r="C1064" i="7"/>
  <c r="B1053" i="7"/>
  <c r="C1047" i="7"/>
  <c r="B1042" i="7"/>
  <c r="C1037" i="7"/>
  <c r="B1003" i="7"/>
  <c r="C954" i="7"/>
  <c r="C938" i="7"/>
  <c r="B921" i="7"/>
  <c r="B885" i="7"/>
  <c r="C869" i="7"/>
  <c r="B864" i="7"/>
  <c r="B851" i="7"/>
  <c r="C828" i="7"/>
  <c r="B806" i="7"/>
  <c r="C781" i="7"/>
  <c r="B776" i="7"/>
  <c r="B735" i="7"/>
  <c r="B709" i="7"/>
  <c r="B695" i="7"/>
  <c r="C683" i="7"/>
  <c r="B631" i="7"/>
  <c r="C611" i="7"/>
  <c r="C444" i="7"/>
  <c r="B423" i="7"/>
  <c r="B403" i="7"/>
  <c r="B350" i="7"/>
  <c r="C189" i="7"/>
  <c r="C161" i="7"/>
  <c r="B139" i="7"/>
  <c r="B88" i="7"/>
  <c r="C28" i="7"/>
  <c r="B23" i="7"/>
  <c r="B153" i="7"/>
  <c r="C142" i="3"/>
  <c r="C4" i="7"/>
  <c r="B991" i="7"/>
  <c r="C907" i="7"/>
  <c r="C712" i="7"/>
  <c r="B619" i="7"/>
  <c r="B614" i="7"/>
  <c r="C590" i="7"/>
  <c r="C583" i="7"/>
  <c r="C567" i="7"/>
  <c r="B562" i="7"/>
  <c r="C552" i="7"/>
  <c r="B547" i="7"/>
  <c r="B535" i="7"/>
  <c r="C499" i="7"/>
  <c r="B483" i="7"/>
  <c r="B478" i="7"/>
  <c r="B391" i="7"/>
  <c r="C367" i="7"/>
  <c r="C341" i="7"/>
  <c r="C321" i="7"/>
  <c r="C244" i="7"/>
  <c r="C173" i="7"/>
  <c r="B1057" i="7"/>
  <c r="C1015" i="7"/>
  <c r="B997" i="7"/>
  <c r="C957" i="7"/>
  <c r="B896" i="7"/>
  <c r="B891" i="7"/>
  <c r="C886" i="7"/>
  <c r="C860" i="7"/>
  <c r="B854" i="7"/>
  <c r="C848" i="7"/>
  <c r="C843" i="7"/>
  <c r="B793" i="7"/>
  <c r="C750" i="7"/>
  <c r="B741" i="7"/>
  <c r="C736" i="7"/>
  <c r="B717" i="7"/>
  <c r="B662" i="7"/>
  <c r="B638" i="7"/>
  <c r="B601" i="7"/>
  <c r="B528" i="7"/>
  <c r="C516" i="7"/>
  <c r="B494" i="7"/>
  <c r="C428" i="7"/>
  <c r="C372" i="7"/>
  <c r="B360" i="7"/>
  <c r="B347" i="7"/>
  <c r="B284" i="7"/>
  <c r="C250" i="7"/>
  <c r="C222" i="7"/>
  <c r="B207" i="7"/>
  <c r="C185" i="7"/>
  <c r="B109" i="7"/>
  <c r="C994" i="7"/>
  <c r="C853" i="7"/>
  <c r="C784" i="7"/>
  <c r="C768" i="7"/>
  <c r="C757" i="7"/>
  <c r="C599" i="7"/>
  <c r="C519" i="7"/>
  <c r="B1074" i="7"/>
  <c r="C1063" i="7"/>
  <c r="C999" i="7"/>
  <c r="C982" i="7"/>
  <c r="B963" i="7"/>
  <c r="B951" i="7"/>
  <c r="C924" i="7"/>
  <c r="B919" i="7"/>
  <c r="B903" i="7"/>
  <c r="B857" i="7"/>
  <c r="B805" i="7"/>
  <c r="B799" i="7"/>
  <c r="B789" i="7"/>
  <c r="C752" i="7"/>
  <c r="C720" i="7"/>
  <c r="C704" i="7"/>
  <c r="B655" i="7"/>
  <c r="B649" i="7"/>
  <c r="C644" i="7"/>
  <c r="B626" i="7"/>
  <c r="B615" i="7"/>
  <c r="B610" i="7"/>
  <c r="B566" i="7"/>
  <c r="B523" i="7"/>
  <c r="B507" i="7"/>
  <c r="B376" i="7"/>
  <c r="B327" i="7"/>
  <c r="C289" i="7"/>
  <c r="C272" i="7"/>
  <c r="C133" i="7"/>
  <c r="B91" i="7"/>
  <c r="B37" i="7"/>
  <c r="C22" i="7"/>
  <c r="C300" i="7"/>
  <c r="B300" i="7"/>
  <c r="B240" i="7"/>
  <c r="C240" i="7"/>
  <c r="C157" i="7"/>
  <c r="B157" i="7"/>
  <c r="C1023" i="7"/>
  <c r="B1023" i="7"/>
  <c r="B962" i="7"/>
  <c r="C962" i="7"/>
  <c r="B946" i="7"/>
  <c r="C946" i="7"/>
  <c r="B884" i="7"/>
  <c r="C884" i="7"/>
  <c r="C849" i="7"/>
  <c r="B849" i="7"/>
  <c r="C819" i="7"/>
  <c r="B819" i="7"/>
  <c r="C703" i="7"/>
  <c r="B703" i="7"/>
  <c r="C685" i="7"/>
  <c r="B685" i="7"/>
  <c r="B661" i="7"/>
  <c r="C661" i="7"/>
  <c r="C602" i="7"/>
  <c r="B602" i="7"/>
  <c r="B439" i="7"/>
  <c r="C439" i="7"/>
  <c r="C1017" i="7"/>
  <c r="B1017" i="7"/>
  <c r="B967" i="7"/>
  <c r="C967" i="7"/>
  <c r="C955" i="7"/>
  <c r="B955" i="7"/>
  <c r="C807" i="7"/>
  <c r="B807" i="7"/>
  <c r="B645" i="7"/>
  <c r="C645" i="7"/>
  <c r="C622" i="7"/>
  <c r="B622" i="7"/>
  <c r="C607" i="7"/>
  <c r="B607" i="7"/>
  <c r="B468" i="7"/>
  <c r="C468" i="7"/>
  <c r="C335" i="7"/>
  <c r="B335" i="7"/>
  <c r="B322" i="7"/>
  <c r="C322" i="7"/>
  <c r="C311" i="7"/>
  <c r="B311" i="7"/>
  <c r="B49" i="7"/>
  <c r="C49" i="7"/>
  <c r="C34" i="3"/>
  <c r="B34" i="3"/>
  <c r="C1073" i="7"/>
  <c r="B1073" i="7"/>
  <c r="C863" i="7"/>
  <c r="B863" i="7"/>
  <c r="C654" i="7"/>
  <c r="B654" i="7"/>
  <c r="B572" i="7"/>
  <c r="C572" i="7"/>
  <c r="C543" i="7"/>
  <c r="B543" i="7"/>
  <c r="C473" i="7"/>
  <c r="B473" i="7"/>
  <c r="C215" i="7"/>
  <c r="B215" i="7"/>
  <c r="B193" i="7"/>
  <c r="C193" i="7"/>
  <c r="B21" i="7"/>
  <c r="C21" i="7"/>
  <c r="B43" i="3"/>
  <c r="B983" i="7"/>
  <c r="C983" i="7"/>
  <c r="C959" i="7"/>
  <c r="B959" i="7"/>
  <c r="B917" i="7"/>
  <c r="C917" i="7"/>
  <c r="C774" i="7"/>
  <c r="B774" i="7"/>
  <c r="B700" i="7"/>
  <c r="C700" i="7"/>
  <c r="C632" i="7"/>
  <c r="B632" i="7"/>
  <c r="C595" i="7"/>
  <c r="B595" i="7"/>
  <c r="B504" i="7"/>
  <c r="C504" i="7"/>
  <c r="C437" i="7"/>
  <c r="B437" i="7"/>
  <c r="B383" i="7"/>
  <c r="C383" i="7"/>
  <c r="B333" i="7"/>
  <c r="C333" i="7"/>
  <c r="C315" i="7"/>
  <c r="B315" i="7"/>
  <c r="B309" i="7"/>
  <c r="C309" i="7"/>
  <c r="C268" i="7"/>
  <c r="B268" i="7"/>
  <c r="C199" i="7"/>
  <c r="B199" i="7"/>
  <c r="B117" i="7"/>
  <c r="C117" i="7"/>
  <c r="B922" i="7"/>
  <c r="C922" i="7"/>
  <c r="B906" i="7"/>
  <c r="C906" i="7"/>
  <c r="C488" i="7"/>
  <c r="B488" i="7"/>
  <c r="C351" i="7"/>
  <c r="B351" i="7"/>
  <c r="B152" i="7"/>
  <c r="C152" i="7"/>
  <c r="B81" i="7"/>
  <c r="C81" i="7"/>
  <c r="B998" i="7"/>
  <c r="C998" i="7"/>
  <c r="B715" i="7"/>
  <c r="C715" i="7"/>
  <c r="C687" i="7"/>
  <c r="B687" i="7"/>
  <c r="C663" i="7"/>
  <c r="B663" i="7"/>
  <c r="B388" i="7"/>
  <c r="C388" i="7"/>
  <c r="B234" i="7"/>
  <c r="C234" i="7"/>
  <c r="C212" i="7"/>
  <c r="B212" i="7"/>
  <c r="B190" i="7"/>
  <c r="C190" i="7"/>
  <c r="B129" i="7"/>
  <c r="C129" i="7"/>
  <c r="B73" i="7"/>
  <c r="C73" i="7"/>
  <c r="B40" i="7"/>
  <c r="C40" i="7"/>
  <c r="B29" i="7"/>
  <c r="C29" i="7"/>
  <c r="C1019" i="7"/>
  <c r="B1019" i="7"/>
  <c r="C1002" i="7"/>
  <c r="C975" i="7"/>
  <c r="C895" i="7"/>
  <c r="B895" i="7"/>
  <c r="C824" i="7"/>
  <c r="B814" i="7"/>
  <c r="C814" i="7"/>
  <c r="C783" i="7"/>
  <c r="B783" i="7"/>
  <c r="C767" i="7"/>
  <c r="B767" i="7"/>
  <c r="C697" i="7"/>
  <c r="B697" i="7"/>
  <c r="C646" i="7"/>
  <c r="C624" i="7"/>
  <c r="B624" i="7"/>
  <c r="C609" i="7"/>
  <c r="B609" i="7"/>
  <c r="C415" i="7"/>
  <c r="B415" i="7"/>
  <c r="B380" i="7"/>
  <c r="C380" i="7"/>
  <c r="B330" i="7"/>
  <c r="C330" i="7"/>
  <c r="C1049" i="7"/>
  <c r="B1049" i="7"/>
  <c r="C1018" i="7"/>
  <c r="C986" i="7"/>
  <c r="B956" i="7"/>
  <c r="B931" i="7"/>
  <c r="B904" i="7"/>
  <c r="C875" i="7"/>
  <c r="B845" i="7"/>
  <c r="C845" i="7"/>
  <c r="B803" i="7"/>
  <c r="C803" i="7"/>
  <c r="C787" i="7"/>
  <c r="B787" i="7"/>
  <c r="C760" i="7"/>
  <c r="C751" i="7"/>
  <c r="B751" i="7"/>
  <c r="C725" i="7"/>
  <c r="C691" i="7"/>
  <c r="C668" i="7"/>
  <c r="C656" i="7"/>
  <c r="B656" i="7"/>
  <c r="C640" i="7"/>
  <c r="B623" i="7"/>
  <c r="B608" i="7"/>
  <c r="C545" i="7"/>
  <c r="B545" i="7"/>
  <c r="B539" i="7"/>
  <c r="B502" i="7"/>
  <c r="B475" i="7"/>
  <c r="B427" i="7"/>
  <c r="B414" i="7"/>
  <c r="B408" i="7"/>
  <c r="C343" i="7"/>
  <c r="B343" i="7"/>
  <c r="B305" i="7"/>
  <c r="B251" i="7"/>
  <c r="B239" i="7"/>
  <c r="B218" i="7"/>
  <c r="C218" i="7"/>
  <c r="C149" i="7"/>
  <c r="B149" i="7"/>
  <c r="B78" i="7"/>
  <c r="C78" i="7"/>
  <c r="B57" i="7"/>
  <c r="C57" i="7"/>
  <c r="C33" i="7"/>
  <c r="B33" i="7"/>
  <c r="B276" i="7"/>
  <c r="C270" i="7"/>
  <c r="C231" i="7"/>
  <c r="B231" i="7"/>
  <c r="B202" i="7"/>
  <c r="C202" i="7"/>
  <c r="B181" i="7"/>
  <c r="C181" i="7"/>
  <c r="C116" i="7"/>
  <c r="C77" i="7"/>
  <c r="C16" i="7"/>
  <c r="C969" i="7"/>
  <c r="B969" i="7"/>
  <c r="C790" i="7"/>
  <c r="B790" i="7"/>
  <c r="C664" i="7"/>
  <c r="B664" i="7"/>
  <c r="C550" i="7"/>
  <c r="B550" i="7"/>
  <c r="C489" i="7"/>
  <c r="B489" i="7"/>
  <c r="B484" i="7"/>
  <c r="C484" i="7"/>
  <c r="C440" i="7"/>
  <c r="B440" i="7"/>
  <c r="B412" i="7"/>
  <c r="C412" i="7"/>
  <c r="B290" i="7"/>
  <c r="C290" i="7"/>
  <c r="C216" i="7"/>
  <c r="B216" i="7"/>
  <c r="B180" i="7"/>
  <c r="C180" i="7"/>
  <c r="B104" i="7"/>
  <c r="C104" i="7"/>
  <c r="B96" i="7"/>
  <c r="C96" i="7"/>
  <c r="B204" i="3"/>
  <c r="B669" i="7"/>
  <c r="C669" i="7"/>
  <c r="C642" i="7"/>
  <c r="B642" i="7"/>
  <c r="C569" i="7"/>
  <c r="B569" i="7"/>
  <c r="C558" i="7"/>
  <c r="B558" i="7"/>
  <c r="C446" i="7"/>
  <c r="B446" i="7"/>
  <c r="C228" i="7"/>
  <c r="B228" i="7"/>
  <c r="B121" i="7"/>
  <c r="C121" i="7"/>
  <c r="C920" i="7"/>
  <c r="B920" i="7"/>
  <c r="C585" i="7"/>
  <c r="B585" i="7"/>
  <c r="C474" i="7"/>
  <c r="B474" i="7"/>
  <c r="B208" i="7"/>
  <c r="C208" i="7"/>
  <c r="B196" i="7"/>
  <c r="C196" i="7"/>
  <c r="B126" i="7"/>
  <c r="C126" i="7"/>
  <c r="B94" i="7"/>
  <c r="C94" i="7"/>
  <c r="B100" i="3"/>
  <c r="B2" i="7"/>
  <c r="C1070" i="7"/>
  <c r="B1059" i="7"/>
  <c r="B1033" i="7"/>
  <c r="C1014" i="7"/>
  <c r="C995" i="7"/>
  <c r="B995" i="7"/>
  <c r="B979" i="7"/>
  <c r="B971" i="7"/>
  <c r="C939" i="7"/>
  <c r="C927" i="7"/>
  <c r="B927" i="7"/>
  <c r="B876" i="7"/>
  <c r="C876" i="7"/>
  <c r="B756" i="7"/>
  <c r="C756" i="7"/>
  <c r="C681" i="7"/>
  <c r="B681" i="7"/>
  <c r="C584" i="7"/>
  <c r="C564" i="7"/>
  <c r="C556" i="7"/>
  <c r="C512" i="7"/>
  <c r="B500" i="7"/>
  <c r="C500" i="7"/>
  <c r="C450" i="7"/>
  <c r="B450" i="7"/>
  <c r="B359" i="7"/>
  <c r="C359" i="7"/>
  <c r="C332" i="7"/>
  <c r="B332" i="7"/>
  <c r="C220" i="7"/>
  <c r="B220" i="7"/>
  <c r="C144" i="7"/>
  <c r="B101" i="7"/>
  <c r="C101" i="7"/>
  <c r="C84" i="3"/>
  <c r="B890" i="7"/>
  <c r="C890" i="7"/>
  <c r="C841" i="7"/>
  <c r="B841" i="7"/>
  <c r="C759" i="7"/>
  <c r="B759" i="7"/>
  <c r="B653" i="7"/>
  <c r="C653" i="7"/>
  <c r="C455" i="7"/>
  <c r="B455" i="7"/>
  <c r="C421" i="7"/>
  <c r="B421" i="7"/>
  <c r="C183" i="7"/>
  <c r="B183" i="7"/>
  <c r="B92" i="7"/>
  <c r="C92" i="7"/>
  <c r="C1069" i="7"/>
  <c r="C1058" i="7"/>
  <c r="C1039" i="7"/>
  <c r="C1013" i="7"/>
  <c r="C978" i="7"/>
  <c r="C970" i="7"/>
  <c r="C925" i="7"/>
  <c r="C918" i="7"/>
  <c r="C889" i="7"/>
  <c r="C870" i="7"/>
  <c r="C840" i="7"/>
  <c r="C832" i="7"/>
  <c r="C808" i="7"/>
  <c r="B772" i="7"/>
  <c r="C772" i="7"/>
  <c r="C719" i="7"/>
  <c r="B719" i="7"/>
  <c r="C630" i="7"/>
  <c r="B630" i="7"/>
  <c r="C526" i="7"/>
  <c r="B526" i="7"/>
  <c r="C481" i="7"/>
  <c r="B481" i="7"/>
  <c r="B463" i="7"/>
  <c r="C463" i="7"/>
  <c r="C357" i="7"/>
  <c r="B357" i="7"/>
  <c r="C303" i="7"/>
  <c r="B303" i="7"/>
  <c r="C248" i="7"/>
  <c r="B248" i="7"/>
  <c r="C378" i="3"/>
  <c r="B55" i="3"/>
  <c r="C1072" i="7"/>
  <c r="B1065" i="7"/>
  <c r="C1054" i="7"/>
  <c r="C1050" i="7"/>
  <c r="B1035" i="7"/>
  <c r="C1031" i="7"/>
  <c r="B1009" i="7"/>
  <c r="C1005" i="7"/>
  <c r="C989" i="7"/>
  <c r="C974" i="7"/>
  <c r="B953" i="7"/>
  <c r="C949" i="7"/>
  <c r="C941" i="7"/>
  <c r="C934" i="7"/>
  <c r="C930" i="7"/>
  <c r="C914" i="7"/>
  <c r="B898" i="7"/>
  <c r="C898" i="7"/>
  <c r="C878" i="7"/>
  <c r="C856" i="7"/>
  <c r="C844" i="7"/>
  <c r="B823" i="7"/>
  <c r="C812" i="7"/>
  <c r="B791" i="7"/>
  <c r="B779" i="7"/>
  <c r="B775" i="7"/>
  <c r="B771" i="7"/>
  <c r="C733" i="7"/>
  <c r="C718" i="7"/>
  <c r="B707" i="7"/>
  <c r="B693" i="7"/>
  <c r="C684" i="7"/>
  <c r="B671" i="7"/>
  <c r="B665" i="7"/>
  <c r="C643" i="7"/>
  <c r="B629" i="7"/>
  <c r="C629" i="7"/>
  <c r="C612" i="7"/>
  <c r="C600" i="7"/>
  <c r="C587" i="7"/>
  <c r="C538" i="7"/>
  <c r="B538" i="7"/>
  <c r="C534" i="7"/>
  <c r="B506" i="7"/>
  <c r="B490" i="7"/>
  <c r="C480" i="7"/>
  <c r="C467" i="7"/>
  <c r="B462" i="7"/>
  <c r="C447" i="7"/>
  <c r="C363" i="7"/>
  <c r="B363" i="7"/>
  <c r="C356" i="7"/>
  <c r="B340" i="7"/>
  <c r="C340" i="7"/>
  <c r="C334" i="7"/>
  <c r="C325" i="7"/>
  <c r="C297" i="7"/>
  <c r="C292" i="7"/>
  <c r="B292" i="7"/>
  <c r="C282" i="7"/>
  <c r="C277" i="7"/>
  <c r="C273" i="7"/>
  <c r="C269" i="7"/>
  <c r="C265" i="7"/>
  <c r="B247" i="7"/>
  <c r="B236" i="7"/>
  <c r="B224" i="7"/>
  <c r="C224" i="7"/>
  <c r="B175" i="7"/>
  <c r="C148" i="7"/>
  <c r="B112" i="7"/>
  <c r="C112" i="7"/>
  <c r="C346" i="3"/>
  <c r="B44" i="3"/>
  <c r="C3" i="7"/>
  <c r="B1075" i="7"/>
  <c r="C1046" i="7"/>
  <c r="B1027" i="7"/>
  <c r="B1001" i="7"/>
  <c r="B993" i="7"/>
  <c r="B985" i="7"/>
  <c r="B965" i="7"/>
  <c r="B960" i="7"/>
  <c r="C937" i="7"/>
  <c r="C909" i="7"/>
  <c r="B902" i="7"/>
  <c r="C902" i="7"/>
  <c r="B873" i="7"/>
  <c r="B847" i="7"/>
  <c r="C836" i="7"/>
  <c r="B815" i="7"/>
  <c r="B782" i="7"/>
  <c r="B761" i="7"/>
  <c r="B745" i="7"/>
  <c r="B727" i="7"/>
  <c r="B710" i="7"/>
  <c r="C701" i="7"/>
  <c r="B696" i="7"/>
  <c r="B679" i="7"/>
  <c r="B675" i="7"/>
  <c r="C660" i="7"/>
  <c r="B660" i="7"/>
  <c r="C628" i="7"/>
  <c r="B574" i="7"/>
  <c r="B570" i="7"/>
  <c r="C546" i="7"/>
  <c r="B546" i="7"/>
  <c r="B537" i="7"/>
  <c r="B515" i="7"/>
  <c r="B510" i="7"/>
  <c r="B498" i="7"/>
  <c r="C471" i="7"/>
  <c r="C436" i="7"/>
  <c r="B430" i="7"/>
  <c r="B407" i="7"/>
  <c r="C407" i="7"/>
  <c r="C396" i="7"/>
  <c r="B382" i="7"/>
  <c r="B373" i="7"/>
  <c r="C344" i="7"/>
  <c r="B344" i="7"/>
  <c r="C301" i="7"/>
  <c r="B286" i="7"/>
  <c r="C286" i="7"/>
  <c r="C252" i="7"/>
  <c r="B252" i="7"/>
  <c r="C204" i="7"/>
  <c r="B204" i="7"/>
  <c r="C186" i="7"/>
  <c r="B141" i="7"/>
  <c r="C141" i="7"/>
  <c r="B105" i="7"/>
  <c r="C105" i="7"/>
  <c r="C617" i="7"/>
  <c r="B617" i="7"/>
  <c r="C554" i="7"/>
  <c r="B554" i="7"/>
  <c r="B145" i="7"/>
  <c r="C145" i="7"/>
  <c r="C364" i="7"/>
  <c r="C336" i="7"/>
  <c r="B324" i="7"/>
  <c r="C320" i="7"/>
  <c r="B316" i="7"/>
  <c r="B308" i="7"/>
  <c r="B295" i="7"/>
  <c r="B283" i="7"/>
  <c r="B279" i="7"/>
  <c r="B271" i="7"/>
  <c r="B263" i="7"/>
  <c r="C253" i="7"/>
  <c r="C229" i="7"/>
  <c r="C225" i="7"/>
  <c r="C221" i="7"/>
  <c r="C217" i="7"/>
  <c r="C213" i="7"/>
  <c r="C209" i="7"/>
  <c r="C205" i="7"/>
  <c r="C201" i="7"/>
  <c r="C160" i="7"/>
  <c r="B155" i="7"/>
  <c r="C142" i="7"/>
  <c r="B120" i="7"/>
  <c r="C97" i="7"/>
  <c r="C93" i="7"/>
  <c r="C89" i="7"/>
  <c r="C85" i="7"/>
  <c r="C69" i="7"/>
  <c r="C65" i="7"/>
  <c r="C61" i="7"/>
  <c r="B39" i="7"/>
  <c r="C257" i="7"/>
  <c r="C249" i="7"/>
  <c r="C245" i="7"/>
  <c r="C241" i="7"/>
  <c r="C237" i="7"/>
  <c r="C233" i="7"/>
  <c r="C168" i="7"/>
  <c r="C164" i="7"/>
  <c r="C137" i="7"/>
  <c r="C128" i="7"/>
  <c r="C110" i="7"/>
  <c r="C80" i="7"/>
  <c r="C56" i="7"/>
  <c r="B31" i="7"/>
  <c r="B20" i="7"/>
  <c r="C8" i="7"/>
  <c r="C192" i="7"/>
  <c r="B188" i="7"/>
  <c r="B184" i="7"/>
  <c r="C176" i="7"/>
  <c r="B172" i="7"/>
  <c r="C132" i="7"/>
  <c r="B123" i="7"/>
  <c r="C76" i="7"/>
  <c r="C72" i="7"/>
  <c r="C41" i="7"/>
  <c r="C68" i="7"/>
  <c r="B19" i="7"/>
  <c r="B11" i="7"/>
  <c r="C70" i="7"/>
  <c r="C5" i="7"/>
  <c r="B882" i="7"/>
  <c r="C882" i="7"/>
  <c r="B818" i="7"/>
  <c r="C818" i="7"/>
  <c r="B754" i="7"/>
  <c r="C754" i="7"/>
  <c r="B690" i="7"/>
  <c r="C690" i="7"/>
  <c r="C641" i="7"/>
  <c r="B641" i="7"/>
  <c r="C561" i="7"/>
  <c r="B561" i="7"/>
  <c r="B540" i="7"/>
  <c r="C540" i="7"/>
  <c r="B533" i="7"/>
  <c r="C533" i="7"/>
  <c r="C514" i="7"/>
  <c r="B514" i="7"/>
  <c r="B460" i="7"/>
  <c r="C460" i="7"/>
  <c r="B429" i="7"/>
  <c r="C429" i="7"/>
  <c r="B410" i="7"/>
  <c r="C410" i="7"/>
  <c r="C405" i="7"/>
  <c r="B405" i="7"/>
  <c r="B377" i="7"/>
  <c r="C377" i="7"/>
  <c r="C354" i="7"/>
  <c r="B354" i="7"/>
  <c r="B349" i="7"/>
  <c r="C349" i="7"/>
  <c r="C111" i="7"/>
  <c r="B111" i="7"/>
  <c r="B881" i="7"/>
  <c r="C868" i="7"/>
  <c r="B858" i="7"/>
  <c r="C858" i="7"/>
  <c r="B817" i="7"/>
  <c r="C804" i="7"/>
  <c r="B794" i="7"/>
  <c r="C794" i="7"/>
  <c r="B753" i="7"/>
  <c r="C740" i="7"/>
  <c r="B730" i="7"/>
  <c r="C730" i="7"/>
  <c r="C726" i="7"/>
  <c r="C723" i="7"/>
  <c r="B689" i="7"/>
  <c r="C676" i="7"/>
  <c r="B666" i="7"/>
  <c r="C666" i="7"/>
  <c r="C637" i="7"/>
  <c r="C598" i="7"/>
  <c r="C594" i="7"/>
  <c r="B594" i="7"/>
  <c r="B557" i="7"/>
  <c r="C557" i="7"/>
  <c r="B553" i="7"/>
  <c r="C532" i="7"/>
  <c r="B518" i="7"/>
  <c r="C518" i="7"/>
  <c r="C513" i="7"/>
  <c r="B513" i="7"/>
  <c r="B485" i="7"/>
  <c r="C485" i="7"/>
  <c r="C459" i="7"/>
  <c r="B459" i="7"/>
  <c r="B451" i="7"/>
  <c r="B442" i="7"/>
  <c r="C442" i="7"/>
  <c r="B433" i="7"/>
  <c r="C433" i="7"/>
  <c r="C419" i="7"/>
  <c r="B419" i="7"/>
  <c r="B353" i="7"/>
  <c r="C353" i="7"/>
  <c r="B328" i="7"/>
  <c r="C328" i="7"/>
  <c r="B312" i="7"/>
  <c r="B296" i="7"/>
  <c r="C296" i="7"/>
  <c r="B280" i="7"/>
  <c r="B260" i="7"/>
  <c r="C219" i="7"/>
  <c r="B219" i="7"/>
  <c r="C1056" i="7"/>
  <c r="C1048" i="7"/>
  <c r="C1040" i="7"/>
  <c r="C1032" i="7"/>
  <c r="C1024" i="7"/>
  <c r="C1016" i="7"/>
  <c r="C1008" i="7"/>
  <c r="C1000" i="7"/>
  <c r="C992" i="7"/>
  <c r="C984" i="7"/>
  <c r="C976" i="7"/>
  <c r="C968" i="7"/>
  <c r="C948" i="7"/>
  <c r="C945" i="7"/>
  <c r="C942" i="7"/>
  <c r="C916" i="7"/>
  <c r="C913" i="7"/>
  <c r="C910" i="7"/>
  <c r="B834" i="7"/>
  <c r="C834" i="7"/>
  <c r="C830" i="7"/>
  <c r="C827" i="7"/>
  <c r="B770" i="7"/>
  <c r="C770" i="7"/>
  <c r="C766" i="7"/>
  <c r="C763" i="7"/>
  <c r="B729" i="7"/>
  <c r="C716" i="7"/>
  <c r="B706" i="7"/>
  <c r="C706" i="7"/>
  <c r="C702" i="7"/>
  <c r="C699" i="7"/>
  <c r="B651" i="7"/>
  <c r="C651" i="7"/>
  <c r="B605" i="7"/>
  <c r="C605" i="7"/>
  <c r="B593" i="7"/>
  <c r="B586" i="7"/>
  <c r="B509" i="7"/>
  <c r="C509" i="7"/>
  <c r="B441" i="7"/>
  <c r="C441" i="7"/>
  <c r="C418" i="7"/>
  <c r="B418" i="7"/>
  <c r="B413" i="7"/>
  <c r="C413" i="7"/>
  <c r="C358" i="7"/>
  <c r="B358" i="7"/>
  <c r="B352" i="7"/>
  <c r="C352" i="7"/>
  <c r="C319" i="7"/>
  <c r="B319" i="7"/>
  <c r="C287" i="7"/>
  <c r="B287" i="7"/>
  <c r="B264" i="7"/>
  <c r="C264" i="7"/>
  <c r="C235" i="7"/>
  <c r="B235" i="7"/>
  <c r="C187" i="7"/>
  <c r="B187" i="7"/>
  <c r="B158" i="7"/>
  <c r="C158" i="7"/>
  <c r="B874" i="7"/>
  <c r="C874" i="7"/>
  <c r="B833" i="7"/>
  <c r="C820" i="7"/>
  <c r="B810" i="7"/>
  <c r="C810" i="7"/>
  <c r="B769" i="7"/>
  <c r="B746" i="7"/>
  <c r="C746" i="7"/>
  <c r="B705" i="7"/>
  <c r="C692" i="7"/>
  <c r="B682" i="7"/>
  <c r="C682" i="7"/>
  <c r="C650" i="7"/>
  <c r="B650" i="7"/>
  <c r="C636" i="7"/>
  <c r="C625" i="7"/>
  <c r="B625" i="7"/>
  <c r="B604" i="7"/>
  <c r="C604" i="7"/>
  <c r="B597" i="7"/>
  <c r="C597" i="7"/>
  <c r="C578" i="7"/>
  <c r="B578" i="7"/>
  <c r="B524" i="7"/>
  <c r="C524" i="7"/>
  <c r="C466" i="7"/>
  <c r="B466" i="7"/>
  <c r="B417" i="7"/>
  <c r="C417" i="7"/>
  <c r="B362" i="7"/>
  <c r="C362" i="7"/>
  <c r="C331" i="7"/>
  <c r="B331" i="7"/>
  <c r="B254" i="7"/>
  <c r="C254" i="7"/>
  <c r="B210" i="7"/>
  <c r="C210" i="7"/>
  <c r="C206" i="7"/>
  <c r="C194" i="7"/>
  <c r="C171" i="7"/>
  <c r="B171" i="7"/>
  <c r="B162" i="7"/>
  <c r="C162" i="7"/>
  <c r="C136" i="7"/>
  <c r="B850" i="7"/>
  <c r="C850" i="7"/>
  <c r="B786" i="7"/>
  <c r="C786" i="7"/>
  <c r="B722" i="7"/>
  <c r="C722" i="7"/>
  <c r="B621" i="7"/>
  <c r="C621" i="7"/>
  <c r="B582" i="7"/>
  <c r="C582" i="7"/>
  <c r="C577" i="7"/>
  <c r="B577" i="7"/>
  <c r="B549" i="7"/>
  <c r="C549" i="7"/>
  <c r="B477" i="7"/>
  <c r="C477" i="7"/>
  <c r="C465" i="7"/>
  <c r="B465" i="7"/>
  <c r="C422" i="7"/>
  <c r="B422" i="7"/>
  <c r="B416" i="7"/>
  <c r="C416" i="7"/>
  <c r="C389" i="7"/>
  <c r="B389" i="7"/>
  <c r="B384" i="7"/>
  <c r="C384" i="7"/>
  <c r="C371" i="7"/>
  <c r="B371" i="7"/>
  <c r="B366" i="7"/>
  <c r="B361" i="7"/>
  <c r="C361" i="7"/>
  <c r="B258" i="7"/>
  <c r="C258" i="7"/>
  <c r="B238" i="7"/>
  <c r="C238" i="7"/>
  <c r="B178" i="7"/>
  <c r="C178" i="7"/>
  <c r="C174" i="7"/>
  <c r="B698" i="7"/>
  <c r="C698" i="7"/>
  <c r="C657" i="7"/>
  <c r="B657" i="7"/>
  <c r="B635" i="7"/>
  <c r="C635" i="7"/>
  <c r="B573" i="7"/>
  <c r="C573" i="7"/>
  <c r="C497" i="7"/>
  <c r="B497" i="7"/>
  <c r="B476" i="7"/>
  <c r="C476" i="7"/>
  <c r="B469" i="7"/>
  <c r="C469" i="7"/>
  <c r="B426" i="7"/>
  <c r="C426" i="7"/>
  <c r="C402" i="7"/>
  <c r="B402" i="7"/>
  <c r="B397" i="7"/>
  <c r="C397" i="7"/>
  <c r="B302" i="7"/>
  <c r="C302" i="7"/>
  <c r="B274" i="7"/>
  <c r="C274" i="7"/>
  <c r="B130" i="7"/>
  <c r="C130" i="7"/>
  <c r="C1076" i="7"/>
  <c r="C1068" i="7"/>
  <c r="C1060" i="7"/>
  <c r="C1052" i="7"/>
  <c r="C1044" i="7"/>
  <c r="C1036" i="7"/>
  <c r="C1028" i="7"/>
  <c r="C1020" i="7"/>
  <c r="C1012" i="7"/>
  <c r="C1004" i="7"/>
  <c r="C996" i="7"/>
  <c r="C988" i="7"/>
  <c r="C980" i="7"/>
  <c r="C972" i="7"/>
  <c r="C964" i="7"/>
  <c r="C961" i="7"/>
  <c r="C958" i="7"/>
  <c r="C932" i="7"/>
  <c r="C929" i="7"/>
  <c r="C926" i="7"/>
  <c r="C900" i="7"/>
  <c r="C897" i="7"/>
  <c r="C894" i="7"/>
  <c r="B866" i="7"/>
  <c r="C866" i="7"/>
  <c r="C862" i="7"/>
  <c r="C859" i="7"/>
  <c r="B802" i="7"/>
  <c r="C802" i="7"/>
  <c r="C798" i="7"/>
  <c r="C795" i="7"/>
  <c r="B738" i="7"/>
  <c r="C738" i="7"/>
  <c r="C734" i="7"/>
  <c r="C731" i="7"/>
  <c r="B674" i="7"/>
  <c r="C674" i="7"/>
  <c r="C670" i="7"/>
  <c r="C667" i="7"/>
  <c r="C634" i="7"/>
  <c r="B634" i="7"/>
  <c r="C627" i="7"/>
  <c r="B588" i="7"/>
  <c r="C588" i="7"/>
  <c r="C530" i="7"/>
  <c r="B530" i="7"/>
  <c r="B493" i="7"/>
  <c r="C493" i="7"/>
  <c r="C486" i="7"/>
  <c r="C453" i="7"/>
  <c r="B453" i="7"/>
  <c r="B448" i="7"/>
  <c r="C448" i="7"/>
  <c r="C435" i="7"/>
  <c r="B435" i="7"/>
  <c r="B425" i="7"/>
  <c r="C425" i="7"/>
  <c r="B365" i="7"/>
  <c r="C365" i="7"/>
  <c r="B346" i="7"/>
  <c r="C346" i="7"/>
  <c r="B826" i="7"/>
  <c r="C826" i="7"/>
  <c r="B762" i="7"/>
  <c r="C762" i="7"/>
  <c r="B865" i="7"/>
  <c r="C852" i="7"/>
  <c r="B842" i="7"/>
  <c r="C842" i="7"/>
  <c r="B801" i="7"/>
  <c r="C788" i="7"/>
  <c r="B778" i="7"/>
  <c r="C778" i="7"/>
  <c r="B737" i="7"/>
  <c r="C724" i="7"/>
  <c r="B714" i="7"/>
  <c r="C714" i="7"/>
  <c r="B673" i="7"/>
  <c r="B633" i="7"/>
  <c r="B613" i="7"/>
  <c r="C613" i="7"/>
  <c r="B541" i="7"/>
  <c r="C541" i="7"/>
  <c r="B529" i="7"/>
  <c r="B522" i="7"/>
  <c r="C492" i="7"/>
  <c r="B482" i="7"/>
  <c r="B443" i="7"/>
  <c r="B434" i="7"/>
  <c r="B424" i="7"/>
  <c r="C406" i="7"/>
  <c r="B406" i="7"/>
  <c r="B400" i="7"/>
  <c r="C400" i="7"/>
  <c r="B387" i="7"/>
  <c r="B378" i="7"/>
  <c r="C378" i="7"/>
  <c r="B369" i="7"/>
  <c r="C369" i="7"/>
  <c r="C355" i="7"/>
  <c r="B355" i="7"/>
  <c r="B581" i="7"/>
  <c r="C581" i="7"/>
  <c r="B517" i="7"/>
  <c r="C517" i="7"/>
  <c r="B409" i="7"/>
  <c r="C409" i="7"/>
  <c r="B401" i="7"/>
  <c r="C401" i="7"/>
  <c r="B345" i="7"/>
  <c r="C345" i="7"/>
  <c r="B242" i="7"/>
  <c r="C242" i="7"/>
  <c r="C203" i="7"/>
  <c r="B203" i="7"/>
  <c r="C191" i="7"/>
  <c r="B191" i="7"/>
  <c r="B124" i="7"/>
  <c r="C124" i="7"/>
  <c r="B589" i="7"/>
  <c r="C589" i="7"/>
  <c r="B525" i="7"/>
  <c r="C525" i="7"/>
  <c r="B445" i="7"/>
  <c r="C445" i="7"/>
  <c r="B432" i="7"/>
  <c r="C432" i="7"/>
  <c r="B394" i="7"/>
  <c r="C394" i="7"/>
  <c r="B381" i="7"/>
  <c r="C381" i="7"/>
  <c r="B368" i="7"/>
  <c r="C368" i="7"/>
  <c r="B338" i="7"/>
  <c r="C338" i="7"/>
  <c r="C299" i="7"/>
  <c r="B299" i="7"/>
  <c r="C255" i="7"/>
  <c r="B255" i="7"/>
  <c r="B232" i="7"/>
  <c r="C232" i="7"/>
  <c r="B156" i="7"/>
  <c r="C156" i="7"/>
  <c r="C143" i="7"/>
  <c r="B143" i="7"/>
  <c r="B565" i="7"/>
  <c r="C565" i="7"/>
  <c r="B501" i="7"/>
  <c r="C501" i="7"/>
  <c r="B449" i="7"/>
  <c r="C449" i="7"/>
  <c r="B393" i="7"/>
  <c r="C393" i="7"/>
  <c r="B385" i="7"/>
  <c r="C385" i="7"/>
  <c r="B306" i="7"/>
  <c r="C306" i="7"/>
  <c r="C267" i="7"/>
  <c r="B267" i="7"/>
  <c r="C223" i="7"/>
  <c r="B223" i="7"/>
  <c r="B200" i="7"/>
  <c r="C200" i="7"/>
  <c r="B140" i="7"/>
  <c r="C140" i="7"/>
  <c r="C127" i="7"/>
  <c r="B127" i="7"/>
  <c r="B114" i="7"/>
  <c r="C114" i="7"/>
  <c r="C159" i="7"/>
  <c r="B159" i="7"/>
  <c r="B146" i="7"/>
  <c r="C146" i="7"/>
  <c r="B108" i="7"/>
  <c r="C108" i="7"/>
  <c r="B55" i="7"/>
  <c r="B52" i="7"/>
  <c r="C38" i="7"/>
  <c r="B35" i="7"/>
  <c r="B18" i="7"/>
  <c r="C18" i="7"/>
  <c r="B58" i="7"/>
  <c r="C58" i="7"/>
  <c r="C100" i="7"/>
  <c r="C84" i="7"/>
  <c r="B71" i="7"/>
  <c r="C54" i="7"/>
  <c r="B51" i="7"/>
  <c r="C44" i="7"/>
  <c r="B34" i="7"/>
  <c r="C34" i="7"/>
  <c r="B7" i="7"/>
  <c r="C170" i="7"/>
  <c r="B167" i="7"/>
  <c r="C154" i="7"/>
  <c r="B151" i="7"/>
  <c r="C138" i="7"/>
  <c r="B135" i="7"/>
  <c r="C122" i="7"/>
  <c r="B119" i="7"/>
  <c r="C106" i="7"/>
  <c r="B103" i="7"/>
  <c r="C90" i="7"/>
  <c r="B87" i="7"/>
  <c r="B74" i="7"/>
  <c r="C74" i="7"/>
  <c r="B47" i="7"/>
  <c r="C30" i="7"/>
  <c r="B27" i="7"/>
  <c r="B10" i="7"/>
  <c r="C10" i="7"/>
  <c r="C60" i="7"/>
  <c r="B50" i="7"/>
  <c r="C50" i="7"/>
  <c r="C6" i="7"/>
  <c r="C342" i="7"/>
  <c r="B339" i="7"/>
  <c r="C326" i="7"/>
  <c r="B323" i="7"/>
  <c r="C310" i="7"/>
  <c r="B307" i="7"/>
  <c r="C294" i="7"/>
  <c r="B291" i="7"/>
  <c r="C278" i="7"/>
  <c r="B275" i="7"/>
  <c r="C262" i="7"/>
  <c r="B259" i="7"/>
  <c r="C246" i="7"/>
  <c r="B243" i="7"/>
  <c r="C230" i="7"/>
  <c r="B227" i="7"/>
  <c r="C214" i="7"/>
  <c r="B211" i="7"/>
  <c r="C198" i="7"/>
  <c r="B195" i="7"/>
  <c r="C182" i="7"/>
  <c r="B179" i="7"/>
  <c r="C166" i="7"/>
  <c r="B163" i="7"/>
  <c r="C150" i="7"/>
  <c r="B147" i="7"/>
  <c r="C134" i="7"/>
  <c r="B131" i="7"/>
  <c r="C118" i="7"/>
  <c r="B115" i="7"/>
  <c r="C102" i="7"/>
  <c r="B99" i="7"/>
  <c r="C86" i="7"/>
  <c r="B83" i="7"/>
  <c r="B63" i="7"/>
  <c r="C46" i="7"/>
  <c r="B43" i="7"/>
  <c r="B26" i="7"/>
  <c r="C26" i="7"/>
  <c r="B66" i="7"/>
  <c r="C66" i="7"/>
  <c r="C12" i="7"/>
  <c r="C98" i="7"/>
  <c r="B95" i="7"/>
  <c r="C82" i="7"/>
  <c r="B79" i="7"/>
  <c r="C62" i="7"/>
  <c r="B59" i="7"/>
  <c r="B42" i="7"/>
  <c r="C42" i="7"/>
  <c r="B15" i="7"/>
  <c r="C196" i="3"/>
  <c r="B127" i="3"/>
  <c r="B188" i="3"/>
  <c r="C180" i="3"/>
  <c r="B172" i="3"/>
  <c r="B29" i="3"/>
  <c r="B306" i="3"/>
  <c r="B170" i="3"/>
  <c r="B70" i="3"/>
  <c r="B22" i="3"/>
  <c r="C157" i="3"/>
  <c r="C69" i="3"/>
  <c r="B21" i="3"/>
  <c r="C156" i="3"/>
  <c r="B59" i="3"/>
  <c r="C18" i="3"/>
  <c r="B446" i="3"/>
  <c r="B435" i="3"/>
  <c r="B423" i="3"/>
  <c r="B414" i="3"/>
  <c r="B403" i="3"/>
  <c r="B391" i="3"/>
  <c r="B382" i="3"/>
  <c r="B372" i="3"/>
  <c r="B356" i="3"/>
  <c r="B347" i="3"/>
  <c r="B332" i="3"/>
  <c r="C321" i="3"/>
  <c r="B309" i="3"/>
  <c r="B295" i="3"/>
  <c r="B283" i="3"/>
  <c r="C269" i="3"/>
  <c r="B247" i="3"/>
  <c r="C232" i="3"/>
  <c r="B217" i="3"/>
  <c r="B143" i="3"/>
  <c r="B128" i="3"/>
  <c r="C112" i="3"/>
  <c r="C443" i="3"/>
  <c r="C431" i="3"/>
  <c r="C422" i="3"/>
  <c r="C411" i="3"/>
  <c r="C399" i="3"/>
  <c r="C390" i="3"/>
  <c r="C380" i="3"/>
  <c r="B365" i="3"/>
  <c r="C355" i="3"/>
  <c r="B331" i="3"/>
  <c r="C308" i="3"/>
  <c r="C294" i="3"/>
  <c r="B280" i="3"/>
  <c r="C246" i="3"/>
  <c r="B231" i="3"/>
  <c r="C216" i="3"/>
  <c r="B97" i="3"/>
  <c r="B379" i="3"/>
  <c r="C364" i="3"/>
  <c r="C342" i="3"/>
  <c r="C326" i="3"/>
  <c r="C316" i="3"/>
  <c r="B279" i="3"/>
  <c r="B268" i="3"/>
  <c r="C253" i="3"/>
  <c r="B243" i="3"/>
  <c r="B228" i="3"/>
  <c r="B212" i="3"/>
  <c r="B165" i="3"/>
  <c r="C154" i="3"/>
  <c r="C138" i="3"/>
  <c r="B123" i="3"/>
  <c r="B111" i="3"/>
  <c r="C96" i="3"/>
  <c r="B83" i="3"/>
  <c r="C54" i="3"/>
  <c r="B39" i="3"/>
  <c r="C28" i="3"/>
  <c r="C20" i="3"/>
  <c r="C451" i="3"/>
  <c r="C439" i="3"/>
  <c r="C430" i="3"/>
  <c r="C419" i="3"/>
  <c r="C407" i="3"/>
  <c r="C398" i="3"/>
  <c r="C387" i="3"/>
  <c r="C351" i="3"/>
  <c r="C293" i="3"/>
  <c r="C278" i="3"/>
  <c r="B267" i="3"/>
  <c r="B238" i="3"/>
  <c r="B222" i="3"/>
  <c r="B211" i="3"/>
  <c r="B191" i="3"/>
  <c r="B179" i="3"/>
  <c r="C164" i="3"/>
  <c r="B149" i="3"/>
  <c r="C133" i="3"/>
  <c r="B118" i="3"/>
  <c r="B107" i="3"/>
  <c r="B92" i="3"/>
  <c r="C81" i="3"/>
  <c r="C68" i="3"/>
  <c r="C38" i="3"/>
  <c r="C374" i="3"/>
  <c r="C363" i="3"/>
  <c r="B341" i="3"/>
  <c r="C325" i="3"/>
  <c r="B315" i="3"/>
  <c r="C305" i="3"/>
  <c r="C292" i="3"/>
  <c r="C264" i="3"/>
  <c r="C252" i="3"/>
  <c r="C237" i="3"/>
  <c r="C221" i="3"/>
  <c r="C206" i="3"/>
  <c r="B190" i="3"/>
  <c r="B175" i="3"/>
  <c r="C148" i="3"/>
  <c r="B117" i="3"/>
  <c r="B102" i="3"/>
  <c r="B91" i="3"/>
  <c r="C80" i="3"/>
  <c r="B53" i="3"/>
  <c r="B27" i="3"/>
  <c r="C13" i="3"/>
  <c r="C447" i="3"/>
  <c r="C438" i="3"/>
  <c r="C427" i="3"/>
  <c r="C415" i="3"/>
  <c r="C406" i="3"/>
  <c r="C395" i="3"/>
  <c r="C383" i="3"/>
  <c r="C360" i="3"/>
  <c r="C350" i="3"/>
  <c r="C340" i="3"/>
  <c r="B311" i="3"/>
  <c r="B301" i="3"/>
  <c r="B285" i="3"/>
  <c r="C276" i="3"/>
  <c r="B263" i="3"/>
  <c r="C189" i="3"/>
  <c r="C174" i="3"/>
  <c r="B160" i="3"/>
  <c r="C132" i="3"/>
  <c r="C116" i="3"/>
  <c r="C101" i="3"/>
  <c r="C86" i="3"/>
  <c r="B76" i="3"/>
  <c r="C65" i="3"/>
  <c r="C52" i="3"/>
  <c r="C37" i="3"/>
  <c r="B24" i="3"/>
  <c r="B373" i="3"/>
  <c r="C324" i="3"/>
  <c r="C310" i="3"/>
  <c r="B300" i="3"/>
  <c r="C284" i="3"/>
  <c r="C274" i="3"/>
  <c r="C262" i="3"/>
  <c r="C248" i="3"/>
  <c r="B236" i="3"/>
  <c r="C220" i="3"/>
  <c r="C205" i="3"/>
  <c r="B159" i="3"/>
  <c r="B147" i="3"/>
  <c r="B75" i="3"/>
  <c r="C60" i="3"/>
  <c r="B23" i="3"/>
  <c r="B12" i="3"/>
  <c r="C359" i="3"/>
  <c r="C348" i="3"/>
  <c r="C336" i="3"/>
  <c r="B299" i="3"/>
  <c r="B233" i="3"/>
  <c r="C173" i="3"/>
  <c r="B158" i="3"/>
  <c r="B144" i="3"/>
  <c r="B115" i="3"/>
  <c r="B85" i="3"/>
  <c r="B45" i="3"/>
  <c r="C36" i="3"/>
  <c r="C8" i="3"/>
  <c r="C7" i="3"/>
  <c r="B7" i="3"/>
  <c r="B450" i="3"/>
  <c r="C450" i="3"/>
  <c r="B442" i="3"/>
  <c r="C442" i="3"/>
  <c r="B434" i="3"/>
  <c r="C434" i="3"/>
  <c r="B426" i="3"/>
  <c r="C426" i="3"/>
  <c r="B418" i="3"/>
  <c r="C418" i="3"/>
  <c r="B410" i="3"/>
  <c r="C410" i="3"/>
  <c r="B402" i="3"/>
  <c r="C402" i="3"/>
  <c r="B394" i="3"/>
  <c r="C394" i="3"/>
  <c r="B386" i="3"/>
  <c r="C386" i="3"/>
  <c r="B362" i="3"/>
  <c r="C362" i="3"/>
  <c r="C354" i="3"/>
  <c r="B354" i="3"/>
  <c r="B338" i="3"/>
  <c r="C338" i="3"/>
  <c r="B330" i="3"/>
  <c r="C330" i="3"/>
  <c r="B322" i="3"/>
  <c r="C322" i="3"/>
  <c r="B314" i="3"/>
  <c r="C314" i="3"/>
  <c r="C298" i="3"/>
  <c r="B298" i="3"/>
  <c r="B282" i="3"/>
  <c r="C282" i="3"/>
  <c r="B266" i="3"/>
  <c r="C266" i="3"/>
  <c r="B250" i="3"/>
  <c r="C250" i="3"/>
  <c r="B234" i="3"/>
  <c r="C234" i="3"/>
  <c r="B218" i="3"/>
  <c r="C218" i="3"/>
  <c r="C210" i="3"/>
  <c r="B210" i="3"/>
  <c r="B202" i="3"/>
  <c r="C202" i="3"/>
  <c r="C194" i="3"/>
  <c r="B194" i="3"/>
  <c r="B186" i="3"/>
  <c r="C186" i="3"/>
  <c r="B178" i="3"/>
  <c r="C178" i="3"/>
  <c r="B162" i="3"/>
  <c r="C162" i="3"/>
  <c r="B146" i="3"/>
  <c r="C146" i="3"/>
  <c r="B130" i="3"/>
  <c r="C130" i="3"/>
  <c r="B122" i="3"/>
  <c r="C122" i="3"/>
  <c r="B114" i="3"/>
  <c r="C114" i="3"/>
  <c r="B106" i="3"/>
  <c r="C106" i="3"/>
  <c r="B98" i="3"/>
  <c r="C98" i="3"/>
  <c r="B90" i="3"/>
  <c r="C90" i="3"/>
  <c r="B82" i="3"/>
  <c r="C82" i="3"/>
  <c r="C74" i="3"/>
  <c r="B74" i="3"/>
  <c r="B66" i="3"/>
  <c r="C66" i="3"/>
  <c r="B58" i="3"/>
  <c r="C58" i="3"/>
  <c r="B42" i="3"/>
  <c r="C42" i="3"/>
  <c r="B26" i="3"/>
  <c r="C26" i="3"/>
  <c r="C6" i="3"/>
  <c r="B6" i="3"/>
  <c r="B449" i="3"/>
  <c r="C449" i="3"/>
  <c r="B441" i="3"/>
  <c r="C441" i="3"/>
  <c r="B433" i="3"/>
  <c r="C433" i="3"/>
  <c r="B425" i="3"/>
  <c r="C425" i="3"/>
  <c r="B417" i="3"/>
  <c r="C417" i="3"/>
  <c r="B409" i="3"/>
  <c r="C409" i="3"/>
  <c r="B401" i="3"/>
  <c r="C401" i="3"/>
  <c r="B393" i="3"/>
  <c r="C393" i="3"/>
  <c r="B385" i="3"/>
  <c r="C385" i="3"/>
  <c r="C377" i="3"/>
  <c r="B377" i="3"/>
  <c r="C361" i="3"/>
  <c r="B361" i="3"/>
  <c r="C353" i="3"/>
  <c r="B353" i="3"/>
  <c r="C345" i="3"/>
  <c r="B345" i="3"/>
  <c r="B329" i="3"/>
  <c r="C329" i="3"/>
  <c r="B313" i="3"/>
  <c r="C313" i="3"/>
  <c r="B297" i="3"/>
  <c r="C297" i="3"/>
  <c r="B281" i="3"/>
  <c r="C281" i="3"/>
  <c r="B273" i="3"/>
  <c r="C273" i="3"/>
  <c r="B265" i="3"/>
  <c r="C265" i="3"/>
  <c r="B257" i="3"/>
  <c r="C257" i="3"/>
  <c r="B249" i="3"/>
  <c r="C249" i="3"/>
  <c r="B241" i="3"/>
  <c r="C241" i="3"/>
  <c r="B225" i="3"/>
  <c r="C225" i="3"/>
  <c r="B209" i="3"/>
  <c r="C209" i="3"/>
  <c r="B193" i="3"/>
  <c r="C193" i="3"/>
  <c r="B177" i="3"/>
  <c r="C177" i="3"/>
  <c r="B169" i="3"/>
  <c r="C169" i="3"/>
  <c r="B161" i="3"/>
  <c r="C161" i="3"/>
  <c r="B153" i="3"/>
  <c r="C153" i="3"/>
  <c r="B145" i="3"/>
  <c r="C145" i="3"/>
  <c r="C137" i="3"/>
  <c r="B137" i="3"/>
  <c r="B129" i="3"/>
  <c r="C129" i="3"/>
  <c r="C121" i="3"/>
  <c r="B121" i="3"/>
  <c r="B113" i="3"/>
  <c r="C113" i="3"/>
  <c r="B105" i="3"/>
  <c r="C105" i="3"/>
  <c r="B89" i="3"/>
  <c r="C89" i="3"/>
  <c r="B73" i="3"/>
  <c r="C73" i="3"/>
  <c r="B57" i="3"/>
  <c r="C57" i="3"/>
  <c r="B49" i="3"/>
  <c r="C49" i="3"/>
  <c r="B41" i="3"/>
  <c r="C41" i="3"/>
  <c r="B33" i="3"/>
  <c r="C33" i="3"/>
  <c r="B25" i="3"/>
  <c r="C25" i="3"/>
  <c r="B17" i="3"/>
  <c r="C17" i="3"/>
  <c r="B290" i="3"/>
  <c r="C242" i="3"/>
  <c r="C201" i="3"/>
  <c r="B370" i="3"/>
  <c r="C337" i="3"/>
  <c r="C289" i="3"/>
  <c r="C226" i="3"/>
  <c r="B50" i="3"/>
  <c r="B369" i="3"/>
  <c r="C185" i="3"/>
  <c r="C230" i="3"/>
  <c r="B215" i="3"/>
  <c r="B199" i="3"/>
  <c r="B184" i="3"/>
  <c r="C168" i="3"/>
  <c r="C152" i="3"/>
  <c r="B126" i="3"/>
  <c r="C110" i="3"/>
  <c r="B95" i="3"/>
  <c r="B79" i="3"/>
  <c r="B64" i="3"/>
  <c r="B48" i="3"/>
  <c r="C32" i="3"/>
  <c r="C16" i="3"/>
  <c r="B11" i="3"/>
  <c r="C453" i="3"/>
  <c r="C445" i="3"/>
  <c r="C437" i="3"/>
  <c r="C429" i="3"/>
  <c r="C421" i="3"/>
  <c r="C413" i="3"/>
  <c r="C405" i="3"/>
  <c r="C397" i="3"/>
  <c r="C389" i="3"/>
  <c r="B381" i="3"/>
  <c r="C376" i="3"/>
  <c r="C367" i="3"/>
  <c r="C358" i="3"/>
  <c r="B349" i="3"/>
  <c r="C344" i="3"/>
  <c r="C334" i="3"/>
  <c r="B319" i="3"/>
  <c r="B303" i="3"/>
  <c r="B288" i="3"/>
  <c r="B277" i="3"/>
  <c r="B272" i="3"/>
  <c r="C261" i="3"/>
  <c r="C256" i="3"/>
  <c r="B251" i="3"/>
  <c r="C240" i="3"/>
  <c r="B235" i="3"/>
  <c r="C214" i="3"/>
  <c r="C198" i="3"/>
  <c r="B183" i="3"/>
  <c r="B167" i="3"/>
  <c r="C141" i="3"/>
  <c r="C136" i="3"/>
  <c r="C125" i="3"/>
  <c r="C120" i="3"/>
  <c r="B94" i="3"/>
  <c r="C78" i="3"/>
  <c r="B63" i="3"/>
  <c r="B47" i="3"/>
  <c r="C10" i="3"/>
  <c r="C5" i="3"/>
  <c r="C371" i="3"/>
  <c r="B339" i="3"/>
  <c r="B318" i="3"/>
  <c r="C302" i="3"/>
  <c r="B287" i="3"/>
  <c r="B271" i="3"/>
  <c r="B245" i="3"/>
  <c r="C229" i="3"/>
  <c r="C224" i="3"/>
  <c r="B219" i="3"/>
  <c r="C208" i="3"/>
  <c r="B203" i="3"/>
  <c r="C182" i="3"/>
  <c r="C166" i="3"/>
  <c r="B151" i="3"/>
  <c r="B135" i="3"/>
  <c r="C109" i="3"/>
  <c r="C104" i="3"/>
  <c r="C93" i="3"/>
  <c r="C88" i="3"/>
  <c r="B31" i="3"/>
  <c r="B15" i="3"/>
  <c r="B62" i="3"/>
  <c r="C46" i="3"/>
  <c r="C452" i="3"/>
  <c r="C448" i="3"/>
  <c r="C444" i="3"/>
  <c r="C440" i="3"/>
  <c r="C436" i="3"/>
  <c r="C432" i="3"/>
  <c r="C428" i="3"/>
  <c r="C424" i="3"/>
  <c r="C420" i="3"/>
  <c r="C416" i="3"/>
  <c r="C412" i="3"/>
  <c r="C408" i="3"/>
  <c r="C404" i="3"/>
  <c r="C400" i="3"/>
  <c r="C396" i="3"/>
  <c r="C392" i="3"/>
  <c r="C388" i="3"/>
  <c r="C384" i="3"/>
  <c r="C375" i="3"/>
  <c r="C366" i="3"/>
  <c r="B357" i="3"/>
  <c r="C352" i="3"/>
  <c r="C343" i="3"/>
  <c r="C333" i="3"/>
  <c r="C328" i="3"/>
  <c r="C317" i="3"/>
  <c r="C312" i="3"/>
  <c r="B307" i="3"/>
  <c r="B286" i="3"/>
  <c r="C270" i="3"/>
  <c r="C260" i="3"/>
  <c r="B255" i="3"/>
  <c r="C244" i="3"/>
  <c r="B239" i="3"/>
  <c r="B213" i="3"/>
  <c r="C197" i="3"/>
  <c r="C192" i="3"/>
  <c r="B187" i="3"/>
  <c r="C176" i="3"/>
  <c r="B171" i="3"/>
  <c r="C150" i="3"/>
  <c r="B140" i="3"/>
  <c r="C134" i="3"/>
  <c r="C124" i="3"/>
  <c r="B119" i="3"/>
  <c r="B103" i="3"/>
  <c r="C77" i="3"/>
  <c r="C72" i="3"/>
  <c r="C61" i="3"/>
  <c r="C56" i="3"/>
  <c r="B51" i="3"/>
  <c r="B30" i="3"/>
  <c r="C14" i="3"/>
  <c r="C9" i="3"/>
  <c r="C4" i="3"/>
  <c r="C368" i="3"/>
  <c r="C320" i="3"/>
  <c r="C304" i="3"/>
  <c r="C200" i="3"/>
  <c r="B335" i="3"/>
  <c r="C3" i="3"/>
  <c r="B3" i="3"/>
  <c r="C323" i="3"/>
  <c r="B323" i="3"/>
  <c r="C291" i="3"/>
  <c r="B291" i="3"/>
  <c r="C259" i="3"/>
  <c r="B259" i="3"/>
  <c r="C227" i="3"/>
  <c r="B227" i="3"/>
  <c r="C195" i="3"/>
  <c r="B195" i="3"/>
  <c r="C163" i="3"/>
  <c r="B163" i="3"/>
  <c r="C131" i="3"/>
  <c r="B131" i="3"/>
  <c r="C99" i="3"/>
  <c r="B99" i="3"/>
  <c r="C67" i="3"/>
  <c r="B67" i="3"/>
  <c r="C35" i="3"/>
  <c r="B35" i="3"/>
  <c r="B327" i="3"/>
  <c r="C296" i="3"/>
  <c r="B275" i="3"/>
  <c r="B254" i="3"/>
  <c r="B223" i="3"/>
  <c r="B207" i="3"/>
  <c r="B181" i="3"/>
  <c r="B155" i="3"/>
  <c r="B139" i="3"/>
  <c r="B108" i="3"/>
  <c r="B87" i="3"/>
  <c r="B71" i="3"/>
  <c r="C40" i="3"/>
  <c r="B19" i="3"/>
  <c r="B2" i="3"/>
  <c r="C2" i="3"/>
  <c r="C2" i="2"/>
  <c r="F36" i="5"/>
  <c r="F29" i="5"/>
  <c r="E43" i="5"/>
  <c r="F16" i="5"/>
  <c r="F14" i="5"/>
  <c r="F13" i="5"/>
  <c r="F18" i="5"/>
  <c r="F17" i="5"/>
  <c r="F15" i="5"/>
  <c r="E19" i="5"/>
  <c r="E20" i="5" s="1"/>
  <c r="H19" i="5" l="1"/>
  <c r="H20" i="5" s="1"/>
  <c r="F42" i="5"/>
  <c r="F43" i="5" s="1"/>
  <c r="F19" i="5"/>
  <c r="F20" i="5"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<sst xmlns="http://schemas.openxmlformats.org/spreadsheetml/2006/main" count="7792" uniqueCount="2305">
  <si>
    <t>#</t>
  </si>
  <si>
    <t>ReqID</t>
  </si>
  <si>
    <t>Document</t>
  </si>
  <si>
    <t>Section (Headline)</t>
  </si>
  <si>
    <t>Requirement title</t>
  </si>
  <si>
    <t>Requirement</t>
  </si>
  <si>
    <t>Requirement type</t>
  </si>
  <si>
    <t>Action</t>
  </si>
  <si>
    <t>Indgår i officiel krav-count?</t>
  </si>
  <si>
    <t>Vægt</t>
  </si>
  <si>
    <t>Round #1</t>
  </si>
  <si>
    <t>Responsible</t>
  </si>
  <si>
    <t>Reviewer</t>
  </si>
  <si>
    <t>Module</t>
  </si>
  <si>
    <t>Can we meet the requirement?</t>
  </si>
  <si>
    <t>Comment</t>
  </si>
  <si>
    <t>Commitment needed?</t>
  </si>
  <si>
    <t>Risk Element?</t>
  </si>
  <si>
    <t>Cost Driver</t>
  </si>
  <si>
    <t>Link to answer document</t>
  </si>
  <si>
    <t>Status (phase)</t>
  </si>
  <si>
    <t>Status (%)</t>
  </si>
  <si>
    <t>AI — Generated</t>
  </si>
  <si>
    <t>AI — Source</t>
  </si>
  <si>
    <t>AI — Compliance</t>
  </si>
  <si>
    <t>AI — Confidence</t>
  </si>
  <si>
    <t>AI — Summary</t>
  </si>
  <si>
    <t>AI — Gaps &amp; clarifications</t>
  </si>
  <si>
    <t>AI — Evidence</t>
  </si>
  <si>
    <t>AI — Next action</t>
  </si>
  <si>
    <t>AI — Reviewed by</t>
  </si>
  <si>
    <t>AI — Review status</t>
  </si>
  <si>
    <t>AI — Run ID</t>
  </si>
  <si>
    <t>MK-1</t>
  </si>
  <si>
    <t>Bilag 1.b</t>
  </si>
  <si>
    <t>Generelle krav</t>
  </si>
  <si>
    <t>Rigsarkivets afleveringsmodeller</t>
  </si>
  <si>
    <t>ESDH-løsningen skal understøtte Rigsarkivets gældende retningslinjer for anmeldelse og godkendelse af it-systemer fra statslige Myndigheder, jf. Cirkulære om anmeldelse og godkendelse af it-systemer på Retsinformation og gældende regler for generel aflevering af statslige it-systemer, jf. Bekendtgørelse om arkiveringsversioner på Retsinformation.</t>
  </si>
  <si>
    <t>Mindstekrav</t>
  </si>
  <si>
    <t>Ja</t>
  </si>
  <si>
    <t>Anton</t>
  </si>
  <si>
    <t>1. Fully met</t>
  </si>
  <si>
    <t>Reviewed - Content</t>
  </si>
  <si>
    <t>2026-07-07</t>
  </si>
  <si>
    <t>Cursor / tender-response (batch)</t>
  </si>
  <si>
    <t>Met</t>
  </si>
  <si>
    <t>Verified</t>
  </si>
  <si>
    <t>Verify: Rigsarkivets afleveringsmodeller — vurderet opfyldt (tool: 1. Fully met).</t>
  </si>
  <si>
    <t>docs/tender-reference/extracted/KK Tender tool.txt; docs/tender-reference/extracted/Nationalbanken/Bilag 3.i Leverandørens Løsningsbeskrivelse.txt; docs/product/RFP_Leverandørens_svar_utdrag.txt</t>
  </si>
  <si>
    <t>Anton: Confirm verify-tekst; opdatér review status efter tjek.</t>
  </si>
  <si>
    <t>Draft</t>
  </si>
  <si>
    <t>uim-esdh-full-2026-07-07</t>
  </si>
  <si>
    <t>MK-2</t>
  </si>
  <si>
    <t>Sprog</t>
  </si>
  <si>
    <t>ESDH-løsningen skal understøtte dansk og engelsk.</t>
  </si>
  <si>
    <t>Verify: Sprog — vurderet opfyldt (tool: 1. Fully met).</t>
  </si>
  <si>
    <t>docs/tender-reference/extracted/Nationalbanken/Bilag 3.i Leverandørens Løsningsbeskrivelse.txt; docs/tender-reference/extracted/HSØ/02.00-Tietoevry-SSA-L-Bilag 2-Leverandørens beskrivelse av Tjenesten.txt; docs/tender-reference/extracted/KK Tender tool.txt</t>
  </si>
  <si>
    <t>MK-3</t>
  </si>
  <si>
    <t>Datamodel</t>
  </si>
  <si>
    <t>ESDH-løsningen skal understøtte en Datamodel med en klar og tydelig beskrivelse af felterne i både frontend og backend.</t>
  </si>
  <si>
    <t>Verify: Datamodel — vurderet opfyldt (tool: 1. Fully met).</t>
  </si>
  <si>
    <t>docs/tender-reference/extracted/KK Tender tool.txt; docs/product/RFP_Leverandørens_svar_utdrag.txt; docs/tender-reference/extracted/HSØ/02.00-Tietoevry-SSA-L-Bilag 2-Leverandørens beskrivelse av Tjenesten.txt</t>
  </si>
  <si>
    <t>MK-4</t>
  </si>
  <si>
    <t>GDPR – Ret til indsigt i egne personoplysninger</t>
  </si>
  <si>
    <t>ESDH-løsningen skal understøtte fremsøgning, sammenstilling og udlevering af personoplysninger om den registrerede i overensstemmelse med GDPR-artikel 15. ESDH-løsningen skal ligeledes understøtte behandling af anmodninger fremsat af en lovlig repræsentant for den registrerede, herunder forældremyndighed eller værgemål. Udleveringen skal kunne leveres i et almindelig læsbart format og skal kunne fremsendes til den registrerede via Digital Post, sikker e-mail og fjernprint.</t>
  </si>
  <si>
    <t>Verify: GDPR – Ret til indsigt i egne personoplysninger — vurderet opfyldt (tool: 1. Fully met).</t>
  </si>
  <si>
    <t>docs/tender-reference/extracted/KK Tender tool.txt; docs/tender-reference/extracted/Nationalbanken/Bilag 3.i Leverandørens Løsningsbeskrivelse.txt; docs/tender-reference/extracted/Nationalbanken/Underbilag 6B - Testplan og Leverandørens prøveprincipper, metoder og -værktøjer (1).txt</t>
  </si>
  <si>
    <t>MK-5</t>
  </si>
  <si>
    <t>Anmodninger fra registrerede</t>
  </si>
  <si>
    <t>ESDH-løsningen skal understøtte håndtering af indsigts-, slette- og berigtigelsesanmodninger fra de registrerede i Løsningen.</t>
  </si>
  <si>
    <t>Verify: Anmodninger fra registrerede — vurderet opfyldt (tool: 1. Fully met).</t>
  </si>
  <si>
    <t>docs/tender-reference/extracted/Nationalbanken/Bilag 3.i Leverandørens Løsningsbeskrivelse.txt; docs/tender-reference/extracted/KK Tender tool.txt; docs/tender-reference/extracted/Nationalbanken/Bilag 1.i Leverandørens Løsningsbeskrivelse.txt</t>
  </si>
  <si>
    <t>MK-6</t>
  </si>
  <si>
    <t>Håndtering af sletteregler</t>
  </si>
  <si>
    <t>ESDH-løsningen skal understøtte håndtering af sletteregler, herunder bevaringskoder, for både midlertidig og permanent sletning. ESDH-løsningen skal understøtte, at sletning alene kan foretages af Brugere med de nødvendige rettigheder, herunder at rettigheder til permanent sletning og midlertidig sletning kan adskilles. Sletteregler skal kunne anvendes på alle Entiteter i Løsningen.</t>
  </si>
  <si>
    <t>Morten</t>
  </si>
  <si>
    <t>3. Not able to meet</t>
  </si>
  <si>
    <t>ADN: "Sletteregler for alle entiteter", kan vi sige at vi har det på kontakter?</t>
  </si>
  <si>
    <t>Yes</t>
  </si>
  <si>
    <t>Not Started</t>
  </si>
  <si>
    <t>Cursor / tender-response</t>
  </si>
  <si>
    <t>Partial</t>
  </si>
  <si>
    <t>Verified (sag/dokument/fil); Lead (alle Entiteter)</t>
  </si>
  <si>
    <t>Sletteregler og bevaringskoder for sag, dokument og fil; midlertidig vs. permanent sletning med adskilte rettigheder (disposal/purge, skjul permanent sletning for sagsbehandlere). Jf. MK-7 og MK-117.</t>
  </si>
  <si>
    <t>«Alle Entiteter» er uafklaret: kontakter har sletning (MK-62) men ikke samme sletteregel-model; øvrige entitetstyper ikke dokumenteret. Tool-rating stadig 3. Not able to meet — afstem internt før opdatering af kolonne O.</t>
  </si>
  <si>
    <t>HSØ Bilag 2 kassasjon; Ratatoskr Retention (Disposal), Disposal, Purge, File; MK-7, MK-117, MK-14; MK-62 (ikke dækning for MK-6)</t>
  </si>
  <si>
    <t>Q&amp;A: præcisér hvad Ordregiver mener med «alle Entiteter». Koordinér med Anton (MK-7/MK-117/MK-14). Opdatér ikke kolonne O før review.</t>
  </si>
  <si>
    <t>uim-mk6-2026-07-07</t>
  </si>
  <si>
    <t>MK-7</t>
  </si>
  <si>
    <t>Opsætning af slettepolitikker</t>
  </si>
  <si>
    <t>ESDH-løsningen skal understøtte, at Kunden selv uden Leverdørens involvering kan konfigurere slettepolitikker i Løsningens administrationsmodul.</t>
  </si>
  <si>
    <t>Verify: Opsætning af slettepolitikker — vurderet opfyldt (tool: 1. Fully met).</t>
  </si>
  <si>
    <t>docs/tender-reference/extracted/KUM-SLKS/Bilag 3 - Kravspecifikation.txt; docs/tender-reference/extracted/Nationalbanken/Bilag 3.i Leverandørens Løsningsbeskrivelse.txt; docs/tender-reference/extracted/KUM-SLKS/Bilag 1 - Tidsplan.txt</t>
  </si>
  <si>
    <t>MK-8</t>
  </si>
  <si>
    <t>Klassifikationskoder</t>
  </si>
  <si>
    <t>ESDH-løsningen skal understøtte, at klassifikationskoder kan oprettes af Administrator, hvortil Kunden valgfrit kan bestemme hvilke klassifikationskoder Løsningen skal indeholde.</t>
  </si>
  <si>
    <t>Verify: Klassifikationskoder — vurderet opfyldt (tool: 1. Fully met).</t>
  </si>
  <si>
    <t>docs/tender-reference/extracted/Nationalbanken/Bilag 3.i Leverandørens Løsningsbeskrivelse.txt; docs/tender-reference/extracted/KK Tender tool.txt; docs/tender-reference/extracted/KUM-SLKS/Bilag 3 - Kravspecifikation.txt</t>
  </si>
  <si>
    <t>MK-9</t>
  </si>
  <si>
    <t>Deling af Entiteter</t>
  </si>
  <si>
    <t>ESDH-løsningen skal understøtte, at Entiteter kan deles mellem Brugere, såfremt adgangene tillader dette.</t>
  </si>
  <si>
    <t>Verify: Deling af Entiteter — vurderet opfyldt (tool: 1. Fully met).</t>
  </si>
  <si>
    <t>MK-10</t>
  </si>
  <si>
    <t>Journalplan</t>
  </si>
  <si>
    <t>ESDH-løsningen skal understøtte en klassisk journalplan eller facetteret journalplan i minimum tre niveauer og emneordsfelter.</t>
  </si>
  <si>
    <t>Verify: Journalplan — vurderet opfyldt (tool: 1. Fully met).</t>
  </si>
  <si>
    <t>docs/tender-reference/extracted/KK Tender tool.txt; docs/tender-reference/extracted/Nationalbanken/Bilag 3.i Leverandørens Løsningsbeskrivelse.txt; docs/tender-reference/extracted/KUM-SLKS/Bilag 1 - Tidsplan.txt</t>
  </si>
  <si>
    <t>MK-11</t>
  </si>
  <si>
    <t>Oprettelse af brevskabeloner</t>
  </si>
  <si>
    <t>ESDH-løsningen skal understøtte oprettelse af breve baseret på Kundens brevskabeloner i Dynamic Template.</t>
  </si>
  <si>
    <t>Template Connect</t>
  </si>
  <si>
    <t>Verify: Oprettelse af brevskabeloner — vurderet opfyldt (tool: 1. Fully met).</t>
  </si>
  <si>
    <t>docs/tender-reference/extracted/KK Tender tool.txt; docs/tender-reference/extracted/Nationalbanken/Bilag 3.i Leverandørens Løsningsbeskrivelse.txt; docs/tender-reference/extracted/HSØ/02.00-Tietoevry-SSA-L-Bilag 2-Leverandørens beskrivelse av Tjenesten.txt</t>
  </si>
  <si>
    <t>K-1</t>
  </si>
  <si>
    <t>Fejlmeddelelser med handlingsanvisninger</t>
  </si>
  <si>
    <t>ESDH-løsningen skal understøtte, at fejlmeddelelser i ESDH-løsningen inkluderer handlingsanvisning.</t>
  </si>
  <si>
    <t>Krav</t>
  </si>
  <si>
    <t>Torben</t>
  </si>
  <si>
    <t>ADN: We tend to say yes to this requirement - but it comes with a risc, especially if customer uses same External partner in the implementation project</t>
  </si>
  <si>
    <t>Lead</t>
  </si>
  <si>
    <t>Check: Fejlmeddelelser med handlingsanvisninger — vurderet opfyldt (tool: 1. Fully met).</t>
  </si>
  <si>
    <t>Torben: Confirm verify-tekst; opdatér review status efter tjek.</t>
  </si>
  <si>
    <t>MK-12</t>
  </si>
  <si>
    <t>Sager</t>
  </si>
  <si>
    <t>Oprettelse af 
Sager</t>
  </si>
  <si>
    <t>ESDH-løsningen skal understøtte oprettelse og registrering af sager.</t>
  </si>
  <si>
    <t>Verify: Oprettelse af 
Sager — vurderet opfyldt (tool: 1. Fully met).</t>
  </si>
  <si>
    <t>docs/tender-reference/extracted/KK Tender tool.txt; docs/tender-reference/extracted/KUM-SLKS/Bilag 3 - 11.8 - Kravspecifikation - Processtyring (1).txt; docs/tender-reference/extracted/KUM-SLKS/Bilag 3 - Kravspecifikation.txt</t>
  </si>
  <si>
    <t>MK-13</t>
  </si>
  <si>
    <t>Ændring af sager</t>
  </si>
  <si>
    <t>ESDH-løsningen skal understøtte ændring af sagens metadata.</t>
  </si>
  <si>
    <t>Verify: Ændring af sager — vurderet opfyldt (tool: 1. Fully met).</t>
  </si>
  <si>
    <t>docs/tender-reference/extracted/KK Tender tool.txt; docs/tender-reference/extracted/KUM-SLKS/Bilag 3 - Kravspecifikation.txt; docs/tender-reference/extracted/Nationalbanken/Bilag 3.i Leverandørens Løsningsbeskrivelse.txt</t>
  </si>
  <si>
    <t>MK-14</t>
  </si>
  <si>
    <t>Sletning af sager</t>
  </si>
  <si>
    <t>ESDH-løsningen skal understøtte både midlertidig og permanent sletning af sager.</t>
  </si>
  <si>
    <t>Verify: Sletning af sager — vurderet opfyldt (tool: 1. Fully met).</t>
  </si>
  <si>
    <t>MK-15</t>
  </si>
  <si>
    <t>Status</t>
  </si>
  <si>
    <t>ESDH-løsningen skal understøtte arbejdet med statusser på en sag, f.eks. 'Passiv', 'Under behandling' og 'Lukket' / 'Afsluttet'. ESDH-løsningen skal understøtte, at Kunden selv kan oprette og vedligeholde statuskoder.</t>
  </si>
  <si>
    <t>Verify: Status — vurderet opfyldt (tool: 1. Fully met).</t>
  </si>
  <si>
    <t>MK-16</t>
  </si>
  <si>
    <t>Sagsnummer</t>
  </si>
  <si>
    <t>ESDH-løsningen skal understøtte, at hver sag tildeles et unikt sagsnummer automatisk ved oprettelse.</t>
  </si>
  <si>
    <t>Verify: Sagsnummer — vurderet opfyldt (tool: 1. Fully met).</t>
  </si>
  <si>
    <t>MK-17</t>
  </si>
  <si>
    <t>Ændring af sagstyper</t>
  </si>
  <si>
    <t>ESDH-løsningen skal understøtte, at en Bruger kan ændre sagstype på sager.</t>
  </si>
  <si>
    <t>Verify: Ændring af sagstyper — vurderet opfyldt (tool: 1. Fully met).</t>
  </si>
  <si>
    <t>MK-18</t>
  </si>
  <si>
    <t>Sagens frister</t>
  </si>
  <si>
    <t>ESDH-løsningen skal understøtte, at der kan indsættes, rettes og fjernes frister på alle sagstyper. Fristen skal som minimum bestå af en fristtype, fristdato og fristansvarlig.</t>
  </si>
  <si>
    <t>ADN:Configure field called "Fristtype"</t>
  </si>
  <si>
    <t>Verify: Sagens frister — vurderet opfyldt (tool: 1. Fully met).</t>
  </si>
  <si>
    <t>docs/tender-reference/extracted/Nationalbanken/Bilag 3.i Leverandørens Løsningsbeskrivelse.txt; docs/tender-reference/extracted/KUM-SLKS/Bilag 3 - Kravspecifikation.txt; docs/tender-reference/extracted/KK Tender tool.txt</t>
  </si>
  <si>
    <t>MK-19</t>
  </si>
  <si>
    <t>Afdelingsspecifikke frister</t>
  </si>
  <si>
    <t>ESDH-løsningen skal understøtte, at Brugere kan indsætte, rette og fjerne én eller flere afdelingsspecifikke frister på sager.</t>
  </si>
  <si>
    <t>Verify: Afdelingsspecifikke frister — vurderet opfyldt (tool: 1. Fully met).</t>
  </si>
  <si>
    <t>docs/tender-reference/extracted/KUM-SLKS/Bilag 3 - Kravspecifikation.txt; docs/tender-reference/extracted/Nationalbanken/Bilag 3.i Leverandørens Løsningsbeskrivelse.txt; docs/tender-reference/extracted/KK Tender tool.txt</t>
  </si>
  <si>
    <t>MK-20</t>
  </si>
  <si>
    <t>Samlesager</t>
  </si>
  <si>
    <t>ESDH-løsningen skal understøtte oprettelse af samlesager. Det skal være muligt for Brugeren at tilknytte enkle sager til samlesager.</t>
  </si>
  <si>
    <t>Verify: Samlesager — vurderet opfyldt (tool: 1. Fully met).</t>
  </si>
  <si>
    <t>docs/tender-reference/extracted/Nationalbanken/Bilag 3.i Leverandørens Løsningsbeskrivelse.txt; docs/tender-reference/extracted/KK Tender tool.txt; docs/tender-reference/extracted/KUM-SLKS/Bilag 3 - 11.8 - Kravspecifikation - Processtyring (1).txt</t>
  </si>
  <si>
    <t>MK-21</t>
  </si>
  <si>
    <t>Oprettelse af hierarkisk samling</t>
  </si>
  <si>
    <t>ESDH-løsningen skal understøtte oprettelsesfunktion til organisering og hierarkisk visning af samling af relaterede sager.</t>
  </si>
  <si>
    <t>Eva</t>
  </si>
  <si>
    <t>ADN: Im unsure what they mean with this requirement.  - is this "Træstrukturen"?</t>
  </si>
  <si>
    <t>Verify: Oprettelse af hierarkisk samling — vurderet opfyldt (tool: 1. Fully met).</t>
  </si>
  <si>
    <t>Eva: Confirm verify-tekst; opdatér review status efter tjek.</t>
  </si>
  <si>
    <t>MK-22</t>
  </si>
  <si>
    <t>Referencer</t>
  </si>
  <si>
    <t>ESDH-løsningen skal understøtte oprettelse af referencer mellem sager ved at etablere links mellem sager. Det skal fremgå tydeligt af den enkelte sag, at den er relateret til en anden.</t>
  </si>
  <si>
    <t>Verify: Referencer — vurderet opfyldt (tool: 1. Fully met).</t>
  </si>
  <si>
    <t>docs/tender-reference/extracted/KK Tender tool.txt; docs/tender-reference/extracted/Nationalbanken/Bilag 3.i Leverandørens Løsningsbeskrivelse.txt; docs/tender-reference/extracted/KUM-SLKS/Bilag 3 - Kravspecifikation.txt</t>
  </si>
  <si>
    <t>MK-23</t>
  </si>
  <si>
    <t>Fremvisning af parter</t>
  </si>
  <si>
    <t>ESDH-løsningen skal understøtte, at sagens parter kan vises enten i sagens overbliksbillede eller i en dedikeret fane.</t>
  </si>
  <si>
    <t>Verify: Fremvisning af parter — vurderet opfyldt (tool: 1. Fully met).</t>
  </si>
  <si>
    <t>MK-24</t>
  </si>
  <si>
    <t>Partsrolle</t>
  </si>
  <si>
    <t>ESDH-løsningen skal understøtte, at en kontakt kan tilknyttes til en sag og at kontakten kan have en konkret partsrolle på sagen.</t>
  </si>
  <si>
    <t>Verify: Partsrolle — vurderet opfyldt (tool: 1. Fully met).</t>
  </si>
  <si>
    <t>docs/tender-reference/extracted/KUM-SLKS/Bilag 3 - Kravspecifikation.txt; docs/tender-reference/extracted/Nationalbanken/Bilag 3.i Leverandørens Løsningsbeskrivelse.txt; docs/product/RFP_Leverandørens_svar_utdrag.txt</t>
  </si>
  <si>
    <t>MK-25</t>
  </si>
  <si>
    <t>Intern overdragelse af sagsansvar</t>
  </si>
  <si>
    <t>ESDH-løsningen skal understøtte, at en sag kan overdrages/flyttes til en anden sagsbehandler eller et andet team i organisationen.</t>
  </si>
  <si>
    <t>Verify: Intern overdragelse af sagsansvar — vurderet opfyldt (tool: 1. Fully met).</t>
  </si>
  <si>
    <t>docs/tender-reference/extracted/KUM-SLKS/Bilag 3 - Kravspecifikation.txt; docs/product/RFP_Leverandørens_svar_utdrag.txt; docs/tender-reference/extracted/KK Tender tool.txt</t>
  </si>
  <si>
    <t>MK-26</t>
  </si>
  <si>
    <t>Genåbning og opdatering af lukkede sager</t>
  </si>
  <si>
    <t>ESDH-løsningen skal understøtte, at en formelt afsluttet og lukket sag kan genåbnes af en Bruger, hvis der er behov for at opdatere sagsdata. Sager afleveret til Rigsarkivet skal være undtaget, og skal ikke kunne genåbnes efter aflevering.</t>
  </si>
  <si>
    <t>ADN: Configure historic cases with closed Matrix</t>
  </si>
  <si>
    <t>Verify: Genåbning og opdatering af lukkede sager — vurderet opfyldt (tool: 1. Fully met).</t>
  </si>
  <si>
    <t>MK-27</t>
  </si>
  <si>
    <t>Sagskopi</t>
  </si>
  <si>
    <t>ESDH-løsningen skal understøtte oprettelse af en sagskopi, hvor den oprindelige sags metadata overføres til sagskopien. I forbindelse med oprettelse af sagskopien skal Brugeren valgfrit kunne vælge om sagens parter, Dokumenter og øvrigt metadata skal overføres til sagskopien. Metadata på begge sager skal kunne redigeres efterfølgende.</t>
  </si>
  <si>
    <t>ADN: copy documents is part of eDoc merger, so Yes</t>
  </si>
  <si>
    <t>Verify: Sagskopi — vurderet opfyldt (tool: 1. Fully met).</t>
  </si>
  <si>
    <t>MK-28</t>
  </si>
  <si>
    <t>Noter</t>
  </si>
  <si>
    <t>ESDH-løsningen skal understøtte, at der kan oprettes noter på sager. Oplysninger om sagsbehandler, dato og klokkeslæt skal fremgå af noten. Alle Brugere med adgang til sagen skal kunne se agere på noten i sagsbehandlingen.</t>
  </si>
  <si>
    <t>Verify: Noter — vurderet opfyldt (tool: 1. Fully met).</t>
  </si>
  <si>
    <t>MK-29</t>
  </si>
  <si>
    <t>Journalisering</t>
  </si>
  <si>
    <t>ESDH-løsningen skal understøtte, at Brugere manuelt kan journalisere og gemme Dokumenter, korrespondancer samt interne og eksterne beskeder på sager.</t>
  </si>
  <si>
    <t>Verify: Journalisering — vurderet opfyldt (tool: 1. Fully met).</t>
  </si>
  <si>
    <t>MK-30</t>
  </si>
  <si>
    <t>Præsentation af hierarkiske samlinger</t>
  </si>
  <si>
    <t>ESDH-løsningen skal understøtte visning af hierarkiske samlinger af relaterede sager fra søgningslister og visningslister.</t>
  </si>
  <si>
    <t>ADN: Det er kludret formuleret - men jeg tolker det til, at de fra en søgning på et projekt, skal kunne se relaterede sager i resultatlisterne.. Det  er udfordrende</t>
  </si>
  <si>
    <t>Cursor / tender-response (MCP-enriched)</t>
  </si>
  <si>
    <t>Not met</t>
  </si>
  <si>
    <t>Verify: Præsentation af hierarkiske samlinger — gap ift. kravtekst; eskalér commitment eller afklaring.</t>
  </si>
  <si>
    <t>ADN: Det er kludret formuleret - men jeg tolker det til, at de fra en søgning på et projekt, skal kunne se relaterede sager i resultatlisterne.. Det  er udfordrende | Red flag: Det er kludret formuleret - men jeg tolker det til, at de fra en søgning på et projekt, skal kunne se relaterede sager i resultatlisterne.. Det  er udfordrende</t>
  </si>
  <si>
    <t>Wiki: EArchive 360°; Setup of Continuous Transfer</t>
  </si>
  <si>
    <t>Eva: Commitment/no-bid beslutning; overvej Q&amp;A til ordregiver.</t>
  </si>
  <si>
    <t>MK-31</t>
  </si>
  <si>
    <t>Antal frister</t>
  </si>
  <si>
    <t>ESDH-løsningen skal understøtte, at en sag kan have flere frister tilknyttet. Fristerne skal vises på en logisk og overskuelig måde i brugergrænsefladen, så Brugeren nemt kan se fristtype, status og tidspunkt for kommende frister.</t>
  </si>
  <si>
    <t>Verify: Antal frister — vurderet opfyldt (tool: 1. Fully met).</t>
  </si>
  <si>
    <t>MK-32</t>
  </si>
  <si>
    <t>Noter – Journalisering på sag</t>
  </si>
  <si>
    <t>ESDH-løsningen skal understøtte, at noter kan konverteres til et Dokument med en tilhørende Fil, som kan journaliseres på den tilknyttede sag.</t>
  </si>
  <si>
    <t>ADN: Configure Case Note summary functionality</t>
  </si>
  <si>
    <t>Verify: Noter – Journalisering på sag — vurderet opfyldt (tool: 1. Fully met).</t>
  </si>
  <si>
    <t>MK-33</t>
  </si>
  <si>
    <t>Dokumenter</t>
  </si>
  <si>
    <t>Behandling af Dokumenter</t>
  </si>
  <si>
    <t>ESDH-løsningen skal understøtte grundlæggende dokumenthåndtering, herunder oprettelse, redigering, versionsstyring og tilknytning af relevante metadata.</t>
  </si>
  <si>
    <t>Verify: Behandling af Dokumenter — vurderet opfyldt (tool: 1. Fully met).</t>
  </si>
  <si>
    <t>MK-34</t>
  </si>
  <si>
    <t>Oprettelse af felter</t>
  </si>
  <si>
    <t>ESDH-løsningen skal understøtte, at felter kan oprettes og relateres til Dokumenter af Kunden.</t>
  </si>
  <si>
    <t>Verify: Oprettelse af felter — vurderet opfyldt (tool: 1. Fully met).</t>
  </si>
  <si>
    <t>docs/tender-reference/extracted/KUM-SLKS/Bilag 3 - Kravspecifikation.txt; docs/tender-reference/extracted/KK Tender tool.txt; docs/tender-reference/extracted/KUM-SLKS/Bilag 3 - 11.8 - Kravspecifikation - Processtyring (1).txt</t>
  </si>
  <si>
    <t>MK-35</t>
  </si>
  <si>
    <t>Unikt ID</t>
  </si>
  <si>
    <t>ESDH-løsningen skal understøtte, at alle Dokumenter, Filer, Hoveddokumenter og Bilag har hver deres unikke ID, som skal være synligt i brugergrænsefladen.</t>
  </si>
  <si>
    <t>ADN: Hvornår er noget ”synligt i brugergrænsefladen”… vi har recno på filer, men de kræver ”vis egenskaber” for at være synlige.
Tjek definitionsbilag for ordet "brugergrænsefladen"
Maksimeret visning - ny visning</t>
  </si>
  <si>
    <t>Verify: Unikt ID — vurderet opfyldt (tool: 1. Fully met).</t>
  </si>
  <si>
    <t>ADN: Hvornår er noget ”synligt i brugergrænsefladen”… vi har recno på filer, men de kræver ”vis egenskaber” for at være synlige.
Tjek definitionsbilag for ordet "brugergrænsefladen"
Maksimeret visning - ny visning | Red flag: Hvornår er noget ”synligt i brugergrænsefladen”… vi har recno på filer, men de kræver ”vis egenskaber” for at være synlige.</t>
  </si>
  <si>
    <t>Wiki: 360° AutoSaver - Technical documentation; Process Engine - Manual</t>
  </si>
  <si>
    <t>MK-36</t>
  </si>
  <si>
    <t>Relation mellem 
sag og Dokument</t>
  </si>
  <si>
    <t>ESDH-løsningen skal understøtte en obligatorisk relation mellem sag og Dokument.</t>
  </si>
  <si>
    <t>Verify: Relation mellem 
sag og Dokument — vurderet opfyldt (tool: 1. Fully met).</t>
  </si>
  <si>
    <t>MK-37</t>
  </si>
  <si>
    <t>Bilag</t>
  </si>
  <si>
    <t>ESDH-løsningen skal understøtte, at et Hoveddokument kan have et eller flere Bilag.</t>
  </si>
  <si>
    <t>Verify: Bilag — vurderet opfyldt (tool: 1. Fully met).</t>
  </si>
  <si>
    <t>docs/product/RFP_Leverandørens_svar_utdrag.txt; docs/tender-reference/extracted/KUM-SLKS/Bilag 3 - Kravspecifikation.txt; docs/tender-reference/extracted/NND/02.01-Tieto-Bilag 2-Vedlegg-Leverandørens utfyllende svar til kravtabell.txt</t>
  </si>
  <si>
    <t>MK-38</t>
  </si>
  <si>
    <t>Valg af Hoveddokument og Bilag</t>
  </si>
  <si>
    <t>ESDH-løsningen skal understøtte, at Brugeren kan vælge, hvilken Fil der skal være Hoveddokument, og hvilke Filer der skal tilknyttes som Bilag.</t>
  </si>
  <si>
    <t>Verify: Valg af Hoveddokument og Bilag — vurderet opfyldt (tool: 1. Fully met).</t>
  </si>
  <si>
    <t>MK-39</t>
  </si>
  <si>
    <t>Dokumentets kontakter</t>
  </si>
  <si>
    <t>ESDH-løsningen skal understøtte, at et indgående eller udgående Dokument kan tilknyttes en kontakt som henholdsvis afsender eller modtager på Dokumentet.</t>
  </si>
  <si>
    <t>Verify: Dokumentets kontakter — vurderet opfyldt (tool: 1. Fully met).</t>
  </si>
  <si>
    <t>MK-40</t>
  </si>
  <si>
    <t>Versionsstyring</t>
  </si>
  <si>
    <t>ESDH-løsningen skal understøtte versionsstyring af Filer, så hver version af en Fil kan identificeres. Det skal som udgangspunkt kun være den seneste version, der kan åbnes i redigerbar tilstand.</t>
  </si>
  <si>
    <t>Verify: Versionsstyring — vurderet opfyldt (tool: 1. Fully met).</t>
  </si>
  <si>
    <t>MK-41</t>
  </si>
  <si>
    <t>Genskabelse af tidligere filversion</t>
  </si>
  <si>
    <t>ESDH-løsningen skal understøtte, at Brugere kan genskabe en tidligere version af en Fil, så den overskriver den nyeste version. Begge versioner skal bevares i versionshistorikken.</t>
  </si>
  <si>
    <t>Verify: Genskabelse af tidligere filversion — vurderet opfyldt (tool: 1. Fully met).</t>
  </si>
  <si>
    <t>MK-42</t>
  </si>
  <si>
    <t>Låsning af filversioner ved journalisering</t>
  </si>
  <si>
    <t>ESDH-løsningen skal understøtte, at et journaliseret Dokuments tidligere filversioner er tilgængelige i Løsningen.</t>
  </si>
  <si>
    <t>Verify: Låsning af filversioner ved journalisering — vurderet opfyldt (tool: 1. Fully met).</t>
  </si>
  <si>
    <t>MK-43</t>
  </si>
  <si>
    <t>Kopi af Dokument</t>
  </si>
  <si>
    <t>ESDH-løsningen skal understøtte, at der kan oprettes en kopi af et eksisterende Dokument. Dokumentets tilknyttede Filer, Bilag, metadata og tilknyttede parter skal overføres til det nye Dokument.</t>
  </si>
  <si>
    <t>Verify: Kopi af Dokument — vurderet opfyldt (tool: 1. Fully met).</t>
  </si>
  <si>
    <t>docs/tender-reference/extracted/Nationalbanken/Bilag 3.i Leverandørens Løsningsbeskrivelse.txt; docs/product/RFP_Leverandørens_svar_utdrag.txt; docs/tender-reference/extracted/HSØ/02.00-Tietoevry-SSA-L-Bilag 2-Leverandørens beskrivelse av Tjenesten.txt</t>
  </si>
  <si>
    <t>MK-44</t>
  </si>
  <si>
    <t>Omjournalisering af Dokumenter mellem sager</t>
  </si>
  <si>
    <t>ESDH-løsningen skal understøtte, at Dokumenter med tilknyttede Filer kan omjournaliseres fra én sag til en anden, og at det fremgår af den oprindelige sag, hvilken sag Dokumentet er omjournaliseret til.</t>
  </si>
  <si>
    <t>Verify: Omjournalisering af Dokumenter mellem sager — vurderet opfyldt (tool: 1. Fully met).</t>
  </si>
  <si>
    <t>MK-45</t>
  </si>
  <si>
    <t>Beskyttelse af journaliserede Dokumenter</t>
  </si>
  <si>
    <t>ESDH-løsningen skal understøtte, at journaliserede Dokumenter ikke kan slettes af Brugere uden rettigheder. De skal håndteres i overensstemmelse med Løsningens slette- og bevaringsregler.</t>
  </si>
  <si>
    <t>Verify: Beskyttelse af journaliserede Dokumenter — vurderet opfyldt (tool: 1. Fully met).</t>
  </si>
  <si>
    <t>MK-46</t>
  </si>
  <si>
    <t>ESDH-løsningen skal understøtte, at der kan oprettes noter på Dokumenter. Oplysninger om sagsbehandler, dato og klokkeslæt skal fremgå af noten. Alle Brugere med adgang til Dokumentet skal kunne se agere på noten i sagsbehandlingen.</t>
  </si>
  <si>
    <t>MK-47</t>
  </si>
  <si>
    <t>Dokumentets frister</t>
  </si>
  <si>
    <t>ESDH-løsningen skal understøtte, at der kan indsættes, rettes og fjernes frister på Dokumenter. Fristen skal som minimum bestå af en fristtype, fristdato og fristansvarlig.</t>
  </si>
  <si>
    <t>Verify: Dokumentets frister — vurderet opfyldt (tool: 1. Fully met).</t>
  </si>
  <si>
    <t>docs/tender-reference/extracted/Nationalbanken/Bilag 3.i Leverandørens Løsningsbeskrivelse.txt; docs/tender-reference/extracted/NND/02.01-Tieto-Bilag 2-Vedlegg-Leverandørens utfyllende svar til kravtabell.txt; docs/product/RFP_Leverandørens_svar_utdrag.txt</t>
  </si>
  <si>
    <t>MK-48</t>
  </si>
  <si>
    <t>ESDH-løsningen skal understøtte, at Brugere kan indsætte, rette og fjerne én eller flere afdelingsspecifikke frister på Dokumenter.</t>
  </si>
  <si>
    <t>MK-49</t>
  </si>
  <si>
    <t>Integreret viewer</t>
  </si>
  <si>
    <t>ESDH-løsningen skal understøtte en integreret dokumentviewer i brugergrænsefladen. Løsningen skal understøtte forhåndsvisning af Dokumenter fra sager, søgninger og listevisninger. ESDH-løsningen skal understøtte, at Brugeren får præsenteret Dokumentets tekst/indhold direkte i Løsningen.</t>
  </si>
  <si>
    <t>Fileviewer</t>
  </si>
  <si>
    <t>ADN: ”Direkte” er problematisk, hvis det forbyder os fra et nyt vindue.</t>
  </si>
  <si>
    <t>Verify: Integreret viewer — vurderet opfyldt (tool: 1. Fully met).</t>
  </si>
  <si>
    <t>ADN: ”Direkte” er problematisk, hvis det forbyder os fra et nyt vindue. | Red flag: ”Direkte” er problematisk, hvis det forbyder os fra et nyt vindue.</t>
  </si>
  <si>
    <t>Ratatoskr: 360° File Viewer (incl Prizm) (release); File (admin-en) | Wiki: Overview of PDF functionality in 360; 6.0 release information</t>
  </si>
  <si>
    <t>MK-50</t>
  </si>
  <si>
    <t>Navigation og scrolling i dokumentlister</t>
  </si>
  <si>
    <t>ESDH-løsningen skal understøtte, at Brugeren kan navigere og scrolle i dokument- og fillistevisninger, og at forhåndsvisningen automatisk opdateres og viser det Dokument/Fil, som Brugeren har navigeret til.</t>
  </si>
  <si>
    <t>Hans</t>
  </si>
  <si>
    <t>Verify: Navigation og scrolling i dokumentlister — gap ift. kravtekst; eskalér commitment eller afklaring.</t>
  </si>
  <si>
    <t>ADN Vores forhåndsvisning ”opdateres ikke automatisk”. Kræver aktivt klik på det dokument/fil der ønskes forhåndsvist.
"Navigeret til," kan det tolkes til at brugeren foretager et aktivt klik?
ADN: ask question | Red flag: Vores forhåndsvisning ”opdateres ikke automatisk”. Kræver aktivt klik på det dokument/fil der ønskes forhåndsvist.</t>
  </si>
  <si>
    <t>Wiki: 6.5 release information</t>
  </si>
  <si>
    <t>Hans: Commitment/no-bid beslutning; overvej Q&amp;A til ordregiver.</t>
  </si>
  <si>
    <t>MK-51</t>
  </si>
  <si>
    <t>Konvertering til PDF</t>
  </si>
  <si>
    <t>ESDH-løsningen skal understøtte, at alle Dokumenter automatisk kan blive konverteret til PDF-format, med undtagelse af medie- og eksekverbare filer.</t>
  </si>
  <si>
    <t>ADN: "Kan blive" kræver ikke at vi faktisk gør det</t>
  </si>
  <si>
    <t>Verify: Konvertering til PDF — vurderet opfyldt (tool: 1. Fully met).</t>
  </si>
  <si>
    <t>docs/tender-reference/extracted/KK Tender tool.txt; docs/tender-reference/extracted/Nationalbanken/Underbilag 6B - Testplan og Leverandørens prøveprincipper, metoder og -værktøjer (1).txt; docs/tender-reference/extracted/HSØ/02.00-Tietoevry-SSA-L-Bilag 2-Leverandørens beskrivelse av Tjenesten.txt</t>
  </si>
  <si>
    <t>MK-52</t>
  </si>
  <si>
    <t>Filtyper</t>
  </si>
  <si>
    <t>ESDH-løsningen skal understøtte, at alle filtyper må gemmes i ESDH-løsningen.</t>
  </si>
  <si>
    <t>Verify: Filtyper — vurderet opfyldt (tool: 1. Fully met).</t>
  </si>
  <si>
    <t>K-2</t>
  </si>
  <si>
    <t>Dokumenttilføjelse via træk-og-slip</t>
  </si>
  <si>
    <t>ESDH-løsningen skal understøtte, at Brugere kan trække og slippe Dokumenter direkte fra e-mailklienter og stifinder til relevante sager.</t>
  </si>
  <si>
    <t>Check: Dokumenttilføjelse via træk-og-slip — vurderet opfyldt (tool: 1. Fully met).</t>
  </si>
  <si>
    <t>K-3</t>
  </si>
  <si>
    <t>Liste over Dokumenter, der ikke kan PDF-konverteres</t>
  </si>
  <si>
    <t>ESDH-løsningen skal understøtte, at der i ESDH-løsningen kan præsenteres en standardliste over alle Dokumenter, hvor konverteringen til PDF-format er mislykket.</t>
  </si>
  <si>
    <t>Check: Liste over Dokumenter, der ikke kan PDF-konverteres — vurderet opfyldt (tool: 1. Fully met).</t>
  </si>
  <si>
    <t>docs/tender-reference/extracted/Nationalbanken/Underbilag 6B - Testplan og Leverandørens prøveprincipper, metoder og -værktøjer (1).txt; docs/tender-reference/extracted/KK Tender tool.txt; docs/tender-reference/extracted/NND/02.01-Tieto-Bilag 2-Vedlegg-Leverandørens utfyllende svar til kravtabell.txt</t>
  </si>
  <si>
    <t>MK-53</t>
  </si>
  <si>
    <t>Kontakter</t>
  </si>
  <si>
    <t>Oprettelse af kontakter</t>
  </si>
  <si>
    <t>ESDH-løsningen skal understøtte oprettelse af kontakter med metadata i et kontaktregister.</t>
  </si>
  <si>
    <t>Verify: Oprettelse af kontakter — vurderet opfyldt (tool: 1. Fully met).</t>
  </si>
  <si>
    <t>MK-54</t>
  </si>
  <si>
    <t>Kontakttyper</t>
  </si>
  <si>
    <t>ESDH-løsningen skal understøtte oprettelse af nye kontakttyper.</t>
  </si>
  <si>
    <t>ADN: In KUM - we said yes to this, with the idea that we configure a field on contacts called "Contact Type" to live up to this. Only thing with this approach, is we need to find a word for our enterprises, contact persons and private persons besides "Types" to sell this in a clarification phase. (We could call them contact-archives to align with document archive?)</t>
  </si>
  <si>
    <t>Verify: Kontakttyper — vurderet opfyldt (tool: 1. Fully met).</t>
  </si>
  <si>
    <t>MK-55</t>
  </si>
  <si>
    <t>Redigering af kontakter</t>
  </si>
  <si>
    <t>ESDH-løsningen skal understøtte redigering af metadata på kontakter, såfremt at Brugeren har rettighed hertil.</t>
  </si>
  <si>
    <t>Verify: Redigering af kontakter — vurderet opfyldt (tool: 1. Fully met).</t>
  </si>
  <si>
    <t>MK-56</t>
  </si>
  <si>
    <t>Automatisk dubletkontrol i kontakt-registeret</t>
  </si>
  <si>
    <t>ESDH-løsningen skal understøtte, at en Bruger ikke kan oprette en kontakt, hvis kontaktens unikke ID allerede findes i kontaktregisteret.</t>
  </si>
  <si>
    <t>2. Partly met</t>
  </si>
  <si>
    <t>ADN: Vi advarer, men vi forbyder ikke. CPR/CVR er ikke så unikt at det ikke kan duplikeres.
ADN: Enten med udvidet duplikat-kontrol eller BRE der forbyder det.</t>
  </si>
  <si>
    <t>Verify: Automatisk dubletkontrol i kontakt-registeret — delvist opfyldt; afklar scope og scoring.</t>
  </si>
  <si>
    <t>ADN: Vi advarer, men vi forbyder ikke. CPR/CVR er ikke så unikt at det ikke kan duplikeres.
ADN: Enten med udvidet duplikat-kontrol eller BRE der forbyder det. | Red flag: Vi advarer, men vi forbyder ikke. CPR/CVR er ikke så unikt at det ikke kan duplikeres.</t>
  </si>
  <si>
    <t>Wiki: 360° Contact register cleaning tools; 360° Integration with Enhetsregisteret (BRREG)</t>
  </si>
  <si>
    <t>Morten: Afklar delkrav; align tool-rating (O) med AI compliance.</t>
  </si>
  <si>
    <t>MK-57</t>
  </si>
  <si>
    <t>Fremsøgning</t>
  </si>
  <si>
    <t>ESDH-løsningen skal understøtte, at kontakter kan fremsøges via relevante metadata.</t>
  </si>
  <si>
    <t>Verify: Fremsøgning — vurderet opfyldt (tool: 1. Fully met).</t>
  </si>
  <si>
    <t>docs/tender-reference/extracted/Nationalbanken/Bilag 3.i Leverandørens Løsningsbeskrivelse.txt; docs/tender-reference/extracted/KUM-SLKS/Bilag 3 - Kravspecifikation.txt; docs/product/RFP_Leverandørens_svar_utdrag.txt</t>
  </si>
  <si>
    <t>MK-58</t>
  </si>
  <si>
    <t>Tilknytning af kontakt på sag</t>
  </si>
  <si>
    <t>ESDH-løsningen skal understøtte, at en Bruger kan oprette en ny kontakt eller søge efter en eksisterende kontakt med henblik på at tilknytte kontakten til alle Entiteter i Løsningen, herunder sager, Dokumenter og Kundeoprettede Entiteter.</t>
  </si>
  <si>
    <t>Verify: Tilknytning af kontakt på sag — vurderet opfyldt (tool: 1. Fully met).</t>
  </si>
  <si>
    <t>MK-59</t>
  </si>
  <si>
    <t>Automatisk opdatering</t>
  </si>
  <si>
    <t>ESDH-løsningen skal understøtte, at kontakter automatisk kan opdateres via f.eks. integration til CPR, CVR eller lignende register på relevante metadata.  Det skal ske som automatiske batch-kørsler, der med faste intervaller sikrer, at eksisterende metadata i systemet altid er ajourførte.</t>
  </si>
  <si>
    <t>Verify: Automatisk opdatering — vurderet opfyldt (tool: 1. Fully met).</t>
  </si>
  <si>
    <t>MK-60</t>
  </si>
  <si>
    <t>Oprettelse og import af kontakt-oplysninger fra CPR</t>
  </si>
  <si>
    <t>ESDH-løsningen skal understøtte, at Brugeren kan foretage onlineopslag på et specifikt CPR-nr. via ESDH-løsningen og importere dennes stamdata til ESDH-løsningen. Personen skal oprettes eller opdateres i Løsningens kontaktregister.</t>
  </si>
  <si>
    <t>CPR</t>
  </si>
  <si>
    <t>Verify: Oprettelse og import af kontakt-oplysninger fra CPR — vurderet opfyldt (tool: 1. Fully met).</t>
  </si>
  <si>
    <t>MK-61</t>
  </si>
  <si>
    <t>Oprettelse og import af kontaktoplysninger fra CVR</t>
  </si>
  <si>
    <t>ESDH-løsningen skal understøtte, at Brugeren kan foretage onlineopslag på et specifikt CVR-nr. via ESDH-løsningen og importere virksomhedens stamdata til ESDH-løsningen. Virksomheden skal oprettes eller opdateres i Løsningens kontaktregister.</t>
  </si>
  <si>
    <t>CVR</t>
  </si>
  <si>
    <t>Verify: Oprettelse og import af kontaktoplysninger fra CVR — vurderet opfyldt (tool: 1. Fully met).</t>
  </si>
  <si>
    <t>MK-62</t>
  </si>
  <si>
    <t>Sletning af kontakter</t>
  </si>
  <si>
    <t>ESDH-løsningen skal understøtte sletning af kontakter. Den udførende Bruger skal adviseres, hvis kontakten er tilknyttet sager, Dokumenter eller har reference til anden kontakt.</t>
  </si>
  <si>
    <t>Verify: Sletning af kontakter — vurderet opfyldt (tool: 1. Fully met).</t>
  </si>
  <si>
    <t>docs/tender-reference/extracted/Nationalbanken/Bilag 3.i Leverandørens Løsningsbeskrivelse.txt; docs/tender-reference/extracted/KK Tender tool.txt; docs/product/RFP_Leverandørens_svar_utdrag.txt</t>
  </si>
  <si>
    <t>MK-63</t>
  </si>
  <si>
    <t>Deaktivering af kontakter</t>
  </si>
  <si>
    <t>ESDH-løsningen skal understøtte, at en kontakt kan deaktiveres samt, at deaktiveret kontakt ikke kan tilknyttes Entiteter.</t>
  </si>
  <si>
    <t>Verify: Deaktivering af kontakter — vurderet opfyldt (tool: 1. Fully met).</t>
  </si>
  <si>
    <t>docs/product/RFP_Leverandørens_svar_utdrag.txt; docs/tender-reference/extracted/HSØ/02.00-Tietoevry-SSA-L-Bilag 2-Leverandørens beskrivelse av Tjenesten.txt; docs/tender-reference/extracted/NND/02.01-Tieto-Bilag 2-Vedlegg-Leverandørens utfyllende svar til kravtabell.txt</t>
  </si>
  <si>
    <t>MK-64</t>
  </si>
  <si>
    <t>Deaktiverede kontakter</t>
  </si>
  <si>
    <t>ESDH-løsningen skal understøtte, at deaktiverede kontakter kan fremsøges i Løsningen.</t>
  </si>
  <si>
    <t>Verify: Deaktiverede kontakter — vurderet opfyldt (tool: 1. Fully met).</t>
  </si>
  <si>
    <t>EK-1</t>
  </si>
  <si>
    <t>Udlændinge-overblik</t>
  </si>
  <si>
    <t>Kunden har behov for at udstille en udlændinges stamdata i Løsningen. Kunden betragter en udlænding som en kontakttype, som kan tilknyttes til Entiteter i Løsningen. 
ESDH-løsningen skal understøtte, at Administrator kan konfigurere en Udlændingekontakt via no code administratormodul, der sikrer et fuldt overblik over Udlændingekontakten. Administratoren skal dertil kunne opsætte og konfigurere udlændingeoverblikket i brugergrænsefladen. 
Overblikket over udlændingen skal indeholde følgende:
Sager, hvor udlændingen indgår som part samt hvilken rolle udlændingen har på sagen
Afgørelser, som er tilknyttet udlændingen med følgende metadata: 
Sagsnr. 
Afgørelsesdato
Afgørelsestype
Sagsområde f.eks. familiesammenføring
Ansvarligt team
Ansvarlig sagsbehandler
Stamdata på udlændingen herunder: 
Cpr.nr. 
Udlændinge nr. 
Fornavn og efternavn
Adresse, postnr. og by
Telefon og e-mailadresse
Nationalitet
Køn
Familierelationer (f.eks. barn, forældre, værge)
Datoer for ind- og udrejse til/fra Danmark
Rejsedokumenter (f.eks. pas og nationalt ID-kort)
Dokumenter som udlændingen er tilknyttet, samt hvilken partsrolle udlændingen har på Dokumentet
Sager i anden Myndighed herunder: 
Sagsnr. 
Sagsområde f.eks. asyl
Ansvarligt team
Ansvarlig sagsbehandler
Afgørelser i anden Myndighed herunder: 
Sagsnr. 
Afgørelsesdato
Afgørelsestype
Sagsområde f.eks. familiesammenføring
Ansvarligt team
Ansvarlig sagsbehandler
Leverandøren skal beskrive, hvordan den tilbudte ESDH-løsning understøtter, at Administrator kan konfigurere en Udlændingekontakt via no code administratormodul.
Leverandøren skal gennem konkrete skærmbilleder demonstrere om og hvordan ESDH-løsningen understøtter de stillede krav og møder Kundens behov.
Leverandøren skal redegøre for: 
Hvordan ESDH-løsningen understøtter et udlændingeoverblik
Hvordan Brugeren kan navigere i oplysningerne på udlændingeoverblikket
Hvordan Administratoren kan oprette og vedligeholde udlændingeoverblikket
Evalueringskriterier:
Det vægtes positivt, i hvor høj grad Brugeren på en let og intuitiv måde kan navigere i udlændingeoverblikkets data.
Det vægtes positivt, i hvor høj grad Administrator kan oprette og vedligeholde udlændingeoverblikket via et administratormodul uden involvering af Leverandør. 
Det vægtes positivt, i hvor høj grad udlændingeoverblikket indeholder et samlet overblik over udlændingens sager og Afgørelser i egen Myndighed samt overblik over sager og Afgørelser i øvrige Myndigheders sager.
Det vægtes positivt, i hvor høj grad Dokumenter udstilles på en let og overskuelig måde på udlændingeoverblikket f.eks. via filtrering.
Det vægtes positivt, i hvor høj grad der på udlændingeoverblikket kan noteres flere oplysninger af samme type f.eks. datoer for ind- og udrejse. 
Det vægtes positivt, i hvor høj grad udlændingeoverblikket opdateres i realtid, når der f.eks. tilføjes nye sager og Afgørelser eller stamdata opdateres i eksterne registre. 
Det vægtes positivt, i hvor høj grad felter på udlændingeoverblikket kan gøres skrivebeskyttet, så opdatering af felter kun kan ske via eksterne registre.</t>
  </si>
  <si>
    <t>Evalueringskrav</t>
  </si>
  <si>
    <t>Claus</t>
  </si>
  <si>
    <t>Draft needed</t>
  </si>
  <si>
    <t>Answer: Udlændinge-overblik — informationskrav; udkast bilag/dokumentation mangler.</t>
  </si>
  <si>
    <t>Mangler link til svar-bilag i kolonne T.</t>
  </si>
  <si>
    <t>No help or wiki match for foreigner contact overview (udlændingeoverblik)</t>
  </si>
  <si>
    <t>Claus: Opret/link svar-bilag; draft IK-tekst fra prior art.</t>
  </si>
  <si>
    <t>MK-65</t>
  </si>
  <si>
    <t>Søgning</t>
  </si>
  <si>
    <t>ESDH-løsningen skal understøtte, at der kan søges i alle standard- og Kundeoprettede felter.</t>
  </si>
  <si>
    <t>ADN: Search "in all fields" comes with a risc, especially if any external consultant is still involved from the customer side.
CHM: Reporting API understøtter søgning i alle felter. Hvis søgningen skal foregå "inde i løsningen", så skal vi have et commitment fra Products. Identisk med MK-66.</t>
  </si>
  <si>
    <t>Started</t>
  </si>
  <si>
    <t>Verify: Søgning — vurderet opfyldt (tool: 1. Fully met).</t>
  </si>
  <si>
    <t>ADN: Search "in all fields" comes with a risc, especially if any external consultant is still involved from the customer side.</t>
  </si>
  <si>
    <t>Claus: Confirm verify-tekst; opdatér review status efter tjek.</t>
  </si>
  <si>
    <t>MK-66</t>
  </si>
  <si>
    <t>Søgning på flere felter på samme tid</t>
  </si>
  <si>
    <t>ESDH-løsningen skal understøtte, at der kan søges på alle standard- og Kundeoprettede felter på samme tid i ESDH-løsningen.</t>
  </si>
  <si>
    <t>Management Reporting API</t>
  </si>
  <si>
    <t>ADN: Det her krav er formuleret uden logiske begræsninger mellem entiteter, hvilke tikke giver mening. Det kan vi ikke understøtte.
Does this require you should be able to search for all case and document, and contact-related fields, in 1 joint search??
CHM: Requirement doesnt say where it should be performed. Could it be solved by management reporting api?
Querry builder might also be a way to look - but we havent decided on a specific solution yet.</t>
  </si>
  <si>
    <t>Verify: Søgning på flere felter på samme tid — delvist opfyldt; afklar scope og scoring.</t>
  </si>
  <si>
    <t>ADN: Det her krav er formuleret uden logiske begræsninger mellem entiteter, hvilke tikke giver mening. Det kan vi ikke understøtte.
Does this require you should be able to search for all case and document, and contact-related fields, in 1 joint search??
CHM: Requirement doesnt say where it should be performed. Could it be solved by management reporting api?
Querry builder might also be a way to look - but we havent decided on a specific solution yet. | Red flag: Det her krav er formuleret uden logiske begræsninger mellem entiteter, hvilke tikke giver mening. Det kan vi ikke understøtte.</t>
  </si>
  <si>
    <t>Ratatoskr: Search and Result lists (admin-en); Advanced search (admin-en); 360° Search Assistant (admin-en) | Wiki: 6.8 release information; Feature Toggles 2025-2026</t>
  </si>
  <si>
    <t>Claus: Afklar delkrav; align tool-rating (O) med AI compliance.</t>
  </si>
  <si>
    <t>MK-67</t>
  </si>
  <si>
    <t>Søgning på filindhold</t>
  </si>
  <si>
    <t>ESDH-løsningen skal understøtte søgning i indholdet af Filer.</t>
  </si>
  <si>
    <t>Verify: Søgning på filindhold — vurderet opfyldt (tool: 1. Fully met).</t>
  </si>
  <si>
    <t>MK-68</t>
  </si>
  <si>
    <t>Trunkering i avanceret søgning</t>
  </si>
  <si>
    <t>ESDH-løsningen skal understøtte, at Brugeren kan anvende trunkering, hvis der ønskes søgning på begyndelsen eller slutningen af et ord.</t>
  </si>
  <si>
    <t>ADN Det her lugter af at være målrettet os givet titlen, fordi de ved vi ikke kan i den avancerede søgning - men kravteksten indeholder det ikke, "Avanceret søg" og derfor bør vi være OK med kravet.</t>
  </si>
  <si>
    <t>Verify: Trunkering i avanceret søgning — vurderet opfyldt (tool: 1. Fully met).</t>
  </si>
  <si>
    <t>ADN Det her lugter af at være målrettet os givet titlen, fordi de ved vi ikke kan i den avancerede søgning - men kravteksten indeholder det ikke, "Avanceret søg" og derfor bør vi være OK med kravet. | Red flag: Det her lugter af at være givet titlen her, fordi de ved vi ikke kan i den avancerede søgning - men kravteksten indeholder det ikke, og derfor bør vi være OK med kravet</t>
  </si>
  <si>
    <t>Ratatoskr: Advanced search (admin-en) | Wiki: Build log hotfix packages</t>
  </si>
  <si>
    <t>MK-69</t>
  </si>
  <si>
    <t>Gemte søgninger</t>
  </si>
  <si>
    <t>ESDH-løsningen skal understøtte, at søgninger kan gemmes i Løsningen og deles af Brugere.</t>
  </si>
  <si>
    <t>ADN: Configure Share saved search Toggle</t>
  </si>
  <si>
    <t>Verify: Gemte søgninger — vurderet opfyldt (tool: 1. Fully met).</t>
  </si>
  <si>
    <t>MK-70</t>
  </si>
  <si>
    <t>Søgeresultater</t>
  </si>
  <si>
    <t>ESDH-løsningen skal understøtte, at alle felter kan vises i søgeresultaternes visningslister.</t>
  </si>
  <si>
    <t>ADN: ”Alle felter” - godt nok afgrænset til søgeresultater, men stadig en stor risc, fra en ondsindet kunde.
Vi må spørge willy
CHM: Dette kræver et commitment, at "View selector" implementeres på lister ligesom i resultatlisten på søgning.</t>
  </si>
  <si>
    <t>Verify: Søgeresultater — delvist opfyldt; afklar scope og scoring.</t>
  </si>
  <si>
    <t>ADN: ”Alle felter” - godt nok afgrænset til søgeresultater, men stadig en stor risc, fra en ondsindet kunde.
Vi må spørge willy | Red flag: ”Alle felter” - godt nok afgrænset til søgeresultater, men stadig en stor risc, fra en ondsindet kunde.</t>
  </si>
  <si>
    <t>Ratatoskr: Search and Result lists (admin-en) | Wiki: CIM - How to create Reports</t>
  </si>
  <si>
    <t>MK-71</t>
  </si>
  <si>
    <t>Søgning i dropdown-felter ved registrering</t>
  </si>
  <si>
    <t>ESDH-løsningen skal understøtte, at der kan søges på værdier i alle dropdown-felter.</t>
  </si>
  <si>
    <t>ADN: Requirement contains the word "All" but i cant come up with anywhere, where we dont support this.</t>
  </si>
  <si>
    <t>Verify: Søgning i dropdown-felter ved registrering — vurderet opfyldt (tool: 1. Fully met).</t>
  </si>
  <si>
    <t>MK-72</t>
  </si>
  <si>
    <t>Søgning på alle niveauer i journalplan</t>
  </si>
  <si>
    <t>ESDH-løsningen skal understøtte, at der kan søges på alle niveauer i journalplanen.</t>
  </si>
  <si>
    <t>ADN: We got the commitment on KUM</t>
  </si>
  <si>
    <t>Verify: Søgning på alle niveauer i journalplan — vurderet opfyldt (tool: 1. Fully met).</t>
  </si>
  <si>
    <t>MK-73</t>
  </si>
  <si>
    <t>Søgning på tværs af Entiteter</t>
  </si>
  <si>
    <t>ESDH-løsningen skal understøtte, at der kan søges på tværs af Entiteter.</t>
  </si>
  <si>
    <t xml:space="preserve">MJ: Den optimale løsning er, at bygge en ny søgeoplevelse gennem query builderen I search assistant. Torben kan lave et eksperiement med at eksponerere hele viewmeta I search assistanmt </t>
  </si>
  <si>
    <t>Verify: Søgning på tværs af Entiteter — vurderet opfyldt (tool: 1. Fully met).</t>
  </si>
  <si>
    <t>MK-74</t>
  </si>
  <si>
    <t>Søgebilleder - Entiteter</t>
  </si>
  <si>
    <t>ESDH-løsningen skal understøtte, at Kunden kan opsætte og konfigurere søgebilleder for alle Løsningens standard- og Kundeoprettede Entiteter.</t>
  </si>
  <si>
    <t>ADN: Det understøtter vi ikke.
COuld we argue, that it doesnt state it should remember these configurations, and therefore we live up to it?
CHM: Kriteriet er gemt i databasen, så det "burde" ikke være en stor udviklingsopgave at udtrække feltet inkl. værdi, og vise det i redigerings-mode.</t>
  </si>
  <si>
    <t>Verify: Søgebilleder - Entiteter — delvist opfyldt; afklar scope og scoring.</t>
  </si>
  <si>
    <t>ADN: Det understøtter vi ikke.
COuld we argue, that it doesnt state it should remember these configurations, and therefore we live up to it? | Red flag: Det understøtter vi ikke.</t>
  </si>
  <si>
    <t>Ratatoskr: Advanced search (admin-en); Search and Result lists (admin-en) | Wiki: 5.11 release information</t>
  </si>
  <si>
    <t>MK-75</t>
  </si>
  <si>
    <t>Søgebilleder - Felter</t>
  </si>
  <si>
    <t>ESDH-løsningen skal understøtte, at Kunden selv kan definere og konfigurere, hvilke standard- og Kundeoprettede felter søgebilledet skal indeholde.</t>
  </si>
  <si>
    <t>ADN: Det understøtter vi ikke.
COuld we argue, that it doesnt state it should remember these configurations, and therefore we live up to it?
CHM: Kriteriet er gemt i databasen, så det "burde" ikke være en stor udviklingsopgave at udtrække feltet inkl. værdi, og vise det i redigerings-mode.
MJ: Minimumsløsningen må være man laver en property på customfelter kaldet "Show in advanced search"</t>
  </si>
  <si>
    <t>Verify: Søgebilleder - Felter — delvist opfyldt; afklar scope og scoring.</t>
  </si>
  <si>
    <t>ADN: Det understøtter vi ikke.
COuld we argue, that it doesnt state it should remember these configurations, and therefore we live up to it? | Red flag: Det understøtter vi ikke</t>
  </si>
  <si>
    <t>K-4</t>
  </si>
  <si>
    <t>Søgeoperatorer</t>
  </si>
  <si>
    <t>ESDH-løsningen skal understøtte, at Brugere kan anvende følgende søgeoperatorer ved fritekstsøgning og søgning i strukturerede felter:
”Og”, ”Eller” og ”Ikke”-søgning
Større end / mindre end (f.eks. ved dato- eller talfelter)
Indeholder 
Lig med (præcis match)</t>
  </si>
  <si>
    <t>ADN: We support this in a combination of global search and advanced search - it isnt specified to be in 1 place.</t>
  </si>
  <si>
    <t>Check: Søgeoperatorer — vurderet opfyldt (tool: 1. Fully met).</t>
  </si>
  <si>
    <t>K-5</t>
  </si>
  <si>
    <t>Abonnementer</t>
  </si>
  <si>
    <t>ESDH-løsningen skal understøtte, at Brugere kan abonnere på søgninger.</t>
  </si>
  <si>
    <t>Check: Abonnementer — vurderet opfyldt (tool: 1. Fully met).</t>
  </si>
  <si>
    <t>K-6</t>
  </si>
  <si>
    <t>Eksport af søgning</t>
  </si>
  <si>
    <t>ESDH-løsningen skal understøtte eksport af det komplette søgeresultat fra brugergrænsefladen til regnearksprogram anvendt af Kundens, men må dog ikke overstige regnearksprogrammets maksimum rækkekapacitet.</t>
  </si>
  <si>
    <t xml:space="preserve">ADN: This means we must support pretty much "unlimited export to Excel"
 løsningen
CHM: Vi understøtter eksport til Excel/regneark inden for konfigurerede systemgrænser (default 3000). Store udtræk kan håndteres asynkront/batch-orienteret eller via rapport-/dataudtræksfunktion. Kan vi implementere "eDoc Big Search" som udtrækker store søgninger i "off-peak hours"?
</t>
  </si>
  <si>
    <t>Check: Eksport af søgning — delvist opfyldt; afklar scope og scoring.</t>
  </si>
  <si>
    <t>ADN: This means we must support pretty much "unlimited export to Excel"</t>
  </si>
  <si>
    <t>Wiki: 360° settings - internal reference</t>
  </si>
  <si>
    <t>EK-2</t>
  </si>
  <si>
    <t>Dashboards</t>
  </si>
  <si>
    <t>ESDH-løsningen skal understøtte realtidsbaserede dashboards, der giver Kundens Brugere et hurtigt og overskueligt overblik over relevante data i ESDH-løsningen. Dashboard i ESDH-løsningen skal understøtte visualiseringer og udtræk af statistiske data til brug for konkret sagsbehandling, Myndighedsarbejde, ledelsestilsyn og politiske beslutninger. 
Leverandøren skal beskrive, hvordan den tilbudte ESDH-løsning understøtter realtidsbaserede dashboards. 
Leverandøren skal gennem konkrete skærmbilleder demonstrere om og hvordan ESDH-løsningen understøtter de stillede krav og møder Kundens behov.
Leverandøren skal redegøre for: 
Hvordan ESDH-løsningen understøtter, at Administrator og Bruger kan oprette egne realtidsbaserede dashboards til sags- og driftsstyring
Hvordan ESDH-løsningen understøtter visning af både individuelle og afdelingsspecifikke frister med farver eller ikoner, når en frist for eksempel nærmer sig udløb
Hvilke visualiseringer som ESDH-løsningen understøtter
Hvordan ESDH-løsningen understøtter effektiv og brugervenlig navigation til underliggende detaljer fra dashboards
Hvordan ESDH-løsningen understøtter dashboards på Dokument og kontaktniveau
Hvordan dashboards på en let og intuitiv måde kan oprettes og vedligeholdes af Administrator
Hvordan dashboards på en let og intuitiv måde kan deles på organisatorisk niveau samt brugerniveau
Evalueringskriterier:
Det vægtes positivt, i hvor høj grad Brugere og Administratorer kan personalisere og konfigurere dashboards efter individuelle og organisatoriske behov, samt at disse kan deles på en intuitiv og brugervenlig måde. 
Det vægtes positivt, i hvor høj grad dashboard-visninger kan tilpasses forskellige brugerroller, medarbejderniveauer og organisatorisk opdeling.
Det vægtes positivt, i hvor høj grad dashboards kan udstilles på forskellige visuelle måder herunder, at der er mulighed for at konfigurere kolonner i visningen samt, at data kan eksporteres i relevante formater. 
Det vægtes positivt, i hvor høj grad ESDH-løsningens dashboards kan udstille resultater i dashboard-widgets.
Det vægtes positivt, i hvor høj grad dashboards kan tilpasses med en grafisk udstilling, der indeholder: 
Listevisninger
Søjlediagrammer 
Cirkeldiagrammer 
Tællere
Det vægtes positivt, i hvor høj grad data og søgeresultater, der udstilles på dashboards, opdateres automatisk i realtid uden behov for manuel opdatering (refresh). 
Det vægtes positivt, i hvor høj grad en Administrator kan udrulle dashboads til organisationen, afdelinger, teams og Brugere, som styres centralt.</t>
  </si>
  <si>
    <t>Answer: Dashboards — informationskrav; udkast bilag/dokumentation mangler.</t>
  </si>
  <si>
    <t>Wiki: Build log hotfix packages</t>
  </si>
  <si>
    <t>Torben: Opret/link svar-bilag; draft IK-tekst fra prior art.</t>
  </si>
  <si>
    <t>MK-76</t>
  </si>
  <si>
    <t>Brugergrænsefladen</t>
  </si>
  <si>
    <t>Browser-baseret brugergrænseflade</t>
  </si>
  <si>
    <t>ESDH-løsningen skal understøtte afvikling i en af nedenstående standardbrowsere uden løsnings-specifikt plugin: 
Microsoft Edge
Google Chrome</t>
  </si>
  <si>
    <t>ADN: Påvirker ikke os - men det her krav er et godt eksempel på en Kunde der beskriver en løsning frem for et behov. Hvorfor skal det være browserbaseret?
AOP: Meget standard i udbud. Baggrunden er, at det anses som værende fremtiden og lettere for kunden at administrere selv.</t>
  </si>
  <si>
    <t>Verify: Browser-baseret brugergrænseflade — vurderet opfyldt (tool: 1. Fully met).</t>
  </si>
  <si>
    <t>ADN: Påvirker ikke os - men det her krav er et godt eksempel på en Kunde der beskriver en løsning frem for et behov. Hvorfor skal det være browserbaseret?
AOP: Meget standard i udbud. Baggrunden er, at det anses som værende fremtiden og lettere for kunden at administrere selv. | Red flag: Påvirker ikke os - men det her krav er et godt eksempel på en Kunde der beskriver en løsning frem for et behov. Hvorfor skal det være browserbaseret?</t>
  </si>
  <si>
    <t>Wiki: Frontend guidelines for modern web applications; BSP design goals and technical changes</t>
  </si>
  <si>
    <t>MK-77</t>
  </si>
  <si>
    <t>Visning af store mængder</t>
  </si>
  <si>
    <t>ESDH-løsningen skal understøtte, at alle listevisninger fra standard og Kundeoprettede Entiteter eller i søgningsresultater ikke har begrænsning i antal resultater. Resultaterne kan opdeles på flere sider jf. arkitekturmønsteret pagination (processen med at opdele store mængder indhold, data eller søgeresultater i mindre, overskuelige bidder).</t>
  </si>
  <si>
    <t>ADN: Issue - ”Alle”  og ”ingen begrænsning” i samme sætning..
CHM: I princippet kan vi vel sætte "Max query rows" til 1 mio., selvom konsekvensen vil være en SQL timeout. De fleste lister i GUI har allerede implementeret pagination.</t>
  </si>
  <si>
    <t>Verify: Visning af store mængder — gap ift. kravtekst; eskalér commitment eller afklaring.</t>
  </si>
  <si>
    <t>ADN: Issue - ”Alle”  og ”ingen begrænsning” i samme sætning.. | Red flag: Issue - ”Alle”  og ”ingen begrænsning” i samme sætning..</t>
  </si>
  <si>
    <t>Ratatoskr: Search and Result lists (admin-en) | Wiki: 5.14 release information</t>
  </si>
  <si>
    <t>Claus: Commitment/no-bid beslutning; overvej Q&amp;A til ordregiver.</t>
  </si>
  <si>
    <t>MK-78</t>
  </si>
  <si>
    <t>Genvejstaster</t>
  </si>
  <si>
    <t>ESDH-løsningen skal understøtte brugen af genvejstaster, funktionstaster eller tastekombinationer. Genvejstaster skal være dokumenteret i hjælpefunktionen.</t>
  </si>
  <si>
    <t>ADN: Det her bevæger vi os væk fra, fordi det ikke er særligt WCAG-compliant. MEN - vi skal bemærke de ikke definere det skal gælde alt, eller hvad man skal kunne, så hvis vi har en genvejstast ét sted i løsningen, kan vi principielt sige ja til dette krav.
Vi understøtter brugen af "Tab" og "Enter" - vi skal bare sikre os det står i onlinehjælpen.
Tjek op med Core UI - de har commitment på løsning til edoc kunderne.</t>
  </si>
  <si>
    <t>Verify: Genvejstaster — vurderet opfyldt (tool: 1. Fully met).</t>
  </si>
  <si>
    <t>ADN: Det her bevæger vi os væk fra, fordi det ikke er særligt WCAG-compliant. MEN - vi skal bemærke de ikke definere det skal gælde alt, eller hvad man skal kunne, så hvis vi har en genvejstast ét sted i løsningen, kan vi principielt sige ja til dette krav.
Vi understøtter brugen af "Tab" og "Enter" - vi skal bare sikre os det står i onlinehjælpen. | Red flag: Det her bevæger vi os væk fra, fordi det ikke er særligt WCAG-compliant. MEN - vi skal bemærke de ikke definere det skal gælde alt, eller hvad man skal kunne, så hvis vi har en genvejstast ét sted i løsningen, kan vi principielt sige ja til dette krav.</t>
  </si>
  <si>
    <t>No keyboard shortcut documentation in help or wiki</t>
  </si>
  <si>
    <t>MK-79</t>
  </si>
  <si>
    <t>Obligatoriske felter</t>
  </si>
  <si>
    <t>ESDH-løsningen skal understøtte en tydelig marker af obligatoriske felter i forbindelse med oprettelse eller redigering af Entiteter.</t>
  </si>
  <si>
    <t>Verify: Obligatoriske felter — vurderet opfyldt (tool: 1. Fully met).</t>
  </si>
  <si>
    <t>MK-80</t>
  </si>
  <si>
    <t>Masseændring</t>
  </si>
  <si>
    <t>ESDH-løsningen skal understøtte, at en Bruger via brugergrænsefladen kan foretage masseændringer af tilknyttede standard- og Kundeoprettede felter på sager, Dokumenter, kontakter og Kundeoprettede Entiteter.</t>
  </si>
  <si>
    <t>ADN: Vi skal bemærke de ikke bruger ordet ”Alle” i denne sætning - meeeen.. Vi har det slet ikke for Kontakter, projekter, ejendomme og aktiviteter, og vi har det ingen steder for kundeoprettede felter. (De specificere heller ikke at det skal være på alle kundeoprettede entiteter) Måske vi kan bruge det til noget.</t>
  </si>
  <si>
    <t>Verify: Masseændring — gap ift. kravtekst; eskalér commitment eller afklaring.</t>
  </si>
  <si>
    <t>ADN: Vi skal bemærke de ikke bruger ordet ”Alle” i denne sætning - meeeen.. Vi har det slet ikke for Kontakter, projekter, ejendomme og aktiviteter, og vi har det ingen steder for kundeoprettede felter. (De specificere heller ikke at det skal være på alle kundeoprettede entiteter) Måske vi kan bruge det til noget. | Red flag: Vi skal bemærke de ikke bruger ordet ”Alle” i denne sætning - meeeen.. Vi har det slet ikke for Kontakter, projekter, ejendomme og aktiviteter, og vi har det ingen steder for kundeoprettede felter. (De specificere heller ikke at det skal være på alle kundeoprettede entiteter) Måske vi kan bruge det til noget.</t>
  </si>
  <si>
    <t>Wiki: 5.14 release information; 6.0 release information</t>
  </si>
  <si>
    <t>Torben: Commitment/no-bid beslutning; overvej Q&amp;A til ordregiver.</t>
  </si>
  <si>
    <t>MK-81</t>
  </si>
  <si>
    <t>Visuel visning på Dokument metadata</t>
  </si>
  <si>
    <t>ESDH-løsningen skal understøtte en visuel adskillelse af indgående og udgående Dokumenter, f.eks. via opmærkning.</t>
  </si>
  <si>
    <t>ADN: Hvornår er noget ”Visuelt adskilt”? - er det nok at der står ”Indgående” og/eller ”Udgående”?
hos os står der "Dokument ind", eller "dokument ud" - det er vel visuelt adskildt.. Jeg kan se at der ikke står det samme?</t>
  </si>
  <si>
    <t>Verify: Visuel visning på Dokument metadata — vurderet opfyldt (tool: 1. Fully met).</t>
  </si>
  <si>
    <t>ADN: Hvornår er noget ”Visuelt adskilt”? - er det nok at der står ”Indgående” og/eller ”Udgående”?
hos os står der "Dokument ind", eller "dokument ud" - det er vel visuelt adskildt.. Jeg kan se at der ikke står det samme? | Red flag: Hvornår er noget ”Visuelt adskilt”? - er det nok at der står ”Indgående” og/eller ”Udgående”?</t>
  </si>
  <si>
    <t>Wiki: 6.8 release information; EDoc Documentation for Support</t>
  </si>
  <si>
    <t>MK-82</t>
  </si>
  <si>
    <t>Markering af obligatoriske felter</t>
  </si>
  <si>
    <t>ESDH-løsningen skal understøtte en tydelig markering af, om felter er obligatoriske. Det skal være gældende for Løsningens standard- og Kundeoprettede felter.</t>
  </si>
  <si>
    <t>Verify: Markering af obligatoriske felter — vurderet opfyldt (tool: 1. Fully met).</t>
  </si>
  <si>
    <t>MK-83</t>
  </si>
  <si>
    <t>Kolonnevisninger - Standard</t>
  </si>
  <si>
    <t>ESDH-løsningen skal understøtte at Kunden kan tilvælge og fravælge kolonnevisninger på sager, Dokumenter, kontakt-billeder.</t>
  </si>
  <si>
    <t xml:space="preserve">ADN Det understøtter vi ikke - jeg tænker de mener kolonner inde i webparts på vores overbliksbilleder.
"quick-and-dirty" fix er at tilføje visningslisten, så kuden kan vælge visning ligesom de kan i maksimeret visning for dokumenter </t>
  </si>
  <si>
    <t>Verify: Kolonnevisninger - Standard — gap ift. kravtekst; eskalér commitment eller afklaring.</t>
  </si>
  <si>
    <t>ADN Det understøtter vi ikke - jeg tænker de mener kolonner inde i webparts på vores overbliksbilleder. | Red flag: Det understøtter vi ikke - jeg tænker de mener kolonner inde i webparts på vores overbliksbilleder.</t>
  </si>
  <si>
    <t>Wiki: 360° Version 5 changes in detail views and wizards</t>
  </si>
  <si>
    <t>MK-84</t>
  </si>
  <si>
    <t>Kolonnevisninger - Kundeoprettede</t>
  </si>
  <si>
    <t>ESDH-løsningen skal understøtte, at Kunden kan tilvælge og fravælge kolonnevisninger på Kundeoprettede Entiteter.</t>
  </si>
  <si>
    <t xml:space="preserve">ADN: Det understøtter vi ikke - jeg tænker de mener kolonner inde i webparts på vores overbliksbilleder.
"quick-and-dirty" fix er at tilføje visningslisten, så kuden kan vælge visning ligesom de kan i maksimeret visning for dokumenter </t>
  </si>
  <si>
    <t>Verify: Kolonnevisninger - Kundeoprettede — gap ift. kravtekst; eskalér commitment eller afklaring.</t>
  </si>
  <si>
    <t>ADN: Det understøtter vi ikke - jeg tænker de mener kolonner inde i webparts på vores overbliksbilleder. | Red flag: Det understøtter vi ikke - jeg tænker de mener kolonner inde i webparts på vores overbliksbilleder.</t>
  </si>
  <si>
    <t>MK-85</t>
  </si>
  <si>
    <t>Kundeoprettede felter på kolonnevisning</t>
  </si>
  <si>
    <t>ESDH-løsningen skal understøtte, at Kundeoprettede felter skal kunne anvendes i kolonnevisningerne på standard Entiteter og Kundeoprettede Entiteter.</t>
  </si>
  <si>
    <t xml:space="preserve">ADN: Det understøtter vi ikke - jeg tænker de mener kolonner inde i webparts på vores overbliksbilleder.Vi gemmer ikke sorteringer og filtreringer
"quick-and-dirty" fix er at tilføje visningslisten, så kuden kan vælge visning ligesom de kan i maksimeret visning for dokumenter </t>
  </si>
  <si>
    <t>Verify: Kundeoprettede felter på kolonnevisning — gap ift. kravtekst; eskalér commitment eller afklaring.</t>
  </si>
  <si>
    <t>ADN: Det understøtter vi ikke - jeg tænker de mener kolonner inde i webparts på vores overbliksbilleder.Vi gemmer ikke sorteringer og filtreringer | Red flag: Det understøtter vi ikke - jeg tænker de mener kolonner inde i webparts på vores overbliksbilleder.</t>
  </si>
  <si>
    <t>Ratatoskr: Custom fields (admin-en) | Wiki: Build log hotfix packages; 6.0 release information</t>
  </si>
  <si>
    <t>MK-86</t>
  </si>
  <si>
    <t>Filtrering og sortering på kolonnevisninger</t>
  </si>
  <si>
    <t>ESDH-løsningen skal understøtte filtrering og sortering på kolonnevisninger. Brugerens valgte indstillinger skal kunne gemmes som standardvisning for Brugeren.</t>
  </si>
  <si>
    <t>ADN: Det understøtter vi ikke - jeg tænker de mener kolonner inde i webparts på vores overbliksbilleder.Vi gemmer ikke sorteringer og filtreringer
MJ: mulige løsninger kunne være cookies eller "gem" lignende funktionalitet af mine opsætninger
Torben tester noget..</t>
  </si>
  <si>
    <t>Verify: Filtrering og sortering på kolonnevisninger — gap ift. kravtekst; eskalér commitment eller afklaring.</t>
  </si>
  <si>
    <t>ADN: Det understøtter vi ikke - jeg tænker de mener kolonner inde i webparts på vores overbliksbilleder.Vi gemmer ikke sorteringer og filtreringer | Red flag: Det understøtter vi ikke - jeg tænker de mener kolonner inde i webparts på vores overbliksbilleder.Vi gemmer ikke sorteringer og filtreringer</t>
  </si>
  <si>
    <t>Wiki: Build log hotfix packages; 5.9 release information</t>
  </si>
  <si>
    <t>MK-87</t>
  </si>
  <si>
    <t>Faner og widgets</t>
  </si>
  <si>
    <t>ESDH-løsningen skal understøtte, at Kunden kan opsætte Kundeoprettede faner/widgets på både standard- og Kundeoprettede Entiteter.</t>
  </si>
  <si>
    <t>ADN:  ”kundeoprettede faner” på overbliksbilleder kræver en voldsomt udvidelse af FFUI Overbliksbilleder
Widgets kan tolkes som webparts, men kunden skal selv kunne opsætte dem.
Vi mangler et konfig interface for en "iframe" hvor kunden kan vælge hvad der skal vises</t>
  </si>
  <si>
    <t>Verify: Faner og widgets — gap ift. kravtekst; eskalér commitment eller afklaring.</t>
  </si>
  <si>
    <t>ADN:  ”kundeoprettede faner” på overbliksbilleder kræver en voldsomt udvidelse af FFUI Overbliksbilleder | Red flag: ”kundeoprettede faner” på overbliksbilleder kræver en voldsomt udvidelse af FFUI Overbliksbilleder</t>
  </si>
  <si>
    <t>No custom tabs/widgets on entity overviews documentation</t>
  </si>
  <si>
    <t>MK-88</t>
  </si>
  <si>
    <t>Fleksibilitet</t>
  </si>
  <si>
    <t>ESDH-løsningen skal understøtte, at Kunden har fuld fleksibilitet til vælge, hvor Kundeoprettede Entiteter og Kundeoprettede felter vises i brugergrænsefladen.</t>
  </si>
  <si>
    <t>ADN: Hvis vi nu tolker det her til webparten "brugerdefinerede felter" og webparten: "Ejendomme", "Projekter" og "Aktiviteter" - så kan kunden jo godt på sags- og dokumentoversigter  bestemme hvor disse vises. Vi har det dog ikke på kontaktoverblik.</t>
  </si>
  <si>
    <t>Verify: Fleksibilitet — gap ift. kravtekst; eskalér commitment eller afklaring.</t>
  </si>
  <si>
    <t>ADN: Hvis vi nu tolker det her til webparten "brugerdefinerede felter" og webparten: "Ejendomme", "Projekter" og "Aktiviteter" - så kan kunden jo godt på sags- og dokumentoversigter  bestemme hvor disse vises. Vi har det dog ikke på kontaktoverblik. | Red flag: Understøttes ikke</t>
  </si>
  <si>
    <t>Wiki: Flexibility initiatives; Full-Flex UI entity creation</t>
  </si>
  <si>
    <t>K-7</t>
  </si>
  <si>
    <t>Relationer skal være navigerbare</t>
  </si>
  <si>
    <t>Løsningen skal understøtte, at relationer mellem standardentiteter og Kundens egne oprettede Entiteter er aktive og navigerbare i brugergrænsefladen. 
Det skal være muligt for Brugeren at klikke på en reference til en relateret Entitet og blive ledt direkte til den pågældende Entitets indhold, metadata og tilknyttede relationer. 
Eksempelvis skal en Bruger, der står på en sag, kunne vælge et relateret Dokument og blive ledt direkte til Dokumentet og dets metadata. Hvis Dokumentet er tilknyttet en kontakt, f.eks. en Udlænding, skal Brugeren tilsvarende kunne klikke på kontakten og blive ledt til kontaktens stamdata, metadata og relaterede sager, Dokumenter eller øvrige relevante Entiteter.</t>
  </si>
  <si>
    <t>Check: Relationer skal være navigerbare — vurderet opfyldt (tool: 1. Fully met).</t>
  </si>
  <si>
    <t>EK-3</t>
  </si>
  <si>
    <t>Bruger-grænseflade</t>
  </si>
  <si>
    <t>I forbindelse med Kundens daglige anvendelse af ESDH-løsningen er det væsentligt, at brugergrænsefladen kan tilpasses den enkelte Brugers og organisationens behov, herunder ved tilpasning, filtrering og sortering af faner/widgets, felter og kolonner.
Leverandøren skal beskrive, hvordan den tilbudte ESDH-løsning understøtter tilpasning af brugergrænsefladen. 
Leverandøren skal gennem konkrete skærmbilleder demonstrere om og hvordan ESDH-løsningen understøtter de stillede krav og møder Kundens behov.
Leverandøren skal redegøre for: 
Hvordan ESDH-løsningen giver Brugeren hurtig og overskuelig adgang til relevante oplysninger i forbindelse med sagsbehandling
Hvordan Brugeren kan personalisere brugergrænsefladen f.eks. via tilpasning af kolonner på alle Entiteter og søgebilleder
Hvordan Brugeren kan personalisere visningsbilleder via filtrering og sortering
Hvilke muligheder Administratoren har for at tilpasse udstillingen af data på sager, Dokumenter og kontakter
Hvordan Administratoren kan tilpasse søgebilleder og resultatlister
Hvordan Administratoren kan konfigurere og udrulle opsætning til hele organisationen samt udvalgte teams og medarbejdere
Evalueringskriterier:
Det vægtes positivt, i hvor høj grad Brugeren kan personalisere brugergrænsefladen til egne behov f.eks. tilpasning af kolonner i alle visningsbilleder.
Det vægtes positivt, i hvor høj grad Administratoren kan tilpasse brugergrænsefladen på alle Entiteter, visningsbilleder, resultatlister og søgebilleder f.eks. tilpasning af kolonner, filtreringer og placering af felter.
Det vægtes positivt, i hvor høj grad Administratoren kan udrulle opsætninger og tilpasninger på flere organisatoriske niveauer samt at Administratoren kan begrænse muligheden for bruger-personalisering af den udrullede opsætning. 
Det vægtes positivt, i hvor høj grad Administratoren kan tilføje og fjerne både standardfelter og Kundeoprettede felter fra alle Entiteters visnings- og søgebilleder.</t>
  </si>
  <si>
    <t>Answer: Bruger-grænseflade — informationskrav; udkast bilag/dokumentation mangler.</t>
  </si>
  <si>
    <t>Wiki: Full-Flex UI entity creation; Flexibility initiatives</t>
  </si>
  <si>
    <t>MK-89</t>
  </si>
  <si>
    <t>Aktindsigt</t>
  </si>
  <si>
    <t>Oprettelse og behandling af aktindsigter</t>
  </si>
  <si>
    <t>ESDH-løsningen skal understøtte oprettelse og behandling af aktindsigter som sagstyper i ESDH-løsningen i henhold til både Forvaltningsloven og Offentlighedsloven.</t>
  </si>
  <si>
    <t>Verify: Oprettelse og behandling af aktindsigter — vurderet opfyldt (tool: 1. Fully met).</t>
  </si>
  <si>
    <t>EK-4</t>
  </si>
  <si>
    <t>I forbindelse med Kundens sagsbehandling og håndtering af aktindsigtssager er det væsentligt, at ESDH-løsningen understøtter en effektiv og overskuelig proces for udvælgelse, behandling og samling af Dokumenter til aktindsigt. 
Leverandøren skal beskrive, hvordan den tilbudte ESDH-løsning understøtter behandling af aktindsigtssager.
Leverandøren skal gennem konkrete skærmbilleder demonstrere om og hvordan ESDH-løsningen understøtter de stillede krav og møder Kundens behov.
Leverandøren skal redegøre for: 
Hvordan ESDH-løsningen understøtter fremsøgning, udvælgelse, pakning og dokumentation af relevante dagsdata til brug i aktindsigt
Hvilke muligheder der findes i ESDH-løsningen for at samle udvalgte Dokumenter i en samlet PDF-pakke, herunder manuel prioritering af dokumentrækkefølge og automatisk generering af indholdsfortegnelse
Hvordan ESDH-løsningen understøtter godkendelse af dokument-pakke til aktindsigt
Hvordan ESDH-løsningen understøtter en nem og enkel overstregning af oplysninger i Dokumenter, der skal udleveres i forbindelse med aktindsigt
Evalueringskriterier:
Det vægtes positivt, i hvor høj grad Brugeren kan samle udvalgte Filer i en enkelt PDF-Fil og vælge rækkefølgen på Filer f.eks. via drag and drop funktionalitet.
Det vægtes positivt, i hvor høj grad ESDH-løsningen automatisk generer en indholdsfortegnelse ved oprettelse af samlede PDF-pakker.
Det vægtes positivt, i hvor høj grad Brugeren intuitivt kan markere Dokumenter som imødekommet, delvist imødekommet eller ikke taget med.
Det vægtes positivt, at ESDH-løsningen understøtter muligheden for at opdele PDF-generering i flere Filer med maksimumstørrelse pr. Fil.</t>
  </si>
  <si>
    <t>Answer: Aktindsigt — informationskrav; udkast bilag/dokumentation mangler.</t>
  </si>
  <si>
    <t>Ratatoskr: 360° Information Act Request (admin-en); Automatic IFAR process (admin-en) | Wiki: Changes to module names and availability; 360° eInnsyn export</t>
  </si>
  <si>
    <t>Hans: Opret/link svar-bilag; draft IK-tekst fra prior art.</t>
  </si>
  <si>
    <t>MK-90</t>
  </si>
  <si>
    <t>Godkendelses- og høringsflow</t>
  </si>
  <si>
    <t>Godkendelsesflow, sekventielt eller parallelt</t>
  </si>
  <si>
    <t>ESDH-løsningen skal understøtte, at der kan sendes en eller flere Filer i godkendelsesflows til en eller flere modtagere, enten sekventielt, parallelt eller som en kombination af begge.</t>
  </si>
  <si>
    <t>Verify: Godkendelsesflow, sekventielt eller parallelt — vurderet opfyldt (tool: 1. Fully met).</t>
  </si>
  <si>
    <t>MK-91</t>
  </si>
  <si>
    <t>Handling i godkendelsesflowet</t>
  </si>
  <si>
    <t>ESDH-løsningen skal understøtte forskellige statusser i godkendelsesflowet.</t>
  </si>
  <si>
    <t>Verify: Handling i godkendelsesflowet — vurderet opfyldt (tool: 1. Fully met).</t>
  </si>
  <si>
    <t>MK-92</t>
  </si>
  <si>
    <t>Tilføjelse af godkendelsesled</t>
  </si>
  <si>
    <t>ESDH-løsningen skal understøtte, at Brugeren, der har initieret godkendelsen eller det aktive godkendelsesled, kan tilføje flere godkendelsesled. Tilføjelse af godkendelsesled må ikke medføre, at de øvrige godkendelsesled bliver ændret.</t>
  </si>
  <si>
    <t>Verify: Tilføjelse af godkendelsesled — vurderet opfyldt (tool: 1. Fully met).</t>
  </si>
  <si>
    <t>MK-93</t>
  </si>
  <si>
    <t>E-mail-Advisering godkendelsesflow</t>
  </si>
  <si>
    <t>ESDH-løsningen skal understøtte, at det aktive godkendelsesled modtager en mailadvisering med et klikbart link til de relevante Filer i ESDH-løsningen.</t>
  </si>
  <si>
    <t>Verify: E-mail-Advisering godkendelsesflow — vurderet opfyldt (tool: 1. Fully met).</t>
  </si>
  <si>
    <t>MK-94</t>
  </si>
  <si>
    <t>Log i Godkendelsesflow</t>
  </si>
  <si>
    <t>ESDH-løsningen skal understøtte logning af alle handlinger relateret til godkendelsesflowet, f.eks. ændringer, godkendelser, tilbagesendelser og tilføjelser.</t>
  </si>
  <si>
    <t>Verify: Log i Godkendelsesflow — vurderet opfyldt (tool: 1. Fully met).</t>
  </si>
  <si>
    <t>docs/tender-reference/extracted/Nationalbanken/Bilag 3.i Leverandørens Løsningsbeskrivelse.txt; docs/tender-reference/extracted/KK Tender tool.txt; docs/tender-reference/extracted/KUM-SLKS/Bilag 1 - Tidsplan.txt</t>
  </si>
  <si>
    <t>MK-95</t>
  </si>
  <si>
    <t>Høringsflow, sekventielt eller parallelt</t>
  </si>
  <si>
    <t>ESDH-løsningen skal understøtte, at der kan sendes en eller flere Filer i høringsflow til en eller flere modtagere parallelt.</t>
  </si>
  <si>
    <t>Verify: Høringsflow, sekventielt eller parallelt — vurderet opfyldt (tool: 1. Fully met).</t>
  </si>
  <si>
    <t>MK-96</t>
  </si>
  <si>
    <t>Handling i høringsflowet</t>
  </si>
  <si>
    <t>ESDH-løsningen skal understøtte forskellige statusser i høringsflowet.</t>
  </si>
  <si>
    <t>Verify: Handling i høringsflowet — vurderet opfyldt (tool: 1. Fully met).</t>
  </si>
  <si>
    <t>MK-97</t>
  </si>
  <si>
    <t>E-mail-Advisering høring</t>
  </si>
  <si>
    <t>ESDH-løsningen skal understøtte, at de aktive høringsdeltagere modtager en mailadvisering med et klikbart link til relevante Filer i ESDH-løsningen.</t>
  </si>
  <si>
    <t>Verify: E-mail-Advisering høring — vurderet opfyldt (tool: 1. Fully met).</t>
  </si>
  <si>
    <t>MK-98</t>
  </si>
  <si>
    <t>Log i høringsflow</t>
  </si>
  <si>
    <t>ESDH-løsningen skal understøtte logning af alle handlinger relateret til høringsflowet.</t>
  </si>
  <si>
    <t>Verify: Log i høringsflow — vurderet opfyldt (tool: 1. Fully met).</t>
  </si>
  <si>
    <t>docs/tender-reference/extracted/KK Tender tool.txt; docs/tender-reference/extracted/KUM-SLKS/Bilag 1 - Tidsplan.txt; docs/tender-reference/extracted/Nationalbanken/Bilag 3.i Leverandørens Løsningsbeskrivelse.txt</t>
  </si>
  <si>
    <t>MK-99</t>
  </si>
  <si>
    <t>Historisk Dokument - godkendelsesflow</t>
  </si>
  <si>
    <t>ESDH-løsningen skal understøtte, at der automatisk dannes et Dokument med en tilknyttet Fil, hvortil historikken af godkendelsesflowet er dokumenteret.</t>
  </si>
  <si>
    <t>ADN ”automatisk dannes” sker ikke. vi har muligheden for manuelt at gøre dette. - Vores workflowrapport løser måske behovet, men produceres ikke automatisk.
Risk</t>
  </si>
  <si>
    <t>Verify: Historisk Dokument - godkendelsesflow — gap ift. kravtekst; eskalér commitment eller afklaring.</t>
  </si>
  <si>
    <t>ADN ”automatisk dannes” sker ikke. vi har muligheden for manuelt at gøre dette. - Vores workflowrapport løser måske behovet, men produceres ikke automatisk. | Red flag: ”automatisk dannes” sker ikke. vi har muligheden for manuelt at gøre dette.</t>
  </si>
  <si>
    <t>Ratatoskr: Workflow (admin-en) | Wiki: 360° settings - internal reference; Implementation Process</t>
  </si>
  <si>
    <t>MK-100</t>
  </si>
  <si>
    <t>Historisk Dokument - høring</t>
  </si>
  <si>
    <t>ESDH-løsningen skal understøtte, at der automatisk dannes et Dokument med en tilknyttet Fil, hvortil historikken af høringsflowet er dokumenteret.</t>
  </si>
  <si>
    <t>ADN ”automatisk dannes” sker ikke. vi har muligheden for manuelt at gøre dette. - Vores workflowrapport løser måske behovet, men produceres ikke automatisk.
RISK</t>
  </si>
  <si>
    <t>Verify: Historisk Dokument - høring — gap ift. kravtekst; eskalér commitment eller afklaring.</t>
  </si>
  <si>
    <t>Ratatoskr: Workflow (admin-en) | Wiki: Build log hotfix packages</t>
  </si>
  <si>
    <t>MK-101</t>
  </si>
  <si>
    <t>Opgavestyring</t>
  </si>
  <si>
    <t>Overblik over opgaver</t>
  </si>
  <si>
    <t>ESDH-løsningen skal understøtte et fuldstændigt overblik over alle igangværende og planlagte opgaver, som er tildelt en specifik Bruger eller afdeling/team eller er knyttet til en specifik sag.</t>
  </si>
  <si>
    <t>Verify: Overblik over opgaver — vurderet opfyldt (tool: 1. Fully met).</t>
  </si>
  <si>
    <t>MK-102</t>
  </si>
  <si>
    <t>Friststyring</t>
  </si>
  <si>
    <t>ESDH-løsningen skal understøtte friststyring, hvor den ansvarlige Bruger for en opgave kan opsætte individuelle frister. Det skal være muligt at konfigurere notifikationerne fleksibelt i forhold til både opgavens deadline og status.</t>
  </si>
  <si>
    <t xml:space="preserve">ADN: Jeg bryder mig ikke om denne formulering - er bekymret for at den kan bruges imod os i en implementering
Hvad vil det sige at "konfigurere notifikation fleksibelt ift. deadline og status"?
Hvis vi nu tolker "Frister" Hårdt, til kun at gælde vores aktivitetstype "Frist" så kan vi vel faktisk overholde det her, og næste krav? Argumentet er at alle andre i løsningen er "Forfaldsdatoer, men ikke frister"... </t>
  </si>
  <si>
    <t>Clarify</t>
  </si>
  <si>
    <t>Verify: Friststyring — kræver produkt-/team-afklaring (ingen tool-rating).</t>
  </si>
  <si>
    <t>ADN: Jeg bryder mig ikke om denne formulering - er bekymret for at den kan bruges imod os i en implementering
Hvad vil det sige at "konfigurere notifikation fleksibelt ift. deadline og status"?
Hvis vi nu tolker "Frister" Hårdt, til kun at gælde vores aktivitetstype "Frist" så kan vi vel faktisk overholde det her, og næste krav? Argumentet er at alle andre i løsningen er "Forfaldsdatoer, men ikke frister"... | Red flag: Jeg bryder mig ikke om denne formulering - er bekymret for at den kan bruges imod os i en implementering</t>
  </si>
  <si>
    <t>Ratatoskr: Reminder (admin-en) | Wiki: 5.13 release information; 360° Flow - Demo setup</t>
  </si>
  <si>
    <t>Eva: Udfyld tool-rating (O) og evidens; gennemgå AI-kladde.</t>
  </si>
  <si>
    <t>MK-103</t>
  </si>
  <si>
    <t>Advisering på opgaver</t>
  </si>
  <si>
    <t>ESDH-løsningen skal understøtte, at enhver opgave i ESDH-løsningen altid skal have en angivet ansvarlig, og at denne ansvarlige Bruger skal kunne opsætte individuelle notifikationer for hver opgave. Det skal være muligt at konfigurere notifikationer fleksibelt i forhold til opgavens deadline og status.</t>
  </si>
  <si>
    <t>ADN Jeg bryder mig ikke om denne formulering - er bekymret for at den kan bruges imod os i en implementering
Hvad vil det sige at "konfigurere notifikation fleksibelt ift. deadline og status"?
HFR: Mindre udvikling - Product first</t>
  </si>
  <si>
    <t>Verify: Advisering på opgaver — kræver produkt-/team-afklaring (ingen tool-rating).</t>
  </si>
  <si>
    <t>ADN Jeg bryder mig ikke om denne formulering - er bekymret for at den kan bruges imod os i en implementering
Hvad vil det sige at "konfigurere notifikation fleksibelt ift. deadline og status"? | Red flag: Jeg bryder mig ikke om denne formulering - er bekymret for at den kan bruges imod os i en implementering</t>
  </si>
  <si>
    <t>Ratatoskr: Reminder (admin-en) | Wiki: Build log hotfix packages</t>
  </si>
  <si>
    <t>MK-104</t>
  </si>
  <si>
    <t>Notifikationer</t>
  </si>
  <si>
    <t>Notifikation på frister</t>
  </si>
  <si>
    <t>ESDH-løsningen skal understøtte notifikationer, når en frist nærmer sig eller overskrides.</t>
  </si>
  <si>
    <t>Verify: Notifikation på frister — vurderet opfyldt (tool: 1. Fully met).</t>
  </si>
  <si>
    <t>K-8</t>
  </si>
  <si>
    <t>ESDH-løsningen skal understøtte, at Brugere kan vælge at modtage notifikationer om handlinger, godkendelser, anmodninger om akter, frister og ændringer på relevante sager. Den enkelte Bruger skal selv kunne vælge notifikationskanal, eksempelvis systemnotifikationer eller e-mail.</t>
  </si>
  <si>
    <t>Check: Notifikationer — vurderet opfyldt (tool: 1. Fully met).</t>
  </si>
  <si>
    <t>MK-105</t>
  </si>
  <si>
    <t>Administratormodul</t>
  </si>
  <si>
    <t>ESDH-løsningen skal understøtte et administratormodul, hvor hele ESDH-løsningen kan administreres.</t>
  </si>
  <si>
    <t>"Hele løsningen" - men nu når processer ikke er en del af det her udbud, så er det jo ligegyldigt at dele af processerne stadig vedligeholdes i Visual Studio</t>
  </si>
  <si>
    <t>Verify: Administratormodul — vurderet opfyldt (tool: 1. Fully met).</t>
  </si>
  <si>
    <t>docs/tender-reference/extracted/NND/02.01-Tieto-Bilag 2-Vedlegg-Leverandørens utfyllende svar til kravtabell.txt; docs/tender-reference/extracted/Nationalbanken/Bilag 3.i Leverandørens Løsningsbeskrivelse.txt; docs/product/RFP_Leverandørens_svar_utdrag.txt</t>
  </si>
  <si>
    <t>MK-106</t>
  </si>
  <si>
    <t>Metadata</t>
  </si>
  <si>
    <t>ESDH-løsningen skal understøtte, at følgende metadatafelter kan konfigureres i administratormodulet:
Kodetabelfelter. 
Datofelter
Tekstfelter
Talfelter
Typer</t>
  </si>
  <si>
    <t>Verify: Metadata — vurderet opfyldt (tool: 1. Fully met).</t>
  </si>
  <si>
    <t>docs/tender-reference/extracted/KUM-SLKS/Bilag 3 - Kravspecifikation.txt; docs/tender-reference/extracted/NND/02.01-Tieto-Bilag 2-Vedlegg-Leverandørens utfyllende svar til kravtabell.txt; docs/product/RFP_Leverandørens_svar_utdrag.txt</t>
  </si>
  <si>
    <t>MK-107</t>
  </si>
  <si>
    <t>Vedligeholdelse af organisationshierarki</t>
  </si>
  <si>
    <t>ESDH-løsningen skal understøtte, at Kunden via administratormodulet kan oprette, ændre og deaktivere organisationshierarkiet i ESDH-løsningen.</t>
  </si>
  <si>
    <t>ADN: Kunden har ikke defineret hvad "Administratormodulet" er - så vi kan tolke det bredt til "Administratorrettigheder" og dermed opfylde kravet.</t>
  </si>
  <si>
    <t>Verify: Vedligeholdelse af organisationshierarki — vurderet opfyldt (tool: 1. Fully met).</t>
  </si>
  <si>
    <t>docs/tender-reference/extracted/KUM-SLKS/Bilag 3 - Kravspecifikation.txt; docs/tender-reference/extracted/Nationalbanken/Bilag 3.i Leverandørens Løsningsbeskrivelse.txt; docs/tender-reference/extracted/KUM-SLKS/Bilag 3 - 11.8 - Kravspecifikation - Processtyring (1).txt</t>
  </si>
  <si>
    <t>MK-108</t>
  </si>
  <si>
    <t>Begrænsning og tilføjelse af filformater</t>
  </si>
  <si>
    <t>ESDH-løsningen skal understøtte, at Kunden via administratormodulet kan konfigurere, hvilke filformater der må gemmes i ESDH-løsningen, så uønskede formater afvises ved forsøg på upload.</t>
  </si>
  <si>
    <t>Verify: Begrænsning og tilføjelse af filformater — vurderet opfyldt (tool: 1. Fully met).</t>
  </si>
  <si>
    <t>MK-109</t>
  </si>
  <si>
    <t>Kundeoprettede felter</t>
  </si>
  <si>
    <t>ESDH-løsningen skal understøtte, at Administrator via no-code kan oprette og vedligeholde Kundeoprettede felter på både standard- og Kundeoprettede Entiteter.</t>
  </si>
  <si>
    <t>Verify: Kundeoprettede felter — vurderet opfyldt (tool: 1. Fully met).</t>
  </si>
  <si>
    <t>MK-110</t>
  </si>
  <si>
    <t>Brugergrænseflade</t>
  </si>
  <si>
    <t>ESDH-løsningen skal understøtte Konfiguration via en fuldskærmsbaseret brugergrænseflade.</t>
  </si>
  <si>
    <t>Verify: Brugergrænseflade — vurderet opfyldt (tool: 1. Fully met).</t>
  </si>
  <si>
    <t>MK-111</t>
  </si>
  <si>
    <t>Systemopdateringer</t>
  </si>
  <si>
    <t>ESDH-løsningen skal understøtte, at alle Konfigurationer bevares ved systemopdateringer eller opgraderinger.</t>
  </si>
  <si>
    <t>ADN: Det her har historisk givet problemer hvis kunden konfigurerede videre på standard-elementer.</t>
  </si>
  <si>
    <t>Verify: Systemopdateringer — kræver produkt-/team-afklaring (ingen tool-rating).</t>
  </si>
  <si>
    <t>ADN: Det her har historisk givet problemer hvis kunden konfigurerede videre på standard-elementer. | Red flag: Det her har historisk givet problemer hvis kunden konfigurerede videre på standard-elementer.</t>
  </si>
  <si>
    <t>Wiki: 6.10 release information; SubSetupConfig</t>
  </si>
  <si>
    <t>MK-112</t>
  </si>
  <si>
    <t>No-code</t>
  </si>
  <si>
    <t>ESDH-løsningens administratormodul skal understøtte fuld no-code funktionalitet.</t>
  </si>
  <si>
    <t>Verify: No-code — vurderet opfyldt (tool: 1. Fully met).</t>
  </si>
  <si>
    <t>MK-113</t>
  </si>
  <si>
    <t>Feltlængde</t>
  </si>
  <si>
    <t>ESDH-løsningen skal understøtte, at tekstfelters længde som minimum kan indeholde 3500 karakterer for indtastningen af den fulde tekst f.eks. kommentarfelter og øvrige fritekst-felter i Løsningen.</t>
  </si>
  <si>
    <t>ADN: "Alle tekstfelter" hvilket betyder alle felter i løsningen skal kunne indeholde 3500 anslag.
RISK - Kontakt Willy Koch</t>
  </si>
  <si>
    <t>Verify: Feltlængde — gap ift. kravtekst; eskalér commitment eller afklaring.</t>
  </si>
  <si>
    <t>ADN: "Alle tekstfelter" hvilket betyder alle felter i løsningen skal kunne indeholde 3500 anslag. | Red flag: Det ved jeg simpelthen ikke om vi understøtter i alle fritekstfelter i løsningen..</t>
  </si>
  <si>
    <t>Wiki: Virtual metadata</t>
  </si>
  <si>
    <t>MK-114</t>
  </si>
  <si>
    <t>Administration af partsroller</t>
  </si>
  <si>
    <t>ESDH-løsningen skal understøtte, at Administrator kan oprette, ændre og administrere partsroller.</t>
  </si>
  <si>
    <t>Verify: Administration af partsroller — vurderet opfyldt (tool: 1. Fully met).</t>
  </si>
  <si>
    <t>MK-115</t>
  </si>
  <si>
    <t>Journalplan – Oprettelse og vedligeholdelse</t>
  </si>
  <si>
    <t>ESDH-løsningen skal understøtte, at Administrator kan oprette og vedligeholde journalplanen, handlingsfacetter og emneordslister.</t>
  </si>
  <si>
    <t>Verify: Journalplan – Oprettelse og vedligeholdelse — vurderet opfyldt (tool: 1. Fully met).</t>
  </si>
  <si>
    <t>MK-116</t>
  </si>
  <si>
    <t>Journalplan – Antal niveauer</t>
  </si>
  <si>
    <t>ESDH-løsningen skal understøtte, at Administrator kan konfigurere journalplanen med færre end tre niveauer.</t>
  </si>
  <si>
    <t>Verify: Journalplan – Antal niveauer — vurderet opfyldt (tool: 1. Fully met).</t>
  </si>
  <si>
    <t>MK-117</t>
  </si>
  <si>
    <t>Slettepolitikker</t>
  </si>
  <si>
    <t>ESDH-løsningen skal understøtte, at Administrator kan konfigurere slettepolitikker, bevaringskoder og klassifikationskoder.</t>
  </si>
  <si>
    <t>Verify: Slettepolitikker — vurderet opfyldt (tool: 1. Fully met).</t>
  </si>
  <si>
    <t>MK-118</t>
  </si>
  <si>
    <t>Administration og brugergrænseflade</t>
  </si>
  <si>
    <t>ESDH-løsningen skal understøtte, at Administrator kan konfigurere hele ESDH-løsningens brugergrænseflade.</t>
  </si>
  <si>
    <t>ADN: Insane requirement without limits and for eternal enterpretation.. "Brugergrænseflade" is not defined in the deffinitions.
HFR: NO GO for bud</t>
  </si>
  <si>
    <t>Verify: Administration og brugergrænseflade — gap ift. kravtekst; eskalér commitment eller afklaring.</t>
  </si>
  <si>
    <t>ADN: Insane requirement without limits and for eternal enterpretation.. "Brugergrænseflade" is not defined in the deffinitions. | Red flag: ”hele brugergrænsefladen” kan tolkes skidt af en ondsindet modpart.</t>
  </si>
  <si>
    <t>Ratatoskr: Welcome to 360° Administrator (admin-en) | Wiki: 5.0 Functional news and QnA</t>
  </si>
  <si>
    <t>MK-119</t>
  </si>
  <si>
    <t>Konfiguration af sags- og kontakttyper</t>
  </si>
  <si>
    <t>ESDH-løsningen skal understøtte, at Administrator kan konfigurere og vedligeholde alle sags- og kontakttyper.</t>
  </si>
  <si>
    <t>MJ: kontakt kategori  Alternativ er object type</t>
  </si>
  <si>
    <t>Verify: Konfiguration af sags- og kontakttyper — vurderet opfyldt (tool: 1. Fully met).</t>
  </si>
  <si>
    <t>MK-120</t>
  </si>
  <si>
    <t>Konfiguration af sagsnummerformat</t>
  </si>
  <si>
    <t>ESDH-løsningen skal understøtte, at Administrator kan konfigurere sagsnummerformatet.</t>
  </si>
  <si>
    <t>MJ: Kan vi gøre dette I admin? Ligner comm</t>
  </si>
  <si>
    <t>Verify: Konfiguration af sagsnummerformat — vurderet opfyldt (tool: 1. Fully met).</t>
  </si>
  <si>
    <t>docs/tender-reference/extracted/KK Tender tool.txt; docs/tender-reference/extracted/KUM-SLKS/Bilag 1 - Tidsplan.txt; docs/tender-reference/extracted/KUM-SLKS/Bilag 3 - 11.8 - Kravspecifikation - Processtyring (1).txt</t>
  </si>
  <si>
    <t>MK-121</t>
  </si>
  <si>
    <t>Oprettelse af egne sags- og kontakttyper</t>
  </si>
  <si>
    <t>ESDH-løsningen skal understøtte, at Administrator kan oprette, konfigurere og vedligeholde egne sags- og kontakttyper.</t>
  </si>
  <si>
    <t>Adn: We got commitment for FFUI contacts in KUM tender</t>
  </si>
  <si>
    <t>Verify: Oprettelse af egne sags- og kontakttyper — vurderet opfyldt (tool: 1. Fully met).</t>
  </si>
  <si>
    <t>MK-122</t>
  </si>
  <si>
    <t>Fristtyper</t>
  </si>
  <si>
    <t>ESDH-løsningen skal understøtte, at Administrator kan oprette og vedligeholde fristtyper på sager.</t>
  </si>
  <si>
    <t>ADN: Configure custom field og "frist" called fristtype 
MJ: Måske holde fast I at frister er tiljnyttede aktiviteter. Det er også det som anvendes I Flowl.</t>
  </si>
  <si>
    <t>Verify: Fristtyper — vurderet opfyldt (tool: 1. Fully met).</t>
  </si>
  <si>
    <t>ADN: Configure custom field og "frist" called fristtype</t>
  </si>
  <si>
    <t>MK-123</t>
  </si>
  <si>
    <t>Rapport over Brugere</t>
  </si>
  <si>
    <t>ESDH-løsningen skal understøtte, at Administrator kan generere rapporter over Brugeres adgangsrettigheder.</t>
  </si>
  <si>
    <t>Verify: Rapport over Brugere — vurderet opfyldt (tool: 1. Fully met).</t>
  </si>
  <si>
    <t>MK-124</t>
  </si>
  <si>
    <t>Unikke ID</t>
  </si>
  <si>
    <t>ESDH-løsningen skal understøtte, at Administrator kan definere unikke ID'er til Kundeoprettede felter, værdilister, tabeller og Entiteter.</t>
  </si>
  <si>
    <t>ADN: Could a unique ID be the title?
HFR: Systemet understøtter at felter automatisk får et unikt ID. (RISK)</t>
  </si>
  <si>
    <t>Verify: Unikke ID — kræver produkt-/team-afklaring (ingen tool-rating).</t>
  </si>
  <si>
    <t>ADN: Could a unique ID be the title?</t>
  </si>
  <si>
    <t>Torben: Udfyld tool-rating (O) og evidens; gennemgå AI-kladde.</t>
  </si>
  <si>
    <t>K-9</t>
  </si>
  <si>
    <t>Navngivning</t>
  </si>
  <si>
    <t>ESDH-løsningen skal understøtte, at Kunden ved oprettelse af egne Kundeoprettede felter, værdilister og tabeller kan angive ID og navngivning i ét og samme oprettelsesbillede.</t>
  </si>
  <si>
    <t xml:space="preserve">ADN: Could a unique ID be the title?
TAO:Jeg læser blot at man skal kunne angive id og værdi i samme billede, ikke samme felt. Så ok for kodetabeller osv.
HFR: Spørgsmål til Ordregiver ift. Hvad behovet er. </t>
  </si>
  <si>
    <t>Check: Navngivning — kræver produkt-/team-afklaring (ingen tool-rating).</t>
  </si>
  <si>
    <t>ADN: Could a unique ID be the title?
TAO:Jeg læser blot at man skal kunne angive id og værdi i samme billede, ikke samme felt. Så ok for kodetabeller osv</t>
  </si>
  <si>
    <t>docs/tender-reference/extracted/KK Tender tool.txt; docs/tender-reference/extracted/KUM-SLKS/Bilag 3 - Kravspecifikation.txt; docs/product/RFP_Leverandørens_svar_utdrag.txt</t>
  </si>
  <si>
    <t>K-10</t>
  </si>
  <si>
    <t>ESDH-løsningen skal understøtte, at en Administrator kan tilknytte fast metadata til journalplanen i form af adgangsgrupper og adgangsbegrænsning, når der vælges en foruddefineret journalplansværdi.</t>
  </si>
  <si>
    <t xml:space="preserve">ADN: with FFUI on cases - i can based on the archive (part of the journalplan) set an accessgroup and thereby control access. Is that enough to say yes?
HFR: Process based classification. Undersøg om adgangsgrupper kan bruges i journalplan - product first request. </t>
  </si>
  <si>
    <t>Check: Journalplan — gap ift. kravtekst; eskalér commitment eller afklaring.</t>
  </si>
  <si>
    <t>ADN: with FFUI on cases - i can based on the archive (part of the journalplan) set an accessgroup and thereby control access. Is that enough to say yes? | Red flag: Kan vi ikke</t>
  </si>
  <si>
    <t>Wiki: 360° settings - internal reference; 6.0 release information</t>
  </si>
  <si>
    <t>Anton: Commitment/no-bid beslutning; overvej Q&amp;A til ordregiver.</t>
  </si>
  <si>
    <t>K-11</t>
  </si>
  <si>
    <t>Import og eksport af Konfiguration - brugergrænsefladen</t>
  </si>
  <si>
    <t>ESDH-løsningen skal understøtte, at Kundens Konfiguration af brugergrænsefladen kan eksporteres og importeres på tværs af Kundens it-miljøer (f.eks. fra et test- eller udviklingsmiljø til pre-produktions- og produktionsmiljøet).</t>
  </si>
  <si>
    <t xml:space="preserve">ADN: We dont have that. "Import/Eksort UI".
HFR: Der findes et commitment needed på denne på denne. Verificér DEV-OPS: https://dev.azure.com/tieto-si/360/_workitems/edit/408184 
Verificeres af Villy Koch
</t>
  </si>
  <si>
    <t>Check: Import og eksport af Konfiguration - brugergrænsefladen — gap ift. kravtekst; eskalér commitment eller afklaring.</t>
  </si>
  <si>
    <t>ADN: We dont have that. "Import/Eksort UI" | Red flag: Kan vi ikke</t>
  </si>
  <si>
    <t>Wiki: 360° AutoSaver - Technical documentation; Feature Toggles 2025-2026</t>
  </si>
  <si>
    <t>K-12</t>
  </si>
  <si>
    <t>Import og eksport af Konfiguration - Administratormodul</t>
  </si>
  <si>
    <t>ESDH-løsningen skal understøtte, at Kundens Konfiguration fra administratormodulet kan eksporteres og importeres på tværs af Kundens it-miljøer (f.eks. fra et test- eller udviklingsmiljø til pre-produktions- og produktionsmiljøet).</t>
  </si>
  <si>
    <t>ADN: We dont have that "Import/Export webadmin".
HFR: Der findes et commitment needed på denne på denne. Verificér DEV-OPS: https://dev.azure.com/tieto-si/360/_workitems/edit/408184</t>
  </si>
  <si>
    <t>Check: Import og eksport af Konfiguration - Administratormodul — gap ift. kravtekst; eskalér commitment eller afklaring.</t>
  </si>
  <si>
    <t>ADN: We dont have that "Import/Export webadmin" | Red flag: Kan vi ikke</t>
  </si>
  <si>
    <t>Wiki: EArchive 360°; Feature Toggles 2025-2026</t>
  </si>
  <si>
    <t>K-13</t>
  </si>
  <si>
    <t>Moduler</t>
  </si>
  <si>
    <t>ESDH-løsningen skal understøtte, at Løsningens tilknyttede moduler kan administreres i Løsningens administratormodul i form af opsætning og vedligeholdelse.</t>
  </si>
  <si>
    <t>Check: Moduler — vurderet opfyldt (tool: 1. Fully met).</t>
  </si>
  <si>
    <t>Red flag: Kan vi ikke</t>
  </si>
  <si>
    <t>Ratatoskr: 360° Modules (admin-en) | Wiki: Module overview</t>
  </si>
  <si>
    <t>K-14</t>
  </si>
  <si>
    <t>Ensartet datoformat</t>
  </si>
  <si>
    <t>ESDH-løsningen skal understøtte, at en Administrator kan opsætte visning af datoformatet i Løsningen.</t>
  </si>
  <si>
    <t>ADN: We dont have that. - i dont understand why they want it.
HFR: Spørgsmål</t>
  </si>
  <si>
    <t>Check: Ensartet datoformat — gap ift. kravtekst; eskalér commitment eller afklaring.</t>
  </si>
  <si>
    <t>ADN: We dont have that. - i dont understand why they want it.</t>
  </si>
  <si>
    <t>Wiki: Coding Standards and Quality Requirements for Development</t>
  </si>
  <si>
    <t>EK-5</t>
  </si>
  <si>
    <t>Administrator-modul</t>
  </si>
  <si>
    <t>For at understøtte Kundens administration af ESDH-løsningen er det væsentligt, at Administrator kan administrere ESDH-løsningens standardfunktionalitet samt Kundeoprettede Entiteter via no-code.
Leverandøren skal beskrive, hvordan den tilbudte ESDH-løsning understøtter administration via administratormodul.
Leverandøren skal gennem konkrete skærmbilleder demonstrere om og hvordan ESDH-løsningen understøtter de stillede krav og møder Kundens behov.
Leverandøren skal redegøre for: 
Opbygningen af administratormodulet
Hvilke muligheder Administratoren har for at angive navngivning og unik kode i forbindelse med oprettelsen af f.eks. et metadatafelt 
Hvordan Administratorer kan vedligeholde og foretage ændringer samt tilføjelser i alle tabeller og værdilister
Hvordan Administratorer kan opsætte regler og valideringer
Hvordan Administratorer kan opsætte ikoner i ESDH-løsningen til brug i Konfiguration i ESDH-løsningens brugergrænseflade
Hvordan Administratorer kan oprette og vedligeholde Brugere og deres adgange via administratormodulet
Hvordan ESDH-løsningen administratormodul understøtter systembeskeder, der kan vises i brugergrænsefladen
Hvilke datafelter en Administrator kan oprette via administratormodulet
Hvordan Administrator kan oprette og vedligeholde journalplan via administratormodul
Hvordan Administrator kan lave nye sagstyper, dokumenttyper og kontakttyper i administratormodulet
Hvordan Administrator kan lave nye sagsparter, dokumentparter i administratormodulet
Hvordan en Administrator kan oprette egne krydsreferencer
Hvordan Administrator kan oprette og vedligeholde partsroller på sags- og dokumentniveau
Hvordan Administrator kan oprette og vedligeholde både standard noter og nye notetyper på sags-, dokument- og kontaktniveau
Evalueringskriterier:
Det vægtes positivt, i hvor høj grad administratormodulet er opbygget på en intuitiv og brugervenlig måde, hvor Administrator på en let, nem og ensartet måde kan udføre sine opgaver. 
Det vægtes positivt, i hvor høj grad Administratoren kan oprette, vedligeholde og foretage ændringer til alle Entiteter, tabeller og værdilister. 
Det vægtes positivt, i hvor høj grad der i administratormodulet kan oprettes flere datafelter f.eks. kodetabelfelter, datofelter, tekstfelter, talfelter og fritekstfelter.
Det vægtes positivt, i hvor høj grad der i administratormodulet kan oprettes nye sagstyper, dokumenttyper og kontakttyper samt egne Entiteter. 
Det vægtes positivt, i hvor høj grad der i administratormodulet kan oprettes nye sagsparter, dokumentparter samt, i hvor høj grad Administratoren kan omdøbe standardparter eller slette/deaktivere standardparter som ikke skal benyttes af Kunden. 
Det vægtes positivt, i hvor høj grad Administrator kan administrere opsætning af f.eks. journalplan/facetplan, valideringsregler, opsætning af forsendelseskanaler og krav hertil, godkendelsesprocesser samt general opsætning af ESDH-løsningen og dens moduler/funktioner.
Det vægtes positivt, i hvor høj grad Administrator kan oprette og administrere egne kontakthenvisninger og krydsreferencer mellem kontakter. 
Det vægtes positivt, i hvor høj grad ESDH-løsningen har standard-ikoner tilgængelig i administratormodulet.
Det vægtes positivt, i hvor høj grad ESDH-løsningen understøtter oprettelse og vedligeholdelse af standard-ikoner og Kundeoprettet ikoner.
Det vægtes positivt, i hvor høj grad ESDH-løsningen understøtter, at ikoner kan benyttes til validering, således at ikoner kan ændre sig ud fra metadata.
Det vægtes positivt, i hvor høj grad Administrator kan opsætte valideringsregler for, hvilke ikoner som skal benyttes for en sag, og at ikoner på sagen ændres ud fra sagens tilstand.</t>
  </si>
  <si>
    <t>Answer: Administrator-modul — informationskrav; udkast bilag/dokumentation mangler.</t>
  </si>
  <si>
    <t>Ratatoskr: Welcome to 360° Administrator (admin-en); Custom fields (admin-en) | Wiki: 360° settings - internal reference</t>
  </si>
  <si>
    <t>EK-6</t>
  </si>
  <si>
    <t>Leverandøren skal beskrive, om og hvordan den tilbudte ESDH-løsning understøtter Konfiguration og udvidelse af Løsningens Datamodel/objektmodel via en administrativ brugergrænseflade.
Leverandøren skal redegøre for: 
Hvordan Administratorer kan tilføje og vedligeholde metadata på Løsningens standardentiteter, herunder Dokument, sag og kontakt
Hvordan Administratorer kan oprette nye Entiteter/objekttyper med tilhørende metadatafelter, felttyper, valideringsregler, klassifikationer og eventuelle statusmodeller
Hvordan der kan oprettes og vedligeholdes relationer mellem både standardentiteter og nye Entiteter
Hvordan nye Entiteter og metadata kan gøres tilgængelige i sagsbehandlerens brugergrænseflade gennem Konfiguration af skærmbilleder, formularer, visninger, søgning, lister og rettighedsstyring
Hvordan nye Entiteter, metadata og relationer eksponeres gennem Løsningens standard ESDH-integrations-API, herunder om API’et automatisk afspejler konfigurerede udvidelser, eller om dette kræver særskilt udvikling, tilpasning eller leverandørbistand
Hvordan ændringer i Datamodellen håndteres over tid, herunder versionering, migrering af eksisterende data, audit/logning, test og publicering mellem miljøer
Evalueringskriterier:
Det vægtes positivt, i hvor høj grad Løsningen understøtter, at en Administrator kan konfigurere og udvide Datamodel, metadata, relationer, brugergrænseflade og API-tilgængelighed uden kodeændringer, databaseændringer eller leverandørspecifik udvikling.
Det vægtes positivt, i hvor høj grad nye Entiteter, metadata og relationer indgår konsistent på tværs af sagsbehandlergrænseflade, søgninger, rettighedsstyring, audit, rapportering og standard ESDH-integrations-API.
Det vægtes positivt, i hvor høj grad udvidelser af Datamodellen ikke kræver specialudvikling herunder direkte databaseændringer, særskilte integrationskomponenter eller væsentlig leverandørbistand.</t>
  </si>
  <si>
    <t>Answer: Datamodel — informationskrav; udkast bilag/dokumentation mangler.</t>
  </si>
  <si>
    <t>Ratatoskr: Custom fields (admin-en) | Wiki: Virtual metadata; 360° AutoSaver - Technical documentation</t>
  </si>
  <si>
    <t>EK-7</t>
  </si>
  <si>
    <t>Konfiguration af bruger-grænseflade</t>
  </si>
  <si>
    <t>Leverandøren skal beskrive, hvordan den tilbudte ESDH-løsning understøtter Konfiguration af brugergrænsefladen. 
Leverandøren skal gennem konkrete skærmbilleder demonstrere om og hvordan ESDH-løsningen understøtter de stillede krav og møder Kundens behov.
Leverandøren skal redegøre for: 
Hvordan Administrator kan konfigurere data på sager, Dokumenter og kontakter f.eks. metadata og faner. 
Hvordan Administrator kan navngive ESDH-løsningen standardfelter og egne konfigurerede faner på sager, Dokumenter, kontakter og kolonner 
Hvordan Brugeren kan konfigurere sine egne visninger f.eks. ved at påsætte kolonner og filtre
Hvordan en Administrator kan definere, hvilke metadata, både standardfelter og egne konfigurerede felter, som bliver vist på visningsbilleder, faner, kolonner og lister. 
Evalueringskriterier:
Det vægtes positivt, i hvor høj grad Administrator kan definere, hvilke data som bliver vist på visningsbilleder på ESDH-løsningens Entiteter og på faner, kolonner og lister.
Det vægtes positivt, i hvor høj grad Brugeren selv har mulighed for at tilpasse og opsætte egen visning i brugergrænsefladen.</t>
  </si>
  <si>
    <t>Answer: Konfiguration af bruger-grænseflade — informationskrav; udkast bilag/dokumentation mangler.</t>
  </si>
  <si>
    <t>EK-8</t>
  </si>
  <si>
    <t>Afgørelses-modul</t>
  </si>
  <si>
    <t>Kunden har behov for at registrere Afgørelser på sager i forbindelse med en ansøgning f.eks. familiesammenføring. 
Leverandøren skal beskrive, hvordan den tilbudte ESDH-løsning understøtter Konfiguration af Afgørelser. 
Leverandøren skal gennem konkrete skærmbilleder demonstrere om og hvordan ESDH-løsningen understøtter de stillede krav og møder Kundens behov.
Leverandøren skal redegøre for: 
Hvordan en Administrator kan oprette en Afgørelse som en Entitet i administratormodulet
Hvordan en Administrator opretter Kundeoprettede felter til afgørelsesentiteten med følgende metadata og relationer:
Metadata
Sagsnr.
Afgørelsesdato
Afgørelsesudfald 
Afgørelsesbegrundelse
Sagsområde f.eks. familiesammenføring
Ansvarligt team
Ansvarlig sagsbehandler 
Relationer til:
Afgørelsesdokument
Kontakt (ansøger)
Hvordan en Afgørelse skal registreres på en sag i brugergrænsefladen
Hvordan en Afgørelse som er registreret på en sag automatisk vises og relateres til kontakten i brugergrænsefladen
Hvordan en Afgørelse som er registreret på en sag automatisk vises og relateres til afgørelsesdokumentet
Evalueringskriterier:
Det vægtes positivt, i hvor høj grad metadata og relationer i afgørelsesmodulet kan oprettes i administratormodulet af Administrator.
Det vægtes positivt, i hvor høj grad en Afgørelse kan registreres og vises på en overskuelig måde for Brugeren på en sag i brugergrænsefladen.
Det vægtes positivt, i hvor høj grad en Afgørelse kan vises og udstilles på flere Entiteter i brugergrænsefladen. 
Det vægtes positivt, i hvor høj grad en Afgørelses relationer vises i brugergrænsefladen.
Det vægtes positivt, i hvor høj grad Brugeren kan se alle oplysninger om en Afgørelse i brugergrænsefladen ved mindst mulige klik.</t>
  </si>
  <si>
    <t>Answer: Afgørelses-modul — informationskrav; udkast bilag/dokumentation mangler.</t>
  </si>
  <si>
    <t>MK-125</t>
  </si>
  <si>
    <t>Adgangsstyring</t>
  </si>
  <si>
    <t>Adgangsstyring på Entiteter</t>
  </si>
  <si>
    <t>ESDH-løsningen skal understøtte, at der kan sættes adgangsrettigheder på sager, Dokumenter og kontakter.</t>
  </si>
  <si>
    <t>Verify: Adgangsstyring på Entiteter — vurderet opfyldt (tool: 1. Fully met).</t>
  </si>
  <si>
    <t>docs/tender-reference/extracted/Nationalbanken/Bilag 3.i Leverandørens Løsningsbeskrivelse.txt; docs/tender-reference/extracted/KUM-SLKS/Bilag 3 - Kravspecifikation.txt; docs/tender-reference/extracted/Nationalbanken/Bilag 9.i Leverandørens løsningsbeskrivelse.txt</t>
  </si>
  <si>
    <t>MK-126</t>
  </si>
  <si>
    <t>Nedarvning af rettigheder fra sag til Dokumenter</t>
  </si>
  <si>
    <t>ESDH-løsningen skal understøtte, at rettigheder fra en sag kan nedarves til sagens tilknyttede Dokumenter og Filer.</t>
  </si>
  <si>
    <t>ADN: Case_Accessgroup could be used - or just "Inherit accessgroup"</t>
  </si>
  <si>
    <t>Verify: Nedarvning af rettigheder fra sag til Dokumenter — vurderet opfyldt (tool: 1. Fully met).</t>
  </si>
  <si>
    <t>MK-127</t>
  </si>
  <si>
    <t>Begrænsning af adgangsrettigheder</t>
  </si>
  <si>
    <t>ESDH-løsningen skal understøtte, at adgangsrettigheden til Entiteter kan begrænses eller gøres fortrolig ad hoc af en Bruger, direkte i brugergrænsefladen.</t>
  </si>
  <si>
    <t>Verify: Begrænsning af adgangsrettigheder — vurderet opfyldt (tool: 1. Fully met).</t>
  </si>
  <si>
    <t>MK-128</t>
  </si>
  <si>
    <t>Differentierede adgangsrettigheder</t>
  </si>
  <si>
    <t>ESDH-løsningen skal understøtte differentierede adgangsrettigheder på alle standard og Kundeoprettede Entiteter, så der kan tildeles rettigheder til at: 
Læse
Skrive</t>
  </si>
  <si>
    <t>Verify: Differentierede adgangsrettigheder — vurderet opfyldt (tool: 1. Fully met).</t>
  </si>
  <si>
    <t>MK-129</t>
  </si>
  <si>
    <t>Visning af Brugere</t>
  </si>
  <si>
    <t>ESDH-løsningen skal understøtte, at det i brugergrænsefladen kan ses, hvilke Brugere eller adgangsgrupper, der har adgang til den konkrete sag, Dokument eller kontakt.</t>
  </si>
  <si>
    <t>Verify: Visning af Brugere — vurderet opfyldt (tool: 1. Fully met).</t>
  </si>
  <si>
    <t>MK-130</t>
  </si>
  <si>
    <t>Adgangsstyring af kontakter</t>
  </si>
  <si>
    <t>ESDH-løsningen skal understøtte, at adgangen til kontakter kan begrænses, således at udvalgte kontakter kun kan tilgås af Brugere med de nødvendige adgangsrettigheder.</t>
  </si>
  <si>
    <t>Verify: Adgangsstyring af kontakter — vurderet opfyldt (tool: 1. Fully met).</t>
  </si>
  <si>
    <t>MK-131</t>
  </si>
  <si>
    <t>Organisatorisk adgang</t>
  </si>
  <si>
    <t>ESDH-løsningen skal understøtte, at sager, Dokumenter og kontakter kan oprettes med en organisatorisk adgang, så Brugere fra flere Myndigheder kan tilgå disse.</t>
  </si>
  <si>
    <t xml:space="preserve">HFR: Spørgsmål vedr.om adgang til entiteter skal udvides til flere myndigheder kan tilgå disse. </t>
  </si>
  <si>
    <t>Verify: Organisatorisk adgang — vurderet opfyldt (tool: 1. Fully met).</t>
  </si>
  <si>
    <t>MK-132</t>
  </si>
  <si>
    <t>Fravigelse af adgangsrettigheder</t>
  </si>
  <si>
    <t>ESDH-løsningen skal understøtte, at Administratoren eller en anden udvalgt Bruger har adgang til alle Entiteter oprettet i databasen uagtet påsatte adgangsrettigheder.</t>
  </si>
  <si>
    <t>ADN: Configure contact matrixes with ADMIN-lines</t>
  </si>
  <si>
    <t>Verify: Fravigelse af adgangsrettigheder — vurderet opfyldt (tool: 1. Fully met).</t>
  </si>
  <si>
    <t>MK-133</t>
  </si>
  <si>
    <t>Kontrol af adgangsrettigheder</t>
  </si>
  <si>
    <t>ESDH-løsningen skal understøtte udstilling af sager, Dokumenter, kontakter, der tidligere er blevet adgangsbegrænset, men hvor ingen Aktive brugere længere har adgang til Entiteten. De adgangsbegrænsede Entiteter skal udstilles på en liste til Administratoren eller anden udvalgt Bruger.</t>
  </si>
  <si>
    <t xml:space="preserve">ADN: We dont have that. Could we extract this information with Management Reporting API?
HFR: Product first commitment på dette. </t>
  </si>
  <si>
    <t>Verify: Kontrol af adgangsrettigheder — gap ift. kravtekst; eskalér commitment eller afklaring.</t>
  </si>
  <si>
    <t>ADN: We dont have that. Could we extract this information with Management Reporting API? | Red flag: Har vi ikke</t>
  </si>
  <si>
    <t>MK-134</t>
  </si>
  <si>
    <t>Adgangsstyring på Kundeoprettede Entiteter</t>
  </si>
  <si>
    <t>ESDH-løsningen skal understøtte, at der kan tildeles adgangsrettigheder til Kundeoprettede Entiteter.</t>
  </si>
  <si>
    <t>Verify: Adgangsstyring på Kundeoprettede Entiteter — vurderet opfyldt (tool: 1. Fully met).</t>
  </si>
  <si>
    <t>MK-135</t>
  </si>
  <si>
    <t>ESDH-løsningen skal understøtte, at en Bruger direkte i brugergrænsefladen kan begrænse adgangen til Kundeoprettede Entiteter ad hoc.</t>
  </si>
  <si>
    <t>Red flag: Begrænser muligheden for at bruge ”Case accessgroup” der ellers passer på deres MK’s</t>
  </si>
  <si>
    <t>Ratatoskr: Access group (admin-en) | Wiki: Integration users</t>
  </si>
  <si>
    <t>K-15</t>
  </si>
  <si>
    <t>Dokumentadgang uafhængigt af sagsadgang</t>
  </si>
  <si>
    <t>ESDH-løsningen skal understøtte, at adgang til Dokumenter og Bilag kan tildeles uafhængigt af adgang til den tilhørende sag. Brugere med adgang til et Dokument eller Bilag, men uden adgang til sagen, må ikke kunne tilgå eller se oplysninger om sagens øvrige indhold.</t>
  </si>
  <si>
    <t>ADN: If we use Grant on Document level, we support this</t>
  </si>
  <si>
    <t>Check: Dokumentadgang uafhængigt af sagsadgang — vurderet opfyldt (tool: 1. Fully met).</t>
  </si>
  <si>
    <t>EK-9</t>
  </si>
  <si>
    <t>Organisatoriske rolle/ rettigheder</t>
  </si>
  <si>
    <t>ESDH-løsningen skal understøtte, at Brugere tildeles roller og rettigheder via AD-rettighedsgrupper. Rolle/rettighedsstrukturen skal sikre, at Brugeren kan udføre relevante og nødvendige opgaver, og at Brugeren har adgang til nødvendige Entiteter. 
Leverandøren skal beskrive, hvordan den tilbudte ESDH-løsning understøtter organisatoriske rolle/rettigheder. 
Leverandøren skal gennem konkrete skærmbilleder demonstrere om og hvordan ESDH-løsningen understøtter de stillede krav og møder Kundens behov.
Leverandøren skal redegøre for: 
Hvordan ESDH-løsningen understøtter flere Myndigheder i samme database
Hvordan ESDH-løsningen understøtter, at udvalgte Entiteter og tilhørende data kan deles på tværs af Myndigheder helt eller delvist
Hvordan ESDH-løsningen understøtter samarbejde på tværs af Myndigheder i samme database
Rolle/rettighedsstruktur i ESDH-løsningen og implementeringen af disse ved Brugerne
Evalueringskriterier:
Det vægtes positivt, i hvor høj grad ESDH-løsningen kan understøtte flere Myndigheder i samme database ved opsætning af organisatoriske niveauer.
Det vægtes positivt, i hvor høj grad ESDH-løsningen kan udstille og dele data fra Entiteter f.eks. at udvalgt metadata fra sagen (f.eks. sagsbehandler, status, team) kan ses på tværs af Myndigheder, selvom Brugeren ikke har adgang til at se den konkrete sags indhold. 
Det vægtes positivt, i hvor høj grad ESDH-løsningen på en let og intuitiv måde understøtter samarbejde på tværs af Myndigheder uden behov for ændringer i rolle/rettighedsstruktur.
Det vægtes positivt i hvor høj grad ESDH-løsningen understøtter Brugerens muligheder for at varetage opgaver uden manuelt skift af rolle.</t>
  </si>
  <si>
    <t>Answer: Organisatoriske rolle/ rettigheder — informationskrav; udkast bilag/dokumentation mangler.</t>
  </si>
  <si>
    <t>Ratatoskr: Access group (admin-en) | Wiki: User management for Online services; 5.1 release information</t>
  </si>
  <si>
    <t>EK-10</t>
  </si>
  <si>
    <t>Logning af brugergrænseflade</t>
  </si>
  <si>
    <t>Brugerrettet logning og sagsgang i brugergrænsefladen</t>
  </si>
  <si>
    <t>Da ESDH-løsningen automatisk skal logge brugerhandlinger i brugergrænsefladen, skal ESDH-løsningen understøtte en visuel udstilling af logningen i brugergrænsefladen. 
ESDH-løsningen skal understøtte en visuel udstilling af logningen, så det er synligt for sagsbehandlerne, hvem der har arbejdet på sagen, hvilke ændringer der er foretaget, og hvornår. Visningen skal dække proceshandlinger – eksempelvis når godkendelsesflow afsluttes, eller når en sag tildeles en specifik person eller lægges tilbage i en fælles pulje m.fl. – og skal for hver logget hændelse som minimum indeholde:
Præcis tidsstempling for tilføjelse, visning, ændring eller sletning.
Entydig identifikation af den Bruger, der har udført handlingen.
Det specifikke felt (inklusive Kundeoprettede felter) eller Dokument, handlingen vedrører.
Leverandøren skal beskrive, hvordan den tilbudte ESDH-løsning visuelt udstiller logning på sagsgang i brugergrænsefladen.
Leverandøren skal gennem konkrete skærmbilleder demonstrere om og hvordan ESDH-løsningen understøtter de stillede krav og møder Kundens behov.
Leverandøren skal redegøre for:
Hvordan ESDH-løsningen automatisk logger og visuelt udstiller sagsgangen og proceshandlinger direkte i brugergrænsefladen
Hvordan sagsbehandleren får et klart overblik over, hvem der har arbejdet på sagen, hvilke ændringer der er foretaget, og hvornår
Hvordan Løsningen sikrer visning af de krævede minimumsoplysninger for hver logget hændelse: præcis tidsstempling (ved tilføjelse, visning, ændring eller sletning), entydig brugeridentifikation og det specifikke felt (inklusive Kundeoprettede felter) eller Dokument
Hvordan Løsningen logger og viser specifikke proceshandlinger, herunder når et godkendelsesflow afsluttes, når en sag tildeles en specifik person, eller når en sag lægges tilbage i en fælles pulje
Evalueringskriterier:
Det vægtes positivt, i hvor høj grad logningen af brugerhandlinger præsenteres intuitivt og grafisk (f.eks. som en tidslinje) i brugergrænsefladen, så sagsbehandleren hurtigt kan afkode sagens historik uden tung tekstlæsning.
Det vægtes positivt, at den filtrerede eller fulde loghistorik nemt kan eksporteres direkte fra brugergrænsefladen til standardformater (f.eks. Excel eller PDF) til brug ved aktindsigter eller ledelsestilsyn.
Det vægtes positivt, i hvor høj grad logning af noter fremgår i brugergrænsefladen med følgende oplysninger: oprettelsesdato, forfatter, redigeringsdato og hvilken Bruger, der har redigeret noten.</t>
  </si>
  <si>
    <t>Answer: Brugerrettet logning og sagsgang i brugergrænsefladen — informationskrav; udkast bilag/dokumentation mangler.</t>
  </si>
  <si>
    <t>Ratatoskr: Audit trails (admin-en); Entity Log Messages (admin-en) | Wiki: 360° Online Security Specifications customer version</t>
  </si>
  <si>
    <t>MK-136</t>
  </si>
  <si>
    <t>Adgang til data</t>
  </si>
  <si>
    <t>ESDH-løsningen skal understøtte, at data skal kunne tilgås og udtrækkes udenom leverandørspecifikke værktøjer, således at fremtidig migrering til en anden platform kan gennemføres med begrænset kompleksitet og uden tab af data.</t>
  </si>
  <si>
    <t>ADN:  Kan det lade sig gøre at trække data ud uden Leverandørspecifikke værktøjer?</t>
  </si>
  <si>
    <t>Verify: Adgang til data — kræver produkt-/team-afklaring (ingen tool-rating).</t>
  </si>
  <si>
    <t>ADN:  Kan det lade sig gøre at trække data ud uden Leverandørspecifikke værktøjer? | Red flag: Kan det lade sig gøre at trække data ud uden?</t>
  </si>
  <si>
    <t>Ratatoskr: SIF (Simple Integration Framework) (admin-en) | Wiki: How to: Migrate From On-Premise to Online; Simple Integration Framework (SIF)</t>
  </si>
  <si>
    <t>Owner: Udfyld tool-rating (O) og evidens; gennemgå AI-kladde.</t>
  </si>
  <si>
    <t>MK-137</t>
  </si>
  <si>
    <t>Office-Integration</t>
  </si>
  <si>
    <t>Integration til Microsoft Office</t>
  </si>
  <si>
    <t>Leverandøren skal have integration til Microsoft Office applikationerne: Word, Excel og PowerPoint.</t>
  </si>
  <si>
    <t>Verify: Integration til Microsoft Office — vurderet opfyldt (tool: 1. Fully met).</t>
  </si>
  <si>
    <t>docs/product/Public_360_Release_Overview_Since_5.12.md; docs/product/RFP_Leverandørens_svar_utdrag.txt; docs/tender-reference/extracted/HSØ/02.00-Tietoevry-SSA-L-Bilag 2-Leverandørens beskrivelse av Tjenesten.txt</t>
  </si>
  <si>
    <t>MK-138</t>
  </si>
  <si>
    <t>Understøttelse af filtyperne: Microsoft PowerPoint, Word og Excel</t>
  </si>
  <si>
    <t>ESDH-løsningen skal understøtte Standardintegration til Microsoft PowerPoint, Word og Excel, så Filer kan oprettes, redigeres og journaliseres direkte fra Microsoft PowerPoint, Word og Excel.</t>
  </si>
  <si>
    <t>Verify: Understøttelse af filtyperne: Microsoft PowerPoint, Word og Excel — vurderet opfyldt (tool: 1. Fully met).</t>
  </si>
  <si>
    <t>MK-139</t>
  </si>
  <si>
    <t>Journalisering på sag</t>
  </si>
  <si>
    <t>ESDH-løsningen skal understøtte, at en Fil kan journaliseres på en ny eller eksisterende sag direkte fra Word, Excel og PowerPoint.</t>
  </si>
  <si>
    <t>Verify: Journalisering på sag — vurderet opfyldt (tool: 1. Fully met).</t>
  </si>
  <si>
    <t>MK-140</t>
  </si>
  <si>
    <t>Dokumentskabelon</t>
  </si>
  <si>
    <t>ESDH-løsningen skal understøtte, at Filer kan oprettes baseret på dokumentskabeloner i ESDH-løsningen med brug af flettefelter fra ESDH-løsningen.</t>
  </si>
  <si>
    <t>Verify: Dokumentskabelon — vurderet opfyldt (tool: 1. Fully met).</t>
  </si>
  <si>
    <t>MK-141</t>
  </si>
  <si>
    <t>Vedligeholdelse af Dokumentskabeloner</t>
  </si>
  <si>
    <t>ESDH-løsningen skal understøtte, at dokumentskabeloner kan vedligeholdes af Kunden.</t>
  </si>
  <si>
    <t>Verify: Vedligeholdelse af Dokumentskabeloner — vurderet opfyldt (tool: 1. Fully met).</t>
  </si>
  <si>
    <t>MK-142</t>
  </si>
  <si>
    <t>Registrering af Kundeoprettede felter</t>
  </si>
  <si>
    <t>Integrationen skal understøtte, at Brugere har mulighed for, at registrere Kundeoprettede felter i forbindelse med journalisering i Word, Excel og PowerPoint.</t>
  </si>
  <si>
    <t>Verify: Registrering af Kundeoprettede felter — vurderet opfyldt (tool: 1. Fully met).</t>
  </si>
  <si>
    <t>Red flag: Det har vi ikke endnu</t>
  </si>
  <si>
    <t>Ratatoskr: Custom fields (admin-en)</t>
  </si>
  <si>
    <t>K-16</t>
  </si>
  <si>
    <t>Integration til andre office-applikationsudbydere</t>
  </si>
  <si>
    <t>ESDH-løsningen skal understøtte integration til andre leverandører af office-pakker end Microsoft Office, som tilbyder samme services som kravstillet til standardsoftware, f.eks. opensource office pakken LibreOffice, som kan afvikles på Statens IT’s SIA pc.</t>
  </si>
  <si>
    <t>ADN: We dont have this Yet.
HFR: Product first commitment</t>
  </si>
  <si>
    <t>Check: Integration til andre office-applikationsudbydere — gap ift. kravtekst; eskalér commitment eller afklaring.</t>
  </si>
  <si>
    <t>ADN: We dont have this Yet.</t>
  </si>
  <si>
    <t>Wiki: QA for Next Generation; 6.3 release information</t>
  </si>
  <si>
    <t>MK-143</t>
  </si>
  <si>
    <t>Outlook-Integration</t>
  </si>
  <si>
    <t>Outlook integration</t>
  </si>
  <si>
    <t>ESDH-løsningen skal have integration til Outlook via et plugin, som muliggør, at e-mails kan journaliseres direkte i ESDH-løsningen fra Outlook.</t>
  </si>
  <si>
    <t>Verify: Outlook integration — vurderet opfyldt (tool: 1. Fully met).</t>
  </si>
  <si>
    <t>MK-144</t>
  </si>
  <si>
    <t>Afsendelse af e-mail</t>
  </si>
  <si>
    <t>ESDH-løsningen skal understøtte, at en e-mail samt dens afsendelseshistorik, herunder modtagere og afsendelsesdato kan journaliseres fra Outlook.</t>
  </si>
  <si>
    <t>Verify: Afsendelse af e-mail — vurderet opfyldt (tool: 1. Fully met).</t>
  </si>
  <si>
    <t>MK-145</t>
  </si>
  <si>
    <t>Markering af journaliseret e-mail</t>
  </si>
  <si>
    <t>ESDH-løsningen skal understøtte, at det fremgår visuelt i Outlook-mapper, på hvilken sag og hvornår en e-mail er blevet journaliseret i ESDH-løsningen.</t>
  </si>
  <si>
    <t>Office Webapps</t>
  </si>
  <si>
    <t>ADN: We allmost support this with office Webapps integration - we dont show "When" yet, but Willy stated it could be added.
HFR: Commitment needed</t>
  </si>
  <si>
    <t>Verify: Markering af journaliseret e-mail — delvist opfyldt; afklar scope og scoring.</t>
  </si>
  <si>
    <t>ADN: We allmost support this with office Webapps integration - we dont show "When" yet, but Willy stated it could be added. | Red flag: Kan vi kun med office webapps</t>
  </si>
  <si>
    <t>Ratatoskr: Enable counters in Outlook sidebar (admin-en) | Wiki: 5.17 release information</t>
  </si>
  <si>
    <t>Anton: Afklar delkrav; align tool-rating (O) med AI compliance.</t>
  </si>
  <si>
    <t>MK-146</t>
  </si>
  <si>
    <t>Afsendelse af e-mail fra ESDH-løsningen</t>
  </si>
  <si>
    <t>ESDH-løsningen skal understøtte, at en e-mail, der initieres fra ESDH-løsningen, automatisk kan journaliseres på den tilknyttede sag ved afsendelse.</t>
  </si>
  <si>
    <t>HFR: Potentiel risk</t>
  </si>
  <si>
    <t>Verify: Afsendelse af e-mail fra ESDH-løsningen — vurderet opfyldt (tool: 1. Fully met).</t>
  </si>
  <si>
    <t>MK-147</t>
  </si>
  <si>
    <t>Fravalg af Dokumenter</t>
  </si>
  <si>
    <t>ESDH-løsningen skal understøtte, at Brugeren ved journalisering af en e-mail kan fravælge enten selve Hoveddokumentet eller flere af de vedhæftede Bilag.</t>
  </si>
  <si>
    <t>Verify: Fravalg af Dokumenter — vurderet opfyldt (tool: 1. Fully met).</t>
  </si>
  <si>
    <t>MK-148</t>
  </si>
  <si>
    <t>Funktionspostkasser</t>
  </si>
  <si>
    <t>ESDH-løsningen skal understøtte en indbakkesag, som afspejler Kundens funktionspostkasser fra Outlook. Brugeren skal kunne anvende indbakkesagen til at journalisere fra til relevante sager.</t>
  </si>
  <si>
    <t>Anton: Understøtter vi ikke endnu</t>
  </si>
  <si>
    <t>Verify: Funktionspostkasser — vurderet opfyldt (tool: 1. Fully met).</t>
  </si>
  <si>
    <t>Anton: Understøtter vi ikke endnu | Red flag: Understøtter vi ikke endnu</t>
  </si>
  <si>
    <t>Wiki: 6.0 release information; EDoc Documentation for Support</t>
  </si>
  <si>
    <t>K-17</t>
  </si>
  <si>
    <t>Integration til andre e-mail klient udbydere</t>
  </si>
  <si>
    <t>ESDH-løsningen skal understøtte integration til andre leverandører af e-mail klienter, som tilbyder samme services som kravstillet til standardsoftware, f.eks. Evolution mailklient, som kan afvikles på Statens IT’s SIA pc.</t>
  </si>
  <si>
    <t>ADN: We dont have this Yet.
HFR: Product first commitment.
HFR: Spørgsmål omkring servere på mailklienten</t>
  </si>
  <si>
    <t>Check: Integration til andre e-mail klient udbydere — gap ift. kravtekst; eskalér commitment eller afklaring.</t>
  </si>
  <si>
    <t>Wiki: Roadmap overview; 5.11 release information</t>
  </si>
  <si>
    <t>EK-11</t>
  </si>
  <si>
    <t>Outlook integration til journalisering</t>
  </si>
  <si>
    <t>ESDH-løsningen skal understøtte en effektiv og brugervenlig integration med Outlook, som understøtter sammenhængende arbejdsgange og nem journalisering af e-mails og Dokumenter.
Leverandøren skal beskrive, hvordan den tilbudte ESDH-løsning integrerer med Outlook. 
Leverandøren skal gennem konkrete skærmbilleder demonstrere om og hvordan ESDH-løsningen understøtter de stillede krav og møder Kundens behov.
Leverandøren skal redegøre for: 
Hvordan integrationen mellem ESDH-løsningen og Outlook understøtter en effektiv opgavehåndtering, herunder håndtering af e-mails, Dokumenter og journalisering direkte fra Outlook.
Evalueringskriterier:
Det vægtes positivt, i hvor høj grad Outlook integrationen understøtter, at Brugere direkte fra e-mailklienten kan oprette en ny sag og journalisere den modtagne eller afsendte e-mail samt tilhørende Bilag på sagen i én sammenhængende arbejdsgang.
Det vægtes positivt, hvor nemt og effektivt det er for Brugeren at vælge, om e-mail og tilhørende Bilag kan journaliseres som selvstændige Filer i Løsningen eller kan fravælge e-mail eller konkrete tilhørende Bilag.
Det vægtes positivt, at Løsningen understøtter en nem og effektiv journalisering fra fællespostkasser i Outlook.
Det vægtes positivt, i hvor høj grad Løsningen understøtter brugervenlig og intuitiv journalisering af e-mails på sager, f.eks. mulighed for søgning på relevante sager eller navigation direkte til sagen ved journalisering af e-mails.
Det vægter positivt, i hvor høj grad Løsningen understøtter journalisering af afsendte e-mails, der initieres direkte fra ESDH-løsningen, med færrest mulige kommandoer og uden behov for manuel metadataregistrering.
Det vægter positivt, i hvor høj grad Løsningen understøtter hurtig og nem afsendelse af en eller flere Filer direkte via Outlook, hvor Brugeren kan vælge imellem afsendelse i original version eller som PDF-version.
Det vægtes positivt, at ESDH-løsningen understøtter, at en e-mail fra en sag i ESDH-løsningen kan åbnes i Outlook uden download af e-mailen til Brugerens pc. 
Det vægtes positivt, i hvor høj grad registreringsmetoden og dataregistreringen er ens, uanset om en e-mail journaliseres direkte i ESDH-løsningens browsergrænseflade eller via Outlook-plugin.</t>
  </si>
  <si>
    <t>Answer: Outlook integration til journalisering — informationskrav; udkast bilag/dokumentation mangler.</t>
  </si>
  <si>
    <t>Ratatoskr: Enable counters in Outlook sidebar (admin-en); Client (admin-en)</t>
  </si>
  <si>
    <t>MK-149</t>
  </si>
  <si>
    <t>Standardintegrationer</t>
  </si>
  <si>
    <t>Integration og digitalisering af fysiske Filer</t>
  </si>
  <si>
    <t>ESDH-løsningen skal understøtte modtagelse og tilknytning af Filer, der er digitaliseret fra papirformat via en f.eks. Tungsten Automation eller en tilsvarende løsning.
Det skal være muligt automatisk eller manuelt at knytte de indscannede Filer til relevante Entiteter med tilhørende metadata om oprindelse, modtagelsestidspunkt og eventuelle klassifikationsoplysninger.</t>
  </si>
  <si>
    <t>Autosaver</t>
  </si>
  <si>
    <t>ADN: I would asume we could solve this with Autosaver or SIF? - but i would like a second opinion</t>
  </si>
  <si>
    <t>Verify: Integration og digitalisering af fysiske Filer — kræver produkt-/team-afklaring (ingen tool-rating).</t>
  </si>
  <si>
    <t>docs/product/RFP_Leverandørens_svar_utdrag.txt; docs/tender-reference/extracted/NND/02.01-Tieto-Bilag 2-Vedlegg-Leverandørens utfyllende svar til kravtabell.txt; docs/tender-reference/extracted/Nationalbanken/Bilag 3.i Leverandørens Løsningsbeskrivelse.txt</t>
  </si>
  <si>
    <t>MK-150</t>
  </si>
  <si>
    <t>Eksisterende skannere</t>
  </si>
  <si>
    <t>Scanningsløsningen skal kunne benyttes på følgende fysiske skannere: 
Kodak Legal Size Flatbed Accessory 
KODAK I4650
RICOH fi-7600</t>
  </si>
  <si>
    <t>Scanning</t>
  </si>
  <si>
    <t xml:space="preserve">ADN: No clue
TAO: Kan vi slippe ud af at understøtte faktisk skanning, vi hænger på regningen fra Scansolutions i den eksisterende kontrakt. De fleste andre entreer selv med Scansolitions og kofax licenser.
HFR: Spørgsmål til Ordregiver jf. målarkitektur, at Ordregiver selv har en skanningsløsning. </t>
  </si>
  <si>
    <t>Verify: Eksisterende skannere — delvist opfyldt; afklar scope og scoring.</t>
  </si>
  <si>
    <t>ADN: No clue
TAO: Kan vi slippe ud af at understøtte faktisk skanning, vi hænger på regningen fra Scansolutions i den eksisterende kontrakt. De fleste andre entreer selv med Scansolitions og kofax licenser | Red flag: Ingen ide</t>
  </si>
  <si>
    <t>No scanner hardware compatibility documentation (Kodak/Ricoh models)</t>
  </si>
  <si>
    <t>Owner: Afklar delkrav; align tool-rating (O) med AI compliance.</t>
  </si>
  <si>
    <t>MK-151</t>
  </si>
  <si>
    <t>Indbakke</t>
  </si>
  <si>
    <t>De skannede Dokumenter skal ende i en ”skanningsindbakke” i ESDH-løsningen, hvor man kan modtage skannede Dokumenter til en afdeling, team eller til enkeltpersoner. Scannede Dokumenter til enkeltpersoner skal også kunne ses af afdelingen/teamet.</t>
  </si>
  <si>
    <t>ADN: Unsure if we can scan to individuals?
TAO: Der er QR koder til individer, det er værre med teams, er de beskrevet andet steds? hvis team = orgenhed så ok</t>
  </si>
  <si>
    <t>Verify: Indbakke — delvist opfyldt; afklar scope og scoring.</t>
  </si>
  <si>
    <t>ADN: Unsure if we can scan to individuals?
TAO: Der er QR koder til individer, det er værre med teams, er de beskrevet andet steds? hvis team = orgenhed så ok | Red flag: Ved ikke om vi understøtter til enkeltpersoner..?</t>
  </si>
  <si>
    <t>Wiki: 5.16 release information; 5.18 release information</t>
  </si>
  <si>
    <t>MK-152</t>
  </si>
  <si>
    <t>Præjournalisering af skannet post</t>
  </si>
  <si>
    <t>Det skal være muligt at præjournalisere skannet post i ESDH-løsningen. Løsningen skal understøtte, at en Bruger kan angive en afsender og dokumenttitel i den præjournaliserede post.</t>
  </si>
  <si>
    <t>ADN: This must be solved by scanning solution to unregistered documents
TAO: Vi har ikke en fungrende standard import for Dansk skanning, må få commitment på import ud fra det format scansolutions leverer.</t>
  </si>
  <si>
    <t>Verify: Præjournalisering af skannet post — delvist opfyldt; afklar scope og scoring.</t>
  </si>
  <si>
    <t>Wiki: 5.8 release information; 6.2 release information</t>
  </si>
  <si>
    <t>MK-153</t>
  </si>
  <si>
    <t>Sortering</t>
  </si>
  <si>
    <t>Dokumenterne skal sorteres og skannes med eksempelvis skilleark eller lignende løsning, som sikrer at Dokumenterne ender hos den rigtige person/afdeling/team i ESDH-løsningen.</t>
  </si>
  <si>
    <t xml:space="preserve">ADN: Unsure if we can scan to individuals?
HFR: Forudsætning at Teams er en organisatorisk enhed. </t>
  </si>
  <si>
    <t>Verify: Sortering — kræver produkt-/team-afklaring (ingen tool-rating).</t>
  </si>
  <si>
    <t>ADN: Unsure if we can scan to individuals? | Red flag: Igen person</t>
  </si>
  <si>
    <t>Wiki: EDoc Documentation for Support; 5.16 release information</t>
  </si>
  <si>
    <t>MK-154</t>
  </si>
  <si>
    <t>Videreforsendelse</t>
  </si>
  <si>
    <t>ESDH-løsningen skal understøtte, at en Bruger kan videresende/omfordele indscannet post til en anden afdeling eller en anden person.</t>
  </si>
  <si>
    <t>Verify: Videreforsendelse — vurderet opfyldt (tool: 1. Fully met).</t>
  </si>
  <si>
    <t>docs/tender-reference/extracted/KUM-SLKS/Bilag 3 - Kravspecifikation.txt; docs/tender-reference/extracted/NND/02.01-Tieto-Bilag 2-Vedlegg-Leverandørens utfyllende svar til kravtabell.txt; docs/tender-reference/extracted/Nationalbanken/Bilag 3.i Leverandørens Løsningsbeskrivelse.txt</t>
  </si>
  <si>
    <t>MK-155</t>
  </si>
  <si>
    <t>Flettefelter</t>
  </si>
  <si>
    <t>ESDH-løsningen skal understøtte oprettelse af Filer med flettefelter, således at relevante oplysninger fra en sag automatisk kan indsættes i en Fil.</t>
  </si>
  <si>
    <t>Verify: Flettefelter — vurderet opfyldt (tool: 1. Fully met).</t>
  </si>
  <si>
    <t>MK-156</t>
  </si>
  <si>
    <t>Registrering af metadata</t>
  </si>
  <si>
    <t>ESDH-løsningen skal understøtte, at Filer kan tilknyttes et Dokument med relevante metadata: dokumenttitel, dokumenttype, dokumentdato, dokumentstatus, dokumentkategori, modtager, klassifikation, oprettelsestidspunkt, sagsnummer, relation til sag, ansvarlig sagsbehandler og ansvarlig enhed.</t>
  </si>
  <si>
    <t>Verify: Registrering af metadata — vurderet opfyldt (tool: 1. Fully met).</t>
  </si>
  <si>
    <t>MK-157</t>
  </si>
  <si>
    <t>Fuld tovejs-integration med Digital Post</t>
  </si>
  <si>
    <t>ESDH-løsningen skal have integration til Digital Post, herunder komplet parameteropsætning af afsendersystem, Myndighedsprofil, afsendertype og postkasser med mulighed for at konfigurere én eller flere forsendelseskanaler pr. organisatorisk enhed. Integrationen skal være tovejs. 
Løsningen skal muliggøre afsendelse af Digital Post direkte fra Løsningen, og indgående besvarelser skal automatisk kunne journaliseres på den sag, som henvendelsen oprindeligt blev modtaget på. Både udgående og indgående forsendelser skal journaliseres automatisk på sagen som en fuldt integreret del af arbejdsprocessen.</t>
  </si>
  <si>
    <t>Tajinder</t>
  </si>
  <si>
    <t>NgDP</t>
  </si>
  <si>
    <t xml:space="preserve">ADN: We support everything besides "Complete parameter setup" - we support what is needed, but not "Complete". Saying Yes comes with a Risc according to Tajinder.
HFR: dialog med Olga og Tajinder ift. Hvor risk er. </t>
  </si>
  <si>
    <t>Verify: Fuld tovejs-integration med Digital Post — delvist opfyldt; afklar scope og scoring.</t>
  </si>
  <si>
    <t>ADN: We support everything besides "Complete parameter setup" - we support what is needed, but not "Complete". Saying Yes comes with a Risc according to Tajinder.</t>
  </si>
  <si>
    <t>Ratatoskr: 360° Integration with eFormidling (admin-en); 360° Dispatch adapter: NgDP adapter (DK) (admin-en) | Wiki: 360° Integration with eFormidling; Integrasjonspunktet and eFormidling for Support</t>
  </si>
  <si>
    <t>MK-158</t>
  </si>
  <si>
    <t>CPR-integration</t>
  </si>
  <si>
    <t>ESDH-løsningen skal have integration til CPR-registeret, for at sikre import af CPR-kontakter via onlineopslag og batchkørsler.</t>
  </si>
  <si>
    <t>Verify: CPR-integration — vurderet opfyldt (tool: 1. Fully met).</t>
  </si>
  <si>
    <t>MK-159</t>
  </si>
  <si>
    <t>CVR-integration</t>
  </si>
  <si>
    <t>ESDH-løsningen skal have integration til CVR, for at sikre import af CVR-kontakter via onlineopslag og batchkørsler.</t>
  </si>
  <si>
    <t>Verify: CVR-integration — vurderet opfyldt (tool: 1. Fully met).</t>
  </si>
  <si>
    <t>MK-160</t>
  </si>
  <si>
    <t>Udlæsning af data til analytiske formål</t>
  </si>
  <si>
    <t>Løsningen skal understøtte udlæsning af data, logs og metadata til analytiske formål, herunder til Kundens analyse-, rapporterings- og dataplatforme. Løsningen skal understøtte både fulde og inkrementelle udtræk baseret på ændrede eller nyoprettede data. Det skal være muligt at identificere nye, ændrede og slettede data siden sidste udtræk.
Dataadgangen skal være baseret på åben arkitektur og anvende dokumenterede, standardiserede og ikke-proprietærer grænseflader, så Kunden kan foretage udtræk uden afhængighed til leverandørspecifikke værktøjer, lukkede formater eller operationelle integrationskomponenter.
Leverandøren skal dokumentere de understøttede udtræksmetoder, Datamodeller, relevante metadata samt eventuelle begrænsninger i forhold til anvendelse af data til analytiske formål.</t>
  </si>
  <si>
    <t>Verify: Udlæsning af data til analytiske formål — kræver produkt-/team-afklaring (ingen tool-rating).</t>
  </si>
  <si>
    <t>TAO: Hvordan kan vi levere dokumentation på et mindstekrav?</t>
  </si>
  <si>
    <t>MK-161</t>
  </si>
  <si>
    <t>Integration til dokumentbibliotek</t>
  </si>
  <si>
    <t>ESDH-løsningen skal have integration til Dynamics Template fra Omnidocs.</t>
  </si>
  <si>
    <t>Verify: Integration til dokumentbibliotek — vurderet opfyldt (tool: 1. Fully met).</t>
  </si>
  <si>
    <t>docs/tender-reference/extracted/HSØ/02.00-Tietoevry-SSA-L-Bilag 2-Leverandørens beskrivelse av Tjenesten.txt; docs/tender-reference/extracted/NND/02.01-Tieto-Bilag 2-Vedlegg-Leverandørens utfyllende svar til kravtabell.txt; docs/product/360_Information_Act_Request_DRAFT.md</t>
  </si>
  <si>
    <t>EK-12</t>
  </si>
  <si>
    <t>ESDH Standard API</t>
  </si>
  <si>
    <t>ESDH-løsningen skal, i forbindelse med Kundens behov for integration, automatisering og genbrug af ESDH-løsningens funktionalitet i det samlede systemlandskab, understøtte at Løsningen centrale funktioner kan tilgås via standardiserede API’er både envejs- og tovejsintegrationer.
Leverandøren skal beskrive, hvordan 3
Hvordan og i hvilket omfang ESDH-løsningens funktionalitet kan tilgås, anvendes og automatiseres via Løsningens standard API’er
Hvordan Leverandørens API-dækningsmatrix illustrerer sammenhængen mellem Løsningens centrale brugerfunktioner, standardentiteter, Kundeoprettede Entiteter og de tilhørende API-operationer
Hvilke standardentiteter der kan oprettes, læses, opdateres, slettes og fremsøges via standard API.
Hvordan metadatafelter på standardentiteter kan læses, valideres og opdateres via standard API.
Hvordan API’et er dokumenteret, versionsstyret og supporteret
Hvordan Kundeoprettede Entiteter, metadata og relationer eksponeres via standard API.
I hvilket omfang API’et understøtter de samme forretningsfunktioner, arbejdsgange, statusskift, dokumenthåndtering, 
Standardintegrationer, adgangsstyring og valideringer som Løsningens brugergrænseflade
Om API’et anvender samme forretningsregler, valideringer, rettighedsmodel, auditlogning og sikkerhedsmodel som brugergrænsefladen
Om der findes standardmekanismer til hændelser/events, notifikationer, webhooks eller lignende, så integrationer kan reagere på ændringer i sager, Dokumenter, kontakter, metadata og øvrige Entiteter
Evalueringskriterier:
Det vægtes positivt, i hvor høj grad Løsningen udstiller et veldokumenteret, versionsstyret og supporteret standard API, der giver mulighed for at automatisere de samme forretningsfunktioner, som kan udføres via Løsningens brugergrænseflade og standardfunktionalitet.
Det vægtes positivt, i hvor høj grad standard API’et understøtter fuld CRUD-funktionalitet for Løsningens centrale standardentiteter, herunder: 
Sager
Dokumenter
Kontakter/parter
Opgaver/aktiviteter, hvis disse indgår som standardentiteter i Løsningen
Metadatafelter på ovenstående Entiteter
Relationer mellem standardentiteter
Det vægtes positivt, i hvor høj grad API’et også understøtter Kundens Kundeoprettede Entiteter, metadatafelter, relationer, regler og funktioner, således at Entiteter og funktioner, der oprettes eller konfigureres i Løsningen, automatisk eller konfigurationsbaseret kan anvendes via standard API uden særskilt specialudvikling.</t>
  </si>
  <si>
    <t>Answer: ESDH Standard API — informationskrav; udkast bilag/dokumentation mangler.</t>
  </si>
  <si>
    <t>Ratatoskr: SIF (Simple Integration Framework) (admin-en) | Wiki: Simple Integration Framework (SIF); SIF API for internal developers</t>
  </si>
  <si>
    <t>MK-162</t>
  </si>
  <si>
    <t>Identitets og rettighedsstyring</t>
  </si>
  <si>
    <t>Integration til Kundens Active Directory og Single Sign-On</t>
  </si>
  <si>
    <t>ESDH-løsningen skal have integration til Active Directory, som er Kundens identitets- og adgangsstyring driftet hos Kundens driftsleverandør, herunder Active Directory og/eller Entra ID, med henblik på Single Sign-On (SSO) via standardprotokoller som SAML 2.0 og/eller OpenID Connect/OAuth 2.0.
AD er placeret i Kundens ressourcedomæne hos driftsleverandøren jf. figur 8 i Bilag 1. d Kundens målarkitektur for fremtidige ESDH-løsning.
ESDH-løsningen skal understøtte automatisk eller regelbaseret oprettelse, opdatering, deaktivering og nedlæggelse af Brugere på baggrund af oplysninger fra Kundens identitetsplatform.</t>
  </si>
  <si>
    <t>TAO: Deaktivering ja, men hvad menes så med nedlæggelse. Man sletter jo ikke brugere af historik hensyn.</t>
  </si>
  <si>
    <t>Verify: Integration til Kundens Active Directory og Single Sign-On — vurderet opfyldt (tool: 1. Fully met).</t>
  </si>
  <si>
    <t>docs/tender-reference/extracted/NND/02.01-Tieto-Bilag 2-Vedlegg-Leverandørens utfyllende svar til kravtabell.txt; docs/product/RFP_Leverandørens_svar_utdrag.txt; docs/tender-reference/extracted/HSØ/02.00-Tietoevry-SSA-L-Bilag 2-Leverandørens beskrivelse av Tjenesten.txt</t>
  </si>
  <si>
    <t>Owner: Confirm verify-tekst; opdatér review status efter tjek.</t>
  </si>
  <si>
    <t>MK-163</t>
  </si>
  <si>
    <t>Administration af rettigheder</t>
  </si>
  <si>
    <t>ESDH-løsningen skal understøtte, at Kunden via administratormodulet har mulighed for at administrere rettigheder, som ligger udover Active Directorys sikkerhed- og rettighedsstyring.</t>
  </si>
  <si>
    <t>Verify: Administration af rettigheder — vurderet opfyldt (tool: 1. Fully met).</t>
  </si>
  <si>
    <t>MK-164</t>
  </si>
  <si>
    <t>Forsendelser</t>
  </si>
  <si>
    <t>Digital Post - opsætning</t>
  </si>
  <si>
    <t>ESDH-løsningen skal understøtte, at alle nødvendige parametre kan anvendes til opsætning og Konfiguration af Digital Post, f.eks. afsendersystem, Myndighedsprofil og afsendertype.</t>
  </si>
  <si>
    <t>TAO: Ok standard</t>
  </si>
  <si>
    <t>Verify: Digital Post - opsætning — vurderet opfyldt (tool: 1. Fully met).</t>
  </si>
  <si>
    <t>MK-165</t>
  </si>
  <si>
    <t>Fjernprint – opsætning</t>
  </si>
  <si>
    <t>ESDH-løsningen skal understøtte, at alle nødvendige parametre kan anvendes til opsætning og Konfiguration af fjernprint.</t>
  </si>
  <si>
    <t>Strålfors</t>
  </si>
  <si>
    <t>Anton: Ikke sikker - kender ikke nogen kunder der har det, men mon ikke vi kan understøtte det
Tao: Strålfors, blev det standard med AST?
Adn: Tajinder sagde Ja, strålfors blev std. med AST.
HFR: Spørgsmål til fjernprint</t>
  </si>
  <si>
    <t>Verify: Fjernprint – opsætning — delvist opfyldt; afklar scope og scoring.</t>
  </si>
  <si>
    <t>Anton: Ikke sikker - kender ikke nogen kunder der har det, men mon ikke vi kan understøtte det
Tao: Strålfors, blev det standard med AST?
Adn: Tajinder sagde Ja, strålfors blev std. med AST | Red flag: Ikke sikker - kender ikke nogen kunder der har det, men mon ikke vi kan understøtte det</t>
  </si>
  <si>
    <t>Ratatoskr: Dispatch settings (admin-en); 360° Dispatch adapter: SvarUt (NO) (admin-en)</t>
  </si>
  <si>
    <t>MK-166</t>
  </si>
  <si>
    <t>Forsendelseskanaler – Digital Post</t>
  </si>
  <si>
    <t>ESDH-løsningen skal understøtte afsendelse af Digital Post direkte fra ESDH-løsningens brugergrænseflade, og at afsendelsen journaliseres som en del af samme proces.</t>
  </si>
  <si>
    <t>Verify: Forsendelseskanaler – Digital Post — vurderet opfyldt (tool: 1. Fully met).</t>
  </si>
  <si>
    <t>MK-167</t>
  </si>
  <si>
    <t>Forsendelseskanaler</t>
  </si>
  <si>
    <t>ESDH-løsningen skal understøtte afsendelse af fysisk post direkte fra ESDH-løsningen, og at afsendelsen journaliseres som en del af samme proces.</t>
  </si>
  <si>
    <t>Adn: This can be solved with Strålfors.
HFR: Spørgsmål til fjernprint løsning</t>
  </si>
  <si>
    <t>Verify: Forsendelseskanaler — delvist opfyldt; afklar scope og scoring.</t>
  </si>
  <si>
    <t>Adn: This can be solved with Strålfors</t>
  </si>
  <si>
    <t>Ratatoskr: Document Dispatch channel (admin-en); 360° Dispatch adapter: SvarUt (NO) (admin-en) | Wiki: 6.0 release information</t>
  </si>
  <si>
    <t>MK-168</t>
  </si>
  <si>
    <t>Automatisk valg af forsendelseskanal</t>
  </si>
  <si>
    <t>ESDH-løsningen skal understøtte en automatiseret forsendelsesproces, hvor forsendelsen går videre til næste forsendelseskanal, hvis den første forsendelseskanal fejler f.eks. en forsendelse er sendt til Digital Post, men borger er ikke tilmeldt digital post. Her skal ESDH-løsningen automatisk sikre forsendelsen sendes til fjernprint i stedet.</t>
  </si>
  <si>
    <t>Verify: Automatisk valg af forsendelseskanal — gap ift. kravtekst; eskalér commitment eller afklaring.</t>
  </si>
  <si>
    <t>Anton: Understøtter vi ikke - vi skifter ikke automatisk til næste forsendelseskanal hvis den første fejler. | Red flag: Understøtter vi ikke - vi skifter ikke automatisk til næste forsendelseskanal hvis den første fejler.</t>
  </si>
  <si>
    <t>Ratatoskr: Dispatch settings (admin-en) | Wiki: 5.16 release information; Feature Toggles 2025-2026</t>
  </si>
  <si>
    <t>Owner: Commitment/no-bid beslutning; overvej Q&amp;A til ordregiver.</t>
  </si>
  <si>
    <t>MK-169</t>
  </si>
  <si>
    <t>Advisering vil fejl i forsendelse</t>
  </si>
  <si>
    <t>ESDH-løsningen skal understøtte, at hvis en forsendelse fejler skal Brugeren adviseres om dette.</t>
  </si>
  <si>
    <t>ADN: Har vi ikke
Kan mad advokere for, at en advisering også kan være noget visuelt på sagen? og dermed leve op til kravet?
HFR: Product first commitment</t>
  </si>
  <si>
    <t>Verify: Advisering vil fejl i forsendelse — gap ift. kravtekst; eskalér commitment eller afklaring.</t>
  </si>
  <si>
    <t>ADN: Har vi ikke
Kan mad advokere for, at en advisering også kan være noget visuelt på sagen? og dermed leve op til kravet? | Red flag: Har vi ikke</t>
  </si>
  <si>
    <t>Ratatoskr: Dispatch status (admin-en) | Wiki: 6.6 release information; Build log hotfix packages</t>
  </si>
  <si>
    <t>K-18</t>
  </si>
  <si>
    <t>Store forsendelser</t>
  </si>
  <si>
    <t>ESDH-løsningen skal understøtte en forsendelsesproces, hvor forsendelsen er større end, hvad der kan sendes i Digital Post. 
ESDH-løsningen skal sikre, at forsendelsen bliver sendt afsted f.eks. i flere mindre forsendelser uden manuel håndtering ved sagsbehandler.</t>
  </si>
  <si>
    <t>TAO: Vi har offentlig link i Online men er ikke adgang on-prem (og er det sikkert nok jf andre krav). Vi kan ikke dele forsendelsen op til mit kendskab.
HFR: Der skal kigges på "large file dispatch". Product first commitment</t>
  </si>
  <si>
    <t>Check: Store forsendelser — gap ift. kravtekst; eskalér commitment eller afklaring.</t>
  </si>
  <si>
    <t>TAO: Vi har offentlig link i Online men er ikke adgang on-prem (og er det sikkert nok jf andre krav). Vi kan ikke dele forsendelsen op til mit kendskab.</t>
  </si>
  <si>
    <t>Wiki: 6.4 release information; Build log hotfix packages</t>
  </si>
  <si>
    <t>MK-170</t>
  </si>
  <si>
    <t>Konvertering og datamigrering</t>
  </si>
  <si>
    <t>Understøttelse af Kundens datamigrering</t>
  </si>
  <si>
    <t>Leverandøren skal understøtte Kundens datamigrering fra den eksisterende løsning Public 360 til den af Leverandøren tilbudte løsning. Leverandøren skal stille den nødvendige importmekanisme til rådighed og i samarbejde med Kunden og driftsleverandøren migrere data ind i den nye løsning.</t>
  </si>
  <si>
    <t>Kaare</t>
  </si>
  <si>
    <t>ADN: bemærk! vi skal "Understøtte" ikke udfører. Vi skal dog stille "importmekanisme" til rådighed.
HFR:  RISK
KL: Vi plejer ikke ligefrem at stille vores DMF datamigreringsværktøj til rådighed for Kunder, men det er svært at vide hvad der reelt menes.</t>
  </si>
  <si>
    <t>Verify: Understøttelse af Kundens datamigrering — kræver produkt-/team-afklaring (ingen tool-rating).</t>
  </si>
  <si>
    <t>ADN: bemærk! vi skal "Understøtte" ikke udfører. Vi skal dog stille "importmekanisme" til rådighed. | Red flag: Ser ikke ud til at F2 er på bordet for udskiftning også</t>
  </si>
  <si>
    <t>Wiki: Consultancy; How to: Migrate From On-Premise to Online</t>
  </si>
  <si>
    <t>Kaare: Udfyld tool-rating (O) og evidens; gennemgå AI-kladde.</t>
  </si>
  <si>
    <t>MK-171</t>
  </si>
  <si>
    <t>Nødvendig dokumentation</t>
  </si>
  <si>
    <t>Leverandøren skal stille den nødvendige dokumentation, herunder Datamodel, datadefinitioner, metadata, valideringsregler og øvrig tekniske specifikationer, der er nødvendige for planlægning og gennemførelse af migreringen.</t>
  </si>
  <si>
    <t>ADN: Could this be interpretated so, that customer and hosting partner will do the migration?</t>
  </si>
  <si>
    <t>Verify: Nødvendig dokumentation — kræver produkt-/team-afklaring (ingen tool-rating).</t>
  </si>
  <si>
    <t>ADN: COuld this be interpretated so, that customer and hosting partner will do the migration?</t>
  </si>
  <si>
    <t>MK-172</t>
  </si>
  <si>
    <t>Kortlægning af mapningsregler</t>
  </si>
  <si>
    <t>Leverandøren skal bistå med afklaring af kortlægning mellem eksisterende og ny Datamodel, specifikation af indlæsningsformater samt deltage i relevante workshops, planlægning, prøvemigreringer og valideringsaktiviteter. Kunden skal godkende mapningsreglerne.</t>
  </si>
  <si>
    <t>Verify: Kortlægning af mapningsregler — kræver produkt-/team-afklaring (ingen tool-rating).</t>
  </si>
  <si>
    <t>MK-173</t>
  </si>
  <si>
    <t>Dokumentation af begrænsninger</t>
  </si>
  <si>
    <t>Leverandøren skal dokumentere eventuelle begrænsninger ved import af data, herunder krav til datakvalitet, referentiel integritet og rækkefølge for indlæsning af dataentiteter.</t>
  </si>
  <si>
    <t>Verify: Dokumentation af begrænsninger — kræver produkt-/team-afklaring (ingen tool-rating).</t>
  </si>
  <si>
    <t>MK-174</t>
  </si>
  <si>
    <t>Konverteringsmiljø</t>
  </si>
  <si>
    <t>Leverandøren skal stille et konverteringsmiljø til rådighed hos SIT, hvor Kunden kan gennemføre og validere konverteringen.</t>
  </si>
  <si>
    <t>ADN: Kan vi som leverandør stille et konverteringsmiljø til rådighed hos SIT?
KL: Nej, men UIM administrerer selv deres miljø hos SIT. Så vi skal reelt kun lave opsætningen af servere.</t>
  </si>
  <si>
    <t>Verify: Konverteringsmiljø — kræver produkt-/team-afklaring (ingen tool-rating).</t>
  </si>
  <si>
    <t>ADN: Kan vi som leverandør stille et konverteringsmiljø til rådighed hos SIT?</t>
  </si>
  <si>
    <t>docs/tender-reference/extracted/Nationalbanken/Underbilag 6B - Testplan og Leverandørens prøveprincipper, metoder og -værktøjer (1).txt; docs/tender-reference/extracted/KK Tender tool.txt; docs/tender-reference/extracted/Nationalbanken/Bilag 3.i Leverandørens Løsningsbeskrivelse.txt</t>
  </si>
  <si>
    <t>MK-175</t>
  </si>
  <si>
    <t>Miljøer</t>
  </si>
  <si>
    <t>Opsætning af miljøer</t>
  </si>
  <si>
    <t>Leverandøren skal sikre etablering, Konfiguration og stabil drift af to sikkerhedsmæssigt adskilte miljøer:
NON-PROD: 
Udviklings- og testmiljø: Dette miljø anvendes til udvikling af nye løsninger, hvor Kundens øvrige løsninger skal kunne integrere med ESDH-løsningen. Miljøet anvendes også til udrulning af nye releases, hot fixes m.fl., samt til Kundens interne kvalitetssikring. Miljøet afspejler produktionsmiljøets arkitektur for at sikre retvisende testresultater før udrulning.
PRE-PROD: Dette miljø anvendes til den endelige verifikation før udrulning i PROD. Her gennemføres User Acceptance Test (UAT) samt performance- og release-test i et fuldt spejlet miljø.
Kunden overvejer på sigt at etablerer yderligere non-prod-miljøer hvor ESDH-løsningen ligeledes skal kunne anvendes. 
Produktion:
Produktionsmiljø: Dette miljø udgør det stabile og driftskritiske driftsmiljø, hvor det anvendes til den daglige sagsbehandling. Miljøet er underlagt maksimale krav til oppetid, performance, backup og logning.</t>
  </si>
  <si>
    <t>Kim</t>
  </si>
  <si>
    <t>Anton: Leverandøren kan vel ikke sikre etablering af miljøer når SIT er driftsleverandør?
MJ: Stil spørgsmål. Som kravet er, er dette et no-go</t>
  </si>
  <si>
    <t>Verify: Opsætning af miljøer — kræver produkt-/team-afklaring (ingen tool-rating).</t>
  </si>
  <si>
    <t>Anton: Leverandøren kan vel ikke sikre etablering af miljøer når SIT er driftsleverandør? | Red flag: Leverandøren kan vel ikke sikre etablering af miljøer når SIT er driftsleverandør?</t>
  </si>
  <si>
    <t>Wiki: Endpoint configuration; Core-testing process</t>
  </si>
  <si>
    <t>CloudOps: Udfyld tool-rating (O) og evidens; gennemgå AI-kladde.</t>
  </si>
  <si>
    <t>MK-176</t>
  </si>
  <si>
    <t>Drift</t>
  </si>
  <si>
    <t>Driftsmiljø</t>
  </si>
  <si>
    <t>Leverandøren skal sikre, at den tilbudte ESDH-løsning fuldt ud kan etableres, konfigureres og driftes på hos SIT på deres virtualiseringsplatform, med henblik på at opnå maksimal tilgængelighed og oppetid.</t>
  </si>
  <si>
    <t>Er dette cloud ops eller tech platform? Tjek med Geir Are</t>
  </si>
  <si>
    <t>Verify: Driftsmiljø — kræver produkt-/team-afklaring (ingen tool-rating).</t>
  </si>
  <si>
    <t>docs/tender-reference/extracted/KK Tender tool.txt; docs/product/RFP_Leverandørens_svar_utdrag.txt; docs/tender-reference/extracted/KUM-SLKS/Bilag 3 - Kravspecifikation.txt</t>
  </si>
  <si>
    <t>MK-177</t>
  </si>
  <si>
    <t>Driftsmodel</t>
  </si>
  <si>
    <t>Leverandøren skal sikre, at ESDH-løsning kan driftes på Driftsmodel 3 (DM3 - Infrastrukturservice) hos Statens IT. Det betyder, at Statens IT har drift og vedligeholdelse for de første fire lag samt ansvar for Kundeoprettelse og pc-klienter i SIT AD. Kunden har ansvar for middleware og applikationsdrift.</t>
  </si>
  <si>
    <t>Verify: Driftsmodel — kræver produkt-/team-afklaring (ingen tool-rating).</t>
  </si>
  <si>
    <t>MK-178</t>
  </si>
  <si>
    <t>Backup &amp; restore</t>
  </si>
  <si>
    <t>Leverandøren skal levere præcise procedurer og dokumentation for, hvordan en eventuel applikationsnær restore udføres. Da den generelle infrastruktur-backup varetages på SIT’s virtualiseringsplatform, skal Leverandøren sikre de nødvendige tekniske vejledninger og anvisninger, så applikationsdata, databaser og Konfigurationer kan genskabes fejlfrit og bringes i stabil drift efter et eventuelt nedbrud.</t>
  </si>
  <si>
    <t>Verify: Backup &amp; restore — kræver produkt-/team-afklaring (ingen tool-rating).</t>
  </si>
  <si>
    <t>MK-179</t>
  </si>
  <si>
    <t>Brugervejledning</t>
  </si>
  <si>
    <t>ESDH-løsningen skal understøtte danske brugervejledninger. Brugervejledningerne skal automatisk opdateres af Leverandøren i forbindelse med nye versioner af Løsningen.</t>
  </si>
  <si>
    <t>Adn: Onlinehjælp</t>
  </si>
  <si>
    <t>Verify: Brugervejledning — vurderet opfyldt (tool: 1. Fully met).</t>
  </si>
  <si>
    <t>MK-180</t>
  </si>
  <si>
    <t>Brugervejledning fra brugergrænsefladen</t>
  </si>
  <si>
    <t>ESDH-løsningen skal understøtte, at Brugeren kan tilgå brugervejledningen direkte fra brugergrænsefladen.</t>
  </si>
  <si>
    <t>Verify: Brugervejledning fra brugergrænsefladen — vurderet opfyldt (tool: 1. Fully met).</t>
  </si>
  <si>
    <t>MK-181</t>
  </si>
  <si>
    <t>ESDH-løsningen skal understøtte alt dokumentationen på dansk, foruden den tekniske dokumentation, medmindre andet aftales.</t>
  </si>
  <si>
    <t>Adn: Kan vi argumentere for, at admin-hjælpen er teknisk? - hvis vi kan, kan vi sige fuldt opfyldt.</t>
  </si>
  <si>
    <t>Verify: Sprog — delvist opfyldt; afklar scope og scoring.</t>
  </si>
  <si>
    <t>Wiki: Product documentation</t>
  </si>
  <si>
    <t>MK-182</t>
  </si>
  <si>
    <t>Step by step vejledninger</t>
  </si>
  <si>
    <t>ESDH-løsningen skal understøtte, at brugervejledningerne præsenteres som step by step vejledninger.</t>
  </si>
  <si>
    <t>Verify: Step by step vejledninger — vurderet opfyldt (tool: 1. Fully met).</t>
  </si>
  <si>
    <t>MK-183</t>
  </si>
  <si>
    <t>Opdatering af dokumentation</t>
  </si>
  <si>
    <t>ESDH-løsningen skal understøtte opdateret dokumentation, herunder releasenotes, forud for installation af en opgradering af ESDH-løsningen i testmiljøet.</t>
  </si>
  <si>
    <t>Verify: Opdatering af dokumentation — vurderet opfyldt (tool: 1. Fully met).</t>
  </si>
  <si>
    <t>docs/tender-reference/extracted/Nationalbanken/Bilag 1.i Leverandørens Løsningsbeskrivelse.txt; docs/tender-reference/extracted/Nationalbanken/Bilag 3.i Leverandørens Løsningsbeskrivelse.txt; docs/tender-reference/extracted/KK Tender tool.txt</t>
  </si>
  <si>
    <t>MK-184</t>
  </si>
  <si>
    <t>Administratorvejledning</t>
  </si>
  <si>
    <t>ESDH-løsningen skal understøtte en administratorvejledning, der på en brugervenlig måde beskriver, hvordan ESDH-løsningen administreres. Vejledningen skal give Administratoren den nødvendige viden til at kunne administrere og konfigurere Løsningen.</t>
  </si>
  <si>
    <t>Verify: Administratorvejledning — vurderet opfyldt (tool: 1. Fully met).</t>
  </si>
  <si>
    <t>MK-185</t>
  </si>
  <si>
    <t>Dokumentation af API</t>
  </si>
  <si>
    <t>ESDH-løsningen skal understøtte dokumentation af ESDH-løsningens API. Det indebærer, at der foreligger dokumentation for API’ets funktionalitet, tilgængelige endepunkter, autorisationskrav, datatyper og fejlmeddelelser, så Kunden kan lave egne integrationer uden involvering af Leverandøren.</t>
  </si>
  <si>
    <t>Verify: Dokumentation af API — vurderet opfyldt (tool: 1. Fully met).</t>
  </si>
  <si>
    <t>MK-186</t>
  </si>
  <si>
    <t>Hypercare</t>
  </si>
  <si>
    <t>Leverandøren skal yde hypercare i forbindelse med Overtagelsesdagen for Løsningen. Hypercare skal bestå af et dedikeret supportteam, der står til rådighed i Arbejdstiden (kl. 08.00-16.00) til at håndtere og løse fejl af både funktionel og teknisk karakter.</t>
  </si>
  <si>
    <t>Cristina</t>
  </si>
  <si>
    <t>Verify: Hypercare — vurderet opfyldt (tool: 1. Fully met).</t>
  </si>
  <si>
    <t>Cristina: Confirm verify-tekst; opdatér review status efter tjek.</t>
  </si>
  <si>
    <t>MK-187</t>
  </si>
  <si>
    <t>Varighed af hypercare</t>
  </si>
  <si>
    <t>Leverandøren skal yde hypercare i en periode på 10 Arbejdsdage startende på Overtagelsesdagen for Løsningen.</t>
  </si>
  <si>
    <t>Verify: Varighed af hypercare — vurderet opfyldt (tool: 1. Fully met).</t>
  </si>
  <si>
    <t>docs/tender-reference/extracted/KUM-SLKS/Bilag 1 - Tidsplan.txt; docs/tender-reference/extracted/KK Tender tool.txt; docs/tender-reference/extracted/Nationalbanken/Bilag 6.i Implementeringsplan (Leverandørens løsningsbeskrivelse.txt</t>
  </si>
  <si>
    <t>MK-188</t>
  </si>
  <si>
    <t>Forlængelse af hypercare</t>
  </si>
  <si>
    <t>Leverandøren skal forlænge hypercare-perioden, hvis der ved udløb af de 5 Dage fortsat er uafsluttede kritiske og alvorlige incidents, jf. Bilag 1.h - Servicemål. Hypercare-perioden skal opretholdes, indtil disse fejl er udbedret og godkendt af Kunden.</t>
  </si>
  <si>
    <t>Verify: Forlængelse af hypercare — vurderet opfyldt (tool: 1. Fully met).</t>
  </si>
  <si>
    <t>MK-189</t>
  </si>
  <si>
    <t>Afslutning af hypercare</t>
  </si>
  <si>
    <t>Ved afslutningen af hypercare-perioden skal Leverandøren udarbejde en rapport, der beskriver status og håndtering af samtlige registrerede fejl. Rapporten skal senest overleveres til Kunden ved afslutning af hypercare.</t>
  </si>
  <si>
    <t>ADN: Kravet er selvmodsigende. Tilføjet i QA fanen. Det kan ikke tidsmæssigt lade sig gøre først at starte når den er overstået, og aflevere inden den er afsluttet.</t>
  </si>
  <si>
    <t>Verify: Afslutning af hypercare — kræver produkt-/team-afklaring (ingen tool-rating).</t>
  </si>
  <si>
    <t>MK-190</t>
  </si>
  <si>
    <t>Møder og statusrapportering</t>
  </si>
  <si>
    <t>I hypercare-perioden skal Leverandøren og Kunden afholde daglige statusmøder vedrørende overtagelse af Løsningen og eventuelle fejl, der er meldt ind.</t>
  </si>
  <si>
    <t>Verify: Møder og statusrapportering — vurderet opfyldt (tool: 1. Fully met).</t>
  </si>
  <si>
    <t>docs/tender-reference/extracted/KK Tender tool.txt; docs/tender-reference/extracted/Nationalbanken/Bilag 1.i Leverandørens Løsningsbeskrivelse.txt; docs/tender-reference/extracted/KUM-SLKS/Bilag 1 - Tidsplan.txt</t>
  </si>
  <si>
    <t>Bilag 1.e</t>
  </si>
  <si>
    <t>Lov, cyber- og it-sikkerhed</t>
  </si>
  <si>
    <t>GDPR og den danske beskyttelseslov</t>
  </si>
  <si>
    <t>Leverandøren skal sikre, at ESDH-løsningen understøtter Kundens forpligtelser i medfør af Databeskyttelseslovgivningen.</t>
  </si>
  <si>
    <t>Det er lidt uldent formuleret, men ok.</t>
  </si>
  <si>
    <t>Verify: GDPR og den danske beskyttelseslov — kræver produkt-/team-afklaring (ingen tool-rating).</t>
  </si>
  <si>
    <t>Offentlighedsloven</t>
  </si>
  <si>
    <t>Leverandøren skal sikre, at ESDH-løsningen understøtter Kundens forpligtelser i medfør af Offentlighedsloven.</t>
  </si>
  <si>
    <t>Verify: Offentlighedsloven — kræver produkt-/team-afklaring (ingen tool-rating).</t>
  </si>
  <si>
    <t>Forvaltningsloven</t>
  </si>
  <si>
    <t>Leverandøren skal sikre, at ESDH-løsningen understøtter Kundens forpligtelser i medfør af Forvaltningsloven.</t>
  </si>
  <si>
    <t>Verify: Forvaltningsloven — kræver produkt-/team-afklaring (ingen tool-rating).</t>
  </si>
  <si>
    <t>Arkivloven</t>
  </si>
  <si>
    <t>Leverandøren skal sikre, at ESDH-løsningen understøtter Kundens forpligtelser i medfør af Arkivloven.</t>
  </si>
  <si>
    <t>Verify: Arkivloven — kræver produkt-/team-afklaring (ingen tool-rating).</t>
  </si>
  <si>
    <t>docs/product/RFP_Leverandørens_svar_utdrag.txt; docs/tender-reference/extracted/HSØ/02.00-Tietoevry-SSA-L-Bilag 2-Leverandørens beskrivelse av Tjenesten.txt; docs/tender-reference/extracted/KK Tender tool.txt</t>
  </si>
  <si>
    <t>NIS2</t>
  </si>
  <si>
    <t>Leverandøren skal sikre, at ESDH-løsningen, herunder drift, support og udvikling, understøtter Kundens forpligtelser i medfør af NIS2-direktivet.</t>
  </si>
  <si>
    <t>Vi drifter ikke løsningen. 
Stil spørgmål
Foreslået spørgsmål til Kunden: Kan Kunden bekræfte, at kravet skal forstås således, at Leverandøren alene skal understøtte Kundens NIS2-forpligtelser inden for Leverandørens ansvarsområde for ESDH-løsningen, support og udvikling, og at ansvar for drift, infrastruktur, platform, netværk, backup, overvågning og øvrige NIS2-forpligtelser ligger hos Kunden og/eller Statens IT?</t>
  </si>
  <si>
    <t>Verify: NIS2 — kræver produkt-/team-afklaring (ingen tool-rating).</t>
  </si>
  <si>
    <t>Statens tekniske minimumskrav</t>
  </si>
  <si>
    <t>Leverandøren skal sikre, at EDSH-løsningen opfylder de tekniske minimumskrav til it-sikkerhed for statslige Myndigheder, hvor disse har implikation for ESDH-løsningen.</t>
  </si>
  <si>
    <t>Verify: Statens tekniske minimumskrav — kræver produkt-/team-afklaring (ingen tool-rating).</t>
  </si>
  <si>
    <t>docs/tender-reference/extracted/KK Tender tool.txt; docs/tender-reference/extracted/KUM-SLKS/Bilag 1 - Tidsplan.txt; docs/tender-reference/extracted/KUM-SLKS/Bilag 10 - Producentens standardvilkår.txt</t>
  </si>
  <si>
    <t>ISO/IEC 27001:2022 og ISO/IEC 27002:2022 overholdelse</t>
  </si>
  <si>
    <t>Leverandøren skal være certificeret ISO/IEC 27001:2022 og ISO/IEC 27002:2022 eller senere relevante versioner. 
Dette inkluderer men er ikke begrænset til at Leverandøren skal efterleve kravene i ISO 27001:2022, Anneks A.:
punkt 5.31 vedrørende Juridiske, lovmæssige, regulatoriske og kontraktlige krav, 
samt punkt 5.34 vedrørende Privatlivsbeskyttelse og beskyttelse af personoplysninger
samt løbende revidere og ajourføre it-sikkerheden i forhold til den til enhver tid gældende version af ISO27001 og ISO27002.</t>
  </si>
  <si>
    <t>Check: ISO/IEC 27001:2022 og ISO/IEC 27002:2022 overholdelse — kræver produkt-/team-afklaring (ingen tool-rating).</t>
  </si>
  <si>
    <t>docs/tender-reference/extracted/Nationalbanken/Bilag 3.i Leverandørens Løsningsbeskrivelse.txt; docs/tender-reference/extracted/KK Tender tool.txt; docs/tender-reference/extracted/Nationalbanken/Bilag 9.i Leverandørens løsningsbeskrivelse.txt</t>
  </si>
  <si>
    <t>SAMSIK</t>
  </si>
  <si>
    <t>Leverandøren skal sikre, at ESDH-løsningen understøtter Kundens forpligtelser i medfør af SAMSIK’s Center for Cybersikkerhed anbefalinger omkring logning – en del af et godt cyberforsvar jf. Cybersikkerhed – Vejledninger, trusselsvurderinger og NIS 2.</t>
  </si>
  <si>
    <t>Som leverandør kan vi  ikke acceptere formuleringen ukvalificeret, fordi den kan læses som om, I garanterer Kundens samlede efterlevelse af CFCS/SAMSIK-anbefalinger og NIS 2. Det kan man normalt ikke, medmindre man også har ansvar for kundens samlede logstrategi, SIEM/SOC, overvågning, incident response, retention-politik, governance og drift.</t>
  </si>
  <si>
    <t>Check: SAMSIK — kræver produkt-/team-afklaring (ingen tool-rating).</t>
  </si>
  <si>
    <t>docs/tender-reference/extracted/Nationalbanken/Bilag 3.i Leverandørens Løsningsbeskrivelse.txt; docs/tender-reference/extracted/KK Tender tool.txt; docs/tender-reference/extracted/HSØ/02.00-Tietoevry-SSA-L-Bilag 2-Leverandørens beskrivelse av Tjenesten.txt</t>
  </si>
  <si>
    <t>Understøttelse af brugeraudit for Statens IT</t>
  </si>
  <si>
    <t>Leverandøren skal i samarbejde med driftsleverandøren understøtte, at Kunden kan gennemføre regelmæssig brugeraudit af samtlige brugerroller og rettigheder i Løsningen, gennem generering af strukturerede dataudtræk over Brugere, tildelte roller, rettigheder og seneste login/aktivitet, herunder understøttelse af selve gennemførelsen samt fuld dokumentation af auditresultatet.</t>
  </si>
  <si>
    <t>Det vil tage tid I hvert audit. Skal betales</t>
  </si>
  <si>
    <t>Check: Understøttelse af brugeraudit for Statens IT — kræver produkt-/team-afklaring (ingen tool-rating).</t>
  </si>
  <si>
    <t>Risikovurdering</t>
  </si>
  <si>
    <t>Leverandørens risikostyring af informationssikkerheden skal baseres på en dokumenteret og regelmæssigt opdateret risikovurdering. 
I relation til Leverandørens risikovurdering gælder det, at
Risikovurderingen skal omfatte de dele af Leverandørens virksomhed, som kan have konsekvenser for informationssikkerheden i ESDH-løsningen og Leveringskontraktens Ydelser i øvrigt. 
Leverandøren skal som minimum opdatere sin risikovurdering én gang årligt samt i forbindelse med forestående ændringer af Leverandørens egne organisatoriske forhold, forestående ændringer af en eventuel Underleverandørs forhold eller forestående ændringer af Løsningen. 
Leverandøren skal orientere Kunden om ændringer i ESDH-løsningen eller Ydelser med henblik på, at Kunden kan foretage fornyede risikovurderinger, herunder i forhold til Kundens tredjepartssystemer, der integrerer med ESDH-løsningen og eventuelt iværksætte ny(e) eller ændrede foranstaltninger på baggrund heraf. 
Leverandøren skal på Kundens anfordring dokumentere sin risikovurdering.</t>
  </si>
  <si>
    <t>ISO 27701 certificering</t>
  </si>
  <si>
    <t>Check: Risikovurdering — kræver produkt-/team-afklaring (ingen tool-rating).</t>
  </si>
  <si>
    <t>It-sikkerhed (ISO27001 certificering eller tilsvarende)</t>
  </si>
  <si>
    <t>Leverandøren skal være certificeret efter ISO/IEC 27001 og årligt kunne fremvise en uvildig revisionserklæring (f.eks. ISAE 3000) vedrørende it-sikkerhed og databeskyttelse.</t>
  </si>
  <si>
    <t>ja.</t>
  </si>
  <si>
    <t>Check: It-sikkerhed (ISO27001 certificering eller tilsvarende) — kræver produkt-/team-afklaring (ingen tool-rating).</t>
  </si>
  <si>
    <t>docs/tender-reference/extracted/HSØ/02.00-Tietoevry-SSA-L-Bilag 2-Leverandørens beskrivelse av Tjenesten.txt; docs/tender-reference/extracted/Nationalbanken/Bilag 9.1 Spørgeskema til brug for Kundens risikovurdering af it- og informationssikkerhed.txt; docs/tender-reference/extracted/KK Tender tool.txt</t>
  </si>
  <si>
    <t>Leverandørens og ESDH-løsningens sikkerhed</t>
  </si>
  <si>
    <t>Leverandørens single point of contact</t>
  </si>
  <si>
    <t>Leverandøren skal oplyse en Single Point of Contact (SPOC) for Leverandørens sikkerhedsorganisation, som er i stand til at sikre en effektiv håndtering ved it-sikkerhedsbrud. Servicemålene for it-sikkerhedsbrud er uddybet i Bilag 1.h Servicemål. Ved aktivering af sikkerhedsberedskabet, skal Leverandøren kunne indgå i Kundens sikkerhedsorganisation.</t>
  </si>
  <si>
    <t>Verify: Leverandørens single point of contact — kræver produkt-/team-afklaring (ingen tool-rating).</t>
  </si>
  <si>
    <t>Informations-sikkerhed under driftsforstyrrelse</t>
  </si>
  <si>
    <t>Leverandøren skal efterleve kravene i ISO 27001, Anneks A, punkt 5.29
Organisationen skal planlægge, hvordan informationssikkerhed opretholdes på et passende niveau under driftsforstyrrelser. 
ESDH Leverandøren skal indgå i et samarbejde med Kunden og driftsleverandøren for at opnå dette.</t>
  </si>
  <si>
    <t>Må stille spm:
Det er afgørende, at kunden driftes af Statens IT, og at vi ikke har driftsansvaret. Derfor kan vi ikke alene sikre kundens samlede efterlevelse af Annex A 5.29. Vi kan derimod bidrage med de dele, der vedrører ESDH-løsningen, vores applikation, jeres supportforpligtelser, vores dokumentation og vores deltagelse i beredskabs-/kontinuitetsarbejdet.</t>
  </si>
  <si>
    <t>Verify: Informations-sikkerhed under driftsforstyrrelse — kræver produkt-/team-afklaring (ingen tool-rating).</t>
  </si>
  <si>
    <t>IKT-parathed til understøttelse af business continuity</t>
  </si>
  <si>
    <t>Leverandøren skal efterleve kravene i ISO 27001, Anneks A, punkt 5.30.
IKT-parathed skal planlægges, implementeres. Vedligeholdes og testes på grundlag af mål for business continuity og IKT-kontinuitetskrav.
ESDH Leverandøren skal indgå i et samarbejde med Kunden og driftsleverandøren for at opnå dette.</t>
  </si>
  <si>
    <t>Kravet bør afklares, da ISO 27001 Annex A 5.30 primært vedrører IKT-parathed og business continuity, som i væsentligt omfang ligger hos Kunden og driftsleverandøren. Kunden driftes af Statens IT, og vi har ikke driftsansvar for infrastruktur, platform, backup, overvågning, netværk eller identitetsstyring.
Vi kan som ESDH-leverandør bidrage med applikationsspecifik dokumentation, afhængigheder, input til RTO/RPO, supportprocedurer og deltagelse i relevante tests.
Foreslået spørgsmål til Kunden: Kan Kunden præcisere, hvilke konkrete aktiviteter, leverancer og ansvar der forventes af ESDH-leverandøren i relation til ISO 27001 Annex A 5.30, herunder rollefordelingen mellem Kunden, Statens IT og Leverandøren?</t>
  </si>
  <si>
    <t>Verify: IKT-parathed til understøttelse af business continuity — kræver produkt-/team-afklaring (ingen tool-rating).</t>
  </si>
  <si>
    <t>Sikkerheds-godkendelse og SIA pc</t>
  </si>
  <si>
    <t>Leverandøren skal sikre, at alt personale, der tildeles opgaver i relation til ESDH-løsningen (f.eks. ved udvikling, drift, support eller konsulentbistand), kan opnå og opretholde en gyldig personalsikkerhedsgodkendelse til niveau HEMMELIG.
Ved drift skal det gå gennem Statens IT leverandøradgang.  
adgang til UIM’s infrastruktur.</t>
  </si>
  <si>
    <t>Kan ikke accepteres på standard software. Ellers er dette et leverance problem</t>
  </si>
  <si>
    <t>Verify: Sikkerheds-godkendelse og SIA pc — kræver produkt-/team-afklaring (ingen tool-rating).</t>
  </si>
  <si>
    <t>Databeskyttelse gennem design og standardindstillinger</t>
  </si>
  <si>
    <t>Leverandøren skal levere en Løsning, hvor databeskyttelse er indlejret i Løsningen og systemudviklingen, det vil sige at Løsningens måde at realisere de forretningsmæssige mål er designet i overensstemmelse med de grundlæggende principper i databeskyttelsesretten.</t>
  </si>
  <si>
    <t>Verify: Databeskyttelse gennem design og standardindstillinger — kræver produkt-/team-afklaring (ingen tool-rating).</t>
  </si>
  <si>
    <t>Virus og malware skanning</t>
  </si>
  <si>
    <t>ESDH-løsningen understøtter automatiseret virusscanning af alle Dokumenter ved upload, således at potentielt skadelige Filer identificeres og håndteres, før de gemmes eller gøres tilgængelige i Løsningen.</t>
  </si>
  <si>
    <t>Kravet bør afklares, da virusscanning ved upload typisk afhænger af den samlede løsningsarkitektur og ansvarsfordelingen mellem ESDH-løsningen, driftsplatformen og eventuelle sikkerhedskomponenter hos Kunden/Statens IT.
Vi kan som ESDH-leverandør understøtte integration til relevant antivirus-/malware-scanning og sikre, at dokumenter ikke gøres tilgængelige, før scanning er gennemført, forudsat at nødvendig scanningstjeneste, integrationssnitflade og driftsansvar er afklaret.
Foreslået spørgsmål til Kunden: Kan Kunden præcisere, om virusscanning forventes leveret som en del af ESDH-løsningen, eller om løsningen skal integrere til en antivirus-/malware-scanningstjeneste hos Kunden/Statens IT, herunder krav til håndtering, karantæne, logning og ansvar ved fund?</t>
  </si>
  <si>
    <t>Verify: Virus og malware skanning — kræver produkt-/team-afklaring (ingen tool-rating).</t>
  </si>
  <si>
    <t>Patch Management</t>
  </si>
  <si>
    <t>Leverandøren skal have en dokumenteret patch management-proces, som sikrer, at nødvendige sikkerhedsopdateringer og fejlrettelser til ESDH-løsningen stilles til rådighed for Kunden rettidigt og i et dokumenteret format, således at Kunden eller dennes driftsleverandør kan implementere opdateringerne uden involvering fra Leverandøren.</t>
  </si>
  <si>
    <t>Verify: Patch Management — kræver produkt-/team-afklaring (ingen tool-rating).</t>
  </si>
  <si>
    <t>docs/tender-reference/extracted/Nationalbanken/Bilag 3.i Leverandørens Løsningsbeskrivelse.txt; docs/tender-reference/extracted/KK Tender tool.txt; docs/tender-reference/extracted/Nationalbanken/Underbilag 6B - Testplan og Leverandørens prøveprincipper, metoder og -værktøjer (1).txt</t>
  </si>
  <si>
    <t>Konstaterede sårbarheder</t>
  </si>
  <si>
    <t>Leverandøren skal uden unødigt ophold orientere Kunden, hvis der konstateres sårbarheder i Leverandørens egen kode eller i anvendte tredjepartskomponenter og underleverandørers kode.</t>
  </si>
  <si>
    <t>Verify: Konstaterede sårbarheder — kræver produkt-/team-afklaring (ingen tool-rating).</t>
  </si>
  <si>
    <t>docs/tender-reference/extracted/KK Tender tool.txt; docs/tender-reference/extracted/Nationalbanken/Underbilag 6B - Testplan og Leverandørens prøveprincipper, metoder og -værktøjer (1).txt; docs/tender-reference/extracted/KUM-SLKS/Bilag 3 - Kravspecifikation.txt</t>
  </si>
  <si>
    <t>Release Management</t>
  </si>
  <si>
    <t>ESDH-leverandøren skal sikre, at driftsleverandøren og Kunden, i samarbejde, er i stand til at sikre, at nye versioner af ESDH-løsningen kan idriftsættes.</t>
  </si>
  <si>
    <t>Verify: Release Management — kræver produkt-/team-afklaring (ingen tool-rating).</t>
  </si>
  <si>
    <t>docs/tender-reference/extracted/Nationalbanken/Bilag 3.i Leverandørens Løsningsbeskrivelse.txt; docs/tender-reference/extracted/KUM-SLKS/Bilag 1 - Tidsplan.txt; docs/tender-reference/extracted/KUM-SLKS/Bilag 3 - Kravspecifikation.txt</t>
  </si>
  <si>
    <t>Ledelsessystem for informations-sikkerhedsstyring (ISMS)</t>
  </si>
  <si>
    <t>Leverandøren skal med henblik på løbende sikring af informationssikkerhed i tilknytning til levering af Ydelserne opretholde et ledelsessystem for informationssikkerhedsstyring (ISMS) efter den til enhver tid gældende version af ISO27001 standard baseret på en risikostyringsproces. 
Leverandøren skal herunder løbende tilpasse sit ISMS, såfremt Leverandørens opdatering af sin risikovurdering, medfører et behov herfor. 
Leverandørens ISMS skal som minimum: 
Fastlægge interne og eksterne forhold, der har betydning for Leverandørens evne til at opnå de tilsigtede resultater af ledelsessystemet, herunder skal ISMS’et afspejle en forståelse af interessenters behov og forventninger. 
Fastlægge grænserne og anvendelsesområderne for ISMS’et. 
Afspejle at Leverandørens ledelse er forpligtet til at sikre, at Leverandørens informationssikkerhedspolitikker og målsætninger for informationssikkerhed er fastlagt, kommunikeret, opnår de tilsigtede resultater, løbende forbedres og at der er tilgængelige ressourcer hertil, herunder at der er uddelegeret roller og ansvar for informationssikkerheden. 
Fastlægge Leverandørens styring og gennemførelse af vurdering og håndtering af informationssikkerhedsrisici. 
Fastlægge evaluering af informationssikkerheden og den resultatrelaterede effektivitet af ISMS’et, herunder afrapportering på evaluering og effektivitet til Leverandørens topledelse. 
Være dokumenteret og sikre at afvigelser fra ISMS’et håndteres.
Leverandøren skal sikre sig løbende sårbarhedsscanninger på kode og anvendte kodebibliotekter, og hvis der anvendes en containerbaseret Løsning, skal de også scannes for potentielle sårbarheder.</t>
  </si>
  <si>
    <t>Kravet vurderes som opfyldeligt, da vi er ISO 27001-certificeret og har et etableret ISMS. Vi er desuden certificeret efter ISO 9001, ISO 27701 og ISO 14001.
Det bør afklares, om ISO 27001-certifikat er tilstrækkelig dokumentation, samt hvilke krav der gælder for sårbarhedsscanning af kode, biblioteker og eventuelle containere.
Foreslået spørgsmål til Kunden: Kan Kunden bekræfte, at gyldigt ISO 27001-certifikat accepteres som dokumentation for ISMS-kravet, og præcisere krav til sårbarhedsscanning, herunder omfang, frekvens og udbedringsfrister?</t>
  </si>
  <si>
    <t>Verify: Ledelsessystem for informations-sikkerhedsstyring (ISMS) — kræver produkt-/team-afklaring (ingen tool-rating).</t>
  </si>
  <si>
    <t>Sikkerhedstest, sårbarhedsscanninger og penetrationstest</t>
  </si>
  <si>
    <t>Leverandøren skal understøtte, at driftsleverandøren kan gennemføre passende sikkerhedstest af ESDH-løsningen, herunder sårbarhedsscanninger og penetrationstest, uden behov for teknisk bistand fra Leverandøren, herunder at: 
Leverandøren bistår driftsleverandøren med mulighed for at gennemføre systematiske og regelmæssige sårbarhedsscanninger af ESDH-løsningen, herunder ved at stille nødvendig teknisk dokumentation og grænseflader til rådighed. 
Leverandøren har en dokumenteret og effektiv procedure for håndtering af sårbarheder, herunder patch management, hvor identificerede sårbarheder kategoriseres, risikovurderes og adresseres efter en dokumenteret prioriteringsmodel. 
Resultaterne af gennemførte sikkerhedstest, sårbarhedsscanninger og penetrationstest – uanset om de er udført af Leverandøren eller driftsleverandøren – indgår i Leverandørens samlede risikovurdering af ESDH-løsningen. 
Leverandøren foretager sikkerhedstest af ESDH-løsningen. Disse tests skal anvende automatiserede sikkerhedsscanningsværktøjer og omfatte kontrol af almindelige sikkerhedsmæssige svagheder, herunder code-injections. 
Leverandøren gennemfører ovenstående sikkerhedstest før Ibrugtagning af ESDH-løsningen.</t>
  </si>
  <si>
    <t>Check: Sikkerhedstest, sårbarhedsscanninger og penetrationstest — kræver produkt-/team-afklaring (ingen tool-rating).</t>
  </si>
  <si>
    <t>Sikkerhedsrapport for ESDH-løsningen</t>
  </si>
  <si>
    <t>Leverandøren skal hver måned rapportere, i samarbejde med driftsleverandøren hvor det er nødvendigt, på relevante sikkerhedsmæssige forhold og beskrive status på de sikkerhedsmæssige aspekter. Sikkerhedsrapporten bør jf. GDPR art. 32 indeholde følgende: 
Ændringer i risikobilledet: Dokumentation af nye, eksterne cybertrusler, interne organisatoriske omstruktureringer eller ændrede markedsvilkår, der påvirker virksomhedens samlede risikoprofil.
Adgangsændringer: Løbende registrering af tildelte, ændrede eller slettede brugerrettigheder med særligt fokus på kritiske Administrator- og systemkonti.
Væsentlige driftsforstyrrelser: Logning af og opfølgning på alvorlige systemnedbrud, hardwarefejl eller netværksproblemer, der har påvirket datatilgængeligheden.
Identificerede sårbarheder: Resultater fra tekniske scanninger og penetrationstest, der blotlægger svagheder i applikationer, firewalls eller serverinfrastruktur.
Patchstatus: Aktuel oversigt over udrullede sikkerhedsopdateringer samt en tidslinje for udbedring af kendte softwarefejl i operativsystemer og programmer.
Katastrofeberedskab: Procedurer for hurtig retablering af data samt dokumentation for regelmæssig test af backup-systemer.
Status på afvigelser og handleplaner: En uafhængig opgørelse over udestående sikkerhedsmangler (afvigelser) parret med konkrete, tidsbestemte planer og ansvarlige personer for udbedringen.
Sikkerhedshændelser: En detaljeret oversigt over alle registrerede sikkerhedsbrud eller mistænkelige hændelser i den pågældende rapporteringsperiode.</t>
  </si>
  <si>
    <t>Check: Sikkerhedsrapport for ESDH-løsningen — kræver produkt-/team-afklaring (ingen tool-rating).</t>
  </si>
  <si>
    <t>docs/tender-reference/extracted/Nationalbanken/Bilag 3.i Leverandørens Løsningsbeskrivelse.txt; docs/tender-reference/extracted/KK Tender tool.txt; docs/tender-reference/extracted/NND/02.01-Tieto-Bilag 2-Vedlegg-Leverandørens utfyllende svar til kravtabell.txt</t>
  </si>
  <si>
    <t>Sikker udvikling af ESDH-løsningen</t>
  </si>
  <si>
    <t>Leverandøren skal anvende og dokumentere best practice for sikker softwareudvikling (f.eks. OWASP, ISO/IEC 27034 eller tilsvarende).
Leverandøren skal sikre og dokumentere kontrol med it-sikkerheden i softwareleverancekæden (Software Supply Chain Security), herunder styring og godkendelse af anvendte kodebiblioteker og versioner.
Leverandøren skal på anmodning kunne dokumentere overholdelse af disse krav.</t>
  </si>
  <si>
    <t>Check: Sikker udvikling af ESDH-løsningen — kræver produkt-/team-afklaring (ingen tool-rating).</t>
  </si>
  <si>
    <t>Logning</t>
  </si>
  <si>
    <t>Logning og revisionsspor for Brugere</t>
  </si>
  <si>
    <t>ESDH-løsningen skal automatisk generere et uforanderligt revisionsspor (logning) af alle brugerhandlinger (søgning, oprettelse, visning, ændring og sletning af data og Dokumenter) så de logges på identiteten i overensstemmelse med forvaltningsretlige principper. Logningen skal indeholde en tidsstempling samt entydig identifikation af den udførende Bruger.</t>
  </si>
  <si>
    <t>Verify: Logning og revisionsspor for Brugere — kræver produkt-/team-afklaring (ingen tool-rating).</t>
  </si>
  <si>
    <t>Logning og revisionsspor for Administrator</t>
  </si>
  <si>
    <t>ESDH-løsningen skal automatisk generere et uforanderligt revisionsspor (logning) af alle administratorhandlinger (søgning, oprettelse, visning, ændring og sletning af data og Dokumenter) så de logges på identiteten i overensstemmelse med forvaltningsretlige principper. Dette gør sig også gældende både for databaseaktiviteter foretaget i ESDH-løsningen og direkte i databaseadministrationsværktøjet. Logningen skal indeholde en tidsstempling samt entydig identifikation af den udførende Bruger.</t>
  </si>
  <si>
    <t>Verify: Logning og revisionsspor for Administrator — kræver produkt-/team-afklaring (ingen tool-rating).</t>
  </si>
  <si>
    <t>Overvågning af aktiviteter</t>
  </si>
  <si>
    <t>ESDH-løsningen skal generere og opretholde detaljerede security logs, som dokumenterer alle sikkerhedsrelevante hændelser, herunder loginforsøg, ændringer i rettigheder, adgang til følsomme data samt fejl og alarmer.</t>
  </si>
  <si>
    <t>Verify: Overvågning af aktiviteter — kræver produkt-/team-afklaring (ingen tool-rating).</t>
  </si>
  <si>
    <t>docs/tender-reference/extracted/KK Tender tool.txt; docs/tender-reference/extracted/Nationalbanken/Bilag 3.i Leverandørens Løsningsbeskrivelse.txt; docs/tender-reference/extracted/Nationalbanken/Bilag 9.i Leverandørens løsningsbeskrivelse.txt</t>
  </si>
  <si>
    <t>Adskillelse af logs og systemsporbarhed</t>
  </si>
  <si>
    <t>Leverandøren skal sikre, at systemlogs i ESDH-løsningen genereres og lagres adskilt i formålsbestemte og separate logs, samt implementere en unik identifikator på tværs af alle logtyper, f.eks. eventlogs, security logs m.fl. som sikrer fuld sporbarhed af den enkelte transaktion.</t>
  </si>
  <si>
    <t>Tjek med Willy</t>
  </si>
  <si>
    <t>Verify: Adskillelse af logs og systemsporbarhed — kræver produkt-/team-afklaring (ingen tool-rating).</t>
  </si>
  <si>
    <t>ESDH log</t>
  </si>
  <si>
    <t>Leverandøren skal sikre, at ESDH-løsningen genererer og lagrer egne applikationsspecifikke logs.</t>
  </si>
  <si>
    <t>Event logs, entity logs mm.</t>
  </si>
  <si>
    <t>Verify: ESDH log — kræver produkt-/team-afklaring (ingen tool-rating).</t>
  </si>
  <si>
    <t>Beskyttelse af Log</t>
  </si>
  <si>
    <t>ESDH-løsningens samtlige komponenter (egenudviklede- og tredjepartskomponenter) skal understøtte, at logfiler ikke kan manipuleres i Løsningen. Alle logs skal være uforanderlige, og kunne tilgås af autoriserede Administratorer med henblik på revision, overvågning og hændelseshåndtering.</t>
  </si>
  <si>
    <t>Verify: Beskyttelse af Log — kræver produkt-/team-afklaring (ingen tool-rating).</t>
  </si>
  <si>
    <t>docs/tender-reference/extracted/KK Tender tool.txt; docs/tender-reference/extracted/NND/02.01-Tieto-Bilag 2-Vedlegg-Leverandørens utfyllende svar til kravtabell.txt; docs/tender-reference/extracted/Nationalbanken/Bilag 3.i Leverandørens Løsningsbeskrivelse.txt</t>
  </si>
  <si>
    <t>Eksport af Log</t>
  </si>
  <si>
    <t>ESDH-løsningen skal understøtte, at alle handlinger i ESDH-løsningen kan eksporteres ud i tredjepartsprodukt eller til et filformat, hvor logfilerne ikke kan manipuleres.</t>
  </si>
  <si>
    <t>TAO: Logger ikke alle handlinger, eksporterer som sådan ikke log, via fx log-shipping. Det vi logger i eventlog, kan læses via API</t>
  </si>
  <si>
    <t>Verify: Eksport af Log — delvist opfyldt; afklar scope og scoring.</t>
  </si>
  <si>
    <t>Ratatoskr: Generate audit log (admin-en) | Wiki: 360° Online Security Specifications customer version; Cloud Automation Factory Management Portal</t>
  </si>
  <si>
    <t>Torben: Afklar delkrav; align tool-rating (O) med AI compliance.</t>
  </si>
  <si>
    <t>Log ved eksport af en given Entitet</t>
  </si>
  <si>
    <t>ESDH-løsningen skal understøtte, at eksport logges i administratormodulet eller på den Entitet, hvor eksporten er foretaget.</t>
  </si>
  <si>
    <t>TAO:Vi logger kun SIF læsninger i læseloggen hvis de foretages med Bearer Authentication kald. Den kan siges at være i admin fordi man har audit rapporterne til at vise læsningen.</t>
  </si>
  <si>
    <t>Verify: Log ved eksport af en given Entitet — delvist opfyldt; afklar scope og scoring.</t>
  </si>
  <si>
    <t>Ratatoskr: Audit trails (admin-en) | Wiki: 6.8 release information; Feature Toggles 2025-2026</t>
  </si>
  <si>
    <t>Brug af standard logformat</t>
  </si>
  <si>
    <t>ESDH-løsningen skal kunne aflevere applikations-, sikkerheds-, integrations- og driftslogs i strukturerede, maskinlæsbare logformater, der kan indlæses i Kundens centrale log-, overvågnings- og SIEM-platforme, herunder ELK-stack, Zabbix og/eller tilsvarende SIEM-løsninger. Logs skal som minimum kunne leveres i JSON Lines / NDJSON og/eller Syslog efter RFC 5424, og sikkerhedsrelaterede hændelser bør kunne mappes til anerkendte SIEM-formater såsom CEF, LEEF eller Elastic Common Schema (ECS). Logformatet skal være dokumenteret, versionsstyret og stabilt over tid, og alle loghændelser skal indeholde entydige felter for tidspunkt, logniveau, hændelsestype, systemkomponent, bruger-/serviceidentitet, korrelations-id, kilde, resultat/status og relevant forretningskontekst.</t>
  </si>
  <si>
    <t>Check: Brug af standard logformat — kræver produkt-/team-afklaring (ingen tool-rating).</t>
  </si>
  <si>
    <t>Kryptering</t>
  </si>
  <si>
    <t>HTTPS ved webadgang</t>
  </si>
  <si>
    <t>Ved webadgang til ESDH-løsningen anvendes HTTPS med TLS 1.2 (evt. nyere version) eller tilsvarende for at sikre en fortrolig og integritetssikret forbindelse.</t>
  </si>
  <si>
    <t>Verify: HTTPS ved webadgang — vurderet opfyldt (tool: 1. Fully met).</t>
  </si>
  <si>
    <t>Krypteringsniveau under overførsel</t>
  </si>
  <si>
    <t>Data, der overføres til og fra ESDH-løsningen, skal beskyttes ved hjælp af anerkendte krypteringsprotokoller, som minimum TLS 1.2 (evt. nyere version) eller tilsvarende.</t>
  </si>
  <si>
    <t>TAO: OK, https er standard med tls1.2+</t>
  </si>
  <si>
    <t>Verify: Krypteringsniveau under overførsel — vurderet opfyldt (tool: 1. Fully met).</t>
  </si>
  <si>
    <t>Kryptering ved integration med tredjepartsservices</t>
  </si>
  <si>
    <t>Kommunikationen mellem ESDH-løsningen og Standardintegrationer, f.eks. til Digital Post, sker via krypterede forbindelser baseret på anerkendte protokoller, minimum TLS 1.2 (evt. nyere version) eller tilsvarende, og korrekt certifikathåndtering.</t>
  </si>
  <si>
    <t>TAO: Ok, har tjekket CVR også</t>
  </si>
  <si>
    <t>Verify: Kryptering ved integration med tredjepartsservices — vurderet opfyldt (tool: 1. Fully met).</t>
  </si>
  <si>
    <t>Kryptering af data i hvile (encryption at rest)</t>
  </si>
  <si>
    <t>Leverandøren skal sikre, at al data lagret i produktionsmiljøet og det miljø som anvendes til migrering (midlertidigt miljø) kan krypteres i hvile, så data er beskyttet selv hvis lagringen kompromitteres. 
Data, der overføres til og fra miljøerne, skal beskyttes med krypteringsprotokoller, minimum TLS 1.2 (evt. nyere version) eller tilsvarende. Løsningen skal understøtte kryptering af alle relevante datatyper.</t>
  </si>
  <si>
    <t>CloudOps?</t>
  </si>
  <si>
    <t>Check: Kryptering af data i hvile (encryption at rest) — kræver produkt-/team-afklaring (ingen tool-rating).</t>
  </si>
  <si>
    <t>Wiki: 360° Online Security Specifications customer version; How to: Migrate From On-Premise to Online</t>
  </si>
  <si>
    <t>Kryptering af data i ESDH-løsningen (encryption in transit)</t>
  </si>
  <si>
    <t>Leverandøren skal sikre, at al data i bevægelse mellem miljøerne kan krypteres. Leverandøren skal ligeledes sikre, at al datatrafik til og fra Løsningen beskyttes med krypteringsprotokoller, minimum TLS 1.2 (evt. nyere version) eller tilsvarende. Det er yderligere essentielt, at kryptering kan omfatte den interne datatrafik mellem ESDH-løsningen og den tilhørende database.</t>
  </si>
  <si>
    <t>Check: Kryptering af data i ESDH-løsningen (encryption in transit) — kræver produkt-/team-afklaring (ingen tool-rating).</t>
  </si>
  <si>
    <t>Wiki: 360° Online Security Specifications customer version; ADR-001: Security Approach and Principles for APISIX + Keycloak + OpenBao</t>
  </si>
  <si>
    <t>Journalisering, records management og metadata</t>
  </si>
  <si>
    <t>Understøttelse af principper for journalisering og records management</t>
  </si>
  <si>
    <t>ESDH-løsningen skal understøtte principperne i ISO 15489 om records management, således at Dokumenter, sager og øvrige journaliseringspligtige oplysninger kan oprettes, registreres, fastholdes, genfindes og anvendes som pålidelige, autentiske, integrerede og anvendelige records gennem deres livscyklus.
ESDH-løsningen skal som minimum understøtte, at journaliserede oplysninger kan forsynes med relevante oplysninger om kontekst, ansvar, tidspunkt, relationer, hændelser og status, herunder oplysninger der understøtter sporbarhed, dokumentation, aktindsigt, sagsbehandling, bevaring og kassation.
Leverandøren skal på Kundens anmodning kunne redegøre for, hvordan standardsoftwaren understøtter principperne i ISO 15489.</t>
  </si>
  <si>
    <t>Kravet vurderes som opfyldeligt. Leverandøren er NOARK- og Sähke-2-certificeret, hvilket udgør væsentlig dokumentation for, at standardsoftwaren understøtter centrale records management-principper, herunder registrering, metadata, kontekst, relationer, sporbarhed, bevaring/kassation og livscyklushåndtering.</t>
  </si>
  <si>
    <t>Check: Understøttelse af principper for journalisering og records management — kræver produkt-/team-afklaring (ingen tool-rating).</t>
  </si>
  <si>
    <t>Ratatoskr: Disposal (admin-en); Classification system and classes (admin-en)</t>
  </si>
  <si>
    <t>Understøttelse af metadata for journalisering</t>
  </si>
  <si>
    <t>ESDH-løsningen skal understøtte principperne i ISO 23081 om metadata for records management, således at metadata kan anvendes til at dokumentere journaliserede objekters indhold, kontekst, struktur, relationer, ansvar, hændelser og livscyklus.
ESDH-løsningen skal understøtte, at metadata kan registreres, vedligeholdes, anvendes og udstilles på en måde, der understøtter dokumentation af sagsbehandling, sporbarhed, søgning, genfinding, adgangsstyring, bevaring, kassation og efterfølgende kontrol.
Leverandøren skal på Kundens anmodning kunne redegøre for, hvordan standardsoftwaren understøtter principperne i ISO 23081.</t>
  </si>
  <si>
    <t>Kravet vurderes som opfyldeligt. Leverandørens NOARK- og Sähke-2-certificeringer udgør væsentlig dokumentation for, at standardsoftwaren understøtter centrale metadata-principper for records management, herunder metadata om indhold, kontekst, struktur, relationer, ansvar, hændelser, sporbarhed og livscyklus.
Det bør dog ikke formuleres som en egentlig ISO 23081-certificering, da kravet vedrører understøttelse af principperne i ISO 23081. Leverandøren bør derfor kunne redegøre for, hvordan standardsoftwarens metadatafunktionalitet, konfiguration og certificeringer understøtter de relevante principper.</t>
  </si>
  <si>
    <t>Check: Understøttelse af metadata for journalisering — kræver produkt-/team-afklaring (ingen tool-rating).</t>
  </si>
  <si>
    <t>Ratatoskr: Custom fields (admin-en); Audit trails (admin-en) | Wiki: Virtual metadata</t>
  </si>
  <si>
    <t>Morten: Udfyld tool-rating (O) og evidens; gennemgå AI-kladde.</t>
  </si>
  <si>
    <t>Monitorering og alarmering</t>
  </si>
  <si>
    <t>Monitorering</t>
  </si>
  <si>
    <t>ESDH-leverandøren og driftsleverandøren skal sikre, i samarbejde med Kunden, at ESDH-løsningen (egenudviklede- og tredjepartskomponenter) kan monitoreres, så Kunden eller driftsleverandøren effektivt kan fejlsøge.</t>
  </si>
  <si>
    <t>Check: Monitorering — kræver produkt-/team-afklaring (ingen tool-rating).</t>
  </si>
  <si>
    <t>docs/tender-reference/extracted/KUM-SLKS/Bilag 1 - Tidsplan.txt; docs/tender-reference/extracted/NND/02.01-Tieto-Bilag 2-Vedlegg-Leverandørens utfyllende svar til kravtabell.txt; docs/tender-reference/extracted/Nationalbanken/Bilag 3.i Leverandørens Løsningsbeskrivelse.txt</t>
  </si>
  <si>
    <t>Alarmering</t>
  </si>
  <si>
    <t>ESDH-leverandøren og driftsleverandøren skal sikre, i samarbejde med Kunden, at ESDH-løsningen (inkl. egenudviklede- og tredjepartskomponenter) kan fungere sammen med Driftsleverandørens og Kundens værktøjer til alarmering.</t>
  </si>
  <si>
    <t>Check: Alarmering — kræver produkt-/team-afklaring (ingen tool-rating).</t>
  </si>
  <si>
    <t>docs/tender-reference/extracted/KUM-SLKS/Bilag 1 - Tidsplan.txt; docs/tender-reference/extracted/Nationalbanken/Bilag 3.i Leverandørens Løsningsbeskrivelse.txt; docs/tender-reference/extracted/KK Tender tool.txt</t>
  </si>
  <si>
    <t>Tilbudsbrev</t>
  </si>
  <si>
    <t>Answer</t>
  </si>
  <si>
    <t>Nej</t>
  </si>
  <si>
    <t>Anita</t>
  </si>
  <si>
    <t>Answer: Tilbudsbrev — informationskrav; udkast bilag/dokumentation mangler.</t>
  </si>
  <si>
    <t>Administrative tender document; no product help or wiki match</t>
  </si>
  <si>
    <t>Anita: Opret/link svar-bilag; draft IK-tekst fra prior art.</t>
  </si>
  <si>
    <t>Bilag 2 Producentens standardvilkår</t>
  </si>
  <si>
    <t>Answer: Bilag 2 Producentens standardvilkår — informationskrav; udkast bilag/dokumentation mangler.</t>
  </si>
  <si>
    <t>Contract terms document; no product help or wiki match</t>
  </si>
  <si>
    <t>Bilag 3 Leverandørens priser</t>
  </si>
  <si>
    <t xml:space="preserve">Der er aspekter af Bilag 1a, der er relevante for prissætningen - bla. Hvordan licenser/brug kan afregnes. </t>
  </si>
  <si>
    <t>Answer: Bilag 3 Leverandørens priser — informationskrav; udkast bilag/dokumentation mangler.</t>
  </si>
  <si>
    <t>Der er aspekter af Bilag 1a, der er relevante for prissætningen - bla. Hvordan licenser/brug kan afregnes. | Mangler link til svar-bilag i kolonne T.</t>
  </si>
  <si>
    <t>Pricing annex; no product help or wiki match</t>
  </si>
  <si>
    <t>ESPD</t>
  </si>
  <si>
    <t>Answer: ESPD — informationskrav; udkast bilag/dokumentation mangler.</t>
  </si>
  <si>
    <t>ESPD form; no product help or wiki match</t>
  </si>
  <si>
    <t>Bilag 1 - tidsplan og implementering</t>
  </si>
  <si>
    <t>Bilag 1</t>
  </si>
  <si>
    <t>tidsplan</t>
  </si>
  <si>
    <t>Bilag 1's krav til tidsplanen inkl. Go-live dato d. 1. oktober 2027</t>
  </si>
  <si>
    <t>Answer: tidsplan — informationskrav; udkast bilag/dokumentation mangler.</t>
  </si>
  <si>
    <t>Wiki: Implementation Process</t>
  </si>
  <si>
    <t>Cristina: Opret/link svar-bilag; draft IK-tekst fra prior art.</t>
  </si>
  <si>
    <t>Bilag 1 - Optioner</t>
  </si>
  <si>
    <t>optioner</t>
  </si>
  <si>
    <t xml:space="preserve">Bilag 1's krav om optioner - skal besvares i prisbilaget.
1. 500 timers rådgivning.
2. Superbrugerundervisning.
3. Ekstra Non-prod produkter i samme database.
4. Redundant setup.
5. Databasedrift hos SIT (de overdrager ansvaret til leverandøren).
6. Sandkassemiljø.
7. Undervisning af kundens driftpersionale i drift af applikationen. </t>
  </si>
  <si>
    <t xml:space="preserve">OBS: Vi kan stå for ansvaret for deres drift med 20 DAGES varsel.
Option 7 lugter af at vi/KMD evt skal uddanne Deloitte til at håndtere driften for dem.
Vi kan ikke give gå-væk-priser på nogle af disse. De indgår i den evalueringstekniske pris. </t>
  </si>
  <si>
    <t>Answer: optioner — informationskrav; udkast bilag/dokumentation mangler.</t>
  </si>
  <si>
    <t>OBS: Vi kan stå for ansvaret for deres drift med 20 DAGES varsel.
Option 7 lugter af at vi/KMD evt skal uddanne Deloitte til at håndtere driften for dem.
Vi kan ikke give gå-væk-priser på nogle af disse. De indgår i den evalueringstekniske pris. | Mangler link til svar-bilag i kolonne T.</t>
  </si>
  <si>
    <t>Contract options/pricing; no product help or wiki match</t>
  </si>
  <si>
    <t>Bilag 1 - Sikkerhed</t>
  </si>
  <si>
    <t>Sikkerhedskrav, herunder -godkendelse</t>
  </si>
  <si>
    <t>Verificering af sikkerhedskrav, inkl.:
Leverandørens medarbejdere, der skal understøtte Kunden i Leveringskontraktens levetid, skal sikkerhedsgodkendes jf. Leveringskontrakten pkt. 11.</t>
  </si>
  <si>
    <t>Christian</t>
  </si>
  <si>
    <t>Verify: Sikkerhedskrav, herunder -godkendelse — kræver produkt-/team-afklaring (ingen tool-rating).</t>
  </si>
  <si>
    <t>Wiki: Internal 360; 360° Online Security Specifications customer version</t>
  </si>
  <si>
    <t>B1.A-1</t>
  </si>
  <si>
    <t>Bilag 1.a</t>
  </si>
  <si>
    <t>Brugsvilkår (fra 02.06 Oversigt)</t>
  </si>
  <si>
    <t>Optælling og afregning af licenser</t>
  </si>
  <si>
    <t>Leverandøren kan ikke ændre optællingsmetoden af anvendte og installerede produkter anskaffet under Leveringskontrakten. Optællingsmetoden henviser til at der for de i Leverandørens tilbud anførte produkter ikke kan ændres på afregningsformen i antal navngivne Brugere, devices, processorer etc.</t>
  </si>
  <si>
    <t>Verify: Optælling og afregning af licenser — kræver produkt-/team-afklaring (ingen tool-rating).</t>
  </si>
  <si>
    <t>docs/tender-reference/extracted/Nationalbanken/Bilag 3.i Leverandørens Løsningsbeskrivelse.txt; docs/tender-reference/extracted/KK Tender tool.txt; docs/tender-reference/extracted/KUM-SLKS/Bilag 10 - Producentens standardvilkår.txt</t>
  </si>
  <si>
    <t>Hans: Udfyld tool-rating (O) og evidens; gennemgå AI-kladde.</t>
  </si>
  <si>
    <t>B1.A-2</t>
  </si>
  <si>
    <t>Afregningsform</t>
  </si>
  <si>
    <t>Der afregnes efter Kundens brug af programmellet. Afregningsformen kan ikke ændres på allerede erhvervede licenser. Dette kan være optalt i enten antallet af f.eks. Brugere, processorer eller devices. Leverandøren er ikke berettiget til at lade kundespecifikke forhold af demografisk eller geografisk karakter have direkte eller indirekte indflydelse på afregningsformen, med mindre andet eksplicit er aftalt.</t>
  </si>
  <si>
    <t>Verify: Afregningsform — kræver produkt-/team-afklaring (ingen tool-rating).</t>
  </si>
  <si>
    <t>docs/tender-reference/extracted/KK Tender tool.txt; docs/tender-reference/extracted/KUM-SLKS/Bilag 10 - Producentens standardvilkår.txt; docs/tender-reference/extracted/Nationalbanken/Bilag 3.i Leverandørens Løsningsbeskrivelse.txt</t>
  </si>
  <si>
    <t>B1.A-3</t>
  </si>
  <si>
    <t>Organisatorisk anvendelsesret</t>
  </si>
  <si>
    <t>Under de vilkår der er angivet i Leveringskontraktens bestemmelser om ændringer, står det Kunden frit for at anvende det indkøbte programmel indenfor Kundens koncern og nye eller ændrede myndigheder/koncerner etableret eller ændret f.eks. pga. omstruktureringer/ressortomlægninger, idet Kunden meddeler dette til Leverandøren og underskriver sædvanlige standardiserede navneændring/overdragelsesdokumenter overfor Leverandøren. Kunder som køber ind via Det dynamiske indkøbssystem på vegne af øvrige statslige Myndigheder kan uhindret og vederlagsfrit flytte licenser mellem statslige Myndigheder. Tilsvarende gælder imellem kommuner, regioner og lignende. Den organisatoriske anvendelsesret omfatter både tidsubegrænsede og tidsbegrænsede licenser / on-premise og cloud.</t>
  </si>
  <si>
    <t>Mandip</t>
  </si>
  <si>
    <t xml:space="preserve">Dette betyder, at de kan udvide brugen til hele koncernen, hvis de ønsker. </t>
  </si>
  <si>
    <t>Verify: Organisatorisk anvendelsesret — kræver produkt-/team-afklaring (ingen tool-rating).</t>
  </si>
  <si>
    <t>Dette betyder, at de kan udvide brugen til hele koncernen, hvis de ønsker.</t>
  </si>
  <si>
    <t>Mandip: Udfyld tool-rating (O) og evidens; gennemgå AI-kladde.</t>
  </si>
  <si>
    <t>B1.A-4</t>
  </si>
  <si>
    <t>Geografisk ret</t>
  </si>
  <si>
    <t>Kunden har ret til at installere og drifte det indkøbte programmel på alle fysiske lokationer, der er knyttet til Myndigheden/koncernen og dennes ressortområder/datterselskaber. Denne ret er ikke begrænset til afvikling af softwaren i Danmark, men gælder i alle lande hvor Myndigheden/koncernen opererer.</t>
  </si>
  <si>
    <t>Verify: Geografisk ret — kræver produkt-/team-afklaring (ingen tool-rating).</t>
  </si>
  <si>
    <t>B1.A-5</t>
  </si>
  <si>
    <t>Audit - 60 dages forberedelse</t>
  </si>
  <si>
    <t>Såfremt Producenten/Leverandøren ønsker at gennemføre et audit af Kundens licensbeholdning gælder et almindeligt varsel på 60 kalenderdage inden audit må gennemføres. Leverandøren betaler auditomkostningerne (internt tidsforbrug hos henholdsvis Kunden og Leverandøren/Producenten, kan ikke opkræves), hvis omfanget af non-compliance ikke overstiger 15% af organisationens samlede licens- og supportomkostninger for Leveringskontraktens foregående år. I tilfælde af audit, hvor audit gennemføres af tredjepart (f.eks. et revisionsfirma) har Kunden ret til at afvise Leverandørens auditør, hvis Kunden kan sandsynliggøre at der er forhold, der gør auditøren inhabil. I særlige tilfælde f.eks. i forbindelse med organisationsændringer eller fusioner har Kunden ret til udsættelse på 60 kalenderdage udover det almindelige varsel Leverandøren er pålagt.</t>
  </si>
  <si>
    <t>Vi plejer ikke at skulle advisere dem, men vi kan bare udmelde i begyndelsen af året, hvornår vi gør det.</t>
  </si>
  <si>
    <t>Verify: Audit - 60 dages forberedelse — kræver produkt-/team-afklaring (ingen tool-rating).</t>
  </si>
  <si>
    <t>B1.A-6</t>
  </si>
  <si>
    <t>Audit - konsekvens</t>
  </si>
  <si>
    <t>I tilfælde af at Leverandøren/Producenten gennemfører et audit, og der anvendes flere licenser/services, end der er indkøbt, er Kunden forpligtet til at betale for de manglende licenser/services og eventuel support. Det er de i Leveringskontrakten allerede angivne priser som skal anvendes.</t>
  </si>
  <si>
    <t>Som det er for de fleste kunder i dag.</t>
  </si>
  <si>
    <t>Verify: Audit - konsekvens — kræver produkt-/team-afklaring (ingen tool-rating).</t>
  </si>
  <si>
    <t>docs/tender-reference/extracted/KK Tender tool.txt; docs/tender-reference/extracted/KUM-SLKS/Bilag 10 - Producentens standardvilkår.txt; docs/tender-reference/extracted/NND/02.01-Tieto-Bilag 2-Vedlegg-Leverandørens utfyllende svar til kravtabell.txt</t>
  </si>
  <si>
    <t>B1.A-7</t>
  </si>
  <si>
    <t>Dobbeltdrift ved migrering</t>
  </si>
  <si>
    <t>Ved migrering af drift fra et system til et andet eller ved skift af driftsleverandør, har Kunden ret til vederlagsfrit at dobbeltdrifte i en periode på op til 4 måneder, hvor systemet migreres fra et driftsmiljø til et andet.</t>
  </si>
  <si>
    <t>Prispåvirkning - dette kan være dyrt.</t>
  </si>
  <si>
    <t>Verify: Dobbeltdrift ved migrering — kræver produkt-/team-afklaring (ingen tool-rating).</t>
  </si>
  <si>
    <t>Contract clause on parallel operation during migration; no product documentation</t>
  </si>
  <si>
    <t>B1.A-8</t>
  </si>
  <si>
    <t>Data (output)</t>
  </si>
  <si>
    <t>Kunden ejer alt genereret data som selvstændigt er skabt af Kunden ved hjælp af det installerede standardsoftware, tidsubegrænset og vederlagsfrit. Kunden kan frit bruge og distribuere data, såfremt dette ikke strider mod tredjemands rettigheder. Med data forstås for eksempel borgerdata, rapporter, tekster eller regneeksempler, der risikerer at gå tabt ved skift af platform. Såfremt Leveringskontrakten ophører, skal Leverandøren vederlagsfrit sikre at Kunden kan få adgang til data og dataoverflytning i 90 Dage.</t>
  </si>
  <si>
    <t>Maybe Viktoria?</t>
  </si>
  <si>
    <t>Verify: Data (output) — kræver produkt-/team-afklaring (ingen tool-rating).</t>
  </si>
  <si>
    <t>B1.A-9</t>
  </si>
  <si>
    <t>Sikkerhedskopier m.v.</t>
  </si>
  <si>
    <t>Kunden har ret til at: - Fremstille et sikkerhedseksemplar af standardsoftwaren, for så vidt det er nødvendigt for benyttelsen af Standardsoftwaren - Besigtige, undersøge eller afprøve standardsoftwaren for at fastslå, hvilke ideer og principper der ligger til grund for de enkelte elementer i programmet, hvis dette sker i forbindelse med sådan indlæsning, visning på skærm, kørsel, overførsel, lagring eller lignende af programmet, som vedkommende er berettiget til at udføre. Kunder der har ret til at benytte en database, må desuden foretage sådanne handlinger, som er nødvendige for, at den pågældende kan få adgang til databasens indhold og gøre normal brug af dette.</t>
  </si>
  <si>
    <t>Betyder dette, at de kan få adgang til vores kildekode? At de vil kopiere vores kildekode og gøre med det, hvad de vil? Dette kan vi IKKE leve med.</t>
  </si>
  <si>
    <t>Verify: Sikkerhedskopier m.v. — kræver produkt-/team-afklaring (ingen tool-rating).</t>
  </si>
  <si>
    <t>Wiki: 360° Online Security Specifications customer version</t>
  </si>
  <si>
    <t>B1.A-10</t>
  </si>
  <si>
    <t>Kundens driftsleverandører</t>
  </si>
  <si>
    <t>Kunden må frit benytte tredjemands bistand til forvaltning og drift af det leverede standardsoftware. Leverandøren kan stille krav til indgåelse af en skriftlig aftale imellem Kunden, Leverandøren og den pågældende tredjemand vedrørende vilkårene for tredjemands drift af det leverede programmel, forudsat at en sådan aftale ikke indeholder en særskilt pris herfor.</t>
  </si>
  <si>
    <t xml:space="preserve">Dette er nok skrevet ind for at Deloitte kan arbejde for dem. </t>
  </si>
  <si>
    <t>Verify: Kundens driftsleverandører — kræver produkt-/team-afklaring (ingen tool-rating).</t>
  </si>
  <si>
    <t>Dette er nok skrevet ind for at Deloitte kan arbejde for dem.</t>
  </si>
  <si>
    <t>Wiki: Module overview; Incident Management Third Party Softwares</t>
  </si>
  <si>
    <t>B1.A-11</t>
  </si>
  <si>
    <t>Brugsvilkår (udarbejdet af Kunden)</t>
  </si>
  <si>
    <t>Kunden skal stilles det fulde ESDH Standard API til rådighed for Kundens systemer. Al Kundens adgang, integration og forbrug af API'et er inkluderet uden yderligere omkostninger, og Leverandøren kan ikke opkræve yderligere gebyrer, uanset mængden af integrationer eller datatransaktioner, således at der ikke opkræves licensudgift pr. applikation.</t>
  </si>
  <si>
    <t>Verify: ESDH Standard API — kræver produkt-/team-afklaring (ingen tool-rating).</t>
  </si>
  <si>
    <t>B1.F-1</t>
  </si>
  <si>
    <t>Bilag 1.f. Test og prøver</t>
  </si>
  <si>
    <t>1.1</t>
  </si>
  <si>
    <t>Oversigt over prøver, prøveudførende og miljø</t>
  </si>
  <si>
    <t>Oversigt over prøver, prøveudførende og miljø Dette afsnit beskriver de prøver, der skal gennemføres ved etableringen af ESDH-løsningen. Kundens pre-produktionsmiljø vil blive anvendt i alle prøver på nær konverteringsprøven og Driftsprøven. Tabel 1 – Oversigt over prøver, prøveudførende og ansvarlig samt miljø. Prøve Prøveudførende og ansvarlig Leverandør Leverandør Leverandøren sammen med SIT og Kunden Miljø Separat miljø til migreringstest – etableres af Kunden men ESDH-løsning leveres af leverandør Kundens pre-produktionsmiljø Kundens pre-produktionsmiljø Kundens produktionsmiljø 1. 2. 3. Installationsprøve Performanceprøve Sikkerhedsprøve inkl. Disaster Recovery 4. Konverteringsprøve Leverandør i samarbejde med Kunden 5. 6. 7. Accepttest - UAT Overtagelsesprøve Driftsprøve Kunden Leverandør Kunden Kundens pre-produktionsmiljø Kundens pre-produktionsmiljø Kundens pre-produktionsmiljø Bemærkning Leverandøren skal dokumentere, at sikkerhedskravene er opfyldt gennem en sikkerhedsprøve 3</t>
  </si>
  <si>
    <t>Verify: Oversigt over prøver, prøveudførende og miljø — kræver produkt-/team-afklaring (ingen tool-rating).</t>
  </si>
  <si>
    <t>Cristina: Udfyld tool-rating (O) og evidens; gennemgå AI-kladde.</t>
  </si>
  <si>
    <t>B1.F-2</t>
  </si>
  <si>
    <t>2.1</t>
  </si>
  <si>
    <t>Testdokumentation</t>
  </si>
  <si>
    <t>Testdokumentation Leverandøren skal planlægge, dokumentere, gennemføre og rapportere alle prøver i overensstemmelse med de relevante dele af IEEE 29119-serien, herunder særligt testprocesser, testdokumentation og testteknikker. Testterminologi, definitioner og begreber skal følge den til enhver tid gældende ISTQB glossary på dansk. Leverandøren kan anvende egne metoder og værktøjer, forudsat at disse dokumenter understøtter kravene i dette prøvebilag. Leverandøren skal som en del af testprocesserne bl.a. udarbejde følgende dokumentation i forbindelse med prøverne: • • • Testplan. Testcases. Prøverapport.</t>
  </si>
  <si>
    <t>Verify: Testdokumentation — kræver produkt-/team-afklaring (ingen tool-rating).</t>
  </si>
  <si>
    <t>B1.F-3</t>
  </si>
  <si>
    <t>2.2</t>
  </si>
  <si>
    <t>Testplan</t>
  </si>
  <si>
    <t>Testplan Leverandøren er ansvarlig for testplaner for alle prøver. Testplaner skal godkendes af Kunden. Leverandøren instrueres i til at fremsende den endelige testplan for en prøve til Kunden senest 20 Arbejdsdage inden prøvens påbegyndelse, jf. den for prøven gældende testtidsplan. Den endelige testplan for en prøve skal godkendes af Kunden forud for gennemførelse af den pågældende prøve. Eventuelle ændringsforslag fra Kunden skal fremsendes til Leverandøren. Herefter indarbejder Leverandøren Kundens ændringer i den endelige testplan, der skal foreligge 10 Arbejdsdage før prøvens start. Såfremt Kunden ikke fremsender skriftlige indsigelser til Leverandøren inden for 5 Arbejdsdage efter modtagelse, betragtes testplanen for prøven som godkendt. Testplanen skal tilpasses den konkrete prøve. Testplanen skal som minimum indeholde følgende: • • • • • • • • Indledning med begrundelse for valgt prøve- og testtilgang. Prøvens formål, omfang og kontekst: Hvad der skal afprøves. Testcases: Hvilke der indgår, og hvornår de skal afprøves. Omfanget af prøven udtrykt ved antallet af konkrete testcases, der planlægges gennemført. Oversigt over testcases, dækningsgrad for testen op mod krav, herunder en redegørelse for dækningsgradens tilstrækkelighed. Testdata: Hvordan de dannes eller genereres, og hvordan det sikres, at de dækker tilstrækkeligt for en grundig afprøvning. Kundens deltagelse: Roller, ansvar, omfang og tidspunkt, herunder levering af data. Leverandørens proces skal tilrettelægges, så Kundens indsats minimeres. Testressourcer, der kræves for at gennemføre prøven. 4 • • • Ansvarsfordeling, så det fremgår hvilke testressourcer, der skal gennemføre hvilke testaktiviteter. Tidsplan for prøvegennemførelsen. Anvendelse af specifikke metoder, teknikker og værktøjer herunder automatisering.</t>
  </si>
  <si>
    <t>Verify: Testplan — kræver produkt-/team-afklaring (ingen tool-rating).</t>
  </si>
  <si>
    <t>docs/tender-reference/extracted/KK Tender tool.txt; docs/tender-reference/extracted/KUM-SLKS/Bilag 1 - Tidsplan.txt; docs/tender-reference/extracted/Nationalbanken/Underbilag 6B - Testplan og Leverandørens prøveprincipper, metoder og -værktøjer (1).txt</t>
  </si>
  <si>
    <t>B1.F-4</t>
  </si>
  <si>
    <t>2.3</t>
  </si>
  <si>
    <t>Testcases</t>
  </si>
  <si>
    <t>Testcases Leverandøren er ansvarlig for at udarbejde og tilrettelægge testcases for de prøver, der er defineret i de respektive prøveplaner. Testcases skal godkendes af Kunden. Kunden overtager testcases udarbejdet af Leverandøren som del af en prøve. De enkelte testcase skal som minimum indeholde: 1. Entydig identifikation af testcasen. 2. Sporbarhed til det krav, som testcasen vedrører. 3. Betingelser for påbegyndelse, f.eks. testdata, testværktøjer, relationer til andre test og evt. forudsætninger for gennemførelse. 4. Input data. 5. Handling (aktioner). 6. Forventet resultat. 7. Betingelser for afslutning.</t>
  </si>
  <si>
    <t>Verify: Testcases — kræver produkt-/team-afklaring (ingen tool-rating).</t>
  </si>
  <si>
    <t>B1.F-5</t>
  </si>
  <si>
    <t>2.4</t>
  </si>
  <si>
    <t>Prøverapport</t>
  </si>
  <si>
    <t>Prøverapport Når en prøve er gennemført, skal Leverandøren straks, og senest 5 Arbejdsdage efter prøvens gennemførelse, udarbejde en prøverapport for prøven. Prøverapporten skal dokumentere prøveforløbet og skal som minimum indeholde følgende: • • • • • • • • • Resume med hovedkonklusioner af den prøve der har været udført. Prøvekontekst. Det vil sige hvad der er prøvet og ikke prøvet, prøvens omfang, antagelser og begrænsninger samt hvilke testdata, der er anvendt. Eventuelle afvigelser fra prøveplanen, herunder begrundelser og angivelse af, hvilke krav og testcases, der ikke er testet. Oversigt over testcases, der er afprøvet, samt resultaterne. Evaluering af de i prøveplanen aftalte godkendelseskriterier. Faktorer der evt. blokerede fremdrift i prøven. Test-metrikker: o antal testcases udført, ▪ antal testcases gennemført med succes, ▪ antal testcases der resulterer i fejl, ▪ antal testcases ikke fuldført. o antal fejl med prioritet 1, 2, 3 og 4. o opnået dækningsgrad målt fra kravene op mod testcases. Fejlliste med eventuelt konstaterede fejl. Fejllisten skal angive: o Hvilke fejl der er fundet under prøven. o I hvilken testcase fejlen er konstateret. o Leverandørens forslag til fejlkategori. Status på og Leverandørens foreslåede plan for afhjælpning af de identificerede fejl. 5 • • Tilbageværende risici, som ikke er blevet berørt i prøven. Samlet resultatet af den gennemførte prøve med anbefaling til Kunden på baggrund af resultatet. Kunden skal godkende Leverandørens forslag til kategoriseringen af udestående fejl, som fremgår af Prøverapporten. Af prøverapporten skal der desuden fremgå en handlingsplan, der beskriver, hvordan og hvornår fejl udbedres, såfremt Kunden bestiller dette iværksat.</t>
  </si>
  <si>
    <t>Verify: Prøverapport — kræver produkt-/team-afklaring (ingen tool-rating).</t>
  </si>
  <si>
    <t>docs/tender-reference/extracted/KUM-SLKS/Bilag 1 - Tidsplan.txt; docs/tender-reference/extracted/Nationalbanken/Underbilag 6B - Testplan og Leverandørens prøveprincipper, metoder og -værktøjer (1).txt; docs/tender-reference/extracted/KK Tender tool.txt</t>
  </si>
  <si>
    <t>B1.F-6</t>
  </si>
  <si>
    <t>2.5</t>
  </si>
  <si>
    <t>Testmiljøer</t>
  </si>
  <si>
    <t>Testmiljøer Det fremtidige systemlandskab skal bestå af to separate miljøer (NON-PROD og Produktion) til håndtering af Kundens ESDH-instanser, hvor Leverandøren skal installere ESDH-løsningen. Leverandøren skal desuden stille deres ESDH-løsning til rådighed hos SIT i et konverteringsmiljø, hvor leverandøren kan gennemføre og verificere konverteringen. Det aftales forud for gennemførelse af en testaktivitet, som del af en prøve, i hvilket miljø testaktiviteten gennemføres i.</t>
  </si>
  <si>
    <t>Verify: Testmiljøer — kræver produkt-/team-afklaring (ingen tool-rating).</t>
  </si>
  <si>
    <t>B1.F-7</t>
  </si>
  <si>
    <t>2.6</t>
  </si>
  <si>
    <t>Testdata</t>
  </si>
  <si>
    <t>Testdata Leverandøren skal sikre, at der er de nødvendige testdata til rådighed til brug for de prøver, som Leverandøren under Kundens instruktionsbeføjelse bliver ansvarlig for afholdelsen af. Prøver skal, så vidt muligt, gennemføres med kundenært data. Hvis en Prøve kræver særlige testdata, skal Leverandøren udarbejde og stille de nødvendige data til rådighed for Kunden. Testdata skal være af en sådan kvalitet, omfang, variation og relevans, at de prøver, de skal anvendes i forbindelse med, får en så høj grad af realisme som muligt. Testdata i relation til performanceprøven kræver, at der findes mindst 8.000.000 Dokumenter i Løsningen på 2.000.000 sager med samlet 7 terabyte data. De 8.000.000 Dokumenter skal være fordelt i små, almindelige og store dokumentstørrelser som vist i Tabel 2. Der skal også være nogle Dokumenter med maksimum størrelse. Tabel 2 -- Dokumentstørrelser. Dokumenter er delt i tre niveauer Små Almindelige Store Maksimum Størrelse</t>
  </si>
  <si>
    <t>Verify: Testdata — kræver produkt-/team-afklaring (ingen tool-rating).</t>
  </si>
  <si>
    <t>B1.F-8</t>
  </si>
  <si>
    <t>2.7</t>
  </si>
  <si>
    <t>Roller og ansvar</t>
  </si>
  <si>
    <t>Roller og ansvar Leverandøren har under Kundens instruktionsbeføjelse det overordnede ansvar for al planlægning og udførsel af alle tests og prøver, dog undtaget de dele af testen, som Kunden påtager sig ansvaret for. Leverandøren skal levere de nødvendige ressourcer, som har viden om og forståelse for de nødvendige testaktiviteter.</t>
  </si>
  <si>
    <t>Verify: Roller og ansvar — kræver produkt-/team-afklaring (ingen tool-rating).</t>
  </si>
  <si>
    <t>B1.F-9</t>
  </si>
  <si>
    <t>2.8</t>
  </si>
  <si>
    <t>Kriterier for påbegyndelse af prøver</t>
  </si>
  <si>
    <t>Kriterier for påbegyndelse af prøver De enkelte prøver kan påbegyndes når følgende kriterier er opfyldt: • • • Når Leverandøren har installeret ESDH-løsningen i Kundens miljø. Kunden har godkendt Leverandørens prøveplan for den konkrete prøve. Kunden har godkendt Leverandørens testcases, der er relevante for den konkrete prøve. For Installationsprøven er der yderligere kriterier, før prøven kan påbegyndes: • Leverandøren skal have udført egne interne test og der ikke er åbne fejl af prioritet 1 og 2 som følge af denne test. For konverteringsprøven er der yderligere kriterier, før prøven kan påbegyndes: • Kunden har godkendt Leverandørens testcases, hvor alle mapningsregler er dækket.</t>
  </si>
  <si>
    <t>Verify: Kriterier for påbegyndelse af prøver — kræver produkt-/team-afklaring (ingen tool-rating).</t>
  </si>
  <si>
    <t>docs/tender-reference/extracted/KK Tender tool.txt; docs/tender-reference/extracted/Nationalbanken/Underbilag 6B - Testplan og Leverandørens prøveprincipper, metoder og -værktøjer (1).txt; docs/tender-reference/extracted/KUM-SLKS/Bilag 1 - Tidsplan.txt</t>
  </si>
  <si>
    <t>B1.F-10</t>
  </si>
  <si>
    <t>2.9</t>
  </si>
  <si>
    <t>Prøvens afvikling</t>
  </si>
  <si>
    <t>Prøvens afvikling Leverandøren skal gennemføre den konkrete prøve som en del af Leverandørens Leverance. Den konkrete prøve skal være bestået senest 5 Arbejdsdage efter igangsættelse med mindre andet aftales. Leverandøren skal i den konkrete prøve indeholde udvalgte testaktiviteter, som Leverandøren foreslår. Omfanget af den konkrete prøve, herunder hvilke testaktiviteter, der inkluderes, fastlægges endeligt sammen med Kunden ved Kundens godkendelse af prøveplanen for den konkrete prøve. Ved afslutningen af den konkrete prøve udarbejder og fremsender Leverandøren senest 5 Arbejdsdage efter udførsel prøverapport til Kunden med indhold som beskrevet i afsnit 2.4 inkl. angivelse af resultatet, herunder eventuelle konstaterede fejl.</t>
  </si>
  <si>
    <t>Verify: Prøvens afvikling — kræver produkt-/team-afklaring (ingen tool-rating).</t>
  </si>
  <si>
    <t>docs/tender-reference/extracted/Nationalbanken/Bilag 3.i Leverandørens Løsningsbeskrivelse.txt; docs/tender-reference/extracted/KUM-SLKS/Bilag 1 - Tidsplan.txt; docs/tender-reference/extracted/KK Tender tool.txt</t>
  </si>
  <si>
    <t>B1.F-11</t>
  </si>
  <si>
    <t>3.1</t>
  </si>
  <si>
    <t>Generelle godkendelseskriterier for prøver</t>
  </si>
  <si>
    <t>Generelle godkendelseskriterier for prøver For hver prøve gælder som godkendelseskriterium, at test/prøve-rapporten for testen/prøven dokumenterer, at testplanen er fulgt, og at resultaterne af den pågældende test/prøve dokumenteret at godkendelses-kriterier for testen/prøven er opnået. De enkelte test/prøver anses for godkendt, når følgende kriterier er opfyldt: • • • • Der er sporbarhed fra alle krav relevante for den konkrete test/prøve til testcases, så det sikres, at alle krav er teste for den konkrete test/prøve. Alle planlagte testcases er gennemført. Der forekommer ingen åbne fejl med prioritet 1 eller prioritet 2. Der forekommer højst 10 åbne fejl med prioritet 3 og samlet højst 20 åbne fejl med prioritet 4. Leverandøren skal endvidere have udarbejdet en plan for levering af rettelser for udstående fejl ved testen/prøvens afslutning. Kunden skal som del af godkendelsen af en prøve, godkende planen for rettelser af fejl, hvorefter planerne indgår i Leverancen i det videre forløb. En test/prøve kan kun godkendes, hvis der ikke findes fejl med prioritet 1 og 2, jf. fejlkategorier i afsnit 5. Kunden godkender i udgangspunktet ikke en prøve, såfremt der foreligger mere end 30 prioritet 3 og 4 fejl tilsammen medmindre andet er aftalt i testplan godkendt af Kunden, jf. fejlkategorier i afsnit 5.</t>
  </si>
  <si>
    <t>Verify: Generelle godkendelseskriterier for prøver — kræver produkt-/team-afklaring (ingen tool-rating).</t>
  </si>
  <si>
    <t>docs/tender-reference/extracted/KK Tender tool.txt; docs/tender-reference/extracted/Nationalbanken/Underbilag 6B - Testplan og Leverandørens prøveprincipper, metoder og -værktøjer (1).txt; docs/tender-reference/extracted/Nationalbanken/Bilag 3.i Leverandørens Løsningsbeskrivelse.txt</t>
  </si>
  <si>
    <t>B1.F-12</t>
  </si>
  <si>
    <t>3.2</t>
  </si>
  <si>
    <t>Ikke godkendt prøve</t>
  </si>
  <si>
    <t>Ikke godkendt prøve Hvis godkendelseskriterierne for en prøve ikke er opfyldt, eller prøvens testplan ikke er fulgt, har Kunden mulighed for ikke at godkende prøven, hvorefter Kunden vil instruere Leverandøren ift. at gentage prøven. 8</t>
  </si>
  <si>
    <t>Verify: Ikke godkendt prøve — kræver produkt-/team-afklaring (ingen tool-rating).</t>
  </si>
  <si>
    <t>docs/tender-reference/extracted/Nationalbanken/Underbilag 6B - Testplan og Leverandørens prøveprincipper, metoder og -værktøjer (1).txt; docs/tender-reference/extracted/Nationalbanken/Bilag 3.i Leverandørens Løsningsbeskrivelse.txt; docs/tender-reference/extracted/KUM-SLKS/Bilag 1 - Tidsplan.txt</t>
  </si>
  <si>
    <t>B1.F-13</t>
  </si>
  <si>
    <t>4.1</t>
  </si>
  <si>
    <t>Fejlrapporteringsværktøj</t>
  </si>
  <si>
    <t>Fejlrapporteringsværktøj Kunden stiller værktøjet Jira til rådighed, hvori fejl fundet som del af prøver rapporteres. Fejl dokumenteres i Jira, med reference til hvilken testcase, der har afsløret fejlen. Dette sikrer en god proces for gentest ved fejlrettelser.</t>
  </si>
  <si>
    <t>Verify: Fejlrapporteringsværktøj — kræver produkt-/team-afklaring (ingen tool-rating).</t>
  </si>
  <si>
    <t>B1.F-14</t>
  </si>
  <si>
    <t>4.2</t>
  </si>
  <si>
    <t>Teststyringsværktøj</t>
  </si>
  <si>
    <t>Teststyringsværktøj Kunden stiller teststyringsværktøjet Xray til rådighed. Xray er et plugin til Atlassian Jira hvori testcases skal oprettes/dokumenteres, testforløb skal planlægges og testresultater skal dokumenteres. Testcases kan importeres via en CSV-fil, hvis Leverandøren har testcases i et andet værktøj i dag. Det er muligt at læse mere om Xray Enterprise - Test Management for Jira via Atlassian Marketplace. Sporbarheden skal dokumenteres fra testcase til det unik krav som testcases dækker.</t>
  </si>
  <si>
    <t>Verify: Teststyringsværktøj — kræver produkt-/team-afklaring (ingen tool-rating).</t>
  </si>
  <si>
    <t>docs/tender-reference/extracted/Nationalbanken/Bilag 3.i Leverandørens Løsningsbeskrivelse.txt; docs/tender-reference/extracted/KK Tender tool.txt; docs/tender-reference/extracted/Nationalbanken/Bilag 6.i Implementeringsplan (Leverandørens løsningsbeskrivelse.txt</t>
  </si>
  <si>
    <t>B1.F-15</t>
  </si>
  <si>
    <t>4.3</t>
  </si>
  <si>
    <t>Testautomatisering</t>
  </si>
  <si>
    <t>Testautomatisering Kunden overtager testautomatiseringsscripts udarbejdet af Leverandøren som del af en prøve, hvis testautomatisering er anvendt.</t>
  </si>
  <si>
    <t>Verify: Testautomatisering — kræver produkt-/team-afklaring (ingen tool-rating).</t>
  </si>
  <si>
    <t>docs/tender-reference/extracted/Nationalbanken/Bilag 3.i Leverandørens Løsningsbeskrivelse.txt; docs/tender-reference/extracted/Nationalbanken/Underbilag 6B - Testplan og Leverandørens prøveprincipper, metoder og -værktøjer (1).txt; docs/tender-reference/extracted/KK Tender tool.txt</t>
  </si>
  <si>
    <t>B1.F-16</t>
  </si>
  <si>
    <t>4.4</t>
  </si>
  <si>
    <t>Tværgående testscenarier, testdata, testkonfiguration og testfunktionalitet</t>
  </si>
  <si>
    <t>Tværgående testscenarier, testdata, testkonfiguration og testfunktionalitet Leverandøren skal forud for gennemførelse af prøverne sikre, at testscenarier, testdata, testkonfiguration og testfunktionalitet er udarbejdet i overensstemmelse med nedenstående.</t>
  </si>
  <si>
    <t>Verify: Tværgående testscenarier, testdata, testkonfiguration og testfunktionalitet — kræver produkt-/team-afklaring (ingen tool-rating).</t>
  </si>
  <si>
    <t>docs/tender-reference/extracted/Nationalbanken/Underbilag 6B - Testplan og Leverandørens prøveprincipper, metoder og -værktøjer (1).txt; docs/tender-reference/extracted/KUM-SLKS/Bilag 1 - Tidsplan.txt; docs/tender-reference/extracted/Nationalbanken/Bilag 3.i Leverandørens Løsningsbeskrivelse.txt</t>
  </si>
  <si>
    <t>B1.F-17</t>
  </si>
  <si>
    <t>4.5</t>
  </si>
  <si>
    <t>Testkonfiguration</t>
  </si>
  <si>
    <t>Testkonfiguration Leverandøren skal efter behov udarbejde en testkonfiguration af ESDH-løsningen. Ved testkonfiguration forstås en konfiguration af ESDH-løsningen, der skal etableres forud for påbegyndelsen af en prøve, således at det er muligt at gennemføre en prøve på ESDH-løsningen. Dette kan inkludere anvendelse og aktivering af testdata og testfunktionalitet.</t>
  </si>
  <si>
    <t>Verify: Testkonfiguration — kræver produkt-/team-afklaring (ingen tool-rating).</t>
  </si>
  <si>
    <t>B1.F-18</t>
  </si>
  <si>
    <t>4.6</t>
  </si>
  <si>
    <t>Testfunktionalitet</t>
  </si>
  <si>
    <t>Testfunktionalitet Leverandøren skal sikre, at der er den nødvendige testfunktionalitet til rådighed til brug for prøver. Ved testfunktionalitet forstås funktionalitet, der udelukkende anvendes til testformål, og som etableres forud for påbegyndelsen af en prøve. Dette kan eksempelvis være en teststub, der simulerer ekstern service, API´er eller anden form for automatiseret test.</t>
  </si>
  <si>
    <t>Verify: Testfunktionalitet — kræver produkt-/team-afklaring (ingen tool-rating).</t>
  </si>
  <si>
    <t>B1.F-19</t>
  </si>
  <si>
    <t>6.1</t>
  </si>
  <si>
    <t>Installationsprøvens indhold</t>
  </si>
  <si>
    <t>Installationsprøvens indhold Installationsprøven skal omfatte: 10 • • • • • • • Kontrol af, at installationen kan gennemføres uden fejl og i overensstemmelse med den godkendte installationsvejledning. Verifikation af, at alle services og evt. moduler er installeret og aktive. Kontrol af, at ESDH-løsningen kan tilgås af Brugere og Administratorer. Test af grundlæggende funktioner, herunder oprettelse af sager og Dokumenter, søgning og journalisering. Bekræftelse af, at API´er fungerer efter hensigten. Kontrol af, at logning, sikkerhedsindstillinger og backupfunktionalitet er konfigureret korrekt. Gennemgang af installationsvejledninger med Kundens driftsleverandør.</t>
  </si>
  <si>
    <t>Verify: Installationsprøvens indhold — kræver produkt-/team-afklaring (ingen tool-rating).</t>
  </si>
  <si>
    <t>docs/tender-reference/extracted/Nationalbanken/Underbilag 6B - Testplan og Leverandørens prøveprincipper, metoder og -værktøjer (1).txt; docs/tender-reference/extracted/Nationalbanken/Bilag 3.i Leverandørens Løsningsbeskrivelse.txt; docs/tender-reference/extracted/KK Tender tool.txt</t>
  </si>
  <si>
    <t>B1.F-20</t>
  </si>
  <si>
    <t>7.1</t>
  </si>
  <si>
    <t>Performanceprøven indhold</t>
  </si>
  <si>
    <t>Performanceprøven indhold Performanceprøven skal omfatte: • • • Belastning af ESDH-løsning med 1.000 Brugere, der arbejder samtidig med testen, der udføres. Datagrundlag ESDH-løsningen er tilgængelig i et pre-produktionsmiljø og der findes mindst</t>
  </si>
  <si>
    <t>Verify: Performanceprøven indhold — kræver produkt-/team-afklaring (ingen tool-rating).</t>
  </si>
  <si>
    <t>B1.F-21</t>
  </si>
  <si>
    <t>8.000.000</t>
  </si>
  <si>
    <t>Dokumenter i ESDH-løsningen på 2.000.000 sager med samlet 7 terabyte data.</t>
  </si>
  <si>
    <t>Dokumenter i ESDH-løsningen på 2.000.000 sager med samlet 7 terabyte data. Test af test i de tre transaktionskategorier, simple, middel og kompleks fra Bilag 1.h Servicemål afsnit 3.4.</t>
  </si>
  <si>
    <t>Verify: Dokumenter i ESDH-løsningen på 2.000.000 sager med samlet 7 terabyte data. — kræver produkt-/team-afklaring (ingen tool-rating).</t>
  </si>
  <si>
    <t>B1.F-22</t>
  </si>
  <si>
    <t>8.1</t>
  </si>
  <si>
    <t>Sikkerhedsprøven indhold</t>
  </si>
  <si>
    <t>Sikkerhedsprøven indhold Sikkerhedsprøven skal omfatte: 11 • • • • • • • • • Test af Adgangsstyring og rettigheder. Single Sign-On og integration til Kundens identitetsplatform. Logning og sporbarhed. API- og integrationssikkerhed. Konfiguration af sikkerhedsindstillinger. Sårbarheder og sikkerhedstest. Backup, restore og beredskab. Håndtering af sikkerhedsafvigelser. Gennemgang af beredskabsplan med Kundens og Kundens driftsleverandør. Dokumentation som verificering af test. • Leverandøren kan anvende dokumentation, erklæringer, revisionsrapporter, certificeringer, testprotokoller, konfigurationsudtræk og skærmbilleder indgå som testbevis, hvor egentlig teknisk test ikke er mulig eller hensigtsmæssig. Leverandøren skal på Kundens anmodning medvirke til at gennemgå dokumentationen som led i godkendelsesforløbet.</t>
  </si>
  <si>
    <t>Verify: Sikkerhedsprøven indhold — kræver produkt-/team-afklaring (ingen tool-rating).</t>
  </si>
  <si>
    <t>B1.F-23</t>
  </si>
  <si>
    <t>9.1</t>
  </si>
  <si>
    <t>Konverteringsprøven indhold</t>
  </si>
  <si>
    <t>Konverteringsprøven indhold Konverteringsprøven skal omfatte: • • • • Kontrol af, at konverteringen kan gennemføres uden fejl og i overensstemmelse med den godkendte testplan. Udførelse af alle testcases. Verifikation af, at alle data er korrekt konverteret over i den nye ESDH-løsning jf. datamapningsregler. Test af grundlæggende funktioner, herunder oprettelse og opdatering af sager og Dokumenter, søgning og journalisering fungerer på de konverterede data.</t>
  </si>
  <si>
    <t>Verify: Konverteringsprøven indhold — kræver produkt-/team-afklaring (ingen tool-rating).</t>
  </si>
  <si>
    <t>B1.F-24</t>
  </si>
  <si>
    <t>11.1</t>
  </si>
  <si>
    <t>Kriterier for påbegyndelse</t>
  </si>
  <si>
    <t>Kriterier for påbegyndelse Overtagelsesprøven kan påbegyndes, når følgende kriterier er opfyldt: 1. Installationsprøven er gennemført og godkendt. 2. Performanceprøven er gennemført og godkendt. 3. Sikkerhedsprøven er gennemført og godkendt. 4. Konverteringsprøven er gennemført og godkendt. 5. Accepttest – UAT er gennemført og godkendt. 6. ESDH-løsningen har ingen åbne prioritet 1 og prioritet 2 fejl. 7. Kunden har godkendt Leverandørens prøveplan for Overtagelsesprøven. 8. Kunden har godkendt Leverandørens testcases, der Overtagelsesprøven. 9. ESDH-løsningen er installeret i Kundens pre-produktionsmiljø. 10. ESDH-løsningen er konfiguration i Kundens pre-produktionsmiljøer.</t>
  </si>
  <si>
    <t>Verify: Kriterier for påbegyndelse — kræver produkt-/team-afklaring (ingen tool-rating).</t>
  </si>
  <si>
    <t>B1.F-25</t>
  </si>
  <si>
    <t>11.2</t>
  </si>
  <si>
    <t>Overtagelsesprøvens indhold</t>
  </si>
  <si>
    <t>Overtagelsesprøvens indhold Overtagelsesprøven skal omfatte: 13 1. Test af alle funktionelle og ikke-funktionelle krav i Bilag 1.b Krav til standardsoftware. 2. Verifikation af, at Leverandørens dokumentation, jf. Bilag 1.b Krav til standardsoftware er fuldstændige. 3. Bekræftelse af, at servicedesk og supportorganisation er etableret og fungerer i henhold til aftalte processer. 4. Test af drifts- og sikkerhedsopsætning, herunder backup, logning, overvågning og hændelseshåndtering i pre-produktionsmiljøet. 5. En handlingsplan, der beskriver, hvordan og hvornår fejl udbedres, såfremt Kunden bestiller dette iværksat.</t>
  </si>
  <si>
    <t>Verify: Overtagelsesprøvens indhold — kræver produkt-/team-afklaring (ingen tool-rating).</t>
  </si>
  <si>
    <t>docs/tender-reference/extracted/Nationalbanken/Bilag 6.i Implementeringsplan (Leverandørens løsningsbeskrivelse.txt; docs/tender-reference/extracted/Nationalbanken/Underbilag 6B - Testplan og Leverandørens prøveprincipper, metoder og -værktøjer (1).txt; docs/tender-reference/extracted/KK Tender tool.txt</t>
  </si>
  <si>
    <t>B1.F-26</t>
  </si>
  <si>
    <t>11.3</t>
  </si>
  <si>
    <t>Godkendelseskriterier</t>
  </si>
  <si>
    <t>Godkendelseskriterier Overtagelsesprøven anses for godkendt, når følgende kriterier er opfyldt: 1. Der er sporbarhed fra alle krav relevante for den konkrete test/prøve til testcases, så det sikres, at alle krav er teste for den konkrete test/prøve. 2. Alle planlagte testcases er gennemført. 3. Der forekommer ingen åbne fejl med prioritet 1 eller prioritet 2. 4. Der forekommer højst 10 åbne fejl med prioritet 3 fejl og samlet højst 20 åbne fejl med prioritet 4. 5. Alle integrationer til eksterne systemer er etableret i det omfang det er muligt, f.eks. ved teststubbe. 6. Kunden har godkendt Leverandørens dokumentation. 7. At der er udarbejdet en afhjælpningsplan for konstaterede fejl i Overtagelsesprøven.</t>
  </si>
  <si>
    <t>Verify: Godkendelseskriterier — kræver produkt-/team-afklaring (ingen tool-rating).</t>
  </si>
  <si>
    <t>B1.F-27</t>
  </si>
  <si>
    <t>12.1</t>
  </si>
  <si>
    <t>Tidspunkt og periode for gennemførelse</t>
  </si>
  <si>
    <t>Tidspunkt og periode for gennemførelse Driftsprøven startes på krav fra Kunden, forventeligt i oktober 2027, når den fulde Løsning er klar. Den fulde løsning inkluderer Proces- og regelstyring samt Integrationsplatformen, sammen med ESDHløsningen, som beskrevet i Bilag 1.d Kundens målarkitektur for fremtidens ESDH-løsning. Driftsprøven skal vare mindst 30 sammenhængende Arbejdsdage, dog højst 60 Dage.</t>
  </si>
  <si>
    <t>Verify: Tidspunkt og periode for gennemførelse — kræver produkt-/team-afklaring (ingen tool-rating).</t>
  </si>
  <si>
    <t>B1.F-28</t>
  </si>
  <si>
    <t>12.2</t>
  </si>
  <si>
    <t>Kriterier for påbegyndelse Følgende kriterier skal være opfyldt, før Driftsprøven kan påbegyndes: • • • • Overtagelsesprøven er godkendt af Kunden, og eventuelle fejl, som godkendelsen måtte være betinget af, er afhjulpet, medmindre andet aftales. Overtagelsesprøven for Proces- og regelstyring er gennemført og godkendt. Overtagelsesprøven for Integrationsplatformen er gennemført og godkendt. Leverandøren har udarbejdet en prøveplan for Driftsprøven, som Kunden har godkendt.</t>
  </si>
  <si>
    <t>B1.F-29</t>
  </si>
  <si>
    <t>12.3</t>
  </si>
  <si>
    <t>Godkendelseskriterier Driftsprøven anses for godkendt, når følgende kriterier er opfyldt: • • • Servicemålene, jf. Bilag 1.h Servicemål, er opfyldt i perioden for Driftsprøven. Ingen åbne prioritet 1 eller prioritet 2 fejl, jf. afsnit 5 i nærværende bilag, og med en angivelse af eventuelle fejl i en fejlliste med en afhjælpningsplan. Dokumentation, jf. Bilag 1.b Krav til standardsoftware.</t>
  </si>
  <si>
    <t>B1.F-30</t>
  </si>
  <si>
    <t>12.4</t>
  </si>
  <si>
    <t>Samlet afslutning</t>
  </si>
  <si>
    <t>Samlet afslutning Prøveforløbet for ESDH-løsningen betragtes først som afsluttet, når den fulde Løsning har bestået sin Driftsprøve i henhold til godkendelseskriterierne. 15</t>
  </si>
  <si>
    <t>Verify: Samlet afslutning — kræver produkt-/team-afklaring (ingen tool-rating).</t>
  </si>
  <si>
    <t>B1.G-1</t>
  </si>
  <si>
    <t>Bilag 1.g Samarbejde under Leveringskontrakten</t>
  </si>
  <si>
    <t>Sprog Leverandøren skal sikre, at medarbejderne, der indgår i samarbejdsorganisationen, kan kommunikere mundtligt og skriftligt på dansk. Såfremt Kunden forud giver tilladelse til det, kan dele af kommunikationen i enkelte tilfælde foregå på engelsk.</t>
  </si>
  <si>
    <t>Verify: Sprog — kræver produkt-/team-afklaring (ingen tool-rating).</t>
  </si>
  <si>
    <t>B1.G-2</t>
  </si>
  <si>
    <t>Sikkerhedsgodkendelse</t>
  </si>
  <si>
    <t>Sikkerhedsgodkendelse Alle medarbejdere fra Leverandøren, der tilknyttes Kunden, og har adgang til Kundens oplysninger i form af fejlindmeldinger, ændringsanmodninger og lignende, skal kunne sikkerhedstjekkes og sikkerhedsgodkendes samt opretholde denne gennem Leveringskontraktens levetid jf. Bilag 1 Kundens opgavebeskrivelse pkt. 8 og Leveringskontraktens pkt. 11.</t>
  </si>
  <si>
    <t>Verify: Sikkerhedsgodkendelse — kræver produkt-/team-afklaring (ingen tool-rating).</t>
  </si>
  <si>
    <t>docs/tender-reference/extracted/KUM-SLKS/Bilag 10 - Producentens standardvilkår.txt; docs/tender-reference/extracted/Nationalbanken/Bilag 3.i Leverandørens Løsningsbeskrivelse.txt; docs/tender-reference/extracted/KK Tender tool.txt</t>
  </si>
  <si>
    <t>B1.G-3</t>
  </si>
  <si>
    <t>Styregruppe</t>
  </si>
  <si>
    <t>Styregruppe Styregruppen er Kunden og Leverandørens øverste styringsorgan, og har ansvar for den overordnede ledelse og beslutningstagning i implementeringsfasen. Da Kunden opererer efter et multi-leverandør setup, vil implementeringsfasens styregruppe bestå af Kunden, Leverandøren samt andre relevante leverandører, der har betydning for og indflydelse på Kundens ESDH-implementering. Organiseringen af projektet kan se i nedenstående organisationsdiagram. 2 Figur 1 - Organisationsdiagram Styregruppen etableres på opstartsmøde. Styregruppens ansvarsområde/opgave er: • • • • • • • • • Løbende opfølgning på fremdrift og tidsplan Godkende opfyldelse af aftalte milepæle i implementeringsfasen Efterlevelse af Leveringskontrakten og opfølgning på Leverandørens leverancer Afklaring af forhold hos Kunden som måtte forhindre eller forsinke Leverandørens leverancer Godkende ændringslog og større ændringsønsker til Leveringskontrakten Være eskalationspunkt for såvel Leverandørens som Kundens projektleder Afklaring af tvister af enhver art Samarbejde på tværs af multi-leverandør setup, herunder afklaring af tvister og håndtering af udfordringer Godkende Overtagelsesprøve, afrapportering af Overtagelsesprøve samt Driftsprøve og afrapportering heraf Møder i styregruppen afholdes som udgangspunkt hos Kunden. Det forventes at styregruppen afholder møde hver 14. Dag gennem hele implementeringsfasen. Kunden og Leverandøren kan aftale hyppigere mødeaktivitet efter behov.</t>
  </si>
  <si>
    <t>Verify: Styregruppe — kræver produkt-/team-afklaring (ingen tool-rating).</t>
  </si>
  <si>
    <t>docs/tender-reference/extracted/NND/02.01-Tieto-Bilag 2-Vedlegg-Leverandørens utfyllende svar til kravtabell.txt; docs/tender-reference/extracted/HSØ/02.00-Tietoevry-SSA-L-Bilag 2-Leverandørens beskrivelse av Tjenesten.txt; docs/tender-reference/extracted/KK Tender tool.txt</t>
  </si>
  <si>
    <t>B1.G-4</t>
  </si>
  <si>
    <t>Sammensætning</t>
  </si>
  <si>
    <t>Sammensætning Kunden skal være repræsenteret i Styregruppen med 4 repræsentanter, herunder styregruppeformanden. Leverandøren skal være repræsenteret i Styregruppen med den leveranceansvarlige og Leverandørens projektleder. I Styregruppen vil der også indgå repræsentanter fra Kundens øvrige leverandører, der har indflydelse på Kundens ESDH-implementering. 3</t>
  </si>
  <si>
    <t>Verify: Sammensætning — kræver produkt-/team-afklaring (ingen tool-rating).</t>
  </si>
  <si>
    <t>docs/tender-reference/extracted/KK Tender tool.txt; docs/tender-reference/extracted/Nationalbanken/Bilag 1.i Leverandørens Løsningsbeskrivelse.txt; docs/tender-reference/extracted/Nationalbanken/Bilag 3.i Leverandørens Løsningsbeskrivelse.txt</t>
  </si>
  <si>
    <t>B1.G-5</t>
  </si>
  <si>
    <t>3.3</t>
  </si>
  <si>
    <t>Udskiftning</t>
  </si>
  <si>
    <t>Udskiftning Parterne kan udskifte deres respektive repræsentanter i Styregruppen. Dog skal mindst én af Leverandørens repræsentanter som udgangspunkt forblive fast medlem i hele implementeringsfasen. Leverandøren skal skriftligt underrette styregruppeformanden om enhver udskiftning af et medlem. Underretningen skal indeholde navn på det udtrædende og det nye medlem. Parterne kan efter behov midlertidigt udvide deltagerkredsen til enkelte møder.</t>
  </si>
  <si>
    <t>Verify: Udskiftning — kræver produkt-/team-afklaring (ingen tool-rating).</t>
  </si>
  <si>
    <t>B1.G-6</t>
  </si>
  <si>
    <t>3.4</t>
  </si>
  <si>
    <t>Referat af styregruppemøder</t>
  </si>
  <si>
    <t>Referat af styregruppemøder Kunden udarbejder referat fra styregruppemøder og sender det til Leverandøren senest 5 Arbejdsdage efter mødet. Referatet skal indeholde en beslutningslog. Leverandøren sender eventuelle kommentarer til Kunden senest 5 Arbejdsdage efter modtagelsen. Hvis Kunden ikke modtager kommentarer inden fristen, betragtes referatet som godkendt.</t>
  </si>
  <si>
    <t>Verify: Referat af styregruppemøder — kræver produkt-/team-afklaring (ingen tool-rating).</t>
  </si>
  <si>
    <t>B1.G-7</t>
  </si>
  <si>
    <t>3.5</t>
  </si>
  <si>
    <t>Projektledelse</t>
  </si>
  <si>
    <t>Projektledelse Kundens projektledelse varetager projektledelsen af Kundens samlede implementeringsprojekt. Kundens projektleder står sammen med Leverandørens projektleder for tilrettelæggelsen af aktiviteter i projektet, koordinering af tidsplaner, ændringsønsker mm. Kundens projektleder har følgende opgaver/ansvarsområder: • • • • • • Følge op på Leverandørens aktiviteter og leverancer i henhold til Leveringskontrakten. Følge op på Kundens medvirken i forhold til tidsplaner og aftalte forudsætninger. Sikre detaljeret planlægning, tilrettelæggelse og opfølgning på aktiviteter Risikostyring af projektets aktiviteter Udarbejdelse af statusrapporter m.m., så de er klargjort til styregruppemøde Samarbejde med Leverandørens projektleder Leverandørens projektleder har følgende opgaver/ansvarsområder: • • • • • Sikre detaljeret planlægning af Leverandørens leverancer i samarbejde med Kundens projektleder Opfølgning på Leverandørens igangværende aktiviteter Leverandørens ressourcer og leverancer Sikre håndtering af ændringsanmodninger Samarbejde med Kundens projektleder De 2 projektledere kan i fællesskab beslutte, om der skal anvendes ad hoc arbejdsgrupper med deltagere fra Leverandøren og Kunden.</t>
  </si>
  <si>
    <t>Verify: Projektledelse — kræver produkt-/team-afklaring (ingen tool-rating).</t>
  </si>
  <si>
    <t>B1.G-8</t>
  </si>
  <si>
    <t>Personer og roller</t>
  </si>
  <si>
    <t>Personer og roller Det daglige samarbejde i driftsfasen varetages af Kundens systemforvaltning, som har ansvaret for den daglige administration af ESDH-løsningen, og Leverandørens servicemanagement herunder Leverandørens kundeansvarlige, service delivery manager og Leverandørens team med ansvar for ESDH-løsningen.</t>
  </si>
  <si>
    <t>Verify: Personer og roller — kræver produkt-/team-afklaring (ingen tool-rating).</t>
  </si>
  <si>
    <t>docs/tender-reference/extracted/NND/02.01-Tieto-Bilag 2-Vedlegg-Leverandørens utfyllende svar til kravtabell.txt; docs/tender-reference/extracted/Nationalbanken/Bilag 1.i Leverandørens Løsningsbeskrivelse.txt; docs/tender-reference/extracted/Nationalbanken/Bilag 3.i Leverandørens Løsningsbeskrivelse.txt</t>
  </si>
  <si>
    <t>B1.G-9</t>
  </si>
  <si>
    <t>Centrale roller ved Kunden</t>
  </si>
  <si>
    <t>Centrale roller ved Kunden Som leveringskontraktholder er Kunden ansvarlig for: • • Eskalation i forbindelse med incident-håndtering og i forbindelse med håndtering af tvister, juridiske og/eller kommercielle. Afregning med Leverandøren.</t>
  </si>
  <si>
    <t>Verify: Centrale roller ved Kunden — kræver produkt-/team-afklaring (ingen tool-rating).</t>
  </si>
  <si>
    <t>B1.G-10</t>
  </si>
  <si>
    <t>4.2.1</t>
  </si>
  <si>
    <t>Leveringskontraktansvarlig hos Kunden</t>
  </si>
  <si>
    <t>Leveringskontraktansvarlig hos Kunden Den leveringskontraktansvarlige repræsenterer Kundens ledelse. Opgaver og ansvar: • • • Kompetence til at træffe bindende beslutninger i forhold til Leveringskontrakten – også af kommerciel karakter. Sikre overholdelse af Leveringskontrakt både før og efter implementering, herunder afklare Leveringskontraktuelle spørgsmål i relation til Leveringskontrakten. Kvalitetssikre udformning af ændringer til Leveringskontrakten.</t>
  </si>
  <si>
    <t>Verify: Leveringskontraktansvarlig hos Kunden — kræver produkt-/team-afklaring (ingen tool-rating).</t>
  </si>
  <si>
    <t>docs/tender-reference/extracted/Nationalbanken/Bilag 3.i Leverandørens Løsningsbeskrivelse.txt; docs/tender-reference/extracted/Nationalbanken/Bilag 1.i Leverandørens Løsningsbeskrivelse.txt; docs/tender-reference/extracted/KK Tender tool.txt</t>
  </si>
  <si>
    <t>B1.G-11</t>
  </si>
  <si>
    <t>4.2.2</t>
  </si>
  <si>
    <t>Systemforvalter</t>
  </si>
  <si>
    <t>Systemforvalter Systemforvalter er, efter implementering af ESDH-løsningen, Kundens kontakt til Leverandøren, og har således ansvaret for opfølgning på Leverandørens leverancer og for fakturering vedr. disse. Systemforvalter er tillige Kundens ESDH-Administrator, og er ansvarlig for den løbende forvaltning af ESDH-løsningen hos Kunden. Kundens systemforvaltning er ligeledes eskalationspunktet for Kundens Administratorer og Brugere ved fejl eller udfordringer med ESDH-løsningen. Opgaver og ansvar: • • • • • • • Beskrivelse og klargøring af potentielle ændringsanmodninger, herunder ajourføring af ændringslog. Leveringskontraktopdatering ift. ændringsanmodninger (denne opgave kan videredelegeres internt ved Kunden) Opfølgning på incidents og Service request rekvireret af Kunden hos Leverandøren Rekvirerer og kvalitetssikrer drifts- og systemdokumentation, som Leverandøren er forpligtet til at levere og vedligeholde. Rekvirerer opsætningen af leverandørens Standardintegrationer, som Leverandøren er forpligtet til at levere og vedligeholde. Kommunikation til Kundens ambassadører og slutbrugere, fx information om planlagt nedetid, ændringer i opsætning og ny funktionalitet. Medvirken i fejlfinding og opfølgning på supportsager, der er initieret af Kunden eller Leverandøren. 5 • • • Bestilling af ad hoc projekter hos Leverandøren, samt godkendelse af Leverandørens løsningsbeskrivelse i relation til disse. Opfølgning på overholdelse af Leveringskontraktens servicemål og øvrige krav Modtager og håndterer faktura</t>
  </si>
  <si>
    <t>Verify: Systemforvalter — kræver produkt-/team-afklaring (ingen tool-rating).</t>
  </si>
  <si>
    <t>B1.G-13</t>
  </si>
  <si>
    <t>4.3.1</t>
  </si>
  <si>
    <t>Leveringskontraktansvarlige hos Leverandøren</t>
  </si>
  <si>
    <t>Leveringskontraktansvarlige hos Leverandøren Den leveringskontraktansvarlige repræsenterer Leverandørens ledelse og vedkommende skal sammen med Kundens leveringskontraktansvarlige sikre et smidigt samarbejde på alle niveauer. Opgaver og ansvar: • • • • • • Efterlevelse af Leveringskontrakten og opfølgning på Leverandørens Leverancer, herunder ansvarlig for løbende opfølgning (rapportering, servicemål mv.) Eskalationspunkt for Leverandørens Service Delivery Manager, jf. nedenstående. Kundens Systemforvalter er kontaktpunkt for den leveringskontraktansvarlige hos Kunden Kundens eskalationspunkt ved alle henvendelser, der handler om Leveringskontrakten Sikre leveranceorganisation med de rette kompetencer Deltager i samarbejdsorganisation. Kompetence til at træffe bindende beslutninger i forhold til Leveringskontrakten, også af kommerciel karakter.</t>
  </si>
  <si>
    <t>Verify: Leveringskontraktansvarlige hos Leverandøren — kræver produkt-/team-afklaring (ingen tool-rating).</t>
  </si>
  <si>
    <t>B1.G-14</t>
  </si>
  <si>
    <t>4.3.2</t>
  </si>
  <si>
    <t>Service Delivery Manager</t>
  </si>
  <si>
    <t>Service Delivery Manager Service Delivery Manager er ansvarlig for det løbende samarbejde med Kunden, herunder samarbejdet med Kundens Systemforvalter. Opgaver og ansvar: • • • • • • Mødeafholdelse og -deltagelse i henhold til nærværende bilag samt efter behov. Service Delivery Manager varetager mødeledelsen efter afslutning af implementeringsfasen (medmindre andet er aftalt), og forestår mødebooking, udarbejdelse af dagsorden og udarbejdelse af referat. Løbende rapportering i medfør af Leveringskontrakten, herunder rapportering på servicemål. Kontaktpunkt for Kunden i forhold til fakturering Kontaktpunkt for Kunden ved behov for leveringskontraktændringer Deltager samarbejdsorganisation</t>
  </si>
  <si>
    <t>Verify: Service Delivery Manager — kræver produkt-/team-afklaring (ingen tool-rating).</t>
  </si>
  <si>
    <t>B1.G-15</t>
  </si>
  <si>
    <t>4.3.3</t>
  </si>
  <si>
    <t>Support organisation hos Leverandøren</t>
  </si>
  <si>
    <t>Support organisation hos Leverandøren Kunden understøttes af Leverandørens support organisation for henholdsvis applikationssupport og for driftssupport for Kunden jf. Bilag 1.h Servicemål.</t>
  </si>
  <si>
    <t>Verify: Support organisation hos Leverandøren — kræver produkt-/team-afklaring (ingen tool-rating).</t>
  </si>
  <si>
    <t>B1.G-16</t>
  </si>
  <si>
    <t>Organisation og mødefora i driftsfasen</t>
  </si>
  <si>
    <t>Organisation og mødefora i driftsfasen I forbindelse med driftsfasen skal Leverandøren deltage i nedenstående mødefora og -sekvenser. 6 4.4.1 • • Møder i driftsfasen: ESDH styregruppemøder – kvartalsmøder eller efter behov ESDH driftsmøder – ugentlige møder eller efter behov</t>
  </si>
  <si>
    <t>Verify: Organisation og mødefora i driftsfasen — kræver produkt-/team-afklaring (ingen tool-rating).</t>
  </si>
  <si>
    <t>docs/tender-reference/extracted/Nationalbanken/Bilag 6.i Implementeringsplan (Leverandørens løsningsbeskrivelse.txt; docs/tender-reference/extracted/KK Tender tool.txt; docs/tender-reference/extracted/KUM-SLKS/Bilag 1 - Tidsplan.txt</t>
  </si>
  <si>
    <t>B1.G-17</t>
  </si>
  <si>
    <t>4.4.2</t>
  </si>
  <si>
    <t>ESDH-styregruppe og møder under driftsfasen</t>
  </si>
  <si>
    <t>ESDH-styregruppe og møder under driftsfasen Kundens og Leverandøren opretter en ESDH-styregruppe, der består under driftsfasen og frem til Leveringskontraktens ophør. ESDH-styregruppen er det øverste organ i driftsfasen, og derfor skal denne bestå af beslutningsdygtige og tegningsberettigede medarbejdere, der er i stand til at træffe afgørende beslutninger på møderne indenfor følgende områder: Formål og ansvar: • • • • Godkendelse af større ændringsønsker til Leveringskontrakten. Ledelsesmæssig opfølgning på samarbejde. Behandling af leveringskontraktlige og kommercielle problematikker af generel karakter. Behandling af problematikker, der eskaleres fra ESDH driftsforum. Bemanding: • • • • Leverandørens leveringskontraktansvarlige. Leverandørens service delivery manager. Kundens leveringskontraktansvarlige. Kundens enhedschef for Kundens systemforvaltning. Mødefrekvens: • • • Kvartalsmøder eller efter behov. Mødedato fastlægges minimum 1 måned før mødet. Både Kunden og Leverandøren kan forlange et ekstraordinært Styregruppemøde afholdt med 5 Arbejdsdages varsel. Styregruppemøderne afholdes ved Kunden medmindre der træffes beslutning om andet. Øvrige forhold: • • • • • Leverandørens leveringskontraktansvarlige varetager formandskabet for styregruppen. Leverandøren udarbejder dagsorden for styregruppemøderne. Leverandøren er ansvarlig for indkaldelse til styregruppemøderne og for udsendelse af dagsorden til styregruppens medlemmer. Kunden har ret til at ændre styregruppens sammensætning og at udvide denne, hvis det vurderes hensigtsmæssigt. Dette skal ske i gensidig enighed med Leverandøren. Leverandøren udfærdiger beslutningsreferat. 7</t>
  </si>
  <si>
    <t>Verify: ESDH-styregruppe og møder under driftsfasen — kræver produkt-/team-afklaring (ingen tool-rating).</t>
  </si>
  <si>
    <t>B1.G-18</t>
  </si>
  <si>
    <t>4.4.3</t>
  </si>
  <si>
    <t>ESDH driftsgruppe og møder under driftsfasen</t>
  </si>
  <si>
    <t>ESDH driftsgruppe og møder under driftsfasen Driftsgruppen starter op med det samme efter godkendt Driftsprøve og eksisterer frem til Leveringskontraktens ophør. Driftsgruppen skal ugentligt deltage på driftsmøder til opfølgning og drøftelser vedr. ressourcer, drift, support, fremtidigt miljø og Konfiguration af ESDH-løsningen. Formål og ansvar: • • • • • Samarbejde og drøftelse vedr. ressourcer, drift, support, fremtidigt miljø og Konfiguration af ESDHløsningen. Ledelse og koordinering herunder behandling af eskalerede problemområder fra det daglige driftssamarbejde. Opfølgning på servicemål. Beslutte nødvendige ændringer, godkende beslutningslog samt afklare evt. driftsmæssige udfordringer. Eskalere til ESDH-styregruppen. Bemanding: • • • Kundens Systemforvalter. Leverandøren. Kundens driftsmedarbejdere – efter behov. Mødesekvens: • Ugentligt, eller efter behov. Mødet afholdes digitalt, medmindre andet aftales. Mødesekvens kan tilpasses løbende gennem driftsfasen efter aftale med Kundens systemforvaltning. Øvrige forhold: • • • Leverandøren er ansvarlig for, at der udsendes indkaldelse, dagsorden samt at der udfærdiges beslutningsreferat. Eksterne parter kan inviteres efter behov. Leverandøren udarbejder oversigt over opfyldelse af servicemål, så de er klargjort til Kunden.</t>
  </si>
  <si>
    <t>Verify: ESDH driftsgruppe og møder under driftsfasen — kræver produkt-/team-afklaring (ingen tool-rating).</t>
  </si>
  <si>
    <t>B1.G-19</t>
  </si>
  <si>
    <t>Proces for håndtering af incidents – roller og ansvar</t>
  </si>
  <si>
    <t>Proces for håndtering af incidents – roller og ansvar Incident management skal sikre, at hændelser håndteres, således driften kan varetages optimalt og som minimum i overensstemmelse med de definerede servicemål jf. Bilag 1.h Servicemål. Leverandøren har det overordnet ansvar for styring og gennemførelse af incident management for incidents, der ligger inden for Leverandørens ansvarsområde. Processen for håndtering af incidents er central og kan opsummeres som følger: • • Incident konstateres Systemforvalter kontakter Leverandørens Service desk via telefon, alternativt opretter en sag på incident i Kundens eget servicemanagement system jf. Bilag 1.h Servicemål pkt. 2.6. 8 • Leverandøren er ansvarlig for løsning af incident om nødvendigt med inddragelse af Kunden og Kundens driftsleverandør. Der kommunikeres til Kunden, når fejlen er udbedret. 9</t>
  </si>
  <si>
    <t>Verify: Proces for håndtering af incidents – roller og ansvar — kræver produkt-/team-afklaring (ingen tool-rating).</t>
  </si>
  <si>
    <t>B1.H-1</t>
  </si>
  <si>
    <t>Bilag 1.h Servicemål</t>
  </si>
  <si>
    <t>Måling og rapportering</t>
  </si>
  <si>
    <t>Måling og rapportering Leverandøren skal forestå afrapportering af servicemålene med en frekvens, der er koordineret med mødefrekvensen i samarbejdsorganisationen, dog mindst én gang månedligt. Leverandøren skal sikre afrapportering om sine aktiviteter og resultater knyttet til vedligeholdelsen, herunder afrapportering i forhold til aftalte servicemål samt specifikt i relation til eventuelle overtrædelser, således at Kunden er velinformeret om ESDH-løsningens drifts-stabilitet og aktiviteter knyttet hertil.</t>
  </si>
  <si>
    <t>Verify: Måling og rapportering — kræver produkt-/team-afklaring (ingen tool-rating).</t>
  </si>
  <si>
    <t>docs/tender-reference/extracted/KK Tender tool.txt; docs/tender-reference/extracted/Nationalbanken/Bilag 3.i Leverandørens Løsningsbeskrivelse.txt; docs/tender-reference/extracted/NND/02.01-Tieto-Bilag 2-Vedlegg-Leverandørens utfyllende svar til kravtabell.txt</t>
  </si>
  <si>
    <t>B1.H-2</t>
  </si>
  <si>
    <t>2.1.1</t>
  </si>
  <si>
    <t>Rapportering om servicemål</t>
  </si>
  <si>
    <t>Rapportering om servicemål Leverandøren skal forestå afrapportering af servicemålene med en frekvens, der er koordineret med mødefrekvensen i samarbejdsorganisationen, dog mindst én gang månedlig. Rapporteringen skal være til rådighed senest kl. 16.00 10 Arbejdsdage efter månedens afslutning. Rapporteringens indhold skal som minimum bestå af: • • • • • • • Beregning af servicemål Overblik over statistik og status for rettelse af incidents Overblik over statistik og status for ændringer Overblik over statisk og status over tilgængelighed En oversigt over alle incidents herunder kritiske incidents og gentagne incidents (Se Tabel 3) En oversigt over Leverandørens reaktionstider i perioden. Incidents og problemer skal være angivet med id, titel, dato og emne. Leverandøren skal aflevere alle rapporter i ukodet, printbart PDF-format, der kan læses i sort/hvidt print. Leverandøren skal udarbejde alle rapporter på dansk.</t>
  </si>
  <si>
    <t>Johan</t>
  </si>
  <si>
    <r>
      <t xml:space="preserve">This "task" will be undertaken by the </t>
    </r>
    <r>
      <rPr>
        <b/>
        <sz val="12"/>
        <color theme="1"/>
        <rFont val="Aptos"/>
        <family val="2"/>
        <scheme val="minor"/>
      </rPr>
      <t>DK Customer Team</t>
    </r>
    <r>
      <rPr>
        <sz val="12"/>
        <color theme="1"/>
        <rFont val="Aptos"/>
        <family val="2"/>
        <scheme val="minor"/>
      </rPr>
      <t xml:space="preserve"> so I would like a </t>
    </r>
    <r>
      <rPr>
        <b/>
        <sz val="12"/>
        <color theme="1"/>
        <rFont val="Aptos"/>
        <family val="2"/>
        <scheme val="minor"/>
      </rPr>
      <t>sign off</t>
    </r>
    <r>
      <rPr>
        <sz val="12"/>
        <color theme="1"/>
        <rFont val="Aptos"/>
        <family val="2"/>
        <scheme val="minor"/>
      </rPr>
      <t xml:space="preserve"> from them (Cristina) to this requirement. See requirement 2.1 above on row #330. Any cost needs to be added to pricing?</t>
    </r>
  </si>
  <si>
    <t>Reviewed - Format</t>
  </si>
  <si>
    <t>Verify: Rapportering om servicemål — kræver produkt-/team-afklaring (ingen tool-rating).</t>
  </si>
  <si>
    <t>docs/tender-reference/extracted/KK Tender tool.txt; docs/tender-reference/extracted/Nationalbanken/Bilag 3.i Leverandørens Løsningsbeskrivelse.txt; docs/tender-reference/extracted/Nationalbanken/Bilag 6.i Implementeringsplan (Leverandørens løsningsbeskrivelse.txt</t>
  </si>
  <si>
    <t>Johan: Udfyld tool-rating (O) og evidens; gennemgå AI-kladde.</t>
  </si>
  <si>
    <t>B1.H-3</t>
  </si>
  <si>
    <t>Driftstid</t>
  </si>
  <si>
    <t>Driftstid Normal driftstid for ESDH-løsningen er kl. 08.00 – 16.00 på alle hverdage, men ESDH-løsningen skal være tilgængelig hele døgnet og alle kalenderdage i året. Leverandørens support kan træffes i organisationens faste driftstid, som er er kl. 08.00 – 16.00 på alle hverdage, (2. level support). 2</t>
  </si>
  <si>
    <t>Done</t>
  </si>
  <si>
    <t>Verify: Driftstid — kræver produkt-/team-afklaring (ingen tool-rating).</t>
  </si>
  <si>
    <t>B1.H-4</t>
  </si>
  <si>
    <t>2.2.1</t>
  </si>
  <si>
    <t>Planlagt vedligehold</t>
  </si>
  <si>
    <t>Planlagt vedligehold Nedetid kan accepteres i servicevinduer aftalt med Kunden og Kundens driftsleverandør. Leverandøren er forpligtet til at placere servicevinduer, der påvirker Kundens produktionsmiljø, udenfor den aftalte driftstid +2 timer, så altså uden for perioden kl. 08.00 – 18.00 på alle hverdage, medmindre andet er aftalt skriftligt med Kunden. Varsling skal ske skriftligt senest 14 Arbejdsdage forinden, og Løsningen skal under servicevinduet spærres for påbegyndelse af nye brugeroperationer. Der skal ved alle ændringer i Løsningen foreligge en godkendt deployplan som følger Kundens standard, hvor Leverandøren skal anvende en skabelon, der skal udfyldes inden deployment i samarbejde med Kunden. Der skal i forbindelse med deployplan også være en rollback plan i tilfælde af, at deploy går galt. Det forventes at der vil være planlagte kvartalsvise servicevinduer i hverdage i tidsrummet kl. 18.00-00.00. Herudover er der mulighed for at aftale ad hoc servicevinduer efter behov. Leverandøren skal sikre, at vedligeholdelse af ESDH-løsningen er flytbart, således at vedligeholdelsesopgaven principielt ville kunne overdrages til anden leverandør eller til Kunden selv.</t>
  </si>
  <si>
    <r>
      <t xml:space="preserve">This planlagt vedligehold "task" will be undertaken by the </t>
    </r>
    <r>
      <rPr>
        <b/>
        <sz val="12"/>
        <color theme="1"/>
        <rFont val="Aptos"/>
        <family val="2"/>
        <scheme val="minor"/>
      </rPr>
      <t>DK Customer Team</t>
    </r>
    <r>
      <rPr>
        <sz val="12"/>
        <color theme="1"/>
        <rFont val="Aptos"/>
        <family val="2"/>
        <scheme val="minor"/>
      </rPr>
      <t xml:space="preserve"> so I would like a </t>
    </r>
    <r>
      <rPr>
        <b/>
        <sz val="12"/>
        <color theme="1"/>
        <rFont val="Aptos"/>
        <family val="2"/>
        <scheme val="minor"/>
      </rPr>
      <t>sign off</t>
    </r>
    <r>
      <rPr>
        <sz val="12"/>
        <color theme="1"/>
        <rFont val="Aptos"/>
        <family val="2"/>
        <scheme val="minor"/>
      </rPr>
      <t xml:space="preserve"> from them (Cristina) to this requirement. If any cost needs to be added to pricing?</t>
    </r>
  </si>
  <si>
    <t>Verify: Planlagt vedligehold — kræver produkt-/team-afklaring (ingen tool-rating).</t>
  </si>
  <si>
    <t>B1.H-5</t>
  </si>
  <si>
    <t>2.2.2</t>
  </si>
  <si>
    <t>Nødservicevindue – større og kritiske opdateringer</t>
  </si>
  <si>
    <t>Nødservicevindue – større og kritiske opdateringer Større eller kritiske opdateringer omfatter enhver ændring til ESDH-løsningen, der kan påvirke løsningens kernefunktionalitet, dataintegritet, sikkerhed, adgangsstyring, integrationer, performance, driftssikkerhed, brugeradgange eller overholdelse af lovgivningsmæssige og kontraktuelle krav. Frekvens: 0 – 4 gange pr. måned i tidsrummet lørdag kl. 00:00 – mandag kl. 05:00 med maksimum 16 timers varighed og en varsling på 2 Arbejdsdage.</t>
  </si>
  <si>
    <r>
      <t xml:space="preserve">Nødservicevindue "task" will be undertaken by the </t>
    </r>
    <r>
      <rPr>
        <b/>
        <sz val="12"/>
        <color theme="1"/>
        <rFont val="Aptos"/>
        <family val="2"/>
        <scheme val="minor"/>
      </rPr>
      <t>DK Customer Team</t>
    </r>
    <r>
      <rPr>
        <sz val="12"/>
        <color theme="1"/>
        <rFont val="Aptos"/>
        <family val="2"/>
        <scheme val="minor"/>
      </rPr>
      <t xml:space="preserve"> so I would like a </t>
    </r>
    <r>
      <rPr>
        <b/>
        <sz val="12"/>
        <color theme="1"/>
        <rFont val="Aptos"/>
        <family val="2"/>
        <scheme val="minor"/>
      </rPr>
      <t>sign off</t>
    </r>
    <r>
      <rPr>
        <sz val="12"/>
        <color theme="1"/>
        <rFont val="Aptos"/>
        <family val="2"/>
        <scheme val="minor"/>
      </rPr>
      <t xml:space="preserve"> from them (Cristina) to this requirement. If any cost needs to be added to pricing?</t>
    </r>
  </si>
  <si>
    <t>Verify: Nødservicevindue – større og kritiske opdateringer — kræver produkt-/team-afklaring (ingen tool-rating).</t>
  </si>
  <si>
    <t>B1.H-6</t>
  </si>
  <si>
    <t>2.2.3</t>
  </si>
  <si>
    <t>Servicevindue – omlægninger af miljøer, arkitekturer eller ESDH-løsningen</t>
  </si>
  <si>
    <t>Servicevindue – omlægninger af miljøer, arkitekturer eller ESDH-løsningen Omlægning af miljøer, arkitektur eller ESDH-løsningen omfatter enhver ændring til ESDH-løsningen tekniske platform, systemarkitektur, driftsmiljø, integrationsarkitektur eller applikationsarkitektur, som kan påvirke løsningens funktionalitet, sikkerhed, performance, stabilitet, dataintegritet eller integrationer. Frekvens: 1 gang pr. 6 måneder i tidsrummet lørdag kl. 00:00 – mandag kl. 05:00 med maksimum 24 timers varighed og en varsling på 14 Arbejdsdage.</t>
  </si>
  <si>
    <r>
      <t xml:space="preserve">Servicevindue  "task" will be undertaken by the </t>
    </r>
    <r>
      <rPr>
        <b/>
        <sz val="12"/>
        <color theme="1"/>
        <rFont val="Aptos"/>
        <family val="2"/>
        <scheme val="minor"/>
      </rPr>
      <t>DK Customer Team</t>
    </r>
    <r>
      <rPr>
        <sz val="12"/>
        <color theme="1"/>
        <rFont val="Aptos"/>
        <family val="2"/>
        <scheme val="minor"/>
      </rPr>
      <t xml:space="preserve"> so I would like a </t>
    </r>
    <r>
      <rPr>
        <b/>
        <sz val="12"/>
        <color theme="1"/>
        <rFont val="Aptos"/>
        <family val="2"/>
        <scheme val="minor"/>
      </rPr>
      <t>sign off</t>
    </r>
    <r>
      <rPr>
        <sz val="12"/>
        <color theme="1"/>
        <rFont val="Aptos"/>
        <family val="2"/>
        <scheme val="minor"/>
      </rPr>
      <t xml:space="preserve"> from them (Cristina) to this requirement. If any cost needs to be added to pricing?</t>
    </r>
  </si>
  <si>
    <t>Verify: Servicevindue – omlægninger af miljøer, arkitekturer eller ESDH-løsningen — kræver produkt-/team-afklaring (ingen tool-rating).</t>
  </si>
  <si>
    <t>B1.H-7</t>
  </si>
  <si>
    <t>Tilgængelighed</t>
  </si>
  <si>
    <t>Verify: Tilgængelighed — kræver produkt-/team-afklaring (ingen tool-rating).</t>
  </si>
  <si>
    <t>Ingen prior-art træffere i docs/tender-reference/extracted eller docs/product.</t>
  </si>
  <si>
    <t>B1.H-8</t>
  </si>
  <si>
    <t>2.3.1</t>
  </si>
  <si>
    <t>Servicemål for tilgængelighed</t>
  </si>
  <si>
    <t>Servicemål for tilgængelighed Leverandøren skal måle og opfylde følgende krav til tilgængelighed: • • Produktionsmiljø: 99,8 % oppetid. Øvrige miljøer: 98% oppetid. Leverandørens servicemål for tilgængelighed (T%) måles på følgende måde pr. måned pr. miljø: 3 Aftalt driftstid og målt tid for utilgængelighed opgøres i minutter. Utilgængelighed beregnes fra det tidspunkt utilgængeligheden opstår, dvs. når den er registreret af Leverandøren (evt. på baggrund af henvendelse fra Kunden – telefonisk eller skriftligt via Kundens servicemanagementsystem) til normal drift er reetableret, og Kundens produktionsmiljø igen er tilgængeligt. Utilgængelighed, som skyldes faktorer, der ligger uden for Leverandørens ansvarsområde, medtages ikke i beregningen. Leverandørens forpligtelser vedrørende tilgængelighed gælder ikke ved et på forhånd aftalt og planlagt servicevindue.</t>
  </si>
  <si>
    <t>QA: Awaiting clarification related to question in order to change to "Fully met" and status to "Done"</t>
  </si>
  <si>
    <t>Verify: Servicemål for tilgængelighed — kræver produkt-/team-afklaring (ingen tool-rating).</t>
  </si>
  <si>
    <t>B1.H-9</t>
  </si>
  <si>
    <t>Svartider</t>
  </si>
  <si>
    <t>Svartider Kunden forstår ved svartid for en transaktion: tidsintervallet fra Brugeren sender sin kommando til resultatet er synligt for Brugeren, og Brugeren har mulighed for angivelse af ny kommando. Ved kommando forstås den meddelelse, der sendes til ESDH-løsningen, når Enter/Return-tast, funktionstast eller tilsvarende tast/ikon aktiveres. Såfremt en transaktion består af flere requests, er det svartiden fra starten af det første request til svaret fra det sidste request er returneret, der tæller. Det er Kundens krav til svartider i andre miljøer fx test, at de ikke er mere end maksimum 25% langsommere end svartider i produktionsmiljøet. Leverandøren skal sikre, at ESDH-løsningen overholder nedenfor angivne krav til svartider. Opgaverne er beskrevet således, at de ikke omfatter aktivitet udenfor ESDH-løsningen. Leverandøren bliver målt på svartider men også på at systemet bruger så få ressourcer som muligt til at opfylde svartider.</t>
  </si>
  <si>
    <t>CloudOps need to review and sign off to this requirement</t>
  </si>
  <si>
    <t>Verify: Svartider — kræver produkt-/team-afklaring (ingen tool-rating).</t>
  </si>
  <si>
    <t>B1.H-10</t>
  </si>
  <si>
    <t>2.4.1</t>
  </si>
  <si>
    <t>Forudsætning i relation til performance og antal samtidige Brugere</t>
  </si>
  <si>
    <t>Forudsætning i relation til performance og antal samtidige Brugere ESDH-løsningen skal være tilgængeligt i et produktionsmiljø eller et produktionslignede miljø til brug for performancetesten. Ved performancetesten skal Leverandøren sikre, at der i miljøet findes mindst</t>
  </si>
  <si>
    <t>Verify: Forudsætning i relation til performance og antal samtidige Brugere — kræver produkt-/team-afklaring (ingen tool-rating).</t>
  </si>
  <si>
    <t>B1.H-11</t>
  </si>
  <si>
    <t>dokumenter i løsningen på 2.000.000 sager med samlet 7 terabyte data.</t>
  </si>
  <si>
    <t>dokumenter i løsningen på 2.000.000 sager med samlet 7 terabyte data. De 8.000.000 dokumenter skal være fordelt i små, almindelige og store dokumentstørrelser som vist i Tabel 1. Der skal også være nogle dokumenter med maksimum størrelse. Tabel 1 – Dokumentstørrelser. Dokumenter er delt i tre niveauer Små Almindelige Store Maksimum Størrelse</t>
  </si>
  <si>
    <t>Verify: dokumenter i løsningen på 2.000.000 sager med samlet 7 terabyte data. — kræver produkt-/team-afklaring (ingen tool-rating).</t>
  </si>
  <si>
    <t>B1.H-12</t>
  </si>
  <si>
    <t>2.4.2</t>
  </si>
  <si>
    <t>Måling af svartider</t>
  </si>
  <si>
    <t>Måling af svartider Formålet med målingerne er at verificere, at ESDH-løsningen opfylder de fastsatte svartider, stabilitet og kapacitet, inden ESDH-løsningen sættes i produktion, og efter idriftsættelse løbende følge op på svartiderne, som beskrevet i afsnit 3.4.4. Svartidstesten gennemføres ved hjælp af et performanceværktøj, som Leverandøren skal stille til rådighed. Performanceværktøj skal kunne genere samtidige Brugere, måle svartider og registrere fejl under testen. Testen skal udføres af leverandøren i Kundens miljø med de belastninger, der er nævnt i afsnit 3.4.1. Opsætning af målepunkter skal (i samarbejde med Kunden) opsættes af Leverandøren, målepunkter af interesse er, men ikke begrænset til: a) b) c) d) e) f) g) Gennemsnitlige svartider. 95% svartid. 99% svartid. Antal fejl. CPU-forbrug. Hukommelsesforbrug. Databasebelastning.</t>
  </si>
  <si>
    <t>Verify: Måling af svartider — kræver produkt-/team-afklaring (ingen tool-rating).</t>
  </si>
  <si>
    <t>B1.H-13</t>
  </si>
  <si>
    <t>2.4.3</t>
  </si>
  <si>
    <t>Håndtering af mangelfulde svartider</t>
  </si>
  <si>
    <t>Håndtering af mangelfulde svartider Leverandøren er forpligtet til, sammen med driftsleverandøren, at deltage aktivt i fejlsøgning og udbedring, hvis svartiderne ikke overholder kravene i Tabel 2 - Svartider. 6</t>
  </si>
  <si>
    <t>Verify: Håndtering af mangelfulde svartider — kræver produkt-/team-afklaring (ingen tool-rating).</t>
  </si>
  <si>
    <t>docs/tender-reference/extracted/Nationalbanken/Bilag 3.i Leverandørens Løsningsbeskrivelse.txt; docs/tender-reference/extracted/Nationalbanken/Underbilag 6B - Testplan og Leverandørens prøveprincipper, metoder og -værktøjer (1).txt; docs/product/RFP_Leverandørens_svar_utdrag.txt</t>
  </si>
  <si>
    <t>B1.H-14</t>
  </si>
  <si>
    <t>2.4.4</t>
  </si>
  <si>
    <t>Proaktiv ESDH-løsningsovervågning</t>
  </si>
  <si>
    <t>Proaktiv ESDH-løsningsovervågning Leverandøren skal, i samarbejde med Kundens driftsleverandør, sikre, at Løsningen muliggør en proaktiv ESDH-løsningsovervågning, som kontinuerligt overvåger Løsningens helbred, performance og svartider. Værktøjerne skal automatisk identificere ESDH-løsningsfejl og tekniske flaskehalse samt udstille data i tekniske dashboards og tilstandsrapporter, der giver Kunden fuld indsigt i løsningens aktuelle driftstilstand.</t>
  </si>
  <si>
    <t>Verify: Proaktiv ESDH-løsningsovervågning — kræver produkt-/team-afklaring (ingen tool-rating).</t>
  </si>
  <si>
    <t>B1.H-15</t>
  </si>
  <si>
    <t>2.4.5</t>
  </si>
  <si>
    <t>Svartider til og fra ESDH via API</t>
  </si>
  <si>
    <t>Svartider til og fra ESDH via API Løsningen skal sikre, at ESDH-løsningen implementerer OIO API-standarden, således at der kan kommunikeres med andre offentlige systemer, herunder svartider for anvendelse af: • • API´er til opslag af sager og dokumentmetadata skal kunne besvare mindst 95% af alle forespørgsler indenfor 1 sekund og 99% af alle forespørgsler indenfor 2 sekunder under normal belastning med mindre end 0,5% fejlrate. API´er til journalisering Dokumenter skal kunne gennemføre mindst 95% af alle transaktioner indenfor</t>
  </si>
  <si>
    <t>Verify: Svartider til og fra ESDH via API — kræver produkt-/team-afklaring (ingen tool-rating).</t>
  </si>
  <si>
    <t>B1.H-16</t>
  </si>
  <si>
    <t>Servicemål for support ved incidents i ESDH-løsningen</t>
  </si>
  <si>
    <t>Servicemål for support ved incidents i ESDH-løsningen Leverandøren skal tage imod henvendelser fra Kunden, når der opstår incidents, og forpligtiger sig til at anvende og oprette dem i Kundens interne servicemanagementsystem. Uanset om årsagen til et givet incident entydigt kan henføres til Leverandøren eller ej, skal Leverandøren bistå ved afhjælpning af incidentet. Leverandøren er ligeledes forpligtet til at bistå Kundens driftsleverandør i relevant arbejde med analyse af incidentet i forhold til ESDH-løsningen. Kategorisering af incidents sker som udgangspunkt af Kunden enten ved en mundtlig eller skriftlig indrapportering. Kategoriseringen af et incident afhænger særligt af, om incidentet er kritisk for løsning af Kundens opgaver, og om incidentet kan løses ved en omgåelse. Såfremt der er uenighed om kategoriseringen skal uenigheden løses efter princippet om ”udbedr først – afklar senere”. Princippet ”udbedr først – afklar senere” indebærer, at Leverandøren altid har en forpligtelse til at levere Ydelserne uanset Parternes uoverensstemmelse. Indtil Kunden og Leverandøren har afgjort spørgsmålet om kategoriseringen af det indrapporterede incident, skal Leverandøren foretage den fornødne afhjælpning i forhold til Kundens kategorisering. Reaktionstiden måles frem til det tidspunkt, hvor Leverandøren enten har løst incidenten eller har udført sådan afhjælpning, at incidenten kun er af typen ”betydende incident” eller ”ubetydeligt incident”, hvorefter et nyt interval begynder. Såfremt Kunden har indrapporteret incidentet udenfor den aftalte Servicetid, måles reaktionstiden fra det tidligste tidspunkt efter indrapporteringen, der er omfattet af den aftalte Servicetid. 7 Reaktionstiden er den tid, indenfor hvilken Leverandøren senest skal have igangsat en udbedring af incidenten. Incidentet skal være løst indenfor den tidsramme, som angives i kolonnen ”Servicemål” i Tabel 4 nedenfor.</t>
  </si>
  <si>
    <t>Verify: Servicemål for support ved incidents i ESDH-løsningen — kræver produkt-/team-afklaring (ingen tool-rating).</t>
  </si>
  <si>
    <t>docs/tender-reference/extracted/KK Tender tool.txt; docs/tender-reference/extracted/Nationalbanken/Bilag 3.i Leverandørens Løsningsbeskrivelse.txt; docs/tender-reference/extracted/Nationalbanken/Bilag 1.i Leverandørens Løsningsbeskrivelse.txt</t>
  </si>
  <si>
    <t>B1.H-17</t>
  </si>
  <si>
    <t>Incidentkategorier</t>
  </si>
  <si>
    <t>Incidentkategorier Nedenfor beskrives de fire kategorier, som incidents skal kategoriseres i henhold til, og som skal anvendes af Leverandøren i forbindelse med indberetninger af incidents fra produktion i Kundens servicemanagementsystem. Incidentkategorierne skal tillige anvendes i den løbende rapportering. Tabel 3 - Incidentkategorier Incidentkategori Kritisk incidents (Prioritet 1) Beskrivelse Det er et kritisk incident, hvis omgåelse ikke er mulig, dvs. at sagsbehandlingen (eller dele heraf) ikke kan gennemføres, som Løsningen er designet. Konsekvenserne heraf er væsentlige for f.eks. faglig korrekthed, omdømme, sagsbehandlingstider, trivsel hos medarbejdere, forringet servicekvalitet for borgere m.m. Alvorligt incident (Prioritet 2) Det er et kritisk incident, hvis incidenten udgør en væsentlig risiko for persondatasikkerhed. Det er et alvorligt incident, hvis rimelig omgåelse ikke er mulig, dvs. at ansøgningsprocessen og sagsbehandlingen (eller dele heraf) kun kan gennemføres med markant længere behandlingstid eller svartid pr. sag, eller at omgåelsen af incidenten medfører forhøjet risiko for sagsbehandlingsfejl. Konsekvenserne heraf er væsentlige for f.eks. faglig korrekthed, omdømme, sagsbehandlingstider, trivsel hos medarbejdere, forringet servicekvalitet for borgere m.m. Betydende incident (Prioritet 3) Ubetydeligt incident (Prioritet 4) Det er et alvorligt incident, hvis incidenten udgør en risiko for persondatasikkerhed. Det er et betydende incident, hvis rimelig omgåelse er mulig, dvs. at sagsbehandlingen kan gennemføres, evt. med marginal forringelse af sagsbehandlingstider eller marginalt forringet servicekvalitet for borgere. Det er et ubetydeligt incident, hvis den ikke har nogen eller blot bagatelagtig betydning for sagsbehandling eller for borgerens service.</t>
  </si>
  <si>
    <t>Verify: Incidentkategorier — kræver produkt-/team-afklaring (ingen tool-rating).</t>
  </si>
  <si>
    <t>B1.H-18</t>
  </si>
  <si>
    <t>Servicemål</t>
  </si>
  <si>
    <t>Servicemål Leverandøren skal tage imod henvendelser fra Kunden i aftalt driftstid. I tilfælde af kritiske incidents (prioritet 1) skal det desuden være muligt for Kunden at kontakte Leverandøren uden for normal driftstid med henblik på afhjælpning af kritiske incidents. Servicemål for Leverandørens afhjælpning, herunder for Leverandørens reaktions, løsningsindsats og statusrapportering, fremgår af nedenstående tabel: 8 Tabel 4 – Servicemål KPI Reaktionstiden ved sikkerhedsnedbrud angiver tiden fra IT sikkerhedsbrud til Leverandørens SPOC indgår i Kundens sikkerhedsorganisation og evt. Kundens taskforce. Reaktionstiden angiver tiden fra henvendelsen om incidents er modtaget, ved registrering i servicemanagement-systemet, til løsning eller afhjælpning påbegyndes hos Leverandøren. Løsningsindsats hos Leverandøren indtil incidenten er løst. Statusrapportering i relation til indrapporterede incidents. Statusrapportering initieres af Leverandørens registrering af henvendelsen. Servicemål (Måles af leverandøren) Leverandøren skal påbegynde afhjælpning omgående, og senest inden for 30 minutter fra det tidspunkt, hvor Leverandøren selv bliver bekendt med sikkerhedsnedbruddet eller Kunden giver Leverandøren besked herom. &gt;90 % har Leverandøren påbegyndt afhjælpning af incidents indenfor: 1. Prioritet 1: Umiddelbart og mindre end 2 timer 2. Prioritet 2: Inden for2 timer (inden for aftalt driftstid). 3. Prioritet 3: Inden 5 Arbejdsdage. 4. Prioritet 4: Inden 20 Arbejdsdage. 1. Prioritet 1: Leverandøren skal arbejde uhindret på løsning af incidenten også uden for aftalt driftstid indtil incidenten er løst. 2. Prioritet 2: Leverandøren skal arbejde uhindret på løsning af incidenten inden for aftalt driftstid. 3. Prioritet 3: Leverandøren skal arbejde på løsningen af incidenten inden for aftalt driftstid efter prioritering med Kunden ift. øvrige opgaver. 4. Prioritet 4: Leverandøren skal arbejde på løsning af incidenten inden for aftalt driftstid uden, det hindrer fremdriften på Leverandørens øvrige opgaver for Kunden. 1. Prioritet 1: Leverandørens statusrapportering til Kunden skal ske minimum hver anden time indenfor normal driftstid, indtil incidenten er løst. 2. Prioritet 2: Leverandørens statusrapportering til Kunden skal ske mindst én gang hver Arbejdsdag, indtil incidenten er løst. 3. Prioritet 3: Statusrapportering gives i forbindelse med Leverandørens månedlige statusrapportering til Kunden. 4. Prioritet 4: Statusrapportering gives i forbindelse med Leverandørens månedlige statusrapportering til Kunden.</t>
  </si>
  <si>
    <t>Verify: Servicemål — kræver produkt-/team-afklaring (ingen tool-rating).</t>
  </si>
  <si>
    <t>docs/tender-reference/extracted/KK Tender tool.txt; docs/tender-reference/extracted/Nationalbanken/Bilag 3.i Leverandørens Løsningsbeskrivelse.txt; docs/tender-reference/extracted/KUM-SLKS/Bilag 10 - Producentens standardvilkår.txt</t>
  </si>
  <si>
    <t>B1.H-19</t>
  </si>
  <si>
    <t>Overskridelse af servicemål</t>
  </si>
  <si>
    <t>I tilfælde af, at Leverandøren ikke opfylder de aftalte servicemål, skal Leverandøren indgå i et samarbejde med Kunden og fremlægge en handlingsplan for, hvordan servicemål kan opfyldes og/eller reetableres. Handlingsplanen skal godkendes af Kunden.
Hvis det ikke viser sig muligt at nå det aftalte inden for månedlige måling af servicemål via samarbejde og handlingsplan, så er Kunden berettiget til at kræve bod, jf. Leveringskontraktens punkt 16.3.2.
10
Ved manglende overholdelse af servicemål ifalder Leverandøren bod i overensstemmelse med nedenstående: Bodstype Bodsberegning Bodsafregning Tilgængelighed Pr. bodspoint beregnes en bod svarende til Leverandørens højeste tilbudte timepris. Månedsvis bagud
Svartider
Pr. bodspoint beregnes en bod svarende til Leverandørens højeste tilbudte timepris.
Månedsvis bagud Fejlafhjælpning Pr. bodspoint beregnes en bod svarende til Leverandørens højeste tilbudte timepris. Månedsvis bagud
Leverandørens beregning af bodspoint sker på følgende vis: Bodspoint Bodspointberegning Bodspoint – Tilgængelighed For hvert påbegyndt 0,1 procentpoint, hvormed den beregnede tilgængelighedsprocent ligger under den krævede tilgængelighed, jf. punkt Fejl! Henvisningskilde ikke fundet., beregnes 1 bodspoint.
Bodspoint – Svartider
For hvert påbegyndt 0,1 procentpoint, hvormed den beregnede svartidsprocent for transaktioner, jf. punkt Fejl! Henvisningskilde ikke fundet., ligger under den krævede svartid, beregnes 1 bodspoint.
For hvert påbegyndt 0,1 procentpoint, hvormed den beregnede svartidsprocent for svartider til og fra ESDH via API, jf. afsnit Fejl! Henvisningskilde ikke fundet., ligger under den krævede svartid, beregnes 1 bodspoint. Bodspoint – Fejlafhjælpning For enhver fejlmelding tillægges ved overskridelse af frist herfor, jf. punkt Fejl! Henvisningskilde ikke fundet., 1 bodspoint for hver påbegyndt time, som er indeholdt i overskridelsen.</t>
  </si>
  <si>
    <t>B1.J-1</t>
  </si>
  <si>
    <t>Bilag 1.j Ændringshåndtering</t>
  </si>
  <si>
    <t>Formål</t>
  </si>
  <si>
    <t>Formål Formålet med dette bilag er at angive procedurer og regler for ændringshåndtering, der kan finde anvendelse ved Leveringskontraktens opfyldelse. Leverandøren skal i henhold til Leveringskontrakten levere en række Ydelser, der f.eks. kan føre til ændringer af Løsningen. Tilpasning af eksisterende funktionalitet i Løsningen som følger af Leverandørens forpligtelser under Leveringskontrakten, f.eks. som følge af lovvedligehold, fejrettelser, nødvendige release ændringer ift. Løsningens afvikling eller andet, skal gennemføres af Leverandøren jf. Leveringskontrakten. Omkostninger hertil er Kunden uvedkommende, også uanset en sådan tilpasning håndteres via ændringsproceduren i nærværende bilag for sådanne ændringer.</t>
  </si>
  <si>
    <t>Verify: Formål — kræver produkt-/team-afklaring (ingen tool-rating).</t>
  </si>
  <si>
    <t>B1.J-2</t>
  </si>
  <si>
    <t>Løsningsforslag</t>
  </si>
  <si>
    <t>Løsningsforslag Leverandøren skal udarbejde et løsningsforslag, der som minimum indeholder oplysninger: a) Leverandørens beskrivelse af løsningsforslaget, herunder en detaljeret beskrivelse af hvordan ændringsanmodningen opfyldes samt ressourceforbruget forbundet med implementeringen af ændringen med forsat opretholdelse af de fastsatte servicemål efter gennemførelse af ændringen. b) Tidsplan for ændringen samt eventuelle konsekvenser for en eksisterende tidsplan. c) Vederlagsmæssige konsekvenser af Løsningen, herunder eventuelle konsekvenser for løbende vederlag for løsninger og tilknyttede Ydelser. d) Antallet af konsulenttimer til gennemførelse af ændringen. e) Konsekvenser for Løsningen og eksekvering af løsningen. f) Konsekvenser for funktionelle tillægsydelser og integrationer. g) Konsekvenser for Leverandørens øvrige Ydelser. h) Konsekvenser for servicemål. i) Konsekvenser for dokumentation. j) Konsekvenser for Brugernes anvendelse af Løsningen. k) Konsekvenser for Kundens medvirken og ressourcer. l) Konsekvenser for Kundens øvrige It-systemer og løsninger, såfremt Leverandøren har den fornødne indsigt i forhold hertil. m) Konsekvenser for arkitektur, sikkerhed og drift. n) Tidspunkt for eventuel afprøvning af gennemførte ændringer og konsekvenser for afprøvning af øvrige dele af løsningen, herunder Kundens deltagelse. o) Konsekvenser for uddannelse. p) Konsekvenser for andre leverandører og deres leverancer, hvis Leverandøren har den fornødne indsigt i forhold hertil. q) Konsekvenser for exit og exitprocessen. r) Leverandørens angivelse af hvilke bilag, som Leverandørens har udarbejdet korrektioner til som følge af ændringen. s) Konsekvenser såfremt ændringen ikke gennemføres. t) Eventuelle andre relevante forhold. Såfremt løsningsforslaget ikke indeholder en angivelse af konsekvenser i forhold til ovenstående, anses ændringen og løsningsforslaget for ikke at påvirke, ændre eller i øvrigt at have konsekvenser for de pågældende forhold.</t>
  </si>
  <si>
    <t>Verify: Løsningsforslag — kræver produkt-/team-afklaring (ingen tool-rating).</t>
  </si>
  <si>
    <t>B1.J-3</t>
  </si>
  <si>
    <t>Godkendelse og levering</t>
  </si>
  <si>
    <t>Godkendelse og levering Leverandøren skal fremsende løsningsforslaget til Kunden med henblik på Kundens godkendelse. Kunden bekræfter herefter skriftligt overfor Leverandøren, hvorvidt et givent løsningsforslag kan godkendes. Kunden kan vælge enten: a) Afvise løsningsforslaget. 3 b) Godkende løsningsforslaget på betingelse af ændringer af løsningsforslaget, som Kunden specificerer. c) Godkende løsningsforslaget. Ved anmodning om en væsentlig ændring af et løsningsforslag, anses det som en afvisning af det foreliggende løsningsforslag. Leverandøren skal, hvis Kunden fremsætter anmodning om ændring af et løsningsforslag, bekræfte skriftligt overfor Kunden, om ændringerne til løsningsforslaget kan accepteres. Når Kunden har godkendt et løsningsforslag, implementeres den pågældende ændring i Leveringskontrakten. Leverandøren skal herefter påbegynde arbejde forbundet med løsningsforslaget i relation til Løsningen i overensstemmelse dermed samt i overensstemmelse med Leveringskontrakten i øvrigt.</t>
  </si>
  <si>
    <t>Verify: Godkendelse og levering — kræver produkt-/team-afklaring (ingen tool-rating).</t>
  </si>
  <si>
    <t>B1.J-4</t>
  </si>
  <si>
    <t>Ændringsstyring</t>
  </si>
  <si>
    <t>Ændringsstyring Leverandøren skal føre en ændringslog, som skal indeholde følgende oplysninger: a) b) c) d) e) Daterede ændringsanmodninger. Daterede løsningsforslag. Godkendte løsningsforslag. Opdaterede tidsplaner (hvor relevant). Øvrige relevante dokumenter. Det påhviler Leverandøren løbende at ajourføre Leveringskontrakten, inklusive bilag, eventuelle tillæg og andet, såfremt der foretages ændringer. Sporbarhed og versionering ved ændringer skal være tydeligt versioneret i ændringsloggen, hvorfor tidligere versioner af dokumentationen skal bevares, så det også er dokumenteret, hvordan Løsningen blev driftsunderstøttet på et givent tidspunkt. Leverandøren skal udlevere en ajourført Leveringskontrakt til Kunden inden for 10 Arbejdsdage efter Kundens accept af et løsningsforslag. Leverandørens udlevering skal ske elektronisk og begrænser sig til de kontraktdokumenter, hvori der er foretaget ændringer, medmindre Kunden anmoder Leverandøren om andet. Leverandøren skal ajourføre dokumentation, som berøres af en ændring.</t>
  </si>
  <si>
    <t>Verify: Ændringsstyring — kræver produkt-/team-afklaring (ingen tool-rating).</t>
  </si>
  <si>
    <t>docs/tender-reference/extracted/Nationalbanken/Bilag 3.i Leverandørens Løsningsbeskrivelse.txt; docs/tender-reference/extracted/KUM-SLKS/Bilag 10 - Producentens standardvilkår.txt; docs/tender-reference/extracted/KK Tender tool.txt</t>
  </si>
  <si>
    <t>B1.J-5</t>
  </si>
  <si>
    <t>Øvrige krav til Leverandørens medvirken</t>
  </si>
  <si>
    <t>Øvrige krav til Leverandørens medvirken Leverandøren skal proaktivt medvirke i ændringshåndteringsprocessen, uanset om ændringsanmodningen vedrører ændringer, som kun måtte være i Kundens interesse. Leverandøren skal give Kunden alle relevante oplysninger, som Leverandøren besidder, med henblik på Kundens bedømmelse af og stillingtagen til konsekvenserne af en ændring og det foreliggende løsningsforslag. I den forbindelse skal Leverandøren orientere Kunden, såfremt Leverandøren bliver opmærksom på, at Kundens behov bedre opfyldes på en anden måde. 4</t>
  </si>
  <si>
    <t>Verify: Øvrige krav til Leverandørens medvirken — kræver produkt-/team-afklaring (ingen tool-rating).</t>
  </si>
  <si>
    <t>B1.J-6</t>
  </si>
  <si>
    <t>Ændringshåndteringsskabelon</t>
  </si>
  <si>
    <t>Ændringshåndteringsskabelon Bestilling af en ændring skal initieres gennem nedenstående skabelon. Titel: [indsæt titel på ændring] Identifikationsnummer: [Indsæt nummer] Dato: [Indsæt data for anmodningen] Anmodningen udarbejdet af: [Kunden / Leverandøren] Tidsmæssig ramme: [Indsæt hvornår ændringen ønsker gennemført] Beskrivelse: [Indsæt beskrivelse af den ønskede ændring samt en begrundelse herfor. Ændringsanmodningen skal være tilstrækkelig detaljeret til, at Leverandøren kan udarbejde et estimat over det vederlag, som vil være forbundet med udarbejdelse af et ændringsforslag.] Forventede konsekvenser: [Indsæt beskrivelse af de forventede konsekvenser, som ændringen medfører, herunder i forhold til Leveringskontrakten, bilag eller andre dokumenter, som skal opdateres.] Øvrige oplysninger: [Andre relevante oplysninger om den ønskede ændring indsættes her.] 5</t>
  </si>
  <si>
    <t>Verify: Ændringshåndteringsskabelon — kræver produkt-/team-afklaring (ingen tool-rating).</t>
  </si>
  <si>
    <t>B1.K-1</t>
  </si>
  <si>
    <t>Bilag 1.k Forpligtelser ved ophør</t>
  </si>
  <si>
    <t>Aflevering af information til Kunden</t>
  </si>
  <si>
    <t>Aflevering af information til Kunden Leverandøren skal i forbindelse med Leveringskontraktens hele eller delvise ophør, og inden for 20 arbejdsdage efter Kunden har anmodet herom, som minimum udlevere følgende beskrivelser af ESDHløsningen til Kunden: • • Kundens data i ESDH-løsningen Datastruktur og datafelter herunder: o Databasemodel og formatbeskrivelse af Datamodellens indhold o Registreringssystematikker, herunder journalplan/er o Rettighedsmatricer, dvs. systematik for sammensætning af brugerrettigheder o Adgangsgrupper, dvs. gruppering af brugerrettigheder Al ovenfor nævnt information skal afleveres i et elektronisk standardformat, som kan læses og redigeres af Kunden.</t>
  </si>
  <si>
    <t>Verify: Aflevering af information til Kunden — kræver produkt-/team-afklaring (ingen tool-rating).</t>
  </si>
  <si>
    <t>B1.K-2</t>
  </si>
  <si>
    <t>Afvikling</t>
  </si>
  <si>
    <t>Afvikling Leverandøren skal i forbindelse med Leveringskontraktens ophør, og inden for 20 Arbejdsdage efter Kunden har anmodet herom: • • • • Tilbagelevere evt. hardware, f.eks. SIA pc’er som Leverandøren måtte have modtaget af Kunden eller SIT Sikre sletning af alle Kundens data (herunder personoplysninger), back-up af data og logfiler. Afinstallere softwarelicenser, som Kunden eller SIT har stillet til rådighed Lukke alle Leverandørens adgange til Kundens ESDH-løsning. Sletning af Kundens data mv. må først gennemføres efter Kundens eksplicitte anmodning herom. Leverandøren skal dokumentere alle afviklingsaktiviteter, eventuelt i form af en erklæring.</t>
  </si>
  <si>
    <t>Verify: Afvikling — kræver produkt-/team-afklaring (ingen tool-rating).</t>
  </si>
  <si>
    <t>B1.K-3</t>
  </si>
  <si>
    <t>Bistand til data-relaterede aktiviteter</t>
  </si>
  <si>
    <t>Bistand til data-relaterede aktiviteter Leverandøren skal yde bistand til data-relaterede aktiviteter i forbindelse med Kundens overgang til ny ESDH-løsning, herunder bistand til: • • Periodeaflevering til Statens Arkiver Konvertering af data fra nuværende ESDH-løsning til ny ESDH-løsning</t>
  </si>
  <si>
    <t>Verify: Bistand til data-relaterede aktiviteter — kræver produkt-/team-afklaring (ingen tool-rating).</t>
  </si>
  <si>
    <t>B1.K-4</t>
  </si>
  <si>
    <t>Bistand til overgang til ny ESDH-løsning</t>
  </si>
  <si>
    <t>Bistand til overgang til ny ESDH-løsning Leverandøren skal yde bistand til Kunden og den nye Leverandør i forbindelse med overgang til ny ESDHløsning herunder: • • • • • Udarbejde overgangsplan i samarbejde med Kunden og den nye Leverandør Yde bistand til overflytning af aktiviteter til Kunden eller den nye Leverandør Deltage i overleveringsmøder og eventuelle workshops med Kunden og den ny Leverandør Assistere med rådgivning i en overgangsperiode til Kunden eller den nye Leverandør Udarbejde eventuel supplerende dokumentation. 3</t>
  </si>
  <si>
    <t>Verify: Bistand til overgang til ny ESDH-løsning — kræver produkt-/team-afklaring (ingen tool-rating).</t>
  </si>
  <si>
    <t>docs/tender-reference/extracted/Nationalbanken/Bilag 3.i Leverandørens Løsningsbeskrivelse.txt; docs/product/RFP_Leverandørens_svar_utdrag.txt; docs/tender-reference/extracted/KUM-SLKS/Bilag 1 - Tidsplan.txt</t>
  </si>
  <si>
    <t>Krav nr.</t>
  </si>
  <si>
    <t>Kravtekst</t>
  </si>
  <si>
    <t>Kommentar</t>
  </si>
  <si>
    <t>Det er kludret formuleret - men jeg tolker det til, at de fra en søgning på et projekt, skal kunne se relaterede sager i resultatlisterne.. Det  er udfordrende</t>
  </si>
  <si>
    <t>Hvornår er noget ”synligt i brugergrænsefladen”… vi har recno på filer, men de kræver ”vis egenskaber” for at være synlige.</t>
  </si>
  <si>
    <t>”Direkte” er problematisk, hvis det forbyder os fra et nyt vindue.</t>
  </si>
  <si>
    <t>Vores forhåndsvisning ”opdateres ikke automatisk”. Kræver aktivt klik på det dokument/fil der ønskes forhåndsvist.</t>
  </si>
  <si>
    <t>Vi advarer, men vi forbyder ikke. CPR/CVR er ikke så unikt at det ikke kan duplikeres.</t>
  </si>
  <si>
    <t>Det her krav er formuleret uden logiske begræsninger mellem entiteter, hvilke tikke giver mening. Det kan vi ikke understøtte.</t>
  </si>
  <si>
    <t>Det her lugter af at være givet titlen her, fordi de ved vi ikke kan i den avancerede søgning - men kravteksten indeholder det ikke, og derfor bør vi være OK med kravet</t>
  </si>
  <si>
    <t>”Alle felter” - godt nok afgrænset til søgeresultater, men stadig en stor risc, fra en ondsindet kunde.</t>
  </si>
  <si>
    <t>Det understøtter vi ikke.</t>
  </si>
  <si>
    <t>Det understøtter vi ikke</t>
  </si>
  <si>
    <t>Påvirker ikke os - men det her krav er et godt eksempel på en Kunde der beskriver en løsning frem for et behov. Hvorfor skal det være browserbaseret?</t>
  </si>
  <si>
    <t>Issue - ”Alle”  og ”ingen begrænsning” i samme sætning..</t>
  </si>
  <si>
    <t>Det her bevæger vi os væk fra, fordi det ikke er særligt WCAG-compliant. MEN - vi skal bemærke de ikke definere det skal gælde alt, eller hvad man skal kunne, så hvis vi har en genvejstast ét sted i løsningen, kan vi principielt sige ja til dette krav.</t>
  </si>
  <si>
    <t>Vi skal bemærke de ikke bruger ordet ”Alle” i denne sætning - meeeen.. Vi har det slet ikke for Kontakter, projekter, ejendomme og aktiviteter, og vi har det ingen steder for kundeoprettede felter. (De specificere heller ikke at det skal være på alle kundeoprettede entiteter) Måske vi kan bruge det til noget.</t>
  </si>
  <si>
    <t>Hvornår er noget ”Visuelt adskilt”? - er det nok at der står ”Indgående” og/eller ”Udgående”?</t>
  </si>
  <si>
    <t>Det understøtter vi ikke - jeg tænker de mener kolonner inde i webparts på vores overbliksbilleder.</t>
  </si>
  <si>
    <t>Det understøtter vi ikke - jeg tænker de mener kolonner inde i webparts på vores overbliksbilleder.Vi gemmer ikke sorteringer og filtreringer</t>
  </si>
  <si>
    <t>”kundeoprettede faner” på overbliksbilleder kræver en voldsomt udvidelse af FFUI Overbliksbilleder</t>
  </si>
  <si>
    <t>Understøttes ikke</t>
  </si>
  <si>
    <t>”automatisk dannes” sker ikke. vi har muligheden for manuelt at gøre dette.</t>
  </si>
  <si>
    <t>Jeg bryder mig ikke om denne formulering - er bekymret for at den kan bruges imod os i en implementering</t>
  </si>
  <si>
    <t>Det her har historisk givet problemer hvis kunden konfigurerede videre på standard-elementer.</t>
  </si>
  <si>
    <t>Det ved jeg simpelthen ikke om vi understøtter i alle fritekstfelter i løsningen..</t>
  </si>
  <si>
    <t>”hele brugergrænsefladen” kan tolkes skidt af en ondsindet modpart.</t>
  </si>
  <si>
    <t>Kan vi ikke</t>
  </si>
  <si>
    <t>Har vi ikke</t>
  </si>
  <si>
    <t>Begrænser muligheden for at bruge ”Case accessgroup” der ellers passer på deres MK’s</t>
  </si>
  <si>
    <t>Kan det lade sig gøre at trække data ud uden?</t>
  </si>
  <si>
    <t>Det har vi ikke endnu</t>
  </si>
  <si>
    <t>Kan vi kun med office webapps</t>
  </si>
  <si>
    <t>Understøtter vi ikke endnu</t>
  </si>
  <si>
    <t>Scanningsløsningen skal kunne benyttes på følgende fysiske skannere:</t>
  </si>
  <si>
    <t>Ingen ide</t>
  </si>
  <si>
    <t>Ved ikke om vi understøtter til enkeltpersoner..?</t>
  </si>
  <si>
    <t>Igen person</t>
  </si>
  <si>
    <t>Ikke sikker - kender ikke nogen kunder der har det, men mon ikke vi kan understøtte det</t>
  </si>
  <si>
    <t>Understøtter vi ikke - vi skifter ikke automatisk til næste forsendelseskanal hvis den første fejler.</t>
  </si>
  <si>
    <t>ESDH-løsningen skal understøtte en forsendelsesproces, hvor forsendelsen er større end, hvad der kan sendes i Digital Post.</t>
  </si>
  <si>
    <t>Ser ikke ud til at F2 er på bordet for udskiftning også</t>
  </si>
  <si>
    <t>Leverandøren skal sikre etablering, Konfiguration og stabil drift af to sikkerhedsmæssigt adskilte miljøer:</t>
  </si>
  <si>
    <t>Leverandøren kan vel ikke sikre etablering af miljøer når SIT er driftsleverandør?</t>
  </si>
  <si>
    <t>Bilag 1 - Tidsplan</t>
  </si>
  <si>
    <t xml:space="preserve">Kontraktunderskrift sker først efter afklaringsfasen. </t>
  </si>
  <si>
    <t xml:space="preserve">Dette er meget unormalt og kan bruges som en ekstra måde at kunne sparke en leverandør ud på. </t>
  </si>
  <si>
    <t>Fordeling af krav</t>
  </si>
  <si>
    <t>I udbudsmaterialet findes der følgende fordeling af krav: 
- ca. 217 krav (83 %) er klassificeret som Mindstekrav, 
- ca. 33 krav (13 %) er klassificeret som Krav,
- kun ca. 12 krav (4 %) er klassificeret som Evalueringskrav.</t>
  </si>
  <si>
    <t>Tommelfingerreglen for offentlige udbud er, at kun omkring 10% af et udbuds totale antal krav bør være mindstekrav.</t>
  </si>
  <si>
    <t>Relates to requirement ID</t>
  </si>
  <si>
    <t>Sender</t>
  </si>
  <si>
    <t>Question</t>
  </si>
  <si>
    <t>Sent Date</t>
  </si>
  <si>
    <t>Received Date</t>
  </si>
  <si>
    <t>Customer answer ID</t>
  </si>
  <si>
    <t>Leveringskontrakten:
Punkt 16.1 (Forsinkelse)
Punkt 16.3 (Bod)
Punkt 16.4 (Erstatning)
Bilag 1.h Servicemål (SLA-bod)
Bilag 5 CSR (CSR-bod)
Bilag 6 Trepartsaftale (bod ved mangelfuld rapportering til SKI)</t>
  </si>
  <si>
    <t>Tieto</t>
  </si>
  <si>
    <t>Bilag 1 Kundens opgavebeskrivelse
Punkt 2.2 Support og vedligeholdelse
Punkt 2.3 Implementering
Punkt 3 Eksisterende it-miljø
Punkt 4 Tidsplan
Bilag 1.c Kundens eksisterende it-landskab
Bilag 1.g Samarbejde under Leveringskontrakten
Bilag 1.h Servicemål
Bilag 1.l Statens IT's driftsmodeller</t>
  </si>
  <si>
    <t>Bilag 1.b Krav til standardsoftware
Samtlige MK, K og EK
Bilag 1.e Krav til IT- og informationssikkerhed
Samtlige MK og K
Opfordringsskrivelsen
Afsnit om evaluering
Afsnit om konditionsmæssighed</t>
  </si>
  <si>
    <t>I udbudsmaterialet findes der følgende fordeling af krav: 
- ca. 217 krav (83 %) er klassificeret som Mindstekrav, 
- ca. 33 krav (13 %) er klassificeret som Krav,
- kun ca. 12 krav (4 %) er klassificeret som Evalueringskrav.
Det betyder, at langt hovedparten af kravene er ufravigelige Mindstekrav, som tilbudsgiver skal opfylde, mens kun en meget begrænset del af kravene giver mulighed for, at Ordregiver kan evaluere forskellige løsningsforslag og deres kvalitet.
Tommelfingerreglen for offentlige udbud er, at kun omkring 10% af et udbuds totale antal krav bør være mindstekrav.
Efter vores opfattelse indebærer en så høj andel af detaljerede Mindstekrav en risiko for, at konkurrencen begrænses unødigt, idet leverandørerne kun i begrænset omfang får mulighed for at konkurrere på forskellige standardfunktionaliteter, arkitekturvalg og løsningsmetoder. Dette gælder særligt, når Mindstekravene omfatter detaljerede krav til funktionalitet, brugergrænseflade og systemarkitektur frem for de bagvedliggende forretningsmæssige behov.
Ordregiver bedes derfor oplyse:
Hvilke overvejelser ligger til grund for, at ca. 83 % af kravene er udformet som Mindstekrav?
Har Ordregiver vurderet, om alle disse krav er nødvendige som ufravigelige Mindstekrav, eller om en del af kravene kunne være udformet som Krav eller Evalueringskrav, således at forskellige standardløsninger kunne konkurrere på deres respektive styrker?
Hvordan har Ordregiver sikret, at kravspecifikationen er udformet i overensstemmelse med udbudslovens § 42 om tekniske specifikationer, således at kravene ikke i praksis favoriserer bestemte produkter eller leverandører, men giver alle relevante standardløsninger mulighed for at konkurrere på lige vilkår?
Hvordan har Ordregiver vurderet, at den valgte kravstruktur er forenelig med udbudslovens § 2 om ligebehandling og proportionalitet, når langt størstedelen af kravene er gjort til ufravigelige Mindstekrav?
Baggrunden for spørgsmålene er, at en kravspecifikation med en meget høj andel af detaljerede Mindstekrav kan medføre, at konkurrencen i praksis begrænses til standardløsninger, som allerede er indrettet efter netop disse krav. Leverandører, der kan opfylde Ordregivers behov gennem andre standardfunktionaliteter eller en anden systemarkitektur, kan dermed få vanskeligere ved at konkurrere, selv om løsningen opfylder de bagvedliggende forretningsmæssige behov.
Ordregiver bedes derfor redegøre for, hvilke konkrete vurderinger der er foretaget for at sikre, at kravspecifikationen ikke begrænser konkurrencen mere end nødvendigt, og at de opstillede Mindstekrav er proportionale og objektivt nødvendige for at opfylde Ordregivers behov.</t>
  </si>
  <si>
    <t xml:space="preserve">Udgår - er blevet spurgt af konkurrent - kunden fastholder. </t>
  </si>
  <si>
    <t>Opfordringsskrivelsen
Afsnit 3 Skriftlige spørgsmål
Tidsplanen for spørgsmål og svar
Tilbudsfrister</t>
  </si>
  <si>
    <t>Ordregiver har anført, at tilbudsgiverne i perioden fra den 10. juli 2026 til den 2. august 2026 ikke kan forvente at modtage svar på indsendte spørgsmål.
Udbudsmaterialet er omfattende og indeholder et betydeligt antal detaljerede tekniske, kontraktuelle og sikkerhedsmæssige krav. For at kunne udarbejde et kvalificeret og konkurrencedygtigt tilbud er tilbudsgiverne afhængige af løbende afklaring af spørgsmål til udbudsmaterialet.
Ordregiver bedes derfor redegøre for, hvordan det er vurderet, at den lange periode uden mulighed for afklaring giver tilbudsgiverne tilstrækkelige muligheder for at udarbejde et fuldt oplyst og konkurrencedygtigt tilbud på lige vilkår.
Har Ordregiver overvejet enten:
at besvare spørgsmål løbende i ferieperioden,
at forlænge tilbudsfristen tilsvarende, eller
at forlænge fristen for indsendelse af spørgsmål,
således at tilbudsgiverne reelt har mulighed for at få afklaret væsentlige forhold i udbudsmaterialet inden tilbudsafgivelsen?</t>
  </si>
  <si>
    <t>Udgår</t>
  </si>
  <si>
    <t>Bilag 1 Kundens opgavebeskrivelse
Punkt 2.3 Implementering
Punkt 4 Tidsplan
Bilag 1.g Samarbejde under Leveringskontrakten
Kapitel 3 Samarbejdsorganisation i implementeringsfasen
Punkt 3.5 Projektledelse</t>
  </si>
  <si>
    <t>Udbudsmaterialet beskriver, at implementeringen skal gennemføres i et tæt samarbejde mellem Ordregiver og Leverandøren, og at begge parter har væsentlige roller i projektets gennemførelse.
Ordregiver bedes derfor oplyse, hvem der forventes at varetage projektlederrollen på Ordregivers side under implementeringsfasen.
Er det Ordregivers forventning, at projektledelsen varetages af interne medarbejdere, eller forventes projektledelsen helt eller delvist varetaget af en ekstern rådgiver?
Såfremt Ordregiver forventer at anvende en ekstern rådgiver, bedes Ordregiver oplyse, om denne vil være den samme rådgiver, som har bistået Ordregiver med udarbejdelsen af udbudsmaterialet og den forudgående anskaffelsesproces.
Baggrunden for spørgsmålet er, at projektorganisationen, projektledelsens rolle og graden af kontinuitet mellem udbudsfasen og implementeringsfasen har væsentlig betydning for implementeringsrisikoen, governance, beslutningsprocesser og samarbejdsmodellen. Disse forhold indgår direkte i tilbudsgivernes vurdering af risiko og dermed i prissætningen af implementeringsopgaven.
En afklaring vil derfor bidrage til en mere ensartet risikovurdering og prissætning blandt tilbudsgiverne.</t>
  </si>
  <si>
    <t>Bilag 1 Kundens opgavebeskrivelse
Punkt 4.1 Faser i tidsplanen
Punkt 4.2 Nedbrydning af faserne
Aktiviteten "Kontraktunderskrivelse"
Leveringskontrakten
Punkt 13 Varighed</t>
  </si>
  <si>
    <t>Det fremgår af Bilag 1, at afklaringsfasen omfatter en række aktiviteter, herunder planlægning, afklaringer, projektopstart, miljøopsætning og etablering af testmiljø, og at afklaringsfasen afsluttes med "Kontraktunderskrivelse".
Tilbudsgiver forstår dette således, at den endelige kontrakt først underskrives efter gennemførelsen af afklaringsfasen.
Er denne forståelse korrekt?
Såfremt dette er tilfældet, bedes Ordregiver redegøre for:
Hvilket kontraktgrundlag regulerer Parternes rettigheder og forpligtelser under afklaringsfasen.
Hvordan Ordregiver har vurderet denne model i forhold til almindelig udbuds- og kontraktpraksis, hvor kontrakten typisk indgås forud for projektets opstart.
Hvilke konsekvenser det har, hvis Parterne ikke kan opnå enighed om de forhold, der afklares i afklaringsfasen, herunder om Ordregiver i så fald kan vælge ikke at underskrive kontrakten, selv om leverandøren er blevet tildelt kontrakten efter gennemført udbud.</t>
  </si>
  <si>
    <t>Option 5 – Databasedrift hos Statens IT
Bilag 1 Kundens opgavebeskrivelse
Punkt 7 Optioner
Option 5 Databasedrift hos Statens IT
Bilag 1.i Vederlag og betalingsplan
Prissætning af optioner
Bilag 1.l Statens IT's driftsmodeller
Bilag 1.h Servicemål (hvis optionen aktiveres)</t>
  </si>
  <si>
    <t>Det fremgår af Option 5, at Ordregiver ønsker mulighed for at overdrage ansvaret for drift og vedligeholdelse af ESDH-løsningens database (middleware) til Leverandøren i Ordregivers miljø hos Statens IT.
Ordregiver bedes oplyse, om Statens IT har bekræftet, at den beskrevne driftsmodel er teknisk, kontraktuelt og driftsmæssigt mulig inden for Statens IT's gældende driftsmodeller og rammevilkår.
Såfremt dette er tilfældet, bedes Ordregiver oplyse, om den nødvendige afklaring og accept fra Statens IT allerede foreligger, eller om dette først skal ske i forbindelse med en eventuel aktivering af optionen.
Baggrunden for spørgsmålet er, at optionens gennemførlighed afhænger af Statens IT's rammer og godkendelser.</t>
  </si>
  <si>
    <t>Ordregiver præciserer, at Option 5 fortsat vil høre under Driftsmodel 3 (DM3 – Infrastrukturservice) hos Statens It, hvor Leverandøren vil få overdraget ansvaret for drift og vedligeholdelse fra Kunden af middleware, herunder vedligeholdelse, overvågning og øvrige driftsrelaterede aktiviteter.
Tilbudsgiver skal prissætte de konsulentydelser, der vurderes nødvendige for at varetage dette ansvar, som en månedlig ydelse. Prissætningen skal således afspejle den indsats og de ressourcer, som Tilbudsgiver forventer at skulle anvende for at opfylde de opgaver og det ansvar, som beskrevet i Option 5. Driftspersonalet vil konkret være tilknyttet Kunden på konsulentbasis og her varetage drift og vedligehold af middleware for Kunden.
Konsulentydelserne skal leveres i overensstemmelse med Statens It’s gældende regler og principper for konsulentanvendelse i produktionsmiljøer samt MK-10 fra Bilag 1.b Krav til IT- og informationssikkerhed, herunder krav til sikkerhedsgodkendelser mv.
Ordregiver præciserer endvidere, at Driftsmodel 3 (DM3 – Infrastrukturservice), hvor Leverandøren er ansvarlig for drift og vedligeholdelse af middleware, er teknisk, driftsmæssigt og kontraktuelt mulig inden for Statens It’s gældende driftsmodel og rammevilkår. Option 5 ændrer således ikke de overordnede driftsmæssige eller kontraktuelle rammer men omfatter alene ansvarsfordelingen for drift og vedligeholdelse af middleware.</t>
  </si>
  <si>
    <t>26-A015</t>
  </si>
  <si>
    <t xml:space="preserve">Erklæring om Ruslands-forordningen. </t>
  </si>
  <si>
    <t>Tilbudsgiver har bemærket, at erklæringen vedrørende Ruslands-forordningen tilsyneladende mangler i udbudsmaterialet. Har Ordregiver mulighed for at uploade denne?</t>
  </si>
  <si>
    <t>Ordregiver oplyser, at Tilbudsgiverne skal se bort fra henvisninger til Bilag 7 Ruslandsforordningen. Rusland-erklæringen skal således ikke indsendes i forbindelse med tilbudsafgivelsen, men indhentes af Ordregiver fra den vindende tilbudsgiver som led i Ordregivers dokumentationsindhentelse.</t>
  </si>
  <si>
    <t>26-A014</t>
  </si>
  <si>
    <t>Bilag 1.f</t>
  </si>
  <si>
    <t>Det fremgår af Bilag 1.f, pkt. 12.1 og 12.2, at Driftsprøven først kan påbegyndes, når den fulde løsning er klar, herunder når både Proces- og regelstyringskomponenten samt Integrationsplatformen har gennemført og bestået deres respektive overtagelsesprøver.
Samtidig fremgår det af Leveringskontrakten, at Ordregiver har adgang til at gøre misligholdelsesbeføjelser gældende ved væsentlige forsinkelser, herunder hvis leveringen overskrider de kontraktuelle frister.
Ordregiver bedes derfor oplyse, hvordan denne afhængighed håndteres, hvis Proces- og regelstyringskomponenten og/eller Integrationsplatformen leveres af en anden leverandør, og en forsinkelse hos denne leverandør medfører, at Driftsprøven for ESDH-løsningen ikke kan påbegyndes eller afsluttes rettidigt.
Bekræfter Ordregiver, at Leverandøren ikke kan ifalde bod, misligholdelsesansvar eller risikere ophævelse som følge af forsinkelser, der udelukkende skyldes manglende levering eller godkendelse af disse øvrige komponenter?</t>
  </si>
  <si>
    <t>Ordregiver bekræfter, at Leverandøren af ESDH-løsningen ikke kan ifalde bod, misligholdelsesansvar eller risikere ophævelse som følge af forsinkelser, der udelukkende skyldes manglende levering eller godkendelse af Proces- og regelstyringskomponenten og/eller Integrationsplatformen, hvis disse leveres af en anden leverandør, og en forsinkelse hos denne leverandør medfører, at Driftsprøven for ESDH-løsningen ikke kan påbegyndes eller afsluttes rettidigt.</t>
  </si>
  <si>
    <t>26-A016</t>
  </si>
  <si>
    <t>MK-189 fremstår selvmodsigende.
Kravet angiver, at Leverandøren ved afslutningen af hypercare-perioden skal udarbejde en rapport, samtidig med at rapporten senest skal overleveres til Kunden ved afslutningen af hypercare-perioden.
Leverandøren kan derfor ikke entydigt fastlægge den forventede leveranceproces. Vil Ordregiver præcisere, hvornår rapporten skal udarbejdes, og hvornår den skal afleveres til Kunden?</t>
  </si>
  <si>
    <t>Ordregiver præciserer følgende vedrørende MK-189: Leverandøren skal senest 5 arbejdsdage efter hypercareperiodens afslutning fremsende en rapport til Kunden, som beskriver status og håndtering af samtlige registrerede fejl. Kunden har herefter 5 arbejdsdage til at gennemgå og kommentere rapporten. Leverandøren skal inden for 3 arbejdsdage efter modtagelse af Kundens kommentarer indarbejde disse og fremsende den endelige rapport til godkendelse hos Kunden.</t>
  </si>
  <si>
    <t>26-A017</t>
  </si>
  <si>
    <t>Ordregiver bedes præcisere, hvordan kravet om, at "Brugeren kan navigere og scrolle i dokument- og fillistevisninger, og at forhåndsvisningen automatisk opdateres og viser det Dokument/Fil, som Brugeren har navigeret til", skal forstås.
Er det Ordregivers forventning, at forhåndsvisningen løbende skal skifte i takt med, at Brugeren scroller gennem listen, eller er kravet opfyldt, når forhåndsvisningen automatisk opdateres, efter at Brugeren har navigeret til og valgt et andet dokument eller en anden fil?
Baggrunden for spørgsmålet er, at de to fortolkninger medfører forskellige krav til brugergrænsefladens adfærd, og en præcisering vil sikre en ensartet vurdering af tilbuddene.</t>
  </si>
  <si>
    <t>Konkurrent</t>
  </si>
  <si>
    <t>MK-112 angiver, at "ESDH-løsningens administratormodul skal understøtte fuld no-code funktionalitet".
Tilbudsgiver er usikker på, hvordan Ordregiver afgrænser begrebet "fuld no-code funktionalitet".
Vil Ordregiver præcisere, hvilke konkrete administrative opgaver eller konfigurationsaktiviteter der skal kunne gennemføres uden kode for at opfylde nærværende krav?</t>
  </si>
  <si>
    <t>-</t>
  </si>
  <si>
    <t>Ordregiver forstår ”fuld no code funktionalitet” i et administratormodul, som funktionalitet, der gør det muligt for administrator uden programmeringskendskab at konfigurere, tilpasse og udvide løsningen gennem visuelle værktøjer, drag-and-drop og konfigurationsindstillinger, uden at skulle skrive kode.
Opgaver og konfigurationsaktiviteter, der skal kunne gennemføres for at opfylde nærværende krav indeholder, men er ikke begrænset til:
• Oprettelse og vedligeholdelse af entiteter
• Oprettelse og vedligeholdelse af værdilister
• Oprettelse og vedligeholdelse af felter
• Oprettelse og vedligeholdelse af ESDH-opsætninger fx journalplan, sagsnummerformat mv.
• Oprettelse og vedligeholdelse af sags- og kontakttyper
Dertil øvrige MK-krav omhandlende konfiguration.
Ordregiver understreger, at fuld no code funktionalitet forudsætter, at der ikke er behov for udvikler-ressourcer.</t>
  </si>
  <si>
    <t>26-A009</t>
  </si>
  <si>
    <t>MK-110 angiver, at "ESDH-løsningen skal understøtte Konfiguration via en fuldskærmsbaseret brugergrænseflade".
Tilbudsgiver er usikker på, hvad Ordregiver nærmere forstår ved "fuldskærmsbaseret brugergrænseflade".
Vil Ordregiver præcisere, hvilke konkrete egenskaber eller funktionelle behov der ligger til grund for dette krav, herunder om kravet vedrører brugeroplevelsen, den tekniske implementering eller andre forhold?</t>
  </si>
  <si>
    <t>Kravet i MK-110 vedrører brugergrænsefladen til konfiguration af ESDH-løsningen. Med ”fuldskærmbaseret brugergrænseflade” forstås, at konfigurationsfunktionaliteten skal være tilgængelige via en konfigurationsgrænseflade, der udnytter den tilgængelige skærmplads hensigtsmæssigt, og som understøtter en effektiv og brugervenlig udførelse af konfigurationsarbejde ved at fokusere brugerens opmærksomhed på indholdet eller handlingen.
Baggrunden for mindstekravet er en forventning om, at konfigurationsarbejde kan udføres i en sammenhængende brugergrænseflade, hvor information, indstillinger, konfigurationsfunktionalitet og andet præsenteres overskueligt. Mindre dialogbokse, pop up-vinduer eller tilsvarende brugergrænseflader med et begrænset arbejdsområde skal have en klar gem- eller exit-knap, så brugeren ikke kan minimere billedet uden aktivt at lukke eller udføre en handling for at vende tilbage.
Ordregiver stiller ikke krav til en bestemt teknisk implementering, men alene krav om, at konfigurationsgrænsefladen understøtter en effektiv og overskuelig udførelse af konfigurationsopgaver ved hensigtsmæssig anvendelse af den tilgængelige skærmplads.</t>
  </si>
  <si>
    <t>26-A007</t>
  </si>
  <si>
    <t>MK-76 og MK-143</t>
  </si>
  <si>
    <t>Ordregiver fastsætter i MK-76, at ESDH-løsningen skal kunne afvikles uden løsningsspecifikke plugins, mens Ordregiver samtidig i MK-143 stiller krav om integration til Microsoft Outlook via plugin.
Tilbudsgiver har derfor vanskeligt ved at afgrænse, hvilke klientnære komponenter Ordregiver anser for acceptable.
Vil Ordregiver præcisere forholdet mellem MK-76 og MK-143, herunder om kravet i MK-76 alene vedrører den primære ESDH-klient og således ikke udelukker klientnære komponenter eller plugins, hvor disse er nødvendige for integration med tredjepartsprodukter som Microsoft Outlook?</t>
  </si>
  <si>
    <t>Ordregiver bekræfter, at MK-76 alene vedrører den primære ESDH-klients afvikling i en standardbrowser (Microsoft Edge eller Google Chrome). Mindstekravet om, at ESDH-løsningen skal kunne afvikles uden løsningsspecifikke plugins, gælder således alene den browserbaserede ESDH-klient, og dens anvendelse i de angivne browsere.
MK-76 udelukker ikke anvendelse af andre klientnære komponenter eller plugins, hvor disse er nødvendige for at understøtte integration til tredjepartsprodukter. Dette omfatter eksempelvis det i MK-143 krævede Outlook-plugin, som skal muliggøre direkte journalisering af e-mails fra Outlook til ESDH-løsningen.
MK-76 omhandler krav til afvikling af ESDH-klienten i browser, mens MK-143 omhandler integrationen mellem Outlook og ESDH-løsningen.
Ordregiver anser derfor klientnære komponenter og plugins for acceptable, når disse understøtter nødvendige integration til tredjepartssystemer.</t>
  </si>
  <si>
    <t>26-A006</t>
  </si>
  <si>
    <t>Ordregiver har i MK-76 fastsat som minimumskrav, at ESDH-løsningen skal være browserbaseret og kunne afvikles i Microsoft Edge eller Google Chrome uden løsningsspecifikke plugins.
Tilbudsgiver bemærker, at browserbaseret brugergrænseflade ikke blev identificeret som et behov i den gennemførte markedsdialog.
Tilbudsgiver bemærker derudover, at browserbaseret brugergrænseflade ikke fremgår som et arkitekturprincip i Ordregivers målarkitektur, hvor fokus derimod er på standardplatforme, åbne API'er, komponentbaseret arkitektur, konfiguration og leverandøruafhængighed.
Tilbudsgiver bemærker endvidere, at brugergrænsefladen samtidig indgår som et selvstændigt kvalitativt evalueringsområde i EK-3, hvor Ordregiver bl.a. evaluerer anvendelighed, konfigurationsmuligheder og brugeroplevelse.
Tilbudsgiver har derfor vanskeligt ved at se den saglige begrundelse for, at browserbaseret afvikling uden løsningsspecifikke plugins er gjort til et minimumskrav, når browserbaseret brugergrænseflade hverken indgik som et identificeret behov i markedsdialogen eller som et arkitekturprincip i målarkitekturen.
Hvis Ordregiver vurderer, at browserbaseret afvikling uden løsningsspecifikke plugins er en ufravigelig forudsætning for kontraktens opfyldelse, anmodes Ordregiver om at redegøre for den konkrete saglige begrundelse herfor, herunder hvorfor dette behov først er introduceret i kravspecifikationen og ikke indgik i den gennemførte markedsdialog eller i Ordregivers beskrevne målarkitektur.
Hvis ikke, opfordres Ordregiver til at ændre MK-76 til et K-krav, således at browserbaseret brugergrænseflade kan indgå som et kvalitetsparameter under evalueringen frem for som et adgangskrav.</t>
  </si>
  <si>
    <t>Det er korrekt, at Ordregiver, ikke i markedsdialogen, eksplicit nævnte, et mindstekrav om en browserbaseret løsning uden løsningsspecifikke plug-ins. Markedsdialogen blev anvendt til at afsøge, hvilke løsninger der er tilgængelige på markedet, og hvilke funktionaliteter markedet kan tilbyde. Ordregiver har på den baggrund fundet et behov for at være specifik i, hvilken teknologi Ordregiver ønsker, fordi dette har betydning for drift, sikkerhed og økonomi på lang sigt.
Den vedlagte arkitekturtegning er en high level tegning udarbejdet til at understøtte forståelsen af Ordregivers målarkitektur. Arkitekturtegningen er leverandør-agnostisk, og beskriver, hvad løsningen skal gøre, og hvilken organisering løsningen skal indgå i. Arkitekturtegningen skal ikke angive, hvordan brugergrænsefladen skal implementeres eller hvilken teknologi leverandøren skal bruge til at bygge løsningen. Mindstekravet om en browserbaseret brugergrænseflade er et implementeringskrav, der specificerer teknologiske valg, som Ordregiver ønsker.
Ordregiver bemærker, at mindstekravet om en browserbaseret løsning ikke udelukker evalueringskrav om funktionalitet og konfigurationsmuligheder i brugergrænsefladen. Ordregiver henviser til, at mindstekravet handler om implementeringen af den teknologiske løsning.
Mindstekravet om en browserbaseret brugergrænseflade er forankret i Ordregivers fokus på fremtidssikring af den tilbudte løsning, hvor Ordregiver ikke ønsker at påtage sig risikoen for en teknologisk forældet løsning indenfor en kort årrække. Ved at anvende browserbaseret teknologi, der er en åben standard, minimeres denne risiko for Ordregiver. Dertil har Ordregiver mange brugere, som vil skulle supporteres med installation og vedligeholdes af desktop-klienter, en opgave som Ordregiver ikke ønsker at påtage sig i driftsøjemed.</t>
  </si>
  <si>
    <t>26-A005</t>
  </si>
  <si>
    <t xml:space="preserve">Lyder som Ekegren - klassisk cBrain indsigelse, da deres løsning ikke er browser-baseret. </t>
  </si>
  <si>
    <t>Tilbudsgiver bemærker, at Bilag 1.b (Krav til standardsoftware) indeholder ca. 190 minimumskrav (86%), mens alene en begrænset del af kravene indgår som K-krav eller evalueringskrav (14%).
Konsekvensen af klassificeringen jf. Bilag 1.b pkt. 1.1 er, at tilbud, som ikke opfylder et enkelt minimumskrav, bliver ukonditionsmæssige og dermed ikke indgår i den efterfølgende konkurrence om pris og kvalitet.
Ordregiver har valgt at gennemføre udbuddet som et miniudbud under SKI 02.06 kategori 2, hvor leveringskontrakten tildeles efter en konkurrence om den standardsoftware, der giver det bedste forhold mellem pris og kvalitet, herunder funktionalitet, implementering og brugsvilkår.
Det følger hertil af Udbudslovens § 41, at de tekniske specifikationer skal give de økonomiske aktører lige adgang til udbudsproceduren og ikke må skabe uberettigede hindringer for konkurrencen, ligesom de tekniske specifikationer bl.a. kan fastlægges ved funktionskrav eller krav til funktionsdygtighed.
Tilbudsgiver konstaterer samtidig, at en række minimumskrav vedrører de samme egenskaber ved standardsoftwaren, som Ordregiver efterfølgende har valgt at evaluere kvalitativt gennem evalueringskravene. Disse eksempler forekommer ikke enkeltstående, men illustrerer en gennemgående metode ved klassificeringen af minimumskrav i Bilag 1.b. Dette gælder eksempelvis:
MK-74-MK-75 + MK-83-MK-88 sammenholdt med EK-3 (Brugergrænseflade),
MK-106;109;114;115;119;121;124 sammenholdt med EK-5 (Administratormodul),
MK-109;112;118;124 sammenholdt med EK-6 (Datamodel),
MK-118 sammenholdt med EK-7 (Konfiguration af brugergrænseflade).
Når Ordregiver vælger at klassificere et krav som minimumskrav, indebærer det samtidig, at Ordregiver har vurderet, at den pågældende egenskab er så væsentlig for kontraktens opfyldelse, at manglende opfyldelse skal medføre ukonditionsmæssighed og dermed udelukke tilbuddet fra den efterfølgende konkurrence.
Tilbudsgiver har derfor vanskeligt ved at se den saglige begrundelse for, at en række tekniske specifikationer, som fastlægger bestemte tekniske egenskaber ved standardsoftwaren, er klassificeret som minimumskrav, når de samme tekniske egenskaber samtidig indgår i den kvalitative evaluering.
Hvis Ordregiver vurderer, at ovennævnte tekniske specifikationer er så nødvendige for kontraktens opfyldelse, at manglende opfyldelse skal medføre ukonditionsmæssighed, anmodes Ordregiver om at redegøre for de objektive kriterier, der er anvendt ved denne klassificering.
Hvis ikke, opfordres Ordregiver til at gennemgå klassificeringen af krav og ændre de minimumskrav, hvor den ønskede funktion eller kvalitet fortsat kan sikres gennem evaluering som K-krav, således at konkurrencen mellem standardsoftwareløsninger under SKI 02.06 kategori 2 styrkes uden at kompromittere Ordregivers funktionelle eller forretningsmæssige behov.</t>
  </si>
  <si>
    <t>Ordregivers mindstekrav i udbudsmaterialet beskriver grundlæggende og væsentlig funktionalitet, som den tilbudte løsning som minimum skal kunne levere. Ordregiver har på baggrund af den gennemførte markedsdialog konstateret, at markedet tilbyder vidt forskellige løsninger, der kan opfylde Ordregivers minimum, og har derfor en legitim interesse i at differentiere mellem løsninger, som alle opfylder minimum, men som gør det i forskellig grad. På den baggrund har Ordregiver udvalgt særlige mindstekrav, der har særlig vigtig betydning for den forretningsmæssige systemunderstøttelse, brugervenlighed og fleksibilitet i løsningen. Disse mindstekrav indgår også som en del af evalueringskrav, hvor leverandør har mulighed for at eksemplificere, hvordan den efterspurgte funktionalitet implementeres i løsningen.
Markedsvariationen betyder, at Ordregiver ikke kan nøjes med at fastlægge, hvorvidt en tilbudt løsning opfylder mindstekrav men tillige har behov for at forstå, hvordan udvalgte mindstekrav implementeres, og i hvor høj grad dette understøttes. Denne forståelse er vigtig for Ordregiver for at kunne vælge den rette løsning, der bedst opfylder Ordregivers behov og formål som beskrevet i udbudsmaterialet.
Ordregiver har derfor behov for at kunne evaluere meropfyldelsen af udvalgte mindstekrav. Uden denne evaluering vil Ordregiver ikke have tilstrækkelig information til at træffe et kvalificeret valg mellem løsninger, der teknisk set opfylder mindstekravene, men som implementerer dem på meget forskellige niveauer af fleksibilitet og brugervenlighed.
Evalueringen af meropfyldelsen af udvalgte mindstekrav vil ske ud fra en nærmere beskrevet evalueringsmodel. Dette indebærer, at der evalueres på, hvordan og i hvor høj grad de udvalgte mindstekrav implementeres i den tilbudte løsning. Evalueringskravene bedømmer alene graden af fleksibilitet, modenhed og konfigurerbarhed udover minimum på de udvalgte mindstekrav.
Ordregiver mener, det er tydeliggjort i udbudsmaterialet, hvornår Ordregiver ønsker en uddybelse af implementeringen af et udvalgt mindstekrav. Dette er gjort ved at indarbejde meropfyldelsen i evalueringskravenes vægtninger. Det er eksempelvis angivet, at leverandør skal beskrive hvordan en bruger kan personalisere visningsbilleder samt hvad der vægtes positivt i forbindelse med evalueringen af denne beskrivelse.
Ordregiver fastholder således, at mindstekrav skal opfyldes, og at der herudover skal evalueres på meropfyldelsen af udvalgte mindstekrav, og tilbudsgivere kan således forberede sig på at give en grundig besvarelse.</t>
  </si>
  <si>
    <t>26-A004</t>
  </si>
  <si>
    <t>Lyder som Ekegren - cBrain er enige i, at det ikke er en fair konkurrence.</t>
  </si>
  <si>
    <t>Bilag 1h, pkt. 2.3 Tilgængelighed</t>
  </si>
  <si>
    <t>Bilag 1h, pkt. 2.3 Tilgængelighed
Tilbudsgiver bemærker, at bilaget ikke definerer, hvilke typer af hændelser der skal anses for at udgøre utilgængelighed ved beregningen af servicemålet for tilgængelighed.
Kan Kunden bekræfte, at det alene er Prioritet 1-/kritiske hændelser, som medfører, at produktionsmiljøet er utilgængeligt for brugerne, der indgår i beregningen af tilgængeligheden, mens hændelser i de øvrige prioritetskategorier alene følges op via de aftalte reaktionstider og derfor ikke påvirker servicemålet for tilgængelighed?</t>
  </si>
  <si>
    <t>Ordregiver præciserer, at beregningen af tilgængeligheden omfatter samtlige incidents, der medfører utilgængelighed af produktionsmiljøet for brugerne, uanset hvilken prioritet det pågældende incident er klassificeret med.</t>
  </si>
  <si>
    <t>26-A018</t>
  </si>
  <si>
    <t>Bilag 1h, pkt. 2.7 Servicemål</t>
  </si>
  <si>
    <t>Bilag 1h, pkt. 2.7 Servicemål
Tilbudsgiver bemærker, at definitionerne af "Reaktionstid" i henholdsvis pkt. 2.5 og pkt. 2.7 ikke fremstår fuldt ud konsistente.
Pkt. 2.5 angiver, at reaktionstiden er den tid, inden for hvilken Tilbudsgiver senest skal have påbegyndt afhjælpning af hændelsen, mens pkt. 2.7 angiver, at reaktionstiden måles fra registreringen af hændelsen, til løsning eller afhjælpning påbegyndes hos Tilbudsgiver.
Kan Kunden bekræfte, at reaktionstid skal forstås som tiden fra registrering af en hændelse i servicemanagementsystemet, til Tilbudsgiver har påbegyndt afhjælpning eller fejlretning af hændelsen, og at formuleringen i pkt. 2.5, hvor reaktionstid angives at blive målt frem til løsning eller nedgradering af hændelsen, i stedet vedrører afhjælpnings- eller løsningstid og ikke reaktionstid?</t>
  </si>
  <si>
    <t>Ordregiver præciserer, at reaktionstid skal forstås som tiden fra registrering af et incident i servicemanagement-systemet til Leverandøren har påbegyndt afhjælpning eller fejlretning af hændelsen.
I forlængelse heraf bekræfter Ordregiver, at formuleringen i pkt. 2.5, hvor reaktionstid angives at blive målt frem til løsning eller nedgradering af hændelsen, skal forstås som afhjælpnings-/løsningstid fremfor reaktionstid.</t>
  </si>
  <si>
    <t>26-A019</t>
  </si>
  <si>
    <t>Bilag 1h, pkt. 2.7 Servicemål
Tilbudsgiver bemærker, at reaktionstiden for Prioritet 2 udtrykkeligt er angivet til at gælde inden for den aftalte driftstid, mens en tilsvarende præcisering ikke fremgår for Prioritet 1.
Samtidig fremgår det, at Kunden skal kunne kontakte Tilbudsgiver uden for normal driftstid ved kritiske hændelser, og at Tilbudsgiver skal arbejde uafbrudt på løsning af Prioritet 1-hændelser, også uden for den aftalte driftstid.
Kan Kunden præcisere, om reaktionstiden for Prioritet 1 ("omgående og mindre end 2 timer") også gælder uden for den aftalte driftstid?
Såfremt Prioritet 1-hændelser skal håndteres med krav om bemanding, reaktionstid eller påbegyndt afhjælpning uden for den aftalte driftstid, bedes Kunden samtidig præcisere, om sådanne ydelser er omfattet af det faste aftalevederlag, eller om de kan bestilles og afregnes efter Tilbudsgivers til enhver tid gældende priser for arbejde uden for normal driftstid.</t>
  </si>
  <si>
    <t>Ordregiver præciserer, at reaktionstiden for Prioritet 1 ("omgående og mindre end 2 timer") også gælder uden for den aftalte driftstid, og at sådanne ydelser er omfattet af det faste månedlige vederlag for Kundens brug af Leverandørens ESDH-løsning samt Leverandørens løbende support og vedligeholdelse af ESDH-løsningen.</t>
  </si>
  <si>
    <t>26-A020</t>
  </si>
  <si>
    <t>Bilag 1h, pkt. 2.5</t>
  </si>
  <si>
    <t>Bilag 1h, pkt. 2.5
Tilbudsgiver bemærker, at begrebet "Servicetid" anvendes i pkt. 2.5, mens alene "Driftstid" er defineret i bilaget.
Kan Kunden bekræfte, at "Servicetid" i pkt. 2.5 skal forstås som den aftalte driftstid i pkt. 2.2 (kl. 08.00-16.00 på hverdage)?</t>
  </si>
  <si>
    <t>Ordregiver præciserer, at termen "Servicetid" anvendt i pkt. 2.5 Servicemål for support ved incidents i ESDH-løsningen i bilag 1.h Servicemål skal forstås som den aftalte driftstid (kl. 08.00-16.00 på hverdage) anført under pkt. 2.2 Driftstid i samme bilag.</t>
  </si>
  <si>
    <t>26-A021</t>
  </si>
  <si>
    <t>Leveringskontrakt, pkt. 16.3.2 Bod ved mangler</t>
  </si>
  <si>
    <t>Det fremgår, at den maksimale bod for mangler udgør 5 % af Leveringsaftalens evalueringstekniske pris.
Da manglerne vedrører levering af support og vedligeholdelse, vurderer Tilbudsgiver, at en eventuel bod bør beregnes på baggrund af det månedlige vederlag for den berørte tjeneste.
Kan Kunden bekræfte, at den maksimale bod efter denne bestemmelse i stedet skal beregnes på grundlag af det månedlige vederlag, jf. Bilag 1.i Vederlag og betalingsplan, pkt. 2.2 Månedligt vederlag?</t>
  </si>
  <si>
    <t>Er det korrekt forstået, at Ordregiver ikke ønsker, at der indgives en tidsplan i forbindelse med udbuddet, men at der i stedet skal laves en detaljeret tidsplan i Afklaringsfasen på baggrund af den i Bilag 1 - Kundens opgavebeskrivelse?</t>
  </si>
  <si>
    <t>Ordregiver bekræfter, at der ikke skal indgives en detaljeret tidsplan som en del af tilbuddet. Den detaljerede tidsplan udarbejdes i samarbejde mellem Leverandøren og Kunden i afklaringsfasen med udgangspunkt i Bilag 1. Kundens opgavebeskrivelse. Tidsplanen skal udarbejdes i overensstemmelse med de krav, der fremgår af materialet.
Leverandøren skal overholde de tidsangivende perioder angivet under punkt 4.1 Faser i tidsplanen i Bilag 1 Kundens opgavebeskrivelse. Der er tale om kritiske milepæle for idriftsættelsen af den samlede løsning senest pr. 1. oktober 2027. Faserne skal indgå som milepæle i den detaljerede tidsplan.</t>
  </si>
  <si>
    <t>26-A023</t>
  </si>
  <si>
    <t>Bilag 1.j</t>
  </si>
  <si>
    <t>Bilag 1.g</t>
  </si>
  <si>
    <t>I pkt. 4.4.3 fremgår det under bemanding alene, at "Leverandøren" deltager i driftsgruppen.
Kan Kunden præcisere, hvilke roller hos Tilbudsgiver der forventes at deltage i driftsgruppen og de ugentlige driftsmøder?</t>
  </si>
  <si>
    <t>Bilaget angiver indledningsvist, at Tilbudsgiver ikke har krav på særskilt vederlag for aktiviteter omfattet af bilaget.
Er det korrekt forstået, at samtlige roller og aktiviteter, der er beskrevet i Bilag 1.g, herunder deltagelse i styregrupper, driftsmøder, projektledelse, Service Delivery Manager, leveringskontraktansvarlig og øvrige møde- og samarbejdsaktiviteter, anses for omfattet af Leveringskontraktens faste vederlag?
Tilbudsgiver bemærker, at en sådan forståelse vil medføre, at omkostningerne nødvendigvis må indregnes i andre vederlagsposter, hvilket reducerer prisgennemsigtigheden for Kunden.</t>
  </si>
  <si>
    <t>send</t>
  </si>
  <si>
    <t>Tilbudsgiver bemærker, at rollen som projektleder alene er beskrevet i implementeringsfasen, mens projektlederen ikke indgår blandt de beskrevne roller i driftsfasen.
Kan Kunden bekræfte, at dette er tilsigtet, og at Tilbudsgiver ikke forventes at stille en dedikeret projektleder til rådighed efter afsluttet implementering?</t>
  </si>
  <si>
    <t>Jeg tror, at de i virkeligheden mener, at det er Service Delivery Manageren, der har hvad vi plejer at kalde en projektleder.</t>
  </si>
  <si>
    <t>punkt 5 i Leveringsaftalen – Immaterielle rettigheder</t>
  </si>
  <si>
    <t>Spørgsmål vedrørende punkt 5 i Leveringskontrakten – Immaterielle rettigheder
Punkt 5 fastslår, at Kundens erhvervelse af immaterielle rettigheder til standardsoftware sker i henhold til Standardvilkårene. Immaterielle rettigheder til standardsoftware udgør en central del af en leverandørs forretningsgrundlag og er en forudsætning for løbende vedligeholdelse, videreudvikling og support af softwaren. Kan Ordregiveren bekræfte, at ejendomsretten til standardsoftware, herunder underliggende kildekode, algoritmer og platformskomponenter, forbliver hos Leverandøren eller relevante tredjepartslicensgivere, og at Kunden opnår en ikke-eksklusiv brugsret i overensstemmelse med de gældende licensvilkår? Tilbudsgiveren foreslår, at sondringen mellem standardsoftware og kundespecifikke leverancer præciseres i aftalen.</t>
  </si>
  <si>
    <t>punkt 10 i Leveringsaftalen – Fortrolighed og tavshedserklæringer</t>
  </si>
  <si>
    <t>Spørgsmål vedrørende punkt 10 i Leveringskontrakten – Fortrolighed og tavshedserklæringer
Punkt 10.2 kræver, at hver enkelt af Leverandørens og underleverantørers medarbejdere udfylder og underskriver en individuel tavshedserklæring til Kunden. Ved større leverancer kan kravet blive betydeligt, da det omfatter samtlige medarbejdere, herunder også medarbejdere uden adgang til fortrolige oplysninger. Kan Ordregiveren oplyse, om det kan accepteres, at Leverandøren i stedet sikrer tilstrækkelige fortrolighedsforpligtelser via eksisterende ansættelses- og underleverandøraftaler? Tilbudsgiveren foreslår, at individuelle tavshedserklæringer alene kræves for konkrete nøglepersoner, som parterne skriftligt udpeger.</t>
  </si>
  <si>
    <t>punkt 11 i Leveringsaftalen – Sikkerhedsgodkendelse af personale</t>
  </si>
  <si>
    <t>Spørgsmål vedrørende punkt 11 i Leveringsaftalen – Sikkerhedsgodkendelse af personale
Punkt 11 kræver, at samtlige medarbejdere hos Leverandøren og underleverantørerne, der bistår med levering af ydelser, skal sikkerhedsgodkendes. Sikkerhedsgodkendelse kan være forbundet med væsentlige omkostninger og tidsmæssige forudsætninger for Leverandøren, og det er derfor centralt, at det relevante sikkerhedsniveau er klarlagt inden kontraktindgåelse. Kan Ordregiveren oplyse, hvilket sikkerhedsniveau (Fortroligt eller Hemmeligt) der kræves, og om kravet kan begrænses til de medarbejdere, der faktisk får adgang til klassificerede oplysninger eller systemer? Tilbudsgiveren foreslår, at parterne inden kontraktindgåelse i fællesskab afstemmer, hvilke roller og sikkerhedsniveauer der er relevante, og at dette anføres i et bilag.</t>
  </si>
  <si>
    <t>punkt 12.1 i Leveringsaftalen – Leverandørskifte og solidarisk ansvar</t>
  </si>
  <si>
    <t>Spørgsmål vedrørende punkt 12.1 i Leveringsaftalen – Leverandørskifte og solidarisk ansvar
Punkt 12.1 indebærer, at Leverandøren og en ny leverandør solidarisk skal friholde Kunden for tab ved overdragelse. En leverandør kan alene påtage sig ansvar for egne ydelser og egen opfyldelse af kontraktens krav, men kan ikke hæfte for en ny leverandørs handlinger, som den aftrædende leverandør ikke har indflydelse på. Kan Ordregiveren tage stilling til, om Leverandøren i stedet alene hæfter for egne leveranceforpligtelser og for, at kontraktens krav fortsat er opfyldt frem til overgangsperiodens afslutning, og om hver part afholder egne omkostninger?</t>
  </si>
  <si>
    <t>punkt 12.2 i Leveringsaftalen – Ny myndighed som ordregiver</t>
  </si>
  <si>
    <t>Spørgsmål vedrørende punkt 12.2 i Leveringsaftalen – Ny myndighed som ordregiver
Punkt 12.2 giver mulighed for, at andre myndigheder overtager aftalen ved organisatoriske ændringer, uden at der stilles krav om forudgående underretning til Leverandøren. Kan Ordregiveren oplyse, om Leverandøren vil blive underrettet skriftligt inden en overtagelse? Tilbudsgiveren foreslår, at overtagelse forudsætter skriftligt varsel på mindst [30] dage, og at der gennemføres en ændringsproces, såfremt overtagelsen medfører ændrede krav til f.eks. sikkerhedsgodkendelsesniveau eller leverancens omfang.</t>
  </si>
  <si>
    <t>overload</t>
  </si>
  <si>
    <t>punkt 13.3 i Leveringsaftalen – Opsigelse som følge af klage</t>
  </si>
  <si>
    <t>Spørgsmål vedrørende punkt 13.3 i Leveringsaftalen – Opsigelse som følge af klage
Punkt 13.3 giver Kunden ret til at opsige aftalen med 30 dages varsel, hvis tildelingsbeslutningen annulleres, "uanset om afgørelsen er endelig". Af hensyn til proportionalitet, objektivitet og gennemsigtighed for begge parter bør en så vidtgående beføjelse som opsigelse være knyttet til et objektivt og endeligt grundlag. Kan Ordregiveren bekræfte, at opsigelsesretten først aktualiseres ved en endelig afgørelse? Tilbudsgiveren foreslår desuden, at opsigelsesvarslet forlænges til [90] dage for at sikre en ordnet overgang for begge parter.</t>
  </si>
  <si>
    <t>punkt 13.4 i Leveringsaftalen – Opsigelse ved uden virkning og påbud</t>
  </si>
  <si>
    <t>Spørgsmål vedrørende punkt 13.4 i Leveringsaftalen – Opsigelse ved uden virkning og påbud
Punkt 13.4 giver Kunden ret til at videreføre yderligere betingelser eller krav fra et påbud over for Leverandøren, som Leverandøren er forpligtet til at efterleve. Kan Ordregiveren bekræfte, at sådanne yderligere vilkår håndteres som ændringer i overensstemmelse med aftalens ændringsbestemmelser, og at Leverandøren har ret til kompensation for dokumenterede meromkostninger?</t>
  </si>
  <si>
    <t>punkt 13.5 i Leveringsaftalen – Opsigelse i særlige tilfælde og vederlag</t>
  </si>
  <si>
    <t>Spørgsmål vedrørende punkt 13.5 i Leveringsaftalen – Opsigelse i særlige tilfælde og vederlag
Punkt 13.5 giver Kunden ret til at opsige aftalen uden varsel i visse tilfælde og fastslår, at Leverandøren "ikke er berettiget til nogen anden form for godtgørelse eller erstatning, herunder erstatning for driftstab, avancetab eller andet indirekte tab, øvrigt vederlag eller lignende". Formuleringen er bred, og det er uklart, om den også afskærer Leverandørens ret til vederlag for allerede udført arbejde og leverede ydelser. Kan Ordregiveren bekræfte, at Leverandøren ved opsigelse i medfør af denne bestemmelse bevarer retten til fuldt vederlag for arbejde udført og ydelser leveret frem til opsigelsestidspunktet?</t>
  </si>
  <si>
    <t>punkt 15 i Leveringsaftalen – Ansvar for krænkelse af immaterielle rettigheder</t>
  </si>
  <si>
    <t>Spørgsmål vedrørende punkt 15 i Leveringskontrakten – Ansvar for krænkelse af immaterielle rettigheder
Punkt 15 pålægger Leverandøren at friholde Kunden for ethvert krav fra tredjemand vedrørende krænkelse af rettigheder, uden sædvanlige undtagelser. Kan Ordregiveren bekræfte, at friholdelsespligten betinges af (i) rettidig skriftlig underretning fra Kunden, (ii) at Leverandøren gives kontrol over forsvaret, og at der indføres undtagelser for krænkelser forårsaget af Kundens ændringer, kombination med ikke-godkendte tredjepartsprodukter eller brug i strid med Leverandørens anvisninger?</t>
  </si>
  <si>
    <t>punkt 16.2.1.2 i Leveringsaftalen – Prisnedslag og bod</t>
  </si>
  <si>
    <t>Spørgsmål vedrørende punkt 16.2.1.2 i Leveringskontrakten – Prisnedslag og bod
Punkt 16.2.1.2 vedrører forholdsmæssigt afslag som misligholdelsesbeføjelse. Kan Ordregiveren bekræfte, at prisnedslag (forholdsmæssigt afslag) og bod ikke kan pålægges parallelt for det samme kontraktbrud?</t>
  </si>
  <si>
    <t>punkt 16.3 i Leveringsaftalen – Bod: definition og beregning</t>
  </si>
  <si>
    <t>punkt 16.4.1 i Leveringsaftalen – Erstatningsloft og modregning</t>
  </si>
  <si>
    <t>Spørgsmål vedrørende punkt 16.4.1 i Leveringskontrakten – Erstatningsloft og modregning
Punkt 16.4.1 fastsætter et erstatningsloft på 100 % af den evalueringstekniske pris, men undtager bl.a. tab som følge af krænkelse af tredjemands rettigheder (punkt 15) og overtrædelse af persondataregler (punkt 4).
Erstatningsloftet bør stå i et rimeligt og proportionalt forhold til kontraktens værdi. Tilbudsgiveren foreslår, at erstatningsloftet fastsættes til 50 % af det årlige vederlag for den berørte del af leverancen. Påløben bod og forholdsmæssigt afslag (prisnedslag) bør afregnes mod erstatningsloftet, således at Leverandørens samlede ansvar i form af bod, prisnedslag og erstatning tilsammen ikke overskrider loftet.
For så vidt angår det ubegrænsede ansvar for overtrædelse af persondataregler: en ubegrænset kontraktuel eksponering for databeskyttelsesretlige krav er ikke proportional med det underliggende kontraktforhold. Leverandøren er allerede underlagt Datatilsynets selvstændige håndhævelse og eventuelle bødepåbud i medfør af databeskyttelsesforordningens artikel 82 og 83, hvilket i sig selv udgør en betydelig sanktionsrisiko uden for kontrakten. En yderligere ubegrænset kontraktuel eksponering er på denne baggrund ikke nødvendig for at sikre Kundens interesser. Det er endvidere ikke muligt for Leverandøren at forsikre sig fuldt ud mod et sådant ansvar, da markedet for cyberansvarsforsikring opererer med definerede dækningslofter.
Tilbudsgiveren anmoder Ordregiveren om at bekræfte, at erstatningsloftet også finder anvendelse på krav, der udspringer af Leverandørens manglende overholdelse af databeskyttelseslovgivningen, dog med undtagelse af tilfælde, der kan henføres til grov uagtsomhed eller forsætlige forhold hos Leverandøren.</t>
  </si>
  <si>
    <t>punkt 19 i Leveringsaftalen – Tredjepartsvilkår</t>
  </si>
  <si>
    <t>Spørgsmål vedrørende punkt 19 i Leveringsaftalen – Tredjepartsvilkår
Punkt 19 fastslår, at Standardvilkårene udgør en integreret del af Leveringskontrakten, og pålægger Leverandøren at skadesløsholde Kunden for krav fra Producenten eller andre, der støttes på Standardvilkårene. Tredjepartsvilkår må nødvendigvis gælde for tredjepartssoftware — særligt når aftaleforholdet består direkte mellem Kunden og licensgiveren. Et skadesløsholdelsesansvar for Leverandøren i dette tilfælde er ikke proportionalt, da Leverandøren hverken er part i aftaleforholdet mellem Kunden og licensgiveren eller har mulighed for at kontrollere Kundens faktiske anvendelse af softwaren. Leverandørens rolle er at gøre de relevante vilkår tilgængelige for Kunden og orientere om ændringer, men ansvaret for efterlevelse må påhvile den part, der anvender softwaren. Kan Ordregiveren bekræfte, at skadesløsholdelsesforpligtelsen i punkt 19 ikke finder anvendelse, og at Kunden selv bærer ansvaret for overholdelse af de gældende tredjepartsvilkår?</t>
  </si>
  <si>
    <t>1.e-K-1</t>
  </si>
  <si>
    <t>Teknisk umuligt certificeringskrav (1.e-K-1)
1.e-K-1 stiller krav om, at tilbudsgiver er "certificeret ISO/IEC 27001:2022 og 27002:2022".
ISO/IEC 27002:2022 er en vejledningsstandard (code of practice) for informationssikkerhedskontroller og er ikke genstand for certificering. Der eksisterer intet akkrediteret certificeringsskema for ISO 27002. Kravet er som formuleret teknisk umuligt at opfylde for enhver tilbudsgiver, uanset dennes kompetencer eller sikkerhedsniveau. Kravet overlapper desuden med 1.e-K-5, der selvstændigt kræver ISO 27001-certificering.
Et krav, der ikke kan opfyldes af nogen tilbudsgiver, er uforeneligt med gennemsigtighedsprincippet og ligebehandlingsprincippet i udbudslovens § 2 og direktiv 2014/24/EU art. 18.
Tilbudsgiver anmoder om berigtigelse, således at referencen til ISO/IEC 27002:2022-certificering udgår af 1.e-K-1, og at kravet præciseres til alene at vedrøre ISO/IEC 27001:2022-certificering, som er det eneste certificerbare element.</t>
  </si>
  <si>
    <t>1.b-MK-11 og 1.b-MK-161</t>
  </si>
  <si>
    <t>Bilag 1.h</t>
  </si>
  <si>
    <t>Brudte krydshenvisninger i bodsgrundlaget (Bilag 1.h)
Bodsbestemmelserne i Bilag 1.h, punkt 3, indeholder ved beregningen af bodspoint for henholdsvis tilgængelighed, svartider og API-svartider henvisninger markeret "Fejl! Henvisningskilde ikke fundet.". De relevante afsnit, der definerer, hvornår bod udløses, kan dermed ikke identificeres entydigt. Bilag 1.h indeholder i alt 11 forekomster af brudte henvisninger, og det samme gælder Leveringskontrakten (32 steder) og Bilag 4 (3 steder).
Bod er en væsentlig kontraktuel sanktionsmekanisme. At det ikke fremgår klart af udbudsmaterialet, hvornår bod udløses og på hvilken beregningsmetode, er uforeneligt med gennemsigtighedsprincippet i udbudslovens § 2, stk. 1, og forhindrer tilbudsgivere i at prissætte kontraktrisikoen korrekt. Klagenævnet for Udbud har i fast praksis understreget, at grundlaget for kontraktuelle sanktioner skal fremgå klart og utvetydigt af udbudsmaterialet.
Tilbudsgiver anmoder om berigtigelse, således at samtlige brudte henvisninger erstattes af korrekte afsnitshenvisninger, og at Ordregiver bekræfter, hvilke konkrete bestemmelser der er tiltænkt henvist til i hvert enkelt tilfælde.</t>
  </si>
  <si>
    <t>1.b-MK-187 og 1.b-MK-188</t>
  </si>
  <si>
    <t>Intern modstrid om hypercare-periode (1.b-MK-187 og 1.b-MK-188)
1.b-MK-187 fastsætter hypercare-perioden til 10 arbejdsdage. 1.b-MK-188 forudsætter imidlertid, at forlængelse sker "ved udløb af de 5 Dage", hvilket er uforeneligt med MK-187's 10-dages periode. De to ufravigelige mindstekrav er dermed indbyrdes modstridende.
Modstriden gør det umuligt for tilbudsgiver at forstå kontraktens reelle krav til hypercare og dermed at prissætte ydelsen korrekt. Dette er uforeneligt med gennemsigtighedsprincippet i udbudslovens § 2, stk. 1.
Tilbudsgiver anmoder om berigtigelse, således at den korrekte hypercare-periode fremgår entydigt og konsistent af begge bestemmelser, og at det præciseres, under hvilke betingelser en forlængelse udløses.</t>
  </si>
  <si>
    <t>1.e-MK-10</t>
  </si>
  <si>
    <t>Afbrudt og ufuldstændig sætning (1.e-MK-10)
1.e-MK-10 indeholder en sætning, der fremstår afbrudt og ufuldendt: "Ved drift skal det gå gennem Statens IT leverandøradgang. adgang til UIM's infrastruktur." Det er uklart, hvad kravet præcist forpligter tilbudsgiver til.
Et ufravigeligt mindstekrav, hvis indhold ikke kan fastlægges entydigt, opfylder ikke kravene til gennemsigtighed i udbudslovens § 2, stk. 1, og giver tilbudsgiver utilstrækkelig information til at vurdere og prissætte opfyldelse af kravet.
Tilbudsgiver anmoder om berigtigelse, således at 1.e-MK-10 omformuleres til en klar og fuldstændig sætning, der entydigt beskriver, hvad kravet indebærer.</t>
  </si>
  <si>
    <t>1.b-MK-118</t>
  </si>
  <si>
    <t>Definition af "HELE brugergrænsefladen" (1.b-MK-118)
1.b-MK-118 stiller som ufravigeligt mindstekrav krav om, at administrator kan konfigurere "HELE brugergrænsefladen". Begrebet "brugergrænsefladen" er hverken defineret i Bilag 0 (Definitionsliste) eller i udbudsmaterialet i øvrigt, og det fremgår ikke af kravet, hvad der nærmere forstås ved "HELE" brugergrænsefladen, herunder hvilke konkrete elementer, lag eller funktioner der er omfattet.
For at tilbudsgiver kan vurdere og prissætte opfyldelsen af kravet, anmodes Ordregiver om at besvare følgende:
(i) hvilke konkrete elementer i brugergrænsefladen der er omfattet af kravet, herunder om det vedrører layout, felter, faneblade, menuer, ikoner, sprogelementer, rettigheds- og rollestyring eller andet, 
(ii) om kravet omfatter elementer, der er faste i standardsoftwarens kernearkitektur og ikke normalt eksponeres for administratorkonfiguration, og 
(iii) om begrebet "HELE" skal forstås bogstaveligt som samtlige elementer i brugergrænsefladen, eller om der er elementer, som Ordregiver ikke forventer konfigureret. 
Tilbudsgiver bemærker, at en entydig besvarelse er nødvendig for at afgive et konditionsmæssigt tilbud, jf. gennemsigtighedsprincippet i udbudslovens § 2, stk. 1.</t>
  </si>
  <si>
    <t>Mindstekrav med multiple selvstændige delkrav (dobbeltkrav)
Tilbudsgiver har ved gennemgang af udbudsmaterialet konstateret, at et betydeligt antal mindstekrav (MK) i Bilag 1.b indeholder to eller flere selvstændige delkrav pakket ind i ét samlet mindstekrav. Tilbudsgiver har identificeret 61 mindstekrav med mindst to delkrav, heraf 17 med tre eller flere. Blandt de tungeste eksempler kan nævnes:
•	1.b-MK-175 (Opsætning af miljøer): 10 selvstændige delkrav
•	1.b-MK-160 (Udlæsning af data til analytiske formål): 7 selvstændige delkrav
•	1.b-MK-4 (GDPR, ret til indsigt): 4 selvstændige delkrav, herunder fremsøgning, sammenstilling, udlevering i læsbart format, forsendelse via Digital Post/sikker e-mail/fjernprint
Da mindstekrav er ufravigelige og ikke genstand for evaluering, indebærer den valgte konstruktion, at et enkelt svagt delkrav — uanset om dette delkrav er centralt for Kundens forretningsbehov eller ej — kan medføre, at et i øvrigt fuldt kvalificeret tilbud erklæres ikke-konditionsmæssigt. Dette reducerer konkurrencen og indebærer en risiko for, at ordregivers reelle behov ikke afspejles i de krav, der reelt er ufravigelige.
Proportionalitetsprincippet i udbudslovens § 2, stk. 1, og direktiv 2014/24/EU art. 18, stk. 1, kræver, at krav ikke går videre end nødvendigt for at opfylde det pågældende indkøbs formål. Når et mindstekrav sammenpakker en lang række selvstændige elementer, uden at det fremgår, hvilke der er bærende for Kundens behov, er det ikke muligt for tilbudsgiver at vurdere, om hvert enkelt delkrav er proportionalt og nødvendigt.
Tilbudsgiver anmoder Ordregiver om at:
1.	Bekræfte, at samtlige delkrav inden for hvert enkelt MK er ufravigelige og ligestillede, således at manglende opfyldelse af ét delkrav medfører, at tilbuddet i sin helhed er ikke-konditionsmæssigt, og
2.	Redegøre for den forretningsmæssige begrundelse for at sammenpakke selvstændige krav i ét ufravigeligt mindstekrav frem for at formulere delkravene som selvstændige krav, herunder at oplyse, hvilke konkrete skadevirkninger for Kunden der vil opstå, såfremt et enkelt delkrav ikke opfyldes.
Såfremt Ordregiver ikke kan godtgøre, at samtlige delkrav individuelt er nødvendige og proportionale som ufravigelige mindstekrav, anmoder Tilbudsgiver om berigtigelse, således at de sammenpakkede MK enten opdeles i selvstændige krav eller omklassificeres til evalueringskrav (K-krav), hvor det er relevant.</t>
  </si>
  <si>
    <t>1.b-MK-10 og 1.b-MK-116</t>
  </si>
  <si>
    <t>Udbudsmaterialet generelt</t>
  </si>
  <si>
    <t xml:space="preserve"> Bilag 1 og Bilag 1.f</t>
  </si>
  <si>
    <t>Det fremgår af Bilag 1, at konfiguration af brugergrænsefladen gennemføres af Kunden, mens Leverandøren bistår med rådgivning og efter anmodning med systemkonfiguration. Samtidig fremgår det af Bilag 1.f, at Leverandøren har det overordnede ansvar for planlægning og gennemførelse af test og prøver samt for at dokumentere, at ESDH-løsningen opfylder de aftalte krav.
Ordregiver bedes derfor præcisere, hvordan ansvarsfordelingen for test er tænkt håndteret i de tilfælde, hvor den funktionalitet, der testes, er konfigureret af Ordregiver.
Bekræfter Ordregiver, at Leverandøren alene er ansvarlig for test og dokumentation af de dele af løsningen, som Leverandøren har leveret eller konfigureret, mens Ordregiver er ansvarlig for test og eventuelle fejl, der kan henføres til Ordregivers egen konfiguration?</t>
  </si>
  <si>
    <t xml:space="preserve">MK-30 </t>
  </si>
  <si>
    <t>MK-30 – Præsentation af hierarkiske samlinger i søgeresultater
"Bilag 1.b MK-30 fastsætter, at 'ESDH-løsningen skal understøtte visning af hierarkiske samlinger af relaterede sager fra søgnings- og visningslister.'
Kravet er uklart formuleret uden præcisering af, hvad 'visning af hierarkiske samlinger' betyder i praksis. Betyder det:
At Brugeren fra søgeresultatet kan se hvilke andre sager der er relateret (f.eks. via et link eller indikator)?
At hele det hierarkiske træ skal ekspanderes og vises direkte i søgeresultatlisten (hvilket ville være upraktisk)?
Eller at Brugeren kan navigere til relaterede sager fra søgeresultatet?
Ordregiver bedes præcisere: Skal hele den hierarkiske struktur præsenteres direkte i søgeresultatet, eller skal Brugeren blot have mulighed for at identificere og navigere til relaterede sager?
Juridisk problem: Ordet 'visning' uden præcisering af format og omfang skaber usikkerhed om opfyldelse."</t>
  </si>
  <si>
    <t>Bilag 1.b MK-66 fastsætter, at 'ESDH-løsningen skal understøtte, at der kan søges på alle standard- og Kundeoprettede felter på samme tid i ESDH-løsningen.'
Ordet 'på samme tid' er uklart formuleret uden præcisering af logiske begrænsninger mellem entiteter. Systemet indeholder mindst tre entiteter (Sager, Dokumenter, Kontakter) med hver sit sæt af felter. Kravet som formuleret uden logiske begrænsninger mellem entiteter kan tolkes som at en bruger skal kunne:
Søge samtidigt på 'Sagsstartdato' (fra Sager), 'Dokumentdato' (fra Dokumenter), og 'Kontaktoprettelsesdato' (fra Kontakter) i én søgning
Få mixed resultater fra alle tre entiteter returneret i én resultatliste
Uden at specificere hvilken entitet søgekriterierne vedrører
Men denne tolkning skaber ubrugelige søgeresultater. En søgning på "dato = 2026-01-01" ville kunne matche sager oprettet den dato, dokumenter modtaget den dato, og kontakter oprettet den dato — alt blandet sammen uden kontekst.
Ordregiver bedes præcisere: Betyder 'på samme tid' at én søgning skal kunne kombinere felter fra alle entiteter uden logiske begrænsninger? Eller betyder kravet alene, at brugeren skal kunne kombinere søgekriterier på tværs af felter inden for samme entitet (f.eks. søge samtidigt på 'Sagsemne' og 'Sagsstartdato' på Sager)?
Juridisk problem: Kravet formuleret uden præcisering af entitetsgrænserne er ikke klart og utvetydigt som krævet af udbudslovens § 2, og kan medføre en teknisk umulig eller ubrugelig løsning</t>
  </si>
  <si>
    <t>MK-70 – Alle felter i søgeresultater uden begrænsning
Bilag 1.b MK-70 fastsætter, at 'ESDH-løsningen skal understøtte, at alle felter kan vises i søgeresultaternes visningslister.'
Ordet 'alle' er udefinieret og ubegrænset. I samme udbudsmateriale (MK-124) fastsættes det, at løsningen skal understøtte ubegrænsede 'Kundeoprettede felter'. Kombineret betyder dette:
En løsning kan have 50+ standard felter per entitet
Ubegrænsede kundeoprettede felter (ifølge MK-124)
Systemfelter (versions-ID'er, audit-trails, timestamps osv.)
Relationssfelter til andre entiteter
Binære data og beregningsfelter
Hvis 'alle felter' betyder bogstaveligt samtlige felter uden undtagelse, og en bruger har oprettet 1.000 kundeoprettede felter, skal systemet da virkelig kunne vise alle 1.050+ kolonner i søgeresultatlisten samtidigt? Dette ville resultere i:
Kolonne-bredde på mikroskopiske pixler (ulæseligt)
Horisontalt scrolling over tusindvis af kolonner
Massive performance-problemer
Fuldstændig ubrugelig brugeroplevelse
Ordregiver bedes præcisere: Betyder 'alle felter' virkelig samtlige felter uden undtagelse, eller omfatter kravet blot de felter som er relevante og tilgængelige for den pågældende entitet? Eksluderes interne systemfelter, tekniske felter og binære data? Accepteres en praktisk maksimalgrænse for antal synlige kolonner?
Juridisk problem: Et mindstekrav, der resulterer i en teknisk umulig eller fuldstændig ubrugelig brugeroplevelse, strider mod proportionalitetsprincippet i udbudslovens § 2.</t>
  </si>
  <si>
    <t>Leveringskontrakt pkt. 16.3.2</t>
  </si>
  <si>
    <t>Leveringskontrakt, pkt. 16.3.2 Bod ved mangler
Det fremgår, at den maksimale bod for mangler udgør 5% af Leveringsaftalens evalueringstekniske pris.
Da manglerne vedrører levering af support og vedligeholdelse, vurderer Tilbudsgiver, at en eventuel bod bør beregnes på baggrund af det månedlige vederlag for den berørte tjeneste.
Kan Kunden bekræfte, at den maksimale bod efter denne bestemmelse i stedet skal beregnes på grundlag af det månedlige vederlag, jf. Bilag 1.i Vederlag og betalingsplan, pkt. 2.2 Månedligt vederlag?</t>
  </si>
  <si>
    <t>Ordregiver bemærker, at det fremgår af Leveringskontraktens pkt. 16.3.2 Bod ved mangler, at boden beregnes pr. Dag og udgør 0,1 % af Leveringskontraktens evalueringstekniske pris, dog minimum DKK 1.500 pr. påbegyndt Dag. Endvidere fremgår det, at boden maksimalt kan udgøre 5% af Leveringskontraktens evalueringstekniske pris.
Det vil sige, at såvel den løbende bod som den maksimale bod bregnes således ud fra den evalueringstekniske pris og ikke ud fra det månedlige vederlag.</t>
  </si>
  <si>
    <t>26-A022</t>
  </si>
  <si>
    <t xml:space="preserve"> Bilag 1b pkt 5.8.1 MK-175</t>
  </si>
  <si>
    <t>Ordregiver skriver i Bilag 1b pkt 5.8.1 MK-175, at der skal etableres 2 miljøer, men nævner 3: 2 non-prod (Udviklings- og testmiljø samt PRE-PROD) og 1 produktionsmiljø. I Bilag 1 pkt 4.2. Afklaringsfasen står der i tillæg til de 3 miljøer også et testmiljø.
Kan Ordregiver præcisere, hvor mange og hvilken slags miljøer Ordregiver ønsker indeholdt i Leverandørens besvarelse af Bilag 3.</t>
  </si>
  <si>
    <t>Ordregiver præciserer, at der ønskes to fysisk adskilte områder: Non-produktion og produktion.
Non-produktion skal omfatte følgende miljøer:
• Udviklings- og testmiljø (et samlet miljø)
• Pre-produktionsmiljø
Produktion skal omfatte følgende miljø:
• Produktionsmiljø
I afklaringsfasen afstemmes det mellem Kunden og Leverandøren i hvilket område, det midlertidige konverteringsmiljø skal opsættes. Konverteringsmiljøet er af midlertidig karakter frem til go-live.
Som beskrevet i Option 3 (Miljø option - Tilkøb af yderligere NON-PROD miljøer) under pkt. 7. Optioner i Bilag 1 Kundens opgavebeskrivelse ønsker Ordregiver mulighed for at tilkøbe yderligere miljøer i non-produktion efter behov.</t>
  </si>
  <si>
    <t>26-A013</t>
  </si>
  <si>
    <t>Bilag 1, punkt 4.1</t>
  </si>
  <si>
    <t>Ordregiver angiver i Bilag 1, punkt 4.1, at integrationer indgår som aktivitet i Implementeringsfasen, men Kunden skriver ikke, Leverandøren er ansvarlig for udvikling, opsætning, tilslutning og vedligeholdelse af kundespecifikke integrationer, beskrevet i Bilag 1c.
Kan Ordregiver bekræfte, at Leverandørens ansvar alene omfatter understøttelse af de integrationsgrænseflader, som Standardsoftwaren stiller til rådighed, og at Ordregiver selv er ansvarlig for udvikling, opsætning, tilslutning og vedligeholdelse af integrationer, herunder de kundespecifikke integrationer, der er beskrevet i Bilag 1.c?</t>
  </si>
  <si>
    <t>Ordregiver præciserer, at integrationerne omfattet af MK-149, MK-157, MK-158, MK-159, MK-160 og MK-161 i Bilag 1.b Krav til standardsoftware skal leveres som en del af standardsoftwaren, hvor Leverandøren har ansvaret for udvikling, opsætning, tilslutning og vedligeholdelse.
For de kundespecifikke integrationer beskrevet i Bilag 1.c Kundens eksisterende it-landskab har Kunden ansvaret for udvikling, opsætning, tilslutning og vedligeholdelse, med undtagelse af integrationerne beskrevet i pkt. 2.1.7, 2.1.10, 2.1.13, 2.1.14 og 2.1.15 i Bilag 1.c Kundens eksisterende it-landskab (eller tilsvarende funktionalitet jf. MK-149 i Bilag 1.b Krav til standardsoftware) samt i pkt. 2.1.18 i Bilag 1.c Kundens eksisterende it-landskab (jf. MK-160 i Bilag 1.b Krav til standardsoftware), hvor Leverandøren har ansvaret for udvikling, opsætning, tilslutning og vedligeholdelse.
For integrationen beskrevet i pkt. 2.1.18 i Bilag 1.c Kundens eksisterende it-landskab skal Leverandørens standard API fra ESDH-løsningen understøtte udlæsning af data, inklusive delta load af ændringer, til Kundens analyse-, rapporterings- og dataplatforme. De i pkt. 2.1.7, 2.1.10, 2.1.13, 2.1.14, 2.1.15 og 2.1.18 i Bilag 1.c Kundens eksisterende it-landskab beskrevne integrationer anses som integrationer omfattet af MK-149, MK-157, MK-158, MK-159, MK-160 og MK-161 i Bilag 1.b Krav til standardsoftware.
Hvor Kunden har ansvaret for udvikling, opsætning, tilslutning og vedligeholdelse af de kundespecifikke integrationer, er Leverandørens ansvar begrænset til at levere og vedligeholde de nødvendige integrationsflader i ESDH-løsningen.</t>
  </si>
  <si>
    <t>26-A012</t>
  </si>
  <si>
    <t>Bilag 1, punkt 2.1.3</t>
  </si>
  <si>
    <t>Ordregiver beskriver i Bilag 1, punkt 2.1.3, kompatibilitetskravene til Standardsoftwaren og angiver i den forbindelse, at Standardsoftwaren skal fungere sammen med Kundens eksisterende IT-miljø.
I Bilag 1.c, punkt 4.1, oplyser Ordregiver, at Kundens nuværende IT-miljø anvender Microsoft SQL som databaseteknologi. Samtidig fremgår det af Bilag 1.c, punkt 4.2, hvor Ordregiver visualiserer driftsmodellerne hos Statens IT, at der i beskrivelsen af de understøttede middleware-teknologier kan anvendes bl.a. SQL, Oracle mv.
Kan Ordregiver bekræfte, at Tilbudsgiver kan tilbyde Standardsoftware, der anvender en anden databaseteknologi end Microsoft SQL, eksempelvis Oracle, forudsat at den pågældende teknologi er understøttet på Statens IT's driftsplatform?</t>
  </si>
  <si>
    <t>Ordregiver bekræfter, at Kunden på nuværende tidspunkt anvender Microsoft SQL som databaseteknologi.
Ordregiver bekræfter endvidere, at Leverandøren kan anvende en anden databaseteknologi end Microsoft SQL, forudsat at den valgte teknologi er understøttet på Statens It’s driftsplatform. Dette kan eksempelvis være Oracle eller andre databaseteknologier såsom NoSQL, som er godkendt og understøttet af Statens It.</t>
  </si>
  <si>
    <t>26-A011</t>
  </si>
  <si>
    <t>Ruslandsforordning</t>
  </si>
  <si>
    <t>I Opfordringsskrivelsen pkt 2 er oplistet udbudsmaterialets dokumenter. Her fremgår Bilag 7 Ruslandsforordningen, men dette bilag er ikke oploaded i Ethics. Ønsker Kunden Leverandørens Ruslandserklæing i forbindelse med tilbudsafgivelsen? I så fald bedes Kunden oprette et felt til dette i fanen Tilbudsafgivelse.</t>
  </si>
  <si>
    <t>26-A010</t>
  </si>
  <si>
    <t>Meeting</t>
  </si>
  <si>
    <t>Date</t>
  </si>
  <si>
    <t>Tender material published</t>
  </si>
  <si>
    <t>Fri 03. Jul</t>
  </si>
  <si>
    <t>done</t>
  </si>
  <si>
    <t>Material and requests sent to stakeholders</t>
  </si>
  <si>
    <t>Kick-off meeting</t>
  </si>
  <si>
    <t>Mon 06. Jul</t>
  </si>
  <si>
    <t>Initial Solution Review</t>
  </si>
  <si>
    <t>Tue 07. Jul</t>
  </si>
  <si>
    <t>Initial guiding price meeting</t>
  </si>
  <si>
    <t>Initial Legal review</t>
  </si>
  <si>
    <t xml:space="preserve">10. juli til 2. august kan vi ikke forvente at få svar fra kunden. </t>
  </si>
  <si>
    <t>Initial SLA and servicegoal review</t>
  </si>
  <si>
    <t>DG1</t>
  </si>
  <si>
    <t>Holidays</t>
  </si>
  <si>
    <t>Legal review</t>
  </si>
  <si>
    <t>Wed 05. Aug</t>
  </si>
  <si>
    <t>Final SLA and servicegoals review</t>
  </si>
  <si>
    <t>Finance review</t>
  </si>
  <si>
    <t>Fri 07. Aug</t>
  </si>
  <si>
    <t>Product commitments</t>
  </si>
  <si>
    <t>Mon 10. Aug</t>
  </si>
  <si>
    <t>skal muligvis flyttes</t>
  </si>
  <si>
    <t>Send material for DG2 L2 and L1</t>
  </si>
  <si>
    <t>Mon 10. Aug at 9</t>
  </si>
  <si>
    <t>DG2 L2 and L1</t>
  </si>
  <si>
    <t>Tue 11. Aug at 9</t>
  </si>
  <si>
    <t>Deadline for spørgsmål</t>
  </si>
  <si>
    <t xml:space="preserve">fre 14. august </t>
  </si>
  <si>
    <t>Send material for DG2 L0</t>
  </si>
  <si>
    <t>Mon 17. Aug before 11</t>
  </si>
  <si>
    <t>DG2 L0</t>
  </si>
  <si>
    <t>Tue 18. Aug at 11</t>
  </si>
  <si>
    <t>Close for Edits</t>
  </si>
  <si>
    <t>Tue 24. Aug kl. 12</t>
  </si>
  <si>
    <t>Hand-in</t>
  </si>
  <si>
    <t>Wed 26. Aug at 12</t>
  </si>
  <si>
    <t>Total numer of Requirements</t>
  </si>
  <si>
    <t>Total numer of Evalueringskrav</t>
  </si>
  <si>
    <t>Round 1</t>
  </si>
  <si>
    <t>Af Evalueringskrav</t>
  </si>
  <si>
    <t># of requirements</t>
  </si>
  <si>
    <t>%</t>
  </si>
  <si>
    <t>Ready for review</t>
  </si>
  <si>
    <t>Total</t>
  </si>
  <si>
    <t>Missing</t>
  </si>
  <si>
    <t># of Requirements</t>
  </si>
  <si>
    <t>Af alle</t>
  </si>
  <si>
    <t>Af evalueringskrav</t>
  </si>
  <si>
    <t>Req ID</t>
  </si>
  <si>
    <t>Included</t>
  </si>
  <si>
    <t>Non-standard element</t>
  </si>
  <si>
    <t>Effect if not included</t>
  </si>
  <si>
    <t>Issue description</t>
  </si>
  <si>
    <t>Committer</t>
  </si>
  <si>
    <t>Comitted date</t>
  </si>
  <si>
    <t>Conditions for commitment</t>
  </si>
  <si>
    <t>Describe</t>
  </si>
  <si>
    <t>Disqualification/Non-conditional</t>
  </si>
  <si>
    <t>Issue as we don't have this solution</t>
  </si>
  <si>
    <t>Name</t>
  </si>
  <si>
    <t>Conditional upon winning.</t>
  </si>
  <si>
    <t>Risk Element</t>
  </si>
  <si>
    <t>Severity</t>
  </si>
  <si>
    <t>Mitigation</t>
  </si>
  <si>
    <t>Decision</t>
  </si>
  <si>
    <t>Decider</t>
  </si>
  <si>
    <t>Decision date</t>
  </si>
  <si>
    <t>Conditions for Approval</t>
  </si>
  <si>
    <t>Reporter</t>
  </si>
  <si>
    <t>High</t>
  </si>
  <si>
    <t>Issue as we may risk fines</t>
  </si>
  <si>
    <t>Buffer in price</t>
  </si>
  <si>
    <t>Go-ahead - dependent upon mitigation</t>
  </si>
  <si>
    <t>Actions in mitigation must be done.</t>
  </si>
  <si>
    <t>Medium</t>
  </si>
  <si>
    <t>Big risk of scope creep</t>
  </si>
  <si>
    <t>Clear statement of work in Clarification phase</t>
  </si>
  <si>
    <t>Go ahead - attempt to mitigate</t>
  </si>
  <si>
    <t>Attempt to mitigate, but go ahead, even if unsuccessful.</t>
  </si>
  <si>
    <t>Low</t>
  </si>
  <si>
    <t>We can be sued</t>
  </si>
  <si>
    <t>We add a line in the contract.</t>
  </si>
  <si>
    <t>This is a very unlikely scenario.</t>
  </si>
  <si>
    <t>Go ahead - disregard risk</t>
  </si>
  <si>
    <t>As it is unlikely - we take the risk.</t>
  </si>
  <si>
    <t>We are unable to meet requirement</t>
  </si>
  <si>
    <t>We build a new module</t>
  </si>
  <si>
    <t>Their budget is not big enough for this.</t>
  </si>
  <si>
    <t>No bid</t>
  </si>
  <si>
    <t>Reason for increased cost</t>
  </si>
  <si>
    <t>Estimated increase in cost</t>
  </si>
  <si>
    <t>Estimator</t>
  </si>
  <si>
    <t>Estimation date</t>
  </si>
  <si>
    <t>Included in pricing</t>
  </si>
  <si>
    <t>Estimation - DKK or EUR value and/or ressource use.</t>
  </si>
  <si>
    <t>Link to Price Model:</t>
  </si>
  <si>
    <t>Modules total price:</t>
  </si>
  <si>
    <t>Estimates for delivery:</t>
  </si>
  <si>
    <t>max point</t>
  </si>
  <si>
    <t>krav</t>
  </si>
  <si>
    <t>Implementering/installa-tion og/eller konfigura-tion</t>
  </si>
  <si>
    <t>•
EK-1 – Udlændingeoverblik
•
EK-3 – Brugergrænseflade
•
EK-5 – Administratormodul
•
EK-6 – Datamodel
•
EK-7 – Konfiguration af brugergrænseflade
•
EK-8 – Afgørelsesmodul</t>
  </si>
  <si>
    <t>funktionalitet</t>
  </si>
  <si>
    <t>EK-2 – Dashboards
•
EK-4 – Aktindsigt
•
EK-9 – Organisatoriske rolle/rettigheder
•
EK-10 – Brugerrettet logning og sagsgang i brugergrænsefladen
•
EK-11 – Outlook integration til journalisering
•
EK-12 – ESDH Standard API</t>
  </si>
  <si>
    <t>brugsvilkår</t>
  </si>
  <si>
    <t>K-Krav i Bilag 1.b Krav til standardsoftware og Bilag 1.e Krav til IT- og informationssikkerhed</t>
  </si>
  <si>
    <t>10 point for k-krav ja, 1 point for k-krav nej</t>
  </si>
  <si>
    <t>TAO: Hvordan kan vi levere dokumentation på et mindstekrav?
HFR: RISK
AOP: VI laver spørgsmål</t>
  </si>
  <si>
    <t>Anton: Understøtter vi ikke - vi skifter ikke automatisk til næste forsendelseskanal hvis den første fejler.
HFR: Gennemgået på møde d. 8. juli, fællesskab siger, at det kan vi godt.</t>
  </si>
  <si>
    <t>r</t>
  </si>
  <si>
    <t>Man kan ikke certificeres I 27002. Dette er en vejledning. Kravet er ikke muligt at opfylde
AOP: Spørgsmål stillet.</t>
  </si>
  <si>
    <t>PFR-nr.</t>
  </si>
  <si>
    <t>ADN Vores forhåndsvisning ”opdateres ikke automatisk”. Kræver aktivt klik på det dokument/fil der ønskes forhåndsvist.
"Navigeret til," kan det tolkes til at brugeren foretager et aktivt klik?
ADN: ask question
AOP: Discuss in status meeting. Vi kan læse det "dumt" og se det som at man skal kunne scolle og så navigere ved at trykke - dette kan vi - medfører risk.
AOP: Vi aftalte at tage risk.</t>
  </si>
  <si>
    <t>Må nærlæses
AOP: Diskuter på statusmøde.
AOP: Hans dobbelttjekker, men den burde være ok</t>
  </si>
  <si>
    <t>Vi er ikke driftleverandør
AOP: Vi skal blot understøtte - vi skal ikke gøre. Hvis der ikke er noget i vores løsning, der stopper det, så møder vi kravet. Ergo er det fully met. 
AOP: Der skal stilles spørgsmål.</t>
  </si>
  <si>
    <t>Kravet går langt ud over, hvad vi som ESDH-leverandør uden driftsansvar realistisk kan garantere. Det omfatter blandt andet forhold, som typisk ligger hos Kunden eller Statens IT/driftsleverandøren: netværk, serverinfrastruktur, hardwarefejl, backup-systemer, operativsystem-patching, firewall, organisatoriske risici og det samlede risikobillede.
Flere af de oplistede rapporteringselementer vedrører forhold hos Kunden og/eller driftsleverandøren, herunder serverinfrastruktur, netværk, hardware, backup, operativsystemer, firewalls, patching, organisatoriske ændringer og det samlede risikobillede. Da Kunden driftes af Statens IT, og Leverandøren ikke har driftsansvaret, kan Leverandøren ikke selvstændigt sikre, validere eller rapportere fyldestgørende på disse forhold.
AOP: Spørgsmål. Vi laver oplæg, tjekker med morten.</t>
  </si>
  <si>
    <t>Statens IT drftter databasen. Dette kan vi ikke stå inde for.
AOP: Spørgsmål.</t>
  </si>
  <si>
    <t xml:space="preserve">TAO vibe coder logning af fejlet adgang :-)
AOP: Normalt gør vi kunde opmærksom på, at SSO håndterer dette og at det derfor slet ikke kommer ind til os. Spørgsmål om amend til kun for løsninger, hvor dette er muligt. </t>
  </si>
  <si>
    <t>Risk. Der er ingen angivelse af hvilket værktøj. Hvordan skal vi kunne garantere?
AOP: Spørgsmål - hvilke værktøjer - ikke angivet?</t>
  </si>
  <si>
    <t xml:space="preserve">Prispåvirkning - dette kan være dyrt.
AOP: hvorfor skriver de om drift til os? Læs kontekst i dokument og stil evt. spørgsmål. </t>
  </si>
  <si>
    <t>AOP: Indregn SIF i prisen</t>
  </si>
  <si>
    <t>SIF</t>
  </si>
  <si>
    <t>K-9 – Navngivning</t>
  </si>
  <si>
    <t>K-9 – Navngivning
K-9 angiver, at Kunden ved oprettelse af egne Kundeoprettede felter, værdilister og tabeller skal kunne angive ID og navngivning i ét og samme oprettelsesbillede.
Kan ordregiver præcisere, hvad behovet er for at kunne angive ID og værdi i samme billede ved oprettelse af kundespecifikke felter, værdilister og tabeller?</t>
  </si>
  <si>
    <t>K-14 – Ensartet datoformat</t>
  </si>
  <si>
    <t>K-14 – Ensartet datoformat
K-14 angiver, at Administrator skal kunne opsætte visningen af datoformatet i Løsningen.
Kan Ordregiver præcisere det forretningsmæssige behov bag kravet, herunder hvilke datoformater Administrator forventes at kunne vælge mellem, og om konfigurationen skal gælde globalt for hele Løsningen eller kunne variere mellem eksempelvis Brugere, Entiteter eller visninger?</t>
  </si>
  <si>
    <t>MK-131 – Organisatorisk adgang</t>
  </si>
  <si>
    <t>MK-131 – Organisatorisk adgang
MK-131 angiver, at sager, Dokumenter og kontakter skal kunne oprettes med en organisatorisk adgang, så Brugere fra flere Myndigheder kan tilgå disse.
Kan Ordregiver præcisere, hvad der forstås ved "flere Myndigheder", herunder om der er tale om flere organisatoriske enheder inden for Kundens egen organisation, eller om kravet indebærer, at Brugere fra selvstændige eksterne myndigheder skal kunne tildeles adgang til de samme sager, Dokumenter og kontakter?</t>
  </si>
  <si>
    <t>MK-150 – Eksisterende scannere
MK-150 angiver, at scanningsløsningen skal kunne benyttes med tre konkrete fysiske scannere. Tilbudsgiver forstår samtidig af målarkitekturen, at Kunden allerede har en scanningsløsning.
Kan Ordregiver bekræfte, at Tilbudsgivers ansvar er at sikre, at ESDH-løsningen kan modtage og behandle dokumenter fra Kundens scanningsløsning, og at Tilbudsgiver ikke skal levere eller vedligeholde den direkte integration, drivere eller øvrig software til de nævnte fysiske scannere?</t>
  </si>
  <si>
    <t>MK-150 – Eksisterende scannere</t>
  </si>
  <si>
    <t>MK-160 – Dokumentation af dataudtræk
MK-160 er klassificeret som et mindstekrav. Efter udbudsmaterialets besvarelsesstruktur skal Tilbudsgiver, modsat K-krav, ikke afgive en særskilt besvarelse af mindstekrav i forbindelse med tilbudsafgivelsen.
Samtidig fremgår det af MK-160, at Tilbudsgiver skal dokumentere de understøttede udtræksmetoder, Datamodeller, relevante metadata og eventuelle begrænsninger i forhold til anvendelse af data til analytiske formål. Det fremgår imidlertid ikke af Opfordringsskrivelsen, at denne dokumentation skal indgå som en del af tilbuddet, ligesom det ikke fremgår, hvor eller i hvilket format dokumentationen i givet fald skal afleveres.
Det kan derfor ikke udledes entydigt af udbudsmaterialet, om dokumentationsforpligtelsen i MK-160 er en leveranceforpligtelse efter kontraktindgåelse eller et dokumentationskrav i forbindelse med tilbudsafgivelsen.
Kan Ordregiver præcisere, hvornår dokumentationen efter MK-160 skal leveres?
Såfremt dokumentationen skal indgå i tilbuddet, bedes Ordregiver samtidig:
1.	Præcisere, hvor i tilbuddet dokumentationen skal placeres, 
2.	Angive kravene til dokumentationens format og detaljeringsniveau, 
3.	Bekræfte, om Tilbudsgiver kan opfylde dokumentationskravet ved at vedlægge egen eksisterende tekniske dokumentation som et supplerende bilag, og 
4.	Berigtige Opfordringsskrivelsen og tilbudsstrukturen, således at det entydigt fremgår, at dokumentationen skal indgå i tilbuddet, og hvordan den skal afgives. 
En sådan præcisering er nødvendig for, at Tilbudsgiver kan fastlægge, hvilke dokumenter der skal indgå i et konditionsmæssigt tilbud.</t>
  </si>
  <si>
    <t>MK-160 – Dokumentation af dataudtræk</t>
  </si>
  <si>
    <t>MK-165 – Fjernprint
MK-165 er et mindstekrav og kræver, at ESDH-løsningen understøtter "alle nødvendige parametre" til opsætning og konfiguration af fjernprint.
Udbudsmaterialet angiver imidlertid ikke, hvad Ordregiver forstår ved fjernprint, hvilken fjernprintløsning der anvendes eller forventes anvendt, eller hvilke parametre Ordregiver anser for nødvendige.
Disse oplysninger er afgørende for, at Tilbudsgiver kan vurdere, om den tilbudte standardsoftware opfylder mindstekravet.
Kan Ordregiver derfor oplyse:
1.	hvilken fjernprintløsning og leverandør Kunden anvender eller forventer at anvende, 
2.	hvad Ordregiver konkret forstår ved "fjernprint", og 
3.	hvilke konkrete parametre der som minimum skal kunne konfigureres for, at MK-165 anses for opfyldt?</t>
  </si>
  <si>
    <t>MK-165 – Fjernprint</t>
  </si>
  <si>
    <t>MK-167 – Forsendelse af fysisk post
MK-167 angiver, at fysisk post skal kunne afsendes direkte fra ESDH-løsningen, og at afsendelsen skal journaliseres som en del af samme proces.
Kan Ordregiver bekræfte, at kravet forventes opfyldt gennem integration til Kundens fjernprintleverandør, som forestår den efterfølgende produktion og fysiske distribution af forsendelsen, mens ESDH-løsningen skal initiere forsendelsen og journalisere den som en del af processen?</t>
  </si>
  <si>
    <t>MK-167 – Forsendelse af fysisk post</t>
  </si>
  <si>
    <t>MK-175 – Etablering og stabil drift af miljøer
MK-175 pålægger Tilbudsgiver at "sikre etablering, Konfiguration og stabil drift" af miljøerne.
Samtidig fremgår det af udbudsmaterialet, at løsningen etableres på Statens IT's driftsplatform, og at Statens IT er Kundens driftsleverandør. Tilbudsgiver har dermed ikke kontrol over en række af de forhold, der er afgørende for etablering og stabil drift, herunder den underliggende infrastruktur og driftsplatform.
Kravet placerer således efter sin ordlyd et ansvar hos Tilbudsgiver for forhold, som helt eller delvist varetages og kontrolleres af Statens IT.
Kan Ordregiver præcisere den konkrete ansvarsfordeling mellem Tilbudsgiver, Kunden og Statens IT og bekræfte, at Tilbudsgivers ansvar efter MK-175 alene omfatter etablering og konfiguration af ESDH-løsningen samt forhold inden for Tilbudsgivers kontrol, mens Statens IT er ansvarlig for etablering og stabil drift af den underliggende infrastruktur og driftsplatform?
Såfremt Tilbudsgiver også forventes at påtage sig ansvar for stabil drift af forhold, der leveres eller kontrolleres af Statens IT, bedes Ordregiver præcisere, hvilke konkrete forhold dette omfatter, og hvordan Tilbudsgiver forventes at kunne sikre opfyldelsen heraf.</t>
  </si>
  <si>
    <t>MK-175 – Etablering og stabil drift af miljøer</t>
  </si>
  <si>
    <t>MK-5 – NIS2
MK-5 pålægger Tilbudsgiver at sikre, at ESDH-løsningen, "herunder drift, support og udvikling", understøtter Kundens forpligtelser efter NIS2.
Samtidig fremgår det af udbudsmaterialet, at Statens IT varetager den underliggende drift. Tilbudsgiver har således ikke kontrol over en række forhold, der kan være relevante for Kundens NIS2-efterlevelse, herunder infrastruktur, platform, netværk, backup og overvågning.
Kan Ordregiver bekræfte, at Tilbudsgivers forpligtelse efter MK-5 alene omfatter de NIS2-relevante forhold, som ligger inden for Tilbudsgivers kontraktuelle ansvarsområde for ESDH-løsningen, support og udvikling, mens Kunden og/eller Statens IT er ansvarlige for NIS2-relevante forhold inden for deres respektive ansvarsområder?
Såfremt dette ikke er den tilsigtede forståelse, bedes Ordregiver konkret angive, hvilke driftsrelaterede NIS2-forpligtelser Tilbudsgiver forventes at påtage sig på områder, der varetages af Statens IT.</t>
  </si>
  <si>
    <t>MK-5 – NIS2</t>
  </si>
  <si>
    <t xml:space="preserve">MK-8 – Informationssikkerhed under driftsforstyrrelse
MK-8 kræver, at Tilbudsgiver efterlever ISO 27001, Anneks A, pkt. 5.29 om opretholdelse af informationssikkerhed under driftsforstyrrelser. Samtidig fremgår det af kravet, at Tilbudsgiver skal indgå i et samarbejde med Kunden og driftsleverandøren for at opnå dette.
Det fremgår af udbudsmaterialet, at Statens IT er Kundens driftsleverandør. Tilbudsgiver har derfor ikke kontrol over en række af de forhold, der har betydning for opretholdelsen af informationssikkerheden under en driftsforstyrrelse, herunder den underliggende infrastruktur, platform, netværk, backup, overvågning og øvrige driftsforhold.
Kravet pålægger efter sin ordlyd Tilbudsgiver at efterleve ISO 27001, Anneks A, pkt. 5.29, samtidig med at opfyldelsen helt eller delvist afhænger af forhold, som varetages og kontrolleres af Kunden og/eller Statens IT.
Kan Ordregiver derfor konkret angive, hvilke aktiviteter, leverancer og resultater Tilbudsgiver selvstændigt er ansvarlig for efter MK-8, og hvilke der påhviler henholdsvis Kunden og Statens IT?
Kan Ordregiver herunder bekræfte, at Tilbudsgivers ansvar er begrænset til forhold inden for Tilbudsgivers kontrol og ansvarsområde for ESDH-løsningen, herunder applikationen, support, dokumentation og deltagelse i relevante beredskabs- og kontinuitetsaktiviteter?
Såfremt Tilbudsgiver forventes at være ansvarlig for opfyldelse af MK-8 på områder, der leveres eller kontrolleres af Kunden eller Statens IT, bedes Ordregiver konkret angive disse områder og præcisere, hvordan Tilbudsgiver forventes at kunne sikre opfyldelsen heraf.
En sådan afgrænsning er nødvendig for, at Tilbudsgiver kan vurdere, om mindstekravet kan opfyldes, og hvilket ansvar Tilbudsgiver påtager sig ved tilbudsafgivelsen. </t>
  </si>
  <si>
    <t>MK-8 – Informationssikkerhed under driftsforstyrrelse</t>
  </si>
  <si>
    <t>MK-9 – IKT-parathed og business continuity
MK-9 kræver, at Tilbudsgiver efterlever ISO 27001 Anneks A, pkt. 5.30 om IKT-parathed til understøttelse af business continuity. Samtidig angiver kravet, at Tilbudsgiver skal samarbejde med Kunden og driftsleverandøren om opfyldelsen.
En væsentlig del af de forhold, der er nødvendige for IKT-kontinuitet, herunder infrastruktur, platform, backup, netværk og driftsberedskab, varetages efter udbudsmaterialet af Kunden og/eller Statens IT og er dermed ikke under Tilbudsgivers kontrol.
Kan Ordregiver derfor konkret angive, hvilke aktiviteter, leverancer og resultater Tilbudsgiver selvstændigt er ansvarlig for efter MK-9, og hvilke der påhviler henholdsvis Kunden og Statens IT?
Kan Ordregiver herunder bekræfte, at Tilbudsgivers ansvar er begrænset til ESDH-løsningen, herunder applikationsspecifik dokumentation, afhængigheder, relevante input til RTO/RPO, supportprocedurer og deltagelse i relevante tests?
Såfremt Tilbudsgiver forventes at garantere forhold, der afhænger af Kundens eller Statens IT's leverancer, bedes Ordregiver angive disse forhold konkret.</t>
  </si>
  <si>
    <t>MK-9 – IKT-parathed og business continuity</t>
  </si>
  <si>
    <t>MK-10 – Sikkerhedsgodkendelse og SIA-pc
MK-10 angiver, at alt personale, der tildeles opgaver i relation til ESDH-løsningen, eksempelvis inden for udvikling, drift, support eller konsulentbistand, skal kunne opnå og opretholde sikkerhedsgodkendelse til niveau HEMMELIG. Kravet henviser samtidig til Statens IT's leverandøradgang og SIA-pc.
Tilbudsgiver bemærker, at den brede formulering potentielt omfatter medarbejdere, der arbejder med udvikling og support af standardsoftwaren uden adgang til Kundens miljø, oplysninger eller infrastruktur.
Kan Ordregiver bekræfte, at kravet om sikkerhedsgodkendelse til HEMMELIG alene gælder medarbejdere, som konkret skal have adgang til Kundens miljø eller oplysninger, hvor dette sikkerhedsniveau er påkrævet, og således ikke generelt omfatter alle medarbejdere, der arbejder med udvikling, support eller vedligeholdelse af standardsoftwaren? 
Kan Ordregiver herudover præcisere, hvilken sammenhæng der er mellem kravet om sikkerhedsgodkendelse, anvendelse af SIA-pc og adgang til Kundens infrastruktur?</t>
  </si>
  <si>
    <t>MK-10 – Sikkerhedsgodkendelse og SIA-pc</t>
  </si>
  <si>
    <t>MK-12 – Virus- og malwarescanning
MK-12 kræver automatiseret virusscanning af alle Dokumenter ved upload, før disse gemmes eller gøres tilgængelige i ESDH-løsningen.
Udbudsmaterialet angiver ikke, om den underliggende antivirus-/malwarescanningstjeneste skal være en del af ESDH-løsningen, eller om denne sikkerhedsfunktion leveres af Kunden eller Statens IT som en del af driftsplatformen.
Denne ansvarsplacering har betydning for både løsningens arkitektur, integrationsbehov og Tilbudsgivers mulighed for at erklære mindstekravet opfyldt.
Kan Ordregiver derfor præcisere, hvilken part der skal levere og drive selve scanningstjenesten, og hvilke konkrete integrations-, karantæne-, lognings- og håndteringsforpligtelser der påhviler ESDH-leverandøren?
Såfremt scanningstjenesten leveres af Kunden eller Statens IT, bedes Ordregiver bekræfte, at Tilbudsgivers ansvar er begrænset til ESDH-løsningens integration med tjenesten og håndtering af det returnerede resultat.</t>
  </si>
  <si>
    <t>MK-12 – Virus- og malwarescanning</t>
  </si>
  <si>
    <t>MK-16 – ISMS og sårbarhedsscanning
MK-16 indeholder dels omfattende krav til Tilbudsgivers ISMS efter ISO 27001, dels krav om løbende sårbarhedsscanning af kode, kodebiblioteker og eventuelle containere.
Kan Ordregiver bekræfte, at et gyldigt ISO/IEC 27001-certifikat accepteres som dokumentation for, at Tilbudsgiver opfylder kravene til etablering og vedligeholdelse af ISMS?
Kan Ordregiver samtidig præcisere, hvad der forstås ved "løbende sårbarhedsscanninger", herunder hvilken minimumsfrekvens der forventes, og om der stilles konkrete krav til frister for håndtering eller udbedring af identificerede sårbarheder?</t>
  </si>
  <si>
    <t>MK-16 – ISMS og sårbarhedsscanning</t>
  </si>
  <si>
    <t>K-6 – Sikkerhedstest, sårbarhedsscanning og penetrationstest
K-6 angiver både, at driftsleverandøren skal kunne gennemføre sikkerhedstest "uden behov for teknisk bistand fra Leverandøren", og at Tilbudsgiver skal bistå driftsleverandøren ved at stille nødvendig dokumentation og grænseflader til rådighed.
Kan Ordregiver bekræfte, at Tilbudsgivers forpligtelse i relation til Statens IT's sikkerhedstest er begrænset til at sikre, at ESDH-løsningen ikke teknisk hindrer relevante sikkerhedstest, og til at stille eksisterende nødvendig teknisk dokumentation og relevante grænseflader til rådighed?
Kan Ordregiver samtidig bekræfte, at selve gennemførelsen af Statens IT's sårbarhedsscanninger og penetrationstest ikke er Tilbudsgivers ansvar?</t>
  </si>
  <si>
    <t>K-6 – Sikkerhedstest, sårbarhedsscanning og penetrationstest</t>
  </si>
  <si>
    <t>K-7 – Månedlig sikkerhedsrapport
K-7 pålægger Tilbudsgiver at udarbejde en månedlig sikkerhedsrapport, der blandt andet omfatter hardwarefejl, netværksproblemer, serverinfrastruktur, firewalls, operativsystemer, backup-systemer, katastrofeberedskab og organisatoriske ændringer.
Flere af disse forhold ligger efter udbudsmaterialets ansvarsfordeling hos Kunden og/eller Statens IT og er ikke under Tilbudsgivers kontrol eller nødvendigvis tilgængelige for Tilbudsgiver.
Tilbudsgiver kan derfor ikke selvstændigt verificere eller påtage sig ansvar for en fyldestgørende rapportering af disse forhold.
Kan Ordregiver konkret angive, hvilke oplysninger Tilbudsgiver selv skal generere, hvilke oplysninger Kunden og Statens IT skal levere, og hvem der bærer ansvaret for rigtigheden og fuldstændigheden af de enkelte dele af rapporteringen?
Kan Ordregiver samtidig bekræfte, at Tilbudsgiver alene er ansvarlig for oplysninger vedrørende ESDH-løsningen og forhold inden for Tilbudsgivers eget ansvars- og informationsområde?</t>
  </si>
  <si>
    <t>K-7 – Månedlig sikkerhedsrapport</t>
  </si>
  <si>
    <t>MK-18 – Administratorlogning og direkte databaseaktiviteter
MK-18 kræver, at ESDH-løsningen automatisk genererer et uforanderligt revisionsspor, der også omfatter aktiviteter foretaget "direkte i databaseadministrationsværktøjet".
Databasen driftes efter udbudsmaterialet hos Statens IT. Aktiviteter, som Statens IT eller andre foretager direkte i et databaseadministrationsværktøj uden om ESDH-løsningen, gennemføres dermed uden for ESDH-applikationen og kan ikke nødvendigvis observeres eller logges af denne.
Kan Ordregiver redegøre for, hvordan ESDH-løsningen teknisk forventes at generere et revisionsspor for aktiviteter, der foretages uden om ESDH-løsningen i et databaseadministrationsværktøj under Statens IT's kontrol?
Kan Ordregiver bekræfte, at Tilbudsgiver alene er ansvarlig for logning af aktiviteter, som gennemføres gennem ESDH-løsningen eller komponenter under Tilbudsgivers kontrol, mens logning af direkte databaseaktiviteter på Statens IT's platform er Statens IT's ansvar?</t>
  </si>
  <si>
    <t>MK-18 – Administratorlogning og direkte databaseaktiviteter</t>
  </si>
  <si>
    <t>MK-19 – Security logs og SSO
MK-19 angiver, at ESDH-løsningen skal generere og opretholde security logs over alle sikkerhedsrelevante hændelser, herunder loginforsøg.
Samtidig stiller Ordregiver i MK-162 krav om integration til Kundens Active Directory og/eller Entra ID med henblik på Single Sign-On (SSO) via eksempelvis SAML 2.0 eller OpenID Connect/OAuth 2.0. 
Ved anvendelse af SSO gennemføres autentificeringen i Kundens identitetsplatform. Loginforsøg, herunder mislykkede loginforsøg, som afvises i SSO-løsningen, når derfor ikke ESDH-løsningen og kan ikke registreres eller logges af ESDH-løsningen. Når SSO er aktiveret, kan Brugeren heller ikke foretage direkte login i ESDH-løsningen uden om SSO.
Ved direkte autentificering i ESDH-løsningen uden anvendelse af SSO vil ESDH-løsningen derimod kunne registrere og logge de loginforsøg, der foretages direkte i Løsningen.
MK-19 og MK-162 medfører således en situation, hvor Ordregiver på den ene side kræver anvendelse af Kundens SSO-løsning og på den anden side kræver, at ESDH-løsningen logger autentificeringshændelser, som ved anvendelse af SSO aldrig når ESDH-løsningen.
Kan Ordregiver bekræfte, at MK-19 alene omfatter sikkerhedsrelevante hændelser, som faktisk behandles af eller teknisk er tilgængelige for ESDH-løsningen, og at autentificeringshændelser, der alene finder sted i Kundens identitetsplatform, skal logges dér?
Såfremt Ordregiver forventer, at disse hændelser også skal fremgå af ESDH-løsningens security logs, bedes Ordregiver beskrive den forventede tekniske mekanisme og oplyse, hvilken part der er ansvarlig for at stille de nødvendige data og integrationsgrænseflader til rådighed.</t>
  </si>
  <si>
    <t>MK-19 – Security logs og SSO</t>
  </si>
  <si>
    <t>K-15 – Monitorering og alarmering
K-15 kræver, at ESDH-løsningen kan fungere sammen med Driftsleverandørens og Kundens værktøjer til alarmering. De konkrete værktøjer og integrationsmekanismer fremgår imidlertid ikke af kravet.
Kan Ordregiver oplyse, hvilke konkrete monitorerings- og alarmeringsværktøjer hos Kunden og Statens IT ESDH-løsningen forventes at kunne fungere sammen med, herunder hvilke integrationsprotokoller eller grænseflader der forventes anvendt?
Såfremt værktøjerne endnu ikke er fastlagt, bedes Ordregiver præcisere, efter hvilke objektive tekniske kriterier Tilbudsgiver skal vurdere og erklære kravet opfyldt.
Dette er nødvendigt for, at Tilbudsgiver kan vurdere den tekniske kompatibilitet og det eventuelle implementeringsomfang.</t>
  </si>
  <si>
    <t>K-15 – Monitorering og alarmering</t>
  </si>
  <si>
    <t>Bilag 1.A – Vederlagsfri dobbeltdrift
I Bilag 1.A angives det, at kunden Kunden vil have ret til vederlagsfri dobbeltdrift i op til fire måneder ved migrering mellem driftsmiljøer eller ved skift af driftsleverandør.
Tilbudsgiver bemærker, at ESDH-løsningen efter udbudsmaterialet etableres hos Statens IT, mens Statens IT varetager den underliggende drift. Det er derfor ikke entydigt, hvilke ydelser Tilbudsgiver forventes at levere vederlagsfrit i en periode med dobbeltdrift.
Kan Ordregiver præcisere, hvilke konkrete ydelser fra Tilbudsgiver der er omfattet af den vederlagsfrie dobbeltdrift, herunder om bestemmelsen alene vedrører retten til samtidig anvendelse af Standardsoftwaren/licenserne i to driftsmiljøer, eller om Tilbudsgiver også forventes vederlagsfrit at levere support, vedligeholdelse, etablering, konfiguration og øvrig bistand til begge miljøer i perioden?</t>
  </si>
  <si>
    <t>Bilag 1.A – Vederlagsfri dobbeltdrift</t>
  </si>
  <si>
    <t>MK-105 – "hele ESDH-løsningen kan administreres"
MK-105 fastsætter som mindstekrav, at "ESDH-løsningen skal understøtte et administratormodul, hvor hele ESDH-løsningen kan administreres." Kravet er dermed formuleret som et ufravigeligt krav til administration af "hele" løsningen. 
KFST anfører, at det ved anvendelse af mindstekrav skal være klart for tilbudsgiverne, hvad mindstekravet går ud på, og hvordan overholdelsen ønskes oplyst eller dokumenteret i tilbuddet. 
Det fremgår efter Tilbudsgivers læsning ikke af MK-105, hvilke konkrete dele eller funktioner der er omfattet af "hele ESDH-løsningen", og dermed heller ikke, hvor grænsen for mindstekravets opfyldelse går.
Ordregiver bedes derfor præcisere udtømmende, hvilke funktioner og dele af ESDH-løsningen der skal kunne administreres via administratormodulet, for at MK-105 anses for opfyldt.
Ordregiver bedes samtidig oplyse, hvordan tilbudsgiver skal fortolke og dokumentere opfyldelsen af det således afgrænsede mindstekrav.</t>
  </si>
  <si>
    <t>MK-105 – "hele ESDH-løsningen kan administreres"</t>
  </si>
  <si>
    <t>MK-101 – "fuldstændigt overblik"
MK-101 stiller krav om et "fuldstændigt overblik over alle igangværende og planlagte opgaver".
Da der er tale om et mindstekrav, skal tilbudsgiver kunne fastslå, hvilke objektive forhold der skal være opfyldt for at afgive et konditionsmæssigt tilbud. KFST fremhæver netop, at mindstekrav skal være klare, og at det skal fremgå, hvordan deres overholdelse ønskes oplyst eller dokumenteret. Dette understøtter gennemsigtighed og ligebehandling efter udbudslovens § 2. 
Det fremgår ikke af MK-101, hvilke informationer eller funktioner et overblik skal indeholde for at være "fuldstændigt". Det er derfor efter tilbudsgivers opfattelse ikke muligt på baggrund af den nuværende formulering entydigt at fastslå kravets minimumsindhold.
Ordregiver bedes præcisere udtømmende, hvad overblikket som minimum skal indeholde, for at MK-101 anses for opfyldt.
Ordregiver bedes endvidere oplyse, hvordan opfyldelsen af dette mindstekrav skal dokumenteres i tilbuddet.</t>
  </si>
  <si>
    <t>MK-101 – "fuldstændigt overblik"</t>
  </si>
  <si>
    <t>MK-102 og MK-103 – "fleksibelt"
MK-102 og MK-103 stiller krav om, at notifikationer skal kunne konfigureres "fleksibelt".
Begrebet "fleksibelt" fastlægger efter Tilbudsgivers læsning ikke nogen objektiv minimumsgrænse for funktionaliteten. To tilbudsgivere kan derfor have væsentligt forskellige opfattelser af, hvilken funktionalitet der er nødvendig for at acceptere kravene.
Dette forekommer vanskeligt at forene med behovet for et klart og ensartet tilbudsgrundlag, jf. principperne om ligebehandling og gennemsigtighed i udbudslovens § 2 og KFST's vejledning om formulering af mindstekrav. 
Ordregiver bedes derfor angive de konkrete minimumskrav til konfigurationsmulighederne, som skal være opfyldt, før en løsning anses for at kunne konfigureres "fleksibelt".
Ordregiver bedes samtidig oplyse, hvordan tilbudsgiver skal dokumentere opfyldelsen af MK-102 og MK-103.</t>
  </si>
  <si>
    <t>MK-102 og MK-103 – "fleksibelt"</t>
  </si>
  <si>
    <t>MK-94 og MK-98 – "alle handlinger"
MK-94 og MK-98 anvender formuleringen "alle handlinger" i relation til den krævede logning. I MK-94 efterfølges formuleringen desuden af eksempler, hvilket efter Tilbudsgivers læsning indebærer, at oplistningen ikke er udtømmende.
Når der er tale om et mindstekrav, har tilbudsgiver behov for at kunne identificere den fulde funktionelle forpligtelse. Det gælder særligt, når manglende opfyldelse kan få betydning for tilbuddets konditionsmæssighed.
KFST fremhæver, at det skal være klart, hvad et mindstekrav går ud på, og hvordan tilbudsgiver skal oplyse eller dokumentere, at det overholdes. Udbudslovens § 2 stiller samtidig krav om gennemsigtighed og ligebehandling. 
Ordregiver bedes derfor angive en udtømmende liste over de handlinger, der skal logges for at opfylde henholdsvis MK-94 og MK-98.
Ordregiver bedes samtidig bekræfte, at der ikke under kontraktens gennemførelse vil blive anset yderligere handlinger for omfattet af disse mindstekrav.</t>
  </si>
  <si>
    <t>MK-94 og MK-98 – "alle handlinger"</t>
  </si>
  <si>
    <t>MK-31 – subjektive vurderingsbegreber</t>
  </si>
  <si>
    <t>MK-31 – subjektive vurderingsbegreber
MK-31 stiller krav om, at frister skal vises på en "logisk og overskuelig måde", således at brugeren "nemt" kan se de relevante oplysninger.
"Logisk", "overskuelig" og "nemt" er kvalitative begreber, men kravet angiver ikke de objektive minimumskriterier, der skal være opfyldt. Det er derfor uklart, hvornår en løsning opfylder mindstekravet, og tilbudsgiverne kan efter Tilbudsgivers opfattelse nå forskellige resultater ved fortolkningen af samme krav.
Dette bør ses i sammenhæng med gennemsigtigheds- og ligebehandlingsprincipperne i udbudslovens § 2 samt KFST's vejledning om, at mindstekrav skal være klart definerede. 
Ordregiver bedes derfor erstatte eller supplere de kvalitative formuleringer med objektive minimumskriterier, så tilbudsgiver entydigt kan fastslå, hvornår MK-31 er opfyldt.
Ordregiver bedes samtidig oplyse, hvordan opfyldelsen skal dokumenteres.</t>
  </si>
  <si>
    <t>MK-33 – "grundlæggende" og "relevante"
MK-33 kræver "grundlæggende dokumenthåndtering, herunder oprettelse, redigering, versionsstyring og tilknytning af relevante metadata."
Efter Tilbudsgivers læsning indebærer anvendelsen af "herunder", at oplistningen ikke nødvendigvis er udtømmende. Samtidig er hverken "grundlæggende dokumenthåndtering" eller "relevante metadata" nærmere defineret.
Det betyder, at tilbudsgiver ikke med sikkerhed kan identificere den samlede funktionelle forpligtelse, der accepteres ved tilbudsafgivelsen. Dette er særligt væsentligt, fordi der er tale om et mindstekrav.
Ordregiver bedes derfor udtømmende angive, hvilke funktioner og metadata der er nødvendige for at opfylde MK-33, således at kravets omfang kan fastslås objektivt.
Ordregiver bedes endvidere oplyse, hvordan tilbudsgiver skal dokumentere opfyldelsen af kravet.
Jeg ville derudover stille to tværgående spørgsmål. De kan være mere værdifulde end flere enkeltstående spørgsmål, fordi de adresserer kvaliteten af kravmaterialet som helhed uden at bruge ord som "dårlig kvalitet".</t>
  </si>
  <si>
    <t>MK-33 – "grundlæggende" og "relevante"</t>
  </si>
  <si>
    <t>Generelt spørgsmål om klarhed og dokumentation af mindstekrav
Udbudsmaterialet indeholder et stort antal mindstekrav, hvoraf flere efter Tilbudsgivers gennemgang anvender brede, kvalitative eller ikke nærmere definerede formuleringer.
Samtidig forstår vi Bilag 1.b således, at tilbudsgiver ikke skal besvare de enkelte mindstekrav, men ved tilbudsafgivelsen accepterer, at samtlige mindstekrav er opfyldt.
KFST fremhæver, at det ved mindstekrav skal være klart, hvad kravet indebærer, og hvordan det i tilbuddet ønskes oplyst eller dokumenteret, at mindstekravet er overholdt. Dette skal ses i sammenhæng med udbudslovens § 2 om ligebehandling og gennemsigtighed. 
Ordregiver bedes på den baggrund redegøre for, hvordan tilbudsgiver skal kunne fastslå og dokumentere opfyldelsen af de enkelte mindstekrav, når der ikke kræves en individuel besvarelse af disse.
Ordregiver bedes samtidig oplyse, hvordan Ordregiver vil sikre en objektiv og ensartet vurdering af opfyldelsen af de mindstekrav, hvor kravteksten ikke indeholder objektive eller udtømmende kriterier.
Såfremt Ordregiver ikke kan angive et entydigt grundlag herfor, bedes Ordregiver overveje, om de berørte krav bør præciseres og udbudsmaterialet tilpasses.
Såfremt der ikke kræves anden dokumentation end den generelle accept, der følger af tilbudsafgivelsen, bedes Ordregiver bekræfte dette og samtidig oplyse, på hvilket grundlag Ordregiver vil vurdere, at tilbuddene opfylder de enkelte mindstekrav.</t>
  </si>
  <si>
    <t>Generelt spørgsmål om klarhed og dokumentation af mindstekrav</t>
  </si>
  <si>
    <t>Generelt spørgsmål om omfang og nødvendighed af mindstekrav
Ordregiver har i svar 26-A004 oplyst, at mindstekravene beskriver grundlæggende og væsentlig funktionalitet, og at Ordregiver på baggrund af markedsdialogen har vurderet, at forskellige løsninger kan opfylde Ordregivers minimum. 
KFST anfører i afsnit 7.5.1 i Udbudsloven – Vejledning om udbudsreglerne, at Ordregiver skal være opmærksom på kun at stille relevante og nødvendige mindstekrav, og at for mange eller for høje krav kan medføre færre tilbud, skade konkurrencen og fordyre indkøbet. 
Ordregivers svar 26-A004 synes efter Tilbudsgivers læsning at beskrive den overordnede tilgang til mindstekravene, men ikke hvorvidt hvert enkelt mindstekrav konkret er vurderet som nødvendigt som et ufravigeligt krav.
Ordregiver bedes derfor bekræfte, om hvert enkelt mindstekrav i Bilag 1.b og Bilag 1.e er blevet konkret vurderet som nødvendigt i den forstand, at Ordregivers behov ikke i tilstrækkelig grad kan opfyldes, hvis det pågældende krav i stedet klassificeres som et K-krav eller evalueringskrav.
Såfremt dette ikke kan bekræftes for samtlige mindstekrav, bedes Ordregiver genoverveje klassificeringen af de pågældende krav.</t>
  </si>
  <si>
    <t>Generelt spørgsmål om omfang og nødvendighed af mindstekrav</t>
  </si>
  <si>
    <r>
      <t xml:space="preserve">Spørgsmål vedrørende punkt 16.3 i Leveringsaftalen – Bod: definition og beregning
Punkt 16.3 fastsætter et samlet bod-loft på 10 % af Leveringskontraktens evalueringstekniske pris. Af proportionalitetshensyn bør bod for en given misligholdelse stå i et rimeligt forhold til den berørte dels værdi og ikke beregnes på grundlag af hele kontraktens værdi. Tilbudsgiveren anmoder Ordregiveren om at afklare følgende:
(a) Kan forsinkelsesbodens beregning (punkt 16.3.1) begrænses til den forsinkede dels forholdsmæssige kontraktværdi?
(b) Kan opsigelsesretten ved forsinkelse knyttes til bod-loftet (50 dages forsinkelse) i stedet for den faste frist på 30 dage i punkt 16.1?
</t>
    </r>
    <r>
      <rPr>
        <strike/>
        <sz val="12"/>
        <color theme="1"/>
        <rFont val="Aptos"/>
        <family val="2"/>
        <scheme val="minor"/>
      </rPr>
      <t>(c) Kan beregningsgrundlaget for bod ved SLA-overtrædelser (punkt 16.3.2) præciseres som det månedlige vederlag for support og vedligeholdelse?</t>
    </r>
  </si>
  <si>
    <t>afventer/overload
spørgsmål c udgår fordi det allerede er besvaret.</t>
  </si>
  <si>
    <t>Det fremgår af Bilag 1.f, pkt. 12.1 og 12.2, at Driftsprøven for ESDH-løsningen først kan gennemføres, når den fulde løsning er klar, og når Overtagelsesprøven for både Proces- og regelstyringskomponenten og Integrationsplatformen er gennemført og godkendt.
Ordregiver har i svar 26-A016 bekræftet, at Leverandøren af ESDH-løsningen ikke kan ifalde bod, misligholdelsesansvar eller risikere ophævelse som følge af forsinkelser, der udelukkende skyldes de øvrige komponenter.
Tilbudsgiver bemærker imidlertid, at den kontraktuelle afslutning af prøveforløbet for ESDH-løsningen fortsat er gjort direkte afhængig af leverancer under andre anskaffelser og potentielt fra andre leverandører.
Ordregiver bedes derfor redegøre for, hvilke overvejelser der ligger til grund for at gøre den endelige godkendelse af ESDH-løsningen afhængig af to leverancer, der ikke er omfattet af nærværende udbud.
Ordregiver bedes samtidig præcisere, hvilke kontraktuelle og økonomiske konsekvenser denne afhængighed kan få for Leverandøren, ud over de forhold vedrørende bod, misligholdelsesansvar og ophævelse, som allerede er afklaret i svar 26-A016.</t>
  </si>
  <si>
    <t>Omformuleret ud fra tidligere besvarelser.
Det er teknisk set lovligt at have udbud, der er afhængige af hinanden. Afhængigheden skal dog være sagligt begrundet, gennemsigtig og beskrives klart fra begyndelsen.
Det er især vigtigt at skelne mellem:
Delaftaler i samme udbud: Ordregiver kan fastsætte, at bestemte delaftaler skal tildeles samlet eller efter bestemte kombinationer. Reglerne for kombinationen skal fremgå af udbudsmaterialet og være objektive, proportionale og ikke-diskriminerende. Udbudslovens § 49 og vejledningen
Separate udbud: Det skal fremgå, hvis udbud B afhænger af resultatet eller leverancen fra udbud A. Det bør også beskrives, hvad der sker, hvis udbud A ikke gennemføres, eller hvis en anden leverandør vinder.
Værdiansættelse: Hvis udbuddene vedrører samme projekt eller behov, har tidsmæssig og indholdsmæssig sammenhæng eller skal anvendes sammen, skal kontrakternes værdi som udgangspunkt vurderes samlet. De må ikke opdeles for at undgå udbudsreglerne. Vejledningen, afsnit 4.5.1
Jo stærkere afhængigheden er, jo mere nærliggende kan det være at gennemføre ét udbud med flere delaftaler. En skjult eller upræcist beskrevet afhængighed kan skabe problemer efter ligebehandlings- og gennemsigtighedsprincippet.</t>
  </si>
  <si>
    <t>Spørgsmål vedrørende MK-11 og MK-161, produktspecifikke referencer
MK-11 henviser til "Dynamic Template", og MK-161 henviser specifikt til "Dynamics Template fra Omnidocs". Der er således i ufravigelige mindstekrav anvendt betegnelser for en konkret kommerciel løsning.
Tilbudsgiver bemærker, at tekniske specifikationer efter udbudsreglerne som udgangspunkt skal udformes på en måde, der giver økonomiske aktører lige adgang til udbuddet og ikke skaber uberettigede hindringer for konkurrencen. Henvisninger til et bestemt fabrikat, produkt eller oprindelse kræver derfor særlig opmærksomhed på muligheden for at tilbyde tilsvarende løsninger.
Tilbudsgiver er opmærksom på den generelle angivelse i Opfordringsskrivelsen om, at fabrikatshenvisninger skal læses med "eller tilsvarende".
Det fremgår imidlertid ikke tilstrækkeligt klart af MK-11 og MK-161, hvilke funktionelle egenskaber ved Dynamic Template/Omnidocs der konkret skal opfyldes, for at en anden løsning kan anses for tilsvarende.
Ordregiver bedes derfor præcisere udtømmende, hvilke funktionelle og tekniske egenskaber der skal være opfyldt, for at en alternativ løsning kan anses for "tilsvarende" efter MK-11 og MK-161.
Tilbudsgiver bedes endvidere få bekræftet, at opfyldelse af disse objektivt beskrevne egenskaber er tilstrækkelig til at opfylde mindstekravene, og at anvendelse af selve Dynamic Template/Omnidocs-produktet ikke er påkrævet.
Såfremt Ordregiver ikke kan opstille sådanne produktneutrale kriterier, bedes Ordregiver overveje at omformulere kravene som funktionsbaserede krav uden henvisning til et konkret produkt.</t>
  </si>
  <si>
    <t>Omformuleret.</t>
  </si>
  <si>
    <t>Tilbudsgiver anerkender, at Ordregiver gennem spørgsmål/svar-processen allerede har præciseret en række forhold i udbudsmaterialet.
Tilbudsgivers fortsatte gennemgang har imidlertid identificeret en række yderligere forhold på tværs af kravspecifikationen, Leveringskontrakten og bilagene, som kræver afklaring eller berigtigelse. Disse omfatter blandt andet brudte krydshenvisninger, indbyrdes vanskeligt forenelige mindstekrav, ufuldstændige formuleringer, produktspecifikke referencer og mindstekrav, hvor den objektive minimumsgrænse ikke fremgår entydigt. Den eksisterende spørgsmålsoversigt indeholder blandt andet særskilte spørgsmål herom vedrørende Bilag 1.h, MK-187/MK-188, 1.e-MK-10, MK-118 og MK-10/MK-116.
Disse forhold er efter Tilbudsgivers opfattelse ikke alene redaktionelle. De har betydning for Tilbudsgivers mulighed for at fastslå omfanget af de ufravigelige forpligtelser, vurdere konditionsmæssighed og prissætte Leverancen og den kontraktuelle risiko på et tilstrækkeligt sikkert grundlag.
Dette skal ses i sammenhæng med principperne om ligebehandling og gennemsigtighed i udbudslovens § 2.
Ordregiver bedes derfor oplyse, om Ordregiver på baggrund af de modtagne spørgsmål vil foretage en samlet gennemgang og berigtigelse af udbudsmaterialet med henblik på at sikre, at krav og kontraktvilkår fremstår klare, entydige og indbyrdes konsistente.
Såfremt den nødvendige gennemgang medfører ændringer eller præciseringer af flere ufravigelige mindstekrav eller andre centrale dele af udbudsgrundlaget, bedes Ordregiver samtidig vurdere, om ændringernes karakter og omfang kan håndteres inden for den igangværende udbudsprocedure, eller om det vil være nødvendigt at aflyse og gennemføre et nyt udbud på baggrund af et samlet, korrigeret udbudsmateriale.
Såfremt Ordregiver vælger at fastholde den igangværende procedure, bedes Ordregiver som minimum sikre, at tilbudsgiverne efter offentliggørelsen af de endelige svar og eventuelle berigtigelser får tilstrækkelig tid til at gennemgå ændringerne og udarbejde konditionsmæssige tilbud.</t>
  </si>
  <si>
    <t>afventer - snak med Mandip.</t>
  </si>
  <si>
    <t>Spørgsmål vedrørende Bilag 1.j
Tilbudsgiver forstår Bilag 1.j således, at Leverandøren ikke er berettiget til særskilt vederlag for behandling af en ændringsanmodning og udarbejdelse af løsningsforslaget, men at Leverandøren er berettiget til vederlag for selve gennemførelsen af en ændring, når løsningsforslaget og de tilhørende vederlagsmæssige konsekvenser er godkendt af Kunden.
Kan Ordregiver bekræfte, at denne forståelse er korrekt?</t>
  </si>
  <si>
    <t xml:space="preserve">Omformuleret. </t>
  </si>
  <si>
    <t>1.b-MK-10 og 1.b-MK-116 – Modstridende mindstekrav til journalplan
1.b-MK-10 fastsætter som ufravigeligt mindstekrav, at ESDH-løsningen skal understøtte en journalplan "i minimum tre niveauer", mens 1.b-MK-116 samtidig fastsætter som ufravigeligt mindstekrav, at Administrator skal kunne konfigurere journalplanen "med færre end tre niveauer".
Da begge krav er mindstekrav, skal Tilbudsgiver kunne opfylde og lægge begge krav til grund ved tilbudsafgivelsen. Det er derfor nødvendigt, at kravene er indbyrdes konsistente og entydigt beskriver det minimumsniveau, som den tilbudte løsning skal opfylde.
Kan Ordregiver bekræfte, at 1.b-MK-10 skal forstås som et krav til løsningens kapacitet, således at løsningen skal kunne understøtte en journalplan med mindst tre niveauer, mens 1.b-MK-116 er et krav til løsningens konfigurerbarhed, således at Administrator samtidig skal kunne konfigurere en journalplan med færre end tre niveauer?
Såfremt dette er den tilsigtede forståelse, anmodes Ordregiver om at berigtige ordlyden af kravene, så det fremgår entydigt, at 1.b-MK-10 og 1.b-MK-116 skal forstås på denne måde, og at de to ufravigelige mindstekrav dermed er indbyrdes forenelige.</t>
  </si>
  <si>
    <t>Spørgsmål vedrørende kumulation af bod
Leveringskontrakten og de tilhørende bilag indeholder flere selvstændige bodsregimer, herunder bod ved forsinkelse og mangler efter Leveringskontraktens pkt. 16.3, bod efter Bilag 1.h Servicemål, CSR-relateret bod efter Bilag 5 og bod efter Bilag 6 Trepartsaftale.
Tilbudsgiver kan ikke entydigt fastslå, om samme hændelse eller samme underliggende misligholdelse kan udløse bod efter flere af disse bestemmelser samtidig, eller om de enkelte bodsregimer skal anses som alternative.
Ordregiver bedes derfor præcisere, om bod kan kumuleres på tværs af Leveringskontrakten og bilagene for samme hændelse eller samme underliggende misligholdelse.
Såfremt bod kan kumuleres, bedes Ordregiver samtidig oplyse, om der gælder et samlet maksimum for den bod, som Leverandøren kan pålægges på tværs af Leveringskontrakten, Bilag 1.h, Bilag 5 og Bilag 6.
Hvis der ikke gælder et sådant samlet loft, bedes Ordregiver overveje at indføre dette, således at Leverandørens samlede bodeksponering kan fastlægges entydigt ved tilbudsafgivelsen.</t>
  </si>
  <si>
    <t>Spørgsmål vendrørende ansvar for forhold hos Statens IT
Det fremgår af Bilag 1.l, at ansvaret for driften under Driftsmodel 3 er fordelt mellem Kunden/Leverandøren og Statens IT, herunder således at Statens IT har ansvar for operativsystem, server/storage og netværk, mens Kunden har ansvar for applikation og middleware.
Tilbudsgiver bemærker samtidig, at Leverandøren er underlagt servicemål og potentielle bodskrav efter Bilag 1.h.
Tilbudsgiver kan ikke entydigt fastslå, hvordan servicemål og misligholdelsesbeføjelser håndteres, hvis manglende tilgængelighed, performance eller anden manglende opfyldelse helt eller delvist skyldes forhold ved de komponenter eller driftsopgaver, som Statens IT er ansvarlig for.
Ordregiver bedes derfor bekræfte, at Leverandøren ikke ifalder bod, erstatningsansvar eller øvrige misligholdelsesbeføjelser i det omfang en manglende opfyldelse skyldes forhold, som henhører under Statens IT's ansvarsområde.
Ordregiver bedes samtidig præcisere, hvordan årsagen til en sådan hændelse fastlægges, og hvordan servicemålsberegningen håndteres, mens det undersøges, om hændelsen skyldes ESDH-løsningen eller Statens IT's infrastruktur.</t>
  </si>
  <si>
    <t>Opfølgning på svar 26-A015 vedrørende Option 5
Tilbudsgiver bemærker, at Ordregiver i svar 26-A015 oplyser, at Driftsmodel 3, hvor Tilbudsgiver overtager ansvaret for drift og vedligeholdelse af middleware, er teknisk, driftsmæssigt og kontraktuelt mulig inden for Statens IT's gældende driftsmodel og rammevilkår.
Det oprindelige spørgsmål vedrørte imidlertid specifikt, om Statens IT har bekræftet og accepteret den konkrete model og ansvarsfordeling. Denne del ses ikke besvaret i svar 26-A015.
Kan Ordregiver derfor entydigt bekræfte, om Statens IT forud for offentliggørelsen af udbudsmaterialet konkret har godkendt, at en privat ESDH-leverandør kan overtage det i Option 5 beskrevne ansvar for drift og vedligeholdelse af middleware i Kundens miljø hos Statens IT?
Såfremt Statens IT har godkendt modellen, bedes Ordregiver oplyse, hvilke forudsætninger, begrænsninger og krav Statens IT har fastsat for en sådan leverandørdrift, således at Tilbudsgiver kan lægge disse til grund ved vurderingen og prissætningen af Option 5.
Såfremt der ikke foreligger en konkret godkendelse fra Statens IT, bedes Ordregiver præcisere, på hvilket grundlag Ordregiver i svar 26-A015 har konkluderet, at modellen er teknisk, driftsmæssigt og kontraktuelt mulig inden for Statens IT's gældende rammer.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</si>
</sst>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Aptos"/>
      <family val="2"/>
      <scheme val="minor"/>
    </font>
    <font>
      <b/>
      <sz val="12"/>
      <color theme="1"/>
      <name val="Aptos"/>
      <family val="2"/>
      <scheme val="minor"/>
    </font>
    <font>
      <b/>
      <sz val="12"/>
      <color theme="0"/>
      <name val="Aptos"/>
      <family val="2"/>
      <scheme val="minor"/>
    </font>
    <font>
      <sz val="12"/>
      <color theme="1"/>
      <name val="Aptos"/>
      <family val="2"/>
      <scheme val="minor"/>
    </font>
    <font>
      <sz val="8"/>
      <name val="Aptos"/>
      <family val="2"/>
      <scheme val="minor"/>
    </font>
    <font>
      <b/>
      <i/>
      <sz val="12"/>
      <color theme="1"/>
      <name val="Aptos"/>
      <family val="2"/>
      <scheme val="minor"/>
    </font>
    <font>
      <i/>
      <sz val="12"/>
      <color theme="1"/>
      <name val="Aptos"/>
      <family val="2"/>
      <scheme val="minor"/>
    </font>
    <font>
      <b/>
      <sz val="12"/>
      <name val="Aptos"/>
      <family val="2"/>
      <scheme val="minor"/>
    </font>
    <font>
      <b/>
      <sz val="11"/>
      <color rgb="FFFFFFFF"/>
      <name val="Calibri"/>
    </font>
    <font>
      <sz val="12"/>
      <color rgb="FF272A2C"/>
      <name val="Aptos"/>
      <family val="2"/>
      <scheme val="minor"/>
    </font>
    <font>
      <b/>
      <sz val="12"/>
      <color rgb="FF1F3864"/>
      <name val="Aptos"/>
    </font>
    <font>
      <sz val="7"/>
      <color rgb="FF333333"/>
      <name val="Arial"/>
      <family val="2"/>
    </font>
    <font>
      <strike/>
      <sz val="12"/>
      <color theme="1"/>
      <name val="Aptos"/>
      <family val="2"/>
      <scheme val="minor"/>
    </font>
    <font>
      <sz val="10"/>
      <color theme="1"/>
      <name val="Segoe UI"/>
    </font>
    <font>
      <sz val="13"/>
      <color theme="1"/>
      <name val="Segoe UI VSS (Regular)"/>
      <charset val="1"/>
    </font>
  </fonts>
  <fills count="10">
    <fill>
      <patternFill patternType="none"/>
    </fill>
    <fill>
      <patternFill patternType="gray125"/>
    </fill>
    <fill>
      <patternFill patternType="solid">
        <fgColor theme="2"/>
        <bgColor indexed="64"/>
      </patternFill>
    </fill>
    <fill>
      <patternFill patternType="solid">
        <fgColor theme="7"/>
        <bgColor indexed="64"/>
      </patternFill>
    </fill>
    <fill>
      <patternFill patternType="solid">
        <fgColor theme="7"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rgb="FF4E60E7"/>
        <bgColor rgb="FF4E60E7"/>
      </patternFill>
    </fill>
    <fill>
      <patternFill patternType="solid">
        <fgColor rgb="FFD9E2F3"/>
      </patternFill>
    </fill>
    <fill>
      <patternFill patternType="solid">
        <fgColor theme="6"/>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bottom style="thin">
        <color indexed="64"/>
      </bottom>
      <diagonal/>
    </border>
  </borders>
  <cellStyleXfs count="3">
    <xf numFmtId="0" fontId="0" fillId="0" borderId="0"/>
    <xf numFmtId="9" fontId="3" fillId="0" borderId="0" applyFont="0" applyFill="0" applyBorder="0" applyAlignment="0" applyProtection="0"/>
    <xf numFmtId="9" fontId="3" fillId="0" borderId="0"/>
  </cellStyleXfs>
  <cellXfs count="76">
    <xf numFmtId="0" fontId="0" fillId="0" borderId="0" xfId="0"/>
    <xf numFmtId="0" fontId="1" fillId="0" borderId="0" xfId="0" applyFont="1"/>
    <xf numFmtId="0" fontId="2" fillId="3" borderId="1" xfId="0" applyFont="1" applyFill="1" applyBorder="1"/>
    <xf numFmtId="0" fontId="0" fillId="0" borderId="1" xfId="0" applyBorder="1"/>
    <xf numFmtId="0" fontId="1" fillId="4" borderId="1" xfId="0" applyFont="1" applyFill="1" applyBorder="1"/>
    <xf numFmtId="0" fontId="2" fillId="3" borderId="5" xfId="0" applyFont="1" applyFill="1" applyBorder="1"/>
    <xf numFmtId="0" fontId="1" fillId="4" borderId="2" xfId="0" applyFont="1" applyFill="1" applyBorder="1"/>
    <xf numFmtId="14" fontId="0" fillId="0" borderId="0" xfId="0" applyNumberFormat="1"/>
    <xf numFmtId="14" fontId="0" fillId="0" borderId="1" xfId="0" applyNumberFormat="1" applyBorder="1"/>
    <xf numFmtId="0" fontId="2" fillId="3" borderId="3" xfId="0" applyFont="1" applyFill="1" applyBorder="1"/>
    <xf numFmtId="0" fontId="0" fillId="5" borderId="6" xfId="0" applyFill="1" applyBorder="1"/>
    <xf numFmtId="0" fontId="0" fillId="5" borderId="7" xfId="0" applyFill="1" applyBorder="1"/>
    <xf numFmtId="0" fontId="0" fillId="5" borderId="8" xfId="0" applyFill="1" applyBorder="1"/>
    <xf numFmtId="0" fontId="0" fillId="5" borderId="9" xfId="0" applyFill="1" applyBorder="1"/>
    <xf numFmtId="0" fontId="0" fillId="5" borderId="0" xfId="0" applyFill="1"/>
    <xf numFmtId="0" fontId="0" fillId="5" borderId="10" xfId="0" applyFill="1" applyBorder="1"/>
    <xf numFmtId="10" fontId="0" fillId="5" borderId="0" xfId="0" applyNumberFormat="1" applyFill="1"/>
    <xf numFmtId="0" fontId="0" fillId="5" borderId="11" xfId="0" applyFill="1" applyBorder="1"/>
    <xf numFmtId="0" fontId="0" fillId="5" borderId="12" xfId="0" applyFill="1" applyBorder="1"/>
    <xf numFmtId="0" fontId="0" fillId="5" borderId="13" xfId="0" applyFill="1" applyBorder="1"/>
    <xf numFmtId="0" fontId="1" fillId="5" borderId="0" xfId="0" applyFont="1" applyFill="1"/>
    <xf numFmtId="0" fontId="0" fillId="5" borderId="1" xfId="0" applyFill="1" applyBorder="1"/>
    <xf numFmtId="10" fontId="0" fillId="5" borderId="1" xfId="1" applyNumberFormat="1" applyFont="1" applyFill="1" applyBorder="1"/>
    <xf numFmtId="0" fontId="0" fillId="5" borderId="3" xfId="0" applyFill="1" applyBorder="1"/>
    <xf numFmtId="0" fontId="5" fillId="4" borderId="2" xfId="0" applyFont="1" applyFill="1" applyBorder="1"/>
    <xf numFmtId="0" fontId="6" fillId="4" borderId="3" xfId="0" applyFont="1" applyFill="1" applyBorder="1"/>
    <xf numFmtId="0" fontId="6" fillId="4" borderId="4" xfId="0" applyFont="1" applyFill="1" applyBorder="1"/>
    <xf numFmtId="10" fontId="6" fillId="4" borderId="4" xfId="0" applyNumberFormat="1" applyFont="1" applyFill="1" applyBorder="1"/>
    <xf numFmtId="10" fontId="6" fillId="4" borderId="1" xfId="0" applyNumberFormat="1" applyFont="1" applyFill="1" applyBorder="1"/>
    <xf numFmtId="0" fontId="0" fillId="4" borderId="3" xfId="0" applyFill="1" applyBorder="1"/>
    <xf numFmtId="0" fontId="0" fillId="4" borderId="14" xfId="0" applyFill="1" applyBorder="1"/>
    <xf numFmtId="0" fontId="0" fillId="4" borderId="15" xfId="0" applyFill="1" applyBorder="1"/>
    <xf numFmtId="0" fontId="7" fillId="4" borderId="1" xfId="0" applyFont="1" applyFill="1" applyBorder="1"/>
    <xf numFmtId="0" fontId="0" fillId="0" borderId="0" xfId="0" applyAlignment="1">
      <alignment wrapText="1"/>
    </xf>
    <xf numFmtId="0" fontId="1" fillId="4" borderId="1" xfId="0" applyFont="1" applyFill="1" applyBorder="1" applyAlignment="1">
      <alignment wrapText="1"/>
    </xf>
    <xf numFmtId="0" fontId="0" fillId="0" borderId="1" xfId="0" applyBorder="1" applyAlignment="1">
      <alignment wrapText="1"/>
    </xf>
    <xf numFmtId="0" fontId="0" fillId="3" borderId="4" xfId="0" applyFill="1" applyBorder="1" applyAlignment="1">
      <alignment wrapText="1"/>
    </xf>
    <xf numFmtId="9" fontId="0" fillId="0" borderId="1" xfId="1" applyFont="1" applyBorder="1" applyAlignment="1">
      <alignment wrapText="1"/>
    </xf>
    <xf numFmtId="9" fontId="0" fillId="0" borderId="0" xfId="1" applyFont="1" applyAlignment="1">
      <alignment wrapText="1"/>
    </xf>
    <xf numFmtId="0" fontId="1" fillId="0" borderId="0" xfId="0" applyFont="1" applyAlignment="1">
      <alignment vertical="center" wrapText="1"/>
    </xf>
    <xf numFmtId="0" fontId="8" fillId="7" borderId="1" xfId="0" applyFont="1" applyFill="1" applyBorder="1" applyAlignment="1">
      <alignment horizontal="left" vertical="center" wrapText="1"/>
    </xf>
    <xf numFmtId="0" fontId="0" fillId="0" borderId="1" xfId="0" applyBorder="1" applyAlignment="1">
      <alignment horizontal="left" vertical="top" wrapText="1"/>
    </xf>
    <xf numFmtId="0" fontId="0" fillId="0" borderId="4" xfId="0" applyBorder="1" applyAlignment="1">
      <alignment horizontal="left" vertical="top" wrapText="1"/>
    </xf>
    <xf numFmtId="0" fontId="1" fillId="2" borderId="1" xfId="0" applyFont="1" applyFill="1" applyBorder="1" applyAlignment="1">
      <alignment vertical="center" wrapText="1"/>
    </xf>
    <xf numFmtId="0" fontId="1" fillId="4" borderId="1" xfId="0" applyFont="1" applyFill="1" applyBorder="1" applyAlignment="1">
      <alignment vertical="center" wrapText="1"/>
    </xf>
    <xf numFmtId="0" fontId="1" fillId="6" borderId="1" xfId="0" applyFont="1" applyFill="1" applyBorder="1" applyAlignment="1">
      <alignment vertical="center" wrapText="1"/>
    </xf>
    <xf numFmtId="0" fontId="2" fillId="3" borderId="1" xfId="0" applyFont="1" applyFill="1" applyBorder="1" applyAlignment="1">
      <alignment vertical="center" wrapText="1"/>
    </xf>
    <xf numFmtId="0" fontId="0" fillId="3" borderId="1" xfId="0" applyFill="1" applyBorder="1" applyAlignment="1">
      <alignment wrapText="1"/>
    </xf>
    <xf numFmtId="0" fontId="0" fillId="0" borderId="1" xfId="0" applyBorder="1" applyAlignment="1">
      <alignment vertical="center" wrapText="1"/>
    </xf>
    <xf numFmtId="0" fontId="9" fillId="0" borderId="1" xfId="0" applyFont="1" applyBorder="1" applyAlignment="1">
      <alignment wrapText="1"/>
    </xf>
    <xf numFmtId="0" fontId="10" fillId="8" borderId="0" xfId="0" applyFont="1" applyFill="1" applyAlignment="1">
      <alignment wrapText="1"/>
    </xf>
    <xf numFmtId="14" fontId="0" fillId="0" borderId="1" xfId="0" applyNumberFormat="1" applyBorder="1" applyAlignment="1">
      <alignment wrapText="1"/>
    </xf>
    <xf numFmtId="0" fontId="7" fillId="4" borderId="1" xfId="0" applyFont="1" applyFill="1" applyBorder="1" applyAlignment="1">
      <alignment wrapText="1"/>
    </xf>
    <xf numFmtId="14" fontId="0" fillId="0" borderId="0" xfId="0" applyNumberFormat="1" applyAlignment="1">
      <alignment wrapText="1"/>
    </xf>
    <xf numFmtId="0" fontId="0" fillId="0" borderId="4" xfId="0" applyBorder="1"/>
    <xf numFmtId="0" fontId="2" fillId="9" borderId="5" xfId="0" applyFont="1" applyFill="1" applyBorder="1"/>
    <xf numFmtId="0" fontId="2" fillId="9" borderId="1" xfId="0" applyFont="1" applyFill="1" applyBorder="1"/>
    <xf numFmtId="0" fontId="6" fillId="4" borderId="1" xfId="0" applyFont="1" applyFill="1" applyBorder="1"/>
    <xf numFmtId="9" fontId="6" fillId="4" borderId="1" xfId="1" applyFont="1" applyFill="1" applyBorder="1"/>
    <xf numFmtId="0" fontId="5" fillId="4" borderId="1" xfId="0" applyFont="1" applyFill="1" applyBorder="1"/>
    <xf numFmtId="0" fontId="2" fillId="0" borderId="0" xfId="0" applyFont="1"/>
    <xf numFmtId="0" fontId="2" fillId="5" borderId="10" xfId="0" applyFont="1" applyFill="1" applyBorder="1"/>
    <xf numFmtId="0" fontId="11" fillId="0" borderId="0" xfId="0" applyFont="1"/>
    <xf numFmtId="0" fontId="0" fillId="0" borderId="5" xfId="0" applyBorder="1"/>
    <xf numFmtId="0" fontId="0" fillId="0" borderId="5" xfId="0" applyBorder="1" applyAlignment="1">
      <alignment wrapText="1"/>
    </xf>
    <xf numFmtId="14" fontId="0" fillId="0" borderId="5" xfId="0" applyNumberFormat="1" applyBorder="1"/>
    <xf numFmtId="14" fontId="0" fillId="0" borderId="5" xfId="0" applyNumberFormat="1" applyBorder="1" applyAlignment="1">
      <alignment wrapText="1"/>
    </xf>
    <xf numFmtId="0" fontId="2" fillId="3" borderId="1" xfId="0" applyFont="1" applyFill="1" applyBorder="1" applyAlignment="1">
      <alignment horizontal="center"/>
    </xf>
    <xf numFmtId="0" fontId="2" fillId="3" borderId="2" xfId="0" applyFont="1" applyFill="1" applyBorder="1" applyAlignment="1">
      <alignment horizontal="center"/>
    </xf>
    <xf numFmtId="0" fontId="2" fillId="3" borderId="5" xfId="0" applyFont="1" applyFill="1" applyBorder="1" applyAlignment="1">
      <alignment horizontal="center"/>
    </xf>
    <xf numFmtId="0" fontId="2" fillId="3" borderId="3" xfId="0" applyFont="1" applyFill="1" applyBorder="1" applyAlignment="1">
      <alignment horizontal="center"/>
    </xf>
    <xf numFmtId="0" fontId="2" fillId="9" borderId="2" xfId="0" applyFont="1" applyFill="1" applyBorder="1" applyAlignment="1">
      <alignment horizontal="center"/>
    </xf>
    <xf numFmtId="0" fontId="2" fillId="9" borderId="3" xfId="0" applyFont="1" applyFill="1" applyBorder="1" applyAlignment="1">
      <alignment horizontal="center"/>
    </xf>
    <xf numFmtId="0" fontId="0" fillId="4" borderId="1" xfId="0" applyFill="1" applyBorder="1" applyAlignment="1">
      <alignment horizontal="center"/>
    </xf>
    <xf numFmtId="0" fontId="13" fillId="0" borderId="0" xfId="0" applyFont="1"/>
    <xf numFmtId="0" fontId="14" fillId="0" borderId="0" xfId="0" applyFont="1"/>
  </cellXfs>
  <cellStyles count="3">
    <cellStyle name="Normal" xfId="0" builtinId="0" customBuiltin="1"/>
    <cellStyle name="Per cent" xfId="1" builtinId="5"/>
    <cellStyle name="Per cent 2" xfId="2" xr:uid="{83E1B574-DFFF-4A0C-B2E8-3C0900DFE2E2}"/>
  </cellStyles>
  <dxfs count="17">
    <dxf>
      <fill>
        <patternFill>
          <bgColor rgb="FFC00000"/>
        </patternFill>
      </fill>
    </dxf>
    <dxf>
      <fill>
        <patternFill>
          <bgColor rgb="FFFF6565"/>
        </patternFill>
      </fill>
    </dxf>
    <dxf>
      <fill>
        <patternFill>
          <bgColor rgb="FFFFD1D1"/>
        </patternFill>
      </fill>
    </dxf>
    <dxf>
      <fill>
        <patternFill>
          <bgColor rgb="FFC00000"/>
        </patternFill>
      </fill>
    </dxf>
    <dxf>
      <fill>
        <patternFill>
          <bgColor rgb="FFFF6565"/>
        </patternFill>
      </fill>
    </dxf>
    <dxf>
      <fill>
        <patternFill>
          <bgColor rgb="FFFFD1D1"/>
        </patternFill>
      </fill>
    </dxf>
    <dxf>
      <fill>
        <patternFill>
          <bgColor rgb="FFC00000"/>
        </patternFill>
      </fill>
    </dxf>
    <dxf>
      <fill>
        <patternFill>
          <bgColor rgb="FFFF6565"/>
        </patternFill>
      </fill>
    </dxf>
    <dxf>
      <fill>
        <patternFill>
          <bgColor rgb="FFFFD1D1"/>
        </patternFill>
      </fill>
    </dxf>
    <dxf>
      <font>
        <color theme="2"/>
      </font>
    </dxf>
    <dxf>
      <font>
        <color rgb="FF9C0006"/>
      </font>
      <fill>
        <patternFill>
          <bgColor rgb="FFFFC7CE"/>
        </patternFill>
      </fill>
    </dxf>
    <dxf>
      <fill>
        <patternFill>
          <bgColor rgb="FFC00000"/>
        </patternFill>
      </fill>
    </dxf>
    <dxf>
      <fill>
        <patternFill>
          <bgColor rgb="FFFFC000"/>
        </patternFill>
      </fill>
    </dxf>
    <dxf>
      <fill>
        <patternFill>
          <bgColor rgb="FFFFE38B"/>
        </patternFill>
      </fill>
    </dxf>
    <dxf>
      <fill>
        <patternFill>
          <bgColor theme="8" tint="-0.24994659260841701"/>
        </patternFill>
      </fill>
    </dxf>
    <dxf>
      <fill>
        <patternFill>
          <bgColor rgb="FFDBE600"/>
        </patternFill>
      </fill>
    </dxf>
    <dxf>
      <fill>
        <patternFill>
          <bgColor rgb="FF92D050"/>
        </patternFill>
      </fill>
    </dxf>
  </dxfs>
  <tableStyles count="0" defaultTableStyle="TableStyleMedium2" defaultPivotStyle="PivotStyleLight16"/>
  <colors>
    <mruColors>
      <color rgb="FFFFD1D1"/>
      <color rgb="FFFF6565"/>
      <color rgb="FFDBE600"/>
      <color rgb="FFFFE3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26" Type="http://schemas.openxmlformats.org/officeDocument/2006/relationships/customXml" Target="../customXml/item5.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5" Type="http://schemas.openxmlformats.org/officeDocument/2006/relationships/customXml" Target="../customXml/item4.xml"/><Relationship Id="rId2" Type="http://schemas.openxmlformats.org/officeDocument/2006/relationships/worksheet" Target="worksheets/sheet2.xml"/><Relationship Id="rId16" Type="http://schemas.microsoft.com/office/2022/10/relationships/richValueRel" Target="richData/richValueRel.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hartsheet" Target="chartsheets/sheet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a-DK"/>
              <a:t>Belægning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Status!$E$27</c:f>
              <c:strCache>
                <c:ptCount val="1"/>
                <c:pt idx="0">
                  <c:v>Round 1</c:v>
                </c:pt>
              </c:strCache>
            </c:strRef>
          </c:tx>
          <c:spPr>
            <a:solidFill>
              <a:schemeClr val="accent1"/>
            </a:solidFill>
            <a:ln>
              <a:noFill/>
            </a:ln>
            <a:effectLst/>
          </c:spPr>
          <c:invertIfNegative val="0"/>
          <c:cat>
            <c:strRef>
              <c:f>Status!$C$28:$D$41</c:f>
              <c:strCache>
                <c:ptCount val="14"/>
                <c:pt idx="0">
                  <c:v>Responsible</c:v>
                </c:pt>
                <c:pt idx="1">
                  <c:v>Anton</c:v>
                </c:pt>
                <c:pt idx="2">
                  <c:v>Anita</c:v>
                </c:pt>
                <c:pt idx="3">
                  <c:v>Hans</c:v>
                </c:pt>
                <c:pt idx="4">
                  <c:v>Claus</c:v>
                </c:pt>
                <c:pt idx="5">
                  <c:v>Torben</c:v>
                </c:pt>
                <c:pt idx="6">
                  <c:v>Cristina</c:v>
                </c:pt>
                <c:pt idx="7">
                  <c:v>Johan</c:v>
                </c:pt>
                <c:pt idx="8">
                  <c:v>Mandip</c:v>
                </c:pt>
                <c:pt idx="9">
                  <c:v>Kim</c:v>
                </c:pt>
                <c:pt idx="10">
                  <c:v>Christian</c:v>
                </c:pt>
                <c:pt idx="11">
                  <c:v>Eva</c:v>
                </c:pt>
                <c:pt idx="12">
                  <c:v>Kaare</c:v>
                </c:pt>
                <c:pt idx="13">
                  <c:v>Morten</c:v>
                </c:pt>
              </c:strCache>
            </c:strRef>
          </c:cat>
          <c:val>
            <c:numRef>
              <c:f>Status!$E$28:$E$41</c:f>
              <c:numCache>
                <c:formatCode>General</c:formatCode>
                <c:ptCount val="14"/>
                <c:pt idx="0">
                  <c:v>0</c:v>
                </c:pt>
                <c:pt idx="1">
                  <c:v>144</c:v>
                </c:pt>
                <c:pt idx="2">
                  <c:v>3</c:v>
                </c:pt>
                <c:pt idx="3">
                  <c:v>65</c:v>
                </c:pt>
                <c:pt idx="4">
                  <c:v>11</c:v>
                </c:pt>
                <c:pt idx="5">
                  <c:v>24</c:v>
                </c:pt>
                <c:pt idx="6">
                  <c:v>64</c:v>
                </c:pt>
                <c:pt idx="7">
                  <c:v>18</c:v>
                </c:pt>
                <c:pt idx="8">
                  <c:v>5</c:v>
                </c:pt>
                <c:pt idx="9">
                  <c:v>5</c:v>
                </c:pt>
                <c:pt idx="10">
                  <c:v>1</c:v>
                </c:pt>
                <c:pt idx="11">
                  <c:v>9</c:v>
                </c:pt>
                <c:pt idx="12">
                  <c:v>5</c:v>
                </c:pt>
                <c:pt idx="13">
                  <c:v>3</c:v>
                </c:pt>
              </c:numCache>
            </c:numRef>
          </c:val>
          <c:extLst>
            <c:ext xmlns:c16="http://schemas.microsoft.com/office/drawing/2014/chart" uri="{C3380CC4-5D6E-409C-BE32-E72D297353CC}">
              <c16:uniqueId val="{00000000-3751-4D53-8E14-EAA48ED69480}"/>
            </c:ext>
          </c:extLst>
        </c:ser>
        <c:ser>
          <c:idx val="1"/>
          <c:order val="1"/>
          <c:tx>
            <c:strRef>
              <c:f>Status!$F$27</c:f>
              <c:strCache>
                <c:ptCount val="1"/>
              </c:strCache>
            </c:strRef>
          </c:tx>
          <c:spPr>
            <a:solidFill>
              <a:schemeClr val="accent2"/>
            </a:solidFill>
            <a:ln>
              <a:noFill/>
            </a:ln>
            <a:effectLst/>
          </c:spPr>
          <c:invertIfNegative val="0"/>
          <c:cat>
            <c:strRef>
              <c:f>Status!$C$28:$D$41</c:f>
              <c:strCache>
                <c:ptCount val="14"/>
                <c:pt idx="0">
                  <c:v>Responsible</c:v>
                </c:pt>
                <c:pt idx="1">
                  <c:v>Anton</c:v>
                </c:pt>
                <c:pt idx="2">
                  <c:v>Anita</c:v>
                </c:pt>
                <c:pt idx="3">
                  <c:v>Hans</c:v>
                </c:pt>
                <c:pt idx="4">
                  <c:v>Claus</c:v>
                </c:pt>
                <c:pt idx="5">
                  <c:v>Torben</c:v>
                </c:pt>
                <c:pt idx="6">
                  <c:v>Cristina</c:v>
                </c:pt>
                <c:pt idx="7">
                  <c:v>Johan</c:v>
                </c:pt>
                <c:pt idx="8">
                  <c:v>Mandip</c:v>
                </c:pt>
                <c:pt idx="9">
                  <c:v>Kim</c:v>
                </c:pt>
                <c:pt idx="10">
                  <c:v>Christian</c:v>
                </c:pt>
                <c:pt idx="11">
                  <c:v>Eva</c:v>
                </c:pt>
                <c:pt idx="12">
                  <c:v>Kaare</c:v>
                </c:pt>
                <c:pt idx="13">
                  <c:v>Morten</c:v>
                </c:pt>
              </c:strCache>
            </c:strRef>
          </c:cat>
          <c:val>
            <c:numRef>
              <c:f>Status!$F$28:$F$41</c:f>
              <c:numCache>
                <c:formatCode>0.00%</c:formatCode>
                <c:ptCount val="14"/>
                <c:pt idx="0" formatCode="General">
                  <c:v>0</c:v>
                </c:pt>
                <c:pt idx="1">
                  <c:v>0.40336134453781514</c:v>
                </c:pt>
                <c:pt idx="2">
                  <c:v>8.4033613445378148E-3</c:v>
                </c:pt>
                <c:pt idx="3">
                  <c:v>0.18207282913165265</c:v>
                </c:pt>
                <c:pt idx="4">
                  <c:v>3.081232492997199E-2</c:v>
                </c:pt>
                <c:pt idx="5">
                  <c:v>6.7226890756302518E-2</c:v>
                </c:pt>
                <c:pt idx="6">
                  <c:v>0.17927170868347339</c:v>
                </c:pt>
                <c:pt idx="7">
                  <c:v>5.0420168067226892E-2</c:v>
                </c:pt>
                <c:pt idx="8">
                  <c:v>1.4005602240896359E-2</c:v>
                </c:pt>
                <c:pt idx="9">
                  <c:v>1.4005602240896359E-2</c:v>
                </c:pt>
                <c:pt idx="10">
                  <c:v>2.8011204481792717E-3</c:v>
                </c:pt>
                <c:pt idx="11">
                  <c:v>2.5210084033613446E-2</c:v>
                </c:pt>
                <c:pt idx="12">
                  <c:v>1.4005602240896359E-2</c:v>
                </c:pt>
                <c:pt idx="13">
                  <c:v>8.4033613445378148E-3</c:v>
                </c:pt>
              </c:numCache>
            </c:numRef>
          </c:val>
          <c:extLst>
            <c:ext xmlns:c16="http://schemas.microsoft.com/office/drawing/2014/chart" uri="{C3380CC4-5D6E-409C-BE32-E72D297353CC}">
              <c16:uniqueId val="{00000001-3751-4D53-8E14-EAA48ED69480}"/>
            </c:ext>
          </c:extLst>
        </c:ser>
        <c:ser>
          <c:idx val="2"/>
          <c:order val="2"/>
          <c:tx>
            <c:strRef>
              <c:f>Status!$G$27</c:f>
              <c:strCache>
                <c:ptCount val="1"/>
                <c:pt idx="0">
                  <c:v>Af Evalueringskrav</c:v>
                </c:pt>
              </c:strCache>
            </c:strRef>
          </c:tx>
          <c:spPr>
            <a:solidFill>
              <a:schemeClr val="accent3"/>
            </a:solidFill>
            <a:ln>
              <a:noFill/>
            </a:ln>
            <a:effectLst/>
          </c:spPr>
          <c:invertIfNegative val="0"/>
          <c:cat>
            <c:strRef>
              <c:f>Status!$C$28:$D$41</c:f>
              <c:strCache>
                <c:ptCount val="14"/>
                <c:pt idx="0">
                  <c:v>Responsible</c:v>
                </c:pt>
                <c:pt idx="1">
                  <c:v>Anton</c:v>
                </c:pt>
                <c:pt idx="2">
                  <c:v>Anita</c:v>
                </c:pt>
                <c:pt idx="3">
                  <c:v>Hans</c:v>
                </c:pt>
                <c:pt idx="4">
                  <c:v>Claus</c:v>
                </c:pt>
                <c:pt idx="5">
                  <c:v>Torben</c:v>
                </c:pt>
                <c:pt idx="6">
                  <c:v>Cristina</c:v>
                </c:pt>
                <c:pt idx="7">
                  <c:v>Johan</c:v>
                </c:pt>
                <c:pt idx="8">
                  <c:v>Mandip</c:v>
                </c:pt>
                <c:pt idx="9">
                  <c:v>Kim</c:v>
                </c:pt>
                <c:pt idx="10">
                  <c:v>Christian</c:v>
                </c:pt>
                <c:pt idx="11">
                  <c:v>Eva</c:v>
                </c:pt>
                <c:pt idx="12">
                  <c:v>Kaare</c:v>
                </c:pt>
                <c:pt idx="13">
                  <c:v>Morten</c:v>
                </c:pt>
              </c:strCache>
            </c:strRef>
          </c:cat>
          <c:val>
            <c:numRef>
              <c:f>Status!$G$28:$G$41</c:f>
              <c:numCache>
                <c:formatCode>General</c:formatCode>
                <c:ptCount val="14"/>
                <c:pt idx="0">
                  <c:v>0</c:v>
                </c:pt>
                <c:pt idx="1">
                  <c:v>0</c:v>
                </c:pt>
                <c:pt idx="2">
                  <c:v>0</c:v>
                </c:pt>
                <c:pt idx="3">
                  <c:v>4</c:v>
                </c:pt>
                <c:pt idx="4">
                  <c:v>4</c:v>
                </c:pt>
                <c:pt idx="5">
                  <c:v>4</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2-3751-4D53-8E14-EAA48ED69480}"/>
            </c:ext>
          </c:extLst>
        </c:ser>
        <c:ser>
          <c:idx val="3"/>
          <c:order val="3"/>
          <c:tx>
            <c:strRef>
              <c:f>Status!$H$27</c:f>
              <c:strCache>
                <c:ptCount val="1"/>
              </c:strCache>
            </c:strRef>
          </c:tx>
          <c:spPr>
            <a:solidFill>
              <a:schemeClr val="accent4"/>
            </a:solidFill>
            <a:ln>
              <a:noFill/>
            </a:ln>
            <a:effectLst/>
          </c:spPr>
          <c:invertIfNegative val="0"/>
          <c:cat>
            <c:strRef>
              <c:f>Status!$C$28:$D$41</c:f>
              <c:strCache>
                <c:ptCount val="14"/>
                <c:pt idx="0">
                  <c:v>Responsible</c:v>
                </c:pt>
                <c:pt idx="1">
                  <c:v>Anton</c:v>
                </c:pt>
                <c:pt idx="2">
                  <c:v>Anita</c:v>
                </c:pt>
                <c:pt idx="3">
                  <c:v>Hans</c:v>
                </c:pt>
                <c:pt idx="4">
                  <c:v>Claus</c:v>
                </c:pt>
                <c:pt idx="5">
                  <c:v>Torben</c:v>
                </c:pt>
                <c:pt idx="6">
                  <c:v>Cristina</c:v>
                </c:pt>
                <c:pt idx="7">
                  <c:v>Johan</c:v>
                </c:pt>
                <c:pt idx="8">
                  <c:v>Mandip</c:v>
                </c:pt>
                <c:pt idx="9">
                  <c:v>Kim</c:v>
                </c:pt>
                <c:pt idx="10">
                  <c:v>Christian</c:v>
                </c:pt>
                <c:pt idx="11">
                  <c:v>Eva</c:v>
                </c:pt>
                <c:pt idx="12">
                  <c:v>Kaare</c:v>
                </c:pt>
                <c:pt idx="13">
                  <c:v>Morten</c:v>
                </c:pt>
              </c:strCache>
            </c:strRef>
          </c:cat>
          <c:val>
            <c:numRef>
              <c:f>Status!$H$28:$H$41</c:f>
              <c:numCache>
                <c:formatCode>0.00%</c:formatCode>
                <c:ptCount val="14"/>
                <c:pt idx="0" formatCode="General">
                  <c:v>0</c:v>
                </c:pt>
                <c:pt idx="1">
                  <c:v>0</c:v>
                </c:pt>
                <c:pt idx="2">
                  <c:v>0</c:v>
                </c:pt>
                <c:pt idx="3">
                  <c:v>0.33333333333333331</c:v>
                </c:pt>
                <c:pt idx="4">
                  <c:v>0.33333333333333331</c:v>
                </c:pt>
                <c:pt idx="5">
                  <c:v>0.33333333333333331</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3-3751-4D53-8E14-EAA48ED69480}"/>
            </c:ext>
          </c:extLst>
        </c:ser>
        <c:dLbls>
          <c:showLegendKey val="0"/>
          <c:showVal val="0"/>
          <c:showCatName val="0"/>
          <c:showSerName val="0"/>
          <c:showPercent val="0"/>
          <c:showBubbleSize val="0"/>
        </c:dLbls>
        <c:gapWidth val="219"/>
        <c:overlap val="-27"/>
        <c:axId val="758695536"/>
        <c:axId val="758696976"/>
      </c:barChart>
      <c:catAx>
        <c:axId val="75869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758696976"/>
        <c:crosses val="autoZero"/>
        <c:auto val="1"/>
        <c:lblAlgn val="ctr"/>
        <c:lblOffset val="100"/>
        <c:noMultiLvlLbl val="0"/>
      </c:catAx>
      <c:valAx>
        <c:axId val="75869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758695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a-DK"/>
              <a:t>Status</a:t>
            </a:r>
            <a:r>
              <a:rPr lang="da-DK" baseline="0"/>
              <a:t> pr. person for alle krav</a:t>
            </a:r>
            <a:endParaRPr lang="da-DK"/>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bar"/>
        <c:grouping val="stacked"/>
        <c:varyColors val="0"/>
        <c:ser>
          <c:idx val="0"/>
          <c:order val="0"/>
          <c:tx>
            <c:strRef>
              <c:f>Status!$D$50</c:f>
              <c:strCache>
                <c:ptCount val="1"/>
                <c:pt idx="0">
                  <c:v>Not Started</c:v>
                </c:pt>
              </c:strCache>
            </c:strRef>
          </c:tx>
          <c:spPr>
            <a:solidFill>
              <a:schemeClr val="accent1"/>
            </a:solidFill>
            <a:ln>
              <a:noFill/>
            </a:ln>
            <a:effectLst/>
          </c:spPr>
          <c:invertIfNegative val="0"/>
          <c:cat>
            <c:strRef>
              <c:f>Status!$C$51:$C$63</c:f>
              <c:strCache>
                <c:ptCount val="13"/>
                <c:pt idx="0">
                  <c:v>Anton</c:v>
                </c:pt>
                <c:pt idx="1">
                  <c:v>Anita</c:v>
                </c:pt>
                <c:pt idx="2">
                  <c:v>Hans</c:v>
                </c:pt>
                <c:pt idx="3">
                  <c:v>Claus</c:v>
                </c:pt>
                <c:pt idx="4">
                  <c:v>Torben</c:v>
                </c:pt>
                <c:pt idx="5">
                  <c:v>Cristina</c:v>
                </c:pt>
                <c:pt idx="6">
                  <c:v>Johan</c:v>
                </c:pt>
                <c:pt idx="7">
                  <c:v>Mandip</c:v>
                </c:pt>
                <c:pt idx="8">
                  <c:v>Kim</c:v>
                </c:pt>
                <c:pt idx="9">
                  <c:v>Christian</c:v>
                </c:pt>
                <c:pt idx="10">
                  <c:v>Eva</c:v>
                </c:pt>
                <c:pt idx="11">
                  <c:v>Kaare</c:v>
                </c:pt>
                <c:pt idx="12">
                  <c:v>Morten</c:v>
                </c:pt>
              </c:strCache>
            </c:strRef>
          </c:cat>
          <c:val>
            <c:numRef>
              <c:f>Status!$D$51:$D$63</c:f>
              <c:numCache>
                <c:formatCode>General</c:formatCode>
                <c:ptCount val="13"/>
                <c:pt idx="0">
                  <c:v>0</c:v>
                </c:pt>
                <c:pt idx="1">
                  <c:v>0</c:v>
                </c:pt>
                <c:pt idx="2">
                  <c:v>7</c:v>
                </c:pt>
                <c:pt idx="3">
                  <c:v>4</c:v>
                </c:pt>
                <c:pt idx="4">
                  <c:v>15</c:v>
                </c:pt>
                <c:pt idx="5">
                  <c:v>0</c:v>
                </c:pt>
                <c:pt idx="6">
                  <c:v>1</c:v>
                </c:pt>
                <c:pt idx="7">
                  <c:v>5</c:v>
                </c:pt>
                <c:pt idx="8">
                  <c:v>5</c:v>
                </c:pt>
                <c:pt idx="9">
                  <c:v>1</c:v>
                </c:pt>
                <c:pt idx="10">
                  <c:v>5</c:v>
                </c:pt>
                <c:pt idx="11">
                  <c:v>1</c:v>
                </c:pt>
                <c:pt idx="12">
                  <c:v>2</c:v>
                </c:pt>
              </c:numCache>
            </c:numRef>
          </c:val>
          <c:extLst>
            <c:ext xmlns:c16="http://schemas.microsoft.com/office/drawing/2014/chart" uri="{C3380CC4-5D6E-409C-BE32-E72D297353CC}">
              <c16:uniqueId val="{00000000-F6C4-4DDA-96EE-BE8CEBA2EB93}"/>
            </c:ext>
          </c:extLst>
        </c:ser>
        <c:ser>
          <c:idx val="1"/>
          <c:order val="1"/>
          <c:tx>
            <c:strRef>
              <c:f>Status!$E$50</c:f>
              <c:strCache>
                <c:ptCount val="1"/>
                <c:pt idx="0">
                  <c:v>Started</c:v>
                </c:pt>
              </c:strCache>
            </c:strRef>
          </c:tx>
          <c:spPr>
            <a:solidFill>
              <a:schemeClr val="accent2"/>
            </a:solidFill>
            <a:ln>
              <a:noFill/>
            </a:ln>
            <a:effectLst/>
          </c:spPr>
          <c:invertIfNegative val="0"/>
          <c:cat>
            <c:strRef>
              <c:f>Status!$C$51:$C$63</c:f>
              <c:strCache>
                <c:ptCount val="13"/>
                <c:pt idx="0">
                  <c:v>Anton</c:v>
                </c:pt>
                <c:pt idx="1">
                  <c:v>Anita</c:v>
                </c:pt>
                <c:pt idx="2">
                  <c:v>Hans</c:v>
                </c:pt>
                <c:pt idx="3">
                  <c:v>Claus</c:v>
                </c:pt>
                <c:pt idx="4">
                  <c:v>Torben</c:v>
                </c:pt>
                <c:pt idx="5">
                  <c:v>Cristina</c:v>
                </c:pt>
                <c:pt idx="6">
                  <c:v>Johan</c:v>
                </c:pt>
                <c:pt idx="7">
                  <c:v>Mandip</c:v>
                </c:pt>
                <c:pt idx="8">
                  <c:v>Kim</c:v>
                </c:pt>
                <c:pt idx="9">
                  <c:v>Christian</c:v>
                </c:pt>
                <c:pt idx="10">
                  <c:v>Eva</c:v>
                </c:pt>
                <c:pt idx="11">
                  <c:v>Kaare</c:v>
                </c:pt>
                <c:pt idx="12">
                  <c:v>Morten</c:v>
                </c:pt>
              </c:strCache>
            </c:strRef>
          </c:cat>
          <c:val>
            <c:numRef>
              <c:f>Status!$E$51:$E$63</c:f>
              <c:numCache>
                <c:formatCode>General</c:formatCode>
                <c:ptCount val="13"/>
                <c:pt idx="0">
                  <c:v>0</c:v>
                </c:pt>
                <c:pt idx="1">
                  <c:v>3</c:v>
                </c:pt>
                <c:pt idx="2">
                  <c:v>30</c:v>
                </c:pt>
                <c:pt idx="3">
                  <c:v>7</c:v>
                </c:pt>
                <c:pt idx="4">
                  <c:v>3</c:v>
                </c:pt>
                <c:pt idx="5">
                  <c:v>60</c:v>
                </c:pt>
                <c:pt idx="6">
                  <c:v>7</c:v>
                </c:pt>
                <c:pt idx="7">
                  <c:v>0</c:v>
                </c:pt>
                <c:pt idx="8">
                  <c:v>0</c:v>
                </c:pt>
                <c:pt idx="9">
                  <c:v>0</c:v>
                </c:pt>
                <c:pt idx="10">
                  <c:v>1</c:v>
                </c:pt>
                <c:pt idx="11">
                  <c:v>1</c:v>
                </c:pt>
                <c:pt idx="12">
                  <c:v>0</c:v>
                </c:pt>
              </c:numCache>
            </c:numRef>
          </c:val>
          <c:extLst>
            <c:ext xmlns:c16="http://schemas.microsoft.com/office/drawing/2014/chart" uri="{C3380CC4-5D6E-409C-BE32-E72D297353CC}">
              <c16:uniqueId val="{00000001-F6C4-4DDA-96EE-BE8CEBA2EB93}"/>
            </c:ext>
          </c:extLst>
        </c:ser>
        <c:ser>
          <c:idx val="2"/>
          <c:order val="2"/>
          <c:tx>
            <c:strRef>
              <c:f>Status!$F$50</c:f>
              <c:strCache>
                <c:ptCount val="1"/>
                <c:pt idx="0">
                  <c:v>Ready for review</c:v>
                </c:pt>
              </c:strCache>
            </c:strRef>
          </c:tx>
          <c:spPr>
            <a:solidFill>
              <a:schemeClr val="accent3"/>
            </a:solidFill>
            <a:ln>
              <a:noFill/>
            </a:ln>
            <a:effectLst/>
          </c:spPr>
          <c:invertIfNegative val="0"/>
          <c:cat>
            <c:strRef>
              <c:f>Status!$C$51:$C$63</c:f>
              <c:strCache>
                <c:ptCount val="13"/>
                <c:pt idx="0">
                  <c:v>Anton</c:v>
                </c:pt>
                <c:pt idx="1">
                  <c:v>Anita</c:v>
                </c:pt>
                <c:pt idx="2">
                  <c:v>Hans</c:v>
                </c:pt>
                <c:pt idx="3">
                  <c:v>Claus</c:v>
                </c:pt>
                <c:pt idx="4">
                  <c:v>Torben</c:v>
                </c:pt>
                <c:pt idx="5">
                  <c:v>Cristina</c:v>
                </c:pt>
                <c:pt idx="6">
                  <c:v>Johan</c:v>
                </c:pt>
                <c:pt idx="7">
                  <c:v>Mandip</c:v>
                </c:pt>
                <c:pt idx="8">
                  <c:v>Kim</c:v>
                </c:pt>
                <c:pt idx="9">
                  <c:v>Christian</c:v>
                </c:pt>
                <c:pt idx="10">
                  <c:v>Eva</c:v>
                </c:pt>
                <c:pt idx="11">
                  <c:v>Kaare</c:v>
                </c:pt>
                <c:pt idx="12">
                  <c:v>Morten</c:v>
                </c:pt>
              </c:strCache>
            </c:strRef>
          </c:cat>
          <c:val>
            <c:numRef>
              <c:f>Status!$F$51:$F$63</c:f>
              <c:numCache>
                <c:formatCode>General</c:formatCode>
                <c:ptCount val="13"/>
                <c:pt idx="0">
                  <c:v>0</c:v>
                </c:pt>
                <c:pt idx="1">
                  <c:v>0</c:v>
                </c:pt>
                <c:pt idx="2">
                  <c:v>28</c:v>
                </c:pt>
                <c:pt idx="3">
                  <c:v>0</c:v>
                </c:pt>
                <c:pt idx="4">
                  <c:v>6</c:v>
                </c:pt>
                <c:pt idx="5">
                  <c:v>4</c:v>
                </c:pt>
                <c:pt idx="6">
                  <c:v>0</c:v>
                </c:pt>
                <c:pt idx="7">
                  <c:v>0</c:v>
                </c:pt>
                <c:pt idx="8">
                  <c:v>0</c:v>
                </c:pt>
                <c:pt idx="9">
                  <c:v>0</c:v>
                </c:pt>
                <c:pt idx="10">
                  <c:v>3</c:v>
                </c:pt>
                <c:pt idx="11">
                  <c:v>3</c:v>
                </c:pt>
                <c:pt idx="12">
                  <c:v>1</c:v>
                </c:pt>
              </c:numCache>
            </c:numRef>
          </c:val>
          <c:extLst>
            <c:ext xmlns:c16="http://schemas.microsoft.com/office/drawing/2014/chart" uri="{C3380CC4-5D6E-409C-BE32-E72D297353CC}">
              <c16:uniqueId val="{00000002-F6C4-4DDA-96EE-BE8CEBA2EB93}"/>
            </c:ext>
          </c:extLst>
        </c:ser>
        <c:ser>
          <c:idx val="3"/>
          <c:order val="3"/>
          <c:tx>
            <c:strRef>
              <c:f>Status!$G$50</c:f>
              <c:strCache>
                <c:ptCount val="1"/>
                <c:pt idx="0">
                  <c:v>Reviewed - Content</c:v>
                </c:pt>
              </c:strCache>
            </c:strRef>
          </c:tx>
          <c:spPr>
            <a:solidFill>
              <a:schemeClr val="accent4"/>
            </a:solidFill>
            <a:ln>
              <a:noFill/>
            </a:ln>
            <a:effectLst/>
          </c:spPr>
          <c:invertIfNegative val="0"/>
          <c:cat>
            <c:strRef>
              <c:f>Status!$C$51:$C$63</c:f>
              <c:strCache>
                <c:ptCount val="13"/>
                <c:pt idx="0">
                  <c:v>Anton</c:v>
                </c:pt>
                <c:pt idx="1">
                  <c:v>Anita</c:v>
                </c:pt>
                <c:pt idx="2">
                  <c:v>Hans</c:v>
                </c:pt>
                <c:pt idx="3">
                  <c:v>Claus</c:v>
                </c:pt>
                <c:pt idx="4">
                  <c:v>Torben</c:v>
                </c:pt>
                <c:pt idx="5">
                  <c:v>Cristina</c:v>
                </c:pt>
                <c:pt idx="6">
                  <c:v>Johan</c:v>
                </c:pt>
                <c:pt idx="7">
                  <c:v>Mandip</c:v>
                </c:pt>
                <c:pt idx="8">
                  <c:v>Kim</c:v>
                </c:pt>
                <c:pt idx="9">
                  <c:v>Christian</c:v>
                </c:pt>
                <c:pt idx="10">
                  <c:v>Eva</c:v>
                </c:pt>
                <c:pt idx="11">
                  <c:v>Kaare</c:v>
                </c:pt>
                <c:pt idx="12">
                  <c:v>Morten</c:v>
                </c:pt>
              </c:strCache>
            </c:strRef>
          </c:cat>
          <c:val>
            <c:numRef>
              <c:f>Status!$G$51:$G$63</c:f>
              <c:numCache>
                <c:formatCode>General</c:formatCode>
                <c:ptCount val="13"/>
                <c:pt idx="0">
                  <c:v>144</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3-F6C4-4DDA-96EE-BE8CEBA2EB93}"/>
            </c:ext>
          </c:extLst>
        </c:ser>
        <c:ser>
          <c:idx val="4"/>
          <c:order val="4"/>
          <c:tx>
            <c:strRef>
              <c:f>Status!$H$50</c:f>
              <c:strCache>
                <c:ptCount val="1"/>
                <c:pt idx="0">
                  <c:v>Reviewed - Format</c:v>
                </c:pt>
              </c:strCache>
            </c:strRef>
          </c:tx>
          <c:spPr>
            <a:solidFill>
              <a:schemeClr val="accent5"/>
            </a:solidFill>
            <a:ln>
              <a:noFill/>
            </a:ln>
            <a:effectLst/>
          </c:spPr>
          <c:invertIfNegative val="0"/>
          <c:cat>
            <c:strRef>
              <c:f>Status!$C$51:$C$63</c:f>
              <c:strCache>
                <c:ptCount val="13"/>
                <c:pt idx="0">
                  <c:v>Anton</c:v>
                </c:pt>
                <c:pt idx="1">
                  <c:v>Anita</c:v>
                </c:pt>
                <c:pt idx="2">
                  <c:v>Hans</c:v>
                </c:pt>
                <c:pt idx="3">
                  <c:v>Claus</c:v>
                </c:pt>
                <c:pt idx="4">
                  <c:v>Torben</c:v>
                </c:pt>
                <c:pt idx="5">
                  <c:v>Cristina</c:v>
                </c:pt>
                <c:pt idx="6">
                  <c:v>Johan</c:v>
                </c:pt>
                <c:pt idx="7">
                  <c:v>Mandip</c:v>
                </c:pt>
                <c:pt idx="8">
                  <c:v>Kim</c:v>
                </c:pt>
                <c:pt idx="9">
                  <c:v>Christian</c:v>
                </c:pt>
                <c:pt idx="10">
                  <c:v>Eva</c:v>
                </c:pt>
                <c:pt idx="11">
                  <c:v>Kaare</c:v>
                </c:pt>
                <c:pt idx="12">
                  <c:v>Morten</c:v>
                </c:pt>
              </c:strCache>
            </c:strRef>
          </c:cat>
          <c:val>
            <c:numRef>
              <c:f>Status!$H$51:$H$63</c:f>
              <c:numCache>
                <c:formatCode>General</c:formatCode>
                <c:ptCount val="13"/>
                <c:pt idx="0">
                  <c:v>0</c:v>
                </c:pt>
                <c:pt idx="1">
                  <c:v>0</c:v>
                </c:pt>
                <c:pt idx="2">
                  <c:v>0</c:v>
                </c:pt>
                <c:pt idx="3">
                  <c:v>0</c:v>
                </c:pt>
                <c:pt idx="4">
                  <c:v>0</c:v>
                </c:pt>
                <c:pt idx="5">
                  <c:v>0</c:v>
                </c:pt>
                <c:pt idx="6">
                  <c:v>7</c:v>
                </c:pt>
                <c:pt idx="7">
                  <c:v>0</c:v>
                </c:pt>
                <c:pt idx="8">
                  <c:v>0</c:v>
                </c:pt>
                <c:pt idx="9">
                  <c:v>0</c:v>
                </c:pt>
                <c:pt idx="10">
                  <c:v>0</c:v>
                </c:pt>
                <c:pt idx="11">
                  <c:v>0</c:v>
                </c:pt>
                <c:pt idx="12">
                  <c:v>0</c:v>
                </c:pt>
              </c:numCache>
            </c:numRef>
          </c:val>
          <c:extLst>
            <c:ext xmlns:c16="http://schemas.microsoft.com/office/drawing/2014/chart" uri="{C3380CC4-5D6E-409C-BE32-E72D297353CC}">
              <c16:uniqueId val="{00000004-F6C4-4DDA-96EE-BE8CEBA2EB93}"/>
            </c:ext>
          </c:extLst>
        </c:ser>
        <c:ser>
          <c:idx val="5"/>
          <c:order val="5"/>
          <c:tx>
            <c:strRef>
              <c:f>Status!$I$50</c:f>
              <c:strCache>
                <c:ptCount val="1"/>
                <c:pt idx="0">
                  <c:v>Done</c:v>
                </c:pt>
              </c:strCache>
            </c:strRef>
          </c:tx>
          <c:spPr>
            <a:solidFill>
              <a:schemeClr val="accent6"/>
            </a:solidFill>
            <a:ln>
              <a:noFill/>
            </a:ln>
            <a:effectLst/>
          </c:spPr>
          <c:invertIfNegative val="0"/>
          <c:cat>
            <c:strRef>
              <c:f>Status!$C$51:$C$63</c:f>
              <c:strCache>
                <c:ptCount val="13"/>
                <c:pt idx="0">
                  <c:v>Anton</c:v>
                </c:pt>
                <c:pt idx="1">
                  <c:v>Anita</c:v>
                </c:pt>
                <c:pt idx="2">
                  <c:v>Hans</c:v>
                </c:pt>
                <c:pt idx="3">
                  <c:v>Claus</c:v>
                </c:pt>
                <c:pt idx="4">
                  <c:v>Torben</c:v>
                </c:pt>
                <c:pt idx="5">
                  <c:v>Cristina</c:v>
                </c:pt>
                <c:pt idx="6">
                  <c:v>Johan</c:v>
                </c:pt>
                <c:pt idx="7">
                  <c:v>Mandip</c:v>
                </c:pt>
                <c:pt idx="8">
                  <c:v>Kim</c:v>
                </c:pt>
                <c:pt idx="9">
                  <c:v>Christian</c:v>
                </c:pt>
                <c:pt idx="10">
                  <c:v>Eva</c:v>
                </c:pt>
                <c:pt idx="11">
                  <c:v>Kaare</c:v>
                </c:pt>
                <c:pt idx="12">
                  <c:v>Morten</c:v>
                </c:pt>
              </c:strCache>
            </c:strRef>
          </c:cat>
          <c:val>
            <c:numRef>
              <c:f>Status!$I$51:$I$63</c:f>
              <c:numCache>
                <c:formatCode>General</c:formatCode>
                <c:ptCount val="13"/>
                <c:pt idx="0">
                  <c:v>0</c:v>
                </c:pt>
                <c:pt idx="1">
                  <c:v>0</c:v>
                </c:pt>
                <c:pt idx="2">
                  <c:v>0</c:v>
                </c:pt>
                <c:pt idx="3">
                  <c:v>0</c:v>
                </c:pt>
                <c:pt idx="4">
                  <c:v>0</c:v>
                </c:pt>
                <c:pt idx="5">
                  <c:v>0</c:v>
                </c:pt>
                <c:pt idx="6">
                  <c:v>3</c:v>
                </c:pt>
                <c:pt idx="7">
                  <c:v>0</c:v>
                </c:pt>
                <c:pt idx="8">
                  <c:v>0</c:v>
                </c:pt>
                <c:pt idx="9">
                  <c:v>0</c:v>
                </c:pt>
                <c:pt idx="10">
                  <c:v>0</c:v>
                </c:pt>
                <c:pt idx="11">
                  <c:v>0</c:v>
                </c:pt>
                <c:pt idx="12">
                  <c:v>0</c:v>
                </c:pt>
              </c:numCache>
            </c:numRef>
          </c:val>
          <c:extLst>
            <c:ext xmlns:c16="http://schemas.microsoft.com/office/drawing/2014/chart" uri="{C3380CC4-5D6E-409C-BE32-E72D297353CC}">
              <c16:uniqueId val="{00000005-F6C4-4DDA-96EE-BE8CEBA2EB93}"/>
            </c:ext>
          </c:extLst>
        </c:ser>
        <c:dLbls>
          <c:showLegendKey val="0"/>
          <c:showVal val="0"/>
          <c:showCatName val="0"/>
          <c:showSerName val="0"/>
          <c:showPercent val="0"/>
          <c:showBubbleSize val="0"/>
        </c:dLbls>
        <c:gapWidth val="150"/>
        <c:overlap val="100"/>
        <c:axId val="416712592"/>
        <c:axId val="416728432"/>
      </c:barChart>
      <c:catAx>
        <c:axId val="416712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416728432"/>
        <c:crosses val="autoZero"/>
        <c:auto val="1"/>
        <c:lblAlgn val="ctr"/>
        <c:lblOffset val="100"/>
        <c:noMultiLvlLbl val="0"/>
      </c:catAx>
      <c:valAx>
        <c:axId val="416728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416712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a-DK"/>
              <a:t>Status</a:t>
            </a:r>
            <a:r>
              <a:rPr lang="da-DK" baseline="0"/>
              <a:t> pr. person for evalueringskrav</a:t>
            </a:r>
            <a:endParaRPr lang="da-DK"/>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bar"/>
        <c:grouping val="clustered"/>
        <c:varyColors val="0"/>
        <c:ser>
          <c:idx val="0"/>
          <c:order val="0"/>
          <c:tx>
            <c:strRef>
              <c:f>Status!$D$72</c:f>
              <c:strCache>
                <c:ptCount val="1"/>
                <c:pt idx="0">
                  <c:v>Not Started</c:v>
                </c:pt>
              </c:strCache>
            </c:strRef>
          </c:tx>
          <c:spPr>
            <a:solidFill>
              <a:schemeClr val="accent1"/>
            </a:solidFill>
            <a:ln>
              <a:noFill/>
            </a:ln>
            <a:effectLst/>
          </c:spPr>
          <c:invertIfNegative val="0"/>
          <c:cat>
            <c:strRef>
              <c:f>Status!$C$73:$C$85</c:f>
              <c:strCache>
                <c:ptCount val="13"/>
                <c:pt idx="0">
                  <c:v>Anton</c:v>
                </c:pt>
                <c:pt idx="1">
                  <c:v>Anita</c:v>
                </c:pt>
                <c:pt idx="2">
                  <c:v>Hans</c:v>
                </c:pt>
                <c:pt idx="3">
                  <c:v>Claus</c:v>
                </c:pt>
                <c:pt idx="4">
                  <c:v>Torben</c:v>
                </c:pt>
                <c:pt idx="5">
                  <c:v>Cristina</c:v>
                </c:pt>
                <c:pt idx="6">
                  <c:v>Johan</c:v>
                </c:pt>
                <c:pt idx="7">
                  <c:v>Mandip</c:v>
                </c:pt>
                <c:pt idx="8">
                  <c:v>Kim</c:v>
                </c:pt>
                <c:pt idx="9">
                  <c:v>Christian</c:v>
                </c:pt>
                <c:pt idx="10">
                  <c:v>Eva</c:v>
                </c:pt>
                <c:pt idx="11">
                  <c:v>Kaare</c:v>
                </c:pt>
                <c:pt idx="12">
                  <c:v>Morten</c:v>
                </c:pt>
              </c:strCache>
            </c:strRef>
          </c:cat>
          <c:val>
            <c:numRef>
              <c:f>Status!$D$73:$D$85</c:f>
              <c:numCache>
                <c:formatCode>General</c:formatCode>
                <c:ptCount val="13"/>
                <c:pt idx="0">
                  <c:v>0</c:v>
                </c:pt>
                <c:pt idx="1">
                  <c:v>0</c:v>
                </c:pt>
                <c:pt idx="2">
                  <c:v>4</c:v>
                </c:pt>
                <c:pt idx="3">
                  <c:v>4</c:v>
                </c:pt>
                <c:pt idx="4">
                  <c:v>4</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EB37-4E2A-8604-25EC8A37688A}"/>
            </c:ext>
          </c:extLst>
        </c:ser>
        <c:ser>
          <c:idx val="1"/>
          <c:order val="1"/>
          <c:tx>
            <c:strRef>
              <c:f>Status!$E$72</c:f>
              <c:strCache>
                <c:ptCount val="1"/>
                <c:pt idx="0">
                  <c:v>Started</c:v>
                </c:pt>
              </c:strCache>
            </c:strRef>
          </c:tx>
          <c:spPr>
            <a:solidFill>
              <a:schemeClr val="accent2"/>
            </a:solidFill>
            <a:ln>
              <a:noFill/>
            </a:ln>
            <a:effectLst/>
          </c:spPr>
          <c:invertIfNegative val="0"/>
          <c:cat>
            <c:strRef>
              <c:f>Status!$C$73:$C$85</c:f>
              <c:strCache>
                <c:ptCount val="13"/>
                <c:pt idx="0">
                  <c:v>Anton</c:v>
                </c:pt>
                <c:pt idx="1">
                  <c:v>Anita</c:v>
                </c:pt>
                <c:pt idx="2">
                  <c:v>Hans</c:v>
                </c:pt>
                <c:pt idx="3">
                  <c:v>Claus</c:v>
                </c:pt>
                <c:pt idx="4">
                  <c:v>Torben</c:v>
                </c:pt>
                <c:pt idx="5">
                  <c:v>Cristina</c:v>
                </c:pt>
                <c:pt idx="6">
                  <c:v>Johan</c:v>
                </c:pt>
                <c:pt idx="7">
                  <c:v>Mandip</c:v>
                </c:pt>
                <c:pt idx="8">
                  <c:v>Kim</c:v>
                </c:pt>
                <c:pt idx="9">
                  <c:v>Christian</c:v>
                </c:pt>
                <c:pt idx="10">
                  <c:v>Eva</c:v>
                </c:pt>
                <c:pt idx="11">
                  <c:v>Kaare</c:v>
                </c:pt>
                <c:pt idx="12">
                  <c:v>Morten</c:v>
                </c:pt>
              </c:strCache>
            </c:strRef>
          </c:cat>
          <c:val>
            <c:numRef>
              <c:f>Status!$E$73:$E$85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EB37-4E2A-8604-25EC8A37688A}"/>
            </c:ext>
          </c:extLst>
        </c:ser>
        <c:ser>
          <c:idx val="2"/>
          <c:order val="2"/>
          <c:tx>
            <c:strRef>
              <c:f>Status!$F$72</c:f>
              <c:strCache>
                <c:ptCount val="1"/>
                <c:pt idx="0">
                  <c:v>Ready for review</c:v>
                </c:pt>
              </c:strCache>
            </c:strRef>
          </c:tx>
          <c:spPr>
            <a:solidFill>
              <a:schemeClr val="accent3"/>
            </a:solidFill>
            <a:ln>
              <a:noFill/>
            </a:ln>
            <a:effectLst/>
          </c:spPr>
          <c:invertIfNegative val="0"/>
          <c:cat>
            <c:strRef>
              <c:f>Status!$C$73:$C$85</c:f>
              <c:strCache>
                <c:ptCount val="13"/>
                <c:pt idx="0">
                  <c:v>Anton</c:v>
                </c:pt>
                <c:pt idx="1">
                  <c:v>Anita</c:v>
                </c:pt>
                <c:pt idx="2">
                  <c:v>Hans</c:v>
                </c:pt>
                <c:pt idx="3">
                  <c:v>Claus</c:v>
                </c:pt>
                <c:pt idx="4">
                  <c:v>Torben</c:v>
                </c:pt>
                <c:pt idx="5">
                  <c:v>Cristina</c:v>
                </c:pt>
                <c:pt idx="6">
                  <c:v>Johan</c:v>
                </c:pt>
                <c:pt idx="7">
                  <c:v>Mandip</c:v>
                </c:pt>
                <c:pt idx="8">
                  <c:v>Kim</c:v>
                </c:pt>
                <c:pt idx="9">
                  <c:v>Christian</c:v>
                </c:pt>
                <c:pt idx="10">
                  <c:v>Eva</c:v>
                </c:pt>
                <c:pt idx="11">
                  <c:v>Kaare</c:v>
                </c:pt>
                <c:pt idx="12">
                  <c:v>Morten</c:v>
                </c:pt>
              </c:strCache>
            </c:strRef>
          </c:cat>
          <c:val>
            <c:numRef>
              <c:f>Status!$F$73:$F$85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EB37-4E2A-8604-25EC8A37688A}"/>
            </c:ext>
          </c:extLst>
        </c:ser>
        <c:ser>
          <c:idx val="3"/>
          <c:order val="3"/>
          <c:tx>
            <c:strRef>
              <c:f>Status!$G$72</c:f>
              <c:strCache>
                <c:ptCount val="1"/>
                <c:pt idx="0">
                  <c:v>Reviewed - Content</c:v>
                </c:pt>
              </c:strCache>
            </c:strRef>
          </c:tx>
          <c:spPr>
            <a:solidFill>
              <a:schemeClr val="accent4"/>
            </a:solidFill>
            <a:ln>
              <a:noFill/>
            </a:ln>
            <a:effectLst/>
          </c:spPr>
          <c:invertIfNegative val="0"/>
          <c:cat>
            <c:strRef>
              <c:f>Status!$C$73:$C$85</c:f>
              <c:strCache>
                <c:ptCount val="13"/>
                <c:pt idx="0">
                  <c:v>Anton</c:v>
                </c:pt>
                <c:pt idx="1">
                  <c:v>Anita</c:v>
                </c:pt>
                <c:pt idx="2">
                  <c:v>Hans</c:v>
                </c:pt>
                <c:pt idx="3">
                  <c:v>Claus</c:v>
                </c:pt>
                <c:pt idx="4">
                  <c:v>Torben</c:v>
                </c:pt>
                <c:pt idx="5">
                  <c:v>Cristina</c:v>
                </c:pt>
                <c:pt idx="6">
                  <c:v>Johan</c:v>
                </c:pt>
                <c:pt idx="7">
                  <c:v>Mandip</c:v>
                </c:pt>
                <c:pt idx="8">
                  <c:v>Kim</c:v>
                </c:pt>
                <c:pt idx="9">
                  <c:v>Christian</c:v>
                </c:pt>
                <c:pt idx="10">
                  <c:v>Eva</c:v>
                </c:pt>
                <c:pt idx="11">
                  <c:v>Kaare</c:v>
                </c:pt>
                <c:pt idx="12">
                  <c:v>Morten</c:v>
                </c:pt>
              </c:strCache>
            </c:strRef>
          </c:cat>
          <c:val>
            <c:numRef>
              <c:f>Status!$G$73:$G$85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3-EB37-4E2A-8604-25EC8A37688A}"/>
            </c:ext>
          </c:extLst>
        </c:ser>
        <c:ser>
          <c:idx val="4"/>
          <c:order val="4"/>
          <c:tx>
            <c:strRef>
              <c:f>Status!$H$72</c:f>
              <c:strCache>
                <c:ptCount val="1"/>
                <c:pt idx="0">
                  <c:v>Reviewed - Format</c:v>
                </c:pt>
              </c:strCache>
            </c:strRef>
          </c:tx>
          <c:spPr>
            <a:solidFill>
              <a:schemeClr val="accent5"/>
            </a:solidFill>
            <a:ln>
              <a:noFill/>
            </a:ln>
            <a:effectLst/>
          </c:spPr>
          <c:invertIfNegative val="0"/>
          <c:cat>
            <c:strRef>
              <c:f>Status!$C$73:$C$85</c:f>
              <c:strCache>
                <c:ptCount val="13"/>
                <c:pt idx="0">
                  <c:v>Anton</c:v>
                </c:pt>
                <c:pt idx="1">
                  <c:v>Anita</c:v>
                </c:pt>
                <c:pt idx="2">
                  <c:v>Hans</c:v>
                </c:pt>
                <c:pt idx="3">
                  <c:v>Claus</c:v>
                </c:pt>
                <c:pt idx="4">
                  <c:v>Torben</c:v>
                </c:pt>
                <c:pt idx="5">
                  <c:v>Cristina</c:v>
                </c:pt>
                <c:pt idx="6">
                  <c:v>Johan</c:v>
                </c:pt>
                <c:pt idx="7">
                  <c:v>Mandip</c:v>
                </c:pt>
                <c:pt idx="8">
                  <c:v>Kim</c:v>
                </c:pt>
                <c:pt idx="9">
                  <c:v>Christian</c:v>
                </c:pt>
                <c:pt idx="10">
                  <c:v>Eva</c:v>
                </c:pt>
                <c:pt idx="11">
                  <c:v>Kaare</c:v>
                </c:pt>
                <c:pt idx="12">
                  <c:v>Morten</c:v>
                </c:pt>
              </c:strCache>
            </c:strRef>
          </c:cat>
          <c:val>
            <c:numRef>
              <c:f>Status!$H$73:$H$85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4-EB37-4E2A-8604-25EC8A37688A}"/>
            </c:ext>
          </c:extLst>
        </c:ser>
        <c:ser>
          <c:idx val="5"/>
          <c:order val="5"/>
          <c:tx>
            <c:strRef>
              <c:f>Status!$I$72</c:f>
              <c:strCache>
                <c:ptCount val="1"/>
                <c:pt idx="0">
                  <c:v>Done</c:v>
                </c:pt>
              </c:strCache>
            </c:strRef>
          </c:tx>
          <c:spPr>
            <a:solidFill>
              <a:schemeClr val="accent6"/>
            </a:solidFill>
            <a:ln>
              <a:noFill/>
            </a:ln>
            <a:effectLst/>
          </c:spPr>
          <c:invertIfNegative val="0"/>
          <c:cat>
            <c:strRef>
              <c:f>Status!$C$73:$C$85</c:f>
              <c:strCache>
                <c:ptCount val="13"/>
                <c:pt idx="0">
                  <c:v>Anton</c:v>
                </c:pt>
                <c:pt idx="1">
                  <c:v>Anita</c:v>
                </c:pt>
                <c:pt idx="2">
                  <c:v>Hans</c:v>
                </c:pt>
                <c:pt idx="3">
                  <c:v>Claus</c:v>
                </c:pt>
                <c:pt idx="4">
                  <c:v>Torben</c:v>
                </c:pt>
                <c:pt idx="5">
                  <c:v>Cristina</c:v>
                </c:pt>
                <c:pt idx="6">
                  <c:v>Johan</c:v>
                </c:pt>
                <c:pt idx="7">
                  <c:v>Mandip</c:v>
                </c:pt>
                <c:pt idx="8">
                  <c:v>Kim</c:v>
                </c:pt>
                <c:pt idx="9">
                  <c:v>Christian</c:v>
                </c:pt>
                <c:pt idx="10">
                  <c:v>Eva</c:v>
                </c:pt>
                <c:pt idx="11">
                  <c:v>Kaare</c:v>
                </c:pt>
                <c:pt idx="12">
                  <c:v>Morten</c:v>
                </c:pt>
              </c:strCache>
            </c:strRef>
          </c:cat>
          <c:val>
            <c:numRef>
              <c:f>Status!$I$73:$I$85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5-EB37-4E2A-8604-25EC8A37688A}"/>
            </c:ext>
          </c:extLst>
        </c:ser>
        <c:dLbls>
          <c:showLegendKey val="0"/>
          <c:showVal val="0"/>
          <c:showCatName val="0"/>
          <c:showSerName val="0"/>
          <c:showPercent val="0"/>
          <c:showBubbleSize val="0"/>
        </c:dLbls>
        <c:gapWidth val="182"/>
        <c:axId val="1266596000"/>
        <c:axId val="1266597440"/>
      </c:barChart>
      <c:catAx>
        <c:axId val="1266596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266597440"/>
        <c:crosses val="autoZero"/>
        <c:auto val="1"/>
        <c:lblAlgn val="ctr"/>
        <c:lblOffset val="100"/>
        <c:noMultiLvlLbl val="0"/>
      </c:catAx>
      <c:valAx>
        <c:axId val="1266597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266596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barChart>
        <c:barDir val="col"/>
        <c:grouping val="clustered"/>
        <c:varyColors val="0"/>
        <c:ser>
          <c:idx val="0"/>
          <c:order val="0"/>
          <c:tx>
            <c:strRef>
              <c:f>'Production Plan'!$K$1</c:f>
              <c:strCache>
                <c:ptCount val="1"/>
                <c:pt idx="0">
                  <c:v>Round #1</c:v>
                </c:pt>
              </c:strCache>
            </c:strRef>
          </c:tx>
          <c:spPr>
            <a:solidFill>
              <a:schemeClr val="accent1"/>
            </a:solidFill>
            <a:ln>
              <a:noFill/>
            </a:ln>
            <a:effectLst/>
          </c:spPr>
          <c:invertIfNegative val="0"/>
          <c:val>
            <c:numRef>
              <c:f>'Production Plan'!$K$2:$K$358</c:f>
              <c:numCache>
                <c:formatCode>General</c:formatCode>
                <c:ptCount val="357"/>
              </c:numCache>
            </c:numRef>
          </c:val>
          <c:extLst>
            <c:ext xmlns:c16="http://schemas.microsoft.com/office/drawing/2014/chart" uri="{C3380CC4-5D6E-409C-BE32-E72D297353CC}">
              <c16:uniqueId val="{00000000-C6AD-4C38-8D1A-E96E215546B7}"/>
            </c:ext>
          </c:extLst>
        </c:ser>
        <c:dLbls>
          <c:showLegendKey val="0"/>
          <c:showVal val="0"/>
          <c:showCatName val="0"/>
          <c:showSerName val="0"/>
          <c:showPercent val="0"/>
          <c:showBubbleSize val="0"/>
        </c:dLbls>
        <c:gapWidth val="219"/>
        <c:overlap val="-27"/>
        <c:axId val="1454322016"/>
        <c:axId val="1384855824"/>
      </c:barChart>
      <c:catAx>
        <c:axId val="14543220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384855824"/>
        <c:crosses val="autoZero"/>
        <c:auto val="1"/>
        <c:lblAlgn val="ctr"/>
        <c:lblOffset val="100"/>
        <c:noMultiLvlLbl val="0"/>
      </c:catAx>
      <c:valAx>
        <c:axId val="1384855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45432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a-DK"/>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A07743B-7465-4D05-B79A-15E1F37E0D88}">
  <sheetPr/>
  <sheetViews>
    <sheetView zoomScale="85"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546099</xdr:colOff>
      <xdr:row>23</xdr:row>
      <xdr:rowOff>25400</xdr:rowOff>
    </xdr:from>
    <xdr:to>
      <xdr:col>20</xdr:col>
      <xdr:colOff>733424</xdr:colOff>
      <xdr:row>46</xdr:row>
      <xdr:rowOff>111125</xdr:rowOff>
    </xdr:to>
    <xdr:graphicFrame macro="">
      <xdr:nvGraphicFramePr>
        <xdr:cNvPr id="2" name="Chart 1">
          <a:extLst>
            <a:ext uri="{FF2B5EF4-FFF2-40B4-BE49-F238E27FC236}">
              <a16:creationId xmlns:a16="http://schemas.microsoft.com/office/drawing/2014/main" id="{5F613C27-6339-42DD-F8FD-B6FBE2740E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381000</xdr:colOff>
      <xdr:row>47</xdr:row>
      <xdr:rowOff>34924</xdr:rowOff>
    </xdr:from>
    <xdr:to>
      <xdr:col>19</xdr:col>
      <xdr:colOff>38100</xdr:colOff>
      <xdr:row>67</xdr:row>
      <xdr:rowOff>66674</xdr:rowOff>
    </xdr:to>
    <xdr:graphicFrame macro="">
      <xdr:nvGraphicFramePr>
        <xdr:cNvPr id="4" name="Chart 3">
          <a:extLst>
            <a:ext uri="{FF2B5EF4-FFF2-40B4-BE49-F238E27FC236}">
              <a16:creationId xmlns:a16="http://schemas.microsoft.com/office/drawing/2014/main" id="{73ED7D5E-78A0-52EE-FECA-1620B72FA3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68</xdr:row>
      <xdr:rowOff>206375</xdr:rowOff>
    </xdr:from>
    <xdr:to>
      <xdr:col>19</xdr:col>
      <xdr:colOff>142875</xdr:colOff>
      <xdr:row>89</xdr:row>
      <xdr:rowOff>57150</xdr:rowOff>
    </xdr:to>
    <xdr:graphicFrame macro="">
      <xdr:nvGraphicFramePr>
        <xdr:cNvPr id="5" name="Chart 4">
          <a:extLst>
            <a:ext uri="{FF2B5EF4-FFF2-40B4-BE49-F238E27FC236}">
              <a16:creationId xmlns:a16="http://schemas.microsoft.com/office/drawing/2014/main" id="{4A1590E5-F8EE-7A8D-E1BD-E1AE755793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11</xdr:row>
      <xdr:rowOff>0</xdr:rowOff>
    </xdr:from>
    <xdr:to>
      <xdr:col>14</xdr:col>
      <xdr:colOff>125225</xdr:colOff>
      <xdr:row>16</xdr:row>
      <xdr:rowOff>98581</xdr:rowOff>
    </xdr:to>
    <xdr:pic>
      <xdr:nvPicPr>
        <xdr:cNvPr id="2" name="Picture 1">
          <a:extLst>
            <a:ext uri="{FF2B5EF4-FFF2-40B4-BE49-F238E27FC236}">
              <a16:creationId xmlns:a16="http://schemas.microsoft.com/office/drawing/2014/main" id="{9BA0EC00-0733-9A86-8092-1C29424FAFE1}"/>
            </a:ext>
          </a:extLst>
        </xdr:cNvPr>
        <xdr:cNvPicPr>
          <a:picLocks noChangeAspect="1"/>
        </xdr:cNvPicPr>
      </xdr:nvPicPr>
      <xdr:blipFill>
        <a:blip xmlns:r="http://schemas.openxmlformats.org/officeDocument/2006/relationships" r:embed="rId1"/>
        <a:stretch>
          <a:fillRect/>
        </a:stretch>
      </xdr:blipFill>
      <xdr:spPr>
        <a:xfrm>
          <a:off x="762000" y="12230100"/>
          <a:ext cx="10031225" cy="111458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0" y="0"/>
    <xdr:ext cx="13937959" cy="9096812"/>
    <xdr:graphicFrame macro="">
      <xdr:nvGraphicFramePr>
        <xdr:cNvPr id="2" name="Diagram 1">
          <a:extLst>
            <a:ext uri="{FF2B5EF4-FFF2-40B4-BE49-F238E27FC236}">
              <a16:creationId xmlns:a16="http://schemas.microsoft.com/office/drawing/2014/main" id="{B5008CE7-AD74-8B07-54ED-F77293ADAB7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Tieto">
      <a:dk1>
        <a:srgbClr val="272A2C"/>
      </a:dk1>
      <a:lt1>
        <a:srgbClr val="FFFFFF"/>
      </a:lt1>
      <a:dk2>
        <a:srgbClr val="1A1715"/>
      </a:dk2>
      <a:lt2>
        <a:srgbClr val="D2D0CB"/>
      </a:lt2>
      <a:accent1>
        <a:srgbClr val="021E57"/>
      </a:accent1>
      <a:accent2>
        <a:srgbClr val="3531CF"/>
      </a:accent2>
      <a:accent3>
        <a:srgbClr val="4E60E7"/>
      </a:accent3>
      <a:accent4>
        <a:srgbClr val="839DF9"/>
      </a:accent4>
      <a:accent5>
        <a:srgbClr val="F5FF56"/>
      </a:accent5>
      <a:accent6>
        <a:srgbClr val="78716E"/>
      </a:accent6>
      <a:hlink>
        <a:srgbClr val="000000"/>
      </a:hlink>
      <a:folHlink>
        <a:srgbClr val="000000"/>
      </a:folHlink>
    </a:clrScheme>
    <a:fontScheme name="Aptos">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custClrLst>
    <a:custClr name="Warm Gray">
      <a:srgbClr val="6E6259"/>
    </a:custClr>
    <a:custClr name="Warm Gray 90%">
      <a:srgbClr val="7B7168"/>
    </a:custClr>
    <a:custClr name="Warm Gray">
      <a:srgbClr val="6E6259"/>
    </a:custClr>
    <a:custClr name="Warm Gray 80%">
      <a:srgbClr val="8B807C"/>
    </a:custClr>
    <a:custClr name="Warm Gray 70%">
      <a:srgbClr val="9C918C"/>
    </a:custClr>
    <a:custClr name="Warm Gray 60%">
      <a:srgbClr val="A9A09B"/>
    </a:custClr>
    <a:custClr name="Warm Gray 50%">
      <a:srgbClr val="B6B1AE"/>
    </a:custClr>
    <a:custClr name="Warm Gray 40%">
      <a:srgbClr val="C5C0BD"/>
    </a:custClr>
    <a:custClr name="Warm Gray 30%">
      <a:srgbClr val="D4D0CD"/>
    </a:custClr>
    <a:custClr name="Warm Gray 20%">
      <a:srgbClr val="E2E0DE"/>
    </a:custClr>
    <a:custClr name="Warm Gray 10%">
      <a:srgbClr val="F1EFED"/>
    </a:custClr>
    <a:custClr name="Hero Red">
      <a:srgbClr val="F9423A"/>
    </a:custClr>
    <a:custClr name="Maroon">
      <a:srgbClr val="64302F"/>
    </a:custClr>
    <a:custClr name="Peach">
      <a:srgbClr val="EACBBB"/>
    </a:custClr>
    <a:custClr name="Peach 40%">
      <a:srgbClr val="F7EAE4"/>
    </a:custClr>
    <a:custClr name="Peach 30%">
      <a:srgbClr val="FAF5F1"/>
    </a:custClr>
    <a:custClr name="Peach 20%">
      <a:srgbClr val="FCF8F5"/>
    </a:custClr>
    <a:custClr name="Peach 10%">
      <a:srgbClr val="FEFAF9"/>
    </a:custClr>
    <a:custClr name="White">
      <a:srgbClr val="FFFFFF"/>
    </a:custClr>
    <a:custClr name="CTA Yellow">
      <a:srgbClr val="E9EC6B"/>
    </a:custClr>
    <a:custClr name="Warm Gray 5%">
      <a:srgbClr val="F9F6F8"/>
    </a:custClr>
    <a:custClr name="Cool Gray">
      <a:srgbClr val="52565A"/>
    </a:custClr>
    <a:custClr name="Cool Gray 90%">
      <a:srgbClr val="63676A"/>
    </a:custClr>
    <a:custClr name="Cool Gray 80%">
      <a:srgbClr val="74787B"/>
    </a:custClr>
    <a:custClr name="Cool Gray 70%">
      <a:srgbClr val="86888B"/>
    </a:custClr>
    <a:custClr name="Cool Gray 60%">
      <a:srgbClr val="989A9C"/>
    </a:custClr>
    <a:custClr name="Cool Gray 50%">
      <a:srgbClr val="A9AAAC"/>
    </a:custClr>
    <a:custClr name="Cool Gray 40%">
      <a:srgbClr val="CBCCCD"/>
    </a:custClr>
    <a:custClr name="Cool Gray 30%">
      <a:srgbClr val="D4D5D5"/>
    </a:custClr>
    <a:custClr name="Cool Gray 20%">
      <a:srgbClr val="DDDDDE"/>
    </a:custClr>
    <a:custClr name="Cool Gray 10%">
      <a:srgbClr val="EDEEEE"/>
    </a:custClr>
    <a:custClr name="Black">
      <a:srgbClr val="000000"/>
    </a:custClr>
    <a:custClr name="Dark Blue">
      <a:srgbClr val="0C1D48"/>
    </a:custClr>
    <a:custClr name="Hero Blue">
      <a:srgbClr val="280071"/>
    </a:custClr>
    <a:custClr name="Violet">
      <a:srgbClr val="B1B5CE"/>
    </a:custClr>
    <a:custClr name="Violet 40%">
      <a:srgbClr val="E0E1EB"/>
    </a:custClr>
    <a:custClr name="Violet 30%">
      <a:srgbClr val="E7E9F0"/>
    </a:custClr>
    <a:custClr name="Violet 20%">
      <a:srgbClr val="EFF1F5"/>
    </a:custClr>
    <a:custClr name="Violet 10%">
      <a:srgbClr val="F8F7FF"/>
    </a:custClr>
    <a:custClr name="CTA Green">
      <a:srgbClr val="26D07C"/>
    </a:custClr>
    <a:custClr name="Cool Gray 5%">
      <a:srgbClr val="F6F6F8"/>
    </a:custClr>
  </a:custClr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E93EC-F2E3-4848-BD29-CE38EA57B900}">
  <dimension ref="A1:AH358"/>
  <sheetViews>
    <sheetView zoomScale="70" zoomScaleNormal="70" workbookViewId="0">
      <pane ySplit="1" topLeftCell="A199" activePane="bottomLeft" state="frozen"/>
      <selection pane="bottomLeft" activeCell="V268" sqref="V268"/>
    </sheetView>
  </sheetViews>
  <sheetFormatPr defaultColWidth="14.3046875" defaultRowHeight="16"/>
  <cols>
    <col min="1" max="1" width="5.3046875" style="33" bestFit="1" customWidth="1"/>
    <col min="2" max="2" width="14.3046875" style="33"/>
    <col min="3" max="3" width="20.23046875" style="33" hidden="1" customWidth="1"/>
    <col min="4" max="4" width="14.3046875" style="33"/>
    <col min="5" max="5" width="21.53515625" style="33" customWidth="1"/>
    <col min="6" max="6" width="59.3046875" style="33" customWidth="1"/>
    <col min="7" max="7" width="14.3046875" style="33"/>
    <col min="8" max="9" width="14.3046875" style="33" customWidth="1"/>
    <col min="10" max="10" width="7.69140625" style="33" customWidth="1"/>
    <col min="11" max="11" width="14.3046875" style="36" customWidth="1"/>
    <col min="12" max="12" width="14.3046875" style="33"/>
    <col min="13" max="13" width="7.23046875" style="33" customWidth="1"/>
    <col min="14" max="14" width="8.69140625" style="33" customWidth="1"/>
    <col min="15" max="15" width="15.53515625" style="33" customWidth="1"/>
    <col min="16" max="16" width="38.69140625" style="33" customWidth="1"/>
    <col min="17" max="17" width="9.921875" style="33" bestFit="1" customWidth="1"/>
    <col min="18" max="18" width="12.07421875" style="33" bestFit="1" customWidth="1"/>
    <col min="19" max="19" width="8.84375" style="33" customWidth="1"/>
    <col min="20" max="20" width="6.07421875" style="33" customWidth="1"/>
    <col min="21" max="22" width="14.3046875" style="33"/>
    <col min="23" max="23" width="14.3046875" style="38"/>
    <col min="24" max="24" width="14.3046875" style="33"/>
    <col min="25" max="31" width="14.3046875" style="33" bestFit="1"/>
    <col min="32" max="16384" width="14.3046875" style="33"/>
  </cols>
  <sheetData>
    <row r="1" spans="1:34" s="39" customFormat="1" ht="32">
      <c r="A1" s="43" t="s">
        <v>0</v>
      </c>
      <c r="B1" s="43" t="s">
        <v>1</v>
      </c>
      <c r="C1" s="43" t="s">
        <v>2</v>
      </c>
      <c r="D1" s="43" t="s">
        <v>3</v>
      </c>
      <c r="E1" s="43" t="s">
        <v>4</v>
      </c>
      <c r="F1" s="43" t="s">
        <v>5</v>
      </c>
      <c r="G1" s="43" t="s">
        <v>6</v>
      </c>
      <c r="H1" s="43" t="s">
        <v>7</v>
      </c>
      <c r="I1" s="43" t="s">
        <v>8</v>
      </c>
      <c r="J1" s="43" t="s">
        <v>9</v>
      </c>
      <c r="K1" s="46" t="s">
        <v>10</v>
      </c>
      <c r="L1" s="44" t="s">
        <v>11</v>
      </c>
      <c r="M1" s="44" t="s">
        <v>12</v>
      </c>
      <c r="N1" s="45" t="s">
        <v>13</v>
      </c>
      <c r="O1" s="45" t="s">
        <v>14</v>
      </c>
      <c r="P1" s="45" t="s">
        <v>15</v>
      </c>
      <c r="Q1" s="45" t="s">
        <v>2224</v>
      </c>
      <c r="R1" s="45" t="s">
        <v>16</v>
      </c>
      <c r="S1" s="45" t="s">
        <v>17</v>
      </c>
      <c r="T1" s="45" t="s">
        <v>18</v>
      </c>
      <c r="U1" s="45" t="s">
        <v>19</v>
      </c>
      <c r="V1" s="44" t="s">
        <v>20</v>
      </c>
      <c r="W1" s="44" t="s">
        <v>21</v>
      </c>
      <c r="X1" s="50" t="s">
        <v>22</v>
      </c>
      <c r="Y1" s="50" t="s">
        <v>23</v>
      </c>
      <c r="Z1" s="50" t="s">
        <v>24</v>
      </c>
      <c r="AA1" s="50" t="s">
        <v>25</v>
      </c>
      <c r="AB1" s="50" t="s">
        <v>26</v>
      </c>
      <c r="AC1" s="50" t="s">
        <v>27</v>
      </c>
      <c r="AD1" s="50" t="s">
        <v>28</v>
      </c>
      <c r="AE1" s="50" t="s">
        <v>29</v>
      </c>
      <c r="AF1" s="50" t="s">
        <v>30</v>
      </c>
      <c r="AG1" s="50" t="s">
        <v>31</v>
      </c>
      <c r="AH1" s="50" t="s">
        <v>32</v>
      </c>
    </row>
    <row r="2" spans="1:34" ht="234">
      <c r="A2" s="35">
        <v>1</v>
      </c>
      <c r="B2" s="35" t="s">
        <v>33</v>
      </c>
      <c r="C2" s="35" t="s">
        <v>34</v>
      </c>
      <c r="D2" s="35" t="s">
        <v>35</v>
      </c>
      <c r="E2" s="35" t="s">
        <v>36</v>
      </c>
      <c r="F2" s="35" t="s">
        <v>37</v>
      </c>
      <c r="G2" s="35" t="s">
        <v>38</v>
      </c>
      <c r="H2" s="35" t="str">
        <f>IF(G2="Evalueringskrav","Answer",(IF(G2="Krav","Check",(IF(G2="Mindstekrav","Verify","")))))</f>
        <v>Verify</v>
      </c>
      <c r="I2" s="35" t="s">
        <v>39</v>
      </c>
      <c r="J2" s="35"/>
      <c r="K2" s="47"/>
      <c r="L2" s="35" t="s">
        <v>40</v>
      </c>
      <c r="M2" s="35"/>
      <c r="N2" s="35"/>
      <c r="O2" s="35" t="s">
        <v>41</v>
      </c>
      <c r="P2" s="35"/>
      <c r="Q2" s="35"/>
      <c r="R2" s="35"/>
      <c r="S2" s="35"/>
      <c r="T2" s="35"/>
      <c r="U2" s="35"/>
      <c r="V2" s="35" t="s">
        <v>42</v>
      </c>
      <c r="W2" s="37">
        <f>IF(V2="Not Started",0%,IF(V2="Started",50%,IF(V2="Ready for review",70%,IF(V2="Reviewed - Content",80%,IF(V2="Reviewed - Format",90%,IF(V2="Done",100%,""))))))</f>
        <v>0.8</v>
      </c>
      <c r="X2" s="33" t="s">
        <v>43</v>
      </c>
      <c r="Y2" s="33" t="s">
        <v>44</v>
      </c>
      <c r="Z2" s="33" t="s">
        <v>45</v>
      </c>
      <c r="AA2" s="33" t="s">
        <v>46</v>
      </c>
      <c r="AB2" s="33" t="s">
        <v>47</v>
      </c>
      <c r="AD2" s="33" t="s">
        <v>48</v>
      </c>
      <c r="AE2" s="33" t="s">
        <v>49</v>
      </c>
      <c r="AG2" s="33" t="s">
        <v>50</v>
      </c>
      <c r="AH2" s="33" t="s">
        <v>51</v>
      </c>
    </row>
    <row r="3" spans="1:34" ht="296.39999999999998">
      <c r="A3" s="35">
        <v>2</v>
      </c>
      <c r="B3" s="35" t="s">
        <v>52</v>
      </c>
      <c r="C3" s="35" t="s">
        <v>34</v>
      </c>
      <c r="D3" s="35" t="s">
        <v>35</v>
      </c>
      <c r="E3" s="35" t="s">
        <v>53</v>
      </c>
      <c r="F3" s="35" t="s">
        <v>54</v>
      </c>
      <c r="G3" s="35" t="s">
        <v>38</v>
      </c>
      <c r="H3" s="35" t="str">
        <f t="shared" ref="H3:H66" si="0">IF(G3="Evalueringskrav","Answer",(IF(G3="Krav","Check",(IF(G3="Mindstekrav","Verify","")))))</f>
        <v>Verify</v>
      </c>
      <c r="I3" s="35" t="s">
        <v>39</v>
      </c>
      <c r="J3" s="35"/>
      <c r="K3" s="47"/>
      <c r="L3" s="35" t="s">
        <v>40</v>
      </c>
      <c r="M3" s="35"/>
      <c r="N3" s="35"/>
      <c r="O3" s="35" t="s">
        <v>41</v>
      </c>
      <c r="P3" s="35"/>
      <c r="Q3" s="35"/>
      <c r="R3" s="35"/>
      <c r="S3" s="35"/>
      <c r="T3" s="35"/>
      <c r="U3" s="35"/>
      <c r="V3" s="35" t="s">
        <v>42</v>
      </c>
      <c r="W3" s="37">
        <f t="shared" ref="W3:W66" si="1">IF(V3="Not Started",0%,IF(V3="Started",50%,IF(V3="Ready for review",70%,IF(V3="Reviewed - Content",80%,IF(V3="Reviewed - Format",90%,IF(V3="Done",100%,""))))))</f>
        <v>0.8</v>
      </c>
      <c r="X3" s="33" t="s">
        <v>43</v>
      </c>
      <c r="Y3" s="33" t="s">
        <v>44</v>
      </c>
      <c r="Z3" s="33" t="s">
        <v>45</v>
      </c>
      <c r="AA3" s="33" t="s">
        <v>46</v>
      </c>
      <c r="AB3" s="33" t="s">
        <v>55</v>
      </c>
      <c r="AD3" s="33" t="s">
        <v>56</v>
      </c>
      <c r="AE3" s="33" t="s">
        <v>49</v>
      </c>
      <c r="AG3" s="33" t="s">
        <v>50</v>
      </c>
      <c r="AH3" s="33" t="s">
        <v>51</v>
      </c>
    </row>
    <row r="4" spans="1:34" ht="234">
      <c r="A4" s="35">
        <v>3</v>
      </c>
      <c r="B4" s="35" t="s">
        <v>57</v>
      </c>
      <c r="C4" s="35" t="s">
        <v>34</v>
      </c>
      <c r="D4" s="35" t="s">
        <v>35</v>
      </c>
      <c r="E4" s="35" t="s">
        <v>58</v>
      </c>
      <c r="F4" s="35" t="s">
        <v>59</v>
      </c>
      <c r="G4" s="35" t="s">
        <v>38</v>
      </c>
      <c r="H4" s="35" t="str">
        <f t="shared" si="0"/>
        <v>Verify</v>
      </c>
      <c r="I4" s="35" t="s">
        <v>39</v>
      </c>
      <c r="J4" s="35"/>
      <c r="K4" s="47"/>
      <c r="L4" s="35" t="s">
        <v>40</v>
      </c>
      <c r="M4" s="35"/>
      <c r="N4" s="35"/>
      <c r="O4" s="35" t="s">
        <v>41</v>
      </c>
      <c r="P4" s="35"/>
      <c r="Q4" s="35"/>
      <c r="R4" s="35"/>
      <c r="S4" s="35"/>
      <c r="T4" s="35"/>
      <c r="U4" s="35"/>
      <c r="V4" s="35" t="s">
        <v>42</v>
      </c>
      <c r="W4" s="37">
        <f t="shared" si="1"/>
        <v>0.8</v>
      </c>
      <c r="X4" s="33" t="s">
        <v>43</v>
      </c>
      <c r="Y4" s="33" t="s">
        <v>44</v>
      </c>
      <c r="Z4" s="33" t="s">
        <v>45</v>
      </c>
      <c r="AA4" s="33" t="s">
        <v>46</v>
      </c>
      <c r="AB4" s="33" t="s">
        <v>60</v>
      </c>
      <c r="AD4" s="33" t="s">
        <v>61</v>
      </c>
      <c r="AE4" s="33" t="s">
        <v>49</v>
      </c>
      <c r="AG4" s="33" t="s">
        <v>50</v>
      </c>
      <c r="AH4" s="33" t="s">
        <v>51</v>
      </c>
    </row>
    <row r="5" spans="1:34" ht="312">
      <c r="A5" s="35">
        <v>4</v>
      </c>
      <c r="B5" s="35" t="s">
        <v>62</v>
      </c>
      <c r="C5" s="35" t="s">
        <v>34</v>
      </c>
      <c r="D5" s="35" t="s">
        <v>35</v>
      </c>
      <c r="E5" s="35" t="s">
        <v>63</v>
      </c>
      <c r="F5" s="35" t="s">
        <v>64</v>
      </c>
      <c r="G5" s="35" t="s">
        <v>38</v>
      </c>
      <c r="H5" s="35" t="str">
        <f t="shared" si="0"/>
        <v>Verify</v>
      </c>
      <c r="I5" s="35" t="s">
        <v>39</v>
      </c>
      <c r="J5" s="35"/>
      <c r="K5" s="47"/>
      <c r="L5" s="35" t="s">
        <v>40</v>
      </c>
      <c r="M5" s="35"/>
      <c r="N5" s="35"/>
      <c r="O5" s="35" t="s">
        <v>41</v>
      </c>
      <c r="P5" s="35"/>
      <c r="Q5" s="35"/>
      <c r="R5" s="35"/>
      <c r="S5" s="35"/>
      <c r="T5" s="35"/>
      <c r="U5" s="35"/>
      <c r="V5" s="35" t="s">
        <v>42</v>
      </c>
      <c r="W5" s="37">
        <f t="shared" si="1"/>
        <v>0.8</v>
      </c>
      <c r="X5" s="33" t="s">
        <v>43</v>
      </c>
      <c r="Y5" s="33" t="s">
        <v>44</v>
      </c>
      <c r="Z5" s="33" t="s">
        <v>45</v>
      </c>
      <c r="AA5" s="33" t="s">
        <v>46</v>
      </c>
      <c r="AB5" s="33" t="s">
        <v>65</v>
      </c>
      <c r="AD5" s="33" t="s">
        <v>66</v>
      </c>
      <c r="AE5" s="33" t="s">
        <v>49</v>
      </c>
      <c r="AG5" s="33" t="s">
        <v>50</v>
      </c>
      <c r="AH5" s="33" t="s">
        <v>51</v>
      </c>
    </row>
    <row r="6" spans="1:34" ht="280.75">
      <c r="A6" s="35">
        <v>5</v>
      </c>
      <c r="B6" s="35" t="s">
        <v>67</v>
      </c>
      <c r="C6" s="35" t="s">
        <v>34</v>
      </c>
      <c r="D6" s="35" t="s">
        <v>35</v>
      </c>
      <c r="E6" s="35" t="s">
        <v>68</v>
      </c>
      <c r="F6" s="35" t="s">
        <v>69</v>
      </c>
      <c r="G6" s="35" t="s">
        <v>38</v>
      </c>
      <c r="H6" s="35" t="str">
        <f t="shared" si="0"/>
        <v>Verify</v>
      </c>
      <c r="I6" s="35" t="s">
        <v>39</v>
      </c>
      <c r="J6" s="35"/>
      <c r="K6" s="47"/>
      <c r="L6" s="35" t="s">
        <v>40</v>
      </c>
      <c r="M6" s="35"/>
      <c r="N6" s="35"/>
      <c r="O6" s="35" t="s">
        <v>41</v>
      </c>
      <c r="P6" s="35"/>
      <c r="Q6" s="35"/>
      <c r="R6" s="35"/>
      <c r="S6" s="35"/>
      <c r="T6" s="35"/>
      <c r="U6" s="35"/>
      <c r="V6" s="35" t="s">
        <v>42</v>
      </c>
      <c r="W6" s="37">
        <f t="shared" si="1"/>
        <v>0.8</v>
      </c>
      <c r="X6" s="33" t="s">
        <v>43</v>
      </c>
      <c r="Y6" s="33" t="s">
        <v>44</v>
      </c>
      <c r="Z6" s="33" t="s">
        <v>45</v>
      </c>
      <c r="AA6" s="33" t="s">
        <v>46</v>
      </c>
      <c r="AB6" s="33" t="s">
        <v>70</v>
      </c>
      <c r="AD6" s="33" t="s">
        <v>71</v>
      </c>
      <c r="AE6" s="33" t="s">
        <v>49</v>
      </c>
      <c r="AG6" s="33" t="s">
        <v>50</v>
      </c>
      <c r="AH6" s="33" t="s">
        <v>51</v>
      </c>
    </row>
    <row r="7" spans="1:34" ht="265.75">
      <c r="A7" s="35">
        <v>6</v>
      </c>
      <c r="B7" s="35" t="s">
        <v>72</v>
      </c>
      <c r="C7" s="35" t="s">
        <v>34</v>
      </c>
      <c r="D7" s="35" t="s">
        <v>35</v>
      </c>
      <c r="E7" s="35" t="s">
        <v>73</v>
      </c>
      <c r="F7" s="35" t="s">
        <v>74</v>
      </c>
      <c r="G7" s="35" t="s">
        <v>38</v>
      </c>
      <c r="H7" s="35" t="str">
        <f t="shared" si="0"/>
        <v>Verify</v>
      </c>
      <c r="I7" s="35" t="s">
        <v>39</v>
      </c>
      <c r="J7" s="35"/>
      <c r="K7" s="47"/>
      <c r="L7" s="35" t="s">
        <v>75</v>
      </c>
      <c r="M7" s="35"/>
      <c r="N7" s="35"/>
      <c r="O7" s="35" t="s">
        <v>76</v>
      </c>
      <c r="P7" s="35" t="s">
        <v>77</v>
      </c>
      <c r="Q7" s="74">
        <v>433881</v>
      </c>
      <c r="R7" s="35" t="s">
        <v>78</v>
      </c>
      <c r="S7" s="35"/>
      <c r="T7" s="35"/>
      <c r="U7" s="35"/>
      <c r="V7" s="35" t="s">
        <v>79</v>
      </c>
      <c r="W7" s="37">
        <f t="shared" si="1"/>
        <v>0</v>
      </c>
      <c r="X7" s="33" t="s">
        <v>43</v>
      </c>
      <c r="Y7" s="33" t="s">
        <v>80</v>
      </c>
      <c r="Z7" s="33" t="s">
        <v>81</v>
      </c>
      <c r="AA7" s="33" t="s">
        <v>82</v>
      </c>
      <c r="AB7" s="33" t="s">
        <v>83</v>
      </c>
      <c r="AC7" s="33" t="s">
        <v>84</v>
      </c>
      <c r="AD7" s="33" t="s">
        <v>85</v>
      </c>
      <c r="AE7" s="33" t="s">
        <v>86</v>
      </c>
      <c r="AG7" s="33" t="s">
        <v>50</v>
      </c>
      <c r="AH7" s="33" t="s">
        <v>87</v>
      </c>
    </row>
    <row r="8" spans="1:34" ht="280.75">
      <c r="A8" s="35">
        <v>7</v>
      </c>
      <c r="B8" s="35" t="s">
        <v>88</v>
      </c>
      <c r="C8" s="35" t="s">
        <v>34</v>
      </c>
      <c r="D8" s="35" t="s">
        <v>35</v>
      </c>
      <c r="E8" s="35" t="s">
        <v>89</v>
      </c>
      <c r="F8" s="35" t="s">
        <v>90</v>
      </c>
      <c r="G8" s="35" t="s">
        <v>38</v>
      </c>
      <c r="H8" s="35" t="str">
        <f t="shared" si="0"/>
        <v>Verify</v>
      </c>
      <c r="I8" s="35" t="s">
        <v>39</v>
      </c>
      <c r="J8" s="35"/>
      <c r="K8" s="47"/>
      <c r="L8" s="35" t="s">
        <v>40</v>
      </c>
      <c r="M8" s="35"/>
      <c r="N8" s="35"/>
      <c r="O8" s="35" t="s">
        <v>41</v>
      </c>
      <c r="P8" s="35"/>
      <c r="Q8" s="35"/>
      <c r="R8" s="35"/>
      <c r="S8" s="35"/>
      <c r="T8" s="35"/>
      <c r="U8" s="35"/>
      <c r="V8" s="35" t="s">
        <v>42</v>
      </c>
      <c r="W8" s="37">
        <f t="shared" si="1"/>
        <v>0.8</v>
      </c>
      <c r="X8" s="33" t="s">
        <v>43</v>
      </c>
      <c r="Y8" s="33" t="s">
        <v>44</v>
      </c>
      <c r="Z8" s="33" t="s">
        <v>45</v>
      </c>
      <c r="AA8" s="33" t="s">
        <v>46</v>
      </c>
      <c r="AB8" s="33" t="s">
        <v>91</v>
      </c>
      <c r="AD8" s="33" t="s">
        <v>92</v>
      </c>
      <c r="AE8" s="33" t="s">
        <v>49</v>
      </c>
      <c r="AG8" s="33" t="s">
        <v>50</v>
      </c>
      <c r="AH8" s="33" t="s">
        <v>51</v>
      </c>
    </row>
    <row r="9" spans="1:34" ht="265.25">
      <c r="A9" s="35">
        <v>8</v>
      </c>
      <c r="B9" s="35" t="s">
        <v>93</v>
      </c>
      <c r="C9" s="35" t="s">
        <v>34</v>
      </c>
      <c r="D9" s="35" t="s">
        <v>35</v>
      </c>
      <c r="E9" s="35" t="s">
        <v>94</v>
      </c>
      <c r="F9" s="35" t="s">
        <v>95</v>
      </c>
      <c r="G9" s="35" t="s">
        <v>38</v>
      </c>
      <c r="H9" s="35" t="str">
        <f t="shared" si="0"/>
        <v>Verify</v>
      </c>
      <c r="I9" s="35" t="s">
        <v>39</v>
      </c>
      <c r="J9" s="35"/>
      <c r="K9" s="47"/>
      <c r="L9" s="35" t="s">
        <v>40</v>
      </c>
      <c r="M9" s="35"/>
      <c r="N9" s="35"/>
      <c r="O9" s="35" t="s">
        <v>41</v>
      </c>
      <c r="P9" s="35"/>
      <c r="Q9" s="35"/>
      <c r="R9" s="35"/>
      <c r="S9" s="35"/>
      <c r="T9" s="35"/>
      <c r="U9" s="35"/>
      <c r="V9" s="35" t="s">
        <v>42</v>
      </c>
      <c r="W9" s="37">
        <f t="shared" si="1"/>
        <v>0.8</v>
      </c>
      <c r="X9" s="33" t="s">
        <v>43</v>
      </c>
      <c r="Y9" s="33" t="s">
        <v>44</v>
      </c>
      <c r="Z9" s="33" t="s">
        <v>45</v>
      </c>
      <c r="AA9" s="33" t="s">
        <v>46</v>
      </c>
      <c r="AB9" s="33" t="s">
        <v>96</v>
      </c>
      <c r="AD9" s="33" t="s">
        <v>97</v>
      </c>
      <c r="AE9" s="33" t="s">
        <v>49</v>
      </c>
      <c r="AG9" s="33" t="s">
        <v>50</v>
      </c>
      <c r="AH9" s="33" t="s">
        <v>51</v>
      </c>
    </row>
    <row r="10" spans="1:34" ht="265.25">
      <c r="A10" s="35">
        <v>9</v>
      </c>
      <c r="B10" s="35" t="s">
        <v>98</v>
      </c>
      <c r="C10" s="35" t="s">
        <v>34</v>
      </c>
      <c r="D10" s="35" t="s">
        <v>35</v>
      </c>
      <c r="E10" s="35" t="s">
        <v>99</v>
      </c>
      <c r="F10" s="35" t="s">
        <v>100</v>
      </c>
      <c r="G10" s="35" t="s">
        <v>38</v>
      </c>
      <c r="H10" s="35" t="str">
        <f t="shared" si="0"/>
        <v>Verify</v>
      </c>
      <c r="I10" s="35" t="s">
        <v>39</v>
      </c>
      <c r="J10" s="35"/>
      <c r="K10" s="47"/>
      <c r="L10" s="35" t="s">
        <v>40</v>
      </c>
      <c r="M10" s="35"/>
      <c r="N10" s="35"/>
      <c r="O10" s="35" t="s">
        <v>41</v>
      </c>
      <c r="P10" s="35"/>
      <c r="Q10" s="35"/>
      <c r="R10" s="35"/>
      <c r="S10" s="35"/>
      <c r="T10" s="35"/>
      <c r="U10" s="35"/>
      <c r="V10" s="35" t="s">
        <v>42</v>
      </c>
      <c r="W10" s="37">
        <f t="shared" si="1"/>
        <v>0.8</v>
      </c>
      <c r="X10" s="33" t="s">
        <v>43</v>
      </c>
      <c r="Y10" s="33" t="s">
        <v>44</v>
      </c>
      <c r="Z10" s="33" t="s">
        <v>45</v>
      </c>
      <c r="AA10" s="33" t="s">
        <v>46</v>
      </c>
      <c r="AB10" s="33" t="s">
        <v>101</v>
      </c>
      <c r="AD10" s="33" t="s">
        <v>97</v>
      </c>
      <c r="AE10" s="33" t="s">
        <v>49</v>
      </c>
      <c r="AG10" s="33" t="s">
        <v>50</v>
      </c>
      <c r="AH10" s="33" t="s">
        <v>51</v>
      </c>
    </row>
    <row r="11" spans="1:34" ht="249.65">
      <c r="A11" s="35">
        <v>10</v>
      </c>
      <c r="B11" s="35" t="s">
        <v>102</v>
      </c>
      <c r="C11" s="35" t="s">
        <v>34</v>
      </c>
      <c r="D11" s="35" t="s">
        <v>35</v>
      </c>
      <c r="E11" s="35" t="s">
        <v>103</v>
      </c>
      <c r="F11" s="35" t="s">
        <v>104</v>
      </c>
      <c r="G11" s="35" t="s">
        <v>38</v>
      </c>
      <c r="H11" s="35" t="str">
        <f t="shared" si="0"/>
        <v>Verify</v>
      </c>
      <c r="I11" s="35" t="s">
        <v>39</v>
      </c>
      <c r="J11" s="35"/>
      <c r="K11" s="47"/>
      <c r="L11" s="35" t="s">
        <v>40</v>
      </c>
      <c r="M11" s="35"/>
      <c r="N11" s="35"/>
      <c r="O11" s="35" t="s">
        <v>41</v>
      </c>
      <c r="P11" s="35"/>
      <c r="Q11" s="35"/>
      <c r="R11" s="35"/>
      <c r="S11" s="35"/>
      <c r="T11" s="35"/>
      <c r="U11" s="35"/>
      <c r="V11" s="35" t="s">
        <v>42</v>
      </c>
      <c r="W11" s="37">
        <f t="shared" si="1"/>
        <v>0.8</v>
      </c>
      <c r="X11" s="33" t="s">
        <v>43</v>
      </c>
      <c r="Y11" s="33" t="s">
        <v>44</v>
      </c>
      <c r="Z11" s="33" t="s">
        <v>45</v>
      </c>
      <c r="AA11" s="33" t="s">
        <v>46</v>
      </c>
      <c r="AB11" s="33" t="s">
        <v>105</v>
      </c>
      <c r="AD11" s="33" t="s">
        <v>106</v>
      </c>
      <c r="AE11" s="33" t="s">
        <v>49</v>
      </c>
      <c r="AG11" s="33" t="s">
        <v>50</v>
      </c>
      <c r="AH11" s="33" t="s">
        <v>51</v>
      </c>
    </row>
    <row r="12" spans="1:34" ht="296.39999999999998">
      <c r="A12" s="35">
        <v>11</v>
      </c>
      <c r="B12" s="35" t="s">
        <v>107</v>
      </c>
      <c r="C12" s="35" t="s">
        <v>34</v>
      </c>
      <c r="D12" s="35" t="s">
        <v>35</v>
      </c>
      <c r="E12" s="35" t="s">
        <v>108</v>
      </c>
      <c r="F12" s="35" t="s">
        <v>109</v>
      </c>
      <c r="G12" s="35" t="s">
        <v>38</v>
      </c>
      <c r="H12" s="35" t="str">
        <f t="shared" si="0"/>
        <v>Verify</v>
      </c>
      <c r="I12" s="35" t="s">
        <v>39</v>
      </c>
      <c r="J12" s="35"/>
      <c r="K12" s="47"/>
      <c r="L12" s="35" t="s">
        <v>40</v>
      </c>
      <c r="M12" s="35"/>
      <c r="N12" s="35" t="s">
        <v>110</v>
      </c>
      <c r="O12" s="35" t="s">
        <v>41</v>
      </c>
      <c r="P12" s="35"/>
      <c r="Q12" s="35"/>
      <c r="R12" s="35"/>
      <c r="S12" s="35"/>
      <c r="T12" s="35"/>
      <c r="U12" s="35"/>
      <c r="V12" s="35" t="s">
        <v>42</v>
      </c>
      <c r="W12" s="37">
        <f t="shared" si="1"/>
        <v>0.8</v>
      </c>
      <c r="X12" s="33" t="s">
        <v>43</v>
      </c>
      <c r="Y12" s="33" t="s">
        <v>44</v>
      </c>
      <c r="Z12" s="33" t="s">
        <v>45</v>
      </c>
      <c r="AA12" s="33" t="s">
        <v>46</v>
      </c>
      <c r="AB12" s="33" t="s">
        <v>111</v>
      </c>
      <c r="AD12" s="33" t="s">
        <v>112</v>
      </c>
      <c r="AE12" s="33" t="s">
        <v>49</v>
      </c>
      <c r="AG12" s="33" t="s">
        <v>50</v>
      </c>
      <c r="AH12" s="33" t="s">
        <v>51</v>
      </c>
    </row>
    <row r="13" spans="1:34" ht="234">
      <c r="A13" s="35">
        <v>12</v>
      </c>
      <c r="B13" s="35" t="s">
        <v>113</v>
      </c>
      <c r="C13" s="35" t="s">
        <v>34</v>
      </c>
      <c r="D13" s="35" t="s">
        <v>35</v>
      </c>
      <c r="E13" s="35" t="s">
        <v>114</v>
      </c>
      <c r="F13" s="35" t="s">
        <v>115</v>
      </c>
      <c r="G13" s="35" t="s">
        <v>116</v>
      </c>
      <c r="H13" s="35" t="str">
        <f t="shared" si="0"/>
        <v>Check</v>
      </c>
      <c r="I13" s="35" t="s">
        <v>39</v>
      </c>
      <c r="J13" s="35"/>
      <c r="K13" s="47"/>
      <c r="L13" s="35" t="s">
        <v>117</v>
      </c>
      <c r="M13" s="35"/>
      <c r="N13" s="35"/>
      <c r="O13" s="35" t="s">
        <v>41</v>
      </c>
      <c r="P13" s="35" t="s">
        <v>118</v>
      </c>
      <c r="Q13" s="35"/>
      <c r="R13" s="35"/>
      <c r="S13" s="35" t="s">
        <v>78</v>
      </c>
      <c r="T13" s="35"/>
      <c r="U13" s="35"/>
      <c r="V13" s="35" t="s">
        <v>2155</v>
      </c>
      <c r="W13" s="37">
        <f t="shared" si="1"/>
        <v>0.7</v>
      </c>
      <c r="X13" s="33" t="s">
        <v>43</v>
      </c>
      <c r="Y13" s="33" t="s">
        <v>44</v>
      </c>
      <c r="Z13" s="33" t="s">
        <v>45</v>
      </c>
      <c r="AA13" s="33" t="s">
        <v>119</v>
      </c>
      <c r="AB13" s="33" t="s">
        <v>120</v>
      </c>
      <c r="AC13" s="33" t="s">
        <v>118</v>
      </c>
      <c r="AD13" s="33" t="s">
        <v>61</v>
      </c>
      <c r="AE13" s="33" t="s">
        <v>121</v>
      </c>
      <c r="AG13" s="33" t="s">
        <v>50</v>
      </c>
      <c r="AH13" s="33" t="s">
        <v>51</v>
      </c>
    </row>
    <row r="14" spans="1:34" ht="280.75">
      <c r="A14" s="35">
        <v>13</v>
      </c>
      <c r="B14" s="35" t="s">
        <v>122</v>
      </c>
      <c r="C14" s="35" t="s">
        <v>34</v>
      </c>
      <c r="D14" s="35" t="s">
        <v>123</v>
      </c>
      <c r="E14" s="35" t="s">
        <v>124</v>
      </c>
      <c r="F14" s="35" t="s">
        <v>125</v>
      </c>
      <c r="G14" s="35" t="s">
        <v>38</v>
      </c>
      <c r="H14" s="35" t="str">
        <f t="shared" si="0"/>
        <v>Verify</v>
      </c>
      <c r="I14" s="35" t="s">
        <v>39</v>
      </c>
      <c r="J14" s="35"/>
      <c r="K14" s="47"/>
      <c r="L14" s="35" t="s">
        <v>40</v>
      </c>
      <c r="M14" s="35"/>
      <c r="N14" s="35"/>
      <c r="O14" s="35" t="s">
        <v>41</v>
      </c>
      <c r="P14" s="35"/>
      <c r="Q14" s="35"/>
      <c r="R14" s="35"/>
      <c r="S14" s="35"/>
      <c r="T14" s="35"/>
      <c r="U14" s="35"/>
      <c r="V14" s="35" t="s">
        <v>42</v>
      </c>
      <c r="W14" s="37">
        <f t="shared" si="1"/>
        <v>0.8</v>
      </c>
      <c r="X14" s="33" t="s">
        <v>43</v>
      </c>
      <c r="Y14" s="33" t="s">
        <v>44</v>
      </c>
      <c r="Z14" s="33" t="s">
        <v>45</v>
      </c>
      <c r="AA14" s="33" t="s">
        <v>46</v>
      </c>
      <c r="AB14" s="33" t="s">
        <v>126</v>
      </c>
      <c r="AD14" s="33" t="s">
        <v>127</v>
      </c>
      <c r="AE14" s="33" t="s">
        <v>49</v>
      </c>
      <c r="AG14" s="33" t="s">
        <v>50</v>
      </c>
      <c r="AH14" s="33" t="s">
        <v>51</v>
      </c>
    </row>
    <row r="15" spans="1:34" ht="265.25">
      <c r="A15" s="35">
        <v>14</v>
      </c>
      <c r="B15" s="35" t="s">
        <v>128</v>
      </c>
      <c r="C15" s="35" t="s">
        <v>34</v>
      </c>
      <c r="D15" s="35" t="s">
        <v>123</v>
      </c>
      <c r="E15" s="35" t="s">
        <v>129</v>
      </c>
      <c r="F15" s="35" t="s">
        <v>130</v>
      </c>
      <c r="G15" s="35" t="s">
        <v>38</v>
      </c>
      <c r="H15" s="35" t="str">
        <f t="shared" si="0"/>
        <v>Verify</v>
      </c>
      <c r="I15" s="35" t="s">
        <v>39</v>
      </c>
      <c r="J15" s="35"/>
      <c r="K15" s="47"/>
      <c r="L15" s="35" t="s">
        <v>40</v>
      </c>
      <c r="M15" s="35"/>
      <c r="N15" s="35"/>
      <c r="O15" s="35" t="s">
        <v>41</v>
      </c>
      <c r="P15" s="35"/>
      <c r="Q15" s="35"/>
      <c r="R15" s="35"/>
      <c r="S15" s="35"/>
      <c r="T15" s="35"/>
      <c r="U15" s="35"/>
      <c r="V15" s="35" t="s">
        <v>42</v>
      </c>
      <c r="W15" s="37">
        <f t="shared" si="1"/>
        <v>0.8</v>
      </c>
      <c r="X15" s="33" t="s">
        <v>43</v>
      </c>
      <c r="Y15" s="33" t="s">
        <v>44</v>
      </c>
      <c r="Z15" s="33" t="s">
        <v>45</v>
      </c>
      <c r="AA15" s="33" t="s">
        <v>46</v>
      </c>
      <c r="AB15" s="33" t="s">
        <v>131</v>
      </c>
      <c r="AD15" s="33" t="s">
        <v>132</v>
      </c>
      <c r="AE15" s="33" t="s">
        <v>49</v>
      </c>
      <c r="AG15" s="33" t="s">
        <v>50</v>
      </c>
      <c r="AH15" s="33" t="s">
        <v>51</v>
      </c>
    </row>
    <row r="16" spans="1:34" ht="234">
      <c r="A16" s="35">
        <v>15</v>
      </c>
      <c r="B16" s="35" t="s">
        <v>133</v>
      </c>
      <c r="C16" s="35" t="s">
        <v>34</v>
      </c>
      <c r="D16" s="35" t="s">
        <v>123</v>
      </c>
      <c r="E16" s="35" t="s">
        <v>134</v>
      </c>
      <c r="F16" s="35" t="s">
        <v>135</v>
      </c>
      <c r="G16" s="35" t="s">
        <v>38</v>
      </c>
      <c r="H16" s="35" t="str">
        <f t="shared" si="0"/>
        <v>Verify</v>
      </c>
      <c r="I16" s="35" t="s">
        <v>39</v>
      </c>
      <c r="J16" s="35"/>
      <c r="K16" s="47"/>
      <c r="L16" s="35" t="s">
        <v>40</v>
      </c>
      <c r="M16" s="35"/>
      <c r="N16" s="35"/>
      <c r="O16" s="35" t="s">
        <v>41</v>
      </c>
      <c r="P16" s="35"/>
      <c r="Q16" s="35"/>
      <c r="R16" s="35"/>
      <c r="S16" s="35"/>
      <c r="T16" s="35"/>
      <c r="U16" s="35"/>
      <c r="V16" s="35" t="s">
        <v>42</v>
      </c>
      <c r="W16" s="37">
        <f t="shared" si="1"/>
        <v>0.8</v>
      </c>
      <c r="X16" s="33" t="s">
        <v>43</v>
      </c>
      <c r="Y16" s="33" t="s">
        <v>44</v>
      </c>
      <c r="Z16" s="33" t="s">
        <v>45</v>
      </c>
      <c r="AA16" s="33" t="s">
        <v>46</v>
      </c>
      <c r="AB16" s="33" t="s">
        <v>136</v>
      </c>
      <c r="AD16" s="33" t="s">
        <v>48</v>
      </c>
      <c r="AE16" s="33" t="s">
        <v>49</v>
      </c>
      <c r="AG16" s="33" t="s">
        <v>50</v>
      </c>
      <c r="AH16" s="33" t="s">
        <v>51</v>
      </c>
    </row>
    <row r="17" spans="1:34" ht="265.25">
      <c r="A17" s="35">
        <v>16</v>
      </c>
      <c r="B17" s="35" t="s">
        <v>137</v>
      </c>
      <c r="C17" s="35" t="s">
        <v>34</v>
      </c>
      <c r="D17" s="35" t="s">
        <v>123</v>
      </c>
      <c r="E17" s="35" t="s">
        <v>138</v>
      </c>
      <c r="F17" s="35" t="s">
        <v>139</v>
      </c>
      <c r="G17" s="35" t="s">
        <v>38</v>
      </c>
      <c r="H17" s="35" t="str">
        <f t="shared" si="0"/>
        <v>Verify</v>
      </c>
      <c r="I17" s="35" t="s">
        <v>39</v>
      </c>
      <c r="J17" s="35"/>
      <c r="K17" s="47"/>
      <c r="L17" s="35" t="s">
        <v>40</v>
      </c>
      <c r="M17" s="35"/>
      <c r="N17" s="35"/>
      <c r="O17" s="35" t="s">
        <v>41</v>
      </c>
      <c r="P17" s="35"/>
      <c r="Q17" s="35"/>
      <c r="R17" s="35"/>
      <c r="S17" s="35"/>
      <c r="T17" s="35"/>
      <c r="U17" s="35"/>
      <c r="V17" s="35" t="s">
        <v>42</v>
      </c>
      <c r="W17" s="37">
        <f t="shared" si="1"/>
        <v>0.8</v>
      </c>
      <c r="X17" s="33" t="s">
        <v>43</v>
      </c>
      <c r="Y17" s="33" t="s">
        <v>44</v>
      </c>
      <c r="Z17" s="33" t="s">
        <v>45</v>
      </c>
      <c r="AA17" s="33" t="s">
        <v>46</v>
      </c>
      <c r="AB17" s="33" t="s">
        <v>140</v>
      </c>
      <c r="AD17" s="33" t="s">
        <v>97</v>
      </c>
      <c r="AE17" s="33" t="s">
        <v>49</v>
      </c>
      <c r="AG17" s="33" t="s">
        <v>50</v>
      </c>
      <c r="AH17" s="33" t="s">
        <v>51</v>
      </c>
    </row>
    <row r="18" spans="1:34" ht="265.25">
      <c r="A18" s="35">
        <v>17</v>
      </c>
      <c r="B18" s="35" t="s">
        <v>141</v>
      </c>
      <c r="C18" s="35" t="s">
        <v>34</v>
      </c>
      <c r="D18" s="35" t="s">
        <v>123</v>
      </c>
      <c r="E18" s="35" t="s">
        <v>142</v>
      </c>
      <c r="F18" s="35" t="s">
        <v>143</v>
      </c>
      <c r="G18" s="35" t="s">
        <v>38</v>
      </c>
      <c r="H18" s="35" t="str">
        <f t="shared" si="0"/>
        <v>Verify</v>
      </c>
      <c r="I18" s="35" t="s">
        <v>39</v>
      </c>
      <c r="J18" s="35"/>
      <c r="K18" s="47"/>
      <c r="L18" s="35" t="s">
        <v>40</v>
      </c>
      <c r="M18" s="35"/>
      <c r="N18" s="35"/>
      <c r="O18" s="35" t="s">
        <v>41</v>
      </c>
      <c r="P18" s="35"/>
      <c r="Q18" s="35"/>
      <c r="R18" s="35"/>
      <c r="S18" s="35"/>
      <c r="T18" s="35"/>
      <c r="U18" s="35"/>
      <c r="V18" s="35" t="s">
        <v>42</v>
      </c>
      <c r="W18" s="37">
        <f t="shared" si="1"/>
        <v>0.8</v>
      </c>
      <c r="X18" s="33" t="s">
        <v>43</v>
      </c>
      <c r="Y18" s="33" t="s">
        <v>44</v>
      </c>
      <c r="Z18" s="33" t="s">
        <v>45</v>
      </c>
      <c r="AA18" s="33" t="s">
        <v>46</v>
      </c>
      <c r="AB18" s="33" t="s">
        <v>144</v>
      </c>
      <c r="AD18" s="33" t="s">
        <v>97</v>
      </c>
      <c r="AE18" s="33" t="s">
        <v>49</v>
      </c>
      <c r="AG18" s="33" t="s">
        <v>50</v>
      </c>
      <c r="AH18" s="33" t="s">
        <v>51</v>
      </c>
    </row>
    <row r="19" spans="1:34" ht="265.25">
      <c r="A19" s="35">
        <v>18</v>
      </c>
      <c r="B19" s="35" t="s">
        <v>145</v>
      </c>
      <c r="C19" s="35" t="s">
        <v>34</v>
      </c>
      <c r="D19" s="35" t="s">
        <v>123</v>
      </c>
      <c r="E19" s="35" t="s">
        <v>146</v>
      </c>
      <c r="F19" s="35" t="s">
        <v>147</v>
      </c>
      <c r="G19" s="35" t="s">
        <v>38</v>
      </c>
      <c r="H19" s="35" t="str">
        <f t="shared" si="0"/>
        <v>Verify</v>
      </c>
      <c r="I19" s="35" t="s">
        <v>39</v>
      </c>
      <c r="J19" s="35"/>
      <c r="K19" s="47"/>
      <c r="L19" s="35" t="s">
        <v>40</v>
      </c>
      <c r="M19" s="35"/>
      <c r="N19" s="35"/>
      <c r="O19" s="35" t="s">
        <v>41</v>
      </c>
      <c r="P19" s="35"/>
      <c r="Q19" s="35"/>
      <c r="R19" s="35"/>
      <c r="S19" s="35"/>
      <c r="T19" s="35"/>
      <c r="U19" s="35"/>
      <c r="V19" s="35" t="s">
        <v>42</v>
      </c>
      <c r="W19" s="37">
        <f t="shared" si="1"/>
        <v>0.8</v>
      </c>
      <c r="X19" s="33" t="s">
        <v>43</v>
      </c>
      <c r="Y19" s="33" t="s">
        <v>44</v>
      </c>
      <c r="Z19" s="33" t="s">
        <v>45</v>
      </c>
      <c r="AA19" s="33" t="s">
        <v>46</v>
      </c>
      <c r="AB19" s="33" t="s">
        <v>148</v>
      </c>
      <c r="AD19" s="33" t="s">
        <v>132</v>
      </c>
      <c r="AE19" s="33" t="s">
        <v>49</v>
      </c>
      <c r="AG19" s="33" t="s">
        <v>50</v>
      </c>
      <c r="AH19" s="33" t="s">
        <v>51</v>
      </c>
    </row>
    <row r="20" spans="1:34" ht="265.25">
      <c r="A20" s="35">
        <v>19</v>
      </c>
      <c r="B20" s="35" t="s">
        <v>149</v>
      </c>
      <c r="C20" s="35" t="s">
        <v>34</v>
      </c>
      <c r="D20" s="35" t="s">
        <v>123</v>
      </c>
      <c r="E20" s="35" t="s">
        <v>150</v>
      </c>
      <c r="F20" s="35" t="s">
        <v>151</v>
      </c>
      <c r="G20" s="35" t="s">
        <v>38</v>
      </c>
      <c r="H20" s="35" t="str">
        <f t="shared" si="0"/>
        <v>Verify</v>
      </c>
      <c r="I20" s="35" t="s">
        <v>39</v>
      </c>
      <c r="J20" s="35"/>
      <c r="K20" s="47"/>
      <c r="L20" s="35" t="s">
        <v>40</v>
      </c>
      <c r="M20" s="35"/>
      <c r="N20" s="35"/>
      <c r="O20" s="35" t="s">
        <v>41</v>
      </c>
      <c r="P20" s="35" t="s">
        <v>152</v>
      </c>
      <c r="Q20" s="35"/>
      <c r="R20" s="35"/>
      <c r="S20" s="35"/>
      <c r="T20" s="35"/>
      <c r="U20" s="35"/>
      <c r="V20" s="35" t="s">
        <v>42</v>
      </c>
      <c r="W20" s="37">
        <f t="shared" si="1"/>
        <v>0.8</v>
      </c>
      <c r="X20" s="33" t="s">
        <v>43</v>
      </c>
      <c r="Y20" s="33" t="s">
        <v>44</v>
      </c>
      <c r="Z20" s="33" t="s">
        <v>45</v>
      </c>
      <c r="AA20" s="33" t="s">
        <v>46</v>
      </c>
      <c r="AB20" s="33" t="s">
        <v>153</v>
      </c>
      <c r="AC20" s="33" t="s">
        <v>152</v>
      </c>
      <c r="AD20" s="33" t="s">
        <v>154</v>
      </c>
      <c r="AE20" s="33" t="s">
        <v>49</v>
      </c>
      <c r="AG20" s="33" t="s">
        <v>50</v>
      </c>
      <c r="AH20" s="33" t="s">
        <v>51</v>
      </c>
    </row>
    <row r="21" spans="1:34" ht="265.25">
      <c r="A21" s="35">
        <v>20</v>
      </c>
      <c r="B21" s="35" t="s">
        <v>155</v>
      </c>
      <c r="C21" s="35" t="s">
        <v>34</v>
      </c>
      <c r="D21" s="35" t="s">
        <v>123</v>
      </c>
      <c r="E21" s="35" t="s">
        <v>156</v>
      </c>
      <c r="F21" s="35" t="s">
        <v>157</v>
      </c>
      <c r="G21" s="35" t="s">
        <v>38</v>
      </c>
      <c r="H21" s="35" t="str">
        <f t="shared" si="0"/>
        <v>Verify</v>
      </c>
      <c r="I21" s="35" t="s">
        <v>39</v>
      </c>
      <c r="J21" s="35"/>
      <c r="K21" s="47"/>
      <c r="L21" s="35" t="s">
        <v>40</v>
      </c>
      <c r="M21" s="35"/>
      <c r="N21" s="35"/>
      <c r="O21" s="35" t="s">
        <v>41</v>
      </c>
      <c r="P21" s="35"/>
      <c r="Q21" s="35"/>
      <c r="R21" s="35"/>
      <c r="S21" s="35"/>
      <c r="T21" s="35"/>
      <c r="U21" s="35"/>
      <c r="V21" s="35" t="s">
        <v>42</v>
      </c>
      <c r="W21" s="37">
        <f t="shared" si="1"/>
        <v>0.8</v>
      </c>
      <c r="X21" s="33" t="s">
        <v>43</v>
      </c>
      <c r="Y21" s="33" t="s">
        <v>44</v>
      </c>
      <c r="Z21" s="33" t="s">
        <v>45</v>
      </c>
      <c r="AA21" s="33" t="s">
        <v>46</v>
      </c>
      <c r="AB21" s="33" t="s">
        <v>158</v>
      </c>
      <c r="AD21" s="33" t="s">
        <v>159</v>
      </c>
      <c r="AE21" s="33" t="s">
        <v>49</v>
      </c>
      <c r="AG21" s="33" t="s">
        <v>50</v>
      </c>
      <c r="AH21" s="33" t="s">
        <v>51</v>
      </c>
    </row>
    <row r="22" spans="1:34" ht="296.39999999999998">
      <c r="A22" s="35">
        <v>21</v>
      </c>
      <c r="B22" s="35" t="s">
        <v>160</v>
      </c>
      <c r="C22" s="35" t="s">
        <v>34</v>
      </c>
      <c r="D22" s="35" t="s">
        <v>123</v>
      </c>
      <c r="E22" s="35" t="s">
        <v>161</v>
      </c>
      <c r="F22" s="35" t="s">
        <v>162</v>
      </c>
      <c r="G22" s="35" t="s">
        <v>38</v>
      </c>
      <c r="H22" s="35" t="str">
        <f t="shared" si="0"/>
        <v>Verify</v>
      </c>
      <c r="I22" s="35" t="s">
        <v>39</v>
      </c>
      <c r="J22" s="35"/>
      <c r="K22" s="47"/>
      <c r="L22" s="35" t="s">
        <v>40</v>
      </c>
      <c r="M22" s="35"/>
      <c r="N22" s="35"/>
      <c r="O22" s="35" t="s">
        <v>41</v>
      </c>
      <c r="P22" s="35"/>
      <c r="Q22" s="35"/>
      <c r="R22" s="35"/>
      <c r="S22" s="35"/>
      <c r="T22" s="35"/>
      <c r="U22" s="35"/>
      <c r="V22" s="35" t="s">
        <v>42</v>
      </c>
      <c r="W22" s="37">
        <f t="shared" si="1"/>
        <v>0.8</v>
      </c>
      <c r="X22" s="33" t="s">
        <v>43</v>
      </c>
      <c r="Y22" s="33" t="s">
        <v>44</v>
      </c>
      <c r="Z22" s="33" t="s">
        <v>45</v>
      </c>
      <c r="AA22" s="33" t="s">
        <v>46</v>
      </c>
      <c r="AB22" s="33" t="s">
        <v>163</v>
      </c>
      <c r="AD22" s="33" t="s">
        <v>164</v>
      </c>
      <c r="AE22" s="33" t="s">
        <v>49</v>
      </c>
      <c r="AG22" s="33" t="s">
        <v>50</v>
      </c>
      <c r="AH22" s="33" t="s">
        <v>51</v>
      </c>
    </row>
    <row r="23" spans="1:34" ht="265.25">
      <c r="A23" s="35">
        <v>22</v>
      </c>
      <c r="B23" s="35" t="s">
        <v>165</v>
      </c>
      <c r="C23" s="35" t="s">
        <v>34</v>
      </c>
      <c r="D23" s="35" t="s">
        <v>123</v>
      </c>
      <c r="E23" s="35" t="s">
        <v>166</v>
      </c>
      <c r="F23" s="35" t="s">
        <v>167</v>
      </c>
      <c r="G23" s="35" t="s">
        <v>38</v>
      </c>
      <c r="H23" s="35" t="str">
        <f t="shared" si="0"/>
        <v>Verify</v>
      </c>
      <c r="I23" s="35" t="s">
        <v>39</v>
      </c>
      <c r="J23" s="35"/>
      <c r="K23" s="47"/>
      <c r="L23" s="35" t="s">
        <v>168</v>
      </c>
      <c r="M23" s="35"/>
      <c r="N23" s="35"/>
      <c r="O23" s="35" t="s">
        <v>41</v>
      </c>
      <c r="P23" s="35" t="s">
        <v>169</v>
      </c>
      <c r="Q23" s="35"/>
      <c r="R23" s="35"/>
      <c r="S23" s="35"/>
      <c r="T23" s="35"/>
      <c r="U23" s="35"/>
      <c r="V23" s="35" t="s">
        <v>2155</v>
      </c>
      <c r="W23" s="37">
        <f t="shared" si="1"/>
        <v>0.7</v>
      </c>
      <c r="X23" s="33" t="s">
        <v>43</v>
      </c>
      <c r="Y23" s="33" t="s">
        <v>44</v>
      </c>
      <c r="Z23" s="33" t="s">
        <v>45</v>
      </c>
      <c r="AA23" s="33" t="s">
        <v>46</v>
      </c>
      <c r="AB23" s="33" t="s">
        <v>170</v>
      </c>
      <c r="AC23" s="33" t="s">
        <v>169</v>
      </c>
      <c r="AD23" s="33" t="s">
        <v>97</v>
      </c>
      <c r="AE23" s="33" t="s">
        <v>171</v>
      </c>
      <c r="AG23" s="33" t="s">
        <v>50</v>
      </c>
      <c r="AH23" s="33" t="s">
        <v>51</v>
      </c>
    </row>
    <row r="24" spans="1:34" ht="265.25">
      <c r="A24" s="35">
        <v>23</v>
      </c>
      <c r="B24" s="35" t="s">
        <v>172</v>
      </c>
      <c r="C24" s="35" t="s">
        <v>34</v>
      </c>
      <c r="D24" s="35" t="s">
        <v>123</v>
      </c>
      <c r="E24" s="35" t="s">
        <v>173</v>
      </c>
      <c r="F24" s="35" t="s">
        <v>174</v>
      </c>
      <c r="G24" s="35" t="s">
        <v>38</v>
      </c>
      <c r="H24" s="35" t="str">
        <f t="shared" si="0"/>
        <v>Verify</v>
      </c>
      <c r="I24" s="35" t="s">
        <v>39</v>
      </c>
      <c r="J24" s="35"/>
      <c r="K24" s="47"/>
      <c r="L24" s="35" t="s">
        <v>40</v>
      </c>
      <c r="M24" s="35"/>
      <c r="N24" s="35"/>
      <c r="O24" s="35" t="s">
        <v>41</v>
      </c>
      <c r="P24" s="35"/>
      <c r="Q24" s="35"/>
      <c r="R24" s="35"/>
      <c r="S24" s="35"/>
      <c r="T24" s="35"/>
      <c r="U24" s="35"/>
      <c r="V24" s="35" t="s">
        <v>42</v>
      </c>
      <c r="W24" s="37">
        <f t="shared" si="1"/>
        <v>0.8</v>
      </c>
      <c r="X24" s="33" t="s">
        <v>43</v>
      </c>
      <c r="Y24" s="33" t="s">
        <v>44</v>
      </c>
      <c r="Z24" s="33" t="s">
        <v>45</v>
      </c>
      <c r="AA24" s="33" t="s">
        <v>46</v>
      </c>
      <c r="AB24" s="33" t="s">
        <v>175</v>
      </c>
      <c r="AD24" s="33" t="s">
        <v>176</v>
      </c>
      <c r="AE24" s="33" t="s">
        <v>49</v>
      </c>
      <c r="AG24" s="33" t="s">
        <v>50</v>
      </c>
      <c r="AH24" s="33" t="s">
        <v>51</v>
      </c>
    </row>
    <row r="25" spans="1:34" ht="265.25">
      <c r="A25" s="35">
        <v>24</v>
      </c>
      <c r="B25" s="35" t="s">
        <v>177</v>
      </c>
      <c r="C25" s="35" t="s">
        <v>34</v>
      </c>
      <c r="D25" s="35" t="s">
        <v>123</v>
      </c>
      <c r="E25" s="35" t="s">
        <v>178</v>
      </c>
      <c r="F25" s="35" t="s">
        <v>179</v>
      </c>
      <c r="G25" s="35" t="s">
        <v>38</v>
      </c>
      <c r="H25" s="35" t="str">
        <f t="shared" si="0"/>
        <v>Verify</v>
      </c>
      <c r="I25" s="35" t="s">
        <v>39</v>
      </c>
      <c r="J25" s="35"/>
      <c r="K25" s="47"/>
      <c r="L25" s="35" t="s">
        <v>40</v>
      </c>
      <c r="M25" s="35"/>
      <c r="N25" s="35"/>
      <c r="O25" s="35" t="s">
        <v>41</v>
      </c>
      <c r="P25" s="35"/>
      <c r="Q25" s="35"/>
      <c r="R25" s="35"/>
      <c r="S25" s="35"/>
      <c r="T25" s="35"/>
      <c r="U25" s="35"/>
      <c r="V25" s="35" t="s">
        <v>42</v>
      </c>
      <c r="W25" s="37">
        <f t="shared" si="1"/>
        <v>0.8</v>
      </c>
      <c r="X25" s="33" t="s">
        <v>43</v>
      </c>
      <c r="Y25" s="33" t="s">
        <v>44</v>
      </c>
      <c r="Z25" s="33" t="s">
        <v>45</v>
      </c>
      <c r="AA25" s="33" t="s">
        <v>46</v>
      </c>
      <c r="AB25" s="33" t="s">
        <v>180</v>
      </c>
      <c r="AD25" s="33" t="s">
        <v>154</v>
      </c>
      <c r="AE25" s="33" t="s">
        <v>49</v>
      </c>
      <c r="AG25" s="33" t="s">
        <v>50</v>
      </c>
      <c r="AH25" s="33" t="s">
        <v>51</v>
      </c>
    </row>
    <row r="26" spans="1:34" ht="265.25">
      <c r="A26" s="35">
        <v>25</v>
      </c>
      <c r="B26" s="35" t="s">
        <v>181</v>
      </c>
      <c r="C26" s="35" t="s">
        <v>34</v>
      </c>
      <c r="D26" s="35" t="s">
        <v>123</v>
      </c>
      <c r="E26" s="35" t="s">
        <v>182</v>
      </c>
      <c r="F26" s="35" t="s">
        <v>183</v>
      </c>
      <c r="G26" s="35" t="s">
        <v>38</v>
      </c>
      <c r="H26" s="35" t="str">
        <f t="shared" si="0"/>
        <v>Verify</v>
      </c>
      <c r="I26" s="35" t="s">
        <v>39</v>
      </c>
      <c r="J26" s="35"/>
      <c r="K26" s="47"/>
      <c r="L26" s="35" t="s">
        <v>40</v>
      </c>
      <c r="M26" s="35"/>
      <c r="N26" s="35"/>
      <c r="O26" s="35" t="s">
        <v>41</v>
      </c>
      <c r="P26" s="35"/>
      <c r="Q26" s="35"/>
      <c r="R26" s="35"/>
      <c r="S26" s="35"/>
      <c r="T26" s="35"/>
      <c r="U26" s="35"/>
      <c r="V26" s="35" t="s">
        <v>42</v>
      </c>
      <c r="W26" s="37">
        <f t="shared" si="1"/>
        <v>0.8</v>
      </c>
      <c r="X26" s="33" t="s">
        <v>43</v>
      </c>
      <c r="Y26" s="33" t="s">
        <v>44</v>
      </c>
      <c r="Z26" s="33" t="s">
        <v>45</v>
      </c>
      <c r="AA26" s="33" t="s">
        <v>46</v>
      </c>
      <c r="AB26" s="33" t="s">
        <v>184</v>
      </c>
      <c r="AD26" s="33" t="s">
        <v>185</v>
      </c>
      <c r="AE26" s="33" t="s">
        <v>49</v>
      </c>
      <c r="AG26" s="33" t="s">
        <v>50</v>
      </c>
      <c r="AH26" s="33" t="s">
        <v>51</v>
      </c>
    </row>
    <row r="27" spans="1:34" ht="202.75">
      <c r="A27" s="35">
        <v>26</v>
      </c>
      <c r="B27" s="35" t="s">
        <v>186</v>
      </c>
      <c r="C27" s="35" t="s">
        <v>34</v>
      </c>
      <c r="D27" s="35" t="s">
        <v>123</v>
      </c>
      <c r="E27" s="35" t="s">
        <v>187</v>
      </c>
      <c r="F27" s="35" t="s">
        <v>188</v>
      </c>
      <c r="G27" s="35" t="s">
        <v>38</v>
      </c>
      <c r="H27" s="35" t="str">
        <f t="shared" si="0"/>
        <v>Verify</v>
      </c>
      <c r="I27" s="35" t="s">
        <v>39</v>
      </c>
      <c r="J27" s="35"/>
      <c r="K27" s="47"/>
      <c r="L27" s="35" t="s">
        <v>40</v>
      </c>
      <c r="M27" s="35"/>
      <c r="N27" s="35"/>
      <c r="O27" s="35" t="s">
        <v>41</v>
      </c>
      <c r="P27" s="35"/>
      <c r="Q27" s="35"/>
      <c r="R27" s="35"/>
      <c r="S27" s="35"/>
      <c r="T27" s="35"/>
      <c r="U27" s="35"/>
      <c r="V27" s="35" t="s">
        <v>42</v>
      </c>
      <c r="W27" s="37">
        <f t="shared" si="1"/>
        <v>0.8</v>
      </c>
      <c r="X27" s="33" t="s">
        <v>43</v>
      </c>
      <c r="Y27" s="33" t="s">
        <v>44</v>
      </c>
      <c r="Z27" s="33" t="s">
        <v>45</v>
      </c>
      <c r="AA27" s="33" t="s">
        <v>46</v>
      </c>
      <c r="AB27" s="33" t="s">
        <v>189</v>
      </c>
      <c r="AD27" s="33" t="s">
        <v>190</v>
      </c>
      <c r="AE27" s="33" t="s">
        <v>49</v>
      </c>
      <c r="AG27" s="33" t="s">
        <v>50</v>
      </c>
      <c r="AH27" s="33" t="s">
        <v>51</v>
      </c>
    </row>
    <row r="28" spans="1:34" ht="265.25">
      <c r="A28" s="35">
        <v>27</v>
      </c>
      <c r="B28" s="35" t="s">
        <v>191</v>
      </c>
      <c r="C28" s="35" t="s">
        <v>34</v>
      </c>
      <c r="D28" s="35" t="s">
        <v>123</v>
      </c>
      <c r="E28" s="35" t="s">
        <v>192</v>
      </c>
      <c r="F28" s="35" t="s">
        <v>193</v>
      </c>
      <c r="G28" s="35" t="s">
        <v>38</v>
      </c>
      <c r="H28" s="35" t="str">
        <f t="shared" si="0"/>
        <v>Verify</v>
      </c>
      <c r="I28" s="35" t="s">
        <v>39</v>
      </c>
      <c r="J28" s="35"/>
      <c r="K28" s="47"/>
      <c r="L28" s="35" t="s">
        <v>40</v>
      </c>
      <c r="M28" s="35"/>
      <c r="N28" s="35"/>
      <c r="O28" s="35" t="s">
        <v>41</v>
      </c>
      <c r="P28" s="35" t="s">
        <v>194</v>
      </c>
      <c r="Q28" s="35"/>
      <c r="R28" s="35"/>
      <c r="S28" s="35"/>
      <c r="T28" s="35"/>
      <c r="U28" s="35"/>
      <c r="V28" s="35" t="s">
        <v>42</v>
      </c>
      <c r="W28" s="37">
        <f t="shared" si="1"/>
        <v>0.8</v>
      </c>
      <c r="X28" s="33" t="s">
        <v>43</v>
      </c>
      <c r="Y28" s="33" t="s">
        <v>44</v>
      </c>
      <c r="Z28" s="33" t="s">
        <v>45</v>
      </c>
      <c r="AA28" s="33" t="s">
        <v>46</v>
      </c>
      <c r="AB28" s="33" t="s">
        <v>195</v>
      </c>
      <c r="AC28" s="33" t="s">
        <v>194</v>
      </c>
      <c r="AD28" s="33" t="s">
        <v>97</v>
      </c>
      <c r="AE28" s="33" t="s">
        <v>49</v>
      </c>
      <c r="AG28" s="33" t="s">
        <v>50</v>
      </c>
      <c r="AH28" s="33" t="s">
        <v>51</v>
      </c>
    </row>
    <row r="29" spans="1:34" ht="265.25">
      <c r="A29" s="35">
        <v>28</v>
      </c>
      <c r="B29" s="35" t="s">
        <v>196</v>
      </c>
      <c r="C29" s="35" t="s">
        <v>34</v>
      </c>
      <c r="D29" s="35" t="s">
        <v>123</v>
      </c>
      <c r="E29" s="35" t="s">
        <v>197</v>
      </c>
      <c r="F29" s="35" t="s">
        <v>198</v>
      </c>
      <c r="G29" s="35" t="s">
        <v>38</v>
      </c>
      <c r="H29" s="35" t="str">
        <f t="shared" si="0"/>
        <v>Verify</v>
      </c>
      <c r="I29" s="35" t="s">
        <v>39</v>
      </c>
      <c r="J29" s="35"/>
      <c r="K29" s="47"/>
      <c r="L29" s="35" t="s">
        <v>40</v>
      </c>
      <c r="M29" s="35"/>
      <c r="N29" s="35"/>
      <c r="O29" s="35" t="s">
        <v>41</v>
      </c>
      <c r="P29" s="35" t="s">
        <v>199</v>
      </c>
      <c r="Q29" s="35"/>
      <c r="R29" s="35"/>
      <c r="S29" s="35"/>
      <c r="T29" s="35"/>
      <c r="U29" s="35"/>
      <c r="V29" s="35" t="s">
        <v>42</v>
      </c>
      <c r="W29" s="37">
        <f t="shared" si="1"/>
        <v>0.8</v>
      </c>
      <c r="X29" s="33" t="s">
        <v>43</v>
      </c>
      <c r="Y29" s="33" t="s">
        <v>44</v>
      </c>
      <c r="Z29" s="33" t="s">
        <v>45</v>
      </c>
      <c r="AA29" s="33" t="s">
        <v>46</v>
      </c>
      <c r="AB29" s="33" t="s">
        <v>200</v>
      </c>
      <c r="AC29" s="33" t="s">
        <v>199</v>
      </c>
      <c r="AD29" s="33" t="s">
        <v>97</v>
      </c>
      <c r="AE29" s="33" t="s">
        <v>49</v>
      </c>
      <c r="AG29" s="33" t="s">
        <v>50</v>
      </c>
      <c r="AH29" s="33" t="s">
        <v>51</v>
      </c>
    </row>
    <row r="30" spans="1:34" ht="265.25">
      <c r="A30" s="35">
        <v>29</v>
      </c>
      <c r="B30" s="35" t="s">
        <v>201</v>
      </c>
      <c r="C30" s="35" t="s">
        <v>34</v>
      </c>
      <c r="D30" s="35" t="s">
        <v>123</v>
      </c>
      <c r="E30" s="35" t="s">
        <v>202</v>
      </c>
      <c r="F30" s="35" t="s">
        <v>203</v>
      </c>
      <c r="G30" s="35" t="s">
        <v>38</v>
      </c>
      <c r="H30" s="35" t="str">
        <f t="shared" si="0"/>
        <v>Verify</v>
      </c>
      <c r="I30" s="35" t="s">
        <v>39</v>
      </c>
      <c r="J30" s="35"/>
      <c r="K30" s="47"/>
      <c r="L30" s="35" t="s">
        <v>40</v>
      </c>
      <c r="M30" s="35"/>
      <c r="N30" s="35"/>
      <c r="O30" s="35" t="s">
        <v>41</v>
      </c>
      <c r="P30" s="35"/>
      <c r="Q30" s="35"/>
      <c r="R30" s="35"/>
      <c r="S30" s="35"/>
      <c r="T30" s="35"/>
      <c r="U30" s="35"/>
      <c r="V30" s="35" t="s">
        <v>42</v>
      </c>
      <c r="W30" s="37">
        <f t="shared" si="1"/>
        <v>0.8</v>
      </c>
      <c r="X30" s="33" t="s">
        <v>43</v>
      </c>
      <c r="Y30" s="33" t="s">
        <v>44</v>
      </c>
      <c r="Z30" s="33" t="s">
        <v>45</v>
      </c>
      <c r="AA30" s="33" t="s">
        <v>46</v>
      </c>
      <c r="AB30" s="33" t="s">
        <v>204</v>
      </c>
      <c r="AD30" s="33" t="s">
        <v>97</v>
      </c>
      <c r="AE30" s="33" t="s">
        <v>49</v>
      </c>
      <c r="AG30" s="33" t="s">
        <v>50</v>
      </c>
      <c r="AH30" s="33" t="s">
        <v>51</v>
      </c>
    </row>
    <row r="31" spans="1:34" ht="265.25">
      <c r="A31" s="35">
        <v>30</v>
      </c>
      <c r="B31" s="35" t="s">
        <v>205</v>
      </c>
      <c r="C31" s="35" t="s">
        <v>34</v>
      </c>
      <c r="D31" s="35" t="s">
        <v>123</v>
      </c>
      <c r="E31" s="35" t="s">
        <v>206</v>
      </c>
      <c r="F31" s="35" t="s">
        <v>207</v>
      </c>
      <c r="G31" s="35" t="s">
        <v>38</v>
      </c>
      <c r="H31" s="35" t="str">
        <f t="shared" si="0"/>
        <v>Verify</v>
      </c>
      <c r="I31" s="35" t="s">
        <v>39</v>
      </c>
      <c r="J31" s="35"/>
      <c r="K31" s="47"/>
      <c r="L31" s="35" t="s">
        <v>40</v>
      </c>
      <c r="M31" s="35"/>
      <c r="N31" s="35"/>
      <c r="O31" s="35" t="s">
        <v>41</v>
      </c>
      <c r="P31" s="35"/>
      <c r="Q31" s="35"/>
      <c r="R31" s="35"/>
      <c r="S31" s="35"/>
      <c r="T31" s="35"/>
      <c r="U31" s="35"/>
      <c r="V31" s="35" t="s">
        <v>42</v>
      </c>
      <c r="W31" s="37">
        <f t="shared" si="1"/>
        <v>0.8</v>
      </c>
      <c r="X31" s="33" t="s">
        <v>43</v>
      </c>
      <c r="Y31" s="33" t="s">
        <v>44</v>
      </c>
      <c r="Z31" s="33" t="s">
        <v>45</v>
      </c>
      <c r="AA31" s="33" t="s">
        <v>46</v>
      </c>
      <c r="AB31" s="33" t="s">
        <v>208</v>
      </c>
      <c r="AD31" s="33" t="s">
        <v>176</v>
      </c>
      <c r="AE31" s="33" t="s">
        <v>49</v>
      </c>
      <c r="AG31" s="33" t="s">
        <v>50</v>
      </c>
      <c r="AH31" s="33" t="s">
        <v>51</v>
      </c>
    </row>
    <row r="32" spans="1:34" ht="405.65">
      <c r="A32" s="35">
        <v>31</v>
      </c>
      <c r="B32" s="35" t="s">
        <v>209</v>
      </c>
      <c r="C32" s="35" t="s">
        <v>34</v>
      </c>
      <c r="D32" s="35" t="s">
        <v>123</v>
      </c>
      <c r="E32" s="35" t="s">
        <v>210</v>
      </c>
      <c r="F32" s="35" t="s">
        <v>211</v>
      </c>
      <c r="G32" s="35" t="s">
        <v>38</v>
      </c>
      <c r="H32" s="35" t="str">
        <f t="shared" si="0"/>
        <v>Verify</v>
      </c>
      <c r="I32" s="35" t="s">
        <v>39</v>
      </c>
      <c r="J32" s="35"/>
      <c r="K32" s="47"/>
      <c r="L32" s="35" t="s">
        <v>168</v>
      </c>
      <c r="M32" s="35"/>
      <c r="N32" s="35"/>
      <c r="O32" s="35" t="s">
        <v>76</v>
      </c>
      <c r="P32" s="35" t="s">
        <v>212</v>
      </c>
      <c r="Q32" s="35">
        <v>433877</v>
      </c>
      <c r="R32" s="35" t="s">
        <v>78</v>
      </c>
      <c r="S32" s="35"/>
      <c r="T32" s="35"/>
      <c r="U32" s="35"/>
      <c r="V32" s="35" t="s">
        <v>79</v>
      </c>
      <c r="W32" s="37">
        <f t="shared" si="1"/>
        <v>0</v>
      </c>
      <c r="X32" s="33" t="s">
        <v>43</v>
      </c>
      <c r="Y32" s="33" t="s">
        <v>213</v>
      </c>
      <c r="Z32" s="33" t="s">
        <v>214</v>
      </c>
      <c r="AA32" s="33" t="s">
        <v>119</v>
      </c>
      <c r="AB32" s="33" t="s">
        <v>215</v>
      </c>
      <c r="AC32" s="33" t="s">
        <v>216</v>
      </c>
      <c r="AD32" s="33" t="s">
        <v>217</v>
      </c>
      <c r="AE32" s="33" t="s">
        <v>218</v>
      </c>
      <c r="AG32" s="33" t="s">
        <v>50</v>
      </c>
      <c r="AH32" s="33" t="s">
        <v>51</v>
      </c>
    </row>
    <row r="33" spans="1:34" ht="265.25">
      <c r="A33" s="35">
        <v>32</v>
      </c>
      <c r="B33" s="35" t="s">
        <v>219</v>
      </c>
      <c r="C33" s="35" t="s">
        <v>34</v>
      </c>
      <c r="D33" s="35" t="s">
        <v>123</v>
      </c>
      <c r="E33" s="35" t="s">
        <v>220</v>
      </c>
      <c r="F33" s="35" t="s">
        <v>221</v>
      </c>
      <c r="G33" s="35" t="s">
        <v>38</v>
      </c>
      <c r="H33" s="35" t="str">
        <f t="shared" si="0"/>
        <v>Verify</v>
      </c>
      <c r="I33" s="35" t="s">
        <v>39</v>
      </c>
      <c r="J33" s="35"/>
      <c r="K33" s="47"/>
      <c r="L33" s="35" t="s">
        <v>40</v>
      </c>
      <c r="M33" s="35"/>
      <c r="N33" s="35"/>
      <c r="O33" s="35" t="s">
        <v>41</v>
      </c>
      <c r="P33" s="35"/>
      <c r="Q33" s="35"/>
      <c r="R33" s="35"/>
      <c r="S33" s="35"/>
      <c r="T33" s="35"/>
      <c r="U33" s="35"/>
      <c r="V33" s="35" t="s">
        <v>42</v>
      </c>
      <c r="W33" s="37">
        <f t="shared" si="1"/>
        <v>0.8</v>
      </c>
      <c r="X33" s="33" t="s">
        <v>43</v>
      </c>
      <c r="Y33" s="33" t="s">
        <v>44</v>
      </c>
      <c r="Z33" s="33" t="s">
        <v>45</v>
      </c>
      <c r="AA33" s="33" t="s">
        <v>46</v>
      </c>
      <c r="AB33" s="33" t="s">
        <v>222</v>
      </c>
      <c r="AD33" s="33" t="s">
        <v>97</v>
      </c>
      <c r="AE33" s="33" t="s">
        <v>49</v>
      </c>
      <c r="AG33" s="33" t="s">
        <v>50</v>
      </c>
      <c r="AH33" s="33" t="s">
        <v>51</v>
      </c>
    </row>
    <row r="34" spans="1:34" ht="265.25">
      <c r="A34" s="35">
        <v>33</v>
      </c>
      <c r="B34" s="35" t="s">
        <v>223</v>
      </c>
      <c r="C34" s="35" t="s">
        <v>34</v>
      </c>
      <c r="D34" s="35" t="s">
        <v>123</v>
      </c>
      <c r="E34" s="35" t="s">
        <v>224</v>
      </c>
      <c r="F34" s="35" t="s">
        <v>225</v>
      </c>
      <c r="G34" s="35" t="s">
        <v>38</v>
      </c>
      <c r="H34" s="35" t="str">
        <f t="shared" si="0"/>
        <v>Verify</v>
      </c>
      <c r="I34" s="35" t="s">
        <v>39</v>
      </c>
      <c r="J34" s="35"/>
      <c r="K34" s="47"/>
      <c r="L34" s="35" t="s">
        <v>40</v>
      </c>
      <c r="M34" s="35"/>
      <c r="N34" s="35"/>
      <c r="O34" s="35" t="s">
        <v>41</v>
      </c>
      <c r="P34" s="35" t="s">
        <v>226</v>
      </c>
      <c r="Q34" s="35"/>
      <c r="R34" s="35"/>
      <c r="S34" s="35"/>
      <c r="T34" s="35"/>
      <c r="U34" s="35"/>
      <c r="V34" s="35" t="s">
        <v>42</v>
      </c>
      <c r="W34" s="37">
        <f t="shared" si="1"/>
        <v>0.8</v>
      </c>
      <c r="X34" s="33" t="s">
        <v>43</v>
      </c>
      <c r="Y34" s="33" t="s">
        <v>44</v>
      </c>
      <c r="Z34" s="33" t="s">
        <v>45</v>
      </c>
      <c r="AA34" s="33" t="s">
        <v>46</v>
      </c>
      <c r="AB34" s="33" t="s">
        <v>227</v>
      </c>
      <c r="AC34" s="33" t="s">
        <v>226</v>
      </c>
      <c r="AD34" s="33" t="s">
        <v>132</v>
      </c>
      <c r="AE34" s="33" t="s">
        <v>49</v>
      </c>
      <c r="AG34" s="33" t="s">
        <v>50</v>
      </c>
      <c r="AH34" s="33" t="s">
        <v>51</v>
      </c>
    </row>
    <row r="35" spans="1:34" ht="265.25">
      <c r="A35" s="35">
        <v>34</v>
      </c>
      <c r="B35" s="35" t="s">
        <v>228</v>
      </c>
      <c r="C35" s="35" t="s">
        <v>34</v>
      </c>
      <c r="D35" s="35" t="s">
        <v>229</v>
      </c>
      <c r="E35" s="35" t="s">
        <v>230</v>
      </c>
      <c r="F35" s="35" t="s">
        <v>231</v>
      </c>
      <c r="G35" s="35" t="s">
        <v>38</v>
      </c>
      <c r="H35" s="35" t="str">
        <f t="shared" si="0"/>
        <v>Verify</v>
      </c>
      <c r="I35" s="35" t="s">
        <v>39</v>
      </c>
      <c r="J35" s="35"/>
      <c r="K35" s="47"/>
      <c r="L35" s="35" t="s">
        <v>40</v>
      </c>
      <c r="M35" s="35"/>
      <c r="N35" s="35"/>
      <c r="O35" s="35" t="s">
        <v>41</v>
      </c>
      <c r="P35" s="35"/>
      <c r="Q35" s="35"/>
      <c r="R35" s="35"/>
      <c r="S35" s="35"/>
      <c r="T35" s="35"/>
      <c r="U35" s="35"/>
      <c r="V35" s="35" t="s">
        <v>42</v>
      </c>
      <c r="W35" s="37">
        <f t="shared" si="1"/>
        <v>0.8</v>
      </c>
      <c r="X35" s="33" t="s">
        <v>43</v>
      </c>
      <c r="Y35" s="33" t="s">
        <v>44</v>
      </c>
      <c r="Z35" s="33" t="s">
        <v>45</v>
      </c>
      <c r="AA35" s="33" t="s">
        <v>46</v>
      </c>
      <c r="AB35" s="33" t="s">
        <v>232</v>
      </c>
      <c r="AD35" s="33" t="s">
        <v>97</v>
      </c>
      <c r="AE35" s="33" t="s">
        <v>49</v>
      </c>
      <c r="AG35" s="33" t="s">
        <v>50</v>
      </c>
      <c r="AH35" s="33" t="s">
        <v>51</v>
      </c>
    </row>
    <row r="36" spans="1:34" ht="280.75">
      <c r="A36" s="35">
        <v>35</v>
      </c>
      <c r="B36" s="35" t="s">
        <v>233</v>
      </c>
      <c r="C36" s="35" t="s">
        <v>34</v>
      </c>
      <c r="D36" s="35" t="s">
        <v>229</v>
      </c>
      <c r="E36" s="35" t="s">
        <v>234</v>
      </c>
      <c r="F36" s="35" t="s">
        <v>235</v>
      </c>
      <c r="G36" s="35" t="s">
        <v>38</v>
      </c>
      <c r="H36" s="35" t="str">
        <f t="shared" si="0"/>
        <v>Verify</v>
      </c>
      <c r="I36" s="35" t="s">
        <v>39</v>
      </c>
      <c r="J36" s="35"/>
      <c r="K36" s="47"/>
      <c r="L36" s="35" t="s">
        <v>40</v>
      </c>
      <c r="M36" s="35"/>
      <c r="N36" s="35"/>
      <c r="O36" s="35" t="s">
        <v>41</v>
      </c>
      <c r="P36" s="35"/>
      <c r="Q36" s="35"/>
      <c r="R36" s="35"/>
      <c r="S36" s="35"/>
      <c r="T36" s="35"/>
      <c r="U36" s="35"/>
      <c r="V36" s="35" t="s">
        <v>42</v>
      </c>
      <c r="W36" s="37">
        <f t="shared" si="1"/>
        <v>0.8</v>
      </c>
      <c r="X36" s="33" t="s">
        <v>43</v>
      </c>
      <c r="Y36" s="33" t="s">
        <v>44</v>
      </c>
      <c r="Z36" s="33" t="s">
        <v>45</v>
      </c>
      <c r="AA36" s="33" t="s">
        <v>46</v>
      </c>
      <c r="AB36" s="33" t="s">
        <v>236</v>
      </c>
      <c r="AD36" s="33" t="s">
        <v>237</v>
      </c>
      <c r="AE36" s="33" t="s">
        <v>49</v>
      </c>
      <c r="AG36" s="33" t="s">
        <v>50</v>
      </c>
      <c r="AH36" s="33" t="s">
        <v>51</v>
      </c>
    </row>
    <row r="37" spans="1:34" ht="409.6">
      <c r="A37" s="35">
        <v>36</v>
      </c>
      <c r="B37" s="35" t="s">
        <v>238</v>
      </c>
      <c r="C37" s="35" t="s">
        <v>34</v>
      </c>
      <c r="D37" s="35" t="s">
        <v>229</v>
      </c>
      <c r="E37" s="35" t="s">
        <v>239</v>
      </c>
      <c r="F37" s="35" t="s">
        <v>240</v>
      </c>
      <c r="G37" s="35" t="s">
        <v>38</v>
      </c>
      <c r="H37" s="35" t="str">
        <f t="shared" si="0"/>
        <v>Verify</v>
      </c>
      <c r="I37" s="35" t="s">
        <v>39</v>
      </c>
      <c r="J37" s="35"/>
      <c r="K37" s="47"/>
      <c r="L37" s="35" t="s">
        <v>40</v>
      </c>
      <c r="M37" s="35"/>
      <c r="N37" s="35"/>
      <c r="O37" s="35" t="s">
        <v>41</v>
      </c>
      <c r="P37" s="35" t="s">
        <v>241</v>
      </c>
      <c r="Q37" s="35"/>
      <c r="R37" s="35"/>
      <c r="S37" s="35"/>
      <c r="T37" s="35"/>
      <c r="U37" s="35"/>
      <c r="V37" s="35" t="s">
        <v>42</v>
      </c>
      <c r="W37" s="37">
        <f t="shared" si="1"/>
        <v>0.8</v>
      </c>
      <c r="X37" s="33" t="s">
        <v>43</v>
      </c>
      <c r="Y37" s="33" t="s">
        <v>213</v>
      </c>
      <c r="Z37" s="33" t="s">
        <v>45</v>
      </c>
      <c r="AA37" s="33" t="s">
        <v>119</v>
      </c>
      <c r="AB37" s="33" t="s">
        <v>242</v>
      </c>
      <c r="AC37" s="33" t="s">
        <v>243</v>
      </c>
      <c r="AD37" s="33" t="s">
        <v>244</v>
      </c>
      <c r="AE37" s="33" t="s">
        <v>49</v>
      </c>
      <c r="AG37" s="33" t="s">
        <v>50</v>
      </c>
      <c r="AH37" s="33" t="s">
        <v>51</v>
      </c>
    </row>
    <row r="38" spans="1:34" ht="265.25">
      <c r="A38" s="35">
        <v>37</v>
      </c>
      <c r="B38" s="35" t="s">
        <v>245</v>
      </c>
      <c r="C38" s="35" t="s">
        <v>34</v>
      </c>
      <c r="D38" s="35" t="s">
        <v>229</v>
      </c>
      <c r="E38" s="35" t="s">
        <v>246</v>
      </c>
      <c r="F38" s="35" t="s">
        <v>247</v>
      </c>
      <c r="G38" s="35" t="s">
        <v>38</v>
      </c>
      <c r="H38" s="35" t="str">
        <f t="shared" si="0"/>
        <v>Verify</v>
      </c>
      <c r="I38" s="35" t="s">
        <v>39</v>
      </c>
      <c r="J38" s="35"/>
      <c r="K38" s="47"/>
      <c r="L38" s="35" t="s">
        <v>40</v>
      </c>
      <c r="M38" s="35"/>
      <c r="N38" s="35"/>
      <c r="O38" s="35" t="s">
        <v>41</v>
      </c>
      <c r="P38" s="35"/>
      <c r="Q38" s="35"/>
      <c r="R38" s="35"/>
      <c r="S38" s="35"/>
      <c r="T38" s="35"/>
      <c r="U38" s="35"/>
      <c r="V38" s="35" t="s">
        <v>42</v>
      </c>
      <c r="W38" s="37">
        <f t="shared" si="1"/>
        <v>0.8</v>
      </c>
      <c r="X38" s="33" t="s">
        <v>43</v>
      </c>
      <c r="Y38" s="33" t="s">
        <v>44</v>
      </c>
      <c r="Z38" s="33" t="s">
        <v>45</v>
      </c>
      <c r="AA38" s="33" t="s">
        <v>46</v>
      </c>
      <c r="AB38" s="33" t="s">
        <v>248</v>
      </c>
      <c r="AD38" s="33" t="s">
        <v>132</v>
      </c>
      <c r="AE38" s="33" t="s">
        <v>49</v>
      </c>
      <c r="AG38" s="33" t="s">
        <v>50</v>
      </c>
      <c r="AH38" s="33" t="s">
        <v>51</v>
      </c>
    </row>
    <row r="39" spans="1:34" ht="265.25">
      <c r="A39" s="35">
        <v>38</v>
      </c>
      <c r="B39" s="35" t="s">
        <v>249</v>
      </c>
      <c r="C39" s="35" t="s">
        <v>34</v>
      </c>
      <c r="D39" s="35" t="s">
        <v>229</v>
      </c>
      <c r="E39" s="35" t="s">
        <v>250</v>
      </c>
      <c r="F39" s="35" t="s">
        <v>251</v>
      </c>
      <c r="G39" s="35" t="s">
        <v>38</v>
      </c>
      <c r="H39" s="35" t="str">
        <f t="shared" si="0"/>
        <v>Verify</v>
      </c>
      <c r="I39" s="35" t="s">
        <v>39</v>
      </c>
      <c r="J39" s="35"/>
      <c r="K39" s="47"/>
      <c r="L39" s="35" t="s">
        <v>40</v>
      </c>
      <c r="M39" s="35"/>
      <c r="N39" s="35"/>
      <c r="O39" s="35" t="s">
        <v>41</v>
      </c>
      <c r="P39" s="35"/>
      <c r="Q39" s="35"/>
      <c r="R39" s="35"/>
      <c r="S39" s="35"/>
      <c r="T39" s="35"/>
      <c r="U39" s="35"/>
      <c r="V39" s="35" t="s">
        <v>42</v>
      </c>
      <c r="W39" s="37">
        <f t="shared" si="1"/>
        <v>0.8</v>
      </c>
      <c r="X39" s="33" t="s">
        <v>43</v>
      </c>
      <c r="Y39" s="33" t="s">
        <v>44</v>
      </c>
      <c r="Z39" s="33" t="s">
        <v>45</v>
      </c>
      <c r="AA39" s="33" t="s">
        <v>46</v>
      </c>
      <c r="AB39" s="33" t="s">
        <v>252</v>
      </c>
      <c r="AD39" s="33" t="s">
        <v>253</v>
      </c>
      <c r="AE39" s="33" t="s">
        <v>49</v>
      </c>
      <c r="AG39" s="33" t="s">
        <v>50</v>
      </c>
      <c r="AH39" s="33" t="s">
        <v>51</v>
      </c>
    </row>
    <row r="40" spans="1:34" ht="265.25">
      <c r="A40" s="35">
        <v>39</v>
      </c>
      <c r="B40" s="35" t="s">
        <v>254</v>
      </c>
      <c r="C40" s="35" t="s">
        <v>34</v>
      </c>
      <c r="D40" s="35" t="s">
        <v>229</v>
      </c>
      <c r="E40" s="35" t="s">
        <v>255</v>
      </c>
      <c r="F40" s="35" t="s">
        <v>256</v>
      </c>
      <c r="G40" s="35" t="s">
        <v>38</v>
      </c>
      <c r="H40" s="35" t="str">
        <f t="shared" si="0"/>
        <v>Verify</v>
      </c>
      <c r="I40" s="35" t="s">
        <v>39</v>
      </c>
      <c r="J40" s="35"/>
      <c r="K40" s="47"/>
      <c r="L40" s="35" t="s">
        <v>40</v>
      </c>
      <c r="M40" s="35"/>
      <c r="N40" s="35"/>
      <c r="O40" s="35" t="s">
        <v>41</v>
      </c>
      <c r="P40" s="35"/>
      <c r="Q40" s="35"/>
      <c r="R40" s="35"/>
      <c r="S40" s="35"/>
      <c r="T40" s="35"/>
      <c r="U40" s="35"/>
      <c r="V40" s="35" t="s">
        <v>42</v>
      </c>
      <c r="W40" s="37">
        <f t="shared" si="1"/>
        <v>0.8</v>
      </c>
      <c r="X40" s="33" t="s">
        <v>43</v>
      </c>
      <c r="Y40" s="33" t="s">
        <v>44</v>
      </c>
      <c r="Z40" s="33" t="s">
        <v>45</v>
      </c>
      <c r="AA40" s="33" t="s">
        <v>46</v>
      </c>
      <c r="AB40" s="33" t="s">
        <v>257</v>
      </c>
      <c r="AD40" s="33" t="s">
        <v>185</v>
      </c>
      <c r="AE40" s="33" t="s">
        <v>49</v>
      </c>
      <c r="AG40" s="33" t="s">
        <v>50</v>
      </c>
      <c r="AH40" s="33" t="s">
        <v>51</v>
      </c>
    </row>
    <row r="41" spans="1:34" ht="265.25">
      <c r="A41" s="35">
        <v>40</v>
      </c>
      <c r="B41" s="35" t="s">
        <v>258</v>
      </c>
      <c r="C41" s="35" t="s">
        <v>34</v>
      </c>
      <c r="D41" s="35" t="s">
        <v>229</v>
      </c>
      <c r="E41" s="35" t="s">
        <v>259</v>
      </c>
      <c r="F41" s="35" t="s">
        <v>260</v>
      </c>
      <c r="G41" s="35" t="s">
        <v>38</v>
      </c>
      <c r="H41" s="35" t="str">
        <f t="shared" si="0"/>
        <v>Verify</v>
      </c>
      <c r="I41" s="35" t="s">
        <v>39</v>
      </c>
      <c r="J41" s="35"/>
      <c r="K41" s="47"/>
      <c r="L41" s="35" t="s">
        <v>40</v>
      </c>
      <c r="M41" s="35"/>
      <c r="N41" s="35"/>
      <c r="O41" s="35" t="s">
        <v>41</v>
      </c>
      <c r="P41" s="35"/>
      <c r="Q41" s="35"/>
      <c r="R41" s="35"/>
      <c r="S41" s="35"/>
      <c r="T41" s="35"/>
      <c r="U41" s="35"/>
      <c r="V41" s="35" t="s">
        <v>42</v>
      </c>
      <c r="W41" s="37">
        <f t="shared" si="1"/>
        <v>0.8</v>
      </c>
      <c r="X41" s="33" t="s">
        <v>43</v>
      </c>
      <c r="Y41" s="33" t="s">
        <v>44</v>
      </c>
      <c r="Z41" s="33" t="s">
        <v>45</v>
      </c>
      <c r="AA41" s="33" t="s">
        <v>46</v>
      </c>
      <c r="AB41" s="33" t="s">
        <v>261</v>
      </c>
      <c r="AD41" s="33" t="s">
        <v>154</v>
      </c>
      <c r="AE41" s="33" t="s">
        <v>49</v>
      </c>
      <c r="AG41" s="33" t="s">
        <v>50</v>
      </c>
      <c r="AH41" s="33" t="s">
        <v>51</v>
      </c>
    </row>
    <row r="42" spans="1:34" ht="265.25">
      <c r="A42" s="35">
        <v>41</v>
      </c>
      <c r="B42" s="35" t="s">
        <v>262</v>
      </c>
      <c r="C42" s="35" t="s">
        <v>34</v>
      </c>
      <c r="D42" s="35" t="s">
        <v>229</v>
      </c>
      <c r="E42" s="35" t="s">
        <v>263</v>
      </c>
      <c r="F42" s="35" t="s">
        <v>264</v>
      </c>
      <c r="G42" s="35" t="s">
        <v>38</v>
      </c>
      <c r="H42" s="35" t="str">
        <f t="shared" si="0"/>
        <v>Verify</v>
      </c>
      <c r="I42" s="35" t="s">
        <v>39</v>
      </c>
      <c r="J42" s="35"/>
      <c r="K42" s="47"/>
      <c r="L42" s="35" t="s">
        <v>40</v>
      </c>
      <c r="M42" s="35"/>
      <c r="N42" s="35"/>
      <c r="O42" s="35" t="s">
        <v>41</v>
      </c>
      <c r="P42" s="35"/>
      <c r="Q42" s="35"/>
      <c r="R42" s="35"/>
      <c r="S42" s="35"/>
      <c r="T42" s="35"/>
      <c r="U42" s="35"/>
      <c r="V42" s="35" t="s">
        <v>42</v>
      </c>
      <c r="W42" s="37">
        <f t="shared" si="1"/>
        <v>0.8</v>
      </c>
      <c r="X42" s="33" t="s">
        <v>43</v>
      </c>
      <c r="Y42" s="33" t="s">
        <v>44</v>
      </c>
      <c r="Z42" s="33" t="s">
        <v>45</v>
      </c>
      <c r="AA42" s="33" t="s">
        <v>46</v>
      </c>
      <c r="AB42" s="33" t="s">
        <v>265</v>
      </c>
      <c r="AD42" s="33" t="s">
        <v>176</v>
      </c>
      <c r="AE42" s="33" t="s">
        <v>49</v>
      </c>
      <c r="AG42" s="33" t="s">
        <v>50</v>
      </c>
      <c r="AH42" s="33" t="s">
        <v>51</v>
      </c>
    </row>
    <row r="43" spans="1:34" ht="265.25">
      <c r="A43" s="35">
        <v>42</v>
      </c>
      <c r="B43" s="35" t="s">
        <v>266</v>
      </c>
      <c r="C43" s="35" t="s">
        <v>34</v>
      </c>
      <c r="D43" s="35" t="s">
        <v>229</v>
      </c>
      <c r="E43" s="35" t="s">
        <v>267</v>
      </c>
      <c r="F43" s="35" t="s">
        <v>268</v>
      </c>
      <c r="G43" s="35" t="s">
        <v>38</v>
      </c>
      <c r="H43" s="35" t="str">
        <f t="shared" si="0"/>
        <v>Verify</v>
      </c>
      <c r="I43" s="35" t="s">
        <v>39</v>
      </c>
      <c r="J43" s="35"/>
      <c r="K43" s="47"/>
      <c r="L43" s="35" t="s">
        <v>40</v>
      </c>
      <c r="M43" s="35"/>
      <c r="N43" s="35"/>
      <c r="O43" s="35" t="s">
        <v>41</v>
      </c>
      <c r="P43" s="35"/>
      <c r="Q43" s="35"/>
      <c r="R43" s="35"/>
      <c r="S43" s="35"/>
      <c r="T43" s="35"/>
      <c r="U43" s="35"/>
      <c r="V43" s="35" t="s">
        <v>42</v>
      </c>
      <c r="W43" s="37">
        <f t="shared" si="1"/>
        <v>0.8</v>
      </c>
      <c r="X43" s="33" t="s">
        <v>43</v>
      </c>
      <c r="Y43" s="33" t="s">
        <v>44</v>
      </c>
      <c r="Z43" s="33" t="s">
        <v>45</v>
      </c>
      <c r="AA43" s="33" t="s">
        <v>46</v>
      </c>
      <c r="AB43" s="33" t="s">
        <v>269</v>
      </c>
      <c r="AD43" s="33" t="s">
        <v>97</v>
      </c>
      <c r="AE43" s="33" t="s">
        <v>49</v>
      </c>
      <c r="AG43" s="33" t="s">
        <v>50</v>
      </c>
      <c r="AH43" s="33" t="s">
        <v>51</v>
      </c>
    </row>
    <row r="44" spans="1:34" ht="265.25">
      <c r="A44" s="35">
        <v>43</v>
      </c>
      <c r="B44" s="35" t="s">
        <v>270</v>
      </c>
      <c r="C44" s="35" t="s">
        <v>34</v>
      </c>
      <c r="D44" s="35" t="s">
        <v>229</v>
      </c>
      <c r="E44" s="35" t="s">
        <v>271</v>
      </c>
      <c r="F44" s="35" t="s">
        <v>272</v>
      </c>
      <c r="G44" s="35" t="s">
        <v>38</v>
      </c>
      <c r="H44" s="35" t="str">
        <f t="shared" si="0"/>
        <v>Verify</v>
      </c>
      <c r="I44" s="35" t="s">
        <v>39</v>
      </c>
      <c r="J44" s="35"/>
      <c r="K44" s="47"/>
      <c r="L44" s="35" t="s">
        <v>40</v>
      </c>
      <c r="M44" s="35"/>
      <c r="N44" s="35"/>
      <c r="O44" s="35" t="s">
        <v>41</v>
      </c>
      <c r="P44" s="35"/>
      <c r="Q44" s="35"/>
      <c r="R44" s="35"/>
      <c r="S44" s="35"/>
      <c r="T44" s="35"/>
      <c r="U44" s="35"/>
      <c r="V44" s="35" t="s">
        <v>42</v>
      </c>
      <c r="W44" s="37">
        <f t="shared" si="1"/>
        <v>0.8</v>
      </c>
      <c r="X44" s="33" t="s">
        <v>43</v>
      </c>
      <c r="Y44" s="33" t="s">
        <v>44</v>
      </c>
      <c r="Z44" s="33" t="s">
        <v>45</v>
      </c>
      <c r="AA44" s="33" t="s">
        <v>46</v>
      </c>
      <c r="AB44" s="33" t="s">
        <v>273</v>
      </c>
      <c r="AD44" s="33" t="s">
        <v>132</v>
      </c>
      <c r="AE44" s="33" t="s">
        <v>49</v>
      </c>
      <c r="AG44" s="33" t="s">
        <v>50</v>
      </c>
      <c r="AH44" s="33" t="s">
        <v>51</v>
      </c>
    </row>
    <row r="45" spans="1:34" ht="280.75">
      <c r="A45" s="35">
        <v>44</v>
      </c>
      <c r="B45" s="35" t="s">
        <v>274</v>
      </c>
      <c r="C45" s="35" t="s">
        <v>34</v>
      </c>
      <c r="D45" s="35" t="s">
        <v>229</v>
      </c>
      <c r="E45" s="35" t="s">
        <v>275</v>
      </c>
      <c r="F45" s="35" t="s">
        <v>276</v>
      </c>
      <c r="G45" s="35" t="s">
        <v>38</v>
      </c>
      <c r="H45" s="35" t="str">
        <f t="shared" si="0"/>
        <v>Verify</v>
      </c>
      <c r="I45" s="35" t="s">
        <v>39</v>
      </c>
      <c r="J45" s="35"/>
      <c r="K45" s="47"/>
      <c r="L45" s="35" t="s">
        <v>40</v>
      </c>
      <c r="M45" s="35"/>
      <c r="N45" s="35"/>
      <c r="O45" s="35" t="s">
        <v>41</v>
      </c>
      <c r="P45" s="35"/>
      <c r="Q45" s="35"/>
      <c r="R45" s="35"/>
      <c r="S45" s="35"/>
      <c r="T45" s="35"/>
      <c r="U45" s="35"/>
      <c r="V45" s="35" t="s">
        <v>42</v>
      </c>
      <c r="W45" s="37">
        <f t="shared" si="1"/>
        <v>0.8</v>
      </c>
      <c r="X45" s="33" t="s">
        <v>43</v>
      </c>
      <c r="Y45" s="33" t="s">
        <v>44</v>
      </c>
      <c r="Z45" s="33" t="s">
        <v>45</v>
      </c>
      <c r="AA45" s="33" t="s">
        <v>46</v>
      </c>
      <c r="AB45" s="33" t="s">
        <v>277</v>
      </c>
      <c r="AD45" s="33" t="s">
        <v>278</v>
      </c>
      <c r="AE45" s="33" t="s">
        <v>49</v>
      </c>
      <c r="AG45" s="33" t="s">
        <v>50</v>
      </c>
      <c r="AH45" s="33" t="s">
        <v>51</v>
      </c>
    </row>
    <row r="46" spans="1:34" ht="265.25">
      <c r="A46" s="35">
        <v>45</v>
      </c>
      <c r="B46" s="35" t="s">
        <v>279</v>
      </c>
      <c r="C46" s="35" t="s">
        <v>34</v>
      </c>
      <c r="D46" s="35" t="s">
        <v>229</v>
      </c>
      <c r="E46" s="35" t="s">
        <v>280</v>
      </c>
      <c r="F46" s="35" t="s">
        <v>281</v>
      </c>
      <c r="G46" s="35" t="s">
        <v>38</v>
      </c>
      <c r="H46" s="35" t="str">
        <f t="shared" si="0"/>
        <v>Verify</v>
      </c>
      <c r="I46" s="35" t="s">
        <v>39</v>
      </c>
      <c r="J46" s="35"/>
      <c r="K46" s="47"/>
      <c r="L46" s="35" t="s">
        <v>40</v>
      </c>
      <c r="M46" s="35"/>
      <c r="N46" s="35"/>
      <c r="O46" s="35" t="s">
        <v>41</v>
      </c>
      <c r="P46" s="35"/>
      <c r="Q46" s="35"/>
      <c r="R46" s="35"/>
      <c r="S46" s="35"/>
      <c r="T46" s="35"/>
      <c r="U46" s="35"/>
      <c r="V46" s="35" t="s">
        <v>42</v>
      </c>
      <c r="W46" s="37">
        <f t="shared" si="1"/>
        <v>0.8</v>
      </c>
      <c r="X46" s="33" t="s">
        <v>43</v>
      </c>
      <c r="Y46" s="33" t="s">
        <v>44</v>
      </c>
      <c r="Z46" s="33" t="s">
        <v>45</v>
      </c>
      <c r="AA46" s="33" t="s">
        <v>46</v>
      </c>
      <c r="AB46" s="33" t="s">
        <v>282</v>
      </c>
      <c r="AD46" s="33" t="s">
        <v>132</v>
      </c>
      <c r="AE46" s="33" t="s">
        <v>49</v>
      </c>
      <c r="AG46" s="33" t="s">
        <v>50</v>
      </c>
      <c r="AH46" s="33" t="s">
        <v>51</v>
      </c>
    </row>
    <row r="47" spans="1:34" ht="296.39999999999998">
      <c r="A47" s="35">
        <v>46</v>
      </c>
      <c r="B47" s="35" t="s">
        <v>283</v>
      </c>
      <c r="C47" s="35" t="s">
        <v>34</v>
      </c>
      <c r="D47" s="35" t="s">
        <v>229</v>
      </c>
      <c r="E47" s="35" t="s">
        <v>284</v>
      </c>
      <c r="F47" s="35" t="s">
        <v>285</v>
      </c>
      <c r="G47" s="35" t="s">
        <v>38</v>
      </c>
      <c r="H47" s="35" t="str">
        <f t="shared" si="0"/>
        <v>Verify</v>
      </c>
      <c r="I47" s="35" t="s">
        <v>39</v>
      </c>
      <c r="J47" s="35"/>
      <c r="K47" s="47"/>
      <c r="L47" s="35" t="s">
        <v>40</v>
      </c>
      <c r="M47" s="35"/>
      <c r="N47" s="35"/>
      <c r="O47" s="35" t="s">
        <v>41</v>
      </c>
      <c r="P47" s="35"/>
      <c r="Q47" s="35"/>
      <c r="R47" s="35"/>
      <c r="S47" s="35"/>
      <c r="T47" s="35"/>
      <c r="U47" s="35"/>
      <c r="V47" s="35" t="s">
        <v>42</v>
      </c>
      <c r="W47" s="37">
        <f t="shared" si="1"/>
        <v>0.8</v>
      </c>
      <c r="X47" s="33" t="s">
        <v>43</v>
      </c>
      <c r="Y47" s="33" t="s">
        <v>44</v>
      </c>
      <c r="Z47" s="33" t="s">
        <v>45</v>
      </c>
      <c r="AA47" s="33" t="s">
        <v>46</v>
      </c>
      <c r="AB47" s="33" t="s">
        <v>286</v>
      </c>
      <c r="AD47" s="33" t="s">
        <v>112</v>
      </c>
      <c r="AE47" s="33" t="s">
        <v>49</v>
      </c>
      <c r="AG47" s="33" t="s">
        <v>50</v>
      </c>
      <c r="AH47" s="33" t="s">
        <v>51</v>
      </c>
    </row>
    <row r="48" spans="1:34" ht="265.25">
      <c r="A48" s="35">
        <v>47</v>
      </c>
      <c r="B48" s="35" t="s">
        <v>287</v>
      </c>
      <c r="C48" s="35" t="s">
        <v>34</v>
      </c>
      <c r="D48" s="35" t="s">
        <v>229</v>
      </c>
      <c r="E48" s="35" t="s">
        <v>202</v>
      </c>
      <c r="F48" s="35" t="s">
        <v>288</v>
      </c>
      <c r="G48" s="35" t="s">
        <v>38</v>
      </c>
      <c r="H48" s="35" t="str">
        <f t="shared" si="0"/>
        <v>Verify</v>
      </c>
      <c r="I48" s="35" t="s">
        <v>39</v>
      </c>
      <c r="J48" s="35"/>
      <c r="K48" s="47"/>
      <c r="L48" s="35" t="s">
        <v>40</v>
      </c>
      <c r="M48" s="35"/>
      <c r="N48" s="35"/>
      <c r="O48" s="35" t="s">
        <v>41</v>
      </c>
      <c r="P48" s="35"/>
      <c r="Q48" s="35"/>
      <c r="R48" s="35"/>
      <c r="S48" s="35"/>
      <c r="T48" s="35"/>
      <c r="U48" s="35"/>
      <c r="V48" s="35" t="s">
        <v>42</v>
      </c>
      <c r="W48" s="37">
        <f t="shared" si="1"/>
        <v>0.8</v>
      </c>
      <c r="X48" s="33" t="s">
        <v>43</v>
      </c>
      <c r="Y48" s="33" t="s">
        <v>44</v>
      </c>
      <c r="Z48" s="33" t="s">
        <v>45</v>
      </c>
      <c r="AA48" s="33" t="s">
        <v>46</v>
      </c>
      <c r="AB48" s="33" t="s">
        <v>204</v>
      </c>
      <c r="AD48" s="33" t="s">
        <v>97</v>
      </c>
      <c r="AE48" s="33" t="s">
        <v>49</v>
      </c>
      <c r="AG48" s="33" t="s">
        <v>50</v>
      </c>
      <c r="AH48" s="33" t="s">
        <v>51</v>
      </c>
    </row>
    <row r="49" spans="1:34" ht="296.39999999999998">
      <c r="A49" s="35">
        <v>48</v>
      </c>
      <c r="B49" s="35" t="s">
        <v>289</v>
      </c>
      <c r="C49" s="35" t="s">
        <v>34</v>
      </c>
      <c r="D49" s="35" t="s">
        <v>229</v>
      </c>
      <c r="E49" s="35" t="s">
        <v>290</v>
      </c>
      <c r="F49" s="35" t="s">
        <v>291</v>
      </c>
      <c r="G49" s="35" t="s">
        <v>38</v>
      </c>
      <c r="H49" s="35" t="str">
        <f t="shared" si="0"/>
        <v>Verify</v>
      </c>
      <c r="I49" s="35" t="s">
        <v>39</v>
      </c>
      <c r="J49" s="35"/>
      <c r="K49" s="47"/>
      <c r="L49" s="35" t="s">
        <v>40</v>
      </c>
      <c r="M49" s="35"/>
      <c r="N49" s="35"/>
      <c r="O49" s="35" t="s">
        <v>41</v>
      </c>
      <c r="P49" s="35"/>
      <c r="Q49" s="35"/>
      <c r="R49" s="35"/>
      <c r="S49" s="35"/>
      <c r="T49" s="35"/>
      <c r="U49" s="35"/>
      <c r="V49" s="35" t="s">
        <v>42</v>
      </c>
      <c r="W49" s="37">
        <f t="shared" si="1"/>
        <v>0.8</v>
      </c>
      <c r="X49" s="33" t="s">
        <v>43</v>
      </c>
      <c r="Y49" s="33" t="s">
        <v>44</v>
      </c>
      <c r="Z49" s="33" t="s">
        <v>45</v>
      </c>
      <c r="AA49" s="33" t="s">
        <v>46</v>
      </c>
      <c r="AB49" s="33" t="s">
        <v>292</v>
      </c>
      <c r="AD49" s="33" t="s">
        <v>293</v>
      </c>
      <c r="AE49" s="33" t="s">
        <v>49</v>
      </c>
      <c r="AG49" s="33" t="s">
        <v>50</v>
      </c>
      <c r="AH49" s="33" t="s">
        <v>51</v>
      </c>
    </row>
    <row r="50" spans="1:34" ht="265.25">
      <c r="A50" s="35">
        <v>49</v>
      </c>
      <c r="B50" s="35" t="s">
        <v>294</v>
      </c>
      <c r="C50" s="35" t="s">
        <v>34</v>
      </c>
      <c r="D50" s="35" t="s">
        <v>229</v>
      </c>
      <c r="E50" s="35" t="s">
        <v>156</v>
      </c>
      <c r="F50" s="35" t="s">
        <v>295</v>
      </c>
      <c r="G50" s="35" t="s">
        <v>38</v>
      </c>
      <c r="H50" s="35" t="str">
        <f t="shared" si="0"/>
        <v>Verify</v>
      </c>
      <c r="I50" s="35" t="s">
        <v>39</v>
      </c>
      <c r="J50" s="35"/>
      <c r="K50" s="47"/>
      <c r="L50" s="35" t="s">
        <v>40</v>
      </c>
      <c r="M50" s="35"/>
      <c r="N50" s="35"/>
      <c r="O50" s="35" t="s">
        <v>41</v>
      </c>
      <c r="P50" s="35"/>
      <c r="Q50" s="35"/>
      <c r="R50" s="35"/>
      <c r="S50" s="35"/>
      <c r="T50" s="35"/>
      <c r="U50" s="35"/>
      <c r="V50" s="35" t="s">
        <v>42</v>
      </c>
      <c r="W50" s="37">
        <f t="shared" si="1"/>
        <v>0.8</v>
      </c>
      <c r="X50" s="33" t="s">
        <v>43</v>
      </c>
      <c r="Y50" s="33" t="s">
        <v>44</v>
      </c>
      <c r="Z50" s="33" t="s">
        <v>45</v>
      </c>
      <c r="AA50" s="33" t="s">
        <v>46</v>
      </c>
      <c r="AB50" s="33" t="s">
        <v>158</v>
      </c>
      <c r="AD50" s="33" t="s">
        <v>159</v>
      </c>
      <c r="AE50" s="33" t="s">
        <v>49</v>
      </c>
      <c r="AG50" s="33" t="s">
        <v>50</v>
      </c>
      <c r="AH50" s="33" t="s">
        <v>51</v>
      </c>
    </row>
    <row r="51" spans="1:34" ht="156">
      <c r="A51" s="35">
        <v>50</v>
      </c>
      <c r="B51" s="35" t="s">
        <v>296</v>
      </c>
      <c r="C51" s="35" t="s">
        <v>34</v>
      </c>
      <c r="D51" s="35" t="s">
        <v>229</v>
      </c>
      <c r="E51" s="35" t="s">
        <v>297</v>
      </c>
      <c r="F51" s="35" t="s">
        <v>298</v>
      </c>
      <c r="G51" s="35" t="s">
        <v>38</v>
      </c>
      <c r="H51" s="35" t="str">
        <f t="shared" si="0"/>
        <v>Verify</v>
      </c>
      <c r="I51" s="35" t="s">
        <v>39</v>
      </c>
      <c r="J51" s="35"/>
      <c r="K51" s="47"/>
      <c r="L51" s="35" t="s">
        <v>168</v>
      </c>
      <c r="M51" s="35"/>
      <c r="N51" s="35" t="s">
        <v>299</v>
      </c>
      <c r="O51" s="35" t="s">
        <v>41</v>
      </c>
      <c r="P51" s="35" t="s">
        <v>300</v>
      </c>
      <c r="Q51" s="35"/>
      <c r="R51" s="35"/>
      <c r="S51" s="35"/>
      <c r="T51" s="35"/>
      <c r="U51" s="35"/>
      <c r="V51" s="35" t="s">
        <v>2155</v>
      </c>
      <c r="W51" s="37">
        <f t="shared" si="1"/>
        <v>0.7</v>
      </c>
      <c r="X51" s="33" t="s">
        <v>43</v>
      </c>
      <c r="Y51" s="33" t="s">
        <v>213</v>
      </c>
      <c r="Z51" s="33" t="s">
        <v>45</v>
      </c>
      <c r="AA51" s="33" t="s">
        <v>46</v>
      </c>
      <c r="AB51" s="33" t="s">
        <v>301</v>
      </c>
      <c r="AC51" s="33" t="s">
        <v>302</v>
      </c>
      <c r="AD51" s="33" t="s">
        <v>303</v>
      </c>
      <c r="AE51" s="33" t="s">
        <v>171</v>
      </c>
      <c r="AG51" s="33" t="s">
        <v>50</v>
      </c>
      <c r="AH51" s="33" t="s">
        <v>51</v>
      </c>
    </row>
    <row r="52" spans="1:34" ht="405.65">
      <c r="A52" s="35">
        <v>51</v>
      </c>
      <c r="B52" s="35" t="s">
        <v>304</v>
      </c>
      <c r="C52" s="35" t="s">
        <v>34</v>
      </c>
      <c r="D52" s="35" t="s">
        <v>229</v>
      </c>
      <c r="E52" s="35" t="s">
        <v>305</v>
      </c>
      <c r="F52" s="35" t="s">
        <v>306</v>
      </c>
      <c r="G52" s="35" t="s">
        <v>38</v>
      </c>
      <c r="H52" s="35" t="str">
        <f t="shared" si="0"/>
        <v>Verify</v>
      </c>
      <c r="I52" s="35" t="s">
        <v>39</v>
      </c>
      <c r="J52" s="35"/>
      <c r="K52" s="47"/>
      <c r="L52" s="35" t="s">
        <v>307</v>
      </c>
      <c r="M52" s="35"/>
      <c r="N52" s="35"/>
      <c r="O52" s="35" t="s">
        <v>76</v>
      </c>
      <c r="P52" s="35" t="s">
        <v>2225</v>
      </c>
      <c r="Q52" s="35"/>
      <c r="R52" s="35"/>
      <c r="S52" s="35"/>
      <c r="T52" s="35" t="s">
        <v>78</v>
      </c>
      <c r="U52" s="35"/>
      <c r="V52" s="35" t="s">
        <v>405</v>
      </c>
      <c r="W52" s="37">
        <f t="shared" si="1"/>
        <v>0.5</v>
      </c>
      <c r="X52" s="33" t="s">
        <v>43</v>
      </c>
      <c r="Y52" s="33" t="s">
        <v>213</v>
      </c>
      <c r="Z52" s="33" t="s">
        <v>214</v>
      </c>
      <c r="AA52" s="33" t="s">
        <v>119</v>
      </c>
      <c r="AB52" s="33" t="s">
        <v>308</v>
      </c>
      <c r="AC52" s="33" t="s">
        <v>309</v>
      </c>
      <c r="AD52" s="33" t="s">
        <v>310</v>
      </c>
      <c r="AE52" s="33" t="s">
        <v>311</v>
      </c>
      <c r="AG52" s="33" t="s">
        <v>50</v>
      </c>
      <c r="AH52" s="33" t="s">
        <v>51</v>
      </c>
    </row>
    <row r="53" spans="1:34" ht="327.64999999999998">
      <c r="A53" s="35">
        <v>52</v>
      </c>
      <c r="B53" s="35" t="s">
        <v>312</v>
      </c>
      <c r="C53" s="35" t="s">
        <v>34</v>
      </c>
      <c r="D53" s="35" t="s">
        <v>229</v>
      </c>
      <c r="E53" s="35" t="s">
        <v>313</v>
      </c>
      <c r="F53" s="35" t="s">
        <v>314</v>
      </c>
      <c r="G53" s="35" t="s">
        <v>38</v>
      </c>
      <c r="H53" s="35" t="str">
        <f t="shared" si="0"/>
        <v>Verify</v>
      </c>
      <c r="I53" s="35" t="s">
        <v>39</v>
      </c>
      <c r="J53" s="35"/>
      <c r="K53" s="47"/>
      <c r="L53" s="35" t="s">
        <v>40</v>
      </c>
      <c r="M53" s="35"/>
      <c r="N53" s="35"/>
      <c r="O53" s="35" t="s">
        <v>41</v>
      </c>
      <c r="P53" s="35" t="s">
        <v>315</v>
      </c>
      <c r="Q53" s="35"/>
      <c r="R53" s="35"/>
      <c r="S53" s="35"/>
      <c r="T53" s="35"/>
      <c r="U53" s="35"/>
      <c r="V53" s="35" t="s">
        <v>42</v>
      </c>
      <c r="W53" s="37">
        <f t="shared" si="1"/>
        <v>0.8</v>
      </c>
      <c r="X53" s="33" t="s">
        <v>43</v>
      </c>
      <c r="Y53" s="33" t="s">
        <v>44</v>
      </c>
      <c r="Z53" s="33" t="s">
        <v>45</v>
      </c>
      <c r="AA53" s="33" t="s">
        <v>46</v>
      </c>
      <c r="AB53" s="33" t="s">
        <v>316</v>
      </c>
      <c r="AC53" s="33" t="s">
        <v>315</v>
      </c>
      <c r="AD53" s="33" t="s">
        <v>317</v>
      </c>
      <c r="AE53" s="33" t="s">
        <v>49</v>
      </c>
      <c r="AG53" s="33" t="s">
        <v>50</v>
      </c>
      <c r="AH53" s="33" t="s">
        <v>51</v>
      </c>
    </row>
    <row r="54" spans="1:34" ht="296.39999999999998">
      <c r="A54" s="35">
        <v>53</v>
      </c>
      <c r="B54" s="35" t="s">
        <v>318</v>
      </c>
      <c r="C54" s="35" t="s">
        <v>34</v>
      </c>
      <c r="D54" s="35" t="s">
        <v>229</v>
      </c>
      <c r="E54" s="35" t="s">
        <v>319</v>
      </c>
      <c r="F54" s="35" t="s">
        <v>320</v>
      </c>
      <c r="G54" s="35" t="s">
        <v>38</v>
      </c>
      <c r="H54" s="35" t="str">
        <f t="shared" si="0"/>
        <v>Verify</v>
      </c>
      <c r="I54" s="35" t="s">
        <v>39</v>
      </c>
      <c r="J54" s="35"/>
      <c r="K54" s="47"/>
      <c r="L54" s="35" t="s">
        <v>40</v>
      </c>
      <c r="M54" s="35"/>
      <c r="N54" s="35"/>
      <c r="O54" s="35" t="s">
        <v>41</v>
      </c>
      <c r="P54" s="35"/>
      <c r="Q54" s="35"/>
      <c r="R54" s="35"/>
      <c r="S54" s="35"/>
      <c r="T54" s="35"/>
      <c r="U54" s="35"/>
      <c r="V54" s="35" t="s">
        <v>42</v>
      </c>
      <c r="W54" s="37">
        <f t="shared" si="1"/>
        <v>0.8</v>
      </c>
      <c r="X54" s="33" t="s">
        <v>43</v>
      </c>
      <c r="Y54" s="33" t="s">
        <v>44</v>
      </c>
      <c r="Z54" s="33" t="s">
        <v>45</v>
      </c>
      <c r="AA54" s="33" t="s">
        <v>46</v>
      </c>
      <c r="AB54" s="33" t="s">
        <v>321</v>
      </c>
      <c r="AD54" s="33" t="s">
        <v>112</v>
      </c>
      <c r="AE54" s="33" t="s">
        <v>49</v>
      </c>
      <c r="AG54" s="33" t="s">
        <v>50</v>
      </c>
      <c r="AH54" s="33" t="s">
        <v>51</v>
      </c>
    </row>
    <row r="55" spans="1:34" ht="265.25">
      <c r="A55" s="35">
        <v>54</v>
      </c>
      <c r="B55" s="35" t="s">
        <v>322</v>
      </c>
      <c r="C55" s="35" t="s">
        <v>34</v>
      </c>
      <c r="D55" s="35" t="s">
        <v>229</v>
      </c>
      <c r="E55" s="35" t="s">
        <v>323</v>
      </c>
      <c r="F55" s="35" t="s">
        <v>324</v>
      </c>
      <c r="G55" s="35" t="s">
        <v>116</v>
      </c>
      <c r="H55" s="35" t="str">
        <f t="shared" si="0"/>
        <v>Check</v>
      </c>
      <c r="I55" s="35" t="s">
        <v>39</v>
      </c>
      <c r="J55" s="35"/>
      <c r="K55" s="47"/>
      <c r="L55" s="35" t="s">
        <v>40</v>
      </c>
      <c r="M55" s="35"/>
      <c r="N55" s="35"/>
      <c r="O55" s="35" t="s">
        <v>41</v>
      </c>
      <c r="P55" s="35"/>
      <c r="Q55" s="35"/>
      <c r="R55" s="35"/>
      <c r="S55" s="35"/>
      <c r="T55" s="35"/>
      <c r="U55" s="35"/>
      <c r="V55" s="35" t="s">
        <v>42</v>
      </c>
      <c r="W55" s="37">
        <f t="shared" si="1"/>
        <v>0.8</v>
      </c>
      <c r="X55" s="33" t="s">
        <v>43</v>
      </c>
      <c r="Y55" s="33" t="s">
        <v>44</v>
      </c>
      <c r="Z55" s="33" t="s">
        <v>45</v>
      </c>
      <c r="AA55" s="33" t="s">
        <v>46</v>
      </c>
      <c r="AB55" s="33" t="s">
        <v>325</v>
      </c>
      <c r="AD55" s="33" t="s">
        <v>97</v>
      </c>
      <c r="AE55" s="33" t="s">
        <v>49</v>
      </c>
      <c r="AG55" s="33" t="s">
        <v>50</v>
      </c>
      <c r="AH55" s="33" t="s">
        <v>51</v>
      </c>
    </row>
    <row r="56" spans="1:34" ht="327.64999999999998">
      <c r="A56" s="35">
        <v>55</v>
      </c>
      <c r="B56" s="35" t="s">
        <v>326</v>
      </c>
      <c r="C56" s="35" t="s">
        <v>34</v>
      </c>
      <c r="D56" s="35" t="s">
        <v>229</v>
      </c>
      <c r="E56" s="35" t="s">
        <v>327</v>
      </c>
      <c r="F56" s="35" t="s">
        <v>328</v>
      </c>
      <c r="G56" s="35" t="s">
        <v>116</v>
      </c>
      <c r="H56" s="35" t="str">
        <f t="shared" si="0"/>
        <v>Check</v>
      </c>
      <c r="I56" s="35" t="s">
        <v>39</v>
      </c>
      <c r="J56" s="35"/>
      <c r="K56" s="47"/>
      <c r="L56" s="35" t="s">
        <v>40</v>
      </c>
      <c r="M56" s="35"/>
      <c r="N56" s="35"/>
      <c r="O56" s="35" t="s">
        <v>41</v>
      </c>
      <c r="P56" s="35"/>
      <c r="Q56" s="35"/>
      <c r="R56" s="35"/>
      <c r="S56" s="35"/>
      <c r="T56" s="35"/>
      <c r="U56" s="35"/>
      <c r="V56" s="35" t="s">
        <v>42</v>
      </c>
      <c r="W56" s="37">
        <f t="shared" si="1"/>
        <v>0.8</v>
      </c>
      <c r="X56" s="33" t="s">
        <v>43</v>
      </c>
      <c r="Y56" s="33" t="s">
        <v>44</v>
      </c>
      <c r="Z56" s="33" t="s">
        <v>45</v>
      </c>
      <c r="AA56" s="33" t="s">
        <v>46</v>
      </c>
      <c r="AB56" s="33" t="s">
        <v>329</v>
      </c>
      <c r="AD56" s="33" t="s">
        <v>330</v>
      </c>
      <c r="AE56" s="33" t="s">
        <v>49</v>
      </c>
      <c r="AG56" s="33" t="s">
        <v>50</v>
      </c>
      <c r="AH56" s="33" t="s">
        <v>51</v>
      </c>
    </row>
    <row r="57" spans="1:34" ht="280.75">
      <c r="A57" s="35">
        <v>56</v>
      </c>
      <c r="B57" s="35" t="s">
        <v>331</v>
      </c>
      <c r="C57" s="35" t="s">
        <v>34</v>
      </c>
      <c r="D57" s="35" t="s">
        <v>332</v>
      </c>
      <c r="E57" s="35" t="s">
        <v>333</v>
      </c>
      <c r="F57" s="35" t="s">
        <v>334</v>
      </c>
      <c r="G57" s="35" t="s">
        <v>38</v>
      </c>
      <c r="H57" s="35" t="str">
        <f t="shared" si="0"/>
        <v>Verify</v>
      </c>
      <c r="I57" s="35" t="s">
        <v>39</v>
      </c>
      <c r="J57" s="35"/>
      <c r="K57" s="47"/>
      <c r="L57" s="35" t="s">
        <v>40</v>
      </c>
      <c r="M57" s="35"/>
      <c r="N57" s="35"/>
      <c r="O57" s="35" t="s">
        <v>41</v>
      </c>
      <c r="P57" s="35"/>
      <c r="Q57" s="35"/>
      <c r="R57" s="35"/>
      <c r="S57" s="35"/>
      <c r="T57" s="35"/>
      <c r="U57" s="35"/>
      <c r="V57" s="35" t="s">
        <v>42</v>
      </c>
      <c r="W57" s="37">
        <f t="shared" si="1"/>
        <v>0.8</v>
      </c>
      <c r="X57" s="33" t="s">
        <v>43</v>
      </c>
      <c r="Y57" s="33" t="s">
        <v>44</v>
      </c>
      <c r="Z57" s="33" t="s">
        <v>45</v>
      </c>
      <c r="AA57" s="33" t="s">
        <v>46</v>
      </c>
      <c r="AB57" s="33" t="s">
        <v>335</v>
      </c>
      <c r="AD57" s="33" t="s">
        <v>278</v>
      </c>
      <c r="AE57" s="33" t="s">
        <v>49</v>
      </c>
      <c r="AG57" s="33" t="s">
        <v>50</v>
      </c>
      <c r="AH57" s="33" t="s">
        <v>51</v>
      </c>
    </row>
    <row r="58" spans="1:34" ht="405.65">
      <c r="A58" s="35">
        <v>57</v>
      </c>
      <c r="B58" s="35" t="s">
        <v>336</v>
      </c>
      <c r="C58" s="35" t="s">
        <v>34</v>
      </c>
      <c r="D58" s="35" t="s">
        <v>332</v>
      </c>
      <c r="E58" s="35" t="s">
        <v>337</v>
      </c>
      <c r="F58" s="35" t="s">
        <v>338</v>
      </c>
      <c r="G58" s="35" t="s">
        <v>38</v>
      </c>
      <c r="H58" s="35" t="str">
        <f t="shared" si="0"/>
        <v>Verify</v>
      </c>
      <c r="I58" s="35" t="s">
        <v>39</v>
      </c>
      <c r="J58" s="35"/>
      <c r="K58" s="47"/>
      <c r="L58" s="35" t="s">
        <v>40</v>
      </c>
      <c r="M58" s="35"/>
      <c r="N58" s="35"/>
      <c r="O58" s="35" t="s">
        <v>41</v>
      </c>
      <c r="P58" s="35" t="s">
        <v>339</v>
      </c>
      <c r="Q58" s="35"/>
      <c r="R58" s="35"/>
      <c r="S58" s="35" t="s">
        <v>78</v>
      </c>
      <c r="T58" s="35"/>
      <c r="U58" s="35"/>
      <c r="V58" s="35" t="s">
        <v>42</v>
      </c>
      <c r="W58" s="37">
        <f t="shared" si="1"/>
        <v>0.8</v>
      </c>
      <c r="X58" s="33" t="s">
        <v>43</v>
      </c>
      <c r="Y58" s="33" t="s">
        <v>44</v>
      </c>
      <c r="Z58" s="33" t="s">
        <v>45</v>
      </c>
      <c r="AA58" s="33" t="s">
        <v>119</v>
      </c>
      <c r="AB58" s="33" t="s">
        <v>340</v>
      </c>
      <c r="AC58" s="33" t="s">
        <v>339</v>
      </c>
      <c r="AD58" s="33" t="s">
        <v>278</v>
      </c>
      <c r="AE58" s="33" t="s">
        <v>49</v>
      </c>
      <c r="AG58" s="33" t="s">
        <v>50</v>
      </c>
      <c r="AH58" s="33" t="s">
        <v>51</v>
      </c>
    </row>
    <row r="59" spans="1:34" ht="265.25">
      <c r="A59" s="35">
        <v>58</v>
      </c>
      <c r="B59" s="35" t="s">
        <v>341</v>
      </c>
      <c r="C59" s="35" t="s">
        <v>34</v>
      </c>
      <c r="D59" s="35" t="s">
        <v>332</v>
      </c>
      <c r="E59" s="35" t="s">
        <v>342</v>
      </c>
      <c r="F59" s="35" t="s">
        <v>343</v>
      </c>
      <c r="G59" s="35" t="s">
        <v>38</v>
      </c>
      <c r="H59" s="35" t="str">
        <f t="shared" si="0"/>
        <v>Verify</v>
      </c>
      <c r="I59" s="35" t="s">
        <v>39</v>
      </c>
      <c r="J59" s="35"/>
      <c r="K59" s="47"/>
      <c r="L59" s="35" t="s">
        <v>40</v>
      </c>
      <c r="M59" s="35"/>
      <c r="N59" s="35"/>
      <c r="O59" s="35" t="s">
        <v>41</v>
      </c>
      <c r="P59" s="35"/>
      <c r="Q59" s="35"/>
      <c r="R59" s="35"/>
      <c r="S59" s="35"/>
      <c r="T59" s="35"/>
      <c r="U59" s="35"/>
      <c r="V59" s="35" t="s">
        <v>42</v>
      </c>
      <c r="W59" s="37">
        <f t="shared" si="1"/>
        <v>0.8</v>
      </c>
      <c r="X59" s="33" t="s">
        <v>43</v>
      </c>
      <c r="Y59" s="33" t="s">
        <v>44</v>
      </c>
      <c r="Z59" s="33" t="s">
        <v>45</v>
      </c>
      <c r="AA59" s="33" t="s">
        <v>46</v>
      </c>
      <c r="AB59" s="33" t="s">
        <v>344</v>
      </c>
      <c r="AD59" s="33" t="s">
        <v>132</v>
      </c>
      <c r="AE59" s="33" t="s">
        <v>49</v>
      </c>
      <c r="AG59" s="33" t="s">
        <v>50</v>
      </c>
      <c r="AH59" s="33" t="s">
        <v>51</v>
      </c>
    </row>
    <row r="60" spans="1:34" ht="265.25">
      <c r="A60" s="35">
        <v>59</v>
      </c>
      <c r="B60" s="35" t="s">
        <v>345</v>
      </c>
      <c r="C60" s="35" t="s">
        <v>34</v>
      </c>
      <c r="D60" s="35" t="s">
        <v>332</v>
      </c>
      <c r="E60" s="35" t="s">
        <v>346</v>
      </c>
      <c r="F60" s="35" t="s">
        <v>347</v>
      </c>
      <c r="G60" s="35" t="s">
        <v>38</v>
      </c>
      <c r="H60" s="35" t="str">
        <f t="shared" si="0"/>
        <v>Verify</v>
      </c>
      <c r="I60" s="35" t="s">
        <v>39</v>
      </c>
      <c r="J60" s="35"/>
      <c r="K60" s="47"/>
      <c r="L60" s="35" t="s">
        <v>75</v>
      </c>
      <c r="M60" s="35"/>
      <c r="N60" s="35"/>
      <c r="O60" s="35" t="s">
        <v>348</v>
      </c>
      <c r="P60" s="35" t="s">
        <v>349</v>
      </c>
      <c r="Q60" s="35">
        <v>433880</v>
      </c>
      <c r="R60" s="35" t="s">
        <v>78</v>
      </c>
      <c r="S60" s="35"/>
      <c r="T60" s="35"/>
      <c r="U60" s="35"/>
      <c r="V60" s="35" t="s">
        <v>79</v>
      </c>
      <c r="W60" s="37">
        <f t="shared" si="1"/>
        <v>0</v>
      </c>
      <c r="X60" s="33" t="s">
        <v>43</v>
      </c>
      <c r="Y60" s="33" t="s">
        <v>213</v>
      </c>
      <c r="Z60" s="33" t="s">
        <v>81</v>
      </c>
      <c r="AA60" s="33" t="s">
        <v>119</v>
      </c>
      <c r="AB60" s="33" t="s">
        <v>350</v>
      </c>
      <c r="AC60" s="33" t="s">
        <v>351</v>
      </c>
      <c r="AD60" s="33" t="s">
        <v>352</v>
      </c>
      <c r="AE60" s="33" t="s">
        <v>353</v>
      </c>
      <c r="AG60" s="33" t="s">
        <v>50</v>
      </c>
      <c r="AH60" s="33" t="s">
        <v>51</v>
      </c>
    </row>
    <row r="61" spans="1:34" ht="265.25">
      <c r="A61" s="35">
        <v>60</v>
      </c>
      <c r="B61" s="35" t="s">
        <v>354</v>
      </c>
      <c r="C61" s="35" t="s">
        <v>34</v>
      </c>
      <c r="D61" s="35" t="s">
        <v>332</v>
      </c>
      <c r="E61" s="35" t="s">
        <v>355</v>
      </c>
      <c r="F61" s="35" t="s">
        <v>356</v>
      </c>
      <c r="G61" s="35" t="s">
        <v>38</v>
      </c>
      <c r="H61" s="35" t="str">
        <f t="shared" si="0"/>
        <v>Verify</v>
      </c>
      <c r="I61" s="35" t="s">
        <v>39</v>
      </c>
      <c r="J61" s="35"/>
      <c r="K61" s="47"/>
      <c r="L61" s="35" t="s">
        <v>40</v>
      </c>
      <c r="M61" s="35"/>
      <c r="N61" s="35"/>
      <c r="O61" s="35" t="s">
        <v>41</v>
      </c>
      <c r="P61" s="35"/>
      <c r="Q61" s="35"/>
      <c r="R61" s="35"/>
      <c r="S61" s="35"/>
      <c r="T61" s="35"/>
      <c r="U61" s="35"/>
      <c r="V61" s="35" t="s">
        <v>42</v>
      </c>
      <c r="W61" s="37">
        <f t="shared" si="1"/>
        <v>0.8</v>
      </c>
      <c r="X61" s="33" t="s">
        <v>43</v>
      </c>
      <c r="Y61" s="33" t="s">
        <v>44</v>
      </c>
      <c r="Z61" s="33" t="s">
        <v>45</v>
      </c>
      <c r="AA61" s="33" t="s">
        <v>46</v>
      </c>
      <c r="AB61" s="33" t="s">
        <v>357</v>
      </c>
      <c r="AD61" s="33" t="s">
        <v>358</v>
      </c>
      <c r="AE61" s="33" t="s">
        <v>49</v>
      </c>
      <c r="AG61" s="33" t="s">
        <v>50</v>
      </c>
      <c r="AH61" s="33" t="s">
        <v>51</v>
      </c>
    </row>
    <row r="62" spans="1:34" ht="265.25">
      <c r="A62" s="35">
        <v>61</v>
      </c>
      <c r="B62" s="35" t="s">
        <v>359</v>
      </c>
      <c r="C62" s="35" t="s">
        <v>34</v>
      </c>
      <c r="D62" s="35" t="s">
        <v>332</v>
      </c>
      <c r="E62" s="35" t="s">
        <v>360</v>
      </c>
      <c r="F62" s="35" t="s">
        <v>361</v>
      </c>
      <c r="G62" s="35" t="s">
        <v>38</v>
      </c>
      <c r="H62" s="35" t="str">
        <f t="shared" si="0"/>
        <v>Verify</v>
      </c>
      <c r="I62" s="35" t="s">
        <v>39</v>
      </c>
      <c r="J62" s="35"/>
      <c r="K62" s="47"/>
      <c r="L62" s="35" t="s">
        <v>40</v>
      </c>
      <c r="M62" s="35"/>
      <c r="N62" s="35"/>
      <c r="O62" s="35" t="s">
        <v>41</v>
      </c>
      <c r="P62" s="35"/>
      <c r="Q62" s="35"/>
      <c r="R62" s="35"/>
      <c r="S62" s="35"/>
      <c r="T62" s="35"/>
      <c r="U62" s="35"/>
      <c r="V62" s="35" t="s">
        <v>42</v>
      </c>
      <c r="W62" s="37">
        <f t="shared" si="1"/>
        <v>0.8</v>
      </c>
      <c r="X62" s="33" t="s">
        <v>43</v>
      </c>
      <c r="Y62" s="33" t="s">
        <v>44</v>
      </c>
      <c r="Z62" s="33" t="s">
        <v>45</v>
      </c>
      <c r="AA62" s="33" t="s">
        <v>46</v>
      </c>
      <c r="AB62" s="33" t="s">
        <v>362</v>
      </c>
      <c r="AD62" s="33" t="s">
        <v>358</v>
      </c>
      <c r="AE62" s="33" t="s">
        <v>49</v>
      </c>
      <c r="AG62" s="33" t="s">
        <v>50</v>
      </c>
      <c r="AH62" s="33" t="s">
        <v>51</v>
      </c>
    </row>
    <row r="63" spans="1:34" ht="296.39999999999998">
      <c r="A63" s="35">
        <v>62</v>
      </c>
      <c r="B63" s="35" t="s">
        <v>363</v>
      </c>
      <c r="C63" s="35" t="s">
        <v>34</v>
      </c>
      <c r="D63" s="35" t="s">
        <v>332</v>
      </c>
      <c r="E63" s="35" t="s">
        <v>364</v>
      </c>
      <c r="F63" s="35" t="s">
        <v>365</v>
      </c>
      <c r="G63" s="35" t="s">
        <v>38</v>
      </c>
      <c r="H63" s="35" t="str">
        <f t="shared" si="0"/>
        <v>Verify</v>
      </c>
      <c r="I63" s="35" t="s">
        <v>39</v>
      </c>
      <c r="J63" s="35"/>
      <c r="K63" s="47"/>
      <c r="L63" s="35" t="s">
        <v>40</v>
      </c>
      <c r="M63" s="35"/>
      <c r="N63" s="35"/>
      <c r="O63" s="35" t="s">
        <v>41</v>
      </c>
      <c r="P63" s="35"/>
      <c r="Q63" s="35"/>
      <c r="R63" s="35"/>
      <c r="S63" s="35"/>
      <c r="T63" s="35"/>
      <c r="U63" s="35"/>
      <c r="V63" s="35" t="s">
        <v>42</v>
      </c>
      <c r="W63" s="37">
        <f t="shared" si="1"/>
        <v>0.8</v>
      </c>
      <c r="X63" s="33" t="s">
        <v>43</v>
      </c>
      <c r="Y63" s="33" t="s">
        <v>44</v>
      </c>
      <c r="Z63" s="33" t="s">
        <v>45</v>
      </c>
      <c r="AA63" s="33" t="s">
        <v>46</v>
      </c>
      <c r="AB63" s="33" t="s">
        <v>366</v>
      </c>
      <c r="AD63" s="33" t="s">
        <v>56</v>
      </c>
      <c r="AE63" s="33" t="s">
        <v>49</v>
      </c>
      <c r="AG63" s="33" t="s">
        <v>50</v>
      </c>
      <c r="AH63" s="33" t="s">
        <v>51</v>
      </c>
    </row>
    <row r="64" spans="1:34" ht="265.25">
      <c r="A64" s="35">
        <v>63</v>
      </c>
      <c r="B64" s="35" t="s">
        <v>367</v>
      </c>
      <c r="C64" s="35" t="s">
        <v>34</v>
      </c>
      <c r="D64" s="35" t="s">
        <v>332</v>
      </c>
      <c r="E64" s="35" t="s">
        <v>368</v>
      </c>
      <c r="F64" s="35" t="s">
        <v>369</v>
      </c>
      <c r="G64" s="35" t="s">
        <v>38</v>
      </c>
      <c r="H64" s="35" t="str">
        <f t="shared" si="0"/>
        <v>Verify</v>
      </c>
      <c r="I64" s="35" t="s">
        <v>39</v>
      </c>
      <c r="J64" s="35"/>
      <c r="K64" s="47"/>
      <c r="L64" s="35" t="s">
        <v>40</v>
      </c>
      <c r="M64" s="35"/>
      <c r="N64" s="35" t="s">
        <v>370</v>
      </c>
      <c r="O64" s="35" t="s">
        <v>41</v>
      </c>
      <c r="P64" s="35"/>
      <c r="Q64" s="35"/>
      <c r="R64" s="35"/>
      <c r="S64" s="35"/>
      <c r="T64" s="35"/>
      <c r="U64" s="35"/>
      <c r="V64" s="35" t="s">
        <v>42</v>
      </c>
      <c r="W64" s="37">
        <f t="shared" si="1"/>
        <v>0.8</v>
      </c>
      <c r="X64" s="33" t="s">
        <v>43</v>
      </c>
      <c r="Y64" s="33" t="s">
        <v>44</v>
      </c>
      <c r="Z64" s="33" t="s">
        <v>45</v>
      </c>
      <c r="AA64" s="33" t="s">
        <v>46</v>
      </c>
      <c r="AB64" s="33" t="s">
        <v>371</v>
      </c>
      <c r="AD64" s="33" t="s">
        <v>97</v>
      </c>
      <c r="AE64" s="33" t="s">
        <v>49</v>
      </c>
      <c r="AG64" s="33" t="s">
        <v>50</v>
      </c>
      <c r="AH64" s="33" t="s">
        <v>51</v>
      </c>
    </row>
    <row r="65" spans="1:34" ht="265.25">
      <c r="A65" s="35">
        <v>64</v>
      </c>
      <c r="B65" s="35" t="s">
        <v>372</v>
      </c>
      <c r="C65" s="35" t="s">
        <v>34</v>
      </c>
      <c r="D65" s="35" t="s">
        <v>332</v>
      </c>
      <c r="E65" s="35" t="s">
        <v>373</v>
      </c>
      <c r="F65" s="35" t="s">
        <v>374</v>
      </c>
      <c r="G65" s="35" t="s">
        <v>38</v>
      </c>
      <c r="H65" s="35" t="str">
        <f t="shared" si="0"/>
        <v>Verify</v>
      </c>
      <c r="I65" s="35" t="s">
        <v>39</v>
      </c>
      <c r="J65" s="35"/>
      <c r="K65" s="47"/>
      <c r="L65" s="35" t="s">
        <v>40</v>
      </c>
      <c r="M65" s="35"/>
      <c r="N65" s="35" t="s">
        <v>375</v>
      </c>
      <c r="O65" s="35" t="s">
        <v>41</v>
      </c>
      <c r="P65" s="35"/>
      <c r="Q65" s="35"/>
      <c r="R65" s="35"/>
      <c r="S65" s="35"/>
      <c r="T65" s="35"/>
      <c r="U65" s="35"/>
      <c r="V65" s="35" t="s">
        <v>42</v>
      </c>
      <c r="W65" s="37">
        <f t="shared" si="1"/>
        <v>0.8</v>
      </c>
      <c r="X65" s="33" t="s">
        <v>43</v>
      </c>
      <c r="Y65" s="33" t="s">
        <v>44</v>
      </c>
      <c r="Z65" s="33" t="s">
        <v>45</v>
      </c>
      <c r="AA65" s="33" t="s">
        <v>46</v>
      </c>
      <c r="AB65" s="33" t="s">
        <v>376</v>
      </c>
      <c r="AD65" s="33" t="s">
        <v>97</v>
      </c>
      <c r="AE65" s="33" t="s">
        <v>49</v>
      </c>
      <c r="AG65" s="33" t="s">
        <v>50</v>
      </c>
      <c r="AH65" s="33" t="s">
        <v>51</v>
      </c>
    </row>
    <row r="66" spans="1:34" ht="234">
      <c r="A66" s="35">
        <v>65</v>
      </c>
      <c r="B66" s="35" t="s">
        <v>377</v>
      </c>
      <c r="C66" s="35" t="s">
        <v>34</v>
      </c>
      <c r="D66" s="35" t="s">
        <v>332</v>
      </c>
      <c r="E66" s="35" t="s">
        <v>378</v>
      </c>
      <c r="F66" s="35" t="s">
        <v>379</v>
      </c>
      <c r="G66" s="35" t="s">
        <v>38</v>
      </c>
      <c r="H66" s="35" t="str">
        <f t="shared" si="0"/>
        <v>Verify</v>
      </c>
      <c r="I66" s="35" t="s">
        <v>39</v>
      </c>
      <c r="J66" s="35"/>
      <c r="K66" s="47"/>
      <c r="L66" s="35" t="s">
        <v>40</v>
      </c>
      <c r="M66" s="35"/>
      <c r="N66" s="35"/>
      <c r="O66" s="35" t="s">
        <v>41</v>
      </c>
      <c r="P66" s="35"/>
      <c r="Q66" s="35"/>
      <c r="R66" s="35"/>
      <c r="S66" s="35"/>
      <c r="T66" s="35"/>
      <c r="U66" s="35"/>
      <c r="V66" s="35" t="s">
        <v>42</v>
      </c>
      <c r="W66" s="37">
        <f t="shared" si="1"/>
        <v>0.8</v>
      </c>
      <c r="X66" s="33" t="s">
        <v>43</v>
      </c>
      <c r="Y66" s="33" t="s">
        <v>44</v>
      </c>
      <c r="Z66" s="33" t="s">
        <v>45</v>
      </c>
      <c r="AA66" s="33" t="s">
        <v>46</v>
      </c>
      <c r="AB66" s="33" t="s">
        <v>380</v>
      </c>
      <c r="AD66" s="33" t="s">
        <v>381</v>
      </c>
      <c r="AE66" s="33" t="s">
        <v>49</v>
      </c>
      <c r="AG66" s="33" t="s">
        <v>50</v>
      </c>
      <c r="AH66" s="33" t="s">
        <v>51</v>
      </c>
    </row>
    <row r="67" spans="1:34" ht="296.39999999999998">
      <c r="A67" s="35">
        <v>66</v>
      </c>
      <c r="B67" s="35" t="s">
        <v>382</v>
      </c>
      <c r="C67" s="35" t="s">
        <v>34</v>
      </c>
      <c r="D67" s="35" t="s">
        <v>332</v>
      </c>
      <c r="E67" s="35" t="s">
        <v>383</v>
      </c>
      <c r="F67" s="35" t="s">
        <v>384</v>
      </c>
      <c r="G67" s="35" t="s">
        <v>38</v>
      </c>
      <c r="H67" s="35" t="str">
        <f t="shared" ref="H67:H130" si="2">IF(G67="Evalueringskrav","Answer",(IF(G67="Krav","Check",(IF(G67="Mindstekrav","Verify","")))))</f>
        <v>Verify</v>
      </c>
      <c r="I67" s="35" t="s">
        <v>39</v>
      </c>
      <c r="J67" s="35"/>
      <c r="K67" s="47"/>
      <c r="L67" s="35" t="s">
        <v>40</v>
      </c>
      <c r="M67" s="35"/>
      <c r="N67" s="35"/>
      <c r="O67" s="35" t="s">
        <v>41</v>
      </c>
      <c r="P67" s="35"/>
      <c r="Q67" s="35"/>
      <c r="R67" s="35"/>
      <c r="S67" s="35"/>
      <c r="T67" s="35"/>
      <c r="U67" s="35"/>
      <c r="V67" s="35" t="s">
        <v>42</v>
      </c>
      <c r="W67" s="37">
        <f t="shared" ref="W67:W130" si="3">IF(V67="Not Started",0%,IF(V67="Started",50%,IF(V67="Ready for review",70%,IF(V67="Reviewed - Content",80%,IF(V67="Reviewed - Format",90%,IF(V67="Done",100%,""))))))</f>
        <v>0.8</v>
      </c>
      <c r="X67" s="33" t="s">
        <v>43</v>
      </c>
      <c r="Y67" s="33" t="s">
        <v>44</v>
      </c>
      <c r="Z67" s="33" t="s">
        <v>45</v>
      </c>
      <c r="AA67" s="33" t="s">
        <v>46</v>
      </c>
      <c r="AB67" s="33" t="s">
        <v>385</v>
      </c>
      <c r="AD67" s="33" t="s">
        <v>386</v>
      </c>
      <c r="AE67" s="33" t="s">
        <v>49</v>
      </c>
      <c r="AG67" s="33" t="s">
        <v>50</v>
      </c>
      <c r="AH67" s="33" t="s">
        <v>51</v>
      </c>
    </row>
    <row r="68" spans="1:34" ht="265.25">
      <c r="A68" s="35">
        <v>67</v>
      </c>
      <c r="B68" s="35" t="s">
        <v>387</v>
      </c>
      <c r="C68" s="35" t="s">
        <v>34</v>
      </c>
      <c r="D68" s="35" t="s">
        <v>332</v>
      </c>
      <c r="E68" s="35" t="s">
        <v>388</v>
      </c>
      <c r="F68" s="35" t="s">
        <v>389</v>
      </c>
      <c r="G68" s="35" t="s">
        <v>38</v>
      </c>
      <c r="H68" s="35" t="str">
        <f t="shared" si="2"/>
        <v>Verify</v>
      </c>
      <c r="I68" s="35" t="s">
        <v>39</v>
      </c>
      <c r="J68" s="35"/>
      <c r="K68" s="47"/>
      <c r="L68" s="35" t="s">
        <v>40</v>
      </c>
      <c r="M68" s="35"/>
      <c r="N68" s="35"/>
      <c r="O68" s="35" t="s">
        <v>41</v>
      </c>
      <c r="P68" s="35"/>
      <c r="Q68" s="35"/>
      <c r="R68" s="35"/>
      <c r="S68" s="35"/>
      <c r="T68" s="35"/>
      <c r="U68" s="35"/>
      <c r="V68" s="35" t="s">
        <v>42</v>
      </c>
      <c r="W68" s="37">
        <f t="shared" si="3"/>
        <v>0.8</v>
      </c>
      <c r="X68" s="33" t="s">
        <v>43</v>
      </c>
      <c r="Y68" s="33" t="s">
        <v>44</v>
      </c>
      <c r="Z68" s="33" t="s">
        <v>45</v>
      </c>
      <c r="AA68" s="33" t="s">
        <v>119</v>
      </c>
      <c r="AB68" s="33" t="s">
        <v>390</v>
      </c>
      <c r="AD68" s="33" t="s">
        <v>185</v>
      </c>
      <c r="AE68" s="33" t="s">
        <v>49</v>
      </c>
      <c r="AG68" s="33" t="s">
        <v>50</v>
      </c>
      <c r="AH68" s="33" t="s">
        <v>51</v>
      </c>
    </row>
    <row r="69" spans="1:34" ht="409.6">
      <c r="A69" s="35">
        <v>68</v>
      </c>
      <c r="B69" s="35" t="s">
        <v>391</v>
      </c>
      <c r="C69" s="35" t="s">
        <v>34</v>
      </c>
      <c r="D69" s="35" t="s">
        <v>332</v>
      </c>
      <c r="E69" s="35" t="s">
        <v>392</v>
      </c>
      <c r="F69" s="35" t="s">
        <v>393</v>
      </c>
      <c r="G69" s="35" t="s">
        <v>394</v>
      </c>
      <c r="H69" s="35" t="str">
        <f t="shared" si="2"/>
        <v>Answer</v>
      </c>
      <c r="I69" s="35" t="s">
        <v>39</v>
      </c>
      <c r="J69" s="35"/>
      <c r="K69" s="47"/>
      <c r="L69" s="35" t="s">
        <v>395</v>
      </c>
      <c r="M69" s="35"/>
      <c r="N69" s="35"/>
      <c r="O69" s="35"/>
      <c r="P69" s="35"/>
      <c r="Q69" s="35">
        <v>433895</v>
      </c>
      <c r="R69" s="35" t="s">
        <v>78</v>
      </c>
      <c r="S69" s="35"/>
      <c r="T69" s="35"/>
      <c r="U69" s="35"/>
      <c r="V69" s="35" t="s">
        <v>79</v>
      </c>
      <c r="W69" s="37">
        <f t="shared" si="3"/>
        <v>0</v>
      </c>
      <c r="X69" s="33" t="s">
        <v>43</v>
      </c>
      <c r="Y69" s="33" t="s">
        <v>213</v>
      </c>
      <c r="Z69" s="33" t="s">
        <v>396</v>
      </c>
      <c r="AA69" s="33" t="s">
        <v>119</v>
      </c>
      <c r="AB69" s="33" t="s">
        <v>397</v>
      </c>
      <c r="AC69" s="33" t="s">
        <v>398</v>
      </c>
      <c r="AD69" s="33" t="s">
        <v>399</v>
      </c>
      <c r="AE69" s="33" t="s">
        <v>400</v>
      </c>
      <c r="AG69" s="33" t="s">
        <v>50</v>
      </c>
      <c r="AH69" s="33" t="s">
        <v>51</v>
      </c>
    </row>
    <row r="70" spans="1:34" ht="265.25">
      <c r="A70" s="35">
        <v>69</v>
      </c>
      <c r="B70" s="35" t="s">
        <v>401</v>
      </c>
      <c r="C70" s="35" t="s">
        <v>34</v>
      </c>
      <c r="D70" s="35" t="s">
        <v>402</v>
      </c>
      <c r="E70" s="35" t="s">
        <v>402</v>
      </c>
      <c r="F70" s="35" t="s">
        <v>403</v>
      </c>
      <c r="G70" s="35" t="s">
        <v>38</v>
      </c>
      <c r="H70" s="35" t="str">
        <f t="shared" si="2"/>
        <v>Verify</v>
      </c>
      <c r="I70" s="35" t="s">
        <v>39</v>
      </c>
      <c r="J70" s="35"/>
      <c r="K70" s="47"/>
      <c r="L70" s="35" t="s">
        <v>395</v>
      </c>
      <c r="M70" s="35"/>
      <c r="N70" s="35"/>
      <c r="O70" s="35" t="s">
        <v>41</v>
      </c>
      <c r="P70" s="35" t="s">
        <v>404</v>
      </c>
      <c r="Q70" s="35"/>
      <c r="R70" s="35" t="s">
        <v>78</v>
      </c>
      <c r="S70" s="35" t="s">
        <v>78</v>
      </c>
      <c r="T70" s="35"/>
      <c r="U70" s="35"/>
      <c r="V70" s="35" t="s">
        <v>405</v>
      </c>
      <c r="W70" s="37">
        <f t="shared" si="3"/>
        <v>0.5</v>
      </c>
      <c r="X70" s="33" t="s">
        <v>43</v>
      </c>
      <c r="Y70" s="33" t="s">
        <v>44</v>
      </c>
      <c r="Z70" s="33" t="s">
        <v>45</v>
      </c>
      <c r="AA70" s="33" t="s">
        <v>46</v>
      </c>
      <c r="AB70" s="33" t="s">
        <v>406</v>
      </c>
      <c r="AC70" s="33" t="s">
        <v>407</v>
      </c>
      <c r="AD70" s="33" t="s">
        <v>132</v>
      </c>
      <c r="AE70" s="33" t="s">
        <v>408</v>
      </c>
      <c r="AG70" s="33" t="s">
        <v>50</v>
      </c>
      <c r="AH70" s="33" t="s">
        <v>51</v>
      </c>
    </row>
    <row r="71" spans="1:34" ht="409.6">
      <c r="A71" s="35">
        <v>70</v>
      </c>
      <c r="B71" s="35" t="s">
        <v>409</v>
      </c>
      <c r="C71" s="35" t="s">
        <v>34</v>
      </c>
      <c r="D71" s="35" t="s">
        <v>402</v>
      </c>
      <c r="E71" s="35" t="s">
        <v>410</v>
      </c>
      <c r="F71" s="35" t="s">
        <v>411</v>
      </c>
      <c r="G71" s="35" t="s">
        <v>38</v>
      </c>
      <c r="H71" s="35" t="str">
        <f t="shared" si="2"/>
        <v>Verify</v>
      </c>
      <c r="I71" s="35" t="s">
        <v>39</v>
      </c>
      <c r="J71" s="35"/>
      <c r="K71" s="47"/>
      <c r="L71" s="35" t="s">
        <v>395</v>
      </c>
      <c r="M71" s="35"/>
      <c r="N71" s="35" t="s">
        <v>412</v>
      </c>
      <c r="O71" s="35" t="s">
        <v>348</v>
      </c>
      <c r="P71" s="35" t="s">
        <v>413</v>
      </c>
      <c r="Q71" s="35">
        <v>433882</v>
      </c>
      <c r="R71" s="35" t="s">
        <v>78</v>
      </c>
      <c r="S71" s="35" t="s">
        <v>78</v>
      </c>
      <c r="T71" s="35"/>
      <c r="U71" s="35"/>
      <c r="V71" s="35" t="s">
        <v>405</v>
      </c>
      <c r="W71" s="37">
        <f t="shared" si="3"/>
        <v>0.5</v>
      </c>
      <c r="X71" s="33" t="s">
        <v>43</v>
      </c>
      <c r="Y71" s="33" t="s">
        <v>213</v>
      </c>
      <c r="Z71" s="33" t="s">
        <v>81</v>
      </c>
      <c r="AA71" s="33" t="s">
        <v>119</v>
      </c>
      <c r="AB71" s="33" t="s">
        <v>414</v>
      </c>
      <c r="AC71" s="33" t="s">
        <v>415</v>
      </c>
      <c r="AD71" s="33" t="s">
        <v>416</v>
      </c>
      <c r="AE71" s="33" t="s">
        <v>417</v>
      </c>
      <c r="AG71" s="33" t="s">
        <v>50</v>
      </c>
      <c r="AH71" s="33" t="s">
        <v>51</v>
      </c>
    </row>
    <row r="72" spans="1:34" ht="265.25">
      <c r="A72" s="35">
        <v>71</v>
      </c>
      <c r="B72" s="35" t="s">
        <v>418</v>
      </c>
      <c r="C72" s="35" t="s">
        <v>34</v>
      </c>
      <c r="D72" s="35" t="s">
        <v>402</v>
      </c>
      <c r="E72" s="35" t="s">
        <v>419</v>
      </c>
      <c r="F72" s="35" t="s">
        <v>420</v>
      </c>
      <c r="G72" s="35" t="s">
        <v>38</v>
      </c>
      <c r="H72" s="35" t="str">
        <f t="shared" si="2"/>
        <v>Verify</v>
      </c>
      <c r="I72" s="35" t="s">
        <v>39</v>
      </c>
      <c r="J72" s="35"/>
      <c r="K72" s="47"/>
      <c r="L72" s="35" t="s">
        <v>40</v>
      </c>
      <c r="M72" s="35"/>
      <c r="N72" s="35"/>
      <c r="O72" s="35" t="s">
        <v>41</v>
      </c>
      <c r="P72" s="35"/>
      <c r="Q72" s="35"/>
      <c r="R72" s="35"/>
      <c r="S72" s="35"/>
      <c r="T72" s="35"/>
      <c r="U72" s="35"/>
      <c r="V72" s="35" t="s">
        <v>42</v>
      </c>
      <c r="W72" s="37">
        <f t="shared" si="3"/>
        <v>0.8</v>
      </c>
      <c r="X72" s="33" t="s">
        <v>43</v>
      </c>
      <c r="Y72" s="33" t="s">
        <v>44</v>
      </c>
      <c r="Z72" s="33" t="s">
        <v>45</v>
      </c>
      <c r="AA72" s="33" t="s">
        <v>46</v>
      </c>
      <c r="AB72" s="33" t="s">
        <v>421</v>
      </c>
      <c r="AD72" s="33" t="s">
        <v>97</v>
      </c>
      <c r="AE72" s="33" t="s">
        <v>49</v>
      </c>
      <c r="AG72" s="33" t="s">
        <v>50</v>
      </c>
      <c r="AH72" s="33" t="s">
        <v>51</v>
      </c>
    </row>
    <row r="73" spans="1:34" ht="405.65">
      <c r="A73" s="35">
        <v>72</v>
      </c>
      <c r="B73" s="35" t="s">
        <v>422</v>
      </c>
      <c r="C73" s="35" t="s">
        <v>34</v>
      </c>
      <c r="D73" s="35" t="s">
        <v>402</v>
      </c>
      <c r="E73" s="35" t="s">
        <v>423</v>
      </c>
      <c r="F73" s="35" t="s">
        <v>424</v>
      </c>
      <c r="G73" s="35" t="s">
        <v>38</v>
      </c>
      <c r="H73" s="35" t="str">
        <f t="shared" si="2"/>
        <v>Verify</v>
      </c>
      <c r="I73" s="35" t="s">
        <v>39</v>
      </c>
      <c r="J73" s="35"/>
      <c r="K73" s="47"/>
      <c r="L73" s="35" t="s">
        <v>40</v>
      </c>
      <c r="M73" s="35"/>
      <c r="N73" s="35"/>
      <c r="O73" s="35" t="s">
        <v>41</v>
      </c>
      <c r="P73" s="35" t="s">
        <v>425</v>
      </c>
      <c r="Q73" s="35"/>
      <c r="R73" s="35"/>
      <c r="S73" s="35"/>
      <c r="T73" s="35"/>
      <c r="U73" s="35"/>
      <c r="V73" s="35" t="s">
        <v>42</v>
      </c>
      <c r="W73" s="37">
        <f t="shared" si="3"/>
        <v>0.8</v>
      </c>
      <c r="X73" s="33" t="s">
        <v>43</v>
      </c>
      <c r="Y73" s="33" t="s">
        <v>213</v>
      </c>
      <c r="Z73" s="33" t="s">
        <v>45</v>
      </c>
      <c r="AA73" s="33" t="s">
        <v>119</v>
      </c>
      <c r="AB73" s="33" t="s">
        <v>426</v>
      </c>
      <c r="AC73" s="33" t="s">
        <v>427</v>
      </c>
      <c r="AD73" s="33" t="s">
        <v>428</v>
      </c>
      <c r="AE73" s="33" t="s">
        <v>49</v>
      </c>
      <c r="AG73" s="33" t="s">
        <v>50</v>
      </c>
      <c r="AH73" s="33" t="s">
        <v>51</v>
      </c>
    </row>
    <row r="74" spans="1:34" ht="265.25">
      <c r="A74" s="35">
        <v>73</v>
      </c>
      <c r="B74" s="35" t="s">
        <v>429</v>
      </c>
      <c r="C74" s="35" t="s">
        <v>34</v>
      </c>
      <c r="D74" s="35" t="s">
        <v>402</v>
      </c>
      <c r="E74" s="35" t="s">
        <v>430</v>
      </c>
      <c r="F74" s="35" t="s">
        <v>431</v>
      </c>
      <c r="G74" s="35" t="s">
        <v>38</v>
      </c>
      <c r="H74" s="35" t="str">
        <f t="shared" si="2"/>
        <v>Verify</v>
      </c>
      <c r="I74" s="35" t="s">
        <v>39</v>
      </c>
      <c r="J74" s="35"/>
      <c r="K74" s="47"/>
      <c r="L74" s="35" t="s">
        <v>40</v>
      </c>
      <c r="M74" s="35"/>
      <c r="N74" s="35"/>
      <c r="O74" s="35" t="s">
        <v>41</v>
      </c>
      <c r="P74" s="35" t="s">
        <v>432</v>
      </c>
      <c r="Q74" s="35"/>
      <c r="R74" s="35"/>
      <c r="S74" s="35"/>
      <c r="T74" s="35"/>
      <c r="U74" s="35"/>
      <c r="V74" s="35" t="s">
        <v>42</v>
      </c>
      <c r="W74" s="37">
        <f t="shared" si="3"/>
        <v>0.8</v>
      </c>
      <c r="X74" s="33" t="s">
        <v>43</v>
      </c>
      <c r="Y74" s="33" t="s">
        <v>44</v>
      </c>
      <c r="Z74" s="33" t="s">
        <v>45</v>
      </c>
      <c r="AA74" s="33" t="s">
        <v>46</v>
      </c>
      <c r="AB74" s="33" t="s">
        <v>433</v>
      </c>
      <c r="AC74" s="33" t="s">
        <v>432</v>
      </c>
      <c r="AD74" s="33" t="s">
        <v>132</v>
      </c>
      <c r="AE74" s="33" t="s">
        <v>49</v>
      </c>
      <c r="AG74" s="33" t="s">
        <v>50</v>
      </c>
      <c r="AH74" s="33" t="s">
        <v>51</v>
      </c>
    </row>
    <row r="75" spans="1:34" ht="280.75">
      <c r="A75" s="35">
        <v>74</v>
      </c>
      <c r="B75" s="35" t="s">
        <v>434</v>
      </c>
      <c r="C75" s="35" t="s">
        <v>34</v>
      </c>
      <c r="D75" s="35" t="s">
        <v>402</v>
      </c>
      <c r="E75" s="35" t="s">
        <v>435</v>
      </c>
      <c r="F75" s="35" t="s">
        <v>436</v>
      </c>
      <c r="G75" s="35" t="s">
        <v>38</v>
      </c>
      <c r="H75" s="35" t="str">
        <f t="shared" si="2"/>
        <v>Verify</v>
      </c>
      <c r="I75" s="35" t="s">
        <v>39</v>
      </c>
      <c r="J75" s="35"/>
      <c r="K75" s="47"/>
      <c r="L75" s="35" t="s">
        <v>395</v>
      </c>
      <c r="M75" s="35"/>
      <c r="N75" s="35"/>
      <c r="O75" s="35" t="s">
        <v>348</v>
      </c>
      <c r="P75" s="35" t="s">
        <v>437</v>
      </c>
      <c r="Q75" s="35">
        <v>433882</v>
      </c>
      <c r="R75" s="35" t="s">
        <v>78</v>
      </c>
      <c r="S75" s="35" t="s">
        <v>78</v>
      </c>
      <c r="T75" s="35"/>
      <c r="U75" s="35"/>
      <c r="V75" s="35" t="s">
        <v>405</v>
      </c>
      <c r="W75" s="37">
        <f t="shared" si="3"/>
        <v>0.5</v>
      </c>
      <c r="X75" s="33" t="s">
        <v>43</v>
      </c>
      <c r="Y75" s="33" t="s">
        <v>213</v>
      </c>
      <c r="Z75" s="33" t="s">
        <v>81</v>
      </c>
      <c r="AA75" s="33" t="s">
        <v>119</v>
      </c>
      <c r="AB75" s="33" t="s">
        <v>438</v>
      </c>
      <c r="AC75" s="33" t="s">
        <v>439</v>
      </c>
      <c r="AD75" s="33" t="s">
        <v>440</v>
      </c>
      <c r="AE75" s="33" t="s">
        <v>417</v>
      </c>
      <c r="AG75" s="33" t="s">
        <v>50</v>
      </c>
      <c r="AH75" s="33" t="s">
        <v>51</v>
      </c>
    </row>
    <row r="76" spans="1:34" ht="265.25">
      <c r="A76" s="35">
        <v>75</v>
      </c>
      <c r="B76" s="35" t="s">
        <v>441</v>
      </c>
      <c r="C76" s="35" t="s">
        <v>34</v>
      </c>
      <c r="D76" s="35" t="s">
        <v>402</v>
      </c>
      <c r="E76" s="35" t="s">
        <v>442</v>
      </c>
      <c r="F76" s="35" t="s">
        <v>443</v>
      </c>
      <c r="G76" s="35" t="s">
        <v>38</v>
      </c>
      <c r="H76" s="35" t="str">
        <f t="shared" si="2"/>
        <v>Verify</v>
      </c>
      <c r="I76" s="35" t="s">
        <v>39</v>
      </c>
      <c r="J76" s="35"/>
      <c r="K76" s="47"/>
      <c r="L76" s="35" t="s">
        <v>40</v>
      </c>
      <c r="M76" s="35"/>
      <c r="N76" s="35"/>
      <c r="O76" s="35" t="s">
        <v>41</v>
      </c>
      <c r="P76" s="35" t="s">
        <v>444</v>
      </c>
      <c r="Q76" s="35"/>
      <c r="R76" s="35"/>
      <c r="S76" s="35" t="s">
        <v>78</v>
      </c>
      <c r="T76" s="35"/>
      <c r="U76" s="35"/>
      <c r="V76" s="35" t="s">
        <v>42</v>
      </c>
      <c r="W76" s="37">
        <f t="shared" si="3"/>
        <v>0.8</v>
      </c>
      <c r="X76" s="33" t="s">
        <v>43</v>
      </c>
      <c r="Y76" s="33" t="s">
        <v>44</v>
      </c>
      <c r="Z76" s="33" t="s">
        <v>45</v>
      </c>
      <c r="AA76" s="33" t="s">
        <v>46</v>
      </c>
      <c r="AB76" s="33" t="s">
        <v>445</v>
      </c>
      <c r="AC76" s="33" t="s">
        <v>444</v>
      </c>
      <c r="AD76" s="33" t="s">
        <v>159</v>
      </c>
      <c r="AE76" s="33" t="s">
        <v>49</v>
      </c>
      <c r="AG76" s="33" t="s">
        <v>50</v>
      </c>
      <c r="AH76" s="33" t="s">
        <v>51</v>
      </c>
    </row>
    <row r="77" spans="1:34" ht="265.25">
      <c r="A77" s="35">
        <v>76</v>
      </c>
      <c r="B77" s="35" t="s">
        <v>446</v>
      </c>
      <c r="C77" s="35" t="s">
        <v>34</v>
      </c>
      <c r="D77" s="35" t="s">
        <v>402</v>
      </c>
      <c r="E77" s="35" t="s">
        <v>447</v>
      </c>
      <c r="F77" s="35" t="s">
        <v>448</v>
      </c>
      <c r="G77" s="35" t="s">
        <v>38</v>
      </c>
      <c r="H77" s="35" t="str">
        <f t="shared" si="2"/>
        <v>Verify</v>
      </c>
      <c r="I77" s="35" t="s">
        <v>39</v>
      </c>
      <c r="J77" s="35"/>
      <c r="K77" s="47"/>
      <c r="L77" s="35" t="s">
        <v>40</v>
      </c>
      <c r="M77" s="35"/>
      <c r="N77" s="35"/>
      <c r="O77" s="35" t="s">
        <v>41</v>
      </c>
      <c r="P77" s="35" t="s">
        <v>449</v>
      </c>
      <c r="Q77" s="35"/>
      <c r="R77" s="35"/>
      <c r="S77" s="35"/>
      <c r="T77" s="35"/>
      <c r="U77" s="35"/>
      <c r="V77" s="35" t="s">
        <v>42</v>
      </c>
      <c r="W77" s="37">
        <f t="shared" si="3"/>
        <v>0.8</v>
      </c>
      <c r="X77" s="33" t="s">
        <v>43</v>
      </c>
      <c r="Y77" s="33" t="s">
        <v>44</v>
      </c>
      <c r="Z77" s="33" t="s">
        <v>45</v>
      </c>
      <c r="AA77" s="33" t="s">
        <v>46</v>
      </c>
      <c r="AB77" s="33" t="s">
        <v>450</v>
      </c>
      <c r="AC77" s="33" t="s">
        <v>449</v>
      </c>
      <c r="AD77" s="33" t="s">
        <v>159</v>
      </c>
      <c r="AE77" s="33" t="s">
        <v>49</v>
      </c>
      <c r="AG77" s="33" t="s">
        <v>50</v>
      </c>
      <c r="AH77" s="33" t="s">
        <v>51</v>
      </c>
    </row>
    <row r="78" spans="1:34" ht="265.25">
      <c r="A78" s="35">
        <v>77</v>
      </c>
      <c r="B78" s="35" t="s">
        <v>451</v>
      </c>
      <c r="C78" s="35" t="s">
        <v>34</v>
      </c>
      <c r="D78" s="35" t="s">
        <v>402</v>
      </c>
      <c r="E78" s="35" t="s">
        <v>452</v>
      </c>
      <c r="F78" s="35" t="s">
        <v>453</v>
      </c>
      <c r="G78" s="35" t="s">
        <v>38</v>
      </c>
      <c r="H78" s="35" t="str">
        <f t="shared" si="2"/>
        <v>Verify</v>
      </c>
      <c r="I78" s="35" t="s">
        <v>39</v>
      </c>
      <c r="J78" s="35"/>
      <c r="K78" s="47"/>
      <c r="L78" s="35" t="s">
        <v>40</v>
      </c>
      <c r="M78" s="35"/>
      <c r="N78" s="35"/>
      <c r="O78" s="35" t="s">
        <v>41</v>
      </c>
      <c r="P78" s="35" t="s">
        <v>454</v>
      </c>
      <c r="Q78" s="35"/>
      <c r="R78" s="35"/>
      <c r="S78" s="35"/>
      <c r="T78" s="35"/>
      <c r="U78" s="35"/>
      <c r="V78" s="35" t="s">
        <v>42</v>
      </c>
      <c r="W78" s="37">
        <f t="shared" si="3"/>
        <v>0.8</v>
      </c>
      <c r="X78" s="33" t="s">
        <v>43</v>
      </c>
      <c r="Y78" s="33" t="s">
        <v>44</v>
      </c>
      <c r="Z78" s="33" t="s">
        <v>45</v>
      </c>
      <c r="AA78" s="33" t="s">
        <v>46</v>
      </c>
      <c r="AB78" s="33" t="s">
        <v>455</v>
      </c>
      <c r="AD78" s="33" t="s">
        <v>97</v>
      </c>
      <c r="AE78" s="33" t="s">
        <v>49</v>
      </c>
      <c r="AG78" s="33" t="s">
        <v>50</v>
      </c>
      <c r="AH78" s="33" t="s">
        <v>51</v>
      </c>
    </row>
    <row r="79" spans="1:34" ht="202.75">
      <c r="A79" s="35">
        <v>78</v>
      </c>
      <c r="B79" s="35" t="s">
        <v>456</v>
      </c>
      <c r="C79" s="35" t="s">
        <v>34</v>
      </c>
      <c r="D79" s="35" t="s">
        <v>402</v>
      </c>
      <c r="E79" s="35" t="s">
        <v>457</v>
      </c>
      <c r="F79" s="35" t="s">
        <v>458</v>
      </c>
      <c r="G79" s="35" t="s">
        <v>38</v>
      </c>
      <c r="H79" s="35" t="str">
        <f t="shared" si="2"/>
        <v>Verify</v>
      </c>
      <c r="I79" s="35" t="s">
        <v>39</v>
      </c>
      <c r="J79" s="35"/>
      <c r="K79" s="47"/>
      <c r="L79" s="35" t="s">
        <v>395</v>
      </c>
      <c r="M79" s="35"/>
      <c r="N79" s="35"/>
      <c r="O79" s="35" t="s">
        <v>348</v>
      </c>
      <c r="P79" s="35" t="s">
        <v>459</v>
      </c>
      <c r="Q79" s="35">
        <v>433882</v>
      </c>
      <c r="R79" s="35" t="s">
        <v>78</v>
      </c>
      <c r="S79" s="35"/>
      <c r="T79" s="35"/>
      <c r="U79" s="35"/>
      <c r="V79" s="35" t="s">
        <v>405</v>
      </c>
      <c r="W79" s="37">
        <f t="shared" si="3"/>
        <v>0.5</v>
      </c>
      <c r="X79" s="33" t="s">
        <v>43</v>
      </c>
      <c r="Y79" s="33" t="s">
        <v>213</v>
      </c>
      <c r="Z79" s="33" t="s">
        <v>81</v>
      </c>
      <c r="AA79" s="33" t="s">
        <v>119</v>
      </c>
      <c r="AB79" s="33" t="s">
        <v>460</v>
      </c>
      <c r="AC79" s="33" t="s">
        <v>461</v>
      </c>
      <c r="AD79" s="33" t="s">
        <v>462</v>
      </c>
      <c r="AE79" s="33" t="s">
        <v>417</v>
      </c>
      <c r="AG79" s="33" t="s">
        <v>50</v>
      </c>
      <c r="AH79" s="33" t="s">
        <v>51</v>
      </c>
    </row>
    <row r="80" spans="1:34" ht="202.75">
      <c r="A80" s="35">
        <v>79</v>
      </c>
      <c r="B80" s="35" t="s">
        <v>463</v>
      </c>
      <c r="C80" s="35" t="s">
        <v>34</v>
      </c>
      <c r="D80" s="35" t="s">
        <v>402</v>
      </c>
      <c r="E80" s="35" t="s">
        <v>464</v>
      </c>
      <c r="F80" s="35" t="s">
        <v>465</v>
      </c>
      <c r="G80" s="35" t="s">
        <v>38</v>
      </c>
      <c r="H80" s="35" t="str">
        <f t="shared" si="2"/>
        <v>Verify</v>
      </c>
      <c r="I80" s="35" t="s">
        <v>39</v>
      </c>
      <c r="J80" s="35"/>
      <c r="K80" s="47"/>
      <c r="L80" s="35" t="s">
        <v>395</v>
      </c>
      <c r="M80" s="35"/>
      <c r="N80" s="35"/>
      <c r="O80" s="35" t="s">
        <v>348</v>
      </c>
      <c r="P80" s="35" t="s">
        <v>466</v>
      </c>
      <c r="Q80" s="35">
        <v>433882</v>
      </c>
      <c r="R80" s="35" t="s">
        <v>78</v>
      </c>
      <c r="S80" s="35"/>
      <c r="T80" s="35"/>
      <c r="U80" s="35"/>
      <c r="V80" s="35" t="s">
        <v>405</v>
      </c>
      <c r="W80" s="37">
        <f t="shared" si="3"/>
        <v>0.5</v>
      </c>
      <c r="X80" s="33" t="s">
        <v>43</v>
      </c>
      <c r="Y80" s="33" t="s">
        <v>213</v>
      </c>
      <c r="Z80" s="33" t="s">
        <v>81</v>
      </c>
      <c r="AA80" s="33" t="s">
        <v>119</v>
      </c>
      <c r="AB80" s="33" t="s">
        <v>467</v>
      </c>
      <c r="AC80" s="33" t="s">
        <v>468</v>
      </c>
      <c r="AD80" s="33" t="s">
        <v>428</v>
      </c>
      <c r="AE80" s="33" t="s">
        <v>417</v>
      </c>
      <c r="AG80" s="33" t="s">
        <v>50</v>
      </c>
      <c r="AH80" s="33" t="s">
        <v>51</v>
      </c>
    </row>
    <row r="81" spans="1:34" ht="265.25">
      <c r="A81" s="35">
        <v>80</v>
      </c>
      <c r="B81" s="35" t="s">
        <v>469</v>
      </c>
      <c r="C81" s="35" t="s">
        <v>34</v>
      </c>
      <c r="D81" s="35" t="s">
        <v>402</v>
      </c>
      <c r="E81" s="35" t="s">
        <v>470</v>
      </c>
      <c r="F81" s="35" t="s">
        <v>471</v>
      </c>
      <c r="G81" s="35" t="s">
        <v>116</v>
      </c>
      <c r="H81" s="35" t="str">
        <f t="shared" si="2"/>
        <v>Check</v>
      </c>
      <c r="I81" s="35" t="s">
        <v>39</v>
      </c>
      <c r="J81" s="35"/>
      <c r="K81" s="47"/>
      <c r="L81" s="35" t="s">
        <v>40</v>
      </c>
      <c r="M81" s="35"/>
      <c r="N81" s="35"/>
      <c r="O81" s="35" t="s">
        <v>41</v>
      </c>
      <c r="P81" s="35" t="s">
        <v>472</v>
      </c>
      <c r="Q81" s="35"/>
      <c r="R81" s="35"/>
      <c r="S81" s="35"/>
      <c r="T81" s="35"/>
      <c r="U81" s="35"/>
      <c r="V81" s="35" t="s">
        <v>42</v>
      </c>
      <c r="W81" s="37">
        <f t="shared" si="3"/>
        <v>0.8</v>
      </c>
      <c r="X81" s="33" t="s">
        <v>43</v>
      </c>
      <c r="Y81" s="33" t="s">
        <v>44</v>
      </c>
      <c r="Z81" s="33" t="s">
        <v>45</v>
      </c>
      <c r="AA81" s="33" t="s">
        <v>46</v>
      </c>
      <c r="AB81" s="33" t="s">
        <v>473</v>
      </c>
      <c r="AC81" s="33" t="s">
        <v>472</v>
      </c>
      <c r="AD81" s="33" t="s">
        <v>97</v>
      </c>
      <c r="AE81" s="33" t="s">
        <v>49</v>
      </c>
      <c r="AG81" s="33" t="s">
        <v>50</v>
      </c>
      <c r="AH81" s="33" t="s">
        <v>51</v>
      </c>
    </row>
    <row r="82" spans="1:34" ht="265.25">
      <c r="A82" s="35">
        <v>81</v>
      </c>
      <c r="B82" s="35" t="s">
        <v>474</v>
      </c>
      <c r="C82" s="35" t="s">
        <v>34</v>
      </c>
      <c r="D82" s="35" t="s">
        <v>402</v>
      </c>
      <c r="E82" s="35" t="s">
        <v>475</v>
      </c>
      <c r="F82" s="35" t="s">
        <v>476</v>
      </c>
      <c r="G82" s="35" t="s">
        <v>116</v>
      </c>
      <c r="H82" s="35" t="str">
        <f t="shared" si="2"/>
        <v>Check</v>
      </c>
      <c r="I82" s="35" t="s">
        <v>39</v>
      </c>
      <c r="J82" s="35"/>
      <c r="K82" s="47"/>
      <c r="L82" s="35" t="s">
        <v>40</v>
      </c>
      <c r="M82" s="35"/>
      <c r="N82" s="35"/>
      <c r="O82" s="35" t="s">
        <v>41</v>
      </c>
      <c r="P82" s="35"/>
      <c r="Q82" s="35"/>
      <c r="R82" s="35"/>
      <c r="S82" s="35"/>
      <c r="T82" s="35"/>
      <c r="U82" s="35"/>
      <c r="V82" s="35" t="s">
        <v>42</v>
      </c>
      <c r="W82" s="37">
        <f t="shared" si="3"/>
        <v>0.8</v>
      </c>
      <c r="X82" s="33" t="s">
        <v>43</v>
      </c>
      <c r="Y82" s="33" t="s">
        <v>44</v>
      </c>
      <c r="Z82" s="33" t="s">
        <v>45</v>
      </c>
      <c r="AA82" s="33" t="s">
        <v>119</v>
      </c>
      <c r="AB82" s="33" t="s">
        <v>477</v>
      </c>
      <c r="AD82" s="33" t="s">
        <v>132</v>
      </c>
      <c r="AE82" s="33" t="s">
        <v>49</v>
      </c>
      <c r="AG82" s="33" t="s">
        <v>50</v>
      </c>
      <c r="AH82" s="33" t="s">
        <v>51</v>
      </c>
    </row>
    <row r="83" spans="1:34" ht="187.25">
      <c r="A83" s="35">
        <v>82</v>
      </c>
      <c r="B83" s="35" t="s">
        <v>478</v>
      </c>
      <c r="C83" s="35" t="s">
        <v>34</v>
      </c>
      <c r="D83" s="35" t="s">
        <v>402</v>
      </c>
      <c r="E83" s="35" t="s">
        <v>479</v>
      </c>
      <c r="F83" s="35" t="s">
        <v>480</v>
      </c>
      <c r="G83" s="35" t="s">
        <v>116</v>
      </c>
      <c r="H83" s="35" t="str">
        <f t="shared" si="2"/>
        <v>Check</v>
      </c>
      <c r="I83" s="35" t="s">
        <v>39</v>
      </c>
      <c r="J83" s="35"/>
      <c r="K83" s="47"/>
      <c r="L83" s="35" t="s">
        <v>395</v>
      </c>
      <c r="M83" s="35"/>
      <c r="N83" s="35"/>
      <c r="O83" s="35" t="s">
        <v>348</v>
      </c>
      <c r="P83" s="35" t="s">
        <v>481</v>
      </c>
      <c r="Q83" s="35"/>
      <c r="R83" s="35"/>
      <c r="S83" s="35" t="s">
        <v>78</v>
      </c>
      <c r="T83" s="35"/>
      <c r="U83" s="35"/>
      <c r="V83" s="35" t="s">
        <v>405</v>
      </c>
      <c r="W83" s="37">
        <f t="shared" si="3"/>
        <v>0.5</v>
      </c>
      <c r="X83" s="33" t="s">
        <v>43</v>
      </c>
      <c r="Y83" s="33" t="s">
        <v>213</v>
      </c>
      <c r="Z83" s="33" t="s">
        <v>81</v>
      </c>
      <c r="AA83" s="33" t="s">
        <v>46</v>
      </c>
      <c r="AB83" s="33" t="s">
        <v>482</v>
      </c>
      <c r="AC83" s="33" t="s">
        <v>483</v>
      </c>
      <c r="AD83" s="33" t="s">
        <v>484</v>
      </c>
      <c r="AE83" s="33" t="s">
        <v>417</v>
      </c>
      <c r="AG83" s="33" t="s">
        <v>50</v>
      </c>
      <c r="AH83" s="33" t="s">
        <v>51</v>
      </c>
    </row>
    <row r="84" spans="1:34" ht="409.6">
      <c r="A84" s="35">
        <v>83</v>
      </c>
      <c r="B84" s="35" t="s">
        <v>485</v>
      </c>
      <c r="C84" s="35" t="s">
        <v>34</v>
      </c>
      <c r="D84" s="35" t="s">
        <v>486</v>
      </c>
      <c r="E84" s="35" t="s">
        <v>486</v>
      </c>
      <c r="F84" s="35" t="s">
        <v>487</v>
      </c>
      <c r="G84" s="35" t="s">
        <v>394</v>
      </c>
      <c r="H84" s="35" t="str">
        <f t="shared" si="2"/>
        <v>Answer</v>
      </c>
      <c r="I84" s="35" t="s">
        <v>39</v>
      </c>
      <c r="J84" s="35"/>
      <c r="K84" s="47"/>
      <c r="L84" s="35" t="s">
        <v>117</v>
      </c>
      <c r="M84" s="35"/>
      <c r="N84" s="35"/>
      <c r="O84" s="35"/>
      <c r="P84" s="35"/>
      <c r="Q84" s="35"/>
      <c r="R84" s="35"/>
      <c r="S84" s="35"/>
      <c r="T84" s="35"/>
      <c r="U84" s="35"/>
      <c r="V84" s="35" t="s">
        <v>79</v>
      </c>
      <c r="W84" s="37">
        <f t="shared" si="3"/>
        <v>0</v>
      </c>
      <c r="X84" s="33" t="s">
        <v>43</v>
      </c>
      <c r="Y84" s="33" t="s">
        <v>213</v>
      </c>
      <c r="Z84" s="33" t="s">
        <v>396</v>
      </c>
      <c r="AA84" s="33" t="s">
        <v>119</v>
      </c>
      <c r="AB84" s="33" t="s">
        <v>488</v>
      </c>
      <c r="AC84" s="33" t="s">
        <v>398</v>
      </c>
      <c r="AD84" s="33" t="s">
        <v>489</v>
      </c>
      <c r="AE84" s="33" t="s">
        <v>490</v>
      </c>
      <c r="AG84" s="33" t="s">
        <v>50</v>
      </c>
      <c r="AH84" s="33" t="s">
        <v>51</v>
      </c>
    </row>
    <row r="85" spans="1:34" ht="409.6">
      <c r="A85" s="35">
        <v>84</v>
      </c>
      <c r="B85" s="35" t="s">
        <v>491</v>
      </c>
      <c r="C85" s="35" t="s">
        <v>34</v>
      </c>
      <c r="D85" s="35" t="s">
        <v>492</v>
      </c>
      <c r="E85" s="35" t="s">
        <v>493</v>
      </c>
      <c r="F85" s="35" t="s">
        <v>494</v>
      </c>
      <c r="G85" s="35" t="s">
        <v>38</v>
      </c>
      <c r="H85" s="35" t="str">
        <f t="shared" si="2"/>
        <v>Verify</v>
      </c>
      <c r="I85" s="35" t="s">
        <v>39</v>
      </c>
      <c r="J85" s="35"/>
      <c r="K85" s="47"/>
      <c r="L85" s="35" t="s">
        <v>40</v>
      </c>
      <c r="M85" s="35"/>
      <c r="N85" s="35"/>
      <c r="O85" s="35" t="s">
        <v>41</v>
      </c>
      <c r="P85" s="35" t="s">
        <v>495</v>
      </c>
      <c r="Q85" s="35"/>
      <c r="R85" s="35"/>
      <c r="S85" s="35"/>
      <c r="T85" s="35"/>
      <c r="U85" s="35"/>
      <c r="V85" s="35" t="s">
        <v>42</v>
      </c>
      <c r="W85" s="37">
        <f t="shared" si="3"/>
        <v>0.8</v>
      </c>
      <c r="X85" s="33" t="s">
        <v>43</v>
      </c>
      <c r="Y85" s="33" t="s">
        <v>213</v>
      </c>
      <c r="Z85" s="33" t="s">
        <v>45</v>
      </c>
      <c r="AA85" s="33" t="s">
        <v>46</v>
      </c>
      <c r="AB85" s="33" t="s">
        <v>496</v>
      </c>
      <c r="AC85" s="33" t="s">
        <v>497</v>
      </c>
      <c r="AD85" s="33" t="s">
        <v>498</v>
      </c>
      <c r="AE85" s="33" t="s">
        <v>49</v>
      </c>
      <c r="AG85" s="33" t="s">
        <v>50</v>
      </c>
      <c r="AH85" s="33" t="s">
        <v>51</v>
      </c>
    </row>
    <row r="86" spans="1:34" ht="160">
      <c r="A86" s="35">
        <v>85</v>
      </c>
      <c r="B86" s="35" t="s">
        <v>499</v>
      </c>
      <c r="C86" s="35" t="s">
        <v>34</v>
      </c>
      <c r="D86" s="35" t="s">
        <v>492</v>
      </c>
      <c r="E86" s="35" t="s">
        <v>500</v>
      </c>
      <c r="F86" s="35" t="s">
        <v>501</v>
      </c>
      <c r="G86" s="35" t="s">
        <v>38</v>
      </c>
      <c r="H86" s="35" t="str">
        <f t="shared" si="2"/>
        <v>Verify</v>
      </c>
      <c r="I86" s="35" t="s">
        <v>39</v>
      </c>
      <c r="J86" s="35"/>
      <c r="K86" s="47"/>
      <c r="L86" s="35" t="s">
        <v>395</v>
      </c>
      <c r="M86" s="35"/>
      <c r="N86" s="35"/>
      <c r="O86" s="35" t="s">
        <v>76</v>
      </c>
      <c r="P86" s="35" t="s">
        <v>502</v>
      </c>
      <c r="Q86" s="75">
        <v>435257</v>
      </c>
      <c r="R86" s="35"/>
      <c r="S86" s="35" t="s">
        <v>78</v>
      </c>
      <c r="T86" s="35"/>
      <c r="U86" s="35"/>
      <c r="V86" s="35" t="s">
        <v>405</v>
      </c>
      <c r="W86" s="37">
        <f t="shared" si="3"/>
        <v>0.5</v>
      </c>
      <c r="X86" s="33" t="s">
        <v>43</v>
      </c>
      <c r="Y86" s="33" t="s">
        <v>213</v>
      </c>
      <c r="Z86" s="33" t="s">
        <v>214</v>
      </c>
      <c r="AA86" s="33" t="s">
        <v>119</v>
      </c>
      <c r="AB86" s="33" t="s">
        <v>503</v>
      </c>
      <c r="AC86" s="33" t="s">
        <v>504</v>
      </c>
      <c r="AD86" s="33" t="s">
        <v>505</v>
      </c>
      <c r="AE86" s="33" t="s">
        <v>506</v>
      </c>
      <c r="AG86" s="33" t="s">
        <v>50</v>
      </c>
      <c r="AH86" s="33" t="s">
        <v>51</v>
      </c>
    </row>
    <row r="87" spans="1:34" ht="409.6">
      <c r="A87" s="35">
        <v>86</v>
      </c>
      <c r="B87" s="35" t="s">
        <v>507</v>
      </c>
      <c r="C87" s="35" t="s">
        <v>34</v>
      </c>
      <c r="D87" s="35" t="s">
        <v>492</v>
      </c>
      <c r="E87" s="35" t="s">
        <v>508</v>
      </c>
      <c r="F87" s="35" t="s">
        <v>509</v>
      </c>
      <c r="G87" s="35" t="s">
        <v>38</v>
      </c>
      <c r="H87" s="35" t="str">
        <f t="shared" si="2"/>
        <v>Verify</v>
      </c>
      <c r="I87" s="35" t="s">
        <v>39</v>
      </c>
      <c r="J87" s="35"/>
      <c r="K87" s="47"/>
      <c r="L87" s="35" t="s">
        <v>40</v>
      </c>
      <c r="M87" s="35"/>
      <c r="N87" s="35"/>
      <c r="O87" s="35" t="s">
        <v>41</v>
      </c>
      <c r="P87" s="35" t="s">
        <v>510</v>
      </c>
      <c r="Q87" s="35"/>
      <c r="R87" s="35"/>
      <c r="S87" s="35"/>
      <c r="T87" s="35"/>
      <c r="U87" s="35"/>
      <c r="V87" s="35" t="s">
        <v>42</v>
      </c>
      <c r="W87" s="37">
        <f t="shared" si="3"/>
        <v>0.8</v>
      </c>
      <c r="X87" s="33" t="s">
        <v>43</v>
      </c>
      <c r="Y87" s="33" t="s">
        <v>213</v>
      </c>
      <c r="Z87" s="33" t="s">
        <v>45</v>
      </c>
      <c r="AA87" s="33" t="s">
        <v>119</v>
      </c>
      <c r="AB87" s="33" t="s">
        <v>511</v>
      </c>
      <c r="AC87" s="33" t="s">
        <v>512</v>
      </c>
      <c r="AD87" s="33" t="s">
        <v>513</v>
      </c>
      <c r="AE87" s="33" t="s">
        <v>49</v>
      </c>
      <c r="AG87" s="33" t="s">
        <v>50</v>
      </c>
      <c r="AH87" s="33" t="s">
        <v>51</v>
      </c>
    </row>
    <row r="88" spans="1:34" ht="280.75">
      <c r="A88" s="35">
        <v>87</v>
      </c>
      <c r="B88" s="35" t="s">
        <v>514</v>
      </c>
      <c r="C88" s="35" t="s">
        <v>34</v>
      </c>
      <c r="D88" s="35" t="s">
        <v>492</v>
      </c>
      <c r="E88" s="35" t="s">
        <v>515</v>
      </c>
      <c r="F88" s="35" t="s">
        <v>516</v>
      </c>
      <c r="G88" s="35" t="s">
        <v>38</v>
      </c>
      <c r="H88" s="35" t="str">
        <f t="shared" si="2"/>
        <v>Verify</v>
      </c>
      <c r="I88" s="35" t="s">
        <v>39</v>
      </c>
      <c r="J88" s="35"/>
      <c r="K88" s="47"/>
      <c r="L88" s="35" t="s">
        <v>40</v>
      </c>
      <c r="M88" s="35"/>
      <c r="N88" s="35"/>
      <c r="O88" s="35" t="s">
        <v>41</v>
      </c>
      <c r="P88" s="35"/>
      <c r="Q88" s="35"/>
      <c r="R88" s="35"/>
      <c r="S88" s="35"/>
      <c r="T88" s="35"/>
      <c r="U88" s="35"/>
      <c r="V88" s="35" t="s">
        <v>42</v>
      </c>
      <c r="W88" s="37">
        <f t="shared" si="3"/>
        <v>0.8</v>
      </c>
      <c r="X88" s="33" t="s">
        <v>43</v>
      </c>
      <c r="Y88" s="33" t="s">
        <v>44</v>
      </c>
      <c r="Z88" s="33" t="s">
        <v>45</v>
      </c>
      <c r="AA88" s="33" t="s">
        <v>46</v>
      </c>
      <c r="AB88" s="33" t="s">
        <v>517</v>
      </c>
      <c r="AD88" s="33" t="s">
        <v>278</v>
      </c>
      <c r="AE88" s="33" t="s">
        <v>49</v>
      </c>
      <c r="AG88" s="33" t="s">
        <v>50</v>
      </c>
      <c r="AH88" s="33" t="s">
        <v>51</v>
      </c>
    </row>
    <row r="89" spans="1:34" ht="409.6">
      <c r="A89" s="35">
        <v>88</v>
      </c>
      <c r="B89" s="35" t="s">
        <v>518</v>
      </c>
      <c r="C89" s="35" t="s">
        <v>34</v>
      </c>
      <c r="D89" s="35" t="s">
        <v>492</v>
      </c>
      <c r="E89" s="35" t="s">
        <v>519</v>
      </c>
      <c r="F89" s="35" t="s">
        <v>520</v>
      </c>
      <c r="G89" s="35" t="s">
        <v>38</v>
      </c>
      <c r="H89" s="35" t="str">
        <f t="shared" si="2"/>
        <v>Verify</v>
      </c>
      <c r="I89" s="35" t="s">
        <v>39</v>
      </c>
      <c r="J89" s="35"/>
      <c r="K89" s="47"/>
      <c r="L89" s="35" t="s">
        <v>117</v>
      </c>
      <c r="M89" s="35"/>
      <c r="N89" s="35"/>
      <c r="O89" s="35" t="s">
        <v>76</v>
      </c>
      <c r="P89" s="35" t="s">
        <v>521</v>
      </c>
      <c r="Q89" s="35">
        <v>433883</v>
      </c>
      <c r="R89" s="35" t="s">
        <v>78</v>
      </c>
      <c r="S89" s="35"/>
      <c r="T89" s="35"/>
      <c r="U89" s="35"/>
      <c r="V89" s="35" t="s">
        <v>79</v>
      </c>
      <c r="W89" s="37">
        <f t="shared" si="3"/>
        <v>0</v>
      </c>
      <c r="X89" s="33" t="s">
        <v>43</v>
      </c>
      <c r="Y89" s="33" t="s">
        <v>213</v>
      </c>
      <c r="Z89" s="33" t="s">
        <v>214</v>
      </c>
      <c r="AA89" s="33" t="s">
        <v>119</v>
      </c>
      <c r="AB89" s="33" t="s">
        <v>522</v>
      </c>
      <c r="AC89" s="33" t="s">
        <v>523</v>
      </c>
      <c r="AD89" s="33" t="s">
        <v>524</v>
      </c>
      <c r="AE89" s="33" t="s">
        <v>525</v>
      </c>
      <c r="AG89" s="33" t="s">
        <v>50</v>
      </c>
      <c r="AH89" s="33" t="s">
        <v>51</v>
      </c>
    </row>
    <row r="90" spans="1:34" ht="358.75">
      <c r="A90" s="35">
        <v>89</v>
      </c>
      <c r="B90" s="35" t="s">
        <v>526</v>
      </c>
      <c r="C90" s="35" t="s">
        <v>34</v>
      </c>
      <c r="D90" s="35" t="s">
        <v>492</v>
      </c>
      <c r="E90" s="35" t="s">
        <v>527</v>
      </c>
      <c r="F90" s="35" t="s">
        <v>528</v>
      </c>
      <c r="G90" s="35" t="s">
        <v>38</v>
      </c>
      <c r="H90" s="35" t="str">
        <f t="shared" si="2"/>
        <v>Verify</v>
      </c>
      <c r="I90" s="35" t="s">
        <v>39</v>
      </c>
      <c r="J90" s="35"/>
      <c r="K90" s="47"/>
      <c r="L90" s="35" t="s">
        <v>40</v>
      </c>
      <c r="M90" s="35"/>
      <c r="N90" s="35"/>
      <c r="O90" s="35" t="s">
        <v>41</v>
      </c>
      <c r="P90" s="35" t="s">
        <v>529</v>
      </c>
      <c r="Q90" s="35"/>
      <c r="R90" s="35"/>
      <c r="S90" s="35"/>
      <c r="T90" s="35"/>
      <c r="U90" s="35"/>
      <c r="V90" s="35" t="s">
        <v>42</v>
      </c>
      <c r="W90" s="37">
        <f t="shared" si="3"/>
        <v>0.8</v>
      </c>
      <c r="X90" s="33" t="s">
        <v>43</v>
      </c>
      <c r="Y90" s="33" t="s">
        <v>213</v>
      </c>
      <c r="Z90" s="33" t="s">
        <v>45</v>
      </c>
      <c r="AA90" s="33" t="s">
        <v>119</v>
      </c>
      <c r="AB90" s="33" t="s">
        <v>530</v>
      </c>
      <c r="AC90" s="33" t="s">
        <v>531</v>
      </c>
      <c r="AD90" s="33" t="s">
        <v>532</v>
      </c>
      <c r="AE90" s="33" t="s">
        <v>49</v>
      </c>
      <c r="AG90" s="33" t="s">
        <v>50</v>
      </c>
      <c r="AH90" s="33" t="s">
        <v>51</v>
      </c>
    </row>
    <row r="91" spans="1:34" ht="265.25">
      <c r="A91" s="35">
        <v>90</v>
      </c>
      <c r="B91" s="35" t="s">
        <v>533</v>
      </c>
      <c r="C91" s="35" t="s">
        <v>34</v>
      </c>
      <c r="D91" s="35" t="s">
        <v>492</v>
      </c>
      <c r="E91" s="35" t="s">
        <v>534</v>
      </c>
      <c r="F91" s="35" t="s">
        <v>535</v>
      </c>
      <c r="G91" s="35" t="s">
        <v>38</v>
      </c>
      <c r="H91" s="35" t="str">
        <f t="shared" si="2"/>
        <v>Verify</v>
      </c>
      <c r="I91" s="35" t="s">
        <v>39</v>
      </c>
      <c r="J91" s="35"/>
      <c r="K91" s="47"/>
      <c r="L91" s="35" t="s">
        <v>40</v>
      </c>
      <c r="M91" s="35"/>
      <c r="N91" s="35"/>
      <c r="O91" s="35" t="s">
        <v>41</v>
      </c>
      <c r="P91" s="35"/>
      <c r="Q91" s="35"/>
      <c r="R91" s="35"/>
      <c r="S91" s="35"/>
      <c r="T91" s="35"/>
      <c r="U91" s="35"/>
      <c r="V91" s="35" t="s">
        <v>42</v>
      </c>
      <c r="W91" s="37">
        <f t="shared" si="3"/>
        <v>0.8</v>
      </c>
      <c r="X91" s="33" t="s">
        <v>43</v>
      </c>
      <c r="Y91" s="33" t="s">
        <v>44</v>
      </c>
      <c r="Z91" s="33" t="s">
        <v>45</v>
      </c>
      <c r="AA91" s="33" t="s">
        <v>46</v>
      </c>
      <c r="AB91" s="33" t="s">
        <v>536</v>
      </c>
      <c r="AD91" s="33" t="s">
        <v>132</v>
      </c>
      <c r="AE91" s="33" t="s">
        <v>49</v>
      </c>
      <c r="AG91" s="33" t="s">
        <v>50</v>
      </c>
      <c r="AH91" s="33" t="s">
        <v>51</v>
      </c>
    </row>
    <row r="92" spans="1:34" ht="265.25">
      <c r="A92" s="35">
        <v>91</v>
      </c>
      <c r="B92" s="35" t="s">
        <v>537</v>
      </c>
      <c r="C92" s="35" t="s">
        <v>34</v>
      </c>
      <c r="D92" s="35" t="s">
        <v>492</v>
      </c>
      <c r="E92" s="35" t="s">
        <v>538</v>
      </c>
      <c r="F92" s="35" t="s">
        <v>539</v>
      </c>
      <c r="G92" s="35" t="s">
        <v>38</v>
      </c>
      <c r="H92" s="35" t="str">
        <f t="shared" si="2"/>
        <v>Verify</v>
      </c>
      <c r="I92" s="35" t="s">
        <v>39</v>
      </c>
      <c r="J92" s="35"/>
      <c r="K92" s="47"/>
      <c r="L92" s="35" t="s">
        <v>117</v>
      </c>
      <c r="M92" s="35"/>
      <c r="N92" s="35"/>
      <c r="O92" s="35" t="s">
        <v>76</v>
      </c>
      <c r="P92" s="35" t="s">
        <v>540</v>
      </c>
      <c r="Q92" s="35">
        <v>433884</v>
      </c>
      <c r="R92" s="35" t="s">
        <v>78</v>
      </c>
      <c r="S92" s="35"/>
      <c r="T92" s="35"/>
      <c r="U92" s="35"/>
      <c r="V92" s="35" t="s">
        <v>79</v>
      </c>
      <c r="W92" s="37">
        <f t="shared" si="3"/>
        <v>0</v>
      </c>
      <c r="X92" s="33" t="s">
        <v>43</v>
      </c>
      <c r="Y92" s="33" t="s">
        <v>213</v>
      </c>
      <c r="Z92" s="33" t="s">
        <v>214</v>
      </c>
      <c r="AA92" s="33" t="s">
        <v>119</v>
      </c>
      <c r="AB92" s="33" t="s">
        <v>541</v>
      </c>
      <c r="AC92" s="33" t="s">
        <v>542</v>
      </c>
      <c r="AD92" s="33" t="s">
        <v>543</v>
      </c>
      <c r="AE92" s="33" t="s">
        <v>525</v>
      </c>
      <c r="AG92" s="33" t="s">
        <v>50</v>
      </c>
      <c r="AH92" s="33" t="s">
        <v>51</v>
      </c>
    </row>
    <row r="93" spans="1:34" ht="265.25">
      <c r="A93" s="35">
        <v>92</v>
      </c>
      <c r="B93" s="35" t="s">
        <v>544</v>
      </c>
      <c r="C93" s="35" t="s">
        <v>34</v>
      </c>
      <c r="D93" s="35" t="s">
        <v>492</v>
      </c>
      <c r="E93" s="35" t="s">
        <v>545</v>
      </c>
      <c r="F93" s="35" t="s">
        <v>546</v>
      </c>
      <c r="G93" s="35" t="s">
        <v>38</v>
      </c>
      <c r="H93" s="35" t="str">
        <f t="shared" si="2"/>
        <v>Verify</v>
      </c>
      <c r="I93" s="35" t="s">
        <v>39</v>
      </c>
      <c r="J93" s="35"/>
      <c r="K93" s="47"/>
      <c r="L93" s="35" t="s">
        <v>117</v>
      </c>
      <c r="M93" s="35"/>
      <c r="N93" s="35"/>
      <c r="O93" s="35" t="s">
        <v>76</v>
      </c>
      <c r="P93" s="35" t="s">
        <v>547</v>
      </c>
      <c r="Q93" s="35">
        <v>433884</v>
      </c>
      <c r="R93" s="35" t="s">
        <v>78</v>
      </c>
      <c r="S93" s="35"/>
      <c r="T93" s="35"/>
      <c r="U93" s="35"/>
      <c r="V93" s="35" t="s">
        <v>79</v>
      </c>
      <c r="W93" s="37">
        <f t="shared" si="3"/>
        <v>0</v>
      </c>
      <c r="X93" s="33" t="s">
        <v>43</v>
      </c>
      <c r="Y93" s="33" t="s">
        <v>213</v>
      </c>
      <c r="Z93" s="33" t="s">
        <v>214</v>
      </c>
      <c r="AA93" s="33" t="s">
        <v>119</v>
      </c>
      <c r="AB93" s="33" t="s">
        <v>548</v>
      </c>
      <c r="AC93" s="33" t="s">
        <v>549</v>
      </c>
      <c r="AD93" s="33" t="s">
        <v>543</v>
      </c>
      <c r="AE93" s="33" t="s">
        <v>525</v>
      </c>
      <c r="AG93" s="33" t="s">
        <v>50</v>
      </c>
      <c r="AH93" s="33" t="s">
        <v>51</v>
      </c>
    </row>
    <row r="94" spans="1:34" ht="312">
      <c r="A94" s="35">
        <v>93</v>
      </c>
      <c r="B94" s="35" t="s">
        <v>550</v>
      </c>
      <c r="C94" s="35" t="s">
        <v>34</v>
      </c>
      <c r="D94" s="35" t="s">
        <v>492</v>
      </c>
      <c r="E94" s="35" t="s">
        <v>551</v>
      </c>
      <c r="F94" s="35" t="s">
        <v>552</v>
      </c>
      <c r="G94" s="35" t="s">
        <v>38</v>
      </c>
      <c r="H94" s="35" t="str">
        <f t="shared" si="2"/>
        <v>Verify</v>
      </c>
      <c r="I94" s="35" t="s">
        <v>39</v>
      </c>
      <c r="J94" s="35"/>
      <c r="K94" s="47"/>
      <c r="L94" s="35" t="s">
        <v>117</v>
      </c>
      <c r="M94" s="35"/>
      <c r="N94" s="35"/>
      <c r="O94" s="35" t="s">
        <v>76</v>
      </c>
      <c r="P94" s="35" t="s">
        <v>553</v>
      </c>
      <c r="Q94" s="35">
        <v>433884</v>
      </c>
      <c r="R94" s="35" t="s">
        <v>78</v>
      </c>
      <c r="S94" s="35"/>
      <c r="T94" s="35"/>
      <c r="U94" s="35"/>
      <c r="V94" s="35" t="s">
        <v>79</v>
      </c>
      <c r="W94" s="37">
        <f t="shared" si="3"/>
        <v>0</v>
      </c>
      <c r="X94" s="33" t="s">
        <v>43</v>
      </c>
      <c r="Y94" s="33" t="s">
        <v>213</v>
      </c>
      <c r="Z94" s="33" t="s">
        <v>214</v>
      </c>
      <c r="AA94" s="33" t="s">
        <v>119</v>
      </c>
      <c r="AB94" s="33" t="s">
        <v>554</v>
      </c>
      <c r="AC94" s="33" t="s">
        <v>555</v>
      </c>
      <c r="AD94" s="33" t="s">
        <v>556</v>
      </c>
      <c r="AE94" s="33" t="s">
        <v>525</v>
      </c>
      <c r="AG94" s="33" t="s">
        <v>50</v>
      </c>
      <c r="AH94" s="33" t="s">
        <v>51</v>
      </c>
    </row>
    <row r="95" spans="1:34" ht="343.25">
      <c r="A95" s="35">
        <v>94</v>
      </c>
      <c r="B95" s="35" t="s">
        <v>557</v>
      </c>
      <c r="C95" s="35" t="s">
        <v>34</v>
      </c>
      <c r="D95" s="35" t="s">
        <v>492</v>
      </c>
      <c r="E95" s="35" t="s">
        <v>558</v>
      </c>
      <c r="F95" s="35" t="s">
        <v>559</v>
      </c>
      <c r="G95" s="35" t="s">
        <v>38</v>
      </c>
      <c r="H95" s="35" t="str">
        <f t="shared" si="2"/>
        <v>Verify</v>
      </c>
      <c r="I95" s="35" t="s">
        <v>39</v>
      </c>
      <c r="J95" s="35"/>
      <c r="K95" s="47"/>
      <c r="L95" s="35" t="s">
        <v>117</v>
      </c>
      <c r="M95" s="35"/>
      <c r="N95" s="35"/>
      <c r="O95" s="35" t="s">
        <v>76</v>
      </c>
      <c r="P95" s="35" t="s">
        <v>560</v>
      </c>
      <c r="Q95" s="35">
        <v>433884</v>
      </c>
      <c r="R95" s="35" t="s">
        <v>78</v>
      </c>
      <c r="S95" s="35"/>
      <c r="T95" s="35"/>
      <c r="U95" s="35"/>
      <c r="V95" s="35" t="s">
        <v>79</v>
      </c>
      <c r="W95" s="37">
        <f t="shared" si="3"/>
        <v>0</v>
      </c>
      <c r="X95" s="33" t="s">
        <v>43</v>
      </c>
      <c r="Y95" s="33" t="s">
        <v>213</v>
      </c>
      <c r="Z95" s="33" t="s">
        <v>214</v>
      </c>
      <c r="AA95" s="33" t="s">
        <v>119</v>
      </c>
      <c r="AB95" s="33" t="s">
        <v>561</v>
      </c>
      <c r="AC95" s="33" t="s">
        <v>562</v>
      </c>
      <c r="AD95" s="33" t="s">
        <v>563</v>
      </c>
      <c r="AE95" s="33" t="s">
        <v>525</v>
      </c>
      <c r="AG95" s="33" t="s">
        <v>50</v>
      </c>
      <c r="AH95" s="33" t="s">
        <v>51</v>
      </c>
    </row>
    <row r="96" spans="1:34" ht="296.39999999999998">
      <c r="A96" s="35">
        <v>95</v>
      </c>
      <c r="B96" s="35" t="s">
        <v>564</v>
      </c>
      <c r="C96" s="35" t="s">
        <v>34</v>
      </c>
      <c r="D96" s="35" t="s">
        <v>492</v>
      </c>
      <c r="E96" s="35" t="s">
        <v>565</v>
      </c>
      <c r="F96" s="35" t="s">
        <v>566</v>
      </c>
      <c r="G96" s="35" t="s">
        <v>38</v>
      </c>
      <c r="H96" s="35" t="str">
        <f t="shared" si="2"/>
        <v>Verify</v>
      </c>
      <c r="I96" s="35" t="s">
        <v>39</v>
      </c>
      <c r="J96" s="35"/>
      <c r="K96" s="47"/>
      <c r="L96" s="35" t="s">
        <v>117</v>
      </c>
      <c r="M96" s="35"/>
      <c r="N96" s="35"/>
      <c r="O96" s="35" t="s">
        <v>76</v>
      </c>
      <c r="P96" s="35" t="s">
        <v>567</v>
      </c>
      <c r="Q96" s="35">
        <v>433884</v>
      </c>
      <c r="R96" s="35" t="s">
        <v>78</v>
      </c>
      <c r="S96" s="35"/>
      <c r="T96" s="35"/>
      <c r="U96" s="35"/>
      <c r="V96" s="35" t="s">
        <v>79</v>
      </c>
      <c r="W96" s="37">
        <f t="shared" si="3"/>
        <v>0</v>
      </c>
      <c r="X96" s="33" t="s">
        <v>43</v>
      </c>
      <c r="Y96" s="33" t="s">
        <v>213</v>
      </c>
      <c r="Z96" s="33" t="s">
        <v>214</v>
      </c>
      <c r="AA96" s="33" t="s">
        <v>119</v>
      </c>
      <c r="AB96" s="33" t="s">
        <v>568</v>
      </c>
      <c r="AC96" s="33" t="s">
        <v>569</v>
      </c>
      <c r="AD96" s="33" t="s">
        <v>570</v>
      </c>
      <c r="AE96" s="33" t="s">
        <v>525</v>
      </c>
      <c r="AG96" s="33" t="s">
        <v>50</v>
      </c>
      <c r="AH96" s="33" t="s">
        <v>51</v>
      </c>
    </row>
    <row r="97" spans="1:34" ht="320">
      <c r="A97" s="35">
        <v>96</v>
      </c>
      <c r="B97" s="35" t="s">
        <v>571</v>
      </c>
      <c r="C97" s="35" t="s">
        <v>34</v>
      </c>
      <c r="D97" s="35" t="s">
        <v>492</v>
      </c>
      <c r="E97" s="35" t="s">
        <v>572</v>
      </c>
      <c r="F97" s="35" t="s">
        <v>573</v>
      </c>
      <c r="G97" s="35" t="s">
        <v>38</v>
      </c>
      <c r="H97" s="35" t="str">
        <f t="shared" si="2"/>
        <v>Verify</v>
      </c>
      <c r="I97" s="35" t="s">
        <v>39</v>
      </c>
      <c r="J97" s="35"/>
      <c r="K97" s="47"/>
      <c r="L97" s="35" t="s">
        <v>117</v>
      </c>
      <c r="M97" s="35"/>
      <c r="N97" s="35"/>
      <c r="O97" s="35" t="s">
        <v>76</v>
      </c>
      <c r="P97" s="35" t="s">
        <v>574</v>
      </c>
      <c r="Q97" s="35">
        <v>433884</v>
      </c>
      <c r="R97" s="35" t="s">
        <v>78</v>
      </c>
      <c r="S97" s="35"/>
      <c r="T97" s="35"/>
      <c r="U97" s="35"/>
      <c r="V97" s="35" t="s">
        <v>79</v>
      </c>
      <c r="W97" s="37">
        <f t="shared" si="3"/>
        <v>0</v>
      </c>
      <c r="X97" s="33" t="s">
        <v>43</v>
      </c>
      <c r="Y97" s="33" t="s">
        <v>213</v>
      </c>
      <c r="Z97" s="33" t="s">
        <v>214</v>
      </c>
      <c r="AA97" s="33" t="s">
        <v>119</v>
      </c>
      <c r="AB97" s="33" t="s">
        <v>575</v>
      </c>
      <c r="AC97" s="33" t="s">
        <v>576</v>
      </c>
      <c r="AD97" s="33" t="s">
        <v>577</v>
      </c>
      <c r="AE97" s="33" t="s">
        <v>525</v>
      </c>
      <c r="AG97" s="33" t="s">
        <v>50</v>
      </c>
      <c r="AH97" s="33" t="s">
        <v>51</v>
      </c>
    </row>
    <row r="98" spans="1:34" ht="265.25">
      <c r="A98" s="35">
        <v>97</v>
      </c>
      <c r="B98" s="35" t="s">
        <v>578</v>
      </c>
      <c r="C98" s="35" t="s">
        <v>34</v>
      </c>
      <c r="D98" s="35" t="s">
        <v>492</v>
      </c>
      <c r="E98" s="35" t="s">
        <v>579</v>
      </c>
      <c r="F98" s="35" t="s">
        <v>580</v>
      </c>
      <c r="G98" s="35" t="s">
        <v>116</v>
      </c>
      <c r="H98" s="35" t="str">
        <f t="shared" si="2"/>
        <v>Check</v>
      </c>
      <c r="I98" s="35" t="s">
        <v>39</v>
      </c>
      <c r="J98" s="35"/>
      <c r="K98" s="47"/>
      <c r="L98" s="35" t="s">
        <v>40</v>
      </c>
      <c r="M98" s="35"/>
      <c r="N98" s="35"/>
      <c r="O98" s="35" t="s">
        <v>41</v>
      </c>
      <c r="P98" s="35"/>
      <c r="Q98" s="35"/>
      <c r="R98" s="35"/>
      <c r="S98" s="35"/>
      <c r="T98" s="35"/>
      <c r="U98" s="35"/>
      <c r="V98" s="35" t="s">
        <v>42</v>
      </c>
      <c r="W98" s="37">
        <f t="shared" si="3"/>
        <v>0.8</v>
      </c>
      <c r="X98" s="33" t="s">
        <v>43</v>
      </c>
      <c r="Y98" s="33" t="s">
        <v>44</v>
      </c>
      <c r="Z98" s="33" t="s">
        <v>45</v>
      </c>
      <c r="AA98" s="33" t="s">
        <v>46</v>
      </c>
      <c r="AB98" s="33" t="s">
        <v>581</v>
      </c>
      <c r="AD98" s="33" t="s">
        <v>97</v>
      </c>
      <c r="AE98" s="33" t="s">
        <v>49</v>
      </c>
      <c r="AG98" s="33" t="s">
        <v>50</v>
      </c>
      <c r="AH98" s="33" t="s">
        <v>51</v>
      </c>
    </row>
    <row r="99" spans="1:34" ht="409.5">
      <c r="A99" s="35">
        <v>98</v>
      </c>
      <c r="B99" s="35" t="s">
        <v>582</v>
      </c>
      <c r="C99" s="35" t="s">
        <v>34</v>
      </c>
      <c r="D99" s="35" t="s">
        <v>492</v>
      </c>
      <c r="E99" s="35" t="s">
        <v>583</v>
      </c>
      <c r="F99" s="35" t="s">
        <v>584</v>
      </c>
      <c r="G99" s="35" t="s">
        <v>394</v>
      </c>
      <c r="H99" s="35" t="str">
        <f t="shared" si="2"/>
        <v>Answer</v>
      </c>
      <c r="I99" s="35" t="s">
        <v>39</v>
      </c>
      <c r="J99" s="35"/>
      <c r="K99" s="47"/>
      <c r="L99" s="35" t="s">
        <v>395</v>
      </c>
      <c r="M99" s="35"/>
      <c r="N99" s="35"/>
      <c r="O99" s="35"/>
      <c r="P99" s="35"/>
      <c r="Q99" s="75">
        <v>435253</v>
      </c>
      <c r="R99" s="35"/>
      <c r="S99" s="35"/>
      <c r="T99" s="35"/>
      <c r="U99" s="35"/>
      <c r="V99" s="35" t="s">
        <v>79</v>
      </c>
      <c r="W99" s="37">
        <f t="shared" si="3"/>
        <v>0</v>
      </c>
      <c r="X99" s="33" t="s">
        <v>43</v>
      </c>
      <c r="Y99" s="33" t="s">
        <v>213</v>
      </c>
      <c r="Z99" s="33" t="s">
        <v>396</v>
      </c>
      <c r="AA99" s="33" t="s">
        <v>119</v>
      </c>
      <c r="AB99" s="33" t="s">
        <v>585</v>
      </c>
      <c r="AC99" s="33" t="s">
        <v>398</v>
      </c>
      <c r="AD99" s="33" t="s">
        <v>586</v>
      </c>
      <c r="AE99" s="33" t="s">
        <v>400</v>
      </c>
      <c r="AG99" s="33" t="s">
        <v>50</v>
      </c>
      <c r="AH99" s="33" t="s">
        <v>51</v>
      </c>
    </row>
    <row r="100" spans="1:34" ht="265.25">
      <c r="A100" s="35">
        <v>99</v>
      </c>
      <c r="B100" s="35" t="s">
        <v>587</v>
      </c>
      <c r="C100" s="35" t="s">
        <v>34</v>
      </c>
      <c r="D100" s="35" t="s">
        <v>588</v>
      </c>
      <c r="E100" s="35" t="s">
        <v>589</v>
      </c>
      <c r="F100" s="35" t="s">
        <v>590</v>
      </c>
      <c r="G100" s="35" t="s">
        <v>38</v>
      </c>
      <c r="H100" s="35" t="str">
        <f t="shared" si="2"/>
        <v>Verify</v>
      </c>
      <c r="I100" s="35" t="s">
        <v>39</v>
      </c>
      <c r="J100" s="35"/>
      <c r="K100" s="47"/>
      <c r="L100" s="35" t="s">
        <v>40</v>
      </c>
      <c r="M100" s="35"/>
      <c r="N100" s="35"/>
      <c r="O100" s="35" t="s">
        <v>41</v>
      </c>
      <c r="P100" s="35"/>
      <c r="Q100" s="35"/>
      <c r="R100" s="35"/>
      <c r="S100" s="35"/>
      <c r="T100" s="35"/>
      <c r="U100" s="35"/>
      <c r="V100" s="35" t="s">
        <v>42</v>
      </c>
      <c r="W100" s="37">
        <f t="shared" si="3"/>
        <v>0.8</v>
      </c>
      <c r="X100" s="33" t="s">
        <v>43</v>
      </c>
      <c r="Y100" s="33" t="s">
        <v>44</v>
      </c>
      <c r="Z100" s="33" t="s">
        <v>45</v>
      </c>
      <c r="AA100" s="33" t="s">
        <v>46</v>
      </c>
      <c r="AB100" s="33" t="s">
        <v>591</v>
      </c>
      <c r="AD100" s="33" t="s">
        <v>176</v>
      </c>
      <c r="AE100" s="33" t="s">
        <v>49</v>
      </c>
      <c r="AG100" s="33" t="s">
        <v>50</v>
      </c>
      <c r="AH100" s="33" t="s">
        <v>51</v>
      </c>
    </row>
    <row r="101" spans="1:34" ht="409.6">
      <c r="A101" s="35">
        <v>100</v>
      </c>
      <c r="B101" s="35" t="s">
        <v>592</v>
      </c>
      <c r="C101" s="35" t="s">
        <v>34</v>
      </c>
      <c r="D101" s="35" t="s">
        <v>588</v>
      </c>
      <c r="E101" s="35" t="s">
        <v>588</v>
      </c>
      <c r="F101" s="35" t="s">
        <v>593</v>
      </c>
      <c r="G101" s="35" t="s">
        <v>394</v>
      </c>
      <c r="H101" s="35" t="str">
        <f t="shared" si="2"/>
        <v>Answer</v>
      </c>
      <c r="I101" s="35" t="s">
        <v>39</v>
      </c>
      <c r="J101" s="35"/>
      <c r="K101" s="47"/>
      <c r="L101" s="35" t="s">
        <v>307</v>
      </c>
      <c r="M101" s="35"/>
      <c r="N101" s="35"/>
      <c r="O101" s="35"/>
      <c r="P101" s="35"/>
      <c r="Q101" s="35"/>
      <c r="R101" s="35"/>
      <c r="S101" s="35"/>
      <c r="T101" s="35"/>
      <c r="U101" s="35"/>
      <c r="V101" s="35" t="s">
        <v>79</v>
      </c>
      <c r="W101" s="37">
        <f t="shared" si="3"/>
        <v>0</v>
      </c>
      <c r="X101" s="33" t="s">
        <v>43</v>
      </c>
      <c r="Y101" s="33" t="s">
        <v>213</v>
      </c>
      <c r="Z101" s="33" t="s">
        <v>396</v>
      </c>
      <c r="AA101" s="33" t="s">
        <v>46</v>
      </c>
      <c r="AB101" s="33" t="s">
        <v>594</v>
      </c>
      <c r="AC101" s="33" t="s">
        <v>398</v>
      </c>
      <c r="AD101" s="33" t="s">
        <v>595</v>
      </c>
      <c r="AE101" s="33" t="s">
        <v>596</v>
      </c>
      <c r="AG101" s="33" t="s">
        <v>50</v>
      </c>
      <c r="AH101" s="33" t="s">
        <v>51</v>
      </c>
    </row>
    <row r="102" spans="1:34" ht="265.25">
      <c r="A102" s="35">
        <v>101</v>
      </c>
      <c r="B102" s="35" t="s">
        <v>597</v>
      </c>
      <c r="C102" s="35" t="s">
        <v>34</v>
      </c>
      <c r="D102" s="35" t="s">
        <v>598</v>
      </c>
      <c r="E102" s="35" t="s">
        <v>599</v>
      </c>
      <c r="F102" s="35" t="s">
        <v>600</v>
      </c>
      <c r="G102" s="35" t="s">
        <v>38</v>
      </c>
      <c r="H102" s="35" t="str">
        <f t="shared" si="2"/>
        <v>Verify</v>
      </c>
      <c r="I102" s="35" t="s">
        <v>39</v>
      </c>
      <c r="J102" s="35"/>
      <c r="K102" s="47"/>
      <c r="L102" s="35" t="s">
        <v>40</v>
      </c>
      <c r="M102" s="35"/>
      <c r="N102" s="35"/>
      <c r="O102" s="35" t="s">
        <v>41</v>
      </c>
      <c r="P102" s="35"/>
      <c r="Q102" s="35"/>
      <c r="R102" s="35"/>
      <c r="S102" s="35"/>
      <c r="T102" s="35"/>
      <c r="U102" s="35"/>
      <c r="V102" s="35" t="s">
        <v>42</v>
      </c>
      <c r="W102" s="37">
        <f t="shared" si="3"/>
        <v>0.8</v>
      </c>
      <c r="X102" s="33" t="s">
        <v>43</v>
      </c>
      <c r="Y102" s="33" t="s">
        <v>44</v>
      </c>
      <c r="Z102" s="33" t="s">
        <v>45</v>
      </c>
      <c r="AA102" s="33" t="s">
        <v>46</v>
      </c>
      <c r="AB102" s="33" t="s">
        <v>601</v>
      </c>
      <c r="AD102" s="33" t="s">
        <v>154</v>
      </c>
      <c r="AE102" s="33" t="s">
        <v>49</v>
      </c>
      <c r="AG102" s="33" t="s">
        <v>50</v>
      </c>
      <c r="AH102" s="33" t="s">
        <v>51</v>
      </c>
    </row>
    <row r="103" spans="1:34" ht="265.25">
      <c r="A103" s="35">
        <v>102</v>
      </c>
      <c r="B103" s="35" t="s">
        <v>602</v>
      </c>
      <c r="C103" s="35" t="s">
        <v>34</v>
      </c>
      <c r="D103" s="35" t="s">
        <v>598</v>
      </c>
      <c r="E103" s="35" t="s">
        <v>603</v>
      </c>
      <c r="F103" s="35" t="s">
        <v>604</v>
      </c>
      <c r="G103" s="35" t="s">
        <v>38</v>
      </c>
      <c r="H103" s="35" t="str">
        <f t="shared" si="2"/>
        <v>Verify</v>
      </c>
      <c r="I103" s="35" t="s">
        <v>39</v>
      </c>
      <c r="J103" s="35"/>
      <c r="K103" s="47"/>
      <c r="L103" s="35" t="s">
        <v>40</v>
      </c>
      <c r="M103" s="35"/>
      <c r="N103" s="35"/>
      <c r="O103" s="35" t="s">
        <v>41</v>
      </c>
      <c r="P103" s="35"/>
      <c r="Q103" s="35"/>
      <c r="R103" s="35"/>
      <c r="S103" s="35"/>
      <c r="T103" s="35"/>
      <c r="U103" s="35"/>
      <c r="V103" s="35" t="s">
        <v>42</v>
      </c>
      <c r="W103" s="37">
        <f t="shared" si="3"/>
        <v>0.8</v>
      </c>
      <c r="X103" s="33" t="s">
        <v>43</v>
      </c>
      <c r="Y103" s="33" t="s">
        <v>44</v>
      </c>
      <c r="Z103" s="33" t="s">
        <v>45</v>
      </c>
      <c r="AA103" s="33" t="s">
        <v>46</v>
      </c>
      <c r="AB103" s="33" t="s">
        <v>605</v>
      </c>
      <c r="AD103" s="33" t="s">
        <v>159</v>
      </c>
      <c r="AE103" s="33" t="s">
        <v>49</v>
      </c>
      <c r="AG103" s="33" t="s">
        <v>50</v>
      </c>
      <c r="AH103" s="33" t="s">
        <v>51</v>
      </c>
    </row>
    <row r="104" spans="1:34" ht="265.25">
      <c r="A104" s="35">
        <v>103</v>
      </c>
      <c r="B104" s="35" t="s">
        <v>606</v>
      </c>
      <c r="C104" s="35" t="s">
        <v>34</v>
      </c>
      <c r="D104" s="35" t="s">
        <v>598</v>
      </c>
      <c r="E104" s="35" t="s">
        <v>607</v>
      </c>
      <c r="F104" s="35" t="s">
        <v>608</v>
      </c>
      <c r="G104" s="35" t="s">
        <v>38</v>
      </c>
      <c r="H104" s="35" t="str">
        <f t="shared" si="2"/>
        <v>Verify</v>
      </c>
      <c r="I104" s="35" t="s">
        <v>39</v>
      </c>
      <c r="J104" s="35"/>
      <c r="K104" s="47"/>
      <c r="L104" s="35" t="s">
        <v>40</v>
      </c>
      <c r="M104" s="35"/>
      <c r="N104" s="35"/>
      <c r="O104" s="35" t="s">
        <v>41</v>
      </c>
      <c r="P104" s="35"/>
      <c r="Q104" s="35"/>
      <c r="R104" s="35"/>
      <c r="S104" s="35"/>
      <c r="T104" s="35"/>
      <c r="U104" s="35"/>
      <c r="V104" s="35" t="s">
        <v>42</v>
      </c>
      <c r="W104" s="37">
        <f t="shared" si="3"/>
        <v>0.8</v>
      </c>
      <c r="X104" s="33" t="s">
        <v>43</v>
      </c>
      <c r="Y104" s="33" t="s">
        <v>44</v>
      </c>
      <c r="Z104" s="33" t="s">
        <v>45</v>
      </c>
      <c r="AA104" s="33" t="s">
        <v>46</v>
      </c>
      <c r="AB104" s="33" t="s">
        <v>609</v>
      </c>
      <c r="AD104" s="33" t="s">
        <v>154</v>
      </c>
      <c r="AE104" s="33" t="s">
        <v>49</v>
      </c>
      <c r="AG104" s="33" t="s">
        <v>50</v>
      </c>
      <c r="AH104" s="33" t="s">
        <v>51</v>
      </c>
    </row>
    <row r="105" spans="1:34" ht="265.25">
      <c r="A105" s="35">
        <v>104</v>
      </c>
      <c r="B105" s="35" t="s">
        <v>610</v>
      </c>
      <c r="C105" s="35" t="s">
        <v>34</v>
      </c>
      <c r="D105" s="35" t="s">
        <v>598</v>
      </c>
      <c r="E105" s="35" t="s">
        <v>611</v>
      </c>
      <c r="F105" s="35" t="s">
        <v>612</v>
      </c>
      <c r="G105" s="35" t="s">
        <v>38</v>
      </c>
      <c r="H105" s="35" t="str">
        <f t="shared" si="2"/>
        <v>Verify</v>
      </c>
      <c r="I105" s="35" t="s">
        <v>39</v>
      </c>
      <c r="J105" s="35"/>
      <c r="K105" s="47"/>
      <c r="L105" s="35" t="s">
        <v>40</v>
      </c>
      <c r="M105" s="35"/>
      <c r="N105" s="35"/>
      <c r="O105" s="35" t="s">
        <v>41</v>
      </c>
      <c r="P105" s="35"/>
      <c r="Q105" s="35"/>
      <c r="R105" s="35"/>
      <c r="S105" s="35"/>
      <c r="T105" s="35"/>
      <c r="U105" s="35"/>
      <c r="V105" s="35" t="s">
        <v>42</v>
      </c>
      <c r="W105" s="37">
        <f t="shared" si="3"/>
        <v>0.8</v>
      </c>
      <c r="X105" s="33" t="s">
        <v>43</v>
      </c>
      <c r="Y105" s="33" t="s">
        <v>44</v>
      </c>
      <c r="Z105" s="33" t="s">
        <v>45</v>
      </c>
      <c r="AA105" s="33" t="s">
        <v>46</v>
      </c>
      <c r="AB105" s="33" t="s">
        <v>613</v>
      </c>
      <c r="AD105" s="33" t="s">
        <v>97</v>
      </c>
      <c r="AE105" s="33" t="s">
        <v>49</v>
      </c>
      <c r="AG105" s="33" t="s">
        <v>50</v>
      </c>
      <c r="AH105" s="33" t="s">
        <v>51</v>
      </c>
    </row>
    <row r="106" spans="1:34" ht="249.65">
      <c r="A106" s="35">
        <v>105</v>
      </c>
      <c r="B106" s="35" t="s">
        <v>614</v>
      </c>
      <c r="C106" s="35" t="s">
        <v>34</v>
      </c>
      <c r="D106" s="35" t="s">
        <v>598</v>
      </c>
      <c r="E106" s="35" t="s">
        <v>615</v>
      </c>
      <c r="F106" s="35" t="s">
        <v>616</v>
      </c>
      <c r="G106" s="35" t="s">
        <v>38</v>
      </c>
      <c r="H106" s="35" t="str">
        <f t="shared" si="2"/>
        <v>Verify</v>
      </c>
      <c r="I106" s="35" t="s">
        <v>39</v>
      </c>
      <c r="J106" s="35"/>
      <c r="K106" s="47"/>
      <c r="L106" s="35" t="s">
        <v>40</v>
      </c>
      <c r="M106" s="35"/>
      <c r="N106" s="35"/>
      <c r="O106" s="35" t="s">
        <v>41</v>
      </c>
      <c r="P106" s="35"/>
      <c r="Q106" s="35"/>
      <c r="R106" s="35"/>
      <c r="S106" s="35"/>
      <c r="T106" s="35"/>
      <c r="U106" s="35"/>
      <c r="V106" s="35" t="s">
        <v>42</v>
      </c>
      <c r="W106" s="37">
        <f t="shared" si="3"/>
        <v>0.8</v>
      </c>
      <c r="X106" s="33" t="s">
        <v>43</v>
      </c>
      <c r="Y106" s="33" t="s">
        <v>44</v>
      </c>
      <c r="Z106" s="33" t="s">
        <v>45</v>
      </c>
      <c r="AA106" s="33" t="s">
        <v>46</v>
      </c>
      <c r="AB106" s="33" t="s">
        <v>617</v>
      </c>
      <c r="AD106" s="33" t="s">
        <v>618</v>
      </c>
      <c r="AE106" s="33" t="s">
        <v>49</v>
      </c>
      <c r="AG106" s="33" t="s">
        <v>50</v>
      </c>
      <c r="AH106" s="33" t="s">
        <v>51</v>
      </c>
    </row>
    <row r="107" spans="1:34" ht="265.25">
      <c r="A107" s="35">
        <v>106</v>
      </c>
      <c r="B107" s="35" t="s">
        <v>619</v>
      </c>
      <c r="C107" s="35" t="s">
        <v>34</v>
      </c>
      <c r="D107" s="35" t="s">
        <v>598</v>
      </c>
      <c r="E107" s="35" t="s">
        <v>620</v>
      </c>
      <c r="F107" s="35" t="s">
        <v>621</v>
      </c>
      <c r="G107" s="35" t="s">
        <v>38</v>
      </c>
      <c r="H107" s="35" t="str">
        <f t="shared" si="2"/>
        <v>Verify</v>
      </c>
      <c r="I107" s="35" t="s">
        <v>39</v>
      </c>
      <c r="J107" s="35"/>
      <c r="K107" s="47"/>
      <c r="L107" s="35" t="s">
        <v>40</v>
      </c>
      <c r="M107" s="35"/>
      <c r="N107" s="35"/>
      <c r="O107" s="35" t="s">
        <v>41</v>
      </c>
      <c r="P107" s="35"/>
      <c r="Q107" s="35"/>
      <c r="R107" s="35"/>
      <c r="S107" s="35"/>
      <c r="T107" s="35"/>
      <c r="U107" s="35"/>
      <c r="V107" s="35" t="s">
        <v>42</v>
      </c>
      <c r="W107" s="37">
        <f t="shared" si="3"/>
        <v>0.8</v>
      </c>
      <c r="X107" s="33" t="s">
        <v>43</v>
      </c>
      <c r="Y107" s="33" t="s">
        <v>44</v>
      </c>
      <c r="Z107" s="33" t="s">
        <v>45</v>
      </c>
      <c r="AA107" s="33" t="s">
        <v>46</v>
      </c>
      <c r="AB107" s="33" t="s">
        <v>622</v>
      </c>
      <c r="AD107" s="33" t="s">
        <v>185</v>
      </c>
      <c r="AE107" s="33" t="s">
        <v>49</v>
      </c>
      <c r="AG107" s="33" t="s">
        <v>50</v>
      </c>
      <c r="AH107" s="33" t="s">
        <v>51</v>
      </c>
    </row>
    <row r="108" spans="1:34" ht="265.25">
      <c r="A108" s="35">
        <v>107</v>
      </c>
      <c r="B108" s="35" t="s">
        <v>623</v>
      </c>
      <c r="C108" s="35" t="s">
        <v>34</v>
      </c>
      <c r="D108" s="35" t="s">
        <v>598</v>
      </c>
      <c r="E108" s="35" t="s">
        <v>624</v>
      </c>
      <c r="F108" s="35" t="s">
        <v>625</v>
      </c>
      <c r="G108" s="35" t="s">
        <v>38</v>
      </c>
      <c r="H108" s="35" t="str">
        <f t="shared" si="2"/>
        <v>Verify</v>
      </c>
      <c r="I108" s="35" t="s">
        <v>39</v>
      </c>
      <c r="J108" s="35"/>
      <c r="K108" s="47"/>
      <c r="L108" s="35" t="s">
        <v>40</v>
      </c>
      <c r="M108" s="35"/>
      <c r="N108" s="35"/>
      <c r="O108" s="35" t="s">
        <v>41</v>
      </c>
      <c r="P108" s="35"/>
      <c r="Q108" s="35"/>
      <c r="R108" s="35"/>
      <c r="S108" s="35"/>
      <c r="T108" s="35"/>
      <c r="U108" s="35"/>
      <c r="V108" s="35" t="s">
        <v>42</v>
      </c>
      <c r="W108" s="37">
        <f t="shared" si="3"/>
        <v>0.8</v>
      </c>
      <c r="X108" s="33" t="s">
        <v>43</v>
      </c>
      <c r="Y108" s="33" t="s">
        <v>44</v>
      </c>
      <c r="Z108" s="33" t="s">
        <v>45</v>
      </c>
      <c r="AA108" s="33" t="s">
        <v>46</v>
      </c>
      <c r="AB108" s="33" t="s">
        <v>626</v>
      </c>
      <c r="AD108" s="33" t="s">
        <v>159</v>
      </c>
      <c r="AE108" s="33" t="s">
        <v>49</v>
      </c>
      <c r="AG108" s="33" t="s">
        <v>50</v>
      </c>
      <c r="AH108" s="33" t="s">
        <v>51</v>
      </c>
    </row>
    <row r="109" spans="1:34" ht="265.25">
      <c r="A109" s="35">
        <v>108</v>
      </c>
      <c r="B109" s="35" t="s">
        <v>627</v>
      </c>
      <c r="C109" s="35" t="s">
        <v>34</v>
      </c>
      <c r="D109" s="35" t="s">
        <v>598</v>
      </c>
      <c r="E109" s="35" t="s">
        <v>628</v>
      </c>
      <c r="F109" s="35" t="s">
        <v>629</v>
      </c>
      <c r="G109" s="35" t="s">
        <v>38</v>
      </c>
      <c r="H109" s="35" t="str">
        <f t="shared" si="2"/>
        <v>Verify</v>
      </c>
      <c r="I109" s="35" t="s">
        <v>39</v>
      </c>
      <c r="J109" s="35"/>
      <c r="K109" s="47"/>
      <c r="L109" s="35" t="s">
        <v>40</v>
      </c>
      <c r="M109" s="35"/>
      <c r="N109" s="35"/>
      <c r="O109" s="35" t="s">
        <v>41</v>
      </c>
      <c r="P109" s="35"/>
      <c r="Q109" s="35"/>
      <c r="R109" s="35"/>
      <c r="S109" s="35"/>
      <c r="T109" s="35"/>
      <c r="U109" s="35"/>
      <c r="V109" s="35" t="s">
        <v>42</v>
      </c>
      <c r="W109" s="37">
        <f t="shared" si="3"/>
        <v>0.8</v>
      </c>
      <c r="X109" s="33" t="s">
        <v>43</v>
      </c>
      <c r="Y109" s="33" t="s">
        <v>44</v>
      </c>
      <c r="Z109" s="33" t="s">
        <v>45</v>
      </c>
      <c r="AA109" s="33" t="s">
        <v>46</v>
      </c>
      <c r="AB109" s="33" t="s">
        <v>630</v>
      </c>
      <c r="AD109" s="33" t="s">
        <v>97</v>
      </c>
      <c r="AE109" s="33" t="s">
        <v>49</v>
      </c>
      <c r="AG109" s="33" t="s">
        <v>50</v>
      </c>
      <c r="AH109" s="33" t="s">
        <v>51</v>
      </c>
    </row>
    <row r="110" spans="1:34" ht="249.65">
      <c r="A110" s="35">
        <v>109</v>
      </c>
      <c r="B110" s="35" t="s">
        <v>631</v>
      </c>
      <c r="C110" s="35" t="s">
        <v>34</v>
      </c>
      <c r="D110" s="35" t="s">
        <v>598</v>
      </c>
      <c r="E110" s="35" t="s">
        <v>632</v>
      </c>
      <c r="F110" s="35" t="s">
        <v>633</v>
      </c>
      <c r="G110" s="35" t="s">
        <v>38</v>
      </c>
      <c r="H110" s="35" t="str">
        <f t="shared" si="2"/>
        <v>Verify</v>
      </c>
      <c r="I110" s="35" t="s">
        <v>39</v>
      </c>
      <c r="J110" s="35"/>
      <c r="K110" s="47"/>
      <c r="L110" s="35" t="s">
        <v>40</v>
      </c>
      <c r="M110" s="35"/>
      <c r="N110" s="35"/>
      <c r="O110" s="35" t="s">
        <v>41</v>
      </c>
      <c r="P110" s="35"/>
      <c r="Q110" s="35"/>
      <c r="R110" s="35"/>
      <c r="S110" s="35"/>
      <c r="T110" s="35"/>
      <c r="U110" s="35"/>
      <c r="V110" s="35" t="s">
        <v>42</v>
      </c>
      <c r="W110" s="37">
        <f t="shared" si="3"/>
        <v>0.8</v>
      </c>
      <c r="X110" s="33" t="s">
        <v>43</v>
      </c>
      <c r="Y110" s="33" t="s">
        <v>44</v>
      </c>
      <c r="Z110" s="33" t="s">
        <v>45</v>
      </c>
      <c r="AA110" s="33" t="s">
        <v>46</v>
      </c>
      <c r="AB110" s="33" t="s">
        <v>634</v>
      </c>
      <c r="AD110" s="33" t="s">
        <v>635</v>
      </c>
      <c r="AE110" s="33" t="s">
        <v>49</v>
      </c>
      <c r="AG110" s="33" t="s">
        <v>50</v>
      </c>
      <c r="AH110" s="33" t="s">
        <v>51</v>
      </c>
    </row>
    <row r="111" spans="1:34" ht="296.39999999999998">
      <c r="A111" s="35">
        <v>110</v>
      </c>
      <c r="B111" s="35" t="s">
        <v>636</v>
      </c>
      <c r="C111" s="35" t="s">
        <v>34</v>
      </c>
      <c r="D111" s="35" t="s">
        <v>598</v>
      </c>
      <c r="E111" s="35" t="s">
        <v>637</v>
      </c>
      <c r="F111" s="35" t="s">
        <v>638</v>
      </c>
      <c r="G111" s="35" t="s">
        <v>38</v>
      </c>
      <c r="H111" s="35" t="str">
        <f t="shared" si="2"/>
        <v>Verify</v>
      </c>
      <c r="I111" s="35" t="s">
        <v>39</v>
      </c>
      <c r="J111" s="35"/>
      <c r="K111" s="47"/>
      <c r="L111" s="35" t="s">
        <v>117</v>
      </c>
      <c r="M111" s="35"/>
      <c r="N111" s="35"/>
      <c r="O111" s="35" t="s">
        <v>76</v>
      </c>
      <c r="P111" s="35" t="s">
        <v>639</v>
      </c>
      <c r="Q111" s="35">
        <v>433885</v>
      </c>
      <c r="R111" s="35" t="s">
        <v>78</v>
      </c>
      <c r="S111" s="35" t="s">
        <v>78</v>
      </c>
      <c r="T111" s="35"/>
      <c r="U111" s="35"/>
      <c r="V111" s="35" t="s">
        <v>79</v>
      </c>
      <c r="W111" s="37">
        <f t="shared" si="3"/>
        <v>0</v>
      </c>
      <c r="X111" s="33" t="s">
        <v>43</v>
      </c>
      <c r="Y111" s="33" t="s">
        <v>213</v>
      </c>
      <c r="Z111" s="33" t="s">
        <v>214</v>
      </c>
      <c r="AA111" s="33" t="s">
        <v>119</v>
      </c>
      <c r="AB111" s="33" t="s">
        <v>640</v>
      </c>
      <c r="AC111" s="33" t="s">
        <v>641</v>
      </c>
      <c r="AD111" s="33" t="s">
        <v>642</v>
      </c>
      <c r="AE111" s="33" t="s">
        <v>525</v>
      </c>
      <c r="AG111" s="33" t="s">
        <v>50</v>
      </c>
      <c r="AH111" s="33" t="s">
        <v>51</v>
      </c>
    </row>
    <row r="112" spans="1:34" ht="296.39999999999998">
      <c r="A112" s="35">
        <v>111</v>
      </c>
      <c r="B112" s="35" t="s">
        <v>643</v>
      </c>
      <c r="C112" s="35" t="s">
        <v>34</v>
      </c>
      <c r="D112" s="35" t="s">
        <v>598</v>
      </c>
      <c r="E112" s="35" t="s">
        <v>644</v>
      </c>
      <c r="F112" s="35" t="s">
        <v>645</v>
      </c>
      <c r="G112" s="35" t="s">
        <v>38</v>
      </c>
      <c r="H112" s="35" t="str">
        <f t="shared" si="2"/>
        <v>Verify</v>
      </c>
      <c r="I112" s="35" t="s">
        <v>39</v>
      </c>
      <c r="J112" s="35"/>
      <c r="K112" s="47"/>
      <c r="L112" s="35" t="s">
        <v>117</v>
      </c>
      <c r="M112" s="35"/>
      <c r="N112" s="35"/>
      <c r="O112" s="35" t="s">
        <v>41</v>
      </c>
      <c r="P112" s="35" t="s">
        <v>646</v>
      </c>
      <c r="Q112" s="35"/>
      <c r="R112" s="35"/>
      <c r="S112" s="35" t="s">
        <v>78</v>
      </c>
      <c r="T112" s="35"/>
      <c r="U112" s="35"/>
      <c r="V112" s="35" t="s">
        <v>405</v>
      </c>
      <c r="W112" s="37">
        <f t="shared" si="3"/>
        <v>0.5</v>
      </c>
      <c r="X112" s="33" t="s">
        <v>43</v>
      </c>
      <c r="Y112" s="33" t="s">
        <v>213</v>
      </c>
      <c r="Z112" s="33" t="s">
        <v>214</v>
      </c>
      <c r="AA112" s="33" t="s">
        <v>119</v>
      </c>
      <c r="AB112" s="33" t="s">
        <v>647</v>
      </c>
      <c r="AC112" s="33" t="s">
        <v>641</v>
      </c>
      <c r="AD112" s="33" t="s">
        <v>648</v>
      </c>
      <c r="AE112" s="33" t="s">
        <v>525</v>
      </c>
      <c r="AG112" s="33" t="s">
        <v>50</v>
      </c>
      <c r="AH112" s="33" t="s">
        <v>51</v>
      </c>
    </row>
    <row r="113" spans="1:34" ht="265.25">
      <c r="A113" s="35">
        <v>112</v>
      </c>
      <c r="B113" s="35" t="s">
        <v>649</v>
      </c>
      <c r="C113" s="35" t="s">
        <v>34</v>
      </c>
      <c r="D113" s="35" t="s">
        <v>650</v>
      </c>
      <c r="E113" s="35" t="s">
        <v>651</v>
      </c>
      <c r="F113" s="35" t="s">
        <v>652</v>
      </c>
      <c r="G113" s="35" t="s">
        <v>38</v>
      </c>
      <c r="H113" s="35" t="str">
        <f t="shared" si="2"/>
        <v>Verify</v>
      </c>
      <c r="I113" s="35" t="s">
        <v>39</v>
      </c>
      <c r="J113" s="35"/>
      <c r="K113" s="47"/>
      <c r="L113" s="35" t="s">
        <v>40</v>
      </c>
      <c r="M113" s="35"/>
      <c r="N113" s="35"/>
      <c r="O113" s="35" t="s">
        <v>41</v>
      </c>
      <c r="P113" s="35"/>
      <c r="Q113" s="35"/>
      <c r="R113" s="35"/>
      <c r="S113" s="35"/>
      <c r="T113" s="35"/>
      <c r="U113" s="35"/>
      <c r="V113" s="35" t="s">
        <v>42</v>
      </c>
      <c r="W113" s="37">
        <f t="shared" si="3"/>
        <v>0.8</v>
      </c>
      <c r="X113" s="33" t="s">
        <v>43</v>
      </c>
      <c r="Y113" s="33" t="s">
        <v>44</v>
      </c>
      <c r="Z113" s="33" t="s">
        <v>45</v>
      </c>
      <c r="AA113" s="33" t="s">
        <v>46</v>
      </c>
      <c r="AB113" s="33" t="s">
        <v>653</v>
      </c>
      <c r="AD113" s="33" t="s">
        <v>154</v>
      </c>
      <c r="AE113" s="33" t="s">
        <v>49</v>
      </c>
      <c r="AG113" s="33" t="s">
        <v>50</v>
      </c>
      <c r="AH113" s="33" t="s">
        <v>51</v>
      </c>
    </row>
    <row r="114" spans="1:34" ht="409.6">
      <c r="A114" s="35">
        <v>113</v>
      </c>
      <c r="B114" s="35" t="s">
        <v>654</v>
      </c>
      <c r="C114" s="35" t="s">
        <v>34</v>
      </c>
      <c r="D114" s="35" t="s">
        <v>650</v>
      </c>
      <c r="E114" s="35" t="s">
        <v>655</v>
      </c>
      <c r="F114" s="35" t="s">
        <v>656</v>
      </c>
      <c r="G114" s="35" t="s">
        <v>38</v>
      </c>
      <c r="H114" s="35" t="str">
        <f t="shared" si="2"/>
        <v>Verify</v>
      </c>
      <c r="I114" s="35" t="s">
        <v>39</v>
      </c>
      <c r="J114" s="35"/>
      <c r="K114" s="47"/>
      <c r="L114" s="35" t="s">
        <v>168</v>
      </c>
      <c r="M114" s="35"/>
      <c r="N114" s="35"/>
      <c r="O114" s="35"/>
      <c r="P114" s="35" t="s">
        <v>657</v>
      </c>
      <c r="Q114" s="35"/>
      <c r="R114" s="35"/>
      <c r="S114" s="35"/>
      <c r="T114" s="35"/>
      <c r="U114" s="35"/>
      <c r="V114" s="35" t="s">
        <v>79</v>
      </c>
      <c r="W114" s="37">
        <f t="shared" si="3"/>
        <v>0</v>
      </c>
      <c r="X114" s="33" t="s">
        <v>43</v>
      </c>
      <c r="Y114" s="33" t="s">
        <v>213</v>
      </c>
      <c r="Z114" s="33" t="s">
        <v>658</v>
      </c>
      <c r="AA114" s="33" t="s">
        <v>119</v>
      </c>
      <c r="AB114" s="33" t="s">
        <v>659</v>
      </c>
      <c r="AC114" s="33" t="s">
        <v>660</v>
      </c>
      <c r="AD114" s="33" t="s">
        <v>661</v>
      </c>
      <c r="AE114" s="33" t="s">
        <v>662</v>
      </c>
      <c r="AG114" s="33" t="s">
        <v>50</v>
      </c>
      <c r="AH114" s="33" t="s">
        <v>51</v>
      </c>
    </row>
    <row r="115" spans="1:34" ht="358.75">
      <c r="A115" s="35">
        <v>114</v>
      </c>
      <c r="B115" s="35" t="s">
        <v>663</v>
      </c>
      <c r="C115" s="35" t="s">
        <v>34</v>
      </c>
      <c r="D115" s="35" t="s">
        <v>650</v>
      </c>
      <c r="E115" s="35" t="s">
        <v>664</v>
      </c>
      <c r="F115" s="35" t="s">
        <v>665</v>
      </c>
      <c r="G115" s="35" t="s">
        <v>38</v>
      </c>
      <c r="H115" s="35" t="str">
        <f t="shared" si="2"/>
        <v>Verify</v>
      </c>
      <c r="I115" s="35" t="s">
        <v>39</v>
      </c>
      <c r="J115" s="35"/>
      <c r="K115" s="47"/>
      <c r="L115" s="35" t="s">
        <v>168</v>
      </c>
      <c r="M115" s="35"/>
      <c r="N115" s="35"/>
      <c r="O115" s="35"/>
      <c r="P115" s="35" t="s">
        <v>666</v>
      </c>
      <c r="Q115" s="35"/>
      <c r="R115" s="35"/>
      <c r="S115" s="35"/>
      <c r="T115" s="35"/>
      <c r="U115" s="35"/>
      <c r="V115" s="35" t="s">
        <v>79</v>
      </c>
      <c r="W115" s="37">
        <f t="shared" si="3"/>
        <v>0</v>
      </c>
      <c r="X115" s="33" t="s">
        <v>43</v>
      </c>
      <c r="Y115" s="33" t="s">
        <v>213</v>
      </c>
      <c r="Z115" s="33" t="s">
        <v>658</v>
      </c>
      <c r="AA115" s="33" t="s">
        <v>119</v>
      </c>
      <c r="AB115" s="33" t="s">
        <v>667</v>
      </c>
      <c r="AC115" s="33" t="s">
        <v>668</v>
      </c>
      <c r="AD115" s="33" t="s">
        <v>669</v>
      </c>
      <c r="AE115" s="33" t="s">
        <v>662</v>
      </c>
      <c r="AG115" s="33" t="s">
        <v>50</v>
      </c>
      <c r="AH115" s="33" t="s">
        <v>51</v>
      </c>
    </row>
    <row r="116" spans="1:34" ht="234">
      <c r="A116" s="35">
        <v>115</v>
      </c>
      <c r="B116" s="35" t="s">
        <v>670</v>
      </c>
      <c r="C116" s="35" t="s">
        <v>34</v>
      </c>
      <c r="D116" s="35" t="s">
        <v>671</v>
      </c>
      <c r="E116" s="35" t="s">
        <v>672</v>
      </c>
      <c r="F116" s="35" t="s">
        <v>673</v>
      </c>
      <c r="G116" s="35" t="s">
        <v>38</v>
      </c>
      <c r="H116" s="35" t="str">
        <f t="shared" si="2"/>
        <v>Verify</v>
      </c>
      <c r="I116" s="35" t="s">
        <v>39</v>
      </c>
      <c r="J116" s="35"/>
      <c r="K116" s="47"/>
      <c r="L116" s="35" t="s">
        <v>40</v>
      </c>
      <c r="M116" s="35"/>
      <c r="N116" s="35"/>
      <c r="O116" s="35" t="s">
        <v>41</v>
      </c>
      <c r="P116" s="35"/>
      <c r="Q116" s="35"/>
      <c r="R116" s="35"/>
      <c r="S116" s="35"/>
      <c r="T116" s="35"/>
      <c r="U116" s="35"/>
      <c r="V116" s="35" t="s">
        <v>42</v>
      </c>
      <c r="W116" s="37">
        <f t="shared" si="3"/>
        <v>0.8</v>
      </c>
      <c r="X116" s="33" t="s">
        <v>43</v>
      </c>
      <c r="Y116" s="33" t="s">
        <v>44</v>
      </c>
      <c r="Z116" s="33" t="s">
        <v>45</v>
      </c>
      <c r="AA116" s="33" t="s">
        <v>46</v>
      </c>
      <c r="AB116" s="33" t="s">
        <v>674</v>
      </c>
      <c r="AD116" s="33" t="s">
        <v>48</v>
      </c>
      <c r="AE116" s="33" t="s">
        <v>49</v>
      </c>
      <c r="AG116" s="33" t="s">
        <v>50</v>
      </c>
      <c r="AH116" s="33" t="s">
        <v>51</v>
      </c>
    </row>
    <row r="117" spans="1:34" ht="265.25">
      <c r="A117" s="35">
        <v>116</v>
      </c>
      <c r="B117" s="35" t="s">
        <v>675</v>
      </c>
      <c r="C117" s="35" t="s">
        <v>34</v>
      </c>
      <c r="D117" s="35" t="s">
        <v>671</v>
      </c>
      <c r="E117" s="35" t="s">
        <v>671</v>
      </c>
      <c r="F117" s="35" t="s">
        <v>676</v>
      </c>
      <c r="G117" s="35" t="s">
        <v>116</v>
      </c>
      <c r="H117" s="35" t="str">
        <f t="shared" si="2"/>
        <v>Check</v>
      </c>
      <c r="I117" s="35" t="s">
        <v>39</v>
      </c>
      <c r="J117" s="35"/>
      <c r="K117" s="47"/>
      <c r="L117" s="35" t="s">
        <v>40</v>
      </c>
      <c r="M117" s="35"/>
      <c r="N117" s="35"/>
      <c r="O117" s="35" t="s">
        <v>41</v>
      </c>
      <c r="P117" s="35"/>
      <c r="Q117" s="35"/>
      <c r="R117" s="35"/>
      <c r="S117" s="35"/>
      <c r="T117" s="35"/>
      <c r="U117" s="35"/>
      <c r="V117" s="35" t="s">
        <v>42</v>
      </c>
      <c r="W117" s="37">
        <f t="shared" si="3"/>
        <v>0.8</v>
      </c>
      <c r="X117" s="33" t="s">
        <v>43</v>
      </c>
      <c r="Y117" s="33" t="s">
        <v>44</v>
      </c>
      <c r="Z117" s="33" t="s">
        <v>45</v>
      </c>
      <c r="AA117" s="33" t="s">
        <v>46</v>
      </c>
      <c r="AB117" s="33" t="s">
        <v>677</v>
      </c>
      <c r="AD117" s="33" t="s">
        <v>97</v>
      </c>
      <c r="AE117" s="33" t="s">
        <v>49</v>
      </c>
      <c r="AG117" s="33" t="s">
        <v>50</v>
      </c>
      <c r="AH117" s="33" t="s">
        <v>51</v>
      </c>
    </row>
    <row r="118" spans="1:34" ht="296.39999999999998">
      <c r="A118" s="35">
        <v>117</v>
      </c>
      <c r="B118" s="35" t="s">
        <v>678</v>
      </c>
      <c r="C118" s="35" t="s">
        <v>34</v>
      </c>
      <c r="D118" s="35" t="s">
        <v>679</v>
      </c>
      <c r="E118" s="35" t="s">
        <v>679</v>
      </c>
      <c r="F118" s="35" t="s">
        <v>680</v>
      </c>
      <c r="G118" s="35" t="s">
        <v>38</v>
      </c>
      <c r="H118" s="35" t="str">
        <f t="shared" si="2"/>
        <v>Verify</v>
      </c>
      <c r="I118" s="35" t="s">
        <v>39</v>
      </c>
      <c r="J118" s="35"/>
      <c r="K118" s="47"/>
      <c r="L118" s="35" t="s">
        <v>40</v>
      </c>
      <c r="M118" s="35"/>
      <c r="N118" s="35"/>
      <c r="O118" s="35" t="s">
        <v>41</v>
      </c>
      <c r="P118" s="35" t="s">
        <v>681</v>
      </c>
      <c r="Q118" s="35"/>
      <c r="R118" s="35"/>
      <c r="S118" s="35" t="s">
        <v>78</v>
      </c>
      <c r="T118" s="35"/>
      <c r="U118" s="35"/>
      <c r="V118" s="35" t="s">
        <v>42</v>
      </c>
      <c r="W118" s="37">
        <f t="shared" si="3"/>
        <v>0.8</v>
      </c>
      <c r="X118" s="33" t="s">
        <v>43</v>
      </c>
      <c r="Y118" s="33" t="s">
        <v>44</v>
      </c>
      <c r="Z118" s="33" t="s">
        <v>45</v>
      </c>
      <c r="AA118" s="33" t="s">
        <v>46</v>
      </c>
      <c r="AB118" s="33" t="s">
        <v>682</v>
      </c>
      <c r="AC118" s="33" t="s">
        <v>681</v>
      </c>
      <c r="AD118" s="33" t="s">
        <v>683</v>
      </c>
      <c r="AE118" s="33" t="s">
        <v>49</v>
      </c>
      <c r="AG118" s="33" t="s">
        <v>50</v>
      </c>
      <c r="AH118" s="33" t="s">
        <v>51</v>
      </c>
    </row>
    <row r="119" spans="1:34" ht="280.75">
      <c r="A119" s="35">
        <v>118</v>
      </c>
      <c r="B119" s="35" t="s">
        <v>684</v>
      </c>
      <c r="C119" s="35" t="s">
        <v>34</v>
      </c>
      <c r="D119" s="35" t="s">
        <v>679</v>
      </c>
      <c r="E119" s="35" t="s">
        <v>685</v>
      </c>
      <c r="F119" s="35" t="s">
        <v>686</v>
      </c>
      <c r="G119" s="35" t="s">
        <v>38</v>
      </c>
      <c r="H119" s="35" t="str">
        <f t="shared" si="2"/>
        <v>Verify</v>
      </c>
      <c r="I119" s="35" t="s">
        <v>39</v>
      </c>
      <c r="J119" s="35"/>
      <c r="K119" s="47"/>
      <c r="L119" s="35" t="s">
        <v>40</v>
      </c>
      <c r="M119" s="35"/>
      <c r="N119" s="35"/>
      <c r="O119" s="35" t="s">
        <v>41</v>
      </c>
      <c r="P119" s="35"/>
      <c r="Q119" s="35"/>
      <c r="R119" s="35"/>
      <c r="S119" s="35"/>
      <c r="T119" s="35"/>
      <c r="U119" s="35"/>
      <c r="V119" s="35" t="s">
        <v>42</v>
      </c>
      <c r="W119" s="37">
        <f t="shared" si="3"/>
        <v>0.8</v>
      </c>
      <c r="X119" s="33" t="s">
        <v>43</v>
      </c>
      <c r="Y119" s="33" t="s">
        <v>44</v>
      </c>
      <c r="Z119" s="33" t="s">
        <v>45</v>
      </c>
      <c r="AA119" s="33" t="s">
        <v>46</v>
      </c>
      <c r="AB119" s="33" t="s">
        <v>687</v>
      </c>
      <c r="AD119" s="33" t="s">
        <v>688</v>
      </c>
      <c r="AE119" s="33" t="s">
        <v>49</v>
      </c>
      <c r="AG119" s="33" t="s">
        <v>50</v>
      </c>
      <c r="AH119" s="33" t="s">
        <v>51</v>
      </c>
    </row>
    <row r="120" spans="1:34" ht="327.64999999999998">
      <c r="A120" s="35">
        <v>119</v>
      </c>
      <c r="B120" s="35" t="s">
        <v>689</v>
      </c>
      <c r="C120" s="35" t="s">
        <v>34</v>
      </c>
      <c r="D120" s="35" t="s">
        <v>679</v>
      </c>
      <c r="E120" s="35" t="s">
        <v>690</v>
      </c>
      <c r="F120" s="35" t="s">
        <v>691</v>
      </c>
      <c r="G120" s="35" t="s">
        <v>38</v>
      </c>
      <c r="H120" s="35" t="str">
        <f t="shared" si="2"/>
        <v>Verify</v>
      </c>
      <c r="I120" s="35" t="s">
        <v>39</v>
      </c>
      <c r="J120" s="35"/>
      <c r="K120" s="47"/>
      <c r="L120" s="35" t="s">
        <v>40</v>
      </c>
      <c r="M120" s="35"/>
      <c r="N120" s="35"/>
      <c r="O120" s="35" t="s">
        <v>41</v>
      </c>
      <c r="P120" s="35" t="s">
        <v>692</v>
      </c>
      <c r="Q120" s="35"/>
      <c r="R120" s="35"/>
      <c r="S120" s="35" t="s">
        <v>78</v>
      </c>
      <c r="T120" s="35"/>
      <c r="U120" s="35"/>
      <c r="V120" s="35" t="s">
        <v>42</v>
      </c>
      <c r="W120" s="37">
        <f t="shared" si="3"/>
        <v>0.8</v>
      </c>
      <c r="X120" s="33" t="s">
        <v>43</v>
      </c>
      <c r="Y120" s="33" t="s">
        <v>44</v>
      </c>
      <c r="Z120" s="33" t="s">
        <v>45</v>
      </c>
      <c r="AA120" s="33" t="s">
        <v>46</v>
      </c>
      <c r="AB120" s="33" t="s">
        <v>693</v>
      </c>
      <c r="AC120" s="33" t="s">
        <v>692</v>
      </c>
      <c r="AD120" s="33" t="s">
        <v>694</v>
      </c>
      <c r="AE120" s="33" t="s">
        <v>49</v>
      </c>
      <c r="AG120" s="33" t="s">
        <v>50</v>
      </c>
      <c r="AH120" s="33" t="s">
        <v>51</v>
      </c>
    </row>
    <row r="121" spans="1:34" ht="265.25">
      <c r="A121" s="35">
        <v>120</v>
      </c>
      <c r="B121" s="35" t="s">
        <v>695</v>
      </c>
      <c r="C121" s="35" t="s">
        <v>34</v>
      </c>
      <c r="D121" s="35" t="s">
        <v>679</v>
      </c>
      <c r="E121" s="35" t="s">
        <v>696</v>
      </c>
      <c r="F121" s="35" t="s">
        <v>697</v>
      </c>
      <c r="G121" s="35" t="s">
        <v>38</v>
      </c>
      <c r="H121" s="35" t="str">
        <f t="shared" si="2"/>
        <v>Verify</v>
      </c>
      <c r="I121" s="35" t="s">
        <v>39</v>
      </c>
      <c r="J121" s="35"/>
      <c r="K121" s="47"/>
      <c r="L121" s="35" t="s">
        <v>40</v>
      </c>
      <c r="M121" s="35"/>
      <c r="N121" s="35"/>
      <c r="O121" s="35" t="s">
        <v>41</v>
      </c>
      <c r="P121" s="35"/>
      <c r="Q121" s="35"/>
      <c r="R121" s="35"/>
      <c r="S121" s="35"/>
      <c r="T121" s="35"/>
      <c r="U121" s="35"/>
      <c r="V121" s="35" t="s">
        <v>42</v>
      </c>
      <c r="W121" s="37">
        <f t="shared" si="3"/>
        <v>0.8</v>
      </c>
      <c r="X121" s="33" t="s">
        <v>43</v>
      </c>
      <c r="Y121" s="33" t="s">
        <v>44</v>
      </c>
      <c r="Z121" s="33" t="s">
        <v>45</v>
      </c>
      <c r="AA121" s="33" t="s">
        <v>46</v>
      </c>
      <c r="AB121" s="33" t="s">
        <v>698</v>
      </c>
      <c r="AD121" s="33" t="s">
        <v>97</v>
      </c>
      <c r="AE121" s="33" t="s">
        <v>49</v>
      </c>
      <c r="AG121" s="33" t="s">
        <v>50</v>
      </c>
      <c r="AH121" s="33" t="s">
        <v>51</v>
      </c>
    </row>
    <row r="122" spans="1:34" ht="234">
      <c r="A122" s="35">
        <v>121</v>
      </c>
      <c r="B122" s="35" t="s">
        <v>699</v>
      </c>
      <c r="C122" s="35" t="s">
        <v>34</v>
      </c>
      <c r="D122" s="35" t="s">
        <v>679</v>
      </c>
      <c r="E122" s="35" t="s">
        <v>700</v>
      </c>
      <c r="F122" s="35" t="s">
        <v>701</v>
      </c>
      <c r="G122" s="35" t="s">
        <v>38</v>
      </c>
      <c r="H122" s="35" t="str">
        <f t="shared" si="2"/>
        <v>Verify</v>
      </c>
      <c r="I122" s="35" t="s">
        <v>39</v>
      </c>
      <c r="J122" s="35"/>
      <c r="K122" s="47"/>
      <c r="L122" s="35" t="s">
        <v>40</v>
      </c>
      <c r="M122" s="35"/>
      <c r="N122" s="35"/>
      <c r="O122" s="35" t="s">
        <v>41</v>
      </c>
      <c r="P122" s="35"/>
      <c r="Q122" s="35"/>
      <c r="R122" s="35"/>
      <c r="S122" s="35"/>
      <c r="T122" s="35"/>
      <c r="U122" s="35"/>
      <c r="V122" s="35" t="s">
        <v>42</v>
      </c>
      <c r="W122" s="37">
        <f t="shared" si="3"/>
        <v>0.8</v>
      </c>
      <c r="X122" s="33" t="s">
        <v>43</v>
      </c>
      <c r="Y122" s="33" t="s">
        <v>44</v>
      </c>
      <c r="Z122" s="33" t="s">
        <v>45</v>
      </c>
      <c r="AA122" s="33" t="s">
        <v>46</v>
      </c>
      <c r="AB122" s="33" t="s">
        <v>702</v>
      </c>
      <c r="AD122" s="33" t="s">
        <v>48</v>
      </c>
      <c r="AE122" s="33" t="s">
        <v>49</v>
      </c>
      <c r="AG122" s="33" t="s">
        <v>50</v>
      </c>
      <c r="AH122" s="33" t="s">
        <v>51</v>
      </c>
    </row>
    <row r="123" spans="1:34" ht="280.75">
      <c r="A123" s="35">
        <v>122</v>
      </c>
      <c r="B123" s="35" t="s">
        <v>703</v>
      </c>
      <c r="C123" s="35" t="s">
        <v>34</v>
      </c>
      <c r="D123" s="35" t="s">
        <v>679</v>
      </c>
      <c r="E123" s="35" t="s">
        <v>704</v>
      </c>
      <c r="F123" s="35" t="s">
        <v>705</v>
      </c>
      <c r="G123" s="35" t="s">
        <v>38</v>
      </c>
      <c r="H123" s="35" t="str">
        <f t="shared" si="2"/>
        <v>Verify</v>
      </c>
      <c r="I123" s="35" t="s">
        <v>39</v>
      </c>
      <c r="J123" s="35"/>
      <c r="K123" s="47"/>
      <c r="L123" s="35" t="s">
        <v>40</v>
      </c>
      <c r="M123" s="35"/>
      <c r="N123" s="35"/>
      <c r="O123" s="35" t="s">
        <v>41</v>
      </c>
      <c r="P123" s="35"/>
      <c r="Q123" s="35"/>
      <c r="R123" s="35"/>
      <c r="S123" s="35"/>
      <c r="T123" s="35"/>
      <c r="U123" s="35"/>
      <c r="V123" s="35" t="s">
        <v>42</v>
      </c>
      <c r="W123" s="37">
        <f t="shared" si="3"/>
        <v>0.8</v>
      </c>
      <c r="X123" s="33" t="s">
        <v>43</v>
      </c>
      <c r="Y123" s="33" t="s">
        <v>44</v>
      </c>
      <c r="Z123" s="33" t="s">
        <v>45</v>
      </c>
      <c r="AA123" s="33" t="s">
        <v>119</v>
      </c>
      <c r="AB123" s="33" t="s">
        <v>706</v>
      </c>
      <c r="AD123" s="33" t="s">
        <v>127</v>
      </c>
      <c r="AE123" s="33" t="s">
        <v>49</v>
      </c>
      <c r="AG123" s="33" t="s">
        <v>50</v>
      </c>
      <c r="AH123" s="33" t="s">
        <v>51</v>
      </c>
    </row>
    <row r="124" spans="1:34" ht="249.65">
      <c r="A124" s="35">
        <v>123</v>
      </c>
      <c r="B124" s="35" t="s">
        <v>707</v>
      </c>
      <c r="C124" s="35" t="s">
        <v>34</v>
      </c>
      <c r="D124" s="35" t="s">
        <v>679</v>
      </c>
      <c r="E124" s="35" t="s">
        <v>708</v>
      </c>
      <c r="F124" s="35" t="s">
        <v>709</v>
      </c>
      <c r="G124" s="35" t="s">
        <v>38</v>
      </c>
      <c r="H124" s="35" t="str">
        <f t="shared" si="2"/>
        <v>Verify</v>
      </c>
      <c r="I124" s="35" t="s">
        <v>39</v>
      </c>
      <c r="J124" s="35"/>
      <c r="K124" s="47"/>
      <c r="L124" s="35" t="s">
        <v>168</v>
      </c>
      <c r="M124" s="35"/>
      <c r="N124" s="35"/>
      <c r="O124" s="35" t="s">
        <v>41</v>
      </c>
      <c r="P124" s="35" t="s">
        <v>710</v>
      </c>
      <c r="Q124" s="35"/>
      <c r="R124" s="35"/>
      <c r="S124" s="35" t="s">
        <v>78</v>
      </c>
      <c r="T124" s="35"/>
      <c r="U124" s="35"/>
      <c r="V124" s="35" t="s">
        <v>2155</v>
      </c>
      <c r="W124" s="37">
        <f t="shared" si="3"/>
        <v>0.7</v>
      </c>
      <c r="X124" s="33" t="s">
        <v>43</v>
      </c>
      <c r="Y124" s="33" t="s">
        <v>213</v>
      </c>
      <c r="Z124" s="33" t="s">
        <v>658</v>
      </c>
      <c r="AA124" s="33" t="s">
        <v>119</v>
      </c>
      <c r="AB124" s="33" t="s">
        <v>711</v>
      </c>
      <c r="AC124" s="33" t="s">
        <v>712</v>
      </c>
      <c r="AD124" s="33" t="s">
        <v>713</v>
      </c>
      <c r="AE124" s="33" t="s">
        <v>662</v>
      </c>
      <c r="AG124" s="33" t="s">
        <v>50</v>
      </c>
      <c r="AH124" s="33" t="s">
        <v>51</v>
      </c>
    </row>
    <row r="125" spans="1:34" ht="265.25">
      <c r="A125" s="35">
        <v>124</v>
      </c>
      <c r="B125" s="35" t="s">
        <v>714</v>
      </c>
      <c r="C125" s="35" t="s">
        <v>34</v>
      </c>
      <c r="D125" s="35" t="s">
        <v>679</v>
      </c>
      <c r="E125" s="35" t="s">
        <v>715</v>
      </c>
      <c r="F125" s="35" t="s">
        <v>716</v>
      </c>
      <c r="G125" s="35" t="s">
        <v>38</v>
      </c>
      <c r="H125" s="35" t="str">
        <f t="shared" si="2"/>
        <v>Verify</v>
      </c>
      <c r="I125" s="35" t="s">
        <v>39</v>
      </c>
      <c r="J125" s="35"/>
      <c r="K125" s="47"/>
      <c r="L125" s="35" t="s">
        <v>40</v>
      </c>
      <c r="M125" s="35"/>
      <c r="N125" s="35"/>
      <c r="O125" s="35" t="s">
        <v>41</v>
      </c>
      <c r="P125" s="35"/>
      <c r="Q125" s="35"/>
      <c r="R125" s="35"/>
      <c r="S125" s="35"/>
      <c r="T125" s="35"/>
      <c r="U125" s="35"/>
      <c r="V125" s="35" t="s">
        <v>42</v>
      </c>
      <c r="W125" s="37">
        <f t="shared" si="3"/>
        <v>0.8</v>
      </c>
      <c r="X125" s="33" t="s">
        <v>43</v>
      </c>
      <c r="Y125" s="33" t="s">
        <v>44</v>
      </c>
      <c r="Z125" s="33" t="s">
        <v>45</v>
      </c>
      <c r="AA125" s="33" t="s">
        <v>46</v>
      </c>
      <c r="AB125" s="33" t="s">
        <v>717</v>
      </c>
      <c r="AD125" s="33" t="s">
        <v>132</v>
      </c>
      <c r="AE125" s="33" t="s">
        <v>49</v>
      </c>
      <c r="AG125" s="33" t="s">
        <v>50</v>
      </c>
      <c r="AH125" s="33" t="s">
        <v>51</v>
      </c>
    </row>
    <row r="126" spans="1:34" ht="202.75">
      <c r="A126" s="35">
        <v>125</v>
      </c>
      <c r="B126" s="35" t="s">
        <v>718</v>
      </c>
      <c r="C126" s="35" t="s">
        <v>34</v>
      </c>
      <c r="D126" s="35" t="s">
        <v>679</v>
      </c>
      <c r="E126" s="35" t="s">
        <v>719</v>
      </c>
      <c r="F126" s="35" t="s">
        <v>720</v>
      </c>
      <c r="G126" s="35" t="s">
        <v>38</v>
      </c>
      <c r="H126" s="35" t="str">
        <f t="shared" si="2"/>
        <v>Verify</v>
      </c>
      <c r="I126" s="35" t="s">
        <v>39</v>
      </c>
      <c r="J126" s="35"/>
      <c r="K126" s="47"/>
      <c r="L126" s="35" t="s">
        <v>168</v>
      </c>
      <c r="M126" s="35"/>
      <c r="N126" s="35"/>
      <c r="O126" s="35" t="s">
        <v>41</v>
      </c>
      <c r="P126" s="35" t="s">
        <v>721</v>
      </c>
      <c r="Q126" s="35"/>
      <c r="R126" s="35"/>
      <c r="S126" s="35" t="s">
        <v>78</v>
      </c>
      <c r="T126" s="35"/>
      <c r="U126" s="35"/>
      <c r="V126" s="35" t="s">
        <v>405</v>
      </c>
      <c r="W126" s="37">
        <f t="shared" si="3"/>
        <v>0.5</v>
      </c>
      <c r="X126" s="33" t="s">
        <v>43</v>
      </c>
      <c r="Y126" s="33" t="s">
        <v>213</v>
      </c>
      <c r="Z126" s="33" t="s">
        <v>214</v>
      </c>
      <c r="AA126" s="33" t="s">
        <v>119</v>
      </c>
      <c r="AB126" s="33" t="s">
        <v>722</v>
      </c>
      <c r="AC126" s="33" t="s">
        <v>723</v>
      </c>
      <c r="AD126" s="33" t="s">
        <v>724</v>
      </c>
      <c r="AE126" s="33" t="s">
        <v>218</v>
      </c>
      <c r="AG126" s="33" t="s">
        <v>50</v>
      </c>
      <c r="AH126" s="33" t="s">
        <v>51</v>
      </c>
    </row>
    <row r="127" spans="1:34" ht="327.64999999999998">
      <c r="A127" s="35">
        <v>126</v>
      </c>
      <c r="B127" s="35" t="s">
        <v>725</v>
      </c>
      <c r="C127" s="35" t="s">
        <v>34</v>
      </c>
      <c r="D127" s="35" t="s">
        <v>679</v>
      </c>
      <c r="E127" s="35" t="s">
        <v>726</v>
      </c>
      <c r="F127" s="35" t="s">
        <v>727</v>
      </c>
      <c r="G127" s="35" t="s">
        <v>38</v>
      </c>
      <c r="H127" s="35" t="str">
        <f t="shared" si="2"/>
        <v>Verify</v>
      </c>
      <c r="I127" s="35" t="s">
        <v>39</v>
      </c>
      <c r="J127" s="35"/>
      <c r="K127" s="47"/>
      <c r="L127" s="35" t="s">
        <v>40</v>
      </c>
      <c r="M127" s="35"/>
      <c r="N127" s="35"/>
      <c r="O127" s="35" t="s">
        <v>41</v>
      </c>
      <c r="P127" s="35"/>
      <c r="Q127" s="35"/>
      <c r="R127" s="35"/>
      <c r="S127" s="35"/>
      <c r="T127" s="35"/>
      <c r="U127" s="35"/>
      <c r="V127" s="35" t="s">
        <v>42</v>
      </c>
      <c r="W127" s="37">
        <f t="shared" si="3"/>
        <v>0.8</v>
      </c>
      <c r="X127" s="33" t="s">
        <v>43</v>
      </c>
      <c r="Y127" s="33" t="s">
        <v>44</v>
      </c>
      <c r="Z127" s="33" t="s">
        <v>45</v>
      </c>
      <c r="AA127" s="33" t="s">
        <v>46</v>
      </c>
      <c r="AB127" s="33" t="s">
        <v>728</v>
      </c>
      <c r="AD127" s="33" t="s">
        <v>694</v>
      </c>
      <c r="AE127" s="33" t="s">
        <v>49</v>
      </c>
      <c r="AG127" s="33" t="s">
        <v>50</v>
      </c>
      <c r="AH127" s="33" t="s">
        <v>51</v>
      </c>
    </row>
    <row r="128" spans="1:34" ht="265.25">
      <c r="A128" s="35">
        <v>127</v>
      </c>
      <c r="B128" s="35" t="s">
        <v>729</v>
      </c>
      <c r="C128" s="35" t="s">
        <v>34</v>
      </c>
      <c r="D128" s="35" t="s">
        <v>679</v>
      </c>
      <c r="E128" s="35" t="s">
        <v>730</v>
      </c>
      <c r="F128" s="35" t="s">
        <v>731</v>
      </c>
      <c r="G128" s="35" t="s">
        <v>38</v>
      </c>
      <c r="H128" s="35" t="str">
        <f t="shared" si="2"/>
        <v>Verify</v>
      </c>
      <c r="I128" s="35" t="s">
        <v>39</v>
      </c>
      <c r="J128" s="35"/>
      <c r="K128" s="47"/>
      <c r="L128" s="35" t="s">
        <v>40</v>
      </c>
      <c r="M128" s="35"/>
      <c r="N128" s="35"/>
      <c r="O128" s="35" t="s">
        <v>41</v>
      </c>
      <c r="P128" s="35"/>
      <c r="Q128" s="35"/>
      <c r="R128" s="35"/>
      <c r="S128" s="35"/>
      <c r="T128" s="35"/>
      <c r="U128" s="35"/>
      <c r="V128" s="35" t="s">
        <v>42</v>
      </c>
      <c r="W128" s="37">
        <f t="shared" si="3"/>
        <v>0.8</v>
      </c>
      <c r="X128" s="33" t="s">
        <v>43</v>
      </c>
      <c r="Y128" s="33" t="s">
        <v>44</v>
      </c>
      <c r="Z128" s="33" t="s">
        <v>45</v>
      </c>
      <c r="AA128" s="33" t="s">
        <v>46</v>
      </c>
      <c r="AB128" s="33" t="s">
        <v>732</v>
      </c>
      <c r="AD128" s="33" t="s">
        <v>154</v>
      </c>
      <c r="AE128" s="33" t="s">
        <v>49</v>
      </c>
      <c r="AG128" s="33" t="s">
        <v>50</v>
      </c>
      <c r="AH128" s="33" t="s">
        <v>51</v>
      </c>
    </row>
    <row r="129" spans="1:34" ht="265.25">
      <c r="A129" s="35">
        <v>128</v>
      </c>
      <c r="B129" s="35" t="s">
        <v>733</v>
      </c>
      <c r="C129" s="35" t="s">
        <v>34</v>
      </c>
      <c r="D129" s="35" t="s">
        <v>679</v>
      </c>
      <c r="E129" s="35" t="s">
        <v>734</v>
      </c>
      <c r="F129" s="35" t="s">
        <v>735</v>
      </c>
      <c r="G129" s="35" t="s">
        <v>38</v>
      </c>
      <c r="H129" s="35" t="str">
        <f t="shared" si="2"/>
        <v>Verify</v>
      </c>
      <c r="I129" s="35" t="s">
        <v>39</v>
      </c>
      <c r="J129" s="35"/>
      <c r="K129" s="47"/>
      <c r="L129" s="35" t="s">
        <v>40</v>
      </c>
      <c r="M129" s="35"/>
      <c r="N129" s="35"/>
      <c r="O129" s="35" t="s">
        <v>41</v>
      </c>
      <c r="P129" s="35"/>
      <c r="Q129" s="35"/>
      <c r="R129" s="35"/>
      <c r="S129" s="35"/>
      <c r="T129" s="35"/>
      <c r="U129" s="35"/>
      <c r="V129" s="35" t="s">
        <v>42</v>
      </c>
      <c r="W129" s="37">
        <f t="shared" si="3"/>
        <v>0.8</v>
      </c>
      <c r="X129" s="33" t="s">
        <v>43</v>
      </c>
      <c r="Y129" s="33" t="s">
        <v>44</v>
      </c>
      <c r="Z129" s="33" t="s">
        <v>45</v>
      </c>
      <c r="AA129" s="33" t="s">
        <v>46</v>
      </c>
      <c r="AB129" s="33" t="s">
        <v>736</v>
      </c>
      <c r="AD129" s="33" t="s">
        <v>185</v>
      </c>
      <c r="AE129" s="33" t="s">
        <v>49</v>
      </c>
      <c r="AG129" s="33" t="s">
        <v>50</v>
      </c>
      <c r="AH129" s="33" t="s">
        <v>51</v>
      </c>
    </row>
    <row r="130" spans="1:34" ht="280.75">
      <c r="A130" s="35">
        <v>129</v>
      </c>
      <c r="B130" s="35" t="s">
        <v>737</v>
      </c>
      <c r="C130" s="35" t="s">
        <v>34</v>
      </c>
      <c r="D130" s="35" t="s">
        <v>679</v>
      </c>
      <c r="E130" s="35" t="s">
        <v>738</v>
      </c>
      <c r="F130" s="35" t="s">
        <v>739</v>
      </c>
      <c r="G130" s="35" t="s">
        <v>38</v>
      </c>
      <c r="H130" s="35" t="str">
        <f t="shared" si="2"/>
        <v>Verify</v>
      </c>
      <c r="I130" s="35" t="s">
        <v>39</v>
      </c>
      <c r="J130" s="35"/>
      <c r="K130" s="47"/>
      <c r="L130" s="35" t="s">
        <v>40</v>
      </c>
      <c r="M130" s="35"/>
      <c r="N130" s="35"/>
      <c r="O130" s="35" t="s">
        <v>41</v>
      </c>
      <c r="P130" s="35"/>
      <c r="Q130" s="35"/>
      <c r="R130" s="35"/>
      <c r="S130" s="35"/>
      <c r="T130" s="35"/>
      <c r="U130" s="35"/>
      <c r="V130" s="35" t="s">
        <v>42</v>
      </c>
      <c r="W130" s="37">
        <f t="shared" si="3"/>
        <v>0.8</v>
      </c>
      <c r="X130" s="33" t="s">
        <v>43</v>
      </c>
      <c r="Y130" s="33" t="s">
        <v>44</v>
      </c>
      <c r="Z130" s="33" t="s">
        <v>45</v>
      </c>
      <c r="AA130" s="33" t="s">
        <v>46</v>
      </c>
      <c r="AB130" s="33" t="s">
        <v>740</v>
      </c>
      <c r="AD130" s="33" t="s">
        <v>278</v>
      </c>
      <c r="AE130" s="33" t="s">
        <v>49</v>
      </c>
      <c r="AG130" s="33" t="s">
        <v>50</v>
      </c>
      <c r="AH130" s="33" t="s">
        <v>51</v>
      </c>
    </row>
    <row r="131" spans="1:34" ht="234">
      <c r="A131" s="35">
        <v>130</v>
      </c>
      <c r="B131" s="35" t="s">
        <v>741</v>
      </c>
      <c r="C131" s="35" t="s">
        <v>34</v>
      </c>
      <c r="D131" s="35" t="s">
        <v>679</v>
      </c>
      <c r="E131" s="35" t="s">
        <v>742</v>
      </c>
      <c r="F131" s="35" t="s">
        <v>743</v>
      </c>
      <c r="G131" s="35" t="s">
        <v>38</v>
      </c>
      <c r="H131" s="35" t="str">
        <f t="shared" ref="H131:H194" si="4">IF(G131="Evalueringskrav","Answer",(IF(G131="Krav","Check",(IF(G131="Mindstekrav","Verify","")))))</f>
        <v>Verify</v>
      </c>
      <c r="I131" s="35" t="s">
        <v>39</v>
      </c>
      <c r="J131" s="35"/>
      <c r="K131" s="47"/>
      <c r="L131" s="35" t="s">
        <v>168</v>
      </c>
      <c r="M131" s="35"/>
      <c r="N131" s="35"/>
      <c r="O131" s="35" t="s">
        <v>76</v>
      </c>
      <c r="P131" s="35" t="s">
        <v>744</v>
      </c>
      <c r="Q131" s="35"/>
      <c r="R131" s="35"/>
      <c r="S131" s="35"/>
      <c r="T131" s="35"/>
      <c r="U131" s="35"/>
      <c r="V131" s="35" t="s">
        <v>79</v>
      </c>
      <c r="W131" s="37">
        <f t="shared" ref="W131:W194" si="5">IF(V131="Not Started",0%,IF(V131="Started",50%,IF(V131="Ready for review",70%,IF(V131="Reviewed - Content",80%,IF(V131="Reviewed - Format",90%,IF(V131="Done",100%,""))))))</f>
        <v>0</v>
      </c>
      <c r="X131" s="33" t="s">
        <v>43</v>
      </c>
      <c r="Y131" s="33" t="s">
        <v>213</v>
      </c>
      <c r="Z131" s="33" t="s">
        <v>214</v>
      </c>
      <c r="AA131" s="33" t="s">
        <v>119</v>
      </c>
      <c r="AB131" s="33" t="s">
        <v>745</v>
      </c>
      <c r="AC131" s="33" t="s">
        <v>746</v>
      </c>
      <c r="AD131" s="33" t="s">
        <v>747</v>
      </c>
      <c r="AE131" s="33" t="s">
        <v>218</v>
      </c>
      <c r="AG131" s="33" t="s">
        <v>50</v>
      </c>
      <c r="AH131" s="33" t="s">
        <v>51</v>
      </c>
    </row>
    <row r="132" spans="1:34" ht="249.65">
      <c r="A132" s="35">
        <v>131</v>
      </c>
      <c r="B132" s="35" t="s">
        <v>748</v>
      </c>
      <c r="C132" s="35" t="s">
        <v>34</v>
      </c>
      <c r="D132" s="35" t="s">
        <v>679</v>
      </c>
      <c r="E132" s="35" t="s">
        <v>749</v>
      </c>
      <c r="F132" s="35" t="s">
        <v>750</v>
      </c>
      <c r="G132" s="35" t="s">
        <v>38</v>
      </c>
      <c r="H132" s="35" t="str">
        <f t="shared" si="4"/>
        <v>Verify</v>
      </c>
      <c r="I132" s="35" t="s">
        <v>39</v>
      </c>
      <c r="J132" s="35"/>
      <c r="K132" s="47"/>
      <c r="L132" s="35" t="s">
        <v>40</v>
      </c>
      <c r="M132" s="35"/>
      <c r="N132" s="35"/>
      <c r="O132" s="35" t="s">
        <v>41</v>
      </c>
      <c r="P132" s="35" t="s">
        <v>751</v>
      </c>
      <c r="Q132" s="35"/>
      <c r="R132" s="35"/>
      <c r="S132" s="35"/>
      <c r="T132" s="35"/>
      <c r="U132" s="35"/>
      <c r="V132" s="35" t="s">
        <v>42</v>
      </c>
      <c r="W132" s="37">
        <f t="shared" si="5"/>
        <v>0.8</v>
      </c>
      <c r="X132" s="33" t="s">
        <v>43</v>
      </c>
      <c r="Y132" s="33" t="s">
        <v>44</v>
      </c>
      <c r="Z132" s="33" t="s">
        <v>45</v>
      </c>
      <c r="AA132" s="33" t="s">
        <v>46</v>
      </c>
      <c r="AB132" s="33" t="s">
        <v>752</v>
      </c>
      <c r="AD132" s="33" t="s">
        <v>618</v>
      </c>
      <c r="AE132" s="33" t="s">
        <v>49</v>
      </c>
      <c r="AG132" s="33" t="s">
        <v>50</v>
      </c>
      <c r="AH132" s="33" t="s">
        <v>51</v>
      </c>
    </row>
    <row r="133" spans="1:34" ht="265.25">
      <c r="A133" s="35">
        <v>132</v>
      </c>
      <c r="B133" s="35" t="s">
        <v>753</v>
      </c>
      <c r="C133" s="35" t="s">
        <v>34</v>
      </c>
      <c r="D133" s="35" t="s">
        <v>679</v>
      </c>
      <c r="E133" s="35" t="s">
        <v>754</v>
      </c>
      <c r="F133" s="35" t="s">
        <v>755</v>
      </c>
      <c r="G133" s="35" t="s">
        <v>38</v>
      </c>
      <c r="H133" s="35" t="str">
        <f t="shared" si="4"/>
        <v>Verify</v>
      </c>
      <c r="I133" s="35" t="s">
        <v>39</v>
      </c>
      <c r="J133" s="35"/>
      <c r="K133" s="47"/>
      <c r="L133" s="35" t="s">
        <v>40</v>
      </c>
      <c r="M133" s="35"/>
      <c r="N133" s="35"/>
      <c r="O133" s="35" t="s">
        <v>41</v>
      </c>
      <c r="P133" s="35" t="s">
        <v>756</v>
      </c>
      <c r="Q133" s="35"/>
      <c r="R133" s="35" t="s">
        <v>78</v>
      </c>
      <c r="S133" s="35"/>
      <c r="T133" s="35"/>
      <c r="U133" s="35"/>
      <c r="V133" s="35" t="s">
        <v>42</v>
      </c>
      <c r="W133" s="37">
        <f t="shared" si="5"/>
        <v>0.8</v>
      </c>
      <c r="X133" s="33" t="s">
        <v>43</v>
      </c>
      <c r="Y133" s="33" t="s">
        <v>44</v>
      </c>
      <c r="Z133" s="33" t="s">
        <v>45</v>
      </c>
      <c r="AA133" s="33" t="s">
        <v>46</v>
      </c>
      <c r="AB133" s="33" t="s">
        <v>757</v>
      </c>
      <c r="AD133" s="33" t="s">
        <v>758</v>
      </c>
      <c r="AE133" s="33" t="s">
        <v>49</v>
      </c>
      <c r="AG133" s="33" t="s">
        <v>50</v>
      </c>
      <c r="AH133" s="33" t="s">
        <v>51</v>
      </c>
    </row>
    <row r="134" spans="1:34" ht="265.25">
      <c r="A134" s="35">
        <v>133</v>
      </c>
      <c r="B134" s="35" t="s">
        <v>759</v>
      </c>
      <c r="C134" s="35" t="s">
        <v>34</v>
      </c>
      <c r="D134" s="35" t="s">
        <v>679</v>
      </c>
      <c r="E134" s="35" t="s">
        <v>760</v>
      </c>
      <c r="F134" s="35" t="s">
        <v>761</v>
      </c>
      <c r="G134" s="35" t="s">
        <v>38</v>
      </c>
      <c r="H134" s="35" t="str">
        <f t="shared" si="4"/>
        <v>Verify</v>
      </c>
      <c r="I134" s="35" t="s">
        <v>39</v>
      </c>
      <c r="J134" s="35"/>
      <c r="K134" s="47"/>
      <c r="L134" s="35" t="s">
        <v>40</v>
      </c>
      <c r="M134" s="35"/>
      <c r="N134" s="35"/>
      <c r="O134" s="35" t="s">
        <v>41</v>
      </c>
      <c r="P134" s="35" t="s">
        <v>762</v>
      </c>
      <c r="Q134" s="35"/>
      <c r="R134" s="35"/>
      <c r="S134" s="35"/>
      <c r="T134" s="35"/>
      <c r="U134" s="35"/>
      <c r="V134" s="35" t="s">
        <v>42</v>
      </c>
      <c r="W134" s="37">
        <f t="shared" si="5"/>
        <v>0.8</v>
      </c>
      <c r="X134" s="33" t="s">
        <v>43</v>
      </c>
      <c r="Y134" s="33" t="s">
        <v>44</v>
      </c>
      <c r="Z134" s="33" t="s">
        <v>45</v>
      </c>
      <c r="AA134" s="33" t="s">
        <v>46</v>
      </c>
      <c r="AB134" s="33" t="s">
        <v>763</v>
      </c>
      <c r="AC134" s="33" t="s">
        <v>762</v>
      </c>
      <c r="AD134" s="33" t="s">
        <v>97</v>
      </c>
      <c r="AE134" s="33" t="s">
        <v>49</v>
      </c>
      <c r="AG134" s="33" t="s">
        <v>50</v>
      </c>
      <c r="AH134" s="33" t="s">
        <v>51</v>
      </c>
    </row>
    <row r="135" spans="1:34" ht="280.75">
      <c r="A135" s="35">
        <v>134</v>
      </c>
      <c r="B135" s="35" t="s">
        <v>764</v>
      </c>
      <c r="C135" s="35" t="s">
        <v>34</v>
      </c>
      <c r="D135" s="35" t="s">
        <v>679</v>
      </c>
      <c r="E135" s="35" t="s">
        <v>765</v>
      </c>
      <c r="F135" s="35" t="s">
        <v>766</v>
      </c>
      <c r="G135" s="35" t="s">
        <v>38</v>
      </c>
      <c r="H135" s="35" t="str">
        <f t="shared" si="4"/>
        <v>Verify</v>
      </c>
      <c r="I135" s="35" t="s">
        <v>39</v>
      </c>
      <c r="J135" s="35"/>
      <c r="K135" s="47"/>
      <c r="L135" s="35" t="s">
        <v>40</v>
      </c>
      <c r="M135" s="35"/>
      <c r="N135" s="35"/>
      <c r="O135" s="35" t="s">
        <v>41</v>
      </c>
      <c r="P135" s="35" t="s">
        <v>767</v>
      </c>
      <c r="Q135" s="35"/>
      <c r="R135" s="35"/>
      <c r="S135" s="35"/>
      <c r="T135" s="35"/>
      <c r="U135" s="35"/>
      <c r="V135" s="35" t="s">
        <v>42</v>
      </c>
      <c r="W135" s="37">
        <f t="shared" si="5"/>
        <v>0.8</v>
      </c>
      <c r="X135" s="33" t="s">
        <v>43</v>
      </c>
      <c r="Y135" s="33" t="s">
        <v>44</v>
      </c>
      <c r="Z135" s="33" t="s">
        <v>45</v>
      </c>
      <c r="AA135" s="33" t="s">
        <v>46</v>
      </c>
      <c r="AB135" s="33" t="s">
        <v>768</v>
      </c>
      <c r="AC135" s="33" t="s">
        <v>769</v>
      </c>
      <c r="AD135" s="33" t="s">
        <v>127</v>
      </c>
      <c r="AE135" s="33" t="s">
        <v>49</v>
      </c>
      <c r="AG135" s="33" t="s">
        <v>50</v>
      </c>
      <c r="AH135" s="33" t="s">
        <v>51</v>
      </c>
    </row>
    <row r="136" spans="1:34" ht="265.25">
      <c r="A136" s="35">
        <v>135</v>
      </c>
      <c r="B136" s="35" t="s">
        <v>770</v>
      </c>
      <c r="C136" s="35" t="s">
        <v>34</v>
      </c>
      <c r="D136" s="35" t="s">
        <v>679</v>
      </c>
      <c r="E136" s="35" t="s">
        <v>771</v>
      </c>
      <c r="F136" s="35" t="s">
        <v>772</v>
      </c>
      <c r="G136" s="35" t="s">
        <v>38</v>
      </c>
      <c r="H136" s="35" t="str">
        <f t="shared" si="4"/>
        <v>Verify</v>
      </c>
      <c r="I136" s="35" t="s">
        <v>39</v>
      </c>
      <c r="J136" s="35"/>
      <c r="K136" s="47"/>
      <c r="L136" s="35" t="s">
        <v>40</v>
      </c>
      <c r="M136" s="35"/>
      <c r="N136" s="35"/>
      <c r="O136" s="35" t="s">
        <v>41</v>
      </c>
      <c r="P136" s="35"/>
      <c r="Q136" s="35"/>
      <c r="R136" s="35"/>
      <c r="S136" s="35"/>
      <c r="T136" s="35"/>
      <c r="U136" s="35"/>
      <c r="V136" s="35" t="s">
        <v>42</v>
      </c>
      <c r="W136" s="37">
        <f t="shared" si="5"/>
        <v>0.8</v>
      </c>
      <c r="X136" s="33" t="s">
        <v>43</v>
      </c>
      <c r="Y136" s="33" t="s">
        <v>44</v>
      </c>
      <c r="Z136" s="33" t="s">
        <v>45</v>
      </c>
      <c r="AA136" s="33" t="s">
        <v>46</v>
      </c>
      <c r="AB136" s="33" t="s">
        <v>773</v>
      </c>
      <c r="AD136" s="33" t="s">
        <v>97</v>
      </c>
      <c r="AE136" s="33" t="s">
        <v>49</v>
      </c>
      <c r="AG136" s="33" t="s">
        <v>50</v>
      </c>
      <c r="AH136" s="33" t="s">
        <v>51</v>
      </c>
    </row>
    <row r="137" spans="1:34" ht="234">
      <c r="A137" s="35">
        <v>136</v>
      </c>
      <c r="B137" s="35" t="s">
        <v>774</v>
      </c>
      <c r="C137" s="35" t="s">
        <v>34</v>
      </c>
      <c r="D137" s="35" t="s">
        <v>679</v>
      </c>
      <c r="E137" s="35" t="s">
        <v>775</v>
      </c>
      <c r="F137" s="35" t="s">
        <v>776</v>
      </c>
      <c r="G137" s="35" t="s">
        <v>38</v>
      </c>
      <c r="H137" s="35" t="str">
        <f t="shared" si="4"/>
        <v>Verify</v>
      </c>
      <c r="I137" s="35" t="s">
        <v>39</v>
      </c>
      <c r="J137" s="35"/>
      <c r="K137" s="47"/>
      <c r="L137" s="35" t="s">
        <v>117</v>
      </c>
      <c r="M137" s="35"/>
      <c r="N137" s="35"/>
      <c r="O137" s="35"/>
      <c r="P137" s="35" t="s">
        <v>777</v>
      </c>
      <c r="Q137" s="35"/>
      <c r="R137" s="35"/>
      <c r="S137" s="35"/>
      <c r="T137" s="35"/>
      <c r="U137" s="35"/>
      <c r="V137" s="35" t="s">
        <v>79</v>
      </c>
      <c r="W137" s="37">
        <f t="shared" si="5"/>
        <v>0</v>
      </c>
      <c r="X137" s="33" t="s">
        <v>43</v>
      </c>
      <c r="Y137" s="33" t="s">
        <v>44</v>
      </c>
      <c r="Z137" s="33" t="s">
        <v>658</v>
      </c>
      <c r="AA137" s="33" t="s">
        <v>46</v>
      </c>
      <c r="AB137" s="33" t="s">
        <v>778</v>
      </c>
      <c r="AC137" s="33" t="s">
        <v>779</v>
      </c>
      <c r="AD137" s="33" t="s">
        <v>48</v>
      </c>
      <c r="AE137" s="33" t="s">
        <v>780</v>
      </c>
      <c r="AG137" s="33" t="s">
        <v>50</v>
      </c>
      <c r="AH137" s="33" t="s">
        <v>51</v>
      </c>
    </row>
    <row r="138" spans="1:34" ht="218.4">
      <c r="A138" s="35">
        <v>137</v>
      </c>
      <c r="B138" s="35" t="s">
        <v>781</v>
      </c>
      <c r="C138" s="35" t="s">
        <v>34</v>
      </c>
      <c r="D138" s="35" t="s">
        <v>679</v>
      </c>
      <c r="E138" s="35" t="s">
        <v>782</v>
      </c>
      <c r="F138" s="35" t="s">
        <v>783</v>
      </c>
      <c r="G138" s="35" t="s">
        <v>116</v>
      </c>
      <c r="H138" s="35" t="str">
        <f t="shared" si="4"/>
        <v>Check</v>
      </c>
      <c r="I138" s="35" t="s">
        <v>39</v>
      </c>
      <c r="J138" s="35"/>
      <c r="K138" s="47"/>
      <c r="L138" s="35" t="s">
        <v>117</v>
      </c>
      <c r="M138" s="35"/>
      <c r="N138" s="35"/>
      <c r="O138" s="35"/>
      <c r="P138" s="35" t="s">
        <v>784</v>
      </c>
      <c r="Q138" s="35"/>
      <c r="R138" s="35"/>
      <c r="S138" s="35"/>
      <c r="T138" s="35"/>
      <c r="U138" s="35"/>
      <c r="V138" s="35" t="s">
        <v>79</v>
      </c>
      <c r="W138" s="37">
        <f t="shared" si="5"/>
        <v>0</v>
      </c>
      <c r="X138" s="33" t="s">
        <v>43</v>
      </c>
      <c r="Y138" s="33" t="s">
        <v>44</v>
      </c>
      <c r="Z138" s="33" t="s">
        <v>658</v>
      </c>
      <c r="AA138" s="33" t="s">
        <v>46</v>
      </c>
      <c r="AB138" s="33" t="s">
        <v>785</v>
      </c>
      <c r="AC138" s="33" t="s">
        <v>786</v>
      </c>
      <c r="AD138" s="33" t="s">
        <v>787</v>
      </c>
      <c r="AE138" s="33" t="s">
        <v>780</v>
      </c>
      <c r="AG138" s="33" t="s">
        <v>50</v>
      </c>
      <c r="AH138" s="33" t="s">
        <v>51</v>
      </c>
    </row>
    <row r="139" spans="1:34" ht="187.25">
      <c r="A139" s="35">
        <v>138</v>
      </c>
      <c r="B139" s="35" t="s">
        <v>788</v>
      </c>
      <c r="C139" s="35" t="s">
        <v>34</v>
      </c>
      <c r="D139" s="35" t="s">
        <v>679</v>
      </c>
      <c r="E139" s="35" t="s">
        <v>103</v>
      </c>
      <c r="F139" s="35" t="s">
        <v>789</v>
      </c>
      <c r="G139" s="35" t="s">
        <v>116</v>
      </c>
      <c r="H139" s="35" t="str">
        <f t="shared" si="4"/>
        <v>Check</v>
      </c>
      <c r="I139" s="35" t="s">
        <v>39</v>
      </c>
      <c r="J139" s="35"/>
      <c r="K139" s="47"/>
      <c r="L139" s="35" t="s">
        <v>40</v>
      </c>
      <c r="M139" s="35"/>
      <c r="N139" s="35"/>
      <c r="O139" s="35" t="s">
        <v>41</v>
      </c>
      <c r="P139" s="35" t="s">
        <v>790</v>
      </c>
      <c r="Q139" s="35"/>
      <c r="R139" s="35"/>
      <c r="S139" s="35"/>
      <c r="T139" s="35"/>
      <c r="U139" s="35"/>
      <c r="V139" s="35" t="s">
        <v>42</v>
      </c>
      <c r="W139" s="37">
        <f t="shared" si="5"/>
        <v>0.8</v>
      </c>
      <c r="X139" s="33" t="s">
        <v>43</v>
      </c>
      <c r="Y139" s="33" t="s">
        <v>213</v>
      </c>
      <c r="Z139" s="33" t="s">
        <v>214</v>
      </c>
      <c r="AA139" s="33" t="s">
        <v>119</v>
      </c>
      <c r="AB139" s="33" t="s">
        <v>791</v>
      </c>
      <c r="AC139" s="33" t="s">
        <v>792</v>
      </c>
      <c r="AD139" s="33" t="s">
        <v>793</v>
      </c>
      <c r="AE139" s="33" t="s">
        <v>794</v>
      </c>
      <c r="AG139" s="33" t="s">
        <v>50</v>
      </c>
      <c r="AH139" s="33" t="s">
        <v>51</v>
      </c>
    </row>
    <row r="140" spans="1:34" ht="140.4">
      <c r="A140" s="35">
        <v>139</v>
      </c>
      <c r="B140" s="35" t="s">
        <v>795</v>
      </c>
      <c r="C140" s="35" t="s">
        <v>34</v>
      </c>
      <c r="D140" s="35" t="s">
        <v>679</v>
      </c>
      <c r="E140" s="35" t="s">
        <v>796</v>
      </c>
      <c r="F140" s="35" t="s">
        <v>797</v>
      </c>
      <c r="G140" s="35" t="s">
        <v>116</v>
      </c>
      <c r="H140" s="35" t="str">
        <f t="shared" si="4"/>
        <v>Check</v>
      </c>
      <c r="I140" s="35" t="s">
        <v>39</v>
      </c>
      <c r="J140" s="35"/>
      <c r="K140" s="47"/>
      <c r="L140" s="35" t="s">
        <v>40</v>
      </c>
      <c r="M140" s="35"/>
      <c r="N140" s="35"/>
      <c r="O140" s="35" t="s">
        <v>41</v>
      </c>
      <c r="P140" s="35" t="s">
        <v>798</v>
      </c>
      <c r="Q140" s="35"/>
      <c r="R140" s="35" t="s">
        <v>78</v>
      </c>
      <c r="S140" s="35"/>
      <c r="T140" s="35"/>
      <c r="U140" s="35"/>
      <c r="V140" s="35" t="s">
        <v>42</v>
      </c>
      <c r="W140" s="37">
        <f t="shared" si="5"/>
        <v>0.8</v>
      </c>
      <c r="X140" s="33" t="s">
        <v>43</v>
      </c>
      <c r="Y140" s="33" t="s">
        <v>213</v>
      </c>
      <c r="Z140" s="33" t="s">
        <v>214</v>
      </c>
      <c r="AA140" s="33" t="s">
        <v>119</v>
      </c>
      <c r="AB140" s="33" t="s">
        <v>799</v>
      </c>
      <c r="AC140" s="33" t="s">
        <v>800</v>
      </c>
      <c r="AD140" s="33" t="s">
        <v>801</v>
      </c>
      <c r="AE140" s="33" t="s">
        <v>794</v>
      </c>
      <c r="AG140" s="33" t="s">
        <v>50</v>
      </c>
      <c r="AH140" s="33" t="s">
        <v>51</v>
      </c>
    </row>
    <row r="141" spans="1:34" ht="140.4">
      <c r="A141" s="35">
        <v>140</v>
      </c>
      <c r="B141" s="35" t="s">
        <v>802</v>
      </c>
      <c r="C141" s="35" t="s">
        <v>34</v>
      </c>
      <c r="D141" s="35" t="s">
        <v>679</v>
      </c>
      <c r="E141" s="35" t="s">
        <v>803</v>
      </c>
      <c r="F141" s="35" t="s">
        <v>804</v>
      </c>
      <c r="G141" s="35" t="s">
        <v>116</v>
      </c>
      <c r="H141" s="35" t="str">
        <f t="shared" si="4"/>
        <v>Check</v>
      </c>
      <c r="I141" s="35" t="s">
        <v>39</v>
      </c>
      <c r="J141" s="35"/>
      <c r="K141" s="47"/>
      <c r="L141" s="35" t="s">
        <v>40</v>
      </c>
      <c r="M141" s="35"/>
      <c r="N141" s="35"/>
      <c r="O141" s="35" t="s">
        <v>41</v>
      </c>
      <c r="P141" s="35" t="s">
        <v>805</v>
      </c>
      <c r="Q141" s="35"/>
      <c r="R141" s="35" t="s">
        <v>78</v>
      </c>
      <c r="S141" s="35"/>
      <c r="T141" s="35"/>
      <c r="U141" s="35"/>
      <c r="V141" s="35" t="s">
        <v>42</v>
      </c>
      <c r="W141" s="37">
        <f t="shared" si="5"/>
        <v>0.8</v>
      </c>
      <c r="X141" s="33" t="s">
        <v>43</v>
      </c>
      <c r="Y141" s="33" t="s">
        <v>213</v>
      </c>
      <c r="Z141" s="33" t="s">
        <v>214</v>
      </c>
      <c r="AA141" s="33" t="s">
        <v>119</v>
      </c>
      <c r="AB141" s="33" t="s">
        <v>806</v>
      </c>
      <c r="AC141" s="33" t="s">
        <v>807</v>
      </c>
      <c r="AD141" s="33" t="s">
        <v>808</v>
      </c>
      <c r="AE141" s="33" t="s">
        <v>794</v>
      </c>
      <c r="AG141" s="33" t="s">
        <v>50</v>
      </c>
      <c r="AH141" s="33" t="s">
        <v>51</v>
      </c>
    </row>
    <row r="142" spans="1:34" ht="62.4">
      <c r="A142" s="35">
        <v>141</v>
      </c>
      <c r="B142" s="35" t="s">
        <v>809</v>
      </c>
      <c r="C142" s="35" t="s">
        <v>34</v>
      </c>
      <c r="D142" s="35" t="s">
        <v>679</v>
      </c>
      <c r="E142" s="35" t="s">
        <v>810</v>
      </c>
      <c r="F142" s="35" t="s">
        <v>811</v>
      </c>
      <c r="G142" s="35" t="s">
        <v>116</v>
      </c>
      <c r="H142" s="35" t="str">
        <f t="shared" si="4"/>
        <v>Check</v>
      </c>
      <c r="I142" s="35" t="s">
        <v>39</v>
      </c>
      <c r="J142" s="35"/>
      <c r="K142" s="47"/>
      <c r="L142" s="35" t="s">
        <v>40</v>
      </c>
      <c r="M142" s="35"/>
      <c r="N142" s="35"/>
      <c r="O142" s="35" t="s">
        <v>41</v>
      </c>
      <c r="P142" s="35"/>
      <c r="Q142" s="35"/>
      <c r="R142" s="35"/>
      <c r="S142" s="35"/>
      <c r="T142" s="35"/>
      <c r="U142" s="35"/>
      <c r="V142" s="35" t="s">
        <v>42</v>
      </c>
      <c r="W142" s="37">
        <f t="shared" si="5"/>
        <v>0.8</v>
      </c>
      <c r="X142" s="33" t="s">
        <v>43</v>
      </c>
      <c r="Y142" s="33" t="s">
        <v>213</v>
      </c>
      <c r="Z142" s="33" t="s">
        <v>45</v>
      </c>
      <c r="AA142" s="33" t="s">
        <v>119</v>
      </c>
      <c r="AB142" s="33" t="s">
        <v>812</v>
      </c>
      <c r="AC142" s="33" t="s">
        <v>813</v>
      </c>
      <c r="AD142" s="33" t="s">
        <v>814</v>
      </c>
      <c r="AE142" s="33" t="s">
        <v>49</v>
      </c>
      <c r="AG142" s="33" t="s">
        <v>50</v>
      </c>
      <c r="AH142" s="33" t="s">
        <v>51</v>
      </c>
    </row>
    <row r="143" spans="1:34" ht="109.25">
      <c r="A143" s="35">
        <v>142</v>
      </c>
      <c r="B143" s="35" t="s">
        <v>815</v>
      </c>
      <c r="C143" s="35" t="s">
        <v>34</v>
      </c>
      <c r="D143" s="35" t="s">
        <v>679</v>
      </c>
      <c r="E143" s="35" t="s">
        <v>816</v>
      </c>
      <c r="F143" s="35" t="s">
        <v>817</v>
      </c>
      <c r="G143" s="35" t="s">
        <v>116</v>
      </c>
      <c r="H143" s="35" t="str">
        <f t="shared" si="4"/>
        <v>Check</v>
      </c>
      <c r="I143" s="35" t="s">
        <v>39</v>
      </c>
      <c r="J143" s="35"/>
      <c r="K143" s="47"/>
      <c r="L143" s="35" t="s">
        <v>307</v>
      </c>
      <c r="M143" s="35"/>
      <c r="N143" s="35"/>
      <c r="O143" s="35" t="s">
        <v>76</v>
      </c>
      <c r="P143" s="35" t="s">
        <v>818</v>
      </c>
      <c r="Q143" s="35"/>
      <c r="R143" s="35"/>
      <c r="S143" s="35"/>
      <c r="T143" s="35"/>
      <c r="U143" s="35"/>
      <c r="V143" s="35" t="s">
        <v>405</v>
      </c>
      <c r="W143" s="37">
        <f t="shared" si="5"/>
        <v>0.5</v>
      </c>
      <c r="X143" s="33" t="s">
        <v>43</v>
      </c>
      <c r="Y143" s="33" t="s">
        <v>213</v>
      </c>
      <c r="Z143" s="33" t="s">
        <v>214</v>
      </c>
      <c r="AA143" s="33" t="s">
        <v>119</v>
      </c>
      <c r="AB143" s="33" t="s">
        <v>819</v>
      </c>
      <c r="AC143" s="33" t="s">
        <v>820</v>
      </c>
      <c r="AD143" s="33" t="s">
        <v>821</v>
      </c>
      <c r="AE143" s="33" t="s">
        <v>794</v>
      </c>
      <c r="AG143" s="33" t="s">
        <v>50</v>
      </c>
      <c r="AH143" s="33" t="s">
        <v>51</v>
      </c>
    </row>
    <row r="144" spans="1:34" ht="409.6">
      <c r="A144" s="35">
        <v>143</v>
      </c>
      <c r="B144" s="35" t="s">
        <v>822</v>
      </c>
      <c r="C144" s="35" t="s">
        <v>34</v>
      </c>
      <c r="D144" s="35" t="s">
        <v>679</v>
      </c>
      <c r="E144" s="35" t="s">
        <v>823</v>
      </c>
      <c r="F144" s="35" t="s">
        <v>824</v>
      </c>
      <c r="G144" s="35" t="s">
        <v>394</v>
      </c>
      <c r="H144" s="35" t="str">
        <f t="shared" si="4"/>
        <v>Answer</v>
      </c>
      <c r="I144" s="35" t="s">
        <v>39</v>
      </c>
      <c r="J144" s="35"/>
      <c r="K144" s="47"/>
      <c r="L144" s="35" t="s">
        <v>117</v>
      </c>
      <c r="M144" s="35"/>
      <c r="N144" s="35"/>
      <c r="O144" s="35"/>
      <c r="P144" s="35"/>
      <c r="Q144" s="35"/>
      <c r="R144" s="35"/>
      <c r="S144" s="35"/>
      <c r="T144" s="35"/>
      <c r="U144" s="35"/>
      <c r="V144" s="35" t="s">
        <v>79</v>
      </c>
      <c r="W144" s="37">
        <f t="shared" si="5"/>
        <v>0</v>
      </c>
      <c r="X144" s="33" t="s">
        <v>43</v>
      </c>
      <c r="Y144" s="33" t="s">
        <v>213</v>
      </c>
      <c r="Z144" s="33" t="s">
        <v>396</v>
      </c>
      <c r="AA144" s="33" t="s">
        <v>119</v>
      </c>
      <c r="AB144" s="33" t="s">
        <v>825</v>
      </c>
      <c r="AC144" s="33" t="s">
        <v>398</v>
      </c>
      <c r="AD144" s="33" t="s">
        <v>826</v>
      </c>
      <c r="AE144" s="33" t="s">
        <v>490</v>
      </c>
      <c r="AG144" s="33" t="s">
        <v>50</v>
      </c>
      <c r="AH144" s="33" t="s">
        <v>51</v>
      </c>
    </row>
    <row r="145" spans="1:34" ht="409.6">
      <c r="A145" s="35">
        <v>144</v>
      </c>
      <c r="B145" s="35" t="s">
        <v>827</v>
      </c>
      <c r="C145" s="35" t="s">
        <v>34</v>
      </c>
      <c r="D145" s="35" t="s">
        <v>679</v>
      </c>
      <c r="E145" s="35" t="s">
        <v>58</v>
      </c>
      <c r="F145" s="35" t="s">
        <v>828</v>
      </c>
      <c r="G145" s="35" t="s">
        <v>394</v>
      </c>
      <c r="H145" s="35" t="str">
        <f t="shared" si="4"/>
        <v>Answer</v>
      </c>
      <c r="I145" s="35" t="s">
        <v>39</v>
      </c>
      <c r="J145" s="35"/>
      <c r="K145" s="47"/>
      <c r="L145" s="35" t="s">
        <v>117</v>
      </c>
      <c r="M145" s="35"/>
      <c r="N145" s="35"/>
      <c r="O145" s="35"/>
      <c r="P145" s="35"/>
      <c r="Q145" s="35"/>
      <c r="R145" s="35"/>
      <c r="S145" s="35"/>
      <c r="T145" s="35"/>
      <c r="U145" s="35"/>
      <c r="V145" s="35" t="s">
        <v>79</v>
      </c>
      <c r="W145" s="37">
        <f t="shared" si="5"/>
        <v>0</v>
      </c>
      <c r="X145" s="33" t="s">
        <v>43</v>
      </c>
      <c r="Y145" s="33" t="s">
        <v>213</v>
      </c>
      <c r="Z145" s="33" t="s">
        <v>396</v>
      </c>
      <c r="AA145" s="33" t="s">
        <v>119</v>
      </c>
      <c r="AB145" s="33" t="s">
        <v>829</v>
      </c>
      <c r="AC145" s="33" t="s">
        <v>398</v>
      </c>
      <c r="AD145" s="33" t="s">
        <v>830</v>
      </c>
      <c r="AE145" s="33" t="s">
        <v>490</v>
      </c>
      <c r="AG145" s="33" t="s">
        <v>50</v>
      </c>
      <c r="AH145" s="33" t="s">
        <v>51</v>
      </c>
    </row>
    <row r="146" spans="1:34" ht="409.6">
      <c r="A146" s="35">
        <v>145</v>
      </c>
      <c r="B146" s="35" t="s">
        <v>831</v>
      </c>
      <c r="C146" s="35" t="s">
        <v>34</v>
      </c>
      <c r="D146" s="35" t="s">
        <v>679</v>
      </c>
      <c r="E146" s="35" t="s">
        <v>832</v>
      </c>
      <c r="F146" s="35" t="s">
        <v>833</v>
      </c>
      <c r="G146" s="35" t="s">
        <v>394</v>
      </c>
      <c r="H146" s="35" t="str">
        <f t="shared" si="4"/>
        <v>Answer</v>
      </c>
      <c r="I146" s="35" t="s">
        <v>39</v>
      </c>
      <c r="J146" s="35"/>
      <c r="K146" s="47"/>
      <c r="L146" s="35" t="s">
        <v>117</v>
      </c>
      <c r="M146" s="35"/>
      <c r="N146" s="35"/>
      <c r="O146" s="35"/>
      <c r="P146" s="35"/>
      <c r="Q146" s="35"/>
      <c r="R146" s="35"/>
      <c r="S146" s="35"/>
      <c r="T146" s="35"/>
      <c r="U146" s="35"/>
      <c r="V146" s="35" t="s">
        <v>79</v>
      </c>
      <c r="W146" s="37">
        <f t="shared" si="5"/>
        <v>0</v>
      </c>
      <c r="X146" s="33" t="s">
        <v>43</v>
      </c>
      <c r="Y146" s="33" t="s">
        <v>213</v>
      </c>
      <c r="Z146" s="33" t="s">
        <v>396</v>
      </c>
      <c r="AA146" s="33" t="s">
        <v>46</v>
      </c>
      <c r="AB146" s="33" t="s">
        <v>834</v>
      </c>
      <c r="AC146" s="33" t="s">
        <v>398</v>
      </c>
      <c r="AD146" s="33" t="s">
        <v>586</v>
      </c>
      <c r="AE146" s="33" t="s">
        <v>490</v>
      </c>
      <c r="AG146" s="33" t="s">
        <v>50</v>
      </c>
      <c r="AH146" s="33" t="s">
        <v>51</v>
      </c>
    </row>
    <row r="147" spans="1:34" ht="409.6">
      <c r="A147" s="35">
        <v>146</v>
      </c>
      <c r="B147" s="35" t="s">
        <v>835</v>
      </c>
      <c r="C147" s="35" t="s">
        <v>34</v>
      </c>
      <c r="D147" s="35" t="s">
        <v>679</v>
      </c>
      <c r="E147" s="35" t="s">
        <v>836</v>
      </c>
      <c r="F147" s="35" t="s">
        <v>837</v>
      </c>
      <c r="G147" s="35" t="s">
        <v>394</v>
      </c>
      <c r="H147" s="35" t="str">
        <f t="shared" si="4"/>
        <v>Answer</v>
      </c>
      <c r="I147" s="35" t="s">
        <v>39</v>
      </c>
      <c r="J147" s="35"/>
      <c r="K147" s="47"/>
      <c r="L147" s="35" t="s">
        <v>395</v>
      </c>
      <c r="M147" s="35"/>
      <c r="N147" s="35"/>
      <c r="O147" s="35"/>
      <c r="P147" s="35"/>
      <c r="Q147" s="35"/>
      <c r="R147" s="35"/>
      <c r="S147" s="35"/>
      <c r="T147" s="35"/>
      <c r="U147" s="35"/>
      <c r="V147" s="35" t="s">
        <v>79</v>
      </c>
      <c r="W147" s="37">
        <f t="shared" si="5"/>
        <v>0</v>
      </c>
      <c r="X147" s="33" t="s">
        <v>43</v>
      </c>
      <c r="Y147" s="33" t="s">
        <v>213</v>
      </c>
      <c r="Z147" s="33" t="s">
        <v>396</v>
      </c>
      <c r="AA147" s="33" t="s">
        <v>119</v>
      </c>
      <c r="AB147" s="33" t="s">
        <v>838</v>
      </c>
      <c r="AC147" s="33" t="s">
        <v>398</v>
      </c>
      <c r="AD147" s="33" t="s">
        <v>489</v>
      </c>
      <c r="AE147" s="33" t="s">
        <v>400</v>
      </c>
      <c r="AG147" s="33" t="s">
        <v>50</v>
      </c>
      <c r="AH147" s="33" t="s">
        <v>51</v>
      </c>
    </row>
    <row r="148" spans="1:34" ht="312">
      <c r="A148" s="35">
        <v>147</v>
      </c>
      <c r="B148" s="35" t="s">
        <v>839</v>
      </c>
      <c r="C148" s="35" t="s">
        <v>34</v>
      </c>
      <c r="D148" s="35" t="s">
        <v>840</v>
      </c>
      <c r="E148" s="35" t="s">
        <v>841</v>
      </c>
      <c r="F148" s="35" t="s">
        <v>842</v>
      </c>
      <c r="G148" s="35" t="s">
        <v>38</v>
      </c>
      <c r="H148" s="35" t="str">
        <f t="shared" si="4"/>
        <v>Verify</v>
      </c>
      <c r="I148" s="35" t="s">
        <v>39</v>
      </c>
      <c r="J148" s="35"/>
      <c r="K148" s="47"/>
      <c r="L148" s="35" t="s">
        <v>40</v>
      </c>
      <c r="M148" s="35"/>
      <c r="N148" s="35"/>
      <c r="O148" s="35" t="s">
        <v>41</v>
      </c>
      <c r="P148" s="35"/>
      <c r="Q148" s="35"/>
      <c r="R148" s="35"/>
      <c r="S148" s="35"/>
      <c r="T148" s="35"/>
      <c r="U148" s="35"/>
      <c r="V148" s="35" t="s">
        <v>42</v>
      </c>
      <c r="W148" s="37">
        <f t="shared" si="5"/>
        <v>0.8</v>
      </c>
      <c r="X148" s="33" t="s">
        <v>43</v>
      </c>
      <c r="Y148" s="33" t="s">
        <v>44</v>
      </c>
      <c r="Z148" s="33" t="s">
        <v>45</v>
      </c>
      <c r="AA148" s="33" t="s">
        <v>46</v>
      </c>
      <c r="AB148" s="33" t="s">
        <v>843</v>
      </c>
      <c r="AD148" s="33" t="s">
        <v>844</v>
      </c>
      <c r="AE148" s="33" t="s">
        <v>49</v>
      </c>
      <c r="AG148" s="33" t="s">
        <v>50</v>
      </c>
      <c r="AH148" s="33" t="s">
        <v>51</v>
      </c>
    </row>
    <row r="149" spans="1:34" ht="265.25">
      <c r="A149" s="35">
        <v>148</v>
      </c>
      <c r="B149" s="35" t="s">
        <v>845</v>
      </c>
      <c r="C149" s="35" t="s">
        <v>34</v>
      </c>
      <c r="D149" s="35" t="s">
        <v>840</v>
      </c>
      <c r="E149" s="35" t="s">
        <v>846</v>
      </c>
      <c r="F149" s="35" t="s">
        <v>847</v>
      </c>
      <c r="G149" s="35" t="s">
        <v>38</v>
      </c>
      <c r="H149" s="35" t="str">
        <f t="shared" si="4"/>
        <v>Verify</v>
      </c>
      <c r="I149" s="35" t="s">
        <v>39</v>
      </c>
      <c r="J149" s="35"/>
      <c r="K149" s="47"/>
      <c r="L149" s="35" t="s">
        <v>40</v>
      </c>
      <c r="M149" s="35"/>
      <c r="N149" s="35"/>
      <c r="O149" s="35" t="s">
        <v>41</v>
      </c>
      <c r="P149" s="35" t="s">
        <v>848</v>
      </c>
      <c r="Q149" s="35"/>
      <c r="R149" s="35"/>
      <c r="S149" s="35"/>
      <c r="T149" s="35"/>
      <c r="U149" s="35"/>
      <c r="V149" s="35" t="s">
        <v>42</v>
      </c>
      <c r="W149" s="37">
        <f t="shared" si="5"/>
        <v>0.8</v>
      </c>
      <c r="X149" s="33" t="s">
        <v>43</v>
      </c>
      <c r="Y149" s="33" t="s">
        <v>44</v>
      </c>
      <c r="Z149" s="33" t="s">
        <v>45</v>
      </c>
      <c r="AA149" s="33" t="s">
        <v>46</v>
      </c>
      <c r="AB149" s="33" t="s">
        <v>849</v>
      </c>
      <c r="AC149" s="33" t="s">
        <v>848</v>
      </c>
      <c r="AD149" s="33" t="s">
        <v>97</v>
      </c>
      <c r="AE149" s="33" t="s">
        <v>49</v>
      </c>
      <c r="AG149" s="33" t="s">
        <v>50</v>
      </c>
      <c r="AH149" s="33" t="s">
        <v>51</v>
      </c>
    </row>
    <row r="150" spans="1:34" ht="265.25">
      <c r="A150" s="35">
        <v>149</v>
      </c>
      <c r="B150" s="35" t="s">
        <v>850</v>
      </c>
      <c r="C150" s="35" t="s">
        <v>34</v>
      </c>
      <c r="D150" s="35" t="s">
        <v>840</v>
      </c>
      <c r="E150" s="35" t="s">
        <v>851</v>
      </c>
      <c r="F150" s="35" t="s">
        <v>852</v>
      </c>
      <c r="G150" s="35" t="s">
        <v>38</v>
      </c>
      <c r="H150" s="35" t="str">
        <f t="shared" si="4"/>
        <v>Verify</v>
      </c>
      <c r="I150" s="35" t="s">
        <v>39</v>
      </c>
      <c r="J150" s="35"/>
      <c r="K150" s="47"/>
      <c r="L150" s="35" t="s">
        <v>40</v>
      </c>
      <c r="M150" s="35"/>
      <c r="N150" s="35"/>
      <c r="O150" s="35" t="s">
        <v>41</v>
      </c>
      <c r="P150" s="35"/>
      <c r="Q150" s="35"/>
      <c r="R150" s="35"/>
      <c r="S150" s="35"/>
      <c r="T150" s="35"/>
      <c r="U150" s="35"/>
      <c r="V150" s="35" t="s">
        <v>42</v>
      </c>
      <c r="W150" s="37">
        <f t="shared" si="5"/>
        <v>0.8</v>
      </c>
      <c r="X150" s="33" t="s">
        <v>43</v>
      </c>
      <c r="Y150" s="33" t="s">
        <v>44</v>
      </c>
      <c r="Z150" s="33" t="s">
        <v>45</v>
      </c>
      <c r="AA150" s="33" t="s">
        <v>46</v>
      </c>
      <c r="AB150" s="33" t="s">
        <v>853</v>
      </c>
      <c r="AD150" s="33" t="s">
        <v>97</v>
      </c>
      <c r="AE150" s="33" t="s">
        <v>49</v>
      </c>
      <c r="AG150" s="33" t="s">
        <v>50</v>
      </c>
      <c r="AH150" s="33" t="s">
        <v>51</v>
      </c>
    </row>
    <row r="151" spans="1:34" ht="265.25">
      <c r="A151" s="35">
        <v>150</v>
      </c>
      <c r="B151" s="35" t="s">
        <v>854</v>
      </c>
      <c r="C151" s="35" t="s">
        <v>34</v>
      </c>
      <c r="D151" s="35" t="s">
        <v>840</v>
      </c>
      <c r="E151" s="35" t="s">
        <v>855</v>
      </c>
      <c r="F151" s="35" t="s">
        <v>856</v>
      </c>
      <c r="G151" s="35" t="s">
        <v>38</v>
      </c>
      <c r="H151" s="35" t="str">
        <f t="shared" si="4"/>
        <v>Verify</v>
      </c>
      <c r="I151" s="35" t="s">
        <v>39</v>
      </c>
      <c r="J151" s="35"/>
      <c r="K151" s="47"/>
      <c r="L151" s="35" t="s">
        <v>40</v>
      </c>
      <c r="M151" s="35"/>
      <c r="N151" s="35"/>
      <c r="O151" s="35" t="s">
        <v>41</v>
      </c>
      <c r="P151" s="35"/>
      <c r="Q151" s="35"/>
      <c r="R151" s="35"/>
      <c r="S151" s="35"/>
      <c r="T151" s="35"/>
      <c r="U151" s="35"/>
      <c r="V151" s="35" t="s">
        <v>42</v>
      </c>
      <c r="W151" s="37">
        <f t="shared" si="5"/>
        <v>0.8</v>
      </c>
      <c r="X151" s="33" t="s">
        <v>43</v>
      </c>
      <c r="Y151" s="33" t="s">
        <v>44</v>
      </c>
      <c r="Z151" s="33" t="s">
        <v>45</v>
      </c>
      <c r="AA151" s="33" t="s">
        <v>46</v>
      </c>
      <c r="AB151" s="33" t="s">
        <v>857</v>
      </c>
      <c r="AD151" s="33" t="s">
        <v>154</v>
      </c>
      <c r="AE151" s="33" t="s">
        <v>49</v>
      </c>
      <c r="AG151" s="33" t="s">
        <v>50</v>
      </c>
      <c r="AH151" s="33" t="s">
        <v>51</v>
      </c>
    </row>
    <row r="152" spans="1:34" ht="265.25">
      <c r="A152" s="35">
        <v>151</v>
      </c>
      <c r="B152" s="35" t="s">
        <v>858</v>
      </c>
      <c r="C152" s="35" t="s">
        <v>34</v>
      </c>
      <c r="D152" s="35" t="s">
        <v>840</v>
      </c>
      <c r="E152" s="35" t="s">
        <v>859</v>
      </c>
      <c r="F152" s="35" t="s">
        <v>860</v>
      </c>
      <c r="G152" s="35" t="s">
        <v>38</v>
      </c>
      <c r="H152" s="35" t="str">
        <f t="shared" si="4"/>
        <v>Verify</v>
      </c>
      <c r="I152" s="35" t="s">
        <v>39</v>
      </c>
      <c r="J152" s="35"/>
      <c r="K152" s="47"/>
      <c r="L152" s="35" t="s">
        <v>40</v>
      </c>
      <c r="M152" s="35"/>
      <c r="N152" s="35"/>
      <c r="O152" s="35" t="s">
        <v>41</v>
      </c>
      <c r="P152" s="35"/>
      <c r="Q152" s="35"/>
      <c r="R152" s="35"/>
      <c r="S152" s="35"/>
      <c r="T152" s="35"/>
      <c r="U152" s="35"/>
      <c r="V152" s="35" t="s">
        <v>42</v>
      </c>
      <c r="W152" s="37">
        <f t="shared" si="5"/>
        <v>0.8</v>
      </c>
      <c r="X152" s="33" t="s">
        <v>43</v>
      </c>
      <c r="Y152" s="33" t="s">
        <v>44</v>
      </c>
      <c r="Z152" s="33" t="s">
        <v>45</v>
      </c>
      <c r="AA152" s="33" t="s">
        <v>46</v>
      </c>
      <c r="AB152" s="33" t="s">
        <v>861</v>
      </c>
      <c r="AD152" s="33" t="s">
        <v>159</v>
      </c>
      <c r="AE152" s="33" t="s">
        <v>49</v>
      </c>
      <c r="AG152" s="33" t="s">
        <v>50</v>
      </c>
      <c r="AH152" s="33" t="s">
        <v>51</v>
      </c>
    </row>
    <row r="153" spans="1:34" ht="265.25">
      <c r="A153" s="35">
        <v>152</v>
      </c>
      <c r="B153" s="35" t="s">
        <v>862</v>
      </c>
      <c r="C153" s="35" t="s">
        <v>34</v>
      </c>
      <c r="D153" s="35" t="s">
        <v>840</v>
      </c>
      <c r="E153" s="35" t="s">
        <v>863</v>
      </c>
      <c r="F153" s="35" t="s">
        <v>864</v>
      </c>
      <c r="G153" s="35" t="s">
        <v>38</v>
      </c>
      <c r="H153" s="35" t="str">
        <f t="shared" si="4"/>
        <v>Verify</v>
      </c>
      <c r="I153" s="35" t="s">
        <v>39</v>
      </c>
      <c r="J153" s="35"/>
      <c r="K153" s="47"/>
      <c r="L153" s="35" t="s">
        <v>40</v>
      </c>
      <c r="M153" s="35"/>
      <c r="N153" s="35"/>
      <c r="O153" s="35" t="s">
        <v>41</v>
      </c>
      <c r="P153" s="35"/>
      <c r="Q153" s="35"/>
      <c r="R153" s="35"/>
      <c r="S153" s="35"/>
      <c r="T153" s="35"/>
      <c r="U153" s="35"/>
      <c r="V153" s="35" t="s">
        <v>42</v>
      </c>
      <c r="W153" s="37">
        <f t="shared" si="5"/>
        <v>0.8</v>
      </c>
      <c r="X153" s="33" t="s">
        <v>43</v>
      </c>
      <c r="Y153" s="33" t="s">
        <v>44</v>
      </c>
      <c r="Z153" s="33" t="s">
        <v>45</v>
      </c>
      <c r="AA153" s="33" t="s">
        <v>46</v>
      </c>
      <c r="AB153" s="33" t="s">
        <v>865</v>
      </c>
      <c r="AD153" s="33" t="s">
        <v>154</v>
      </c>
      <c r="AE153" s="33" t="s">
        <v>49</v>
      </c>
      <c r="AG153" s="33" t="s">
        <v>50</v>
      </c>
      <c r="AH153" s="33" t="s">
        <v>51</v>
      </c>
    </row>
    <row r="154" spans="1:34" ht="265.25">
      <c r="A154" s="35">
        <v>153</v>
      </c>
      <c r="B154" s="35" t="s">
        <v>866</v>
      </c>
      <c r="C154" s="35" t="s">
        <v>34</v>
      </c>
      <c r="D154" s="35" t="s">
        <v>840</v>
      </c>
      <c r="E154" s="35" t="s">
        <v>867</v>
      </c>
      <c r="F154" s="35" t="s">
        <v>868</v>
      </c>
      <c r="G154" s="35" t="s">
        <v>38</v>
      </c>
      <c r="H154" s="35" t="str">
        <f t="shared" si="4"/>
        <v>Verify</v>
      </c>
      <c r="I154" s="35" t="s">
        <v>39</v>
      </c>
      <c r="J154" s="35"/>
      <c r="K154" s="47"/>
      <c r="L154" s="35" t="s">
        <v>40</v>
      </c>
      <c r="M154" s="35"/>
      <c r="N154" s="35"/>
      <c r="O154" s="35" t="s">
        <v>41</v>
      </c>
      <c r="P154" s="35" t="s">
        <v>869</v>
      </c>
      <c r="Q154" s="35"/>
      <c r="R154" s="35"/>
      <c r="S154" s="35"/>
      <c r="T154" s="35"/>
      <c r="U154" s="35"/>
      <c r="V154" s="35" t="s">
        <v>42</v>
      </c>
      <c r="W154" s="37">
        <f t="shared" si="5"/>
        <v>0.8</v>
      </c>
      <c r="X154" s="33" t="s">
        <v>43</v>
      </c>
      <c r="Y154" s="33" t="s">
        <v>44</v>
      </c>
      <c r="Z154" s="33" t="s">
        <v>45</v>
      </c>
      <c r="AA154" s="33" t="s">
        <v>46</v>
      </c>
      <c r="AB154" s="33" t="s">
        <v>870</v>
      </c>
      <c r="AD154" s="33" t="s">
        <v>159</v>
      </c>
      <c r="AE154" s="33" t="s">
        <v>49</v>
      </c>
      <c r="AG154" s="33" t="s">
        <v>50</v>
      </c>
      <c r="AH154" s="33" t="s">
        <v>51</v>
      </c>
    </row>
    <row r="155" spans="1:34" ht="265.25">
      <c r="A155" s="35">
        <v>154</v>
      </c>
      <c r="B155" s="35" t="s">
        <v>871</v>
      </c>
      <c r="C155" s="35" t="s">
        <v>34</v>
      </c>
      <c r="D155" s="35" t="s">
        <v>840</v>
      </c>
      <c r="E155" s="35" t="s">
        <v>872</v>
      </c>
      <c r="F155" s="35" t="s">
        <v>873</v>
      </c>
      <c r="G155" s="35" t="s">
        <v>38</v>
      </c>
      <c r="H155" s="35" t="str">
        <f t="shared" si="4"/>
        <v>Verify</v>
      </c>
      <c r="I155" s="35" t="s">
        <v>39</v>
      </c>
      <c r="J155" s="35"/>
      <c r="K155" s="47"/>
      <c r="L155" s="35" t="s">
        <v>40</v>
      </c>
      <c r="M155" s="35"/>
      <c r="N155" s="35"/>
      <c r="O155" s="35" t="s">
        <v>41</v>
      </c>
      <c r="P155" s="35" t="s">
        <v>874</v>
      </c>
      <c r="Q155" s="35"/>
      <c r="R155" s="35"/>
      <c r="S155" s="35"/>
      <c r="T155" s="35"/>
      <c r="U155" s="35"/>
      <c r="V155" s="35" t="s">
        <v>42</v>
      </c>
      <c r="W155" s="37">
        <f t="shared" si="5"/>
        <v>0.8</v>
      </c>
      <c r="X155" s="33" t="s">
        <v>43</v>
      </c>
      <c r="Y155" s="33" t="s">
        <v>44</v>
      </c>
      <c r="Z155" s="33" t="s">
        <v>45</v>
      </c>
      <c r="AA155" s="33" t="s">
        <v>46</v>
      </c>
      <c r="AB155" s="33" t="s">
        <v>875</v>
      </c>
      <c r="AC155" s="33" t="s">
        <v>874</v>
      </c>
      <c r="AD155" s="33" t="s">
        <v>358</v>
      </c>
      <c r="AE155" s="33" t="s">
        <v>49</v>
      </c>
      <c r="AG155" s="33" t="s">
        <v>50</v>
      </c>
      <c r="AH155" s="33" t="s">
        <v>51</v>
      </c>
    </row>
    <row r="156" spans="1:34" ht="124.75">
      <c r="A156" s="35">
        <v>155</v>
      </c>
      <c r="B156" s="35" t="s">
        <v>876</v>
      </c>
      <c r="C156" s="35" t="s">
        <v>34</v>
      </c>
      <c r="D156" s="35" t="s">
        <v>840</v>
      </c>
      <c r="E156" s="35" t="s">
        <v>877</v>
      </c>
      <c r="F156" s="35" t="s">
        <v>878</v>
      </c>
      <c r="G156" s="35" t="s">
        <v>38</v>
      </c>
      <c r="H156" s="35" t="str">
        <f t="shared" si="4"/>
        <v>Verify</v>
      </c>
      <c r="I156" s="35" t="s">
        <v>39</v>
      </c>
      <c r="J156" s="35"/>
      <c r="K156" s="47"/>
      <c r="L156" s="35" t="s">
        <v>168</v>
      </c>
      <c r="M156" s="35"/>
      <c r="N156" s="35"/>
      <c r="O156" s="35" t="s">
        <v>76</v>
      </c>
      <c r="P156" s="35" t="s">
        <v>879</v>
      </c>
      <c r="Q156" s="35">
        <v>433888</v>
      </c>
      <c r="R156" s="35" t="s">
        <v>78</v>
      </c>
      <c r="S156" s="35"/>
      <c r="T156" s="35"/>
      <c r="U156" s="35"/>
      <c r="V156" s="35" t="s">
        <v>79</v>
      </c>
      <c r="W156" s="37">
        <f t="shared" si="5"/>
        <v>0</v>
      </c>
      <c r="X156" s="33" t="s">
        <v>43</v>
      </c>
      <c r="Y156" s="33" t="s">
        <v>213</v>
      </c>
      <c r="Z156" s="33" t="s">
        <v>214</v>
      </c>
      <c r="AA156" s="33" t="s">
        <v>119</v>
      </c>
      <c r="AB156" s="33" t="s">
        <v>880</v>
      </c>
      <c r="AC156" s="33" t="s">
        <v>881</v>
      </c>
      <c r="AD156" s="33" t="s">
        <v>484</v>
      </c>
      <c r="AE156" s="33" t="s">
        <v>218</v>
      </c>
      <c r="AG156" s="33" t="s">
        <v>50</v>
      </c>
      <c r="AH156" s="33" t="s">
        <v>51</v>
      </c>
    </row>
    <row r="157" spans="1:34" ht="312">
      <c r="A157" s="35">
        <v>156</v>
      </c>
      <c r="B157" s="35" t="s">
        <v>882</v>
      </c>
      <c r="C157" s="35" t="s">
        <v>34</v>
      </c>
      <c r="D157" s="35" t="s">
        <v>840</v>
      </c>
      <c r="E157" s="35" t="s">
        <v>883</v>
      </c>
      <c r="F157" s="35" t="s">
        <v>884</v>
      </c>
      <c r="G157" s="35" t="s">
        <v>38</v>
      </c>
      <c r="H157" s="35" t="str">
        <f t="shared" si="4"/>
        <v>Verify</v>
      </c>
      <c r="I157" s="35" t="s">
        <v>39</v>
      </c>
      <c r="J157" s="35"/>
      <c r="K157" s="47"/>
      <c r="L157" s="35" t="s">
        <v>40</v>
      </c>
      <c r="M157" s="35"/>
      <c r="N157" s="35"/>
      <c r="O157" s="35" t="s">
        <v>41</v>
      </c>
      <c r="P157" s="35"/>
      <c r="Q157" s="35"/>
      <c r="R157" s="35"/>
      <c r="S157" s="35"/>
      <c r="T157" s="35"/>
      <c r="U157" s="35"/>
      <c r="V157" s="35" t="s">
        <v>42</v>
      </c>
      <c r="W157" s="37">
        <f t="shared" si="5"/>
        <v>0.8</v>
      </c>
      <c r="X157" s="33" t="s">
        <v>43</v>
      </c>
      <c r="Y157" s="33" t="s">
        <v>44</v>
      </c>
      <c r="Z157" s="33" t="s">
        <v>45</v>
      </c>
      <c r="AA157" s="33" t="s">
        <v>46</v>
      </c>
      <c r="AB157" s="33" t="s">
        <v>885</v>
      </c>
      <c r="AD157" s="33" t="s">
        <v>844</v>
      </c>
      <c r="AE157" s="33" t="s">
        <v>49</v>
      </c>
      <c r="AG157" s="33" t="s">
        <v>50</v>
      </c>
      <c r="AH157" s="33" t="s">
        <v>51</v>
      </c>
    </row>
    <row r="158" spans="1:34" ht="109.25">
      <c r="A158" s="35">
        <v>157</v>
      </c>
      <c r="B158" s="35" t="s">
        <v>886</v>
      </c>
      <c r="C158" s="35" t="s">
        <v>34</v>
      </c>
      <c r="D158" s="35" t="s">
        <v>840</v>
      </c>
      <c r="E158" s="35" t="s">
        <v>851</v>
      </c>
      <c r="F158" s="35" t="s">
        <v>887</v>
      </c>
      <c r="G158" s="35" t="s">
        <v>38</v>
      </c>
      <c r="H158" s="35" t="str">
        <f t="shared" si="4"/>
        <v>Verify</v>
      </c>
      <c r="I158" s="35" t="s">
        <v>39</v>
      </c>
      <c r="J158" s="35"/>
      <c r="K158" s="47"/>
      <c r="L158" s="35" t="s">
        <v>40</v>
      </c>
      <c r="M158" s="35"/>
      <c r="N158" s="35"/>
      <c r="O158" s="35" t="s">
        <v>41</v>
      </c>
      <c r="P158" s="35"/>
      <c r="Q158" s="35"/>
      <c r="R158" s="35"/>
      <c r="S158" s="35"/>
      <c r="T158" s="35"/>
      <c r="U158" s="35"/>
      <c r="V158" s="35" t="s">
        <v>42</v>
      </c>
      <c r="W158" s="37">
        <f t="shared" si="5"/>
        <v>0.8</v>
      </c>
      <c r="X158" s="33" t="s">
        <v>43</v>
      </c>
      <c r="Y158" s="33" t="s">
        <v>213</v>
      </c>
      <c r="Z158" s="33" t="s">
        <v>45</v>
      </c>
      <c r="AA158" s="33" t="s">
        <v>119</v>
      </c>
      <c r="AB158" s="33" t="s">
        <v>853</v>
      </c>
      <c r="AC158" s="33" t="s">
        <v>888</v>
      </c>
      <c r="AD158" s="33" t="s">
        <v>889</v>
      </c>
      <c r="AE158" s="33" t="s">
        <v>49</v>
      </c>
      <c r="AG158" s="33" t="s">
        <v>50</v>
      </c>
      <c r="AH158" s="33" t="s">
        <v>51</v>
      </c>
    </row>
    <row r="159" spans="1:34" ht="265.25">
      <c r="A159" s="35">
        <v>158</v>
      </c>
      <c r="B159" s="35" t="s">
        <v>890</v>
      </c>
      <c r="C159" s="35" t="s">
        <v>34</v>
      </c>
      <c r="D159" s="35" t="s">
        <v>840</v>
      </c>
      <c r="E159" s="35" t="s">
        <v>891</v>
      </c>
      <c r="F159" s="35" t="s">
        <v>892</v>
      </c>
      <c r="G159" s="35" t="s">
        <v>116</v>
      </c>
      <c r="H159" s="35" t="str">
        <f t="shared" si="4"/>
        <v>Check</v>
      </c>
      <c r="I159" s="35" t="s">
        <v>39</v>
      </c>
      <c r="J159" s="35"/>
      <c r="K159" s="47"/>
      <c r="L159" s="35" t="s">
        <v>40</v>
      </c>
      <c r="M159" s="35"/>
      <c r="N159" s="35"/>
      <c r="O159" s="35" t="s">
        <v>41</v>
      </c>
      <c r="P159" s="35" t="s">
        <v>893</v>
      </c>
      <c r="Q159" s="35"/>
      <c r="R159" s="35"/>
      <c r="S159" s="35"/>
      <c r="T159" s="35"/>
      <c r="U159" s="35"/>
      <c r="V159" s="35" t="s">
        <v>42</v>
      </c>
      <c r="W159" s="37">
        <f t="shared" si="5"/>
        <v>0.8</v>
      </c>
      <c r="X159" s="33" t="s">
        <v>43</v>
      </c>
      <c r="Y159" s="33" t="s">
        <v>44</v>
      </c>
      <c r="Z159" s="33" t="s">
        <v>45</v>
      </c>
      <c r="AA159" s="33" t="s">
        <v>46</v>
      </c>
      <c r="AB159" s="33" t="s">
        <v>894</v>
      </c>
      <c r="AC159" s="33" t="s">
        <v>893</v>
      </c>
      <c r="AD159" s="33" t="s">
        <v>132</v>
      </c>
      <c r="AE159" s="33" t="s">
        <v>49</v>
      </c>
      <c r="AG159" s="33" t="s">
        <v>50</v>
      </c>
      <c r="AH159" s="33" t="s">
        <v>51</v>
      </c>
    </row>
    <row r="160" spans="1:34" ht="409.6">
      <c r="A160" s="35">
        <v>159</v>
      </c>
      <c r="B160" s="35" t="s">
        <v>895</v>
      </c>
      <c r="C160" s="35" t="s">
        <v>34</v>
      </c>
      <c r="D160" s="35" t="s">
        <v>840</v>
      </c>
      <c r="E160" s="35" t="s">
        <v>896</v>
      </c>
      <c r="F160" s="35" t="s">
        <v>897</v>
      </c>
      <c r="G160" s="35" t="s">
        <v>394</v>
      </c>
      <c r="H160" s="35" t="str">
        <f t="shared" si="4"/>
        <v>Answer</v>
      </c>
      <c r="I160" s="35" t="s">
        <v>39</v>
      </c>
      <c r="J160" s="35"/>
      <c r="K160" s="47"/>
      <c r="L160" s="35" t="s">
        <v>307</v>
      </c>
      <c r="M160" s="35"/>
      <c r="N160" s="35"/>
      <c r="O160" s="35"/>
      <c r="P160" s="35"/>
      <c r="Q160" s="35"/>
      <c r="R160" s="35"/>
      <c r="S160" s="35"/>
      <c r="T160" s="35"/>
      <c r="U160" s="35"/>
      <c r="V160" s="35" t="s">
        <v>79</v>
      </c>
      <c r="W160" s="37">
        <f t="shared" si="5"/>
        <v>0</v>
      </c>
      <c r="X160" s="33" t="s">
        <v>43</v>
      </c>
      <c r="Y160" s="33" t="s">
        <v>213</v>
      </c>
      <c r="Z160" s="33" t="s">
        <v>396</v>
      </c>
      <c r="AA160" s="33" t="s">
        <v>119</v>
      </c>
      <c r="AB160" s="33" t="s">
        <v>898</v>
      </c>
      <c r="AC160" s="33" t="s">
        <v>398</v>
      </c>
      <c r="AD160" s="33" t="s">
        <v>899</v>
      </c>
      <c r="AE160" s="33" t="s">
        <v>596</v>
      </c>
      <c r="AG160" s="33" t="s">
        <v>50</v>
      </c>
      <c r="AH160" s="33" t="s">
        <v>51</v>
      </c>
    </row>
    <row r="161" spans="1:34" ht="409.6">
      <c r="A161" s="35">
        <v>160</v>
      </c>
      <c r="B161" s="35" t="s">
        <v>900</v>
      </c>
      <c r="C161" s="35" t="s">
        <v>34</v>
      </c>
      <c r="D161" s="35" t="s">
        <v>901</v>
      </c>
      <c r="E161" s="35" t="s">
        <v>902</v>
      </c>
      <c r="F161" s="35" t="s">
        <v>903</v>
      </c>
      <c r="G161" s="35" t="s">
        <v>394</v>
      </c>
      <c r="H161" s="35" t="str">
        <f t="shared" si="4"/>
        <v>Answer</v>
      </c>
      <c r="I161" s="35" t="s">
        <v>39</v>
      </c>
      <c r="J161" s="35"/>
      <c r="K161" s="47"/>
      <c r="L161" s="35" t="s">
        <v>307</v>
      </c>
      <c r="M161" s="35"/>
      <c r="N161" s="35"/>
      <c r="O161" s="35"/>
      <c r="P161" s="35"/>
      <c r="Q161" s="35"/>
      <c r="R161" s="35"/>
      <c r="S161" s="35"/>
      <c r="T161" s="35"/>
      <c r="U161" s="35"/>
      <c r="V161" s="35" t="s">
        <v>79</v>
      </c>
      <c r="W161" s="37">
        <f t="shared" si="5"/>
        <v>0</v>
      </c>
      <c r="X161" s="33" t="s">
        <v>43</v>
      </c>
      <c r="Y161" s="33" t="s">
        <v>213</v>
      </c>
      <c r="Z161" s="33" t="s">
        <v>396</v>
      </c>
      <c r="AA161" s="33" t="s">
        <v>46</v>
      </c>
      <c r="AB161" s="33" t="s">
        <v>904</v>
      </c>
      <c r="AC161" s="33" t="s">
        <v>398</v>
      </c>
      <c r="AD161" s="33" t="s">
        <v>905</v>
      </c>
      <c r="AE161" s="33" t="s">
        <v>596</v>
      </c>
      <c r="AG161" s="33" t="s">
        <v>50</v>
      </c>
      <c r="AH161" s="33" t="s">
        <v>51</v>
      </c>
    </row>
    <row r="162" spans="1:34" ht="171.65">
      <c r="A162" s="35">
        <v>161</v>
      </c>
      <c r="B162" s="35" t="s">
        <v>906</v>
      </c>
      <c r="C162" s="35" t="s">
        <v>34</v>
      </c>
      <c r="D162" s="35" t="s">
        <v>907</v>
      </c>
      <c r="E162" s="35" t="s">
        <v>907</v>
      </c>
      <c r="F162" s="35" t="s">
        <v>908</v>
      </c>
      <c r="G162" s="35" t="s">
        <v>38</v>
      </c>
      <c r="H162" s="35" t="str">
        <f t="shared" si="4"/>
        <v>Verify</v>
      </c>
      <c r="I162" s="35" t="s">
        <v>39</v>
      </c>
      <c r="J162" s="35"/>
      <c r="K162" s="47"/>
      <c r="L162" s="35" t="s">
        <v>307</v>
      </c>
      <c r="M162" s="35"/>
      <c r="N162" s="35"/>
      <c r="O162" s="35" t="s">
        <v>41</v>
      </c>
      <c r="P162" s="35" t="s">
        <v>909</v>
      </c>
      <c r="Q162" s="35"/>
      <c r="R162" s="35"/>
      <c r="S162" s="35"/>
      <c r="T162" s="35"/>
      <c r="U162" s="35"/>
      <c r="V162" s="35" t="s">
        <v>2155</v>
      </c>
      <c r="W162" s="37">
        <f t="shared" si="5"/>
        <v>0.7</v>
      </c>
      <c r="X162" s="33" t="s">
        <v>43</v>
      </c>
      <c r="Y162" s="33" t="s">
        <v>213</v>
      </c>
      <c r="Z162" s="33" t="s">
        <v>658</v>
      </c>
      <c r="AA162" s="33" t="s">
        <v>119</v>
      </c>
      <c r="AB162" s="33" t="s">
        <v>910</v>
      </c>
      <c r="AC162" s="33" t="s">
        <v>911</v>
      </c>
      <c r="AD162" s="33" t="s">
        <v>912</v>
      </c>
      <c r="AE162" s="33" t="s">
        <v>913</v>
      </c>
      <c r="AG162" s="33" t="s">
        <v>50</v>
      </c>
      <c r="AH162" s="33" t="s">
        <v>51</v>
      </c>
    </row>
    <row r="163" spans="1:34" ht="234">
      <c r="A163" s="35">
        <v>162</v>
      </c>
      <c r="B163" s="35" t="s">
        <v>914</v>
      </c>
      <c r="C163" s="35" t="s">
        <v>34</v>
      </c>
      <c r="D163" s="35" t="s">
        <v>915</v>
      </c>
      <c r="E163" s="35" t="s">
        <v>916</v>
      </c>
      <c r="F163" s="35" t="s">
        <v>917</v>
      </c>
      <c r="G163" s="35" t="s">
        <v>38</v>
      </c>
      <c r="H163" s="35" t="str">
        <f t="shared" si="4"/>
        <v>Verify</v>
      </c>
      <c r="I163" s="35" t="s">
        <v>39</v>
      </c>
      <c r="J163" s="35"/>
      <c r="K163" s="47"/>
      <c r="L163" s="35" t="s">
        <v>40</v>
      </c>
      <c r="M163" s="35"/>
      <c r="N163" s="35"/>
      <c r="O163" s="35" t="s">
        <v>41</v>
      </c>
      <c r="P163" s="35"/>
      <c r="Q163" s="35"/>
      <c r="R163" s="35"/>
      <c r="S163" s="35"/>
      <c r="T163" s="35"/>
      <c r="U163" s="35"/>
      <c r="V163" s="35" t="s">
        <v>42</v>
      </c>
      <c r="W163" s="37">
        <f t="shared" si="5"/>
        <v>0.8</v>
      </c>
      <c r="X163" s="33" t="s">
        <v>43</v>
      </c>
      <c r="Y163" s="33" t="s">
        <v>44</v>
      </c>
      <c r="Z163" s="33" t="s">
        <v>45</v>
      </c>
      <c r="AA163" s="33" t="s">
        <v>46</v>
      </c>
      <c r="AB163" s="33" t="s">
        <v>918</v>
      </c>
      <c r="AD163" s="33" t="s">
        <v>919</v>
      </c>
      <c r="AE163" s="33" t="s">
        <v>49</v>
      </c>
      <c r="AG163" s="33" t="s">
        <v>50</v>
      </c>
      <c r="AH163" s="33" t="s">
        <v>51</v>
      </c>
    </row>
    <row r="164" spans="1:34" ht="265.25">
      <c r="A164" s="35">
        <v>163</v>
      </c>
      <c r="B164" s="35" t="s">
        <v>920</v>
      </c>
      <c r="C164" s="35" t="s">
        <v>34</v>
      </c>
      <c r="D164" s="35" t="s">
        <v>915</v>
      </c>
      <c r="E164" s="35" t="s">
        <v>921</v>
      </c>
      <c r="F164" s="35" t="s">
        <v>922</v>
      </c>
      <c r="G164" s="35" t="s">
        <v>38</v>
      </c>
      <c r="H164" s="35" t="str">
        <f t="shared" si="4"/>
        <v>Verify</v>
      </c>
      <c r="I164" s="35" t="s">
        <v>39</v>
      </c>
      <c r="J164" s="35"/>
      <c r="K164" s="47"/>
      <c r="L164" s="35" t="s">
        <v>40</v>
      </c>
      <c r="M164" s="35"/>
      <c r="N164" s="35"/>
      <c r="O164" s="35" t="s">
        <v>41</v>
      </c>
      <c r="P164" s="35"/>
      <c r="Q164" s="35"/>
      <c r="R164" s="35"/>
      <c r="S164" s="35"/>
      <c r="T164" s="35"/>
      <c r="U164" s="35"/>
      <c r="V164" s="35" t="s">
        <v>42</v>
      </c>
      <c r="W164" s="37">
        <f t="shared" si="5"/>
        <v>0.8</v>
      </c>
      <c r="X164" s="33" t="s">
        <v>43</v>
      </c>
      <c r="Y164" s="33" t="s">
        <v>44</v>
      </c>
      <c r="Z164" s="33" t="s">
        <v>45</v>
      </c>
      <c r="AA164" s="33" t="s">
        <v>46</v>
      </c>
      <c r="AB164" s="33" t="s">
        <v>923</v>
      </c>
      <c r="AD164" s="33" t="s">
        <v>97</v>
      </c>
      <c r="AE164" s="33" t="s">
        <v>49</v>
      </c>
      <c r="AG164" s="33" t="s">
        <v>50</v>
      </c>
      <c r="AH164" s="33" t="s">
        <v>51</v>
      </c>
    </row>
    <row r="165" spans="1:34" ht="265.25">
      <c r="A165" s="35">
        <v>164</v>
      </c>
      <c r="B165" s="35" t="s">
        <v>924</v>
      </c>
      <c r="C165" s="35" t="s">
        <v>34</v>
      </c>
      <c r="D165" s="35" t="s">
        <v>915</v>
      </c>
      <c r="E165" s="35" t="s">
        <v>925</v>
      </c>
      <c r="F165" s="35" t="s">
        <v>926</v>
      </c>
      <c r="G165" s="35" t="s">
        <v>38</v>
      </c>
      <c r="H165" s="35" t="str">
        <f t="shared" si="4"/>
        <v>Verify</v>
      </c>
      <c r="I165" s="35" t="s">
        <v>39</v>
      </c>
      <c r="J165" s="35"/>
      <c r="K165" s="47"/>
      <c r="L165" s="35" t="s">
        <v>40</v>
      </c>
      <c r="M165" s="35"/>
      <c r="N165" s="35"/>
      <c r="O165" s="35" t="s">
        <v>41</v>
      </c>
      <c r="P165" s="35"/>
      <c r="Q165" s="35"/>
      <c r="R165" s="35"/>
      <c r="S165" s="35"/>
      <c r="T165" s="35"/>
      <c r="U165" s="35"/>
      <c r="V165" s="35" t="s">
        <v>42</v>
      </c>
      <c r="W165" s="37">
        <f t="shared" si="5"/>
        <v>0.8</v>
      </c>
      <c r="X165" s="33" t="s">
        <v>43</v>
      </c>
      <c r="Y165" s="33" t="s">
        <v>44</v>
      </c>
      <c r="Z165" s="33" t="s">
        <v>45</v>
      </c>
      <c r="AA165" s="33" t="s">
        <v>46</v>
      </c>
      <c r="AB165" s="33" t="s">
        <v>927</v>
      </c>
      <c r="AD165" s="33" t="s">
        <v>97</v>
      </c>
      <c r="AE165" s="33" t="s">
        <v>49</v>
      </c>
      <c r="AG165" s="33" t="s">
        <v>50</v>
      </c>
      <c r="AH165" s="33" t="s">
        <v>51</v>
      </c>
    </row>
    <row r="166" spans="1:34" ht="265.25">
      <c r="A166" s="35">
        <v>165</v>
      </c>
      <c r="B166" s="35" t="s">
        <v>928</v>
      </c>
      <c r="C166" s="35" t="s">
        <v>34</v>
      </c>
      <c r="D166" s="35" t="s">
        <v>915</v>
      </c>
      <c r="E166" s="35" t="s">
        <v>929</v>
      </c>
      <c r="F166" s="35" t="s">
        <v>930</v>
      </c>
      <c r="G166" s="35" t="s">
        <v>38</v>
      </c>
      <c r="H166" s="35" t="str">
        <f t="shared" si="4"/>
        <v>Verify</v>
      </c>
      <c r="I166" s="35" t="s">
        <v>39</v>
      </c>
      <c r="J166" s="35"/>
      <c r="K166" s="47"/>
      <c r="L166" s="35" t="s">
        <v>40</v>
      </c>
      <c r="M166" s="35"/>
      <c r="N166" s="35"/>
      <c r="O166" s="35" t="s">
        <v>41</v>
      </c>
      <c r="P166" s="35"/>
      <c r="Q166" s="35"/>
      <c r="R166" s="35"/>
      <c r="S166" s="35"/>
      <c r="T166" s="35"/>
      <c r="U166" s="35"/>
      <c r="V166" s="35" t="s">
        <v>42</v>
      </c>
      <c r="W166" s="37">
        <f t="shared" si="5"/>
        <v>0.8</v>
      </c>
      <c r="X166" s="33" t="s">
        <v>43</v>
      </c>
      <c r="Y166" s="33" t="s">
        <v>44</v>
      </c>
      <c r="Z166" s="33" t="s">
        <v>45</v>
      </c>
      <c r="AA166" s="33" t="s">
        <v>46</v>
      </c>
      <c r="AB166" s="33" t="s">
        <v>931</v>
      </c>
      <c r="AD166" s="33" t="s">
        <v>159</v>
      </c>
      <c r="AE166" s="33" t="s">
        <v>49</v>
      </c>
      <c r="AG166" s="33" t="s">
        <v>50</v>
      </c>
      <c r="AH166" s="33" t="s">
        <v>51</v>
      </c>
    </row>
    <row r="167" spans="1:34" ht="265.25">
      <c r="A167" s="35">
        <v>166</v>
      </c>
      <c r="B167" s="35" t="s">
        <v>932</v>
      </c>
      <c r="C167" s="35" t="s">
        <v>34</v>
      </c>
      <c r="D167" s="35" t="s">
        <v>915</v>
      </c>
      <c r="E167" s="35" t="s">
        <v>933</v>
      </c>
      <c r="F167" s="35" t="s">
        <v>934</v>
      </c>
      <c r="G167" s="35" t="s">
        <v>38</v>
      </c>
      <c r="H167" s="35" t="str">
        <f t="shared" si="4"/>
        <v>Verify</v>
      </c>
      <c r="I167" s="35" t="s">
        <v>39</v>
      </c>
      <c r="J167" s="35"/>
      <c r="K167" s="47"/>
      <c r="L167" s="35" t="s">
        <v>40</v>
      </c>
      <c r="M167" s="35"/>
      <c r="N167" s="35"/>
      <c r="O167" s="35" t="s">
        <v>41</v>
      </c>
      <c r="P167" s="35"/>
      <c r="Q167" s="35"/>
      <c r="R167" s="35"/>
      <c r="S167" s="35"/>
      <c r="T167" s="35"/>
      <c r="U167" s="35"/>
      <c r="V167" s="35" t="s">
        <v>42</v>
      </c>
      <c r="W167" s="37">
        <f t="shared" si="5"/>
        <v>0.8</v>
      </c>
      <c r="X167" s="33" t="s">
        <v>43</v>
      </c>
      <c r="Y167" s="33" t="s">
        <v>44</v>
      </c>
      <c r="Z167" s="33" t="s">
        <v>45</v>
      </c>
      <c r="AA167" s="33" t="s">
        <v>46</v>
      </c>
      <c r="AB167" s="33" t="s">
        <v>935</v>
      </c>
      <c r="AD167" s="33" t="s">
        <v>159</v>
      </c>
      <c r="AE167" s="33" t="s">
        <v>49</v>
      </c>
      <c r="AG167" s="33" t="s">
        <v>50</v>
      </c>
      <c r="AH167" s="33" t="s">
        <v>51</v>
      </c>
    </row>
    <row r="168" spans="1:34" ht="93.65">
      <c r="A168" s="35">
        <v>167</v>
      </c>
      <c r="B168" s="35" t="s">
        <v>936</v>
      </c>
      <c r="C168" s="35" t="s">
        <v>34</v>
      </c>
      <c r="D168" s="35" t="s">
        <v>915</v>
      </c>
      <c r="E168" s="35" t="s">
        <v>937</v>
      </c>
      <c r="F168" s="35" t="s">
        <v>938</v>
      </c>
      <c r="G168" s="35" t="s">
        <v>38</v>
      </c>
      <c r="H168" s="35" t="str">
        <f t="shared" si="4"/>
        <v>Verify</v>
      </c>
      <c r="I168" s="35" t="s">
        <v>39</v>
      </c>
      <c r="J168" s="35"/>
      <c r="K168" s="47"/>
      <c r="L168" s="35" t="s">
        <v>40</v>
      </c>
      <c r="M168" s="35"/>
      <c r="N168" s="35"/>
      <c r="O168" s="35" t="s">
        <v>41</v>
      </c>
      <c r="P168" s="35"/>
      <c r="Q168" s="35"/>
      <c r="R168" s="35"/>
      <c r="S168" s="35"/>
      <c r="T168" s="35"/>
      <c r="U168" s="35"/>
      <c r="V168" s="35" t="s">
        <v>42</v>
      </c>
      <c r="W168" s="37">
        <f t="shared" si="5"/>
        <v>0.8</v>
      </c>
      <c r="X168" s="33" t="s">
        <v>43</v>
      </c>
      <c r="Y168" s="33" t="s">
        <v>213</v>
      </c>
      <c r="Z168" s="33" t="s">
        <v>45</v>
      </c>
      <c r="AA168" s="33" t="s">
        <v>119</v>
      </c>
      <c r="AB168" s="33" t="s">
        <v>939</v>
      </c>
      <c r="AC168" s="33" t="s">
        <v>940</v>
      </c>
      <c r="AD168" s="33" t="s">
        <v>941</v>
      </c>
      <c r="AE168" s="33" t="s">
        <v>49</v>
      </c>
      <c r="AG168" s="33" t="s">
        <v>50</v>
      </c>
      <c r="AH168" s="33" t="s">
        <v>51</v>
      </c>
    </row>
    <row r="169" spans="1:34" ht="144">
      <c r="A169" s="35">
        <v>168</v>
      </c>
      <c r="B169" s="35" t="s">
        <v>942</v>
      </c>
      <c r="C169" s="35" t="s">
        <v>34</v>
      </c>
      <c r="D169" s="35" t="s">
        <v>915</v>
      </c>
      <c r="E169" s="35" t="s">
        <v>943</v>
      </c>
      <c r="F169" s="35" t="s">
        <v>944</v>
      </c>
      <c r="G169" s="35" t="s">
        <v>116</v>
      </c>
      <c r="H169" s="35" t="str">
        <f t="shared" si="4"/>
        <v>Check</v>
      </c>
      <c r="I169" s="35" t="s">
        <v>39</v>
      </c>
      <c r="J169" s="35"/>
      <c r="K169" s="47"/>
      <c r="L169" s="35" t="s">
        <v>307</v>
      </c>
      <c r="M169" s="35"/>
      <c r="N169" s="35"/>
      <c r="O169" s="35" t="s">
        <v>76</v>
      </c>
      <c r="P169" s="35" t="s">
        <v>945</v>
      </c>
      <c r="Q169" s="35">
        <v>433889</v>
      </c>
      <c r="R169" s="35" t="s">
        <v>78</v>
      </c>
      <c r="S169" s="35"/>
      <c r="T169" s="35"/>
      <c r="U169" s="35"/>
      <c r="V169" s="35" t="s">
        <v>405</v>
      </c>
      <c r="W169" s="37">
        <f t="shared" si="5"/>
        <v>0.5</v>
      </c>
      <c r="X169" s="33" t="s">
        <v>43</v>
      </c>
      <c r="Y169" s="33" t="s">
        <v>213</v>
      </c>
      <c r="Z169" s="33" t="s">
        <v>214</v>
      </c>
      <c r="AA169" s="33" t="s">
        <v>119</v>
      </c>
      <c r="AB169" s="33" t="s">
        <v>946</v>
      </c>
      <c r="AC169" s="33" t="s">
        <v>947</v>
      </c>
      <c r="AD169" s="33" t="s">
        <v>948</v>
      </c>
      <c r="AE169" s="33" t="s">
        <v>794</v>
      </c>
      <c r="AG169" s="33" t="s">
        <v>50</v>
      </c>
      <c r="AH169" s="33" t="s">
        <v>51</v>
      </c>
    </row>
    <row r="170" spans="1:34" ht="265.25">
      <c r="A170" s="35">
        <v>169</v>
      </c>
      <c r="B170" s="35" t="s">
        <v>949</v>
      </c>
      <c r="C170" s="35" t="s">
        <v>34</v>
      </c>
      <c r="D170" s="35" t="s">
        <v>950</v>
      </c>
      <c r="E170" s="35" t="s">
        <v>951</v>
      </c>
      <c r="F170" s="35" t="s">
        <v>952</v>
      </c>
      <c r="G170" s="35" t="s">
        <v>38</v>
      </c>
      <c r="H170" s="35" t="str">
        <f t="shared" si="4"/>
        <v>Verify</v>
      </c>
      <c r="I170" s="35" t="s">
        <v>39</v>
      </c>
      <c r="J170" s="35"/>
      <c r="K170" s="47"/>
      <c r="L170" s="35" t="s">
        <v>40</v>
      </c>
      <c r="M170" s="35"/>
      <c r="N170" s="35"/>
      <c r="O170" s="35" t="s">
        <v>41</v>
      </c>
      <c r="P170" s="35"/>
      <c r="Q170" s="35"/>
      <c r="R170" s="35"/>
      <c r="S170" s="35"/>
      <c r="T170" s="35"/>
      <c r="U170" s="35"/>
      <c r="V170" s="35" t="s">
        <v>42</v>
      </c>
      <c r="W170" s="37">
        <f t="shared" si="5"/>
        <v>0.8</v>
      </c>
      <c r="X170" s="33" t="s">
        <v>43</v>
      </c>
      <c r="Y170" s="33" t="s">
        <v>44</v>
      </c>
      <c r="Z170" s="33" t="s">
        <v>45</v>
      </c>
      <c r="AA170" s="33" t="s">
        <v>46</v>
      </c>
      <c r="AB170" s="33" t="s">
        <v>953</v>
      </c>
      <c r="AD170" s="33" t="s">
        <v>159</v>
      </c>
      <c r="AE170" s="33" t="s">
        <v>49</v>
      </c>
      <c r="AG170" s="33" t="s">
        <v>50</v>
      </c>
      <c r="AH170" s="33" t="s">
        <v>51</v>
      </c>
    </row>
    <row r="171" spans="1:34" ht="265.25">
      <c r="A171" s="35">
        <v>170</v>
      </c>
      <c r="B171" s="35" t="s">
        <v>954</v>
      </c>
      <c r="C171" s="35" t="s">
        <v>34</v>
      </c>
      <c r="D171" s="35" t="s">
        <v>950</v>
      </c>
      <c r="E171" s="35" t="s">
        <v>955</v>
      </c>
      <c r="F171" s="35" t="s">
        <v>956</v>
      </c>
      <c r="G171" s="35" t="s">
        <v>38</v>
      </c>
      <c r="H171" s="35" t="str">
        <f t="shared" si="4"/>
        <v>Verify</v>
      </c>
      <c r="I171" s="35" t="s">
        <v>39</v>
      </c>
      <c r="J171" s="35"/>
      <c r="K171" s="47"/>
      <c r="L171" s="35" t="s">
        <v>40</v>
      </c>
      <c r="M171" s="35"/>
      <c r="N171" s="35"/>
      <c r="O171" s="35" t="s">
        <v>41</v>
      </c>
      <c r="P171" s="35"/>
      <c r="Q171" s="35"/>
      <c r="R171" s="35"/>
      <c r="S171" s="35"/>
      <c r="T171" s="35"/>
      <c r="U171" s="35"/>
      <c r="V171" s="35" t="s">
        <v>42</v>
      </c>
      <c r="W171" s="37">
        <f t="shared" si="5"/>
        <v>0.8</v>
      </c>
      <c r="X171" s="33" t="s">
        <v>43</v>
      </c>
      <c r="Y171" s="33" t="s">
        <v>44</v>
      </c>
      <c r="Z171" s="33" t="s">
        <v>45</v>
      </c>
      <c r="AA171" s="33" t="s">
        <v>46</v>
      </c>
      <c r="AB171" s="33" t="s">
        <v>957</v>
      </c>
      <c r="AD171" s="33" t="s">
        <v>159</v>
      </c>
      <c r="AE171" s="33" t="s">
        <v>49</v>
      </c>
      <c r="AG171" s="33" t="s">
        <v>50</v>
      </c>
      <c r="AH171" s="33" t="s">
        <v>51</v>
      </c>
    </row>
    <row r="172" spans="1:34" ht="187.25">
      <c r="A172" s="35">
        <v>171</v>
      </c>
      <c r="B172" s="35" t="s">
        <v>958</v>
      </c>
      <c r="C172" s="35" t="s">
        <v>34</v>
      </c>
      <c r="D172" s="35" t="s">
        <v>950</v>
      </c>
      <c r="E172" s="35" t="s">
        <v>959</v>
      </c>
      <c r="F172" s="35" t="s">
        <v>960</v>
      </c>
      <c r="G172" s="35" t="s">
        <v>38</v>
      </c>
      <c r="H172" s="35" t="str">
        <f t="shared" si="4"/>
        <v>Verify</v>
      </c>
      <c r="I172" s="35" t="s">
        <v>39</v>
      </c>
      <c r="J172" s="35"/>
      <c r="K172" s="47"/>
      <c r="L172" s="35" t="s">
        <v>307</v>
      </c>
      <c r="M172" s="35"/>
      <c r="N172" s="35" t="s">
        <v>961</v>
      </c>
      <c r="O172" s="35" t="s">
        <v>348</v>
      </c>
      <c r="P172" s="35" t="s">
        <v>962</v>
      </c>
      <c r="Q172" s="35">
        <v>433890</v>
      </c>
      <c r="R172" s="35" t="s">
        <v>78</v>
      </c>
      <c r="S172" s="35"/>
      <c r="T172" s="35"/>
      <c r="U172" s="35"/>
      <c r="V172" s="35" t="s">
        <v>405</v>
      </c>
      <c r="W172" s="37">
        <f t="shared" si="5"/>
        <v>0.5</v>
      </c>
      <c r="X172" s="33" t="s">
        <v>43</v>
      </c>
      <c r="Y172" s="33" t="s">
        <v>213</v>
      </c>
      <c r="Z172" s="33" t="s">
        <v>81</v>
      </c>
      <c r="AA172" s="33" t="s">
        <v>119</v>
      </c>
      <c r="AB172" s="33" t="s">
        <v>963</v>
      </c>
      <c r="AC172" s="33" t="s">
        <v>964</v>
      </c>
      <c r="AD172" s="33" t="s">
        <v>965</v>
      </c>
      <c r="AE172" s="33" t="s">
        <v>966</v>
      </c>
      <c r="AG172" s="33" t="s">
        <v>50</v>
      </c>
      <c r="AH172" s="33" t="s">
        <v>51</v>
      </c>
    </row>
    <row r="173" spans="1:34" ht="280.75">
      <c r="A173" s="35">
        <v>172</v>
      </c>
      <c r="B173" s="35" t="s">
        <v>967</v>
      </c>
      <c r="C173" s="35" t="s">
        <v>34</v>
      </c>
      <c r="D173" s="35" t="s">
        <v>950</v>
      </c>
      <c r="E173" s="35" t="s">
        <v>968</v>
      </c>
      <c r="F173" s="35" t="s">
        <v>969</v>
      </c>
      <c r="G173" s="35" t="s">
        <v>38</v>
      </c>
      <c r="H173" s="35" t="str">
        <f t="shared" si="4"/>
        <v>Verify</v>
      </c>
      <c r="I173" s="35" t="s">
        <v>39</v>
      </c>
      <c r="J173" s="35"/>
      <c r="K173" s="47"/>
      <c r="L173" s="35" t="s">
        <v>40</v>
      </c>
      <c r="M173" s="35"/>
      <c r="N173" s="35"/>
      <c r="O173" s="35" t="s">
        <v>41</v>
      </c>
      <c r="P173" s="35" t="s">
        <v>970</v>
      </c>
      <c r="Q173" s="35"/>
      <c r="R173" s="35"/>
      <c r="S173" s="35"/>
      <c r="T173" s="35"/>
      <c r="U173" s="35"/>
      <c r="V173" s="35" t="s">
        <v>42</v>
      </c>
      <c r="W173" s="37">
        <f t="shared" si="5"/>
        <v>0.8</v>
      </c>
      <c r="X173" s="33" t="s">
        <v>43</v>
      </c>
      <c r="Y173" s="33" t="s">
        <v>44</v>
      </c>
      <c r="Z173" s="33" t="s">
        <v>45</v>
      </c>
      <c r="AA173" s="33" t="s">
        <v>46</v>
      </c>
      <c r="AB173" s="33" t="s">
        <v>971</v>
      </c>
      <c r="AD173" s="33" t="s">
        <v>127</v>
      </c>
      <c r="AE173" s="33" t="s">
        <v>49</v>
      </c>
      <c r="AG173" s="33" t="s">
        <v>50</v>
      </c>
      <c r="AH173" s="33" t="s">
        <v>51</v>
      </c>
    </row>
    <row r="174" spans="1:34" ht="265.25">
      <c r="A174" s="35">
        <v>173</v>
      </c>
      <c r="B174" s="35" t="s">
        <v>972</v>
      </c>
      <c r="C174" s="35" t="s">
        <v>34</v>
      </c>
      <c r="D174" s="35" t="s">
        <v>950</v>
      </c>
      <c r="E174" s="35" t="s">
        <v>973</v>
      </c>
      <c r="F174" s="35" t="s">
        <v>974</v>
      </c>
      <c r="G174" s="35" t="s">
        <v>38</v>
      </c>
      <c r="H174" s="35" t="str">
        <f t="shared" si="4"/>
        <v>Verify</v>
      </c>
      <c r="I174" s="35" t="s">
        <v>39</v>
      </c>
      <c r="J174" s="35"/>
      <c r="K174" s="47"/>
      <c r="L174" s="35" t="s">
        <v>40</v>
      </c>
      <c r="M174" s="35"/>
      <c r="N174" s="35"/>
      <c r="O174" s="35" t="s">
        <v>41</v>
      </c>
      <c r="P174" s="35"/>
      <c r="Q174" s="35"/>
      <c r="R174" s="35"/>
      <c r="S174" s="35"/>
      <c r="T174" s="35"/>
      <c r="U174" s="35"/>
      <c r="V174" s="35" t="s">
        <v>42</v>
      </c>
      <c r="W174" s="37">
        <f t="shared" si="5"/>
        <v>0.8</v>
      </c>
      <c r="X174" s="33" t="s">
        <v>43</v>
      </c>
      <c r="Y174" s="33" t="s">
        <v>44</v>
      </c>
      <c r="Z174" s="33" t="s">
        <v>45</v>
      </c>
      <c r="AA174" s="33" t="s">
        <v>46</v>
      </c>
      <c r="AB174" s="33" t="s">
        <v>975</v>
      </c>
      <c r="AD174" s="33" t="s">
        <v>159</v>
      </c>
      <c r="AE174" s="33" t="s">
        <v>49</v>
      </c>
      <c r="AG174" s="33" t="s">
        <v>50</v>
      </c>
      <c r="AH174" s="33" t="s">
        <v>51</v>
      </c>
    </row>
    <row r="175" spans="1:34" ht="93.65">
      <c r="A175" s="35">
        <v>174</v>
      </c>
      <c r="B175" s="35" t="s">
        <v>976</v>
      </c>
      <c r="C175" s="35" t="s">
        <v>34</v>
      </c>
      <c r="D175" s="35" t="s">
        <v>950</v>
      </c>
      <c r="E175" s="35" t="s">
        <v>977</v>
      </c>
      <c r="F175" s="35" t="s">
        <v>978</v>
      </c>
      <c r="G175" s="35" t="s">
        <v>38</v>
      </c>
      <c r="H175" s="35" t="str">
        <f t="shared" si="4"/>
        <v>Verify</v>
      </c>
      <c r="I175" s="35" t="s">
        <v>39</v>
      </c>
      <c r="J175" s="35"/>
      <c r="K175" s="47"/>
      <c r="L175" s="35" t="s">
        <v>40</v>
      </c>
      <c r="M175" s="35"/>
      <c r="N175" s="35"/>
      <c r="O175" s="35" t="s">
        <v>41</v>
      </c>
      <c r="P175" s="35" t="s">
        <v>979</v>
      </c>
      <c r="Q175" s="35"/>
      <c r="R175" s="35"/>
      <c r="S175" s="35"/>
      <c r="T175" s="35"/>
      <c r="U175" s="35"/>
      <c r="V175" s="35" t="s">
        <v>42</v>
      </c>
      <c r="W175" s="37">
        <f t="shared" si="5"/>
        <v>0.8</v>
      </c>
      <c r="X175" s="33" t="s">
        <v>43</v>
      </c>
      <c r="Y175" s="33" t="s">
        <v>213</v>
      </c>
      <c r="Z175" s="33" t="s">
        <v>45</v>
      </c>
      <c r="AA175" s="33" t="s">
        <v>119</v>
      </c>
      <c r="AB175" s="33" t="s">
        <v>980</v>
      </c>
      <c r="AC175" s="33" t="s">
        <v>981</v>
      </c>
      <c r="AD175" s="33" t="s">
        <v>982</v>
      </c>
      <c r="AE175" s="33" t="s">
        <v>49</v>
      </c>
      <c r="AG175" s="33" t="s">
        <v>50</v>
      </c>
      <c r="AH175" s="33" t="s">
        <v>51</v>
      </c>
    </row>
    <row r="176" spans="1:34" ht="140.4">
      <c r="A176" s="35">
        <v>175</v>
      </c>
      <c r="B176" s="35" t="s">
        <v>983</v>
      </c>
      <c r="C176" s="35" t="s">
        <v>34</v>
      </c>
      <c r="D176" s="35" t="s">
        <v>950</v>
      </c>
      <c r="E176" s="35" t="s">
        <v>984</v>
      </c>
      <c r="F176" s="35" t="s">
        <v>985</v>
      </c>
      <c r="G176" s="35" t="s">
        <v>116</v>
      </c>
      <c r="H176" s="35" t="str">
        <f t="shared" si="4"/>
        <v>Check</v>
      </c>
      <c r="I176" s="35" t="s">
        <v>39</v>
      </c>
      <c r="J176" s="35"/>
      <c r="K176" s="47"/>
      <c r="L176" s="35" t="s">
        <v>307</v>
      </c>
      <c r="M176" s="35"/>
      <c r="N176" s="35"/>
      <c r="O176" s="35" t="s">
        <v>76</v>
      </c>
      <c r="P176" s="35" t="s">
        <v>986</v>
      </c>
      <c r="Q176" s="35">
        <v>433891</v>
      </c>
      <c r="R176" s="35" t="s">
        <v>78</v>
      </c>
      <c r="S176" s="35"/>
      <c r="T176" s="35"/>
      <c r="U176" s="35"/>
      <c r="V176" s="35" t="s">
        <v>405</v>
      </c>
      <c r="W176" s="37">
        <f t="shared" si="5"/>
        <v>0.5</v>
      </c>
      <c r="X176" s="33" t="s">
        <v>43</v>
      </c>
      <c r="Y176" s="33" t="s">
        <v>213</v>
      </c>
      <c r="Z176" s="33" t="s">
        <v>214</v>
      </c>
      <c r="AA176" s="33" t="s">
        <v>119</v>
      </c>
      <c r="AB176" s="33" t="s">
        <v>987</v>
      </c>
      <c r="AC176" s="33" t="s">
        <v>947</v>
      </c>
      <c r="AD176" s="33" t="s">
        <v>988</v>
      </c>
      <c r="AE176" s="33" t="s">
        <v>794</v>
      </c>
      <c r="AG176" s="33" t="s">
        <v>50</v>
      </c>
      <c r="AH176" s="33" t="s">
        <v>51</v>
      </c>
    </row>
    <row r="177" spans="1:34" ht="409.6">
      <c r="A177" s="35">
        <v>176</v>
      </c>
      <c r="B177" s="35" t="s">
        <v>989</v>
      </c>
      <c r="C177" s="35" t="s">
        <v>34</v>
      </c>
      <c r="D177" s="35" t="s">
        <v>950</v>
      </c>
      <c r="E177" s="35" t="s">
        <v>990</v>
      </c>
      <c r="F177" s="35" t="s">
        <v>991</v>
      </c>
      <c r="G177" s="35" t="s">
        <v>394</v>
      </c>
      <c r="H177" s="35" t="str">
        <f t="shared" si="4"/>
        <v>Answer</v>
      </c>
      <c r="I177" s="35" t="s">
        <v>39</v>
      </c>
      <c r="J177" s="35"/>
      <c r="K177" s="47"/>
      <c r="L177" s="35" t="s">
        <v>307</v>
      </c>
      <c r="M177" s="35"/>
      <c r="N177" s="35"/>
      <c r="O177" s="35"/>
      <c r="P177" s="35"/>
      <c r="Q177" s="35"/>
      <c r="R177" s="35"/>
      <c r="S177" s="35"/>
      <c r="T177" s="35"/>
      <c r="U177" s="35"/>
      <c r="V177" s="35" t="s">
        <v>79</v>
      </c>
      <c r="W177" s="37">
        <f t="shared" si="5"/>
        <v>0</v>
      </c>
      <c r="X177" s="33" t="s">
        <v>43</v>
      </c>
      <c r="Y177" s="33" t="s">
        <v>213</v>
      </c>
      <c r="Z177" s="33" t="s">
        <v>396</v>
      </c>
      <c r="AA177" s="33" t="s">
        <v>119</v>
      </c>
      <c r="AB177" s="33" t="s">
        <v>992</v>
      </c>
      <c r="AC177" s="33" t="s">
        <v>398</v>
      </c>
      <c r="AD177" s="33" t="s">
        <v>993</v>
      </c>
      <c r="AE177" s="33" t="s">
        <v>596</v>
      </c>
      <c r="AG177" s="33" t="s">
        <v>50</v>
      </c>
      <c r="AH177" s="33" t="s">
        <v>51</v>
      </c>
    </row>
    <row r="178" spans="1:34" ht="280.75">
      <c r="A178" s="35">
        <v>177</v>
      </c>
      <c r="B178" s="35" t="s">
        <v>994</v>
      </c>
      <c r="C178" s="35" t="s">
        <v>34</v>
      </c>
      <c r="D178" s="35" t="s">
        <v>995</v>
      </c>
      <c r="E178" s="35" t="s">
        <v>996</v>
      </c>
      <c r="F178" s="35" t="s">
        <v>997</v>
      </c>
      <c r="G178" s="35" t="s">
        <v>38</v>
      </c>
      <c r="H178" s="35" t="str">
        <f t="shared" si="4"/>
        <v>Verify</v>
      </c>
      <c r="I178" s="35" t="s">
        <v>39</v>
      </c>
      <c r="J178" s="35"/>
      <c r="K178" s="47"/>
      <c r="L178" s="35" t="s">
        <v>307</v>
      </c>
      <c r="M178" s="35"/>
      <c r="N178" s="35" t="s">
        <v>998</v>
      </c>
      <c r="O178" s="35" t="s">
        <v>41</v>
      </c>
      <c r="P178" s="35" t="s">
        <v>999</v>
      </c>
      <c r="Q178" s="35"/>
      <c r="R178" s="35"/>
      <c r="S178" s="35"/>
      <c r="T178" s="35"/>
      <c r="U178" s="35"/>
      <c r="V178" s="35" t="s">
        <v>2155</v>
      </c>
      <c r="W178" s="37">
        <f t="shared" si="5"/>
        <v>0.7</v>
      </c>
      <c r="X178" s="33" t="s">
        <v>43</v>
      </c>
      <c r="Y178" s="33" t="s">
        <v>44</v>
      </c>
      <c r="Z178" s="33" t="s">
        <v>658</v>
      </c>
      <c r="AA178" s="33" t="s">
        <v>46</v>
      </c>
      <c r="AB178" s="33" t="s">
        <v>1000</v>
      </c>
      <c r="AC178" s="33" t="s">
        <v>999</v>
      </c>
      <c r="AD178" s="33" t="s">
        <v>1001</v>
      </c>
      <c r="AE178" s="33" t="s">
        <v>913</v>
      </c>
      <c r="AG178" s="33" t="s">
        <v>50</v>
      </c>
      <c r="AH178" s="33" t="s">
        <v>51</v>
      </c>
    </row>
    <row r="179" spans="1:34" ht="265.25">
      <c r="A179" s="35">
        <v>178</v>
      </c>
      <c r="B179" s="35" t="s">
        <v>1002</v>
      </c>
      <c r="C179" s="35" t="s">
        <v>34</v>
      </c>
      <c r="D179" s="35" t="s">
        <v>995</v>
      </c>
      <c r="E179" s="35" t="s">
        <v>1003</v>
      </c>
      <c r="F179" s="35" t="s">
        <v>1004</v>
      </c>
      <c r="G179" s="35" t="s">
        <v>38</v>
      </c>
      <c r="H179" s="35" t="str">
        <f t="shared" si="4"/>
        <v>Verify</v>
      </c>
      <c r="I179" s="35" t="s">
        <v>39</v>
      </c>
      <c r="J179" s="35"/>
      <c r="K179" s="47"/>
      <c r="L179" s="35" t="s">
        <v>307</v>
      </c>
      <c r="M179" s="35"/>
      <c r="N179" s="35" t="s">
        <v>1005</v>
      </c>
      <c r="O179" s="35" t="s">
        <v>348</v>
      </c>
      <c r="P179" s="35" t="s">
        <v>1006</v>
      </c>
      <c r="Q179" s="35"/>
      <c r="R179" s="35"/>
      <c r="S179" s="35"/>
      <c r="T179" s="35"/>
      <c r="U179" s="35"/>
      <c r="V179" s="35" t="s">
        <v>405</v>
      </c>
      <c r="W179" s="37">
        <f t="shared" si="5"/>
        <v>0.5</v>
      </c>
      <c r="X179" s="33" t="s">
        <v>43</v>
      </c>
      <c r="Y179" s="33" t="s">
        <v>213</v>
      </c>
      <c r="Z179" s="33" t="s">
        <v>81</v>
      </c>
      <c r="AA179" s="33" t="s">
        <v>119</v>
      </c>
      <c r="AB179" s="33" t="s">
        <v>1007</v>
      </c>
      <c r="AC179" s="33" t="s">
        <v>1008</v>
      </c>
      <c r="AD179" s="33" t="s">
        <v>1009</v>
      </c>
      <c r="AE179" s="33" t="s">
        <v>1010</v>
      </c>
      <c r="AG179" s="33" t="s">
        <v>50</v>
      </c>
      <c r="AH179" s="33" t="s">
        <v>51</v>
      </c>
    </row>
    <row r="180" spans="1:34" ht="249.65">
      <c r="A180" s="35">
        <v>179</v>
      </c>
      <c r="B180" s="35" t="s">
        <v>1011</v>
      </c>
      <c r="C180" s="35" t="s">
        <v>34</v>
      </c>
      <c r="D180" s="35" t="s">
        <v>995</v>
      </c>
      <c r="E180" s="35" t="s">
        <v>1012</v>
      </c>
      <c r="F180" s="35" t="s">
        <v>1013</v>
      </c>
      <c r="G180" s="35" t="s">
        <v>38</v>
      </c>
      <c r="H180" s="35" t="str">
        <f t="shared" si="4"/>
        <v>Verify</v>
      </c>
      <c r="I180" s="35" t="s">
        <v>39</v>
      </c>
      <c r="J180" s="35"/>
      <c r="K180" s="47"/>
      <c r="L180" s="35" t="s">
        <v>307</v>
      </c>
      <c r="M180" s="35"/>
      <c r="N180" s="35" t="s">
        <v>1005</v>
      </c>
      <c r="O180" s="35" t="s">
        <v>41</v>
      </c>
      <c r="P180" s="35" t="s">
        <v>1014</v>
      </c>
      <c r="Q180" s="35"/>
      <c r="R180" s="35"/>
      <c r="S180" s="35"/>
      <c r="T180" s="35"/>
      <c r="U180" s="35"/>
      <c r="V180" s="35" t="s">
        <v>2155</v>
      </c>
      <c r="W180" s="37">
        <f t="shared" si="5"/>
        <v>0.7</v>
      </c>
      <c r="X180" s="33" t="s">
        <v>43</v>
      </c>
      <c r="Y180" s="33" t="s">
        <v>213</v>
      </c>
      <c r="Z180" s="33" t="s">
        <v>81</v>
      </c>
      <c r="AA180" s="33" t="s">
        <v>119</v>
      </c>
      <c r="AB180" s="33" t="s">
        <v>1015</v>
      </c>
      <c r="AC180" s="33" t="s">
        <v>1016</v>
      </c>
      <c r="AD180" s="33" t="s">
        <v>1017</v>
      </c>
      <c r="AE180" s="33" t="s">
        <v>1010</v>
      </c>
      <c r="AG180" s="33" t="s">
        <v>50</v>
      </c>
      <c r="AH180" s="33" t="s">
        <v>51</v>
      </c>
    </row>
    <row r="181" spans="1:34" ht="249.65">
      <c r="A181" s="35">
        <v>180</v>
      </c>
      <c r="B181" s="35" t="s">
        <v>1018</v>
      </c>
      <c r="C181" s="35" t="s">
        <v>34</v>
      </c>
      <c r="D181" s="35" t="s">
        <v>995</v>
      </c>
      <c r="E181" s="35" t="s">
        <v>1019</v>
      </c>
      <c r="F181" s="35" t="s">
        <v>1020</v>
      </c>
      <c r="G181" s="35" t="s">
        <v>38</v>
      </c>
      <c r="H181" s="35" t="str">
        <f t="shared" si="4"/>
        <v>Verify</v>
      </c>
      <c r="I181" s="35" t="s">
        <v>39</v>
      </c>
      <c r="J181" s="35"/>
      <c r="K181" s="47"/>
      <c r="L181" s="35" t="s">
        <v>40</v>
      </c>
      <c r="M181" s="35"/>
      <c r="N181" s="35" t="s">
        <v>1005</v>
      </c>
      <c r="O181" s="35" t="s">
        <v>41</v>
      </c>
      <c r="P181" s="35" t="s">
        <v>1021</v>
      </c>
      <c r="Q181" s="35"/>
      <c r="R181" s="35" t="s">
        <v>78</v>
      </c>
      <c r="S181" s="35"/>
      <c r="T181" s="35"/>
      <c r="U181" s="35"/>
      <c r="V181" s="35" t="s">
        <v>42</v>
      </c>
      <c r="W181" s="37">
        <f t="shared" si="5"/>
        <v>0.8</v>
      </c>
      <c r="X181" s="33" t="s">
        <v>43</v>
      </c>
      <c r="Y181" s="33" t="s">
        <v>213</v>
      </c>
      <c r="Z181" s="33" t="s">
        <v>81</v>
      </c>
      <c r="AA181" s="33" t="s">
        <v>119</v>
      </c>
      <c r="AB181" s="33" t="s">
        <v>1022</v>
      </c>
      <c r="AC181" s="33" t="s">
        <v>1021</v>
      </c>
      <c r="AD181" s="33" t="s">
        <v>1023</v>
      </c>
      <c r="AE181" s="33" t="s">
        <v>966</v>
      </c>
      <c r="AG181" s="33" t="s">
        <v>50</v>
      </c>
      <c r="AH181" s="33" t="s">
        <v>51</v>
      </c>
    </row>
    <row r="182" spans="1:34" ht="78">
      <c r="A182" s="35">
        <v>181</v>
      </c>
      <c r="B182" s="35" t="s">
        <v>1024</v>
      </c>
      <c r="C182" s="35" t="s">
        <v>34</v>
      </c>
      <c r="D182" s="35" t="s">
        <v>995</v>
      </c>
      <c r="E182" s="35" t="s">
        <v>1025</v>
      </c>
      <c r="F182" s="35" t="s">
        <v>1026</v>
      </c>
      <c r="G182" s="35" t="s">
        <v>38</v>
      </c>
      <c r="H182" s="35" t="str">
        <f t="shared" si="4"/>
        <v>Verify</v>
      </c>
      <c r="I182" s="35" t="s">
        <v>39</v>
      </c>
      <c r="J182" s="35"/>
      <c r="K182" s="47"/>
      <c r="L182" s="35" t="s">
        <v>307</v>
      </c>
      <c r="M182" s="35"/>
      <c r="N182" s="35"/>
      <c r="O182" s="35" t="s">
        <v>41</v>
      </c>
      <c r="P182" s="35" t="s">
        <v>1027</v>
      </c>
      <c r="Q182" s="35"/>
      <c r="R182" s="35"/>
      <c r="S182" s="35"/>
      <c r="T182" s="35"/>
      <c r="U182" s="35"/>
      <c r="V182" s="35" t="s">
        <v>2155</v>
      </c>
      <c r="W182" s="37">
        <f t="shared" si="5"/>
        <v>0.7</v>
      </c>
      <c r="X182" s="33" t="s">
        <v>43</v>
      </c>
      <c r="Y182" s="33" t="s">
        <v>213</v>
      </c>
      <c r="Z182" s="33" t="s">
        <v>658</v>
      </c>
      <c r="AA182" s="33" t="s">
        <v>119</v>
      </c>
      <c r="AB182" s="33" t="s">
        <v>1028</v>
      </c>
      <c r="AC182" s="33" t="s">
        <v>1029</v>
      </c>
      <c r="AD182" s="33" t="s">
        <v>1030</v>
      </c>
      <c r="AE182" s="33" t="s">
        <v>913</v>
      </c>
      <c r="AG182" s="33" t="s">
        <v>50</v>
      </c>
      <c r="AH182" s="33" t="s">
        <v>51</v>
      </c>
    </row>
    <row r="183" spans="1:34" ht="327.64999999999998">
      <c r="A183" s="35">
        <v>182</v>
      </c>
      <c r="B183" s="35" t="s">
        <v>1031</v>
      </c>
      <c r="C183" s="35" t="s">
        <v>34</v>
      </c>
      <c r="D183" s="35" t="s">
        <v>995</v>
      </c>
      <c r="E183" s="35" t="s">
        <v>1032</v>
      </c>
      <c r="F183" s="35" t="s">
        <v>1033</v>
      </c>
      <c r="G183" s="35" t="s">
        <v>38</v>
      </c>
      <c r="H183" s="35" t="str">
        <f t="shared" si="4"/>
        <v>Verify</v>
      </c>
      <c r="I183" s="35" t="s">
        <v>39</v>
      </c>
      <c r="J183" s="35"/>
      <c r="K183" s="47"/>
      <c r="L183" s="35" t="s">
        <v>40</v>
      </c>
      <c r="M183" s="35"/>
      <c r="N183" s="35"/>
      <c r="O183" s="35" t="s">
        <v>41</v>
      </c>
      <c r="P183" s="35"/>
      <c r="Q183" s="35"/>
      <c r="R183" s="35"/>
      <c r="S183" s="35"/>
      <c r="T183" s="35"/>
      <c r="U183" s="35"/>
      <c r="V183" s="35" t="s">
        <v>42</v>
      </c>
      <c r="W183" s="37">
        <f t="shared" si="5"/>
        <v>0.8</v>
      </c>
      <c r="X183" s="33" t="s">
        <v>43</v>
      </c>
      <c r="Y183" s="33" t="s">
        <v>44</v>
      </c>
      <c r="Z183" s="33" t="s">
        <v>45</v>
      </c>
      <c r="AA183" s="33" t="s">
        <v>46</v>
      </c>
      <c r="AB183" s="33" t="s">
        <v>1034</v>
      </c>
      <c r="AD183" s="33" t="s">
        <v>1035</v>
      </c>
      <c r="AE183" s="33" t="s">
        <v>49</v>
      </c>
      <c r="AG183" s="33" t="s">
        <v>50</v>
      </c>
      <c r="AH183" s="33" t="s">
        <v>51</v>
      </c>
    </row>
    <row r="184" spans="1:34" ht="265.25">
      <c r="A184" s="35">
        <v>183</v>
      </c>
      <c r="B184" s="35" t="s">
        <v>1036</v>
      </c>
      <c r="C184" s="35" t="s">
        <v>34</v>
      </c>
      <c r="D184" s="35" t="s">
        <v>995</v>
      </c>
      <c r="E184" s="35" t="s">
        <v>1037</v>
      </c>
      <c r="F184" s="35" t="s">
        <v>1038</v>
      </c>
      <c r="G184" s="35" t="s">
        <v>38</v>
      </c>
      <c r="H184" s="35" t="str">
        <f t="shared" si="4"/>
        <v>Verify</v>
      </c>
      <c r="I184" s="35" t="s">
        <v>39</v>
      </c>
      <c r="J184" s="35"/>
      <c r="K184" s="47"/>
      <c r="L184" s="35" t="s">
        <v>40</v>
      </c>
      <c r="M184" s="35"/>
      <c r="N184" s="35"/>
      <c r="O184" s="35" t="s">
        <v>41</v>
      </c>
      <c r="P184" s="35"/>
      <c r="Q184" s="35"/>
      <c r="R184" s="35"/>
      <c r="S184" s="35"/>
      <c r="T184" s="35"/>
      <c r="U184" s="35"/>
      <c r="V184" s="35" t="s">
        <v>42</v>
      </c>
      <c r="W184" s="37">
        <f t="shared" si="5"/>
        <v>0.8</v>
      </c>
      <c r="X184" s="33" t="s">
        <v>43</v>
      </c>
      <c r="Y184" s="33" t="s">
        <v>44</v>
      </c>
      <c r="Z184" s="33" t="s">
        <v>45</v>
      </c>
      <c r="AA184" s="33" t="s">
        <v>46</v>
      </c>
      <c r="AB184" s="33" t="s">
        <v>1039</v>
      </c>
      <c r="AD184" s="33" t="s">
        <v>159</v>
      </c>
      <c r="AE184" s="33" t="s">
        <v>49</v>
      </c>
      <c r="AG184" s="33" t="s">
        <v>50</v>
      </c>
      <c r="AH184" s="33" t="s">
        <v>51</v>
      </c>
    </row>
    <row r="185" spans="1:34" ht="265.25">
      <c r="A185" s="35">
        <v>184</v>
      </c>
      <c r="B185" s="35" t="s">
        <v>1040</v>
      </c>
      <c r="C185" s="35" t="s">
        <v>34</v>
      </c>
      <c r="D185" s="35" t="s">
        <v>995</v>
      </c>
      <c r="E185" s="35" t="s">
        <v>1041</v>
      </c>
      <c r="F185" s="35" t="s">
        <v>1042</v>
      </c>
      <c r="G185" s="35" t="s">
        <v>38</v>
      </c>
      <c r="H185" s="35" t="str">
        <f t="shared" si="4"/>
        <v>Verify</v>
      </c>
      <c r="I185" s="35" t="s">
        <v>39</v>
      </c>
      <c r="J185" s="35"/>
      <c r="K185" s="47"/>
      <c r="L185" s="35" t="s">
        <v>40</v>
      </c>
      <c r="M185" s="35"/>
      <c r="N185" s="35"/>
      <c r="O185" s="35" t="s">
        <v>41</v>
      </c>
      <c r="P185" s="35"/>
      <c r="Q185" s="35"/>
      <c r="R185" s="35"/>
      <c r="S185" s="35"/>
      <c r="T185" s="35"/>
      <c r="U185" s="35"/>
      <c r="V185" s="35" t="s">
        <v>42</v>
      </c>
      <c r="W185" s="37">
        <f t="shared" si="5"/>
        <v>0.8</v>
      </c>
      <c r="X185" s="33" t="s">
        <v>43</v>
      </c>
      <c r="Y185" s="33" t="s">
        <v>44</v>
      </c>
      <c r="Z185" s="33" t="s">
        <v>45</v>
      </c>
      <c r="AA185" s="33" t="s">
        <v>46</v>
      </c>
      <c r="AB185" s="33" t="s">
        <v>1043</v>
      </c>
      <c r="AD185" s="33" t="s">
        <v>159</v>
      </c>
      <c r="AE185" s="33" t="s">
        <v>49</v>
      </c>
      <c r="AG185" s="33" t="s">
        <v>50</v>
      </c>
      <c r="AH185" s="33" t="s">
        <v>51</v>
      </c>
    </row>
    <row r="186" spans="1:34" ht="234">
      <c r="A186" s="35">
        <v>185</v>
      </c>
      <c r="B186" s="35" t="s">
        <v>1044</v>
      </c>
      <c r="C186" s="35" t="s">
        <v>34</v>
      </c>
      <c r="D186" s="35" t="s">
        <v>995</v>
      </c>
      <c r="E186" s="35" t="s">
        <v>1045</v>
      </c>
      <c r="F186" s="35" t="s">
        <v>1046</v>
      </c>
      <c r="G186" s="35" t="s">
        <v>38</v>
      </c>
      <c r="H186" s="35" t="str">
        <f t="shared" si="4"/>
        <v>Verify</v>
      </c>
      <c r="I186" s="35" t="s">
        <v>39</v>
      </c>
      <c r="J186" s="35"/>
      <c r="K186" s="47"/>
      <c r="L186" s="35" t="s">
        <v>307</v>
      </c>
      <c r="M186" s="35" t="s">
        <v>1047</v>
      </c>
      <c r="N186" s="35" t="s">
        <v>1048</v>
      </c>
      <c r="O186" s="35" t="s">
        <v>348</v>
      </c>
      <c r="P186" s="35" t="s">
        <v>1049</v>
      </c>
      <c r="Q186" s="35"/>
      <c r="R186" s="35"/>
      <c r="S186" s="35" t="s">
        <v>78</v>
      </c>
      <c r="T186" s="35"/>
      <c r="U186" s="35"/>
      <c r="V186" s="35" t="s">
        <v>405</v>
      </c>
      <c r="W186" s="37">
        <f t="shared" si="5"/>
        <v>0.5</v>
      </c>
      <c r="X186" s="33" t="s">
        <v>43</v>
      </c>
      <c r="Y186" s="33" t="s">
        <v>213</v>
      </c>
      <c r="Z186" s="33" t="s">
        <v>81</v>
      </c>
      <c r="AA186" s="33" t="s">
        <v>46</v>
      </c>
      <c r="AB186" s="33" t="s">
        <v>1050</v>
      </c>
      <c r="AC186" s="33" t="s">
        <v>1051</v>
      </c>
      <c r="AD186" s="33" t="s">
        <v>1052</v>
      </c>
      <c r="AE186" s="33" t="s">
        <v>966</v>
      </c>
      <c r="AG186" s="33" t="s">
        <v>50</v>
      </c>
      <c r="AH186" s="33" t="s">
        <v>51</v>
      </c>
    </row>
    <row r="187" spans="1:34" ht="296.39999999999998">
      <c r="A187" s="35">
        <v>186</v>
      </c>
      <c r="B187" s="35" t="s">
        <v>1053</v>
      </c>
      <c r="C187" s="35" t="s">
        <v>34</v>
      </c>
      <c r="D187" s="35" t="s">
        <v>995</v>
      </c>
      <c r="E187" s="35" t="s">
        <v>1054</v>
      </c>
      <c r="F187" s="35" t="s">
        <v>1055</v>
      </c>
      <c r="G187" s="35" t="s">
        <v>38</v>
      </c>
      <c r="H187" s="35" t="str">
        <f t="shared" si="4"/>
        <v>Verify</v>
      </c>
      <c r="I187" s="35" t="s">
        <v>39</v>
      </c>
      <c r="J187" s="35"/>
      <c r="K187" s="47"/>
      <c r="L187" s="35" t="s">
        <v>40</v>
      </c>
      <c r="M187" s="35"/>
      <c r="N187" s="35" t="s">
        <v>370</v>
      </c>
      <c r="O187" s="35" t="s">
        <v>41</v>
      </c>
      <c r="P187" s="35"/>
      <c r="Q187" s="35"/>
      <c r="R187" s="35"/>
      <c r="S187" s="35"/>
      <c r="T187" s="35"/>
      <c r="U187" s="35"/>
      <c r="V187" s="35" t="s">
        <v>42</v>
      </c>
      <c r="W187" s="37">
        <f t="shared" si="5"/>
        <v>0.8</v>
      </c>
      <c r="X187" s="33" t="s">
        <v>43</v>
      </c>
      <c r="Y187" s="33" t="s">
        <v>44</v>
      </c>
      <c r="Z187" s="33" t="s">
        <v>45</v>
      </c>
      <c r="AA187" s="33" t="s">
        <v>46</v>
      </c>
      <c r="AB187" s="33" t="s">
        <v>1056</v>
      </c>
      <c r="AD187" s="33" t="s">
        <v>386</v>
      </c>
      <c r="AE187" s="33" t="s">
        <v>49</v>
      </c>
      <c r="AG187" s="33" t="s">
        <v>50</v>
      </c>
      <c r="AH187" s="33" t="s">
        <v>51</v>
      </c>
    </row>
    <row r="188" spans="1:34" ht="296.39999999999998">
      <c r="A188" s="35">
        <v>187</v>
      </c>
      <c r="B188" s="35" t="s">
        <v>1057</v>
      </c>
      <c r="C188" s="35" t="s">
        <v>34</v>
      </c>
      <c r="D188" s="35" t="s">
        <v>995</v>
      </c>
      <c r="E188" s="35" t="s">
        <v>1058</v>
      </c>
      <c r="F188" s="35" t="s">
        <v>1059</v>
      </c>
      <c r="G188" s="35" t="s">
        <v>38</v>
      </c>
      <c r="H188" s="35" t="str">
        <f t="shared" si="4"/>
        <v>Verify</v>
      </c>
      <c r="I188" s="35" t="s">
        <v>39</v>
      </c>
      <c r="J188" s="35"/>
      <c r="K188" s="47"/>
      <c r="L188" s="35" t="s">
        <v>40</v>
      </c>
      <c r="M188" s="35"/>
      <c r="N188" s="35" t="s">
        <v>375</v>
      </c>
      <c r="O188" s="35" t="s">
        <v>41</v>
      </c>
      <c r="P188" s="35"/>
      <c r="Q188" s="35"/>
      <c r="R188" s="35"/>
      <c r="S188" s="35"/>
      <c r="T188" s="35"/>
      <c r="U188" s="35"/>
      <c r="V188" s="35" t="s">
        <v>42</v>
      </c>
      <c r="W188" s="37">
        <f t="shared" si="5"/>
        <v>0.8</v>
      </c>
      <c r="X188" s="33" t="s">
        <v>43</v>
      </c>
      <c r="Y188" s="33" t="s">
        <v>44</v>
      </c>
      <c r="Z188" s="33" t="s">
        <v>45</v>
      </c>
      <c r="AA188" s="33" t="s">
        <v>46</v>
      </c>
      <c r="AB188" s="33" t="s">
        <v>1060</v>
      </c>
      <c r="AD188" s="33" t="s">
        <v>386</v>
      </c>
      <c r="AE188" s="33" t="s">
        <v>49</v>
      </c>
      <c r="AG188" s="33" t="s">
        <v>50</v>
      </c>
      <c r="AH188" s="33" t="s">
        <v>51</v>
      </c>
    </row>
    <row r="189" spans="1:34" ht="265.25">
      <c r="A189" s="35">
        <v>188</v>
      </c>
      <c r="B189" s="35" t="s">
        <v>1061</v>
      </c>
      <c r="C189" s="35" t="s">
        <v>34</v>
      </c>
      <c r="D189" s="35" t="s">
        <v>995</v>
      </c>
      <c r="E189" s="35" t="s">
        <v>1062</v>
      </c>
      <c r="F189" s="35" t="s">
        <v>1063</v>
      </c>
      <c r="G189" s="35" t="s">
        <v>38</v>
      </c>
      <c r="H189" s="35" t="str">
        <f t="shared" si="4"/>
        <v>Verify</v>
      </c>
      <c r="I189" s="35" t="s">
        <v>39</v>
      </c>
      <c r="J189" s="35"/>
      <c r="K189" s="47"/>
      <c r="L189" s="35" t="s">
        <v>307</v>
      </c>
      <c r="M189" s="35"/>
      <c r="N189" s="35"/>
      <c r="O189" s="35" t="s">
        <v>41</v>
      </c>
      <c r="P189" s="35" t="s">
        <v>2220</v>
      </c>
      <c r="Q189" s="35"/>
      <c r="R189" s="35"/>
      <c r="S189" s="35"/>
      <c r="T189" s="35"/>
      <c r="U189" s="35"/>
      <c r="V189" s="35" t="s">
        <v>405</v>
      </c>
      <c r="W189" s="37">
        <f t="shared" si="5"/>
        <v>0.5</v>
      </c>
      <c r="X189" s="33" t="s">
        <v>43</v>
      </c>
      <c r="Y189" s="33" t="s">
        <v>44</v>
      </c>
      <c r="Z189" s="33" t="s">
        <v>658</v>
      </c>
      <c r="AA189" s="33" t="s">
        <v>46</v>
      </c>
      <c r="AB189" s="33" t="s">
        <v>1064</v>
      </c>
      <c r="AC189" s="33" t="s">
        <v>1065</v>
      </c>
      <c r="AD189" s="33" t="s">
        <v>97</v>
      </c>
      <c r="AE189" s="33" t="s">
        <v>913</v>
      </c>
      <c r="AG189" s="33" t="s">
        <v>50</v>
      </c>
      <c r="AH189" s="33" t="s">
        <v>51</v>
      </c>
    </row>
    <row r="190" spans="1:34" ht="312">
      <c r="A190" s="35">
        <v>189</v>
      </c>
      <c r="B190" s="35" t="s">
        <v>1066</v>
      </c>
      <c r="C190" s="35" t="s">
        <v>34</v>
      </c>
      <c r="D190" s="35" t="s">
        <v>995</v>
      </c>
      <c r="E190" s="35" t="s">
        <v>1067</v>
      </c>
      <c r="F190" s="35" t="s">
        <v>1068</v>
      </c>
      <c r="G190" s="35" t="s">
        <v>38</v>
      </c>
      <c r="H190" s="35" t="str">
        <f t="shared" si="4"/>
        <v>Verify</v>
      </c>
      <c r="I190" s="35" t="s">
        <v>39</v>
      </c>
      <c r="J190" s="35"/>
      <c r="K190" s="47"/>
      <c r="L190" s="35" t="s">
        <v>40</v>
      </c>
      <c r="M190" s="35"/>
      <c r="N190" s="35" t="s">
        <v>110</v>
      </c>
      <c r="O190" s="35" t="s">
        <v>41</v>
      </c>
      <c r="P190" s="35"/>
      <c r="Q190" s="35"/>
      <c r="R190" s="35"/>
      <c r="S190" s="35"/>
      <c r="T190" s="35"/>
      <c r="U190" s="35"/>
      <c r="V190" s="35" t="s">
        <v>42</v>
      </c>
      <c r="W190" s="37">
        <f t="shared" si="5"/>
        <v>0.8</v>
      </c>
      <c r="X190" s="33" t="s">
        <v>43</v>
      </c>
      <c r="Y190" s="33" t="s">
        <v>44</v>
      </c>
      <c r="Z190" s="33" t="s">
        <v>45</v>
      </c>
      <c r="AA190" s="33" t="s">
        <v>119</v>
      </c>
      <c r="AB190" s="33" t="s">
        <v>1069</v>
      </c>
      <c r="AD190" s="33" t="s">
        <v>1070</v>
      </c>
      <c r="AE190" s="33" t="s">
        <v>49</v>
      </c>
      <c r="AG190" s="33" t="s">
        <v>50</v>
      </c>
      <c r="AH190" s="33" t="s">
        <v>51</v>
      </c>
    </row>
    <row r="191" spans="1:34" ht="409.5">
      <c r="A191" s="35">
        <v>190</v>
      </c>
      <c r="B191" s="35" t="s">
        <v>1071</v>
      </c>
      <c r="C191" s="35" t="s">
        <v>34</v>
      </c>
      <c r="D191" s="35" t="s">
        <v>995</v>
      </c>
      <c r="E191" s="35" t="s">
        <v>1072</v>
      </c>
      <c r="F191" s="35" t="s">
        <v>1073</v>
      </c>
      <c r="G191" s="35" t="s">
        <v>394</v>
      </c>
      <c r="H191" s="35" t="str">
        <f t="shared" si="4"/>
        <v>Answer</v>
      </c>
      <c r="I191" s="35" t="s">
        <v>39</v>
      </c>
      <c r="J191" s="35"/>
      <c r="K191" s="47"/>
      <c r="L191" s="35" t="s">
        <v>395</v>
      </c>
      <c r="M191" s="35"/>
      <c r="N191" s="35"/>
      <c r="O191" s="35"/>
      <c r="P191" s="35"/>
      <c r="Q191" s="75">
        <v>435258</v>
      </c>
      <c r="R191" s="35"/>
      <c r="S191" s="35"/>
      <c r="T191" s="35"/>
      <c r="U191" s="35"/>
      <c r="V191" s="35" t="s">
        <v>79</v>
      </c>
      <c r="W191" s="37">
        <f t="shared" si="5"/>
        <v>0</v>
      </c>
      <c r="X191" s="33" t="s">
        <v>43</v>
      </c>
      <c r="Y191" s="33" t="s">
        <v>213</v>
      </c>
      <c r="Z191" s="33" t="s">
        <v>396</v>
      </c>
      <c r="AA191" s="33" t="s">
        <v>46</v>
      </c>
      <c r="AB191" s="33" t="s">
        <v>1074</v>
      </c>
      <c r="AC191" s="33" t="s">
        <v>398</v>
      </c>
      <c r="AD191" s="33" t="s">
        <v>1075</v>
      </c>
      <c r="AE191" s="33" t="s">
        <v>400</v>
      </c>
      <c r="AG191" s="33" t="s">
        <v>50</v>
      </c>
      <c r="AH191" s="33" t="s">
        <v>51</v>
      </c>
    </row>
    <row r="192" spans="1:34" ht="296.39999999999998">
      <c r="A192" s="35">
        <v>191</v>
      </c>
      <c r="B192" s="35" t="s">
        <v>1076</v>
      </c>
      <c r="C192" s="35" t="s">
        <v>34</v>
      </c>
      <c r="D192" s="35" t="s">
        <v>1077</v>
      </c>
      <c r="E192" s="35" t="s">
        <v>1078</v>
      </c>
      <c r="F192" s="35" t="s">
        <v>1079</v>
      </c>
      <c r="G192" s="35" t="s">
        <v>38</v>
      </c>
      <c r="H192" s="35" t="str">
        <f t="shared" si="4"/>
        <v>Verify</v>
      </c>
      <c r="I192" s="35" t="s">
        <v>39</v>
      </c>
      <c r="J192" s="35"/>
      <c r="K192" s="47"/>
      <c r="L192" s="35" t="s">
        <v>117</v>
      </c>
      <c r="M192" s="35"/>
      <c r="N192" s="35"/>
      <c r="O192" s="35" t="s">
        <v>41</v>
      </c>
      <c r="P192" s="35" t="s">
        <v>1080</v>
      </c>
      <c r="Q192" s="35"/>
      <c r="R192" s="35"/>
      <c r="S192" s="35" t="s">
        <v>78</v>
      </c>
      <c r="T192" s="35"/>
      <c r="U192" s="35"/>
      <c r="V192" s="35" t="s">
        <v>405</v>
      </c>
      <c r="W192" s="37">
        <f t="shared" si="5"/>
        <v>0.5</v>
      </c>
      <c r="X192" s="33" t="s">
        <v>43</v>
      </c>
      <c r="Y192" s="33" t="s">
        <v>44</v>
      </c>
      <c r="Z192" s="33" t="s">
        <v>45</v>
      </c>
      <c r="AA192" s="33" t="s">
        <v>46</v>
      </c>
      <c r="AB192" s="33" t="s">
        <v>1081</v>
      </c>
      <c r="AC192" s="33" t="s">
        <v>1080</v>
      </c>
      <c r="AD192" s="33" t="s">
        <v>1082</v>
      </c>
      <c r="AE192" s="33" t="s">
        <v>1083</v>
      </c>
      <c r="AG192" s="33" t="s">
        <v>50</v>
      </c>
      <c r="AH192" s="33" t="s">
        <v>51</v>
      </c>
    </row>
    <row r="193" spans="1:34" ht="265.25">
      <c r="A193" s="35">
        <v>192</v>
      </c>
      <c r="B193" s="35" t="s">
        <v>1084</v>
      </c>
      <c r="C193" s="35" t="s">
        <v>34</v>
      </c>
      <c r="D193" s="35" t="s">
        <v>1077</v>
      </c>
      <c r="E193" s="35" t="s">
        <v>1085</v>
      </c>
      <c r="F193" s="35" t="s">
        <v>1086</v>
      </c>
      <c r="G193" s="35" t="s">
        <v>38</v>
      </c>
      <c r="H193" s="35" t="str">
        <f t="shared" si="4"/>
        <v>Verify</v>
      </c>
      <c r="I193" s="35" t="s">
        <v>39</v>
      </c>
      <c r="J193" s="35"/>
      <c r="K193" s="47"/>
      <c r="L193" s="35" t="s">
        <v>117</v>
      </c>
      <c r="M193" s="35"/>
      <c r="N193" s="35"/>
      <c r="O193" s="35" t="s">
        <v>41</v>
      </c>
      <c r="P193" s="35"/>
      <c r="Q193" s="35"/>
      <c r="R193" s="35"/>
      <c r="S193" s="35"/>
      <c r="T193" s="35"/>
      <c r="U193" s="35"/>
      <c r="V193" s="35" t="s">
        <v>2155</v>
      </c>
      <c r="W193" s="37">
        <f t="shared" si="5"/>
        <v>0.7</v>
      </c>
      <c r="X193" s="33" t="s">
        <v>43</v>
      </c>
      <c r="Y193" s="33" t="s">
        <v>44</v>
      </c>
      <c r="Z193" s="33" t="s">
        <v>45</v>
      </c>
      <c r="AA193" s="33" t="s">
        <v>46</v>
      </c>
      <c r="AB193" s="33" t="s">
        <v>1087</v>
      </c>
      <c r="AD193" s="33" t="s">
        <v>159</v>
      </c>
      <c r="AE193" s="33" t="s">
        <v>121</v>
      </c>
      <c r="AG193" s="33" t="s">
        <v>50</v>
      </c>
      <c r="AH193" s="33" t="s">
        <v>51</v>
      </c>
    </row>
    <row r="194" spans="1:34" ht="234">
      <c r="A194" s="35">
        <v>193</v>
      </c>
      <c r="B194" s="35" t="s">
        <v>1088</v>
      </c>
      <c r="C194" s="35" t="s">
        <v>34</v>
      </c>
      <c r="D194" s="35" t="s">
        <v>1089</v>
      </c>
      <c r="E194" s="35" t="s">
        <v>1090</v>
      </c>
      <c r="F194" s="35" t="s">
        <v>1091</v>
      </c>
      <c r="G194" s="35" t="s">
        <v>38</v>
      </c>
      <c r="H194" s="35" t="str">
        <f t="shared" si="4"/>
        <v>Verify</v>
      </c>
      <c r="I194" s="35" t="s">
        <v>39</v>
      </c>
      <c r="J194" s="35"/>
      <c r="K194" s="47"/>
      <c r="L194" s="35" t="s">
        <v>117</v>
      </c>
      <c r="M194" s="35"/>
      <c r="N194" s="35"/>
      <c r="O194" s="35" t="s">
        <v>41</v>
      </c>
      <c r="P194" s="35" t="s">
        <v>1092</v>
      </c>
      <c r="Q194" s="35"/>
      <c r="R194" s="35"/>
      <c r="S194" s="35"/>
      <c r="T194" s="35"/>
      <c r="U194" s="35"/>
      <c r="V194" s="35" t="s">
        <v>2155</v>
      </c>
      <c r="W194" s="37">
        <f t="shared" si="5"/>
        <v>0.7</v>
      </c>
      <c r="X194" s="33" t="s">
        <v>43</v>
      </c>
      <c r="Y194" s="33" t="s">
        <v>44</v>
      </c>
      <c r="Z194" s="33" t="s">
        <v>45</v>
      </c>
      <c r="AA194" s="33" t="s">
        <v>46</v>
      </c>
      <c r="AB194" s="33" t="s">
        <v>1093</v>
      </c>
      <c r="AC194" s="33" t="s">
        <v>1092</v>
      </c>
      <c r="AD194" s="33" t="s">
        <v>48</v>
      </c>
      <c r="AE194" s="33" t="s">
        <v>121</v>
      </c>
      <c r="AG194" s="33" t="s">
        <v>50</v>
      </c>
      <c r="AH194" s="33" t="s">
        <v>51</v>
      </c>
    </row>
    <row r="195" spans="1:34" ht="343.25">
      <c r="A195" s="35">
        <v>194</v>
      </c>
      <c r="B195" s="35" t="s">
        <v>1094</v>
      </c>
      <c r="C195" s="35" t="s">
        <v>34</v>
      </c>
      <c r="D195" s="35" t="s">
        <v>1089</v>
      </c>
      <c r="E195" s="35" t="s">
        <v>1095</v>
      </c>
      <c r="F195" s="35" t="s">
        <v>1096</v>
      </c>
      <c r="G195" s="35" t="s">
        <v>38</v>
      </c>
      <c r="H195" s="35" t="str">
        <f t="shared" ref="H195:H258" si="6">IF(G195="Evalueringskrav","Answer",(IF(G195="Krav","Check",(IF(G195="Mindstekrav","Verify","")))))</f>
        <v>Verify</v>
      </c>
      <c r="I195" s="35" t="s">
        <v>39</v>
      </c>
      <c r="J195" s="35"/>
      <c r="K195" s="47"/>
      <c r="L195" s="35" t="s">
        <v>307</v>
      </c>
      <c r="M195" s="35"/>
      <c r="N195" s="35" t="s">
        <v>1097</v>
      </c>
      <c r="O195" s="35" t="s">
        <v>348</v>
      </c>
      <c r="P195" s="35" t="s">
        <v>1098</v>
      </c>
      <c r="Q195" s="35"/>
      <c r="R195" s="35" t="s">
        <v>78</v>
      </c>
      <c r="S195" s="35"/>
      <c r="T195" s="35"/>
      <c r="U195" s="35"/>
      <c r="V195" s="35" t="s">
        <v>405</v>
      </c>
      <c r="W195" s="37">
        <f t="shared" ref="W195:W258" si="7">IF(V195="Not Started",0%,IF(V195="Started",50%,IF(V195="Ready for review",70%,IF(V195="Reviewed - Content",80%,IF(V195="Reviewed - Format",90%,IF(V195="Done",100%,""))))))</f>
        <v>0.5</v>
      </c>
      <c r="X195" s="33" t="s">
        <v>43</v>
      </c>
      <c r="Y195" s="33" t="s">
        <v>213</v>
      </c>
      <c r="Z195" s="33" t="s">
        <v>81</v>
      </c>
      <c r="AA195" s="33" t="s">
        <v>119</v>
      </c>
      <c r="AB195" s="33" t="s">
        <v>1099</v>
      </c>
      <c r="AC195" s="33" t="s">
        <v>1100</v>
      </c>
      <c r="AD195" s="33" t="s">
        <v>1101</v>
      </c>
      <c r="AE195" s="33" t="s">
        <v>1010</v>
      </c>
      <c r="AG195" s="33" t="s">
        <v>50</v>
      </c>
      <c r="AH195" s="33" t="s">
        <v>51</v>
      </c>
    </row>
    <row r="196" spans="1:34" ht="265.25">
      <c r="A196" s="35">
        <v>195</v>
      </c>
      <c r="B196" s="35" t="s">
        <v>1102</v>
      </c>
      <c r="C196" s="35" t="s">
        <v>34</v>
      </c>
      <c r="D196" s="35" t="s">
        <v>1089</v>
      </c>
      <c r="E196" s="35" t="s">
        <v>1103</v>
      </c>
      <c r="F196" s="35" t="s">
        <v>1104</v>
      </c>
      <c r="G196" s="35" t="s">
        <v>38</v>
      </c>
      <c r="H196" s="35" t="str">
        <f t="shared" si="6"/>
        <v>Verify</v>
      </c>
      <c r="I196" s="35" t="s">
        <v>39</v>
      </c>
      <c r="J196" s="35"/>
      <c r="K196" s="47"/>
      <c r="L196" s="35" t="s">
        <v>40</v>
      </c>
      <c r="M196" s="35"/>
      <c r="N196" s="35"/>
      <c r="O196" s="35" t="s">
        <v>41</v>
      </c>
      <c r="P196" s="35"/>
      <c r="Q196" s="35"/>
      <c r="R196" s="35"/>
      <c r="S196" s="35"/>
      <c r="T196" s="35"/>
      <c r="U196" s="35"/>
      <c r="V196" s="35" t="s">
        <v>42</v>
      </c>
      <c r="W196" s="37">
        <f t="shared" si="7"/>
        <v>0.8</v>
      </c>
      <c r="X196" s="33" t="s">
        <v>43</v>
      </c>
      <c r="Y196" s="33" t="s">
        <v>44</v>
      </c>
      <c r="Z196" s="33" t="s">
        <v>45</v>
      </c>
      <c r="AA196" s="33" t="s">
        <v>46</v>
      </c>
      <c r="AB196" s="33" t="s">
        <v>1105</v>
      </c>
      <c r="AD196" s="33" t="s">
        <v>176</v>
      </c>
      <c r="AE196" s="33" t="s">
        <v>49</v>
      </c>
      <c r="AG196" s="33" t="s">
        <v>50</v>
      </c>
      <c r="AH196" s="33" t="s">
        <v>51</v>
      </c>
    </row>
    <row r="197" spans="1:34" ht="171.65">
      <c r="A197" s="35">
        <v>196</v>
      </c>
      <c r="B197" s="35" t="s">
        <v>1106</v>
      </c>
      <c r="C197" s="35" t="s">
        <v>34</v>
      </c>
      <c r="D197" s="35" t="s">
        <v>1089</v>
      </c>
      <c r="E197" s="35" t="s">
        <v>1107</v>
      </c>
      <c r="F197" s="35" t="s">
        <v>1108</v>
      </c>
      <c r="G197" s="35" t="s">
        <v>38</v>
      </c>
      <c r="H197" s="35" t="str">
        <f t="shared" si="6"/>
        <v>Verify</v>
      </c>
      <c r="I197" s="35" t="s">
        <v>39</v>
      </c>
      <c r="J197" s="35"/>
      <c r="K197" s="47"/>
      <c r="L197" s="35" t="s">
        <v>307</v>
      </c>
      <c r="M197" s="35"/>
      <c r="N197" s="35" t="s">
        <v>1097</v>
      </c>
      <c r="O197" s="35" t="s">
        <v>348</v>
      </c>
      <c r="P197" s="35" t="s">
        <v>1109</v>
      </c>
      <c r="Q197" s="35"/>
      <c r="R197" s="35" t="s">
        <v>78</v>
      </c>
      <c r="S197" s="35"/>
      <c r="T197" s="35"/>
      <c r="U197" s="35"/>
      <c r="V197" s="35" t="s">
        <v>405</v>
      </c>
      <c r="W197" s="37">
        <f t="shared" si="7"/>
        <v>0.5</v>
      </c>
      <c r="X197" s="33" t="s">
        <v>43</v>
      </c>
      <c r="Y197" s="33" t="s">
        <v>213</v>
      </c>
      <c r="Z197" s="33" t="s">
        <v>81</v>
      </c>
      <c r="AA197" s="33" t="s">
        <v>119</v>
      </c>
      <c r="AB197" s="33" t="s">
        <v>1110</v>
      </c>
      <c r="AC197" s="33" t="s">
        <v>1111</v>
      </c>
      <c r="AD197" s="33" t="s">
        <v>1112</v>
      </c>
      <c r="AE197" s="33" t="s">
        <v>966</v>
      </c>
      <c r="AG197" s="33" t="s">
        <v>50</v>
      </c>
      <c r="AH197" s="33" t="s">
        <v>51</v>
      </c>
    </row>
    <row r="198" spans="1:34" ht="234">
      <c r="A198" s="35">
        <v>197</v>
      </c>
      <c r="B198" s="35" t="s">
        <v>1113</v>
      </c>
      <c r="C198" s="35" t="s">
        <v>34</v>
      </c>
      <c r="D198" s="35" t="s">
        <v>1089</v>
      </c>
      <c r="E198" s="35" t="s">
        <v>1114</v>
      </c>
      <c r="F198" s="35" t="s">
        <v>1115</v>
      </c>
      <c r="G198" s="35" t="s">
        <v>38</v>
      </c>
      <c r="H198" s="35" t="str">
        <f t="shared" si="6"/>
        <v>Verify</v>
      </c>
      <c r="I198" s="35" t="s">
        <v>39</v>
      </c>
      <c r="J198" s="35"/>
      <c r="K198" s="47"/>
      <c r="L198" s="35" t="s">
        <v>307</v>
      </c>
      <c r="M198" s="35"/>
      <c r="N198" s="35"/>
      <c r="O198" s="35" t="s">
        <v>41</v>
      </c>
      <c r="P198" s="35" t="s">
        <v>2221</v>
      </c>
      <c r="Q198" s="35"/>
      <c r="R198" s="35"/>
      <c r="S198" s="35"/>
      <c r="T198" s="35"/>
      <c r="U198" s="35"/>
      <c r="V198" s="35" t="s">
        <v>2155</v>
      </c>
      <c r="W198" s="37">
        <f t="shared" si="7"/>
        <v>0.7</v>
      </c>
      <c r="X198" s="33" t="s">
        <v>43</v>
      </c>
      <c r="Y198" s="33" t="s">
        <v>213</v>
      </c>
      <c r="Z198" s="33" t="s">
        <v>214</v>
      </c>
      <c r="AA198" s="33" t="s">
        <v>119</v>
      </c>
      <c r="AB198" s="33" t="s">
        <v>1116</v>
      </c>
      <c r="AC198" s="33" t="s">
        <v>1117</v>
      </c>
      <c r="AD198" s="33" t="s">
        <v>1118</v>
      </c>
      <c r="AE198" s="33" t="s">
        <v>1119</v>
      </c>
      <c r="AG198" s="33" t="s">
        <v>50</v>
      </c>
      <c r="AH198" s="33" t="s">
        <v>51</v>
      </c>
    </row>
    <row r="199" spans="1:34" ht="156">
      <c r="A199" s="35">
        <v>198</v>
      </c>
      <c r="B199" s="35" t="s">
        <v>1120</v>
      </c>
      <c r="C199" s="35" t="s">
        <v>34</v>
      </c>
      <c r="D199" s="35" t="s">
        <v>1089</v>
      </c>
      <c r="E199" s="35" t="s">
        <v>1121</v>
      </c>
      <c r="F199" s="35" t="s">
        <v>1122</v>
      </c>
      <c r="G199" s="35" t="s">
        <v>38</v>
      </c>
      <c r="H199" s="35" t="str">
        <f t="shared" si="6"/>
        <v>Verify</v>
      </c>
      <c r="I199" s="35" t="s">
        <v>39</v>
      </c>
      <c r="J199" s="35"/>
      <c r="K199" s="47"/>
      <c r="L199" s="35" t="s">
        <v>307</v>
      </c>
      <c r="M199" s="35"/>
      <c r="N199" s="35"/>
      <c r="O199" s="35" t="s">
        <v>76</v>
      </c>
      <c r="P199" s="35" t="s">
        <v>1123</v>
      </c>
      <c r="Q199" s="35">
        <v>433892</v>
      </c>
      <c r="R199" s="35" t="s">
        <v>78</v>
      </c>
      <c r="S199" s="35"/>
      <c r="T199" s="35"/>
      <c r="U199" s="35"/>
      <c r="V199" s="35" t="s">
        <v>405</v>
      </c>
      <c r="W199" s="37">
        <f t="shared" si="7"/>
        <v>0.5</v>
      </c>
      <c r="X199" s="33" t="s">
        <v>43</v>
      </c>
      <c r="Y199" s="33" t="s">
        <v>213</v>
      </c>
      <c r="Z199" s="33" t="s">
        <v>214</v>
      </c>
      <c r="AA199" s="33" t="s">
        <v>119</v>
      </c>
      <c r="AB199" s="33" t="s">
        <v>1124</v>
      </c>
      <c r="AC199" s="33" t="s">
        <v>1125</v>
      </c>
      <c r="AD199" s="33" t="s">
        <v>1126</v>
      </c>
      <c r="AE199" s="33" t="s">
        <v>1119</v>
      </c>
      <c r="AG199" s="33" t="s">
        <v>50</v>
      </c>
      <c r="AH199" s="33" t="s">
        <v>51</v>
      </c>
    </row>
    <row r="200" spans="1:34" ht="156">
      <c r="A200" s="35">
        <v>199</v>
      </c>
      <c r="B200" s="35" t="s">
        <v>1127</v>
      </c>
      <c r="C200" s="35" t="s">
        <v>34</v>
      </c>
      <c r="D200" s="35" t="s">
        <v>1089</v>
      </c>
      <c r="E200" s="35" t="s">
        <v>1128</v>
      </c>
      <c r="F200" s="35" t="s">
        <v>1129</v>
      </c>
      <c r="G200" s="35" t="s">
        <v>116</v>
      </c>
      <c r="H200" s="35" t="str">
        <f t="shared" si="6"/>
        <v>Check</v>
      </c>
      <c r="I200" s="35" t="s">
        <v>39</v>
      </c>
      <c r="J200" s="35"/>
      <c r="K200" s="47"/>
      <c r="L200" s="35" t="s">
        <v>307</v>
      </c>
      <c r="M200" s="35"/>
      <c r="N200" s="35"/>
      <c r="O200" s="35" t="s">
        <v>76</v>
      </c>
      <c r="P200" s="35" t="s">
        <v>1130</v>
      </c>
      <c r="Q200" s="35">
        <v>433893</v>
      </c>
      <c r="R200" s="35" t="s">
        <v>78</v>
      </c>
      <c r="S200" s="35"/>
      <c r="T200" s="35"/>
      <c r="U200" s="35"/>
      <c r="V200" s="35" t="s">
        <v>405</v>
      </c>
      <c r="W200" s="37">
        <f t="shared" si="7"/>
        <v>0.5</v>
      </c>
      <c r="X200" s="33" t="s">
        <v>43</v>
      </c>
      <c r="Y200" s="33" t="s">
        <v>213</v>
      </c>
      <c r="Z200" s="33" t="s">
        <v>214</v>
      </c>
      <c r="AA200" s="33" t="s">
        <v>119</v>
      </c>
      <c r="AB200" s="33" t="s">
        <v>1131</v>
      </c>
      <c r="AC200" s="33" t="s">
        <v>1132</v>
      </c>
      <c r="AD200" s="33" t="s">
        <v>1133</v>
      </c>
      <c r="AE200" s="33" t="s">
        <v>1119</v>
      </c>
      <c r="AG200" s="33" t="s">
        <v>50</v>
      </c>
      <c r="AH200" s="33" t="s">
        <v>51</v>
      </c>
    </row>
    <row r="201" spans="1:34" ht="171.65">
      <c r="A201" s="35">
        <v>200</v>
      </c>
      <c r="B201" s="35" t="s">
        <v>1134</v>
      </c>
      <c r="C201" s="35" t="s">
        <v>34</v>
      </c>
      <c r="D201" s="35" t="s">
        <v>1135</v>
      </c>
      <c r="E201" s="35" t="s">
        <v>1136</v>
      </c>
      <c r="F201" s="35" t="s">
        <v>1137</v>
      </c>
      <c r="G201" s="35" t="s">
        <v>38</v>
      </c>
      <c r="H201" s="35" t="str">
        <f t="shared" si="6"/>
        <v>Verify</v>
      </c>
      <c r="I201" s="35" t="s">
        <v>39</v>
      </c>
      <c r="J201" s="35"/>
      <c r="K201" s="47"/>
      <c r="L201" s="35" t="s">
        <v>1138</v>
      </c>
      <c r="M201" s="35"/>
      <c r="N201" s="35"/>
      <c r="O201" s="35" t="s">
        <v>41</v>
      </c>
      <c r="P201" s="35" t="s">
        <v>1139</v>
      </c>
      <c r="Q201" s="35"/>
      <c r="R201" s="35"/>
      <c r="S201" s="35" t="s">
        <v>78</v>
      </c>
      <c r="T201" s="35"/>
      <c r="U201" s="35"/>
      <c r="V201" s="35" t="s">
        <v>405</v>
      </c>
      <c r="W201" s="37">
        <f t="shared" si="7"/>
        <v>0.5</v>
      </c>
      <c r="X201" s="33" t="s">
        <v>43</v>
      </c>
      <c r="Y201" s="33" t="s">
        <v>213</v>
      </c>
      <c r="Z201" s="33" t="s">
        <v>658</v>
      </c>
      <c r="AA201" s="33" t="s">
        <v>119</v>
      </c>
      <c r="AB201" s="33" t="s">
        <v>1140</v>
      </c>
      <c r="AC201" s="33" t="s">
        <v>1141</v>
      </c>
      <c r="AD201" s="33" t="s">
        <v>1142</v>
      </c>
      <c r="AE201" s="33" t="s">
        <v>1143</v>
      </c>
      <c r="AG201" s="33" t="s">
        <v>50</v>
      </c>
      <c r="AH201" s="33" t="s">
        <v>51</v>
      </c>
    </row>
    <row r="202" spans="1:34" ht="249.65">
      <c r="A202" s="35">
        <v>201</v>
      </c>
      <c r="B202" s="35" t="s">
        <v>1144</v>
      </c>
      <c r="C202" s="35" t="s">
        <v>34</v>
      </c>
      <c r="D202" s="35" t="s">
        <v>1135</v>
      </c>
      <c r="E202" s="35" t="s">
        <v>1145</v>
      </c>
      <c r="F202" s="35" t="s">
        <v>1146</v>
      </c>
      <c r="G202" s="35" t="s">
        <v>38</v>
      </c>
      <c r="H202" s="35" t="str">
        <f t="shared" si="6"/>
        <v>Verify</v>
      </c>
      <c r="I202" s="35" t="s">
        <v>39</v>
      </c>
      <c r="J202" s="35"/>
      <c r="K202" s="47"/>
      <c r="L202" s="35" t="s">
        <v>1138</v>
      </c>
      <c r="M202" s="35"/>
      <c r="N202" s="35"/>
      <c r="O202" s="35" t="s">
        <v>41</v>
      </c>
      <c r="P202" s="35" t="s">
        <v>1147</v>
      </c>
      <c r="Q202" s="35"/>
      <c r="R202" s="35"/>
      <c r="S202" s="35"/>
      <c r="T202" s="35"/>
      <c r="U202" s="35"/>
      <c r="V202" s="35" t="s">
        <v>2155</v>
      </c>
      <c r="W202" s="37">
        <f t="shared" si="7"/>
        <v>0.7</v>
      </c>
      <c r="X202" s="33" t="s">
        <v>43</v>
      </c>
      <c r="Y202" s="33" t="s">
        <v>44</v>
      </c>
      <c r="Z202" s="33" t="s">
        <v>658</v>
      </c>
      <c r="AA202" s="33" t="s">
        <v>46</v>
      </c>
      <c r="AB202" s="33" t="s">
        <v>1148</v>
      </c>
      <c r="AC202" s="33" t="s">
        <v>1149</v>
      </c>
      <c r="AD202" s="33" t="s">
        <v>635</v>
      </c>
      <c r="AE202" s="33" t="s">
        <v>1143</v>
      </c>
      <c r="AG202" s="33" t="s">
        <v>50</v>
      </c>
      <c r="AH202" s="33" t="s">
        <v>51</v>
      </c>
    </row>
    <row r="203" spans="1:34" ht="249.65">
      <c r="A203" s="35">
        <v>202</v>
      </c>
      <c r="B203" s="35" t="s">
        <v>1150</v>
      </c>
      <c r="C203" s="35" t="s">
        <v>34</v>
      </c>
      <c r="D203" s="35" t="s">
        <v>1135</v>
      </c>
      <c r="E203" s="35" t="s">
        <v>1151</v>
      </c>
      <c r="F203" s="35" t="s">
        <v>1152</v>
      </c>
      <c r="G203" s="35" t="s">
        <v>38</v>
      </c>
      <c r="H203" s="35" t="str">
        <f t="shared" si="6"/>
        <v>Verify</v>
      </c>
      <c r="I203" s="35" t="s">
        <v>39</v>
      </c>
      <c r="J203" s="35"/>
      <c r="K203" s="47"/>
      <c r="L203" s="35" t="s">
        <v>1138</v>
      </c>
      <c r="M203" s="35"/>
      <c r="N203" s="35"/>
      <c r="O203" s="35" t="s">
        <v>41</v>
      </c>
      <c r="P203" s="35"/>
      <c r="Q203" s="35"/>
      <c r="R203" s="35"/>
      <c r="S203" s="35"/>
      <c r="T203" s="35"/>
      <c r="U203" s="35"/>
      <c r="V203" s="35" t="s">
        <v>2155</v>
      </c>
      <c r="W203" s="37">
        <f t="shared" si="7"/>
        <v>0.7</v>
      </c>
      <c r="X203" s="33" t="s">
        <v>43</v>
      </c>
      <c r="Y203" s="33" t="s">
        <v>44</v>
      </c>
      <c r="Z203" s="33" t="s">
        <v>658</v>
      </c>
      <c r="AA203" s="33" t="s">
        <v>46</v>
      </c>
      <c r="AB203" s="33" t="s">
        <v>1153</v>
      </c>
      <c r="AD203" s="33" t="s">
        <v>618</v>
      </c>
      <c r="AE203" s="33" t="s">
        <v>1143</v>
      </c>
      <c r="AG203" s="33" t="s">
        <v>50</v>
      </c>
      <c r="AH203" s="33" t="s">
        <v>51</v>
      </c>
    </row>
    <row r="204" spans="1:34" ht="234">
      <c r="A204" s="35">
        <v>203</v>
      </c>
      <c r="B204" s="35" t="s">
        <v>1154</v>
      </c>
      <c r="C204" s="35" t="s">
        <v>34</v>
      </c>
      <c r="D204" s="35" t="s">
        <v>1135</v>
      </c>
      <c r="E204" s="35" t="s">
        <v>1155</v>
      </c>
      <c r="F204" s="35" t="s">
        <v>1156</v>
      </c>
      <c r="G204" s="35" t="s">
        <v>38</v>
      </c>
      <c r="H204" s="35" t="str">
        <f t="shared" si="6"/>
        <v>Verify</v>
      </c>
      <c r="I204" s="35" t="s">
        <v>39</v>
      </c>
      <c r="J204" s="35"/>
      <c r="K204" s="47"/>
      <c r="L204" s="35" t="s">
        <v>1138</v>
      </c>
      <c r="M204" s="35"/>
      <c r="N204" s="35"/>
      <c r="O204" s="35" t="s">
        <v>41</v>
      </c>
      <c r="P204" s="35"/>
      <c r="Q204" s="35"/>
      <c r="R204" s="35"/>
      <c r="S204" s="35"/>
      <c r="T204" s="35"/>
      <c r="U204" s="35"/>
      <c r="V204" s="35" t="s">
        <v>2155</v>
      </c>
      <c r="W204" s="37">
        <f t="shared" si="7"/>
        <v>0.7</v>
      </c>
      <c r="X204" s="33" t="s">
        <v>43</v>
      </c>
      <c r="Y204" s="33" t="s">
        <v>44</v>
      </c>
      <c r="Z204" s="33" t="s">
        <v>658</v>
      </c>
      <c r="AA204" s="33" t="s">
        <v>46</v>
      </c>
      <c r="AB204" s="33" t="s">
        <v>1157</v>
      </c>
      <c r="AD204" s="33" t="s">
        <v>48</v>
      </c>
      <c r="AE204" s="33" t="s">
        <v>1143</v>
      </c>
      <c r="AG204" s="33" t="s">
        <v>50</v>
      </c>
      <c r="AH204" s="33" t="s">
        <v>51</v>
      </c>
    </row>
    <row r="205" spans="1:34" ht="312">
      <c r="A205" s="35">
        <v>204</v>
      </c>
      <c r="B205" s="35" t="s">
        <v>1158</v>
      </c>
      <c r="C205" s="35" t="s">
        <v>34</v>
      </c>
      <c r="D205" s="35" t="s">
        <v>1135</v>
      </c>
      <c r="E205" s="35" t="s">
        <v>1159</v>
      </c>
      <c r="F205" s="35" t="s">
        <v>1160</v>
      </c>
      <c r="G205" s="35" t="s">
        <v>38</v>
      </c>
      <c r="H205" s="35" t="str">
        <f t="shared" si="6"/>
        <v>Verify</v>
      </c>
      <c r="I205" s="35" t="s">
        <v>39</v>
      </c>
      <c r="J205" s="35"/>
      <c r="K205" s="47"/>
      <c r="L205" s="35" t="s">
        <v>1138</v>
      </c>
      <c r="M205" s="35"/>
      <c r="N205" s="35"/>
      <c r="O205" s="35" t="s">
        <v>348</v>
      </c>
      <c r="P205" s="35" t="s">
        <v>1161</v>
      </c>
      <c r="Q205" s="35"/>
      <c r="R205" s="35"/>
      <c r="S205" s="35"/>
      <c r="T205" s="35"/>
      <c r="U205" s="35"/>
      <c r="V205" s="35" t="s">
        <v>79</v>
      </c>
      <c r="W205" s="37">
        <f t="shared" si="7"/>
        <v>0</v>
      </c>
      <c r="X205" s="33" t="s">
        <v>43</v>
      </c>
      <c r="Y205" s="33" t="s">
        <v>44</v>
      </c>
      <c r="Z205" s="33" t="s">
        <v>658</v>
      </c>
      <c r="AA205" s="33" t="s">
        <v>46</v>
      </c>
      <c r="AB205" s="33" t="s">
        <v>1162</v>
      </c>
      <c r="AC205" s="33" t="s">
        <v>1163</v>
      </c>
      <c r="AD205" s="33" t="s">
        <v>1164</v>
      </c>
      <c r="AE205" s="33" t="s">
        <v>1143</v>
      </c>
      <c r="AG205" s="33" t="s">
        <v>50</v>
      </c>
      <c r="AH205" s="33" t="s">
        <v>51</v>
      </c>
    </row>
    <row r="206" spans="1:34" ht="280.75">
      <c r="A206" s="35">
        <v>205</v>
      </c>
      <c r="B206" s="35" t="s">
        <v>1165</v>
      </c>
      <c r="C206" s="35" t="s">
        <v>34</v>
      </c>
      <c r="D206" s="35" t="s">
        <v>1166</v>
      </c>
      <c r="E206" s="35" t="s">
        <v>1167</v>
      </c>
      <c r="F206" s="35" t="s">
        <v>1168</v>
      </c>
      <c r="G206" s="35" t="s">
        <v>38</v>
      </c>
      <c r="H206" s="35" t="str">
        <f t="shared" si="6"/>
        <v>Verify</v>
      </c>
      <c r="I206" s="35" t="s">
        <v>39</v>
      </c>
      <c r="J206" s="35"/>
      <c r="K206" s="47"/>
      <c r="L206" s="35" t="s">
        <v>1169</v>
      </c>
      <c r="M206" s="35"/>
      <c r="N206" s="35"/>
      <c r="O206" s="35" t="s">
        <v>76</v>
      </c>
      <c r="P206" s="35" t="s">
        <v>1170</v>
      </c>
      <c r="Q206" s="35"/>
      <c r="R206" s="35"/>
      <c r="S206" s="35"/>
      <c r="T206" s="35"/>
      <c r="U206" s="35"/>
      <c r="V206" s="35" t="s">
        <v>79</v>
      </c>
      <c r="W206" s="37">
        <f t="shared" si="7"/>
        <v>0</v>
      </c>
      <c r="X206" s="33" t="s">
        <v>43</v>
      </c>
      <c r="Y206" s="33" t="s">
        <v>213</v>
      </c>
      <c r="Z206" s="33" t="s">
        <v>658</v>
      </c>
      <c r="AA206" s="33" t="s">
        <v>119</v>
      </c>
      <c r="AB206" s="33" t="s">
        <v>1171</v>
      </c>
      <c r="AC206" s="33" t="s">
        <v>1172</v>
      </c>
      <c r="AD206" s="33" t="s">
        <v>1173</v>
      </c>
      <c r="AE206" s="33" t="s">
        <v>1174</v>
      </c>
      <c r="AG206" s="33" t="s">
        <v>50</v>
      </c>
      <c r="AH206" s="33" t="s">
        <v>51</v>
      </c>
    </row>
    <row r="207" spans="1:34" ht="202.75">
      <c r="A207" s="35">
        <v>206</v>
      </c>
      <c r="B207" s="35" t="s">
        <v>1175</v>
      </c>
      <c r="C207" s="35" t="s">
        <v>34</v>
      </c>
      <c r="D207" s="35" t="s">
        <v>1176</v>
      </c>
      <c r="E207" s="35" t="s">
        <v>1177</v>
      </c>
      <c r="F207" s="35" t="s">
        <v>1178</v>
      </c>
      <c r="G207" s="35" t="s">
        <v>38</v>
      </c>
      <c r="H207" s="35" t="str">
        <f t="shared" si="6"/>
        <v>Verify</v>
      </c>
      <c r="I207" s="35" t="s">
        <v>39</v>
      </c>
      <c r="J207" s="35"/>
      <c r="K207" s="47"/>
      <c r="L207" s="35" t="s">
        <v>1169</v>
      </c>
      <c r="M207" s="35"/>
      <c r="N207" s="35"/>
      <c r="O207" s="35"/>
      <c r="P207" s="35" t="s">
        <v>1179</v>
      </c>
      <c r="Q207" s="35"/>
      <c r="R207" s="35"/>
      <c r="S207" s="35"/>
      <c r="T207" s="35"/>
      <c r="U207" s="35"/>
      <c r="V207" s="35" t="s">
        <v>79</v>
      </c>
      <c r="W207" s="37">
        <f t="shared" si="7"/>
        <v>0</v>
      </c>
      <c r="X207" s="33" t="s">
        <v>43</v>
      </c>
      <c r="Y207" s="33" t="s">
        <v>44</v>
      </c>
      <c r="Z207" s="33" t="s">
        <v>658</v>
      </c>
      <c r="AA207" s="33" t="s">
        <v>46</v>
      </c>
      <c r="AB207" s="33" t="s">
        <v>1180</v>
      </c>
      <c r="AD207" s="33" t="s">
        <v>1181</v>
      </c>
      <c r="AE207" s="33" t="s">
        <v>1174</v>
      </c>
      <c r="AG207" s="33" t="s">
        <v>50</v>
      </c>
      <c r="AH207" s="33" t="s">
        <v>51</v>
      </c>
    </row>
    <row r="208" spans="1:34" ht="296.39999999999998">
      <c r="A208" s="35">
        <v>207</v>
      </c>
      <c r="B208" s="35" t="s">
        <v>1182</v>
      </c>
      <c r="C208" s="35" t="s">
        <v>34</v>
      </c>
      <c r="D208" s="35" t="s">
        <v>1176</v>
      </c>
      <c r="E208" s="35" t="s">
        <v>1183</v>
      </c>
      <c r="F208" s="35" t="s">
        <v>1184</v>
      </c>
      <c r="G208" s="35" t="s">
        <v>38</v>
      </c>
      <c r="H208" s="35" t="str">
        <f t="shared" si="6"/>
        <v>Verify</v>
      </c>
      <c r="I208" s="35" t="s">
        <v>39</v>
      </c>
      <c r="J208" s="35"/>
      <c r="K208" s="47"/>
      <c r="L208" s="35" t="s">
        <v>1169</v>
      </c>
      <c r="M208" s="35"/>
      <c r="N208" s="35"/>
      <c r="O208" s="35"/>
      <c r="P208" s="35"/>
      <c r="Q208" s="35"/>
      <c r="R208" s="35"/>
      <c r="S208" s="35"/>
      <c r="T208" s="35"/>
      <c r="U208" s="35"/>
      <c r="V208" s="35" t="s">
        <v>79</v>
      </c>
      <c r="W208" s="37">
        <f t="shared" si="7"/>
        <v>0</v>
      </c>
      <c r="X208" s="33" t="s">
        <v>43</v>
      </c>
      <c r="Y208" s="33" t="s">
        <v>44</v>
      </c>
      <c r="Z208" s="33" t="s">
        <v>658</v>
      </c>
      <c r="AA208" s="33" t="s">
        <v>46</v>
      </c>
      <c r="AB208" s="33" t="s">
        <v>1185</v>
      </c>
      <c r="AD208" s="33" t="s">
        <v>293</v>
      </c>
      <c r="AE208" s="33" t="s">
        <v>1174</v>
      </c>
      <c r="AG208" s="33" t="s">
        <v>50</v>
      </c>
      <c r="AH208" s="33" t="s">
        <v>51</v>
      </c>
    </row>
    <row r="209" spans="1:34" ht="234">
      <c r="A209" s="35">
        <v>208</v>
      </c>
      <c r="B209" s="35" t="s">
        <v>1186</v>
      </c>
      <c r="C209" s="35" t="s">
        <v>34</v>
      </c>
      <c r="D209" s="35" t="s">
        <v>1187</v>
      </c>
      <c r="E209" s="35" t="s">
        <v>1187</v>
      </c>
      <c r="F209" s="35" t="s">
        <v>1188</v>
      </c>
      <c r="G209" s="35" t="s">
        <v>38</v>
      </c>
      <c r="H209" s="35" t="str">
        <f t="shared" si="6"/>
        <v>Verify</v>
      </c>
      <c r="I209" s="35" t="s">
        <v>39</v>
      </c>
      <c r="J209" s="35"/>
      <c r="K209" s="47"/>
      <c r="L209" s="35" t="s">
        <v>1169</v>
      </c>
      <c r="M209" s="35"/>
      <c r="N209" s="35"/>
      <c r="O209" s="35"/>
      <c r="P209" s="35"/>
      <c r="Q209" s="35"/>
      <c r="R209" s="35"/>
      <c r="S209" s="35"/>
      <c r="T209" s="35"/>
      <c r="U209" s="35"/>
      <c r="V209" s="35" t="s">
        <v>79</v>
      </c>
      <c r="W209" s="37">
        <f t="shared" si="7"/>
        <v>0</v>
      </c>
      <c r="X209" s="33" t="s">
        <v>43</v>
      </c>
      <c r="Y209" s="33" t="s">
        <v>44</v>
      </c>
      <c r="Z209" s="33" t="s">
        <v>658</v>
      </c>
      <c r="AA209" s="33" t="s">
        <v>46</v>
      </c>
      <c r="AB209" s="33" t="s">
        <v>1189</v>
      </c>
      <c r="AD209" s="33" t="s">
        <v>48</v>
      </c>
      <c r="AE209" s="33" t="s">
        <v>1174</v>
      </c>
      <c r="AG209" s="33" t="s">
        <v>50</v>
      </c>
      <c r="AH209" s="33" t="s">
        <v>51</v>
      </c>
    </row>
    <row r="210" spans="1:34" ht="265.25">
      <c r="A210" s="35">
        <v>209</v>
      </c>
      <c r="B210" s="35" t="s">
        <v>1190</v>
      </c>
      <c r="C210" s="35" t="s">
        <v>34</v>
      </c>
      <c r="D210" s="35" t="s">
        <v>1187</v>
      </c>
      <c r="E210" s="35" t="s">
        <v>1191</v>
      </c>
      <c r="F210" s="35" t="s">
        <v>1192</v>
      </c>
      <c r="G210" s="35" t="s">
        <v>38</v>
      </c>
      <c r="H210" s="35" t="str">
        <f t="shared" si="6"/>
        <v>Verify</v>
      </c>
      <c r="I210" s="35" t="s">
        <v>39</v>
      </c>
      <c r="J210" s="35"/>
      <c r="K210" s="47"/>
      <c r="L210" s="35" t="s">
        <v>40</v>
      </c>
      <c r="M210" s="35"/>
      <c r="N210" s="35"/>
      <c r="O210" s="35" t="s">
        <v>41</v>
      </c>
      <c r="P210" s="35" t="s">
        <v>1193</v>
      </c>
      <c r="Q210" s="35"/>
      <c r="R210" s="35"/>
      <c r="S210" s="35"/>
      <c r="T210" s="35"/>
      <c r="U210" s="35"/>
      <c r="V210" s="35" t="s">
        <v>42</v>
      </c>
      <c r="W210" s="37">
        <f t="shared" si="7"/>
        <v>0.8</v>
      </c>
      <c r="X210" s="33" t="s">
        <v>43</v>
      </c>
      <c r="Y210" s="33" t="s">
        <v>44</v>
      </c>
      <c r="Z210" s="33" t="s">
        <v>45</v>
      </c>
      <c r="AA210" s="33" t="s">
        <v>46</v>
      </c>
      <c r="AB210" s="33" t="s">
        <v>1194</v>
      </c>
      <c r="AC210" s="33" t="s">
        <v>1193</v>
      </c>
      <c r="AD210" s="33" t="s">
        <v>97</v>
      </c>
      <c r="AE210" s="33" t="s">
        <v>49</v>
      </c>
      <c r="AG210" s="33" t="s">
        <v>50</v>
      </c>
      <c r="AH210" s="33" t="s">
        <v>51</v>
      </c>
    </row>
    <row r="211" spans="1:34" ht="265.25">
      <c r="A211" s="35">
        <v>210</v>
      </c>
      <c r="B211" s="35" t="s">
        <v>1195</v>
      </c>
      <c r="C211" s="35" t="s">
        <v>34</v>
      </c>
      <c r="D211" s="35" t="s">
        <v>1187</v>
      </c>
      <c r="E211" s="35" t="s">
        <v>1196</v>
      </c>
      <c r="F211" s="35" t="s">
        <v>1197</v>
      </c>
      <c r="G211" s="35" t="s">
        <v>38</v>
      </c>
      <c r="H211" s="35" t="str">
        <f t="shared" si="6"/>
        <v>Verify</v>
      </c>
      <c r="I211" s="35" t="s">
        <v>39</v>
      </c>
      <c r="J211" s="35"/>
      <c r="K211" s="47"/>
      <c r="L211" s="35" t="s">
        <v>40</v>
      </c>
      <c r="M211" s="35"/>
      <c r="N211" s="35"/>
      <c r="O211" s="35" t="s">
        <v>41</v>
      </c>
      <c r="P211" s="35" t="s">
        <v>1193</v>
      </c>
      <c r="Q211" s="35"/>
      <c r="R211" s="35"/>
      <c r="S211" s="35"/>
      <c r="T211" s="35"/>
      <c r="U211" s="35"/>
      <c r="V211" s="35" t="s">
        <v>42</v>
      </c>
      <c r="W211" s="37">
        <f t="shared" si="7"/>
        <v>0.8</v>
      </c>
      <c r="X211" s="33" t="s">
        <v>43</v>
      </c>
      <c r="Y211" s="33" t="s">
        <v>44</v>
      </c>
      <c r="Z211" s="33" t="s">
        <v>45</v>
      </c>
      <c r="AA211" s="33" t="s">
        <v>46</v>
      </c>
      <c r="AB211" s="33" t="s">
        <v>1198</v>
      </c>
      <c r="AC211" s="33" t="s">
        <v>1193</v>
      </c>
      <c r="AD211" s="33" t="s">
        <v>159</v>
      </c>
      <c r="AE211" s="33" t="s">
        <v>49</v>
      </c>
      <c r="AG211" s="33" t="s">
        <v>50</v>
      </c>
      <c r="AH211" s="33" t="s">
        <v>51</v>
      </c>
    </row>
    <row r="212" spans="1:34" ht="109.25">
      <c r="A212" s="35">
        <v>211</v>
      </c>
      <c r="B212" s="35" t="s">
        <v>1199</v>
      </c>
      <c r="C212" s="35" t="s">
        <v>34</v>
      </c>
      <c r="D212" s="35" t="s">
        <v>1187</v>
      </c>
      <c r="E212" s="35" t="s">
        <v>53</v>
      </c>
      <c r="F212" s="35" t="s">
        <v>1200</v>
      </c>
      <c r="G212" s="35" t="s">
        <v>38</v>
      </c>
      <c r="H212" s="35" t="str">
        <f t="shared" si="6"/>
        <v>Verify</v>
      </c>
      <c r="I212" s="35" t="s">
        <v>39</v>
      </c>
      <c r="J212" s="35"/>
      <c r="K212" s="47"/>
      <c r="L212" s="35" t="s">
        <v>40</v>
      </c>
      <c r="M212" s="35"/>
      <c r="N212" s="35"/>
      <c r="O212" s="35" t="s">
        <v>41</v>
      </c>
      <c r="P212" s="35" t="s">
        <v>1201</v>
      </c>
      <c r="Q212" s="35"/>
      <c r="R212" s="35"/>
      <c r="S212" s="35"/>
      <c r="T212" s="35"/>
      <c r="U212" s="35"/>
      <c r="V212" s="35" t="s">
        <v>42</v>
      </c>
      <c r="W212" s="37">
        <f t="shared" si="7"/>
        <v>0.8</v>
      </c>
      <c r="X212" s="33" t="s">
        <v>43</v>
      </c>
      <c r="Y212" s="33" t="s">
        <v>213</v>
      </c>
      <c r="Z212" s="33" t="s">
        <v>81</v>
      </c>
      <c r="AA212" s="33" t="s">
        <v>119</v>
      </c>
      <c r="AB212" s="33" t="s">
        <v>1202</v>
      </c>
      <c r="AC212" s="33" t="s">
        <v>1201</v>
      </c>
      <c r="AD212" s="33" t="s">
        <v>1203</v>
      </c>
      <c r="AE212" s="33" t="s">
        <v>966</v>
      </c>
      <c r="AG212" s="33" t="s">
        <v>50</v>
      </c>
      <c r="AH212" s="33" t="s">
        <v>51</v>
      </c>
    </row>
    <row r="213" spans="1:34" ht="280.75">
      <c r="A213" s="35">
        <v>212</v>
      </c>
      <c r="B213" s="35" t="s">
        <v>1204</v>
      </c>
      <c r="C213" s="35" t="s">
        <v>34</v>
      </c>
      <c r="D213" s="35" t="s">
        <v>1187</v>
      </c>
      <c r="E213" s="35" t="s">
        <v>1205</v>
      </c>
      <c r="F213" s="35" t="s">
        <v>1206</v>
      </c>
      <c r="G213" s="35" t="s">
        <v>38</v>
      </c>
      <c r="H213" s="35" t="str">
        <f t="shared" si="6"/>
        <v>Verify</v>
      </c>
      <c r="I213" s="35" t="s">
        <v>39</v>
      </c>
      <c r="J213" s="35"/>
      <c r="K213" s="47"/>
      <c r="L213" s="35" t="s">
        <v>40</v>
      </c>
      <c r="M213" s="35"/>
      <c r="N213" s="35"/>
      <c r="O213" s="35" t="s">
        <v>41</v>
      </c>
      <c r="P213" s="35"/>
      <c r="Q213" s="35"/>
      <c r="R213" s="35"/>
      <c r="S213" s="35"/>
      <c r="T213" s="35"/>
      <c r="U213" s="35"/>
      <c r="V213" s="35" t="s">
        <v>42</v>
      </c>
      <c r="W213" s="37">
        <f t="shared" si="7"/>
        <v>0.8</v>
      </c>
      <c r="X213" s="33" t="s">
        <v>43</v>
      </c>
      <c r="Y213" s="33" t="s">
        <v>44</v>
      </c>
      <c r="Z213" s="33" t="s">
        <v>45</v>
      </c>
      <c r="AA213" s="33" t="s">
        <v>46</v>
      </c>
      <c r="AB213" s="33" t="s">
        <v>1207</v>
      </c>
      <c r="AD213" s="33" t="s">
        <v>71</v>
      </c>
      <c r="AE213" s="33" t="s">
        <v>49</v>
      </c>
      <c r="AG213" s="33" t="s">
        <v>50</v>
      </c>
      <c r="AH213" s="33" t="s">
        <v>51</v>
      </c>
    </row>
    <row r="214" spans="1:34" ht="280.75">
      <c r="A214" s="35">
        <v>213</v>
      </c>
      <c r="B214" s="35" t="s">
        <v>1208</v>
      </c>
      <c r="C214" s="35" t="s">
        <v>34</v>
      </c>
      <c r="D214" s="35" t="s">
        <v>1187</v>
      </c>
      <c r="E214" s="35" t="s">
        <v>1209</v>
      </c>
      <c r="F214" s="35" t="s">
        <v>1210</v>
      </c>
      <c r="G214" s="35" t="s">
        <v>38</v>
      </c>
      <c r="H214" s="35" t="str">
        <f t="shared" si="6"/>
        <v>Verify</v>
      </c>
      <c r="I214" s="35" t="s">
        <v>39</v>
      </c>
      <c r="J214" s="35"/>
      <c r="K214" s="47"/>
      <c r="L214" s="35" t="s">
        <v>40</v>
      </c>
      <c r="M214" s="35"/>
      <c r="N214" s="35"/>
      <c r="O214" s="35" t="s">
        <v>41</v>
      </c>
      <c r="P214" s="35"/>
      <c r="Q214" s="35"/>
      <c r="R214" s="35"/>
      <c r="S214" s="35"/>
      <c r="T214" s="35"/>
      <c r="U214" s="35"/>
      <c r="V214" s="35" t="s">
        <v>42</v>
      </c>
      <c r="W214" s="37">
        <f t="shared" si="7"/>
        <v>0.8</v>
      </c>
      <c r="X214" s="33" t="s">
        <v>43</v>
      </c>
      <c r="Y214" s="33" t="s">
        <v>44</v>
      </c>
      <c r="Z214" s="33" t="s">
        <v>45</v>
      </c>
      <c r="AA214" s="33" t="s">
        <v>46</v>
      </c>
      <c r="AB214" s="33" t="s">
        <v>1211</v>
      </c>
      <c r="AD214" s="33" t="s">
        <v>1212</v>
      </c>
      <c r="AE214" s="33" t="s">
        <v>49</v>
      </c>
      <c r="AG214" s="33" t="s">
        <v>50</v>
      </c>
      <c r="AH214" s="33" t="s">
        <v>51</v>
      </c>
    </row>
    <row r="215" spans="1:34" ht="280.75">
      <c r="A215" s="35">
        <v>214</v>
      </c>
      <c r="B215" s="35" t="s">
        <v>1213</v>
      </c>
      <c r="C215" s="35" t="s">
        <v>34</v>
      </c>
      <c r="D215" s="35" t="s">
        <v>1187</v>
      </c>
      <c r="E215" s="35" t="s">
        <v>1214</v>
      </c>
      <c r="F215" s="35" t="s">
        <v>1215</v>
      </c>
      <c r="G215" s="35" t="s">
        <v>38</v>
      </c>
      <c r="H215" s="35" t="str">
        <f t="shared" si="6"/>
        <v>Verify</v>
      </c>
      <c r="I215" s="35" t="s">
        <v>39</v>
      </c>
      <c r="J215" s="35"/>
      <c r="K215" s="47"/>
      <c r="L215" s="35" t="s">
        <v>40</v>
      </c>
      <c r="M215" s="35"/>
      <c r="N215" s="35"/>
      <c r="O215" s="35" t="s">
        <v>41</v>
      </c>
      <c r="P215" s="35"/>
      <c r="Q215" s="35"/>
      <c r="R215" s="35"/>
      <c r="S215" s="35"/>
      <c r="T215" s="35"/>
      <c r="U215" s="35"/>
      <c r="V215" s="35" t="s">
        <v>42</v>
      </c>
      <c r="W215" s="37">
        <f t="shared" si="7"/>
        <v>0.8</v>
      </c>
      <c r="X215" s="33" t="s">
        <v>43</v>
      </c>
      <c r="Y215" s="33" t="s">
        <v>44</v>
      </c>
      <c r="Z215" s="33" t="s">
        <v>45</v>
      </c>
      <c r="AA215" s="33" t="s">
        <v>46</v>
      </c>
      <c r="AB215" s="33" t="s">
        <v>1216</v>
      </c>
      <c r="AD215" s="33" t="s">
        <v>278</v>
      </c>
      <c r="AE215" s="33" t="s">
        <v>49</v>
      </c>
      <c r="AG215" s="33" t="s">
        <v>50</v>
      </c>
      <c r="AH215" s="33" t="s">
        <v>51</v>
      </c>
    </row>
    <row r="216" spans="1:34" ht="265.25">
      <c r="A216" s="35">
        <v>215</v>
      </c>
      <c r="B216" s="35" t="s">
        <v>1217</v>
      </c>
      <c r="C216" s="35" t="s">
        <v>34</v>
      </c>
      <c r="D216" s="35" t="s">
        <v>1187</v>
      </c>
      <c r="E216" s="35" t="s">
        <v>1218</v>
      </c>
      <c r="F216" s="35" t="s">
        <v>1219</v>
      </c>
      <c r="G216" s="35" t="s">
        <v>38</v>
      </c>
      <c r="H216" s="35" t="str">
        <f t="shared" si="6"/>
        <v>Verify</v>
      </c>
      <c r="I216" s="35" t="s">
        <v>39</v>
      </c>
      <c r="J216" s="35"/>
      <c r="K216" s="47"/>
      <c r="L216" s="35" t="s">
        <v>40</v>
      </c>
      <c r="M216" s="35"/>
      <c r="N216" s="35"/>
      <c r="O216" s="35" t="s">
        <v>41</v>
      </c>
      <c r="P216" s="35"/>
      <c r="Q216" s="35"/>
      <c r="R216" s="35"/>
      <c r="S216" s="35"/>
      <c r="T216" s="35"/>
      <c r="U216" s="35"/>
      <c r="V216" s="35" t="s">
        <v>42</v>
      </c>
      <c r="W216" s="37">
        <f t="shared" si="7"/>
        <v>0.8</v>
      </c>
      <c r="X216" s="33" t="s">
        <v>43</v>
      </c>
      <c r="Y216" s="33" t="s">
        <v>44</v>
      </c>
      <c r="Z216" s="33" t="s">
        <v>45</v>
      </c>
      <c r="AA216" s="33" t="s">
        <v>46</v>
      </c>
      <c r="AB216" s="33" t="s">
        <v>1220</v>
      </c>
      <c r="AD216" s="33" t="s">
        <v>132</v>
      </c>
      <c r="AE216" s="33" t="s">
        <v>49</v>
      </c>
      <c r="AG216" s="33" t="s">
        <v>50</v>
      </c>
      <c r="AH216" s="33" t="s">
        <v>51</v>
      </c>
    </row>
    <row r="217" spans="1:34" ht="265.25">
      <c r="A217" s="35">
        <v>216</v>
      </c>
      <c r="B217" s="35" t="s">
        <v>1221</v>
      </c>
      <c r="C217" s="35" t="s">
        <v>34</v>
      </c>
      <c r="D217" s="35" t="s">
        <v>1187</v>
      </c>
      <c r="E217" s="35" t="s">
        <v>1222</v>
      </c>
      <c r="F217" s="35" t="s">
        <v>1223</v>
      </c>
      <c r="G217" s="35" t="s">
        <v>38</v>
      </c>
      <c r="H217" s="35" t="str">
        <f t="shared" si="6"/>
        <v>Verify</v>
      </c>
      <c r="I217" s="35" t="s">
        <v>39</v>
      </c>
      <c r="J217" s="35"/>
      <c r="K217" s="47"/>
      <c r="L217" s="35" t="s">
        <v>1224</v>
      </c>
      <c r="M217" s="35"/>
      <c r="N217" s="35"/>
      <c r="O217" s="35" t="s">
        <v>41</v>
      </c>
      <c r="P217" s="35" t="s">
        <v>1222</v>
      </c>
      <c r="Q217" s="35"/>
      <c r="R217" s="35"/>
      <c r="S217" s="35"/>
      <c r="T217" s="35"/>
      <c r="U217" s="35"/>
      <c r="V217" s="35" t="s">
        <v>2155</v>
      </c>
      <c r="W217" s="37">
        <f t="shared" si="7"/>
        <v>0.7</v>
      </c>
      <c r="X217" s="33" t="s">
        <v>43</v>
      </c>
      <c r="Y217" s="33" t="s">
        <v>44</v>
      </c>
      <c r="Z217" s="33" t="s">
        <v>45</v>
      </c>
      <c r="AA217" s="33" t="s">
        <v>46</v>
      </c>
      <c r="AB217" s="33" t="s">
        <v>1225</v>
      </c>
      <c r="AC217" s="33" t="s">
        <v>1222</v>
      </c>
      <c r="AD217" s="33" t="s">
        <v>132</v>
      </c>
      <c r="AE217" s="33" t="s">
        <v>1226</v>
      </c>
      <c r="AG217" s="33" t="s">
        <v>50</v>
      </c>
      <c r="AH217" s="33" t="s">
        <v>51</v>
      </c>
    </row>
    <row r="218" spans="1:34" ht="280.75">
      <c r="A218" s="35">
        <v>217</v>
      </c>
      <c r="B218" s="35" t="s">
        <v>1227</v>
      </c>
      <c r="C218" s="35" t="s">
        <v>34</v>
      </c>
      <c r="D218" s="35" t="s">
        <v>1187</v>
      </c>
      <c r="E218" s="35" t="s">
        <v>1228</v>
      </c>
      <c r="F218" s="35" t="s">
        <v>1229</v>
      </c>
      <c r="G218" s="35" t="s">
        <v>38</v>
      </c>
      <c r="H218" s="35" t="str">
        <f t="shared" si="6"/>
        <v>Verify</v>
      </c>
      <c r="I218" s="35" t="s">
        <v>39</v>
      </c>
      <c r="J218" s="35"/>
      <c r="K218" s="47"/>
      <c r="L218" s="35" t="s">
        <v>1224</v>
      </c>
      <c r="M218" s="35"/>
      <c r="N218" s="35"/>
      <c r="O218" s="35" t="s">
        <v>41</v>
      </c>
      <c r="P218" s="35" t="s">
        <v>1222</v>
      </c>
      <c r="Q218" s="35"/>
      <c r="R218" s="35"/>
      <c r="S218" s="35"/>
      <c r="T218" s="35"/>
      <c r="U218" s="35"/>
      <c r="V218" s="35" t="s">
        <v>2155</v>
      </c>
      <c r="W218" s="37">
        <f t="shared" si="7"/>
        <v>0.7</v>
      </c>
      <c r="X218" s="33" t="s">
        <v>43</v>
      </c>
      <c r="Y218" s="33" t="s">
        <v>44</v>
      </c>
      <c r="Z218" s="33" t="s">
        <v>45</v>
      </c>
      <c r="AA218" s="33" t="s">
        <v>46</v>
      </c>
      <c r="AB218" s="33" t="s">
        <v>1230</v>
      </c>
      <c r="AC218" s="33" t="s">
        <v>1222</v>
      </c>
      <c r="AD218" s="33" t="s">
        <v>1231</v>
      </c>
      <c r="AE218" s="33" t="s">
        <v>1226</v>
      </c>
      <c r="AG218" s="33" t="s">
        <v>50</v>
      </c>
      <c r="AH218" s="33" t="s">
        <v>51</v>
      </c>
    </row>
    <row r="219" spans="1:34" ht="249.65">
      <c r="A219" s="35">
        <v>218</v>
      </c>
      <c r="B219" s="35" t="s">
        <v>1232</v>
      </c>
      <c r="C219" s="35" t="s">
        <v>34</v>
      </c>
      <c r="D219" s="35" t="s">
        <v>1187</v>
      </c>
      <c r="E219" s="35" t="s">
        <v>1233</v>
      </c>
      <c r="F219" s="35" t="s">
        <v>1234</v>
      </c>
      <c r="G219" s="35" t="s">
        <v>38</v>
      </c>
      <c r="H219" s="35" t="str">
        <f t="shared" si="6"/>
        <v>Verify</v>
      </c>
      <c r="I219" s="35" t="s">
        <v>39</v>
      </c>
      <c r="J219" s="35"/>
      <c r="K219" s="47"/>
      <c r="L219" s="35" t="s">
        <v>1224</v>
      </c>
      <c r="M219" s="35"/>
      <c r="N219" s="35"/>
      <c r="O219" s="35" t="s">
        <v>41</v>
      </c>
      <c r="P219" s="35" t="s">
        <v>1222</v>
      </c>
      <c r="Q219" s="35"/>
      <c r="R219" s="35"/>
      <c r="S219" s="35"/>
      <c r="T219" s="35"/>
      <c r="U219" s="35"/>
      <c r="V219" s="35" t="s">
        <v>2155</v>
      </c>
      <c r="W219" s="37">
        <f t="shared" si="7"/>
        <v>0.7</v>
      </c>
      <c r="X219" s="33" t="s">
        <v>43</v>
      </c>
      <c r="Y219" s="33" t="s">
        <v>44</v>
      </c>
      <c r="Z219" s="33" t="s">
        <v>45</v>
      </c>
      <c r="AA219" s="33" t="s">
        <v>46</v>
      </c>
      <c r="AB219" s="33" t="s">
        <v>1235</v>
      </c>
      <c r="AC219" s="33" t="s">
        <v>1222</v>
      </c>
      <c r="AD219" s="33" t="s">
        <v>106</v>
      </c>
      <c r="AE219" s="33" t="s">
        <v>1226</v>
      </c>
      <c r="AG219" s="33" t="s">
        <v>50</v>
      </c>
      <c r="AH219" s="33" t="s">
        <v>51</v>
      </c>
    </row>
    <row r="220" spans="1:34" ht="249.65">
      <c r="A220" s="35">
        <v>219</v>
      </c>
      <c r="B220" s="35" t="s">
        <v>1236</v>
      </c>
      <c r="C220" s="35" t="s">
        <v>34</v>
      </c>
      <c r="D220" s="35" t="s">
        <v>1187</v>
      </c>
      <c r="E220" s="35" t="s">
        <v>1237</v>
      </c>
      <c r="F220" s="35" t="s">
        <v>1238</v>
      </c>
      <c r="G220" s="35" t="s">
        <v>38</v>
      </c>
      <c r="H220" s="35" t="str">
        <f t="shared" si="6"/>
        <v>Verify</v>
      </c>
      <c r="I220" s="35" t="s">
        <v>39</v>
      </c>
      <c r="J220" s="35"/>
      <c r="K220" s="47"/>
      <c r="L220" s="35" t="s">
        <v>307</v>
      </c>
      <c r="M220" s="35"/>
      <c r="N220" s="35"/>
      <c r="O220" s="35"/>
      <c r="P220" s="35" t="s">
        <v>1239</v>
      </c>
      <c r="Q220" s="35"/>
      <c r="R220" s="35"/>
      <c r="S220" s="35"/>
      <c r="T220" s="35"/>
      <c r="U220" s="35"/>
      <c r="V220" s="35" t="s">
        <v>405</v>
      </c>
      <c r="W220" s="37">
        <f t="shared" si="7"/>
        <v>0.5</v>
      </c>
      <c r="X220" s="33" t="s">
        <v>43</v>
      </c>
      <c r="Y220" s="33" t="s">
        <v>44</v>
      </c>
      <c r="Z220" s="33" t="s">
        <v>658</v>
      </c>
      <c r="AA220" s="33" t="s">
        <v>46</v>
      </c>
      <c r="AB220" s="33" t="s">
        <v>1240</v>
      </c>
      <c r="AC220" s="33" t="s">
        <v>1239</v>
      </c>
      <c r="AD220" s="33" t="s">
        <v>635</v>
      </c>
      <c r="AE220" s="33" t="s">
        <v>913</v>
      </c>
      <c r="AG220" s="33" t="s">
        <v>50</v>
      </c>
      <c r="AH220" s="33" t="s">
        <v>51</v>
      </c>
    </row>
    <row r="221" spans="1:34" ht="249.65">
      <c r="A221" s="35">
        <v>220</v>
      </c>
      <c r="B221" s="35" t="s">
        <v>1241</v>
      </c>
      <c r="C221" s="35" t="s">
        <v>34</v>
      </c>
      <c r="D221" s="35" t="s">
        <v>1187</v>
      </c>
      <c r="E221" s="35" t="s">
        <v>1242</v>
      </c>
      <c r="F221" s="35" t="s">
        <v>1243</v>
      </c>
      <c r="G221" s="35" t="s">
        <v>38</v>
      </c>
      <c r="H221" s="35" t="str">
        <f t="shared" si="6"/>
        <v>Verify</v>
      </c>
      <c r="I221" s="35" t="s">
        <v>39</v>
      </c>
      <c r="J221" s="35"/>
      <c r="K221" s="47"/>
      <c r="L221" s="35" t="s">
        <v>1224</v>
      </c>
      <c r="M221" s="35"/>
      <c r="N221" s="35"/>
      <c r="O221" s="35" t="s">
        <v>41</v>
      </c>
      <c r="P221" s="35" t="s">
        <v>1222</v>
      </c>
      <c r="Q221" s="35"/>
      <c r="R221" s="35"/>
      <c r="S221" s="35"/>
      <c r="T221" s="35"/>
      <c r="U221" s="35"/>
      <c r="V221" s="35" t="s">
        <v>2155</v>
      </c>
      <c r="W221" s="37">
        <f t="shared" si="7"/>
        <v>0.7</v>
      </c>
      <c r="X221" s="33" t="s">
        <v>43</v>
      </c>
      <c r="Y221" s="33" t="s">
        <v>44</v>
      </c>
      <c r="Z221" s="33" t="s">
        <v>45</v>
      </c>
      <c r="AA221" s="33" t="s">
        <v>46</v>
      </c>
      <c r="AB221" s="33" t="s">
        <v>1244</v>
      </c>
      <c r="AC221" s="33" t="s">
        <v>1222</v>
      </c>
      <c r="AD221" s="33" t="s">
        <v>1245</v>
      </c>
      <c r="AE221" s="33" t="s">
        <v>1226</v>
      </c>
      <c r="AG221" s="33" t="s">
        <v>50</v>
      </c>
      <c r="AH221" s="33" t="s">
        <v>51</v>
      </c>
    </row>
    <row r="222" spans="1:34" ht="234">
      <c r="A222" s="35">
        <v>221</v>
      </c>
      <c r="B222" s="35" t="s">
        <v>33</v>
      </c>
      <c r="C222" s="35" t="s">
        <v>1246</v>
      </c>
      <c r="D222" s="35" t="s">
        <v>1247</v>
      </c>
      <c r="E222" s="35" t="s">
        <v>1248</v>
      </c>
      <c r="F222" s="35" t="s">
        <v>1249</v>
      </c>
      <c r="G222" s="35" t="s">
        <v>38</v>
      </c>
      <c r="H222" s="35" t="str">
        <f t="shared" si="6"/>
        <v>Verify</v>
      </c>
      <c r="I222" s="35" t="s">
        <v>39</v>
      </c>
      <c r="J222" s="35"/>
      <c r="K222" s="47"/>
      <c r="L222" s="35" t="s">
        <v>307</v>
      </c>
      <c r="M222" s="35"/>
      <c r="N222" s="35"/>
      <c r="O222" s="35" t="s">
        <v>41</v>
      </c>
      <c r="P222" s="35" t="s">
        <v>1250</v>
      </c>
      <c r="Q222" s="35"/>
      <c r="R222" s="35"/>
      <c r="S222" s="35"/>
      <c r="T222" s="35"/>
      <c r="U222" s="35" t="s">
        <v>2222</v>
      </c>
      <c r="V222" s="35" t="s">
        <v>2155</v>
      </c>
      <c r="W222" s="37">
        <f t="shared" si="7"/>
        <v>0.7</v>
      </c>
      <c r="X222" s="33" t="s">
        <v>43</v>
      </c>
      <c r="Y222" s="33" t="s">
        <v>44</v>
      </c>
      <c r="Z222" s="33" t="s">
        <v>658</v>
      </c>
      <c r="AA222" s="33" t="s">
        <v>46</v>
      </c>
      <c r="AB222" s="33" t="s">
        <v>1251</v>
      </c>
      <c r="AD222" s="33" t="s">
        <v>48</v>
      </c>
      <c r="AE222" s="33" t="s">
        <v>913</v>
      </c>
      <c r="AG222" s="33" t="s">
        <v>50</v>
      </c>
      <c r="AH222" s="33" t="s">
        <v>51</v>
      </c>
    </row>
    <row r="223" spans="1:34" ht="234">
      <c r="A223" s="35">
        <v>222</v>
      </c>
      <c r="B223" s="35" t="s">
        <v>52</v>
      </c>
      <c r="C223" s="35" t="s">
        <v>1246</v>
      </c>
      <c r="D223" s="35" t="s">
        <v>1247</v>
      </c>
      <c r="E223" s="35" t="s">
        <v>1252</v>
      </c>
      <c r="F223" s="35" t="s">
        <v>1253</v>
      </c>
      <c r="G223" s="35" t="s">
        <v>38</v>
      </c>
      <c r="H223" s="35" t="str">
        <f t="shared" si="6"/>
        <v>Verify</v>
      </c>
      <c r="I223" s="35" t="s">
        <v>39</v>
      </c>
      <c r="J223" s="35"/>
      <c r="K223" s="47"/>
      <c r="L223" s="35" t="s">
        <v>307</v>
      </c>
      <c r="M223" s="35"/>
      <c r="N223" s="35"/>
      <c r="O223" s="35" t="s">
        <v>41</v>
      </c>
      <c r="P223" s="35"/>
      <c r="Q223" s="35"/>
      <c r="R223" s="35"/>
      <c r="S223" s="35"/>
      <c r="T223" s="35"/>
      <c r="U223" s="35"/>
      <c r="V223" s="35" t="s">
        <v>2155</v>
      </c>
      <c r="W223" s="37">
        <f t="shared" si="7"/>
        <v>0.7</v>
      </c>
      <c r="X223" s="33" t="s">
        <v>43</v>
      </c>
      <c r="Y223" s="33" t="s">
        <v>44</v>
      </c>
      <c r="Z223" s="33" t="s">
        <v>658</v>
      </c>
      <c r="AA223" s="33" t="s">
        <v>46</v>
      </c>
      <c r="AB223" s="33" t="s">
        <v>1254</v>
      </c>
      <c r="AD223" s="33" t="s">
        <v>48</v>
      </c>
      <c r="AE223" s="33" t="s">
        <v>913</v>
      </c>
      <c r="AG223" s="33" t="s">
        <v>50</v>
      </c>
      <c r="AH223" s="33" t="s">
        <v>51</v>
      </c>
    </row>
    <row r="224" spans="1:34" ht="234">
      <c r="A224" s="35">
        <v>223</v>
      </c>
      <c r="B224" s="35" t="s">
        <v>57</v>
      </c>
      <c r="C224" s="35" t="s">
        <v>1246</v>
      </c>
      <c r="D224" s="35" t="s">
        <v>1247</v>
      </c>
      <c r="E224" s="35" t="s">
        <v>1255</v>
      </c>
      <c r="F224" s="35" t="s">
        <v>1256</v>
      </c>
      <c r="G224" s="35" t="s">
        <v>38</v>
      </c>
      <c r="H224" s="35" t="str">
        <f t="shared" si="6"/>
        <v>Verify</v>
      </c>
      <c r="I224" s="35" t="s">
        <v>39</v>
      </c>
      <c r="J224" s="35"/>
      <c r="K224" s="47"/>
      <c r="L224" s="35" t="s">
        <v>307</v>
      </c>
      <c r="M224" s="35"/>
      <c r="N224" s="35"/>
      <c r="O224" s="35" t="s">
        <v>41</v>
      </c>
      <c r="P224" s="35"/>
      <c r="Q224" s="35"/>
      <c r="R224" s="35"/>
      <c r="S224" s="35"/>
      <c r="T224" s="35"/>
      <c r="U224" s="35"/>
      <c r="V224" s="35" t="s">
        <v>2155</v>
      </c>
      <c r="W224" s="37">
        <f t="shared" si="7"/>
        <v>0.7</v>
      </c>
      <c r="X224" s="33" t="s">
        <v>43</v>
      </c>
      <c r="Y224" s="33" t="s">
        <v>44</v>
      </c>
      <c r="Z224" s="33" t="s">
        <v>658</v>
      </c>
      <c r="AA224" s="33" t="s">
        <v>46</v>
      </c>
      <c r="AB224" s="33" t="s">
        <v>1257</v>
      </c>
      <c r="AD224" s="33" t="s">
        <v>48</v>
      </c>
      <c r="AE224" s="33" t="s">
        <v>913</v>
      </c>
      <c r="AG224" s="33" t="s">
        <v>50</v>
      </c>
      <c r="AH224" s="33" t="s">
        <v>51</v>
      </c>
    </row>
    <row r="225" spans="1:34" ht="234">
      <c r="A225" s="35">
        <v>224</v>
      </c>
      <c r="B225" s="35" t="s">
        <v>62</v>
      </c>
      <c r="C225" s="35" t="s">
        <v>1246</v>
      </c>
      <c r="D225" s="35" t="s">
        <v>1247</v>
      </c>
      <c r="E225" s="35" t="s">
        <v>1258</v>
      </c>
      <c r="F225" s="35" t="s">
        <v>1259</v>
      </c>
      <c r="G225" s="35" t="s">
        <v>38</v>
      </c>
      <c r="H225" s="35" t="str">
        <f t="shared" si="6"/>
        <v>Verify</v>
      </c>
      <c r="I225" s="35" t="s">
        <v>39</v>
      </c>
      <c r="J225" s="35"/>
      <c r="K225" s="47"/>
      <c r="L225" s="35" t="s">
        <v>307</v>
      </c>
      <c r="M225" s="35"/>
      <c r="N225" s="35"/>
      <c r="O225" s="35" t="s">
        <v>41</v>
      </c>
      <c r="P225" s="35"/>
      <c r="Q225" s="35"/>
      <c r="R225" s="35"/>
      <c r="S225" s="35"/>
      <c r="T225" s="35"/>
      <c r="U225" s="35"/>
      <c r="V225" s="35" t="s">
        <v>2155</v>
      </c>
      <c r="W225" s="37">
        <f t="shared" si="7"/>
        <v>0.7</v>
      </c>
      <c r="X225" s="33" t="s">
        <v>43</v>
      </c>
      <c r="Y225" s="33" t="s">
        <v>44</v>
      </c>
      <c r="Z225" s="33" t="s">
        <v>658</v>
      </c>
      <c r="AA225" s="33" t="s">
        <v>46</v>
      </c>
      <c r="AB225" s="33" t="s">
        <v>1260</v>
      </c>
      <c r="AD225" s="33" t="s">
        <v>1261</v>
      </c>
      <c r="AE225" s="33" t="s">
        <v>913</v>
      </c>
      <c r="AG225" s="33" t="s">
        <v>50</v>
      </c>
      <c r="AH225" s="33" t="s">
        <v>51</v>
      </c>
    </row>
    <row r="226" spans="1:34" ht="234">
      <c r="A226" s="35">
        <v>225</v>
      </c>
      <c r="B226" s="35" t="s">
        <v>67</v>
      </c>
      <c r="C226" s="35" t="s">
        <v>1246</v>
      </c>
      <c r="D226" s="35" t="s">
        <v>1247</v>
      </c>
      <c r="E226" s="35" t="s">
        <v>1262</v>
      </c>
      <c r="F226" s="35" t="s">
        <v>1263</v>
      </c>
      <c r="G226" s="35" t="s">
        <v>38</v>
      </c>
      <c r="H226" s="35" t="str">
        <f t="shared" si="6"/>
        <v>Verify</v>
      </c>
      <c r="I226" s="35" t="s">
        <v>39</v>
      </c>
      <c r="J226" s="35"/>
      <c r="K226" s="47"/>
      <c r="L226" s="35" t="s">
        <v>307</v>
      </c>
      <c r="M226" s="35"/>
      <c r="N226" s="35"/>
      <c r="O226" s="35" t="s">
        <v>76</v>
      </c>
      <c r="P226" s="35" t="s">
        <v>1264</v>
      </c>
      <c r="Q226" s="35"/>
      <c r="R226" s="35"/>
      <c r="S226" s="35"/>
      <c r="T226" s="35"/>
      <c r="U226" s="35"/>
      <c r="V226" s="35" t="s">
        <v>405</v>
      </c>
      <c r="W226" s="37">
        <f t="shared" si="7"/>
        <v>0.5</v>
      </c>
      <c r="X226" s="33" t="s">
        <v>43</v>
      </c>
      <c r="Y226" s="33" t="s">
        <v>44</v>
      </c>
      <c r="Z226" s="33" t="s">
        <v>658</v>
      </c>
      <c r="AA226" s="33" t="s">
        <v>46</v>
      </c>
      <c r="AB226" s="33" t="s">
        <v>1265</v>
      </c>
      <c r="AD226" s="33" t="s">
        <v>48</v>
      </c>
      <c r="AE226" s="33" t="s">
        <v>913</v>
      </c>
      <c r="AG226" s="33" t="s">
        <v>50</v>
      </c>
      <c r="AH226" s="33" t="s">
        <v>51</v>
      </c>
    </row>
    <row r="227" spans="1:34" ht="249.65">
      <c r="A227" s="35">
        <v>226</v>
      </c>
      <c r="B227" s="35" t="s">
        <v>72</v>
      </c>
      <c r="C227" s="35" t="s">
        <v>1246</v>
      </c>
      <c r="D227" s="35" t="s">
        <v>1247</v>
      </c>
      <c r="E227" s="35" t="s">
        <v>1266</v>
      </c>
      <c r="F227" s="35" t="s">
        <v>1267</v>
      </c>
      <c r="G227" s="35" t="s">
        <v>38</v>
      </c>
      <c r="H227" s="35" t="str">
        <f t="shared" si="6"/>
        <v>Verify</v>
      </c>
      <c r="I227" s="35" t="s">
        <v>39</v>
      </c>
      <c r="J227" s="35"/>
      <c r="K227" s="47"/>
      <c r="L227" s="35" t="s">
        <v>307</v>
      </c>
      <c r="M227" s="35"/>
      <c r="N227" s="35"/>
      <c r="O227" s="35" t="s">
        <v>41</v>
      </c>
      <c r="P227" s="35" t="s">
        <v>2226</v>
      </c>
      <c r="Q227" s="35"/>
      <c r="R227" s="35"/>
      <c r="S227" s="35"/>
      <c r="T227" s="35"/>
      <c r="U227" s="35"/>
      <c r="V227" s="35" t="s">
        <v>405</v>
      </c>
      <c r="W227" s="37">
        <f t="shared" si="7"/>
        <v>0.5</v>
      </c>
      <c r="X227" s="33" t="s">
        <v>43</v>
      </c>
      <c r="Y227" s="33" t="s">
        <v>44</v>
      </c>
      <c r="Z227" s="33" t="s">
        <v>658</v>
      </c>
      <c r="AA227" s="33" t="s">
        <v>46</v>
      </c>
      <c r="AB227" s="33" t="s">
        <v>1268</v>
      </c>
      <c r="AD227" s="33" t="s">
        <v>1269</v>
      </c>
      <c r="AE227" s="33" t="s">
        <v>913</v>
      </c>
      <c r="AG227" s="33" t="s">
        <v>50</v>
      </c>
      <c r="AH227" s="33" t="s">
        <v>51</v>
      </c>
    </row>
    <row r="228" spans="1:34" ht="280.75">
      <c r="A228" s="35">
        <v>227</v>
      </c>
      <c r="B228" s="35" t="s">
        <v>113</v>
      </c>
      <c r="C228" s="35" t="s">
        <v>1246</v>
      </c>
      <c r="D228" s="35" t="s">
        <v>1247</v>
      </c>
      <c r="E228" s="35" t="s">
        <v>1270</v>
      </c>
      <c r="F228" s="35" t="s">
        <v>1271</v>
      </c>
      <c r="G228" s="35" t="s">
        <v>116</v>
      </c>
      <c r="H228" s="35" t="str">
        <f t="shared" si="6"/>
        <v>Check</v>
      </c>
      <c r="I228" s="35" t="s">
        <v>39</v>
      </c>
      <c r="J228" s="35"/>
      <c r="K228" s="47"/>
      <c r="L228" s="35" t="s">
        <v>307</v>
      </c>
      <c r="M228" s="35"/>
      <c r="N228" s="35"/>
      <c r="O228" s="35"/>
      <c r="P228" s="35" t="s">
        <v>2223</v>
      </c>
      <c r="Q228" s="35"/>
      <c r="R228" s="35"/>
      <c r="S228" s="35"/>
      <c r="T228" s="35"/>
      <c r="U228" s="35"/>
      <c r="V228" s="35" t="s">
        <v>405</v>
      </c>
      <c r="W228" s="37">
        <f t="shared" si="7"/>
        <v>0.5</v>
      </c>
      <c r="X228" s="33" t="s">
        <v>43</v>
      </c>
      <c r="Y228" s="33" t="s">
        <v>44</v>
      </c>
      <c r="Z228" s="33" t="s">
        <v>658</v>
      </c>
      <c r="AA228" s="33" t="s">
        <v>46</v>
      </c>
      <c r="AB228" s="33" t="s">
        <v>1272</v>
      </c>
      <c r="AD228" s="33" t="s">
        <v>1273</v>
      </c>
      <c r="AE228" s="33" t="s">
        <v>913</v>
      </c>
      <c r="AG228" s="33" t="s">
        <v>50</v>
      </c>
      <c r="AH228" s="33" t="s">
        <v>51</v>
      </c>
    </row>
    <row r="229" spans="1:34" ht="296.39999999999998">
      <c r="A229" s="35">
        <v>228</v>
      </c>
      <c r="B229" s="35" t="s">
        <v>322</v>
      </c>
      <c r="C229" s="35" t="s">
        <v>1246</v>
      </c>
      <c r="D229" s="35" t="s">
        <v>1247</v>
      </c>
      <c r="E229" s="35" t="s">
        <v>1274</v>
      </c>
      <c r="F229" s="35" t="s">
        <v>1275</v>
      </c>
      <c r="G229" s="35" t="s">
        <v>116</v>
      </c>
      <c r="H229" s="35" t="str">
        <f t="shared" si="6"/>
        <v>Check</v>
      </c>
      <c r="I229" s="35" t="s">
        <v>39</v>
      </c>
      <c r="J229" s="35"/>
      <c r="K229" s="47"/>
      <c r="L229" s="35" t="s">
        <v>307</v>
      </c>
      <c r="M229" s="35"/>
      <c r="N229" s="35"/>
      <c r="O229" s="35"/>
      <c r="P229" s="35" t="s">
        <v>1276</v>
      </c>
      <c r="Q229" s="35"/>
      <c r="R229" s="35"/>
      <c r="S229" s="35"/>
      <c r="T229" s="35"/>
      <c r="U229" s="35"/>
      <c r="V229" s="35" t="s">
        <v>405</v>
      </c>
      <c r="W229" s="37">
        <f t="shared" si="7"/>
        <v>0.5</v>
      </c>
      <c r="X229" s="33" t="s">
        <v>43</v>
      </c>
      <c r="Y229" s="33" t="s">
        <v>44</v>
      </c>
      <c r="Z229" s="33" t="s">
        <v>658</v>
      </c>
      <c r="AA229" s="33" t="s">
        <v>46</v>
      </c>
      <c r="AB229" s="33" t="s">
        <v>1277</v>
      </c>
      <c r="AD229" s="33" t="s">
        <v>1278</v>
      </c>
      <c r="AE229" s="33" t="s">
        <v>913</v>
      </c>
      <c r="AG229" s="33" t="s">
        <v>50</v>
      </c>
      <c r="AH229" s="33" t="s">
        <v>51</v>
      </c>
    </row>
    <row r="230" spans="1:34" ht="265.25">
      <c r="A230" s="35">
        <v>229</v>
      </c>
      <c r="B230" s="35" t="s">
        <v>326</v>
      </c>
      <c r="C230" s="35" t="s">
        <v>1246</v>
      </c>
      <c r="D230" s="35" t="s">
        <v>1247</v>
      </c>
      <c r="E230" s="35" t="s">
        <v>1279</v>
      </c>
      <c r="F230" s="35" t="s">
        <v>1280</v>
      </c>
      <c r="G230" s="35" t="s">
        <v>116</v>
      </c>
      <c r="H230" s="35" t="str">
        <f t="shared" si="6"/>
        <v>Check</v>
      </c>
      <c r="I230" s="35" t="s">
        <v>39</v>
      </c>
      <c r="J230" s="35"/>
      <c r="K230" s="47"/>
      <c r="L230" s="35" t="s">
        <v>307</v>
      </c>
      <c r="M230" s="35"/>
      <c r="N230" s="35"/>
      <c r="O230" s="35" t="s">
        <v>41</v>
      </c>
      <c r="P230" s="35" t="s">
        <v>1281</v>
      </c>
      <c r="Q230" s="35"/>
      <c r="R230" s="35"/>
      <c r="S230" s="35"/>
      <c r="T230" s="35" t="s">
        <v>78</v>
      </c>
      <c r="U230" s="35"/>
      <c r="V230" s="35" t="s">
        <v>2155</v>
      </c>
      <c r="W230" s="37">
        <f t="shared" si="7"/>
        <v>0.7</v>
      </c>
      <c r="X230" s="33" t="s">
        <v>43</v>
      </c>
      <c r="Y230" s="33" t="s">
        <v>44</v>
      </c>
      <c r="Z230" s="33" t="s">
        <v>658</v>
      </c>
      <c r="AA230" s="33" t="s">
        <v>46</v>
      </c>
      <c r="AB230" s="33" t="s">
        <v>1282</v>
      </c>
      <c r="AD230" s="33" t="s">
        <v>97</v>
      </c>
      <c r="AE230" s="33" t="s">
        <v>913</v>
      </c>
      <c r="AG230" s="33" t="s">
        <v>50</v>
      </c>
      <c r="AH230" s="33" t="s">
        <v>51</v>
      </c>
    </row>
    <row r="231" spans="1:34" ht="280.75">
      <c r="A231" s="35">
        <v>230</v>
      </c>
      <c r="B231" s="35" t="s">
        <v>469</v>
      </c>
      <c r="C231" s="35" t="s">
        <v>1246</v>
      </c>
      <c r="D231" s="35" t="s">
        <v>1283</v>
      </c>
      <c r="E231" s="35" t="s">
        <v>1283</v>
      </c>
      <c r="F231" s="35" t="s">
        <v>1284</v>
      </c>
      <c r="G231" s="35" t="s">
        <v>116</v>
      </c>
      <c r="H231" s="35" t="str">
        <f t="shared" si="6"/>
        <v>Check</v>
      </c>
      <c r="I231" s="35" t="s">
        <v>39</v>
      </c>
      <c r="J231" s="35"/>
      <c r="K231" s="47"/>
      <c r="L231" s="35" t="s">
        <v>307</v>
      </c>
      <c r="M231" s="35"/>
      <c r="N231" s="35"/>
      <c r="O231" s="35" t="s">
        <v>41</v>
      </c>
      <c r="P231" s="35" t="s">
        <v>1285</v>
      </c>
      <c r="Q231" s="35"/>
      <c r="R231" s="35"/>
      <c r="S231" s="35"/>
      <c r="T231" s="35"/>
      <c r="U231" s="35"/>
      <c r="V231" s="35" t="s">
        <v>2155</v>
      </c>
      <c r="W231" s="37">
        <f t="shared" si="7"/>
        <v>0.7</v>
      </c>
      <c r="X231" s="33" t="s">
        <v>43</v>
      </c>
      <c r="Y231" s="33" t="s">
        <v>44</v>
      </c>
      <c r="Z231" s="33" t="s">
        <v>658</v>
      </c>
      <c r="AA231" s="33" t="s">
        <v>46</v>
      </c>
      <c r="AB231" s="33" t="s">
        <v>1286</v>
      </c>
      <c r="AD231" s="33" t="s">
        <v>618</v>
      </c>
      <c r="AE231" s="33" t="s">
        <v>913</v>
      </c>
      <c r="AG231" s="33" t="s">
        <v>50</v>
      </c>
      <c r="AH231" s="33" t="s">
        <v>51</v>
      </c>
    </row>
    <row r="232" spans="1:34" ht="343.25">
      <c r="A232" s="35">
        <v>231</v>
      </c>
      <c r="B232" s="35" t="s">
        <v>474</v>
      </c>
      <c r="C232" s="35" t="s">
        <v>1246</v>
      </c>
      <c r="D232" s="35" t="s">
        <v>1283</v>
      </c>
      <c r="E232" s="35" t="s">
        <v>1287</v>
      </c>
      <c r="F232" s="35" t="s">
        <v>1288</v>
      </c>
      <c r="G232" s="35" t="s">
        <v>116</v>
      </c>
      <c r="H232" s="35" t="str">
        <f t="shared" si="6"/>
        <v>Check</v>
      </c>
      <c r="I232" s="35" t="s">
        <v>39</v>
      </c>
      <c r="J232" s="35"/>
      <c r="K232" s="47"/>
      <c r="L232" s="35" t="s">
        <v>307</v>
      </c>
      <c r="M232" s="35"/>
      <c r="N232" s="35"/>
      <c r="O232" s="35" t="s">
        <v>41</v>
      </c>
      <c r="P232" s="35" t="s">
        <v>1289</v>
      </c>
      <c r="Q232" s="35"/>
      <c r="R232" s="35"/>
      <c r="S232" s="35"/>
      <c r="T232" s="35"/>
      <c r="U232" s="35"/>
      <c r="V232" s="35" t="s">
        <v>2155</v>
      </c>
      <c r="W232" s="37">
        <f t="shared" si="7"/>
        <v>0.7</v>
      </c>
      <c r="X232" s="33" t="s">
        <v>43</v>
      </c>
      <c r="Y232" s="33" t="s">
        <v>44</v>
      </c>
      <c r="Z232" s="33" t="s">
        <v>658</v>
      </c>
      <c r="AA232" s="33" t="s">
        <v>46</v>
      </c>
      <c r="AB232" s="33" t="s">
        <v>1290</v>
      </c>
      <c r="AD232" s="33" t="s">
        <v>1291</v>
      </c>
      <c r="AE232" s="33" t="s">
        <v>913</v>
      </c>
      <c r="AG232" s="33" t="s">
        <v>50</v>
      </c>
      <c r="AH232" s="33" t="s">
        <v>51</v>
      </c>
    </row>
    <row r="233" spans="1:34" ht="234">
      <c r="A233" s="35">
        <v>232</v>
      </c>
      <c r="B233" s="35" t="s">
        <v>88</v>
      </c>
      <c r="C233" s="35" t="s">
        <v>1246</v>
      </c>
      <c r="D233" s="35" t="s">
        <v>1292</v>
      </c>
      <c r="E233" s="35" t="s">
        <v>1293</v>
      </c>
      <c r="F233" s="35" t="s">
        <v>1294</v>
      </c>
      <c r="G233" s="35" t="s">
        <v>38</v>
      </c>
      <c r="H233" s="35" t="str">
        <f t="shared" si="6"/>
        <v>Verify</v>
      </c>
      <c r="I233" s="35" t="s">
        <v>39</v>
      </c>
      <c r="J233" s="35"/>
      <c r="K233" s="47"/>
      <c r="L233" s="35" t="s">
        <v>307</v>
      </c>
      <c r="M233" s="35"/>
      <c r="N233" s="35"/>
      <c r="O233" s="35" t="s">
        <v>41</v>
      </c>
      <c r="P233" s="35"/>
      <c r="Q233" s="35"/>
      <c r="R233" s="35"/>
      <c r="S233" s="35"/>
      <c r="T233" s="35"/>
      <c r="U233" s="35"/>
      <c r="V233" s="35" t="s">
        <v>405</v>
      </c>
      <c r="W233" s="37">
        <f t="shared" si="7"/>
        <v>0.5</v>
      </c>
      <c r="X233" s="33" t="s">
        <v>43</v>
      </c>
      <c r="Y233" s="33" t="s">
        <v>44</v>
      </c>
      <c r="Z233" s="33" t="s">
        <v>658</v>
      </c>
      <c r="AA233" s="33" t="s">
        <v>46</v>
      </c>
      <c r="AB233" s="33" t="s">
        <v>1295</v>
      </c>
      <c r="AD233" s="33" t="s">
        <v>48</v>
      </c>
      <c r="AE233" s="33" t="s">
        <v>913</v>
      </c>
      <c r="AG233" s="33" t="s">
        <v>50</v>
      </c>
      <c r="AH233" s="33" t="s">
        <v>51</v>
      </c>
    </row>
    <row r="234" spans="1:34" ht="265.25">
      <c r="A234" s="35">
        <v>233</v>
      </c>
      <c r="B234" s="35" t="s">
        <v>93</v>
      </c>
      <c r="C234" s="35" t="s">
        <v>1246</v>
      </c>
      <c r="D234" s="35" t="s">
        <v>1292</v>
      </c>
      <c r="E234" s="35" t="s">
        <v>1296</v>
      </c>
      <c r="F234" s="35" t="s">
        <v>1297</v>
      </c>
      <c r="G234" s="35" t="s">
        <v>38</v>
      </c>
      <c r="H234" s="35" t="str">
        <f t="shared" si="6"/>
        <v>Verify</v>
      </c>
      <c r="I234" s="35" t="s">
        <v>39</v>
      </c>
      <c r="J234" s="35"/>
      <c r="K234" s="47"/>
      <c r="L234" s="35" t="s">
        <v>307</v>
      </c>
      <c r="M234" s="35"/>
      <c r="N234" s="35"/>
      <c r="O234" s="35" t="s">
        <v>76</v>
      </c>
      <c r="P234" s="35" t="s">
        <v>1298</v>
      </c>
      <c r="Q234" s="35"/>
      <c r="R234" s="35"/>
      <c r="S234" s="35"/>
      <c r="T234" s="35"/>
      <c r="U234" s="35"/>
      <c r="V234" s="35" t="s">
        <v>405</v>
      </c>
      <c r="W234" s="37">
        <f t="shared" si="7"/>
        <v>0.5</v>
      </c>
      <c r="X234" s="33" t="s">
        <v>43</v>
      </c>
      <c r="Y234" s="33" t="s">
        <v>44</v>
      </c>
      <c r="Z234" s="33" t="s">
        <v>658</v>
      </c>
      <c r="AA234" s="33" t="s">
        <v>46</v>
      </c>
      <c r="AB234" s="33" t="s">
        <v>1299</v>
      </c>
      <c r="AD234" s="33" t="s">
        <v>97</v>
      </c>
      <c r="AE234" s="33" t="s">
        <v>913</v>
      </c>
      <c r="AG234" s="33" t="s">
        <v>50</v>
      </c>
      <c r="AH234" s="33" t="s">
        <v>51</v>
      </c>
    </row>
    <row r="235" spans="1:34" ht="312">
      <c r="A235" s="35">
        <v>234</v>
      </c>
      <c r="B235" s="35" t="s">
        <v>98</v>
      </c>
      <c r="C235" s="35" t="s">
        <v>1246</v>
      </c>
      <c r="D235" s="35" t="s">
        <v>1292</v>
      </c>
      <c r="E235" s="35" t="s">
        <v>1300</v>
      </c>
      <c r="F235" s="35" t="s">
        <v>1301</v>
      </c>
      <c r="G235" s="35" t="s">
        <v>38</v>
      </c>
      <c r="H235" s="35" t="str">
        <f t="shared" si="6"/>
        <v>Verify</v>
      </c>
      <c r="I235" s="35" t="s">
        <v>39</v>
      </c>
      <c r="J235" s="35"/>
      <c r="K235" s="47"/>
      <c r="L235" s="35" t="s">
        <v>307</v>
      </c>
      <c r="M235" s="35"/>
      <c r="N235" s="35"/>
      <c r="O235" s="35" t="s">
        <v>76</v>
      </c>
      <c r="P235" s="35" t="s">
        <v>1302</v>
      </c>
      <c r="Q235" s="35"/>
      <c r="R235" s="35"/>
      <c r="S235" s="35"/>
      <c r="T235" s="35"/>
      <c r="U235" s="35"/>
      <c r="V235" s="35" t="s">
        <v>405</v>
      </c>
      <c r="W235" s="37">
        <f t="shared" si="7"/>
        <v>0.5</v>
      </c>
      <c r="X235" s="33" t="s">
        <v>43</v>
      </c>
      <c r="Y235" s="33" t="s">
        <v>44</v>
      </c>
      <c r="Z235" s="33" t="s">
        <v>658</v>
      </c>
      <c r="AA235" s="33" t="s">
        <v>46</v>
      </c>
      <c r="AB235" s="33" t="s">
        <v>1303</v>
      </c>
      <c r="AD235" s="33" t="s">
        <v>97</v>
      </c>
      <c r="AE235" s="33" t="s">
        <v>913</v>
      </c>
      <c r="AG235" s="33" t="s">
        <v>50</v>
      </c>
      <c r="AH235" s="33" t="s">
        <v>51</v>
      </c>
    </row>
    <row r="236" spans="1:34" ht="265.25">
      <c r="A236" s="35">
        <v>235</v>
      </c>
      <c r="B236" s="35" t="s">
        <v>102</v>
      </c>
      <c r="C236" s="35" t="s">
        <v>1246</v>
      </c>
      <c r="D236" s="35" t="s">
        <v>1292</v>
      </c>
      <c r="E236" s="35" t="s">
        <v>1304</v>
      </c>
      <c r="F236" s="35" t="s">
        <v>1305</v>
      </c>
      <c r="G236" s="35" t="s">
        <v>38</v>
      </c>
      <c r="H236" s="35" t="str">
        <f t="shared" si="6"/>
        <v>Verify</v>
      </c>
      <c r="I236" s="35" t="s">
        <v>39</v>
      </c>
      <c r="J236" s="35"/>
      <c r="K236" s="47"/>
      <c r="L236" s="35" t="s">
        <v>307</v>
      </c>
      <c r="M236" s="35"/>
      <c r="N236" s="35"/>
      <c r="O236" s="35" t="s">
        <v>41</v>
      </c>
      <c r="P236" s="35" t="s">
        <v>1306</v>
      </c>
      <c r="Q236" s="35"/>
      <c r="R236" s="35"/>
      <c r="S236" s="35"/>
      <c r="T236" s="35"/>
      <c r="U236" s="35"/>
      <c r="V236" s="35" t="s">
        <v>405</v>
      </c>
      <c r="W236" s="37">
        <f t="shared" si="7"/>
        <v>0.5</v>
      </c>
      <c r="X236" s="33" t="s">
        <v>43</v>
      </c>
      <c r="Y236" s="33" t="s">
        <v>44</v>
      </c>
      <c r="Z236" s="33" t="s">
        <v>658</v>
      </c>
      <c r="AA236" s="33" t="s">
        <v>46</v>
      </c>
      <c r="AB236" s="33" t="s">
        <v>1307</v>
      </c>
      <c r="AD236" s="33" t="s">
        <v>97</v>
      </c>
      <c r="AE236" s="33" t="s">
        <v>913</v>
      </c>
      <c r="AG236" s="33" t="s">
        <v>50</v>
      </c>
      <c r="AH236" s="33" t="s">
        <v>51</v>
      </c>
    </row>
    <row r="237" spans="1:34" ht="312">
      <c r="A237" s="35">
        <v>236</v>
      </c>
      <c r="B237" s="35" t="s">
        <v>107</v>
      </c>
      <c r="C237" s="35" t="s">
        <v>1246</v>
      </c>
      <c r="D237" s="35" t="s">
        <v>1292</v>
      </c>
      <c r="E237" s="35" t="s">
        <v>1308</v>
      </c>
      <c r="F237" s="35" t="s">
        <v>1309</v>
      </c>
      <c r="G237" s="35" t="s">
        <v>38</v>
      </c>
      <c r="H237" s="35" t="str">
        <f t="shared" si="6"/>
        <v>Verify</v>
      </c>
      <c r="I237" s="35" t="s">
        <v>39</v>
      </c>
      <c r="J237" s="35"/>
      <c r="K237" s="47"/>
      <c r="L237" s="35" t="s">
        <v>307</v>
      </c>
      <c r="M237" s="35"/>
      <c r="N237" s="35"/>
      <c r="O237" s="35" t="s">
        <v>41</v>
      </c>
      <c r="P237" s="35"/>
      <c r="Q237" s="35"/>
      <c r="R237" s="35"/>
      <c r="S237" s="35"/>
      <c r="T237" s="35"/>
      <c r="U237" s="35"/>
      <c r="V237" s="35" t="s">
        <v>2155</v>
      </c>
      <c r="W237" s="37">
        <f t="shared" si="7"/>
        <v>0.7</v>
      </c>
      <c r="X237" s="33" t="s">
        <v>43</v>
      </c>
      <c r="Y237" s="33" t="s">
        <v>44</v>
      </c>
      <c r="Z237" s="33" t="s">
        <v>658</v>
      </c>
      <c r="AA237" s="33" t="s">
        <v>46</v>
      </c>
      <c r="AB237" s="33" t="s">
        <v>1310</v>
      </c>
      <c r="AD237" s="33" t="s">
        <v>66</v>
      </c>
      <c r="AE237" s="33" t="s">
        <v>913</v>
      </c>
      <c r="AG237" s="33" t="s">
        <v>50</v>
      </c>
      <c r="AH237" s="33" t="s">
        <v>51</v>
      </c>
    </row>
    <row r="238" spans="1:34" ht="358.75">
      <c r="A238" s="35">
        <v>237</v>
      </c>
      <c r="B238" s="35" t="s">
        <v>122</v>
      </c>
      <c r="C238" s="35" t="s">
        <v>1246</v>
      </c>
      <c r="D238" s="35" t="s">
        <v>1292</v>
      </c>
      <c r="E238" s="35" t="s">
        <v>1311</v>
      </c>
      <c r="F238" s="35" t="s">
        <v>1312</v>
      </c>
      <c r="G238" s="35" t="s">
        <v>38</v>
      </c>
      <c r="H238" s="35" t="str">
        <f t="shared" si="6"/>
        <v>Verify</v>
      </c>
      <c r="I238" s="35" t="s">
        <v>39</v>
      </c>
      <c r="J238" s="35"/>
      <c r="K238" s="47"/>
      <c r="L238" s="35" t="s">
        <v>307</v>
      </c>
      <c r="M238" s="35"/>
      <c r="N238" s="35"/>
      <c r="O238" s="35" t="s">
        <v>76</v>
      </c>
      <c r="P238" s="35" t="s">
        <v>1313</v>
      </c>
      <c r="Q238" s="35"/>
      <c r="R238" s="35"/>
      <c r="S238" s="35"/>
      <c r="T238" s="35"/>
      <c r="U238" s="35"/>
      <c r="V238" s="35" t="s">
        <v>405</v>
      </c>
      <c r="W238" s="37">
        <f t="shared" si="7"/>
        <v>0.5</v>
      </c>
      <c r="X238" s="33" t="s">
        <v>43</v>
      </c>
      <c r="Y238" s="33" t="s">
        <v>44</v>
      </c>
      <c r="Z238" s="33" t="s">
        <v>658</v>
      </c>
      <c r="AA238" s="33" t="s">
        <v>46</v>
      </c>
      <c r="AB238" s="33" t="s">
        <v>1314</v>
      </c>
      <c r="AD238" s="33" t="s">
        <v>176</v>
      </c>
      <c r="AE238" s="33" t="s">
        <v>913</v>
      </c>
      <c r="AG238" s="33" t="s">
        <v>50</v>
      </c>
      <c r="AH238" s="33" t="s">
        <v>51</v>
      </c>
    </row>
    <row r="239" spans="1:34" ht="312">
      <c r="A239" s="35">
        <v>238</v>
      </c>
      <c r="B239" s="35" t="s">
        <v>128</v>
      </c>
      <c r="C239" s="35" t="s">
        <v>1246</v>
      </c>
      <c r="D239" s="35" t="s">
        <v>1292</v>
      </c>
      <c r="E239" s="35" t="s">
        <v>1315</v>
      </c>
      <c r="F239" s="35" t="s">
        <v>1316</v>
      </c>
      <c r="G239" s="35" t="s">
        <v>38</v>
      </c>
      <c r="H239" s="35" t="str">
        <f t="shared" si="6"/>
        <v>Verify</v>
      </c>
      <c r="I239" s="35" t="s">
        <v>39</v>
      </c>
      <c r="J239" s="35"/>
      <c r="K239" s="47"/>
      <c r="L239" s="35" t="s">
        <v>307</v>
      </c>
      <c r="M239" s="35"/>
      <c r="N239" s="35"/>
      <c r="O239" s="35" t="s">
        <v>41</v>
      </c>
      <c r="P239" s="35"/>
      <c r="Q239" s="35"/>
      <c r="R239" s="35"/>
      <c r="S239" s="35"/>
      <c r="T239" s="35"/>
      <c r="U239" s="35"/>
      <c r="V239" s="35" t="s">
        <v>2155</v>
      </c>
      <c r="W239" s="37">
        <f t="shared" si="7"/>
        <v>0.7</v>
      </c>
      <c r="X239" s="33" t="s">
        <v>43</v>
      </c>
      <c r="Y239" s="33" t="s">
        <v>44</v>
      </c>
      <c r="Z239" s="33" t="s">
        <v>658</v>
      </c>
      <c r="AA239" s="33" t="s">
        <v>46</v>
      </c>
      <c r="AB239" s="33" t="s">
        <v>1317</v>
      </c>
      <c r="AD239" s="33" t="s">
        <v>1318</v>
      </c>
      <c r="AE239" s="33" t="s">
        <v>913</v>
      </c>
      <c r="AG239" s="33" t="s">
        <v>50</v>
      </c>
      <c r="AH239" s="33" t="s">
        <v>51</v>
      </c>
    </row>
    <row r="240" spans="1:34" ht="296.39999999999998">
      <c r="A240" s="35">
        <v>239</v>
      </c>
      <c r="B240" s="35" t="s">
        <v>133</v>
      </c>
      <c r="C240" s="35" t="s">
        <v>1246</v>
      </c>
      <c r="D240" s="35" t="s">
        <v>1292</v>
      </c>
      <c r="E240" s="35" t="s">
        <v>1319</v>
      </c>
      <c r="F240" s="35" t="s">
        <v>1320</v>
      </c>
      <c r="G240" s="35" t="s">
        <v>38</v>
      </c>
      <c r="H240" s="35" t="str">
        <f t="shared" si="6"/>
        <v>Verify</v>
      </c>
      <c r="I240" s="35" t="s">
        <v>39</v>
      </c>
      <c r="J240" s="35"/>
      <c r="K240" s="47"/>
      <c r="L240" s="35" t="s">
        <v>307</v>
      </c>
      <c r="M240" s="35"/>
      <c r="N240" s="35"/>
      <c r="O240" s="35" t="s">
        <v>41</v>
      </c>
      <c r="P240" s="35"/>
      <c r="Q240" s="35"/>
      <c r="R240" s="35"/>
      <c r="S240" s="35"/>
      <c r="T240" s="35"/>
      <c r="U240" s="35"/>
      <c r="V240" s="35" t="s">
        <v>2155</v>
      </c>
      <c r="W240" s="37">
        <f t="shared" si="7"/>
        <v>0.7</v>
      </c>
      <c r="X240" s="33" t="s">
        <v>43</v>
      </c>
      <c r="Y240" s="33" t="s">
        <v>44</v>
      </c>
      <c r="Z240" s="33" t="s">
        <v>658</v>
      </c>
      <c r="AA240" s="33" t="s">
        <v>46</v>
      </c>
      <c r="AB240" s="33" t="s">
        <v>1321</v>
      </c>
      <c r="AD240" s="33" t="s">
        <v>1322</v>
      </c>
      <c r="AE240" s="33" t="s">
        <v>913</v>
      </c>
      <c r="AG240" s="33" t="s">
        <v>50</v>
      </c>
      <c r="AH240" s="33" t="s">
        <v>51</v>
      </c>
    </row>
    <row r="241" spans="1:34" ht="280.75">
      <c r="A241" s="35">
        <v>240</v>
      </c>
      <c r="B241" s="35" t="s">
        <v>137</v>
      </c>
      <c r="C241" s="35" t="s">
        <v>1246</v>
      </c>
      <c r="D241" s="35" t="s">
        <v>1292</v>
      </c>
      <c r="E241" s="35" t="s">
        <v>1323</v>
      </c>
      <c r="F241" s="35" t="s">
        <v>1324</v>
      </c>
      <c r="G241" s="35" t="s">
        <v>38</v>
      </c>
      <c r="H241" s="35" t="str">
        <f t="shared" si="6"/>
        <v>Verify</v>
      </c>
      <c r="I241" s="35" t="s">
        <v>39</v>
      </c>
      <c r="J241" s="35"/>
      <c r="K241" s="47"/>
      <c r="L241" s="35" t="s">
        <v>307</v>
      </c>
      <c r="M241" s="35"/>
      <c r="N241" s="35"/>
      <c r="O241" s="35" t="s">
        <v>41</v>
      </c>
      <c r="P241" s="35"/>
      <c r="Q241" s="35"/>
      <c r="R241" s="35"/>
      <c r="S241" s="35"/>
      <c r="T241" s="35"/>
      <c r="U241" s="35"/>
      <c r="V241" s="35" t="s">
        <v>2155</v>
      </c>
      <c r="W241" s="37">
        <f t="shared" si="7"/>
        <v>0.7</v>
      </c>
      <c r="X241" s="33" t="s">
        <v>43</v>
      </c>
      <c r="Y241" s="33" t="s">
        <v>44</v>
      </c>
      <c r="Z241" s="33" t="s">
        <v>658</v>
      </c>
      <c r="AA241" s="33" t="s">
        <v>46</v>
      </c>
      <c r="AB241" s="33" t="s">
        <v>1325</v>
      </c>
      <c r="AD241" s="33" t="s">
        <v>1326</v>
      </c>
      <c r="AE241" s="33" t="s">
        <v>913</v>
      </c>
      <c r="AG241" s="33" t="s">
        <v>50</v>
      </c>
      <c r="AH241" s="33" t="s">
        <v>51</v>
      </c>
    </row>
    <row r="242" spans="1:34" ht="409.6">
      <c r="A242" s="35">
        <v>241</v>
      </c>
      <c r="B242" s="35" t="s">
        <v>141</v>
      </c>
      <c r="C242" s="35" t="s">
        <v>1246</v>
      </c>
      <c r="D242" s="35" t="s">
        <v>1292</v>
      </c>
      <c r="E242" s="35" t="s">
        <v>1327</v>
      </c>
      <c r="F242" s="35" t="s">
        <v>1328</v>
      </c>
      <c r="G242" s="35" t="s">
        <v>38</v>
      </c>
      <c r="H242" s="35" t="str">
        <f t="shared" si="6"/>
        <v>Verify</v>
      </c>
      <c r="I242" s="35" t="s">
        <v>39</v>
      </c>
      <c r="J242" s="35"/>
      <c r="K242" s="47"/>
      <c r="L242" s="35" t="s">
        <v>307</v>
      </c>
      <c r="M242" s="35"/>
      <c r="N242" s="35"/>
      <c r="O242" s="35"/>
      <c r="P242" s="35" t="s">
        <v>1329</v>
      </c>
      <c r="Q242" s="35"/>
      <c r="R242" s="35"/>
      <c r="S242" s="35"/>
      <c r="T242" s="35"/>
      <c r="U242" s="35"/>
      <c r="V242" s="35" t="s">
        <v>405</v>
      </c>
      <c r="W242" s="37">
        <f t="shared" si="7"/>
        <v>0.5</v>
      </c>
      <c r="X242" s="33" t="s">
        <v>43</v>
      </c>
      <c r="Y242" s="33" t="s">
        <v>44</v>
      </c>
      <c r="Z242" s="33" t="s">
        <v>658</v>
      </c>
      <c r="AA242" s="33" t="s">
        <v>46</v>
      </c>
      <c r="AB242" s="33" t="s">
        <v>1330</v>
      </c>
      <c r="AD242" s="33" t="s">
        <v>97</v>
      </c>
      <c r="AE242" s="33" t="s">
        <v>913</v>
      </c>
      <c r="AG242" s="33" t="s">
        <v>50</v>
      </c>
      <c r="AH242" s="33" t="s">
        <v>51</v>
      </c>
    </row>
    <row r="243" spans="1:34" ht="358.75">
      <c r="A243" s="35">
        <v>242</v>
      </c>
      <c r="B243" s="35" t="s">
        <v>478</v>
      </c>
      <c r="C243" s="35" t="s">
        <v>1246</v>
      </c>
      <c r="D243" s="35" t="s">
        <v>1292</v>
      </c>
      <c r="E243" s="35" t="s">
        <v>1331</v>
      </c>
      <c r="F243" s="35" t="s">
        <v>1332</v>
      </c>
      <c r="G243" s="35" t="s">
        <v>116</v>
      </c>
      <c r="H243" s="35" t="str">
        <f t="shared" si="6"/>
        <v>Check</v>
      </c>
      <c r="I243" s="35" t="s">
        <v>39</v>
      </c>
      <c r="J243" s="35"/>
      <c r="K243" s="47"/>
      <c r="L243" s="35" t="s">
        <v>307</v>
      </c>
      <c r="M243" s="35"/>
      <c r="N243" s="35"/>
      <c r="O243" s="35" t="s">
        <v>76</v>
      </c>
      <c r="P243" s="35" t="s">
        <v>2227</v>
      </c>
      <c r="Q243" s="35"/>
      <c r="R243" s="35"/>
      <c r="S243" s="35"/>
      <c r="T243" s="35"/>
      <c r="U243" s="35"/>
      <c r="V243" s="35" t="s">
        <v>405</v>
      </c>
      <c r="W243" s="37">
        <f t="shared" si="7"/>
        <v>0.5</v>
      </c>
      <c r="X243" s="33" t="s">
        <v>43</v>
      </c>
      <c r="Y243" s="33" t="s">
        <v>44</v>
      </c>
      <c r="Z243" s="33" t="s">
        <v>658</v>
      </c>
      <c r="AA243" s="33" t="s">
        <v>46</v>
      </c>
      <c r="AB243" s="33" t="s">
        <v>1333</v>
      </c>
      <c r="AD243" s="33" t="s">
        <v>618</v>
      </c>
      <c r="AE243" s="33" t="s">
        <v>913</v>
      </c>
      <c r="AG243" s="33" t="s">
        <v>50</v>
      </c>
      <c r="AH243" s="33" t="s">
        <v>51</v>
      </c>
    </row>
    <row r="244" spans="1:34" ht="409.6">
      <c r="A244" s="35">
        <v>243</v>
      </c>
      <c r="B244" s="35" t="s">
        <v>578</v>
      </c>
      <c r="C244" s="35" t="s">
        <v>1246</v>
      </c>
      <c r="D244" s="35" t="s">
        <v>1292</v>
      </c>
      <c r="E244" s="35" t="s">
        <v>1334</v>
      </c>
      <c r="F244" s="35" t="s">
        <v>1335</v>
      </c>
      <c r="G244" s="35" t="s">
        <v>116</v>
      </c>
      <c r="H244" s="35" t="str">
        <f t="shared" si="6"/>
        <v>Check</v>
      </c>
      <c r="I244" s="35" t="s">
        <v>39</v>
      </c>
      <c r="J244" s="35"/>
      <c r="K244" s="47"/>
      <c r="L244" s="35" t="s">
        <v>307</v>
      </c>
      <c r="M244" s="35"/>
      <c r="N244" s="35"/>
      <c r="O244" s="35"/>
      <c r="P244" s="35" t="s">
        <v>2228</v>
      </c>
      <c r="Q244" s="35"/>
      <c r="R244" s="35"/>
      <c r="S244" s="35"/>
      <c r="T244" s="35"/>
      <c r="U244" s="35"/>
      <c r="V244" s="35" t="s">
        <v>405</v>
      </c>
      <c r="W244" s="37">
        <f t="shared" si="7"/>
        <v>0.5</v>
      </c>
      <c r="X244" s="33" t="s">
        <v>43</v>
      </c>
      <c r="Y244" s="33" t="s">
        <v>44</v>
      </c>
      <c r="Z244" s="33" t="s">
        <v>658</v>
      </c>
      <c r="AA244" s="33" t="s">
        <v>46</v>
      </c>
      <c r="AB244" s="33" t="s">
        <v>1336</v>
      </c>
      <c r="AD244" s="33" t="s">
        <v>1337</v>
      </c>
      <c r="AE244" s="33" t="s">
        <v>913</v>
      </c>
      <c r="AG244" s="33" t="s">
        <v>50</v>
      </c>
      <c r="AH244" s="33" t="s">
        <v>51</v>
      </c>
    </row>
    <row r="245" spans="1:34" ht="312">
      <c r="A245" s="35">
        <v>244</v>
      </c>
      <c r="B245" s="35" t="s">
        <v>675</v>
      </c>
      <c r="C245" s="35" t="s">
        <v>1246</v>
      </c>
      <c r="D245" s="35" t="s">
        <v>1292</v>
      </c>
      <c r="E245" s="35" t="s">
        <v>1338</v>
      </c>
      <c r="F245" s="35" t="s">
        <v>1339</v>
      </c>
      <c r="G245" s="35" t="s">
        <v>116</v>
      </c>
      <c r="H245" s="35" t="str">
        <f t="shared" si="6"/>
        <v>Check</v>
      </c>
      <c r="I245" s="35" t="s">
        <v>39</v>
      </c>
      <c r="J245" s="35"/>
      <c r="K245" s="47"/>
      <c r="L245" s="35" t="s">
        <v>307</v>
      </c>
      <c r="M245" s="35"/>
      <c r="N245" s="35"/>
      <c r="O245" s="35" t="s">
        <v>41</v>
      </c>
      <c r="P245" s="35"/>
      <c r="Q245" s="35"/>
      <c r="R245" s="35"/>
      <c r="S245" s="35"/>
      <c r="T245" s="35"/>
      <c r="U245" s="35"/>
      <c r="V245" s="35" t="s">
        <v>2155</v>
      </c>
      <c r="W245" s="37">
        <f t="shared" si="7"/>
        <v>0.7</v>
      </c>
      <c r="X245" s="33" t="s">
        <v>43</v>
      </c>
      <c r="Y245" s="33" t="s">
        <v>44</v>
      </c>
      <c r="Z245" s="33" t="s">
        <v>658</v>
      </c>
      <c r="AA245" s="33" t="s">
        <v>46</v>
      </c>
      <c r="AB245" s="33" t="s">
        <v>1340</v>
      </c>
      <c r="AD245" s="33" t="s">
        <v>66</v>
      </c>
      <c r="AE245" s="33" t="s">
        <v>913</v>
      </c>
      <c r="AG245" s="33" t="s">
        <v>50</v>
      </c>
      <c r="AH245" s="33" t="s">
        <v>51</v>
      </c>
    </row>
    <row r="246" spans="1:34" ht="265.25">
      <c r="A246" s="35">
        <v>245</v>
      </c>
      <c r="B246" s="35" t="s">
        <v>145</v>
      </c>
      <c r="C246" s="35" t="s">
        <v>1246</v>
      </c>
      <c r="D246" s="35" t="s">
        <v>1341</v>
      </c>
      <c r="E246" s="35" t="s">
        <v>1342</v>
      </c>
      <c r="F246" s="35" t="s">
        <v>1343</v>
      </c>
      <c r="G246" s="35" t="s">
        <v>38</v>
      </c>
      <c r="H246" s="35" t="str">
        <f t="shared" si="6"/>
        <v>Verify</v>
      </c>
      <c r="I246" s="35" t="s">
        <v>39</v>
      </c>
      <c r="J246" s="35"/>
      <c r="K246" s="47"/>
      <c r="L246" s="35" t="s">
        <v>307</v>
      </c>
      <c r="M246" s="35"/>
      <c r="N246" s="35"/>
      <c r="O246" s="35" t="s">
        <v>41</v>
      </c>
      <c r="P246" s="35"/>
      <c r="Q246" s="35"/>
      <c r="R246" s="35"/>
      <c r="S246" s="35"/>
      <c r="T246" s="35"/>
      <c r="U246" s="35"/>
      <c r="V246" s="35" t="s">
        <v>2155</v>
      </c>
      <c r="W246" s="37">
        <f t="shared" si="7"/>
        <v>0.7</v>
      </c>
      <c r="X246" s="33" t="s">
        <v>43</v>
      </c>
      <c r="Y246" s="33" t="s">
        <v>44</v>
      </c>
      <c r="Z246" s="33" t="s">
        <v>658</v>
      </c>
      <c r="AA246" s="33" t="s">
        <v>46</v>
      </c>
      <c r="AB246" s="33" t="s">
        <v>1344</v>
      </c>
      <c r="AD246" s="33" t="s">
        <v>176</v>
      </c>
      <c r="AE246" s="33" t="s">
        <v>913</v>
      </c>
      <c r="AG246" s="33" t="s">
        <v>50</v>
      </c>
      <c r="AH246" s="33" t="s">
        <v>51</v>
      </c>
    </row>
    <row r="247" spans="1:34" ht="312">
      <c r="A247" s="35">
        <v>246</v>
      </c>
      <c r="B247" s="35" t="s">
        <v>149</v>
      </c>
      <c r="C247" s="35" t="s">
        <v>1246</v>
      </c>
      <c r="D247" s="35" t="s">
        <v>1341</v>
      </c>
      <c r="E247" s="35" t="s">
        <v>1345</v>
      </c>
      <c r="F247" s="35" t="s">
        <v>1346</v>
      </c>
      <c r="G247" s="35" t="s">
        <v>38</v>
      </c>
      <c r="H247" s="35" t="str">
        <f t="shared" si="6"/>
        <v>Verify</v>
      </c>
      <c r="I247" s="35" t="s">
        <v>39</v>
      </c>
      <c r="J247" s="35"/>
      <c r="K247" s="47"/>
      <c r="L247" s="35" t="s">
        <v>307</v>
      </c>
      <c r="M247" s="35"/>
      <c r="N247" s="35"/>
      <c r="O247" s="35" t="s">
        <v>348</v>
      </c>
      <c r="P247" s="35" t="s">
        <v>2229</v>
      </c>
      <c r="Q247" s="35"/>
      <c r="R247" s="35"/>
      <c r="S247" s="35"/>
      <c r="T247" s="35"/>
      <c r="U247" s="35"/>
      <c r="V247" s="35" t="s">
        <v>405</v>
      </c>
      <c r="W247" s="37">
        <f t="shared" si="7"/>
        <v>0.5</v>
      </c>
      <c r="X247" s="33" t="s">
        <v>43</v>
      </c>
      <c r="Y247" s="33" t="s">
        <v>44</v>
      </c>
      <c r="Z247" s="33" t="s">
        <v>658</v>
      </c>
      <c r="AA247" s="33" t="s">
        <v>46</v>
      </c>
      <c r="AB247" s="33" t="s">
        <v>1347</v>
      </c>
      <c r="AD247" s="33" t="s">
        <v>66</v>
      </c>
      <c r="AE247" s="33" t="s">
        <v>913</v>
      </c>
      <c r="AG247" s="33" t="s">
        <v>50</v>
      </c>
      <c r="AH247" s="33" t="s">
        <v>51</v>
      </c>
    </row>
    <row r="248" spans="1:34" ht="280.75">
      <c r="A248" s="35">
        <v>247</v>
      </c>
      <c r="B248" s="35" t="s">
        <v>155</v>
      </c>
      <c r="C248" s="35" t="s">
        <v>1246</v>
      </c>
      <c r="D248" s="35" t="s">
        <v>1341</v>
      </c>
      <c r="E248" s="35" t="s">
        <v>1348</v>
      </c>
      <c r="F248" s="35" t="s">
        <v>1349</v>
      </c>
      <c r="G248" s="35" t="s">
        <v>38</v>
      </c>
      <c r="H248" s="35" t="str">
        <f t="shared" si="6"/>
        <v>Verify</v>
      </c>
      <c r="I248" s="35" t="s">
        <v>39</v>
      </c>
      <c r="J248" s="35"/>
      <c r="K248" s="47"/>
      <c r="L248" s="35" t="s">
        <v>307</v>
      </c>
      <c r="M248" s="35"/>
      <c r="N248" s="35"/>
      <c r="O248" s="35" t="s">
        <v>348</v>
      </c>
      <c r="P248" s="35" t="s">
        <v>2230</v>
      </c>
      <c r="Q248" s="35"/>
      <c r="R248" s="35"/>
      <c r="S248" s="35"/>
      <c r="T248" s="35"/>
      <c r="U248" s="35"/>
      <c r="V248" s="35" t="s">
        <v>405</v>
      </c>
      <c r="W248" s="37">
        <f t="shared" si="7"/>
        <v>0.5</v>
      </c>
      <c r="X248" s="33" t="s">
        <v>43</v>
      </c>
      <c r="Y248" s="33" t="s">
        <v>44</v>
      </c>
      <c r="Z248" s="33" t="s">
        <v>658</v>
      </c>
      <c r="AA248" s="33" t="s">
        <v>46</v>
      </c>
      <c r="AB248" s="33" t="s">
        <v>1350</v>
      </c>
      <c r="AD248" s="33" t="s">
        <v>1351</v>
      </c>
      <c r="AE248" s="33" t="s">
        <v>913</v>
      </c>
      <c r="AG248" s="33" t="s">
        <v>50</v>
      </c>
      <c r="AH248" s="33" t="s">
        <v>51</v>
      </c>
    </row>
    <row r="249" spans="1:34" ht="296.39999999999998">
      <c r="A249" s="35">
        <v>248</v>
      </c>
      <c r="B249" s="35" t="s">
        <v>160</v>
      </c>
      <c r="C249" s="35" t="s">
        <v>1246</v>
      </c>
      <c r="D249" s="35" t="s">
        <v>1341</v>
      </c>
      <c r="E249" s="35" t="s">
        <v>1352</v>
      </c>
      <c r="F249" s="35" t="s">
        <v>1353</v>
      </c>
      <c r="G249" s="35" t="s">
        <v>38</v>
      </c>
      <c r="H249" s="35" t="str">
        <f t="shared" si="6"/>
        <v>Verify</v>
      </c>
      <c r="I249" s="35" t="s">
        <v>39</v>
      </c>
      <c r="J249" s="35"/>
      <c r="K249" s="47"/>
      <c r="L249" s="35" t="s">
        <v>307</v>
      </c>
      <c r="M249" s="35"/>
      <c r="N249" s="35"/>
      <c r="O249" s="35" t="s">
        <v>76</v>
      </c>
      <c r="P249" s="35" t="s">
        <v>1354</v>
      </c>
      <c r="Q249" s="35"/>
      <c r="R249" s="35" t="s">
        <v>78</v>
      </c>
      <c r="S249" s="35"/>
      <c r="T249" s="35"/>
      <c r="U249" s="35"/>
      <c r="V249" s="35" t="s">
        <v>405</v>
      </c>
      <c r="W249" s="37">
        <f t="shared" si="7"/>
        <v>0.5</v>
      </c>
      <c r="X249" s="33" t="s">
        <v>43</v>
      </c>
      <c r="Y249" s="33" t="s">
        <v>44</v>
      </c>
      <c r="Z249" s="33" t="s">
        <v>658</v>
      </c>
      <c r="AA249" s="33" t="s">
        <v>46</v>
      </c>
      <c r="AB249" s="33" t="s">
        <v>1355</v>
      </c>
      <c r="AD249" s="33" t="s">
        <v>112</v>
      </c>
      <c r="AE249" s="33" t="s">
        <v>913</v>
      </c>
      <c r="AG249" s="33" t="s">
        <v>50</v>
      </c>
      <c r="AH249" s="33" t="s">
        <v>51</v>
      </c>
    </row>
    <row r="250" spans="1:34" ht="296.39999999999998">
      <c r="A250" s="35">
        <v>249</v>
      </c>
      <c r="B250" s="35" t="s">
        <v>165</v>
      </c>
      <c r="C250" s="35" t="s">
        <v>1246</v>
      </c>
      <c r="D250" s="35" t="s">
        <v>1341</v>
      </c>
      <c r="E250" s="35" t="s">
        <v>1356</v>
      </c>
      <c r="F250" s="35" t="s">
        <v>1357</v>
      </c>
      <c r="G250" s="35" t="s">
        <v>38</v>
      </c>
      <c r="H250" s="35" t="str">
        <f t="shared" si="6"/>
        <v>Verify</v>
      </c>
      <c r="I250" s="35" t="s">
        <v>39</v>
      </c>
      <c r="J250" s="35"/>
      <c r="K250" s="47"/>
      <c r="L250" s="35" t="s">
        <v>307</v>
      </c>
      <c r="M250" s="35"/>
      <c r="N250" s="35"/>
      <c r="O250" s="35" t="s">
        <v>41</v>
      </c>
      <c r="P250" s="35" t="s">
        <v>1358</v>
      </c>
      <c r="Q250" s="35"/>
      <c r="R250" s="35"/>
      <c r="S250" s="35"/>
      <c r="T250" s="35"/>
      <c r="U250" s="35"/>
      <c r="V250" s="35" t="s">
        <v>2155</v>
      </c>
      <c r="W250" s="37">
        <f t="shared" si="7"/>
        <v>0.7</v>
      </c>
      <c r="X250" s="33" t="s">
        <v>43</v>
      </c>
      <c r="Y250" s="33" t="s">
        <v>44</v>
      </c>
      <c r="Z250" s="33" t="s">
        <v>658</v>
      </c>
      <c r="AA250" s="33" t="s">
        <v>46</v>
      </c>
      <c r="AB250" s="33" t="s">
        <v>1359</v>
      </c>
      <c r="AD250" s="33" t="s">
        <v>1082</v>
      </c>
      <c r="AE250" s="33" t="s">
        <v>913</v>
      </c>
      <c r="AG250" s="33" t="s">
        <v>50</v>
      </c>
      <c r="AH250" s="33" t="s">
        <v>51</v>
      </c>
    </row>
    <row r="251" spans="1:34" ht="296.39999999999998">
      <c r="A251" s="35">
        <v>250</v>
      </c>
      <c r="B251" s="35" t="s">
        <v>172</v>
      </c>
      <c r="C251" s="35" t="s">
        <v>1246</v>
      </c>
      <c r="D251" s="35" t="s">
        <v>1341</v>
      </c>
      <c r="E251" s="35" t="s">
        <v>1360</v>
      </c>
      <c r="F251" s="35" t="s">
        <v>1361</v>
      </c>
      <c r="G251" s="35" t="s">
        <v>38</v>
      </c>
      <c r="H251" s="35" t="str">
        <f t="shared" si="6"/>
        <v>Verify</v>
      </c>
      <c r="I251" s="35" t="s">
        <v>39</v>
      </c>
      <c r="J251" s="35"/>
      <c r="K251" s="47"/>
      <c r="L251" s="35" t="s">
        <v>307</v>
      </c>
      <c r="M251" s="35"/>
      <c r="N251" s="35"/>
      <c r="O251" s="35" t="s">
        <v>41</v>
      </c>
      <c r="P251" s="35"/>
      <c r="Q251" s="35"/>
      <c r="R251" s="35"/>
      <c r="S251" s="35"/>
      <c r="T251" s="35"/>
      <c r="U251" s="35"/>
      <c r="V251" s="35" t="s">
        <v>2155</v>
      </c>
      <c r="W251" s="37">
        <f t="shared" si="7"/>
        <v>0.7</v>
      </c>
      <c r="X251" s="33" t="s">
        <v>43</v>
      </c>
      <c r="Y251" s="33" t="s">
        <v>44</v>
      </c>
      <c r="Z251" s="33" t="s">
        <v>658</v>
      </c>
      <c r="AA251" s="33" t="s">
        <v>46</v>
      </c>
      <c r="AB251" s="33" t="s">
        <v>1362</v>
      </c>
      <c r="AD251" s="33" t="s">
        <v>1363</v>
      </c>
      <c r="AE251" s="33" t="s">
        <v>913</v>
      </c>
      <c r="AG251" s="33" t="s">
        <v>50</v>
      </c>
      <c r="AH251" s="33" t="s">
        <v>51</v>
      </c>
    </row>
    <row r="252" spans="1:34" ht="187.25">
      <c r="A252" s="35">
        <v>251</v>
      </c>
      <c r="B252" s="35" t="s">
        <v>177</v>
      </c>
      <c r="C252" s="35" t="s">
        <v>1246</v>
      </c>
      <c r="D252" s="35" t="s">
        <v>1341</v>
      </c>
      <c r="E252" s="35" t="s">
        <v>1364</v>
      </c>
      <c r="F252" s="35" t="s">
        <v>1365</v>
      </c>
      <c r="G252" s="35" t="s">
        <v>38</v>
      </c>
      <c r="H252" s="35" t="str">
        <f t="shared" si="6"/>
        <v>Verify</v>
      </c>
      <c r="I252" s="35" t="s">
        <v>39</v>
      </c>
      <c r="J252" s="35"/>
      <c r="K252" s="47"/>
      <c r="L252" s="35" t="s">
        <v>117</v>
      </c>
      <c r="M252" s="35"/>
      <c r="N252" s="35"/>
      <c r="O252" s="35" t="s">
        <v>348</v>
      </c>
      <c r="P252" s="35" t="s">
        <v>1366</v>
      </c>
      <c r="Q252" s="35"/>
      <c r="R252" s="35"/>
      <c r="S252" s="35"/>
      <c r="T252" s="35"/>
      <c r="U252" s="35"/>
      <c r="V252" s="35" t="s">
        <v>79</v>
      </c>
      <c r="W252" s="37">
        <f t="shared" si="7"/>
        <v>0</v>
      </c>
      <c r="X252" s="33" t="s">
        <v>43</v>
      </c>
      <c r="Y252" s="33" t="s">
        <v>213</v>
      </c>
      <c r="Z252" s="33" t="s">
        <v>81</v>
      </c>
      <c r="AA252" s="33" t="s">
        <v>119</v>
      </c>
      <c r="AB252" s="33" t="s">
        <v>1367</v>
      </c>
      <c r="AC252" s="33" t="s">
        <v>1366</v>
      </c>
      <c r="AD252" s="33" t="s">
        <v>1368</v>
      </c>
      <c r="AE252" s="33" t="s">
        <v>1369</v>
      </c>
      <c r="AG252" s="33" t="s">
        <v>50</v>
      </c>
      <c r="AH252" s="33" t="s">
        <v>51</v>
      </c>
    </row>
    <row r="253" spans="1:34" ht="202.75">
      <c r="A253" s="35">
        <v>252</v>
      </c>
      <c r="B253" s="35" t="s">
        <v>181</v>
      </c>
      <c r="C253" s="35" t="s">
        <v>1246</v>
      </c>
      <c r="D253" s="35" t="s">
        <v>1341</v>
      </c>
      <c r="E253" s="35" t="s">
        <v>1370</v>
      </c>
      <c r="F253" s="35" t="s">
        <v>1371</v>
      </c>
      <c r="G253" s="35" t="s">
        <v>38</v>
      </c>
      <c r="H253" s="35" t="str">
        <f t="shared" si="6"/>
        <v>Verify</v>
      </c>
      <c r="I253" s="35" t="s">
        <v>39</v>
      </c>
      <c r="J253" s="35"/>
      <c r="K253" s="47"/>
      <c r="L253" s="35" t="s">
        <v>117</v>
      </c>
      <c r="M253" s="35"/>
      <c r="N253" s="35"/>
      <c r="O253" s="35" t="s">
        <v>41</v>
      </c>
      <c r="P253" s="35" t="s">
        <v>1372</v>
      </c>
      <c r="Q253" s="35"/>
      <c r="R253" s="35"/>
      <c r="S253" s="35"/>
      <c r="T253" s="35"/>
      <c r="U253" s="35"/>
      <c r="V253" s="35" t="s">
        <v>405</v>
      </c>
      <c r="W253" s="37">
        <f t="shared" si="7"/>
        <v>0.5</v>
      </c>
      <c r="X253" s="33" t="s">
        <v>43</v>
      </c>
      <c r="Y253" s="33" t="s">
        <v>213</v>
      </c>
      <c r="Z253" s="33" t="s">
        <v>81</v>
      </c>
      <c r="AA253" s="33" t="s">
        <v>119</v>
      </c>
      <c r="AB253" s="33" t="s">
        <v>1373</v>
      </c>
      <c r="AC253" s="33" t="s">
        <v>1372</v>
      </c>
      <c r="AD253" s="33" t="s">
        <v>1374</v>
      </c>
      <c r="AE253" s="33" t="s">
        <v>1369</v>
      </c>
      <c r="AG253" s="33" t="s">
        <v>50</v>
      </c>
      <c r="AH253" s="33" t="s">
        <v>51</v>
      </c>
    </row>
    <row r="254" spans="1:34" ht="234">
      <c r="A254" s="35">
        <v>253</v>
      </c>
      <c r="B254" s="35" t="s">
        <v>781</v>
      </c>
      <c r="C254" s="35" t="s">
        <v>1246</v>
      </c>
      <c r="D254" s="35" t="s">
        <v>1341</v>
      </c>
      <c r="E254" s="35" t="s">
        <v>1375</v>
      </c>
      <c r="F254" s="35" t="s">
        <v>1376</v>
      </c>
      <c r="G254" s="35" t="s">
        <v>116</v>
      </c>
      <c r="H254" s="35" t="str">
        <f t="shared" si="6"/>
        <v>Check</v>
      </c>
      <c r="I254" s="35" t="s">
        <v>39</v>
      </c>
      <c r="J254" s="35"/>
      <c r="K254" s="47"/>
      <c r="L254" s="35" t="s">
        <v>1169</v>
      </c>
      <c r="M254" s="35"/>
      <c r="N254" s="35"/>
      <c r="O254" s="35"/>
      <c r="P254" s="35"/>
      <c r="Q254" s="35"/>
      <c r="R254" s="35"/>
      <c r="S254" s="35"/>
      <c r="T254" s="35"/>
      <c r="U254" s="35"/>
      <c r="V254" s="35" t="s">
        <v>79</v>
      </c>
      <c r="W254" s="37">
        <f t="shared" si="7"/>
        <v>0</v>
      </c>
      <c r="X254" s="33" t="s">
        <v>43</v>
      </c>
      <c r="Y254" s="33" t="s">
        <v>44</v>
      </c>
      <c r="Z254" s="33" t="s">
        <v>658</v>
      </c>
      <c r="AA254" s="33" t="s">
        <v>46</v>
      </c>
      <c r="AB254" s="33" t="s">
        <v>1377</v>
      </c>
      <c r="AD254" s="33" t="s">
        <v>48</v>
      </c>
      <c r="AE254" s="33" t="s">
        <v>913</v>
      </c>
      <c r="AG254" s="33" t="s">
        <v>50</v>
      </c>
      <c r="AH254" s="33" t="s">
        <v>51</v>
      </c>
    </row>
    <row r="255" spans="1:34" ht="234">
      <c r="A255" s="35">
        <v>254</v>
      </c>
      <c r="B255" s="35" t="s">
        <v>186</v>
      </c>
      <c r="C255" s="35" t="s">
        <v>1246</v>
      </c>
      <c r="D255" s="35" t="s">
        <v>1378</v>
      </c>
      <c r="E255" s="35" t="s">
        <v>1379</v>
      </c>
      <c r="F255" s="35" t="s">
        <v>1380</v>
      </c>
      <c r="G255" s="35" t="s">
        <v>38</v>
      </c>
      <c r="H255" s="35" t="str">
        <f t="shared" si="6"/>
        <v>Verify</v>
      </c>
      <c r="I255" s="35" t="s">
        <v>39</v>
      </c>
      <c r="J255" s="35"/>
      <c r="K255" s="47"/>
      <c r="L255" s="35" t="s">
        <v>117</v>
      </c>
      <c r="M255" s="35"/>
      <c r="N255" s="35"/>
      <c r="O255" s="35" t="s">
        <v>41</v>
      </c>
      <c r="P255" s="35" t="s">
        <v>1092</v>
      </c>
      <c r="Q255" s="35"/>
      <c r="R255" s="35"/>
      <c r="S255" s="35"/>
      <c r="T255" s="35"/>
      <c r="U255" s="35"/>
      <c r="V255" s="35" t="s">
        <v>2155</v>
      </c>
      <c r="W255" s="37">
        <f t="shared" si="7"/>
        <v>0.7</v>
      </c>
      <c r="X255" s="33" t="s">
        <v>43</v>
      </c>
      <c r="Y255" s="33" t="s">
        <v>44</v>
      </c>
      <c r="Z255" s="33" t="s">
        <v>45</v>
      </c>
      <c r="AA255" s="33" t="s">
        <v>46</v>
      </c>
      <c r="AB255" s="33" t="s">
        <v>1381</v>
      </c>
      <c r="AC255" s="33" t="s">
        <v>1092</v>
      </c>
      <c r="AD255" s="33" t="s">
        <v>61</v>
      </c>
      <c r="AE255" s="33" t="s">
        <v>121</v>
      </c>
      <c r="AG255" s="33" t="s">
        <v>50</v>
      </c>
      <c r="AH255" s="33" t="s">
        <v>51</v>
      </c>
    </row>
    <row r="256" spans="1:34" ht="296.39999999999998">
      <c r="A256" s="35">
        <v>255</v>
      </c>
      <c r="B256" s="35" t="s">
        <v>191</v>
      </c>
      <c r="C256" s="35" t="s">
        <v>1246</v>
      </c>
      <c r="D256" s="35" t="s">
        <v>1378</v>
      </c>
      <c r="E256" s="35" t="s">
        <v>1382</v>
      </c>
      <c r="F256" s="35" t="s">
        <v>1383</v>
      </c>
      <c r="G256" s="35" t="s">
        <v>38</v>
      </c>
      <c r="H256" s="35" t="str">
        <f t="shared" si="6"/>
        <v>Verify</v>
      </c>
      <c r="I256" s="35" t="s">
        <v>39</v>
      </c>
      <c r="J256" s="35"/>
      <c r="K256" s="47"/>
      <c r="L256" s="35" t="s">
        <v>117</v>
      </c>
      <c r="M256" s="35"/>
      <c r="N256" s="35"/>
      <c r="O256" s="35" t="s">
        <v>41</v>
      </c>
      <c r="P256" s="35" t="s">
        <v>1384</v>
      </c>
      <c r="Q256" s="35"/>
      <c r="R256" s="35"/>
      <c r="S256" s="35"/>
      <c r="T256" s="35"/>
      <c r="U256" s="35"/>
      <c r="V256" s="35" t="s">
        <v>2155</v>
      </c>
      <c r="W256" s="37">
        <f t="shared" si="7"/>
        <v>0.7</v>
      </c>
      <c r="X256" s="33" t="s">
        <v>43</v>
      </c>
      <c r="Y256" s="33" t="s">
        <v>44</v>
      </c>
      <c r="Z256" s="33" t="s">
        <v>45</v>
      </c>
      <c r="AA256" s="33" t="s">
        <v>46</v>
      </c>
      <c r="AB256" s="33" t="s">
        <v>1385</v>
      </c>
      <c r="AC256" s="33" t="s">
        <v>1384</v>
      </c>
      <c r="AD256" s="33" t="s">
        <v>112</v>
      </c>
      <c r="AE256" s="33" t="s">
        <v>121</v>
      </c>
      <c r="AG256" s="33" t="s">
        <v>50</v>
      </c>
      <c r="AH256" s="33" t="s">
        <v>51</v>
      </c>
    </row>
    <row r="257" spans="1:34" ht="234">
      <c r="A257" s="35">
        <v>256</v>
      </c>
      <c r="B257" s="35" t="s">
        <v>196</v>
      </c>
      <c r="C257" s="35" t="s">
        <v>1246</v>
      </c>
      <c r="D257" s="35" t="s">
        <v>1378</v>
      </c>
      <c r="E257" s="35" t="s">
        <v>1386</v>
      </c>
      <c r="F257" s="35" t="s">
        <v>1387</v>
      </c>
      <c r="G257" s="35" t="s">
        <v>38</v>
      </c>
      <c r="H257" s="35" t="str">
        <f t="shared" si="6"/>
        <v>Verify</v>
      </c>
      <c r="I257" s="35" t="s">
        <v>39</v>
      </c>
      <c r="J257" s="35"/>
      <c r="K257" s="47"/>
      <c r="L257" s="35" t="s">
        <v>117</v>
      </c>
      <c r="M257" s="35"/>
      <c r="N257" s="35"/>
      <c r="O257" s="35" t="s">
        <v>41</v>
      </c>
      <c r="P257" s="35" t="s">
        <v>1388</v>
      </c>
      <c r="Q257" s="35"/>
      <c r="R257" s="35"/>
      <c r="S257" s="35"/>
      <c r="T257" s="35"/>
      <c r="U257" s="35"/>
      <c r="V257" s="35" t="s">
        <v>2155</v>
      </c>
      <c r="W257" s="37">
        <f t="shared" si="7"/>
        <v>0.7</v>
      </c>
      <c r="X257" s="33" t="s">
        <v>43</v>
      </c>
      <c r="Y257" s="33" t="s">
        <v>44</v>
      </c>
      <c r="Z257" s="33" t="s">
        <v>45</v>
      </c>
      <c r="AA257" s="33" t="s">
        <v>46</v>
      </c>
      <c r="AB257" s="33" t="s">
        <v>1389</v>
      </c>
      <c r="AC257" s="33" t="s">
        <v>1388</v>
      </c>
      <c r="AD257" s="33" t="s">
        <v>381</v>
      </c>
      <c r="AE257" s="33" t="s">
        <v>121</v>
      </c>
      <c r="AG257" s="33" t="s">
        <v>50</v>
      </c>
      <c r="AH257" s="33" t="s">
        <v>51</v>
      </c>
    </row>
    <row r="258" spans="1:34" ht="124.75">
      <c r="A258" s="35">
        <v>257</v>
      </c>
      <c r="B258" s="35" t="s">
        <v>788</v>
      </c>
      <c r="C258" s="35" t="s">
        <v>1246</v>
      </c>
      <c r="D258" s="35" t="s">
        <v>1378</v>
      </c>
      <c r="E258" s="35" t="s">
        <v>1390</v>
      </c>
      <c r="F258" s="35" t="s">
        <v>1391</v>
      </c>
      <c r="G258" s="35" t="s">
        <v>116</v>
      </c>
      <c r="H258" s="35" t="str">
        <f t="shared" si="6"/>
        <v>Check</v>
      </c>
      <c r="I258" s="35" t="s">
        <v>39</v>
      </c>
      <c r="J258" s="35"/>
      <c r="K258" s="47"/>
      <c r="L258" s="35" t="s">
        <v>307</v>
      </c>
      <c r="M258" s="35"/>
      <c r="N258" s="35"/>
      <c r="O258" s="35"/>
      <c r="P258" s="35" t="s">
        <v>1392</v>
      </c>
      <c r="Q258" s="35"/>
      <c r="R258" s="35"/>
      <c r="S258" s="35"/>
      <c r="T258" s="35"/>
      <c r="U258" s="35"/>
      <c r="V258" s="35" t="s">
        <v>405</v>
      </c>
      <c r="W258" s="37">
        <f t="shared" si="7"/>
        <v>0.5</v>
      </c>
      <c r="X258" s="33" t="s">
        <v>43</v>
      </c>
      <c r="Y258" s="33" t="s">
        <v>213</v>
      </c>
      <c r="Z258" s="33" t="s">
        <v>658</v>
      </c>
      <c r="AA258" s="33" t="s">
        <v>119</v>
      </c>
      <c r="AB258" s="33" t="s">
        <v>1393</v>
      </c>
      <c r="AC258" s="33" t="s">
        <v>813</v>
      </c>
      <c r="AD258" s="33" t="s">
        <v>1394</v>
      </c>
      <c r="AE258" s="33" t="s">
        <v>913</v>
      </c>
      <c r="AG258" s="33" t="s">
        <v>50</v>
      </c>
      <c r="AH258" s="33" t="s">
        <v>51</v>
      </c>
    </row>
    <row r="259" spans="1:34" ht="171.65">
      <c r="A259" s="35">
        <v>258</v>
      </c>
      <c r="B259" s="35" t="s">
        <v>795</v>
      </c>
      <c r="C259" s="35" t="s">
        <v>1246</v>
      </c>
      <c r="D259" s="35" t="s">
        <v>1378</v>
      </c>
      <c r="E259" s="35" t="s">
        <v>1395</v>
      </c>
      <c r="F259" s="35" t="s">
        <v>1396</v>
      </c>
      <c r="G259" s="35" t="s">
        <v>116</v>
      </c>
      <c r="H259" s="35" t="str">
        <f t="shared" ref="H259:H322" si="8">IF(G259="Evalueringskrav","Answer",(IF(G259="Krav","Check",(IF(G259="Mindstekrav","Verify","")))))</f>
        <v>Check</v>
      </c>
      <c r="I259" s="35" t="s">
        <v>39</v>
      </c>
      <c r="J259" s="35"/>
      <c r="K259" s="47"/>
      <c r="L259" s="35" t="s">
        <v>307</v>
      </c>
      <c r="M259" s="35"/>
      <c r="N259" s="35"/>
      <c r="O259" s="35" t="s">
        <v>41</v>
      </c>
      <c r="P259" s="35" t="s">
        <v>1392</v>
      </c>
      <c r="Q259" s="35"/>
      <c r="R259" s="35"/>
      <c r="S259" s="35"/>
      <c r="T259" s="35"/>
      <c r="U259" s="35"/>
      <c r="V259" s="35" t="s">
        <v>2155</v>
      </c>
      <c r="W259" s="37">
        <f t="shared" ref="W259:W300" si="9">IF(V259="Not Started",0%,IF(V259="Started",50%,IF(V259="Ready for review",70%,IF(V259="Reviewed - Content",80%,IF(V259="Reviewed - Format",90%,IF(V259="Done",100%,""))))))</f>
        <v>0.7</v>
      </c>
      <c r="X259" s="33" t="s">
        <v>43</v>
      </c>
      <c r="Y259" s="33" t="s">
        <v>213</v>
      </c>
      <c r="Z259" s="33" t="s">
        <v>658</v>
      </c>
      <c r="AA259" s="33" t="s">
        <v>46</v>
      </c>
      <c r="AB259" s="33" t="s">
        <v>1397</v>
      </c>
      <c r="AC259" s="33" t="s">
        <v>813</v>
      </c>
      <c r="AD259" s="33" t="s">
        <v>1398</v>
      </c>
      <c r="AE259" s="33" t="s">
        <v>913</v>
      </c>
      <c r="AG259" s="33" t="s">
        <v>50</v>
      </c>
      <c r="AH259" s="33" t="s">
        <v>51</v>
      </c>
    </row>
    <row r="260" spans="1:34" ht="187.25">
      <c r="A260" s="35">
        <v>259</v>
      </c>
      <c r="B260" s="35" t="s">
        <v>802</v>
      </c>
      <c r="C260" s="35" t="s">
        <v>1246</v>
      </c>
      <c r="D260" s="35" t="s">
        <v>1399</v>
      </c>
      <c r="E260" s="35" t="s">
        <v>1400</v>
      </c>
      <c r="F260" s="35" t="s">
        <v>1401</v>
      </c>
      <c r="G260" s="35" t="s">
        <v>116</v>
      </c>
      <c r="H260" s="35" t="str">
        <f t="shared" si="8"/>
        <v>Check</v>
      </c>
      <c r="I260" s="35" t="s">
        <v>39</v>
      </c>
      <c r="J260" s="35"/>
      <c r="K260" s="47"/>
      <c r="L260" s="35" t="s">
        <v>307</v>
      </c>
      <c r="M260" s="35"/>
      <c r="N260" s="35"/>
      <c r="O260" s="35" t="s">
        <v>41</v>
      </c>
      <c r="P260" s="35" t="s">
        <v>1402</v>
      </c>
      <c r="Q260" s="35"/>
      <c r="R260" s="35"/>
      <c r="S260" s="35"/>
      <c r="T260" s="35"/>
      <c r="U260" s="35"/>
      <c r="V260" s="35" t="s">
        <v>2155</v>
      </c>
      <c r="W260" s="37">
        <f t="shared" si="9"/>
        <v>0.7</v>
      </c>
      <c r="X260" s="33" t="s">
        <v>43</v>
      </c>
      <c r="Y260" s="33" t="s">
        <v>213</v>
      </c>
      <c r="Z260" s="33" t="s">
        <v>658</v>
      </c>
      <c r="AA260" s="33" t="s">
        <v>119</v>
      </c>
      <c r="AB260" s="33" t="s">
        <v>1403</v>
      </c>
      <c r="AC260" s="33" t="s">
        <v>813</v>
      </c>
      <c r="AD260" s="33" t="s">
        <v>1404</v>
      </c>
      <c r="AE260" s="33" t="s">
        <v>913</v>
      </c>
      <c r="AG260" s="33" t="s">
        <v>50</v>
      </c>
      <c r="AH260" s="33" t="s">
        <v>51</v>
      </c>
    </row>
    <row r="261" spans="1:34" ht="265.25">
      <c r="A261" s="35">
        <v>260</v>
      </c>
      <c r="B261" s="35" t="s">
        <v>809</v>
      </c>
      <c r="C261" s="35" t="s">
        <v>1246</v>
      </c>
      <c r="D261" s="35" t="s">
        <v>1399</v>
      </c>
      <c r="E261" s="35" t="s">
        <v>1405</v>
      </c>
      <c r="F261" s="35" t="s">
        <v>1406</v>
      </c>
      <c r="G261" s="35" t="s">
        <v>116</v>
      </c>
      <c r="H261" s="35" t="str">
        <f t="shared" si="8"/>
        <v>Check</v>
      </c>
      <c r="I261" s="35" t="s">
        <v>39</v>
      </c>
      <c r="J261" s="35"/>
      <c r="K261" s="47"/>
      <c r="L261" s="35" t="s">
        <v>75</v>
      </c>
      <c r="M261" s="35"/>
      <c r="N261" s="35"/>
      <c r="O261" s="35" t="s">
        <v>41</v>
      </c>
      <c r="P261" s="35" t="s">
        <v>1407</v>
      </c>
      <c r="Q261" s="35"/>
      <c r="R261" s="35"/>
      <c r="S261" s="35"/>
      <c r="T261" s="35"/>
      <c r="U261" s="35"/>
      <c r="V261" s="35" t="s">
        <v>2155</v>
      </c>
      <c r="W261" s="37">
        <f t="shared" si="9"/>
        <v>0.7</v>
      </c>
      <c r="X261" s="33" t="s">
        <v>43</v>
      </c>
      <c r="Y261" s="33" t="s">
        <v>213</v>
      </c>
      <c r="Z261" s="33" t="s">
        <v>658</v>
      </c>
      <c r="AA261" s="33" t="s">
        <v>119</v>
      </c>
      <c r="AB261" s="33" t="s">
        <v>1408</v>
      </c>
      <c r="AC261" s="33" t="s">
        <v>813</v>
      </c>
      <c r="AD261" s="33" t="s">
        <v>1409</v>
      </c>
      <c r="AE261" s="33" t="s">
        <v>1410</v>
      </c>
      <c r="AG261" s="33" t="s">
        <v>50</v>
      </c>
      <c r="AH261" s="33" t="s">
        <v>51</v>
      </c>
    </row>
    <row r="262" spans="1:34" ht="312">
      <c r="A262" s="35">
        <v>261</v>
      </c>
      <c r="B262" s="35" t="s">
        <v>815</v>
      </c>
      <c r="C262" s="35" t="s">
        <v>1246</v>
      </c>
      <c r="D262" s="35" t="s">
        <v>1411</v>
      </c>
      <c r="E262" s="35" t="s">
        <v>1412</v>
      </c>
      <c r="F262" s="35" t="s">
        <v>1413</v>
      </c>
      <c r="G262" s="35" t="s">
        <v>116</v>
      </c>
      <c r="H262" s="35" t="str">
        <f t="shared" si="8"/>
        <v>Check</v>
      </c>
      <c r="I262" s="35" t="s">
        <v>39</v>
      </c>
      <c r="J262" s="35"/>
      <c r="K262" s="47"/>
      <c r="L262" s="35" t="s">
        <v>307</v>
      </c>
      <c r="M262" s="35"/>
      <c r="N262" s="35"/>
      <c r="O262" s="35" t="s">
        <v>41</v>
      </c>
      <c r="P262" s="35"/>
      <c r="Q262" s="35"/>
      <c r="R262" s="35"/>
      <c r="S262" s="35"/>
      <c r="T262" s="35"/>
      <c r="U262" s="35"/>
      <c r="V262" s="35" t="s">
        <v>2155</v>
      </c>
      <c r="W262" s="37">
        <f t="shared" si="9"/>
        <v>0.7</v>
      </c>
      <c r="X262" s="33" t="s">
        <v>43</v>
      </c>
      <c r="Y262" s="33" t="s">
        <v>44</v>
      </c>
      <c r="Z262" s="33" t="s">
        <v>658</v>
      </c>
      <c r="AA262" s="33" t="s">
        <v>46</v>
      </c>
      <c r="AB262" s="33" t="s">
        <v>1414</v>
      </c>
      <c r="AD262" s="33" t="s">
        <v>1415</v>
      </c>
      <c r="AE262" s="33" t="s">
        <v>913</v>
      </c>
      <c r="AG262" s="33" t="s">
        <v>50</v>
      </c>
      <c r="AH262" s="33" t="s">
        <v>51</v>
      </c>
    </row>
    <row r="263" spans="1:34" ht="249.65">
      <c r="A263" s="35">
        <v>262</v>
      </c>
      <c r="B263" s="35" t="s">
        <v>890</v>
      </c>
      <c r="C263" s="35" t="s">
        <v>1246</v>
      </c>
      <c r="D263" s="35" t="s">
        <v>1411</v>
      </c>
      <c r="E263" s="35" t="s">
        <v>1416</v>
      </c>
      <c r="F263" s="35" t="s">
        <v>1417</v>
      </c>
      <c r="G263" s="35" t="s">
        <v>116</v>
      </c>
      <c r="H263" s="35" t="str">
        <f t="shared" si="8"/>
        <v>Check</v>
      </c>
      <c r="I263" s="35" t="s">
        <v>39</v>
      </c>
      <c r="J263" s="35"/>
      <c r="K263" s="47"/>
      <c r="L263" s="35" t="s">
        <v>307</v>
      </c>
      <c r="M263" s="35"/>
      <c r="N263" s="35"/>
      <c r="O263" s="35"/>
      <c r="P263" s="35" t="s">
        <v>2231</v>
      </c>
      <c r="Q263" s="35"/>
      <c r="R263" s="35"/>
      <c r="S263" s="35"/>
      <c r="T263" s="35"/>
      <c r="U263" s="35"/>
      <c r="V263" s="35" t="s">
        <v>405</v>
      </c>
      <c r="W263" s="37">
        <f t="shared" si="9"/>
        <v>0.5</v>
      </c>
      <c r="X263" s="33" t="s">
        <v>43</v>
      </c>
      <c r="Y263" s="33" t="s">
        <v>44</v>
      </c>
      <c r="Z263" s="33" t="s">
        <v>658</v>
      </c>
      <c r="AA263" s="33" t="s">
        <v>46</v>
      </c>
      <c r="AB263" s="33" t="s">
        <v>1418</v>
      </c>
      <c r="AD263" s="33" t="s">
        <v>1419</v>
      </c>
      <c r="AE263" s="33" t="s">
        <v>913</v>
      </c>
      <c r="AG263" s="33" t="s">
        <v>50</v>
      </c>
      <c r="AH263" s="33" t="s">
        <v>51</v>
      </c>
    </row>
    <row r="264" spans="1:34" ht="93.65">
      <c r="A264" s="35">
        <v>263</v>
      </c>
      <c r="B264" s="35" t="s">
        <v>1420</v>
      </c>
      <c r="C264" s="35" t="s">
        <v>1420</v>
      </c>
      <c r="D264" s="35" t="s">
        <v>1420</v>
      </c>
      <c r="E264" s="35" t="s">
        <v>1420</v>
      </c>
      <c r="F264" s="35" t="s">
        <v>1420</v>
      </c>
      <c r="G264" s="35" t="s">
        <v>38</v>
      </c>
      <c r="H264" s="35" t="s">
        <v>1421</v>
      </c>
      <c r="I264" s="35" t="s">
        <v>1422</v>
      </c>
      <c r="J264" s="35"/>
      <c r="K264" s="47"/>
      <c r="L264" s="35" t="s">
        <v>1423</v>
      </c>
      <c r="M264" s="35"/>
      <c r="N264" s="35"/>
      <c r="O264" s="35"/>
      <c r="P264" s="35"/>
      <c r="Q264" s="35"/>
      <c r="R264" s="35"/>
      <c r="S264" s="35"/>
      <c r="T264" s="35"/>
      <c r="U264" s="35"/>
      <c r="V264" s="35" t="s">
        <v>405</v>
      </c>
      <c r="W264" s="37">
        <f t="shared" si="9"/>
        <v>0.5</v>
      </c>
      <c r="X264" s="33" t="s">
        <v>43</v>
      </c>
      <c r="Y264" s="33" t="s">
        <v>213</v>
      </c>
      <c r="Z264" s="33" t="s">
        <v>396</v>
      </c>
      <c r="AA264" s="33" t="s">
        <v>119</v>
      </c>
      <c r="AB264" s="33" t="s">
        <v>1424</v>
      </c>
      <c r="AC264" s="33" t="s">
        <v>398</v>
      </c>
      <c r="AD264" s="33" t="s">
        <v>1425</v>
      </c>
      <c r="AE264" s="33" t="s">
        <v>1426</v>
      </c>
      <c r="AG264" s="33" t="s">
        <v>50</v>
      </c>
      <c r="AH264" s="33" t="s">
        <v>51</v>
      </c>
    </row>
    <row r="265" spans="1:34" ht="109.25">
      <c r="A265" s="35">
        <v>264</v>
      </c>
      <c r="B265" s="35" t="s">
        <v>1427</v>
      </c>
      <c r="C265" s="35" t="s">
        <v>1427</v>
      </c>
      <c r="D265" s="35" t="s">
        <v>1427</v>
      </c>
      <c r="E265" s="35" t="s">
        <v>1427</v>
      </c>
      <c r="F265" s="35" t="s">
        <v>1427</v>
      </c>
      <c r="G265" s="35" t="s">
        <v>38</v>
      </c>
      <c r="H265" s="35" t="s">
        <v>1421</v>
      </c>
      <c r="I265" s="35" t="s">
        <v>1422</v>
      </c>
      <c r="J265" s="35"/>
      <c r="K265" s="47"/>
      <c r="L265" s="35" t="s">
        <v>1423</v>
      </c>
      <c r="M265" s="35"/>
      <c r="N265" s="35"/>
      <c r="O265" s="35"/>
      <c r="P265" s="35"/>
      <c r="Q265" s="35"/>
      <c r="R265" s="35"/>
      <c r="S265" s="35"/>
      <c r="T265" s="35"/>
      <c r="U265" s="35"/>
      <c r="V265" s="35" t="s">
        <v>405</v>
      </c>
      <c r="W265" s="37">
        <f t="shared" si="9"/>
        <v>0.5</v>
      </c>
      <c r="X265" s="33" t="s">
        <v>43</v>
      </c>
      <c r="Y265" s="33" t="s">
        <v>213</v>
      </c>
      <c r="Z265" s="33" t="s">
        <v>396</v>
      </c>
      <c r="AA265" s="33" t="s">
        <v>119</v>
      </c>
      <c r="AB265" s="33" t="s">
        <v>1428</v>
      </c>
      <c r="AC265" s="33" t="s">
        <v>398</v>
      </c>
      <c r="AD265" s="33" t="s">
        <v>1429</v>
      </c>
      <c r="AE265" s="33" t="s">
        <v>1426</v>
      </c>
      <c r="AG265" s="33" t="s">
        <v>50</v>
      </c>
      <c r="AH265" s="33" t="s">
        <v>51</v>
      </c>
    </row>
    <row r="266" spans="1:34" ht="156">
      <c r="A266" s="35">
        <v>265</v>
      </c>
      <c r="B266" s="35" t="s">
        <v>1430</v>
      </c>
      <c r="C266" s="35" t="s">
        <v>1430</v>
      </c>
      <c r="D266" s="35" t="s">
        <v>1430</v>
      </c>
      <c r="E266" s="35" t="s">
        <v>1430</v>
      </c>
      <c r="F266" s="35" t="s">
        <v>1430</v>
      </c>
      <c r="G266" s="35" t="s">
        <v>38</v>
      </c>
      <c r="H266" s="35" t="s">
        <v>1421</v>
      </c>
      <c r="I266" s="35" t="s">
        <v>1422</v>
      </c>
      <c r="J266" s="35"/>
      <c r="K266" s="47"/>
      <c r="L266" s="35" t="s">
        <v>307</v>
      </c>
      <c r="M266" s="35"/>
      <c r="N266" s="35"/>
      <c r="O266" s="35"/>
      <c r="P266" s="35" t="s">
        <v>1431</v>
      </c>
      <c r="Q266" s="35"/>
      <c r="R266" s="35"/>
      <c r="S266" s="35"/>
      <c r="T266" s="35"/>
      <c r="U266" s="35"/>
      <c r="V266" s="35" t="s">
        <v>79</v>
      </c>
      <c r="W266" s="37">
        <f t="shared" si="9"/>
        <v>0</v>
      </c>
      <c r="X266" s="33" t="s">
        <v>43</v>
      </c>
      <c r="Y266" s="33" t="s">
        <v>213</v>
      </c>
      <c r="Z266" s="33" t="s">
        <v>396</v>
      </c>
      <c r="AA266" s="33" t="s">
        <v>119</v>
      </c>
      <c r="AB266" s="33" t="s">
        <v>1432</v>
      </c>
      <c r="AC266" s="33" t="s">
        <v>1433</v>
      </c>
      <c r="AD266" s="33" t="s">
        <v>1434</v>
      </c>
      <c r="AE266" s="33" t="s">
        <v>596</v>
      </c>
      <c r="AG266" s="33" t="s">
        <v>50</v>
      </c>
      <c r="AH266" s="33" t="s">
        <v>51</v>
      </c>
    </row>
    <row r="267" spans="1:34" ht="78">
      <c r="A267" s="35">
        <v>266</v>
      </c>
      <c r="B267" s="35" t="s">
        <v>1435</v>
      </c>
      <c r="C267" s="35" t="s">
        <v>1435</v>
      </c>
      <c r="D267" s="35" t="s">
        <v>1435</v>
      </c>
      <c r="E267" s="35" t="s">
        <v>1435</v>
      </c>
      <c r="F267" s="35" t="s">
        <v>1435</v>
      </c>
      <c r="G267" s="35" t="s">
        <v>38</v>
      </c>
      <c r="H267" s="35" t="s">
        <v>1421</v>
      </c>
      <c r="I267" s="35" t="s">
        <v>1422</v>
      </c>
      <c r="J267" s="35"/>
      <c r="K267" s="47"/>
      <c r="L267" s="35" t="s">
        <v>1423</v>
      </c>
      <c r="M267" s="35"/>
      <c r="N267" s="35"/>
      <c r="O267" s="35"/>
      <c r="P267" s="35"/>
      <c r="Q267" s="35"/>
      <c r="R267" s="35"/>
      <c r="S267" s="35"/>
      <c r="T267" s="35"/>
      <c r="U267" s="35"/>
      <c r="V267" s="35" t="s">
        <v>405</v>
      </c>
      <c r="W267" s="37">
        <f t="shared" si="9"/>
        <v>0.5</v>
      </c>
      <c r="X267" s="33" t="s">
        <v>43</v>
      </c>
      <c r="Y267" s="33" t="s">
        <v>213</v>
      </c>
      <c r="Z267" s="33" t="s">
        <v>396</v>
      </c>
      <c r="AA267" s="33" t="s">
        <v>119</v>
      </c>
      <c r="AB267" s="33" t="s">
        <v>1436</v>
      </c>
      <c r="AC267" s="33" t="s">
        <v>398</v>
      </c>
      <c r="AD267" s="33" t="s">
        <v>1437</v>
      </c>
      <c r="AE267" s="33" t="s">
        <v>1426</v>
      </c>
      <c r="AG267" s="33" t="s">
        <v>50</v>
      </c>
      <c r="AH267" s="33" t="s">
        <v>51</v>
      </c>
    </row>
    <row r="268" spans="1:34" ht="93.65">
      <c r="A268" s="35">
        <v>267</v>
      </c>
      <c r="B268" s="35" t="s">
        <v>1438</v>
      </c>
      <c r="C268" s="35" t="s">
        <v>1439</v>
      </c>
      <c r="D268" s="35" t="s">
        <v>1440</v>
      </c>
      <c r="E268" s="35" t="s">
        <v>1440</v>
      </c>
      <c r="F268" s="35" t="s">
        <v>1441</v>
      </c>
      <c r="G268" s="35" t="s">
        <v>38</v>
      </c>
      <c r="H268" s="35" t="s">
        <v>1421</v>
      </c>
      <c r="I268" s="35" t="s">
        <v>1422</v>
      </c>
      <c r="J268" s="35"/>
      <c r="K268" s="47"/>
      <c r="L268" s="35" t="s">
        <v>1224</v>
      </c>
      <c r="M268" s="35"/>
      <c r="N268" s="35"/>
      <c r="O268" s="35"/>
      <c r="P268" s="35"/>
      <c r="Q268" s="35"/>
      <c r="R268" s="35"/>
      <c r="S268" s="35"/>
      <c r="T268" s="35"/>
      <c r="U268" s="35"/>
      <c r="V268" s="35" t="s">
        <v>405</v>
      </c>
      <c r="W268" s="37">
        <f t="shared" si="9"/>
        <v>0.5</v>
      </c>
      <c r="X268" s="33" t="s">
        <v>43</v>
      </c>
      <c r="Y268" s="33" t="s">
        <v>213</v>
      </c>
      <c r="Z268" s="33" t="s">
        <v>396</v>
      </c>
      <c r="AA268" s="33" t="s">
        <v>119</v>
      </c>
      <c r="AB268" s="33" t="s">
        <v>1442</v>
      </c>
      <c r="AC268" s="33" t="s">
        <v>398</v>
      </c>
      <c r="AD268" s="33" t="s">
        <v>1443</v>
      </c>
      <c r="AE268" s="33" t="s">
        <v>1444</v>
      </c>
      <c r="AG268" s="33" t="s">
        <v>50</v>
      </c>
      <c r="AH268" s="33" t="s">
        <v>51</v>
      </c>
    </row>
    <row r="269" spans="1:34" ht="358.75">
      <c r="A269" s="35">
        <v>268</v>
      </c>
      <c r="B269" s="35" t="s">
        <v>1445</v>
      </c>
      <c r="C269" s="35" t="s">
        <v>1439</v>
      </c>
      <c r="D269" s="35" t="s">
        <v>1446</v>
      </c>
      <c r="E269" s="35" t="s">
        <v>1446</v>
      </c>
      <c r="F269" s="35" t="s">
        <v>1447</v>
      </c>
      <c r="G269" s="35" t="s">
        <v>38</v>
      </c>
      <c r="H269" s="35" t="s">
        <v>1421</v>
      </c>
      <c r="I269" s="35" t="s">
        <v>1422</v>
      </c>
      <c r="J269" s="35"/>
      <c r="K269" s="47"/>
      <c r="L269" s="35" t="s">
        <v>307</v>
      </c>
      <c r="M269" s="35"/>
      <c r="N269" s="35"/>
      <c r="O269" s="35"/>
      <c r="P269" s="35" t="s">
        <v>1448</v>
      </c>
      <c r="Q269" s="35"/>
      <c r="R269" s="35"/>
      <c r="S269" s="35" t="s">
        <v>78</v>
      </c>
      <c r="T269" s="35" t="s">
        <v>78</v>
      </c>
      <c r="U269" s="35"/>
      <c r="V269" s="35" t="s">
        <v>79</v>
      </c>
      <c r="W269" s="37">
        <f t="shared" si="9"/>
        <v>0</v>
      </c>
      <c r="X269" s="33" t="s">
        <v>43</v>
      </c>
      <c r="Y269" s="33" t="s">
        <v>213</v>
      </c>
      <c r="Z269" s="33" t="s">
        <v>396</v>
      </c>
      <c r="AA269" s="33" t="s">
        <v>119</v>
      </c>
      <c r="AB269" s="33" t="s">
        <v>1449</v>
      </c>
      <c r="AC269" s="33" t="s">
        <v>1450</v>
      </c>
      <c r="AD269" s="33" t="s">
        <v>1451</v>
      </c>
      <c r="AE269" s="33" t="s">
        <v>596</v>
      </c>
      <c r="AG269" s="33" t="s">
        <v>50</v>
      </c>
      <c r="AH269" s="33" t="s">
        <v>51</v>
      </c>
    </row>
    <row r="270" spans="1:34" ht="124.75">
      <c r="A270" s="35">
        <v>269</v>
      </c>
      <c r="B270" s="35" t="s">
        <v>1452</v>
      </c>
      <c r="C270" s="35" t="s">
        <v>1439</v>
      </c>
      <c r="D270" s="35" t="s">
        <v>1453</v>
      </c>
      <c r="E270" s="35" t="s">
        <v>1453</v>
      </c>
      <c r="F270" s="35" t="s">
        <v>1454</v>
      </c>
      <c r="G270" s="35" t="s">
        <v>38</v>
      </c>
      <c r="H270" s="35" t="str">
        <f t="shared" si="8"/>
        <v>Verify</v>
      </c>
      <c r="I270" s="35" t="s">
        <v>1422</v>
      </c>
      <c r="J270" s="35"/>
      <c r="K270" s="47"/>
      <c r="L270" s="35" t="s">
        <v>1455</v>
      </c>
      <c r="M270" s="35"/>
      <c r="N270" s="35"/>
      <c r="O270" s="35"/>
      <c r="P270" s="35"/>
      <c r="Q270" s="35"/>
      <c r="R270" s="35"/>
      <c r="S270" s="35"/>
      <c r="T270" s="35"/>
      <c r="U270" s="35"/>
      <c r="V270" s="35" t="s">
        <v>79</v>
      </c>
      <c r="W270" s="37">
        <f t="shared" si="9"/>
        <v>0</v>
      </c>
      <c r="X270" s="33" t="s">
        <v>43</v>
      </c>
      <c r="Y270" s="33" t="s">
        <v>213</v>
      </c>
      <c r="Z270" s="33" t="s">
        <v>658</v>
      </c>
      <c r="AA270" s="33" t="s">
        <v>119</v>
      </c>
      <c r="AB270" s="33" t="s">
        <v>1456</v>
      </c>
      <c r="AD270" s="33" t="s">
        <v>1457</v>
      </c>
      <c r="AE270" s="33" t="s">
        <v>1410</v>
      </c>
      <c r="AG270" s="33" t="s">
        <v>50</v>
      </c>
      <c r="AH270" s="33" t="s">
        <v>51</v>
      </c>
    </row>
    <row r="271" spans="1:34" ht="280.75">
      <c r="A271" s="35">
        <v>270</v>
      </c>
      <c r="B271" s="3" t="s">
        <v>1458</v>
      </c>
      <c r="C271" s="3" t="s">
        <v>1459</v>
      </c>
      <c r="D271" s="3" t="s">
        <v>1460</v>
      </c>
      <c r="E271" s="3" t="s">
        <v>1461</v>
      </c>
      <c r="F271" s="35" t="s">
        <v>1462</v>
      </c>
      <c r="G271" s="3" t="s">
        <v>38</v>
      </c>
      <c r="H271" s="35" t="str">
        <f t="shared" si="8"/>
        <v>Verify</v>
      </c>
      <c r="I271" s="35" t="s">
        <v>1422</v>
      </c>
      <c r="J271" s="35"/>
      <c r="K271" s="47"/>
      <c r="L271" s="35" t="s">
        <v>307</v>
      </c>
      <c r="M271" s="35"/>
      <c r="N271" s="35"/>
      <c r="O271" s="35" t="s">
        <v>41</v>
      </c>
      <c r="P271" s="35"/>
      <c r="Q271" s="35"/>
      <c r="R271" s="35"/>
      <c r="S271" s="35"/>
      <c r="T271" s="35"/>
      <c r="U271" s="35"/>
      <c r="V271" s="35" t="s">
        <v>2155</v>
      </c>
      <c r="W271" s="37">
        <f t="shared" si="9"/>
        <v>0.7</v>
      </c>
      <c r="X271" s="33" t="s">
        <v>43</v>
      </c>
      <c r="Y271" s="33" t="s">
        <v>44</v>
      </c>
      <c r="Z271" s="33" t="s">
        <v>658</v>
      </c>
      <c r="AA271" s="33" t="s">
        <v>46</v>
      </c>
      <c r="AB271" s="33" t="s">
        <v>1463</v>
      </c>
      <c r="AD271" s="33" t="s">
        <v>1464</v>
      </c>
      <c r="AE271" s="33" t="s">
        <v>1465</v>
      </c>
      <c r="AG271" s="33" t="s">
        <v>50</v>
      </c>
      <c r="AH271" s="33" t="s">
        <v>51</v>
      </c>
    </row>
    <row r="272" spans="1:34" ht="265.25">
      <c r="A272" s="35">
        <v>271</v>
      </c>
      <c r="B272" s="3" t="s">
        <v>1466</v>
      </c>
      <c r="C272" s="3" t="s">
        <v>1459</v>
      </c>
      <c r="D272" s="3" t="s">
        <v>1460</v>
      </c>
      <c r="E272" s="3" t="s">
        <v>1467</v>
      </c>
      <c r="F272" s="35" t="s">
        <v>1468</v>
      </c>
      <c r="G272" s="3" t="s">
        <v>38</v>
      </c>
      <c r="H272" s="35" t="str">
        <f t="shared" si="8"/>
        <v>Verify</v>
      </c>
      <c r="I272" s="35" t="s">
        <v>1422</v>
      </c>
      <c r="J272" s="35"/>
      <c r="K272" s="47"/>
      <c r="L272" s="35" t="s">
        <v>307</v>
      </c>
      <c r="M272" s="35"/>
      <c r="N272" s="35"/>
      <c r="O272" s="35" t="s">
        <v>41</v>
      </c>
      <c r="P272" s="35"/>
      <c r="Q272" s="35"/>
      <c r="R272" s="35"/>
      <c r="S272" s="35"/>
      <c r="T272" s="35"/>
      <c r="U272" s="35"/>
      <c r="V272" s="35" t="s">
        <v>2155</v>
      </c>
      <c r="W272" s="37">
        <f t="shared" si="9"/>
        <v>0.7</v>
      </c>
      <c r="X272" s="33" t="s">
        <v>43</v>
      </c>
      <c r="Y272" s="33" t="s">
        <v>44</v>
      </c>
      <c r="Z272" s="33" t="s">
        <v>658</v>
      </c>
      <c r="AA272" s="33" t="s">
        <v>46</v>
      </c>
      <c r="AB272" s="33" t="s">
        <v>1469</v>
      </c>
      <c r="AD272" s="33" t="s">
        <v>1470</v>
      </c>
      <c r="AE272" s="33" t="s">
        <v>1465</v>
      </c>
      <c r="AG272" s="33" t="s">
        <v>50</v>
      </c>
      <c r="AH272" s="33" t="s">
        <v>51</v>
      </c>
    </row>
    <row r="273" spans="1:34" ht="280.75">
      <c r="A273" s="35">
        <v>272</v>
      </c>
      <c r="B273" s="3" t="s">
        <v>1471</v>
      </c>
      <c r="C273" s="3" t="s">
        <v>1459</v>
      </c>
      <c r="D273" s="3" t="s">
        <v>1460</v>
      </c>
      <c r="E273" s="3" t="s">
        <v>1472</v>
      </c>
      <c r="F273" s="35" t="s">
        <v>1473</v>
      </c>
      <c r="G273" s="3" t="s">
        <v>38</v>
      </c>
      <c r="H273" s="35" t="str">
        <f t="shared" si="8"/>
        <v>Verify</v>
      </c>
      <c r="I273" s="35" t="s">
        <v>1422</v>
      </c>
      <c r="J273" s="35"/>
      <c r="K273" s="47"/>
      <c r="L273" s="35" t="s">
        <v>1474</v>
      </c>
      <c r="M273" s="35"/>
      <c r="N273" s="35"/>
      <c r="O273" s="35"/>
      <c r="P273" s="35" t="s">
        <v>1475</v>
      </c>
      <c r="Q273" s="35"/>
      <c r="R273" s="35"/>
      <c r="S273" s="35"/>
      <c r="T273" s="35"/>
      <c r="U273" s="35"/>
      <c r="V273" s="35" t="s">
        <v>79</v>
      </c>
      <c r="W273" s="37">
        <f t="shared" si="9"/>
        <v>0</v>
      </c>
      <c r="X273" s="33" t="s">
        <v>43</v>
      </c>
      <c r="Y273" s="33" t="s">
        <v>44</v>
      </c>
      <c r="Z273" s="33" t="s">
        <v>658</v>
      </c>
      <c r="AA273" s="33" t="s">
        <v>46</v>
      </c>
      <c r="AB273" s="33" t="s">
        <v>1476</v>
      </c>
      <c r="AC273" s="33" t="s">
        <v>1477</v>
      </c>
      <c r="AD273" s="33" t="s">
        <v>1464</v>
      </c>
      <c r="AE273" s="33" t="s">
        <v>1478</v>
      </c>
      <c r="AG273" s="33" t="s">
        <v>50</v>
      </c>
      <c r="AH273" s="33" t="s">
        <v>51</v>
      </c>
    </row>
    <row r="274" spans="1:34" ht="312">
      <c r="A274" s="35">
        <v>273</v>
      </c>
      <c r="B274" s="3" t="s">
        <v>1479</v>
      </c>
      <c r="C274" s="3" t="s">
        <v>1459</v>
      </c>
      <c r="D274" s="3" t="s">
        <v>1460</v>
      </c>
      <c r="E274" s="3" t="s">
        <v>1480</v>
      </c>
      <c r="F274" s="35" t="s">
        <v>1481</v>
      </c>
      <c r="G274" s="3" t="s">
        <v>38</v>
      </c>
      <c r="H274" s="35" t="str">
        <f t="shared" si="8"/>
        <v>Verify</v>
      </c>
      <c r="I274" s="35" t="s">
        <v>1422</v>
      </c>
      <c r="J274" s="35"/>
      <c r="K274" s="47"/>
      <c r="L274" s="35" t="s">
        <v>1474</v>
      </c>
      <c r="M274" s="35"/>
      <c r="N274" s="35"/>
      <c r="O274" s="35"/>
      <c r="P274" s="35"/>
      <c r="Q274" s="35"/>
      <c r="R274" s="35"/>
      <c r="S274" s="35"/>
      <c r="T274" s="35"/>
      <c r="U274" s="35"/>
      <c r="V274" s="35" t="s">
        <v>79</v>
      </c>
      <c r="W274" s="37">
        <f t="shared" si="9"/>
        <v>0</v>
      </c>
      <c r="X274" s="33" t="s">
        <v>43</v>
      </c>
      <c r="Y274" s="33" t="s">
        <v>44</v>
      </c>
      <c r="Z274" s="33" t="s">
        <v>658</v>
      </c>
      <c r="AA274" s="33" t="s">
        <v>46</v>
      </c>
      <c r="AB274" s="33" t="s">
        <v>1482</v>
      </c>
      <c r="AD274" s="33" t="s">
        <v>66</v>
      </c>
      <c r="AE274" s="33" t="s">
        <v>1478</v>
      </c>
      <c r="AG274" s="33" t="s">
        <v>50</v>
      </c>
      <c r="AH274" s="33" t="s">
        <v>51</v>
      </c>
    </row>
    <row r="275" spans="1:34" ht="280.75">
      <c r="A275" s="35">
        <v>274</v>
      </c>
      <c r="B275" s="3" t="s">
        <v>1483</v>
      </c>
      <c r="C275" s="3" t="s">
        <v>1459</v>
      </c>
      <c r="D275" s="3" t="s">
        <v>1460</v>
      </c>
      <c r="E275" s="3" t="s">
        <v>1484</v>
      </c>
      <c r="F275" s="35" t="s">
        <v>1485</v>
      </c>
      <c r="G275" s="3" t="s">
        <v>38</v>
      </c>
      <c r="H275" s="35" t="str">
        <f t="shared" si="8"/>
        <v>Verify</v>
      </c>
      <c r="I275" s="35" t="s">
        <v>1422</v>
      </c>
      <c r="J275" s="35"/>
      <c r="K275" s="47"/>
      <c r="L275" s="35" t="s">
        <v>307</v>
      </c>
      <c r="M275" s="35"/>
      <c r="N275" s="35"/>
      <c r="O275" s="35" t="s">
        <v>41</v>
      </c>
      <c r="P275" s="35" t="s">
        <v>1486</v>
      </c>
      <c r="Q275" s="35"/>
      <c r="R275" s="35"/>
      <c r="S275" s="35"/>
      <c r="T275" s="35"/>
      <c r="U275" s="35"/>
      <c r="V275" s="35" t="s">
        <v>2155</v>
      </c>
      <c r="W275" s="37">
        <f t="shared" si="9"/>
        <v>0.7</v>
      </c>
      <c r="X275" s="33" t="s">
        <v>43</v>
      </c>
      <c r="Y275" s="33" t="s">
        <v>44</v>
      </c>
      <c r="Z275" s="33" t="s">
        <v>658</v>
      </c>
      <c r="AA275" s="33" t="s">
        <v>46</v>
      </c>
      <c r="AB275" s="33" t="s">
        <v>1487</v>
      </c>
      <c r="AC275" s="33" t="s">
        <v>1486</v>
      </c>
      <c r="AD275" s="33" t="s">
        <v>1464</v>
      </c>
      <c r="AE275" s="33" t="s">
        <v>1465</v>
      </c>
      <c r="AG275" s="33" t="s">
        <v>50</v>
      </c>
      <c r="AH275" s="33" t="s">
        <v>51</v>
      </c>
    </row>
    <row r="276" spans="1:34" ht="280.75">
      <c r="A276" s="35">
        <v>275</v>
      </c>
      <c r="B276" s="3" t="s">
        <v>1488</v>
      </c>
      <c r="C276" s="3" t="s">
        <v>1459</v>
      </c>
      <c r="D276" s="3" t="s">
        <v>1460</v>
      </c>
      <c r="E276" s="3" t="s">
        <v>1489</v>
      </c>
      <c r="F276" s="35" t="s">
        <v>1490</v>
      </c>
      <c r="G276" s="3" t="s">
        <v>38</v>
      </c>
      <c r="H276" s="35" t="str">
        <f t="shared" si="8"/>
        <v>Verify</v>
      </c>
      <c r="I276" s="35" t="s">
        <v>1422</v>
      </c>
      <c r="J276" s="35"/>
      <c r="K276" s="47"/>
      <c r="L276" s="35" t="s">
        <v>307</v>
      </c>
      <c r="M276" s="35"/>
      <c r="N276" s="35"/>
      <c r="O276" s="35" t="s">
        <v>41</v>
      </c>
      <c r="P276" s="35" t="s">
        <v>1491</v>
      </c>
      <c r="Q276" s="35"/>
      <c r="R276" s="35"/>
      <c r="S276" s="35"/>
      <c r="T276" s="35"/>
      <c r="U276" s="35"/>
      <c r="V276" s="35" t="s">
        <v>2155</v>
      </c>
      <c r="W276" s="37">
        <f t="shared" si="9"/>
        <v>0.7</v>
      </c>
      <c r="X276" s="33" t="s">
        <v>43</v>
      </c>
      <c r="Y276" s="33" t="s">
        <v>44</v>
      </c>
      <c r="Z276" s="33" t="s">
        <v>658</v>
      </c>
      <c r="AA276" s="33" t="s">
        <v>46</v>
      </c>
      <c r="AB276" s="33" t="s">
        <v>1492</v>
      </c>
      <c r="AC276" s="33" t="s">
        <v>1491</v>
      </c>
      <c r="AD276" s="33" t="s">
        <v>1493</v>
      </c>
      <c r="AE276" s="33" t="s">
        <v>1465</v>
      </c>
      <c r="AG276" s="33" t="s">
        <v>50</v>
      </c>
      <c r="AH276" s="33" t="s">
        <v>51</v>
      </c>
    </row>
    <row r="277" spans="1:34" ht="109.25">
      <c r="A277" s="35">
        <v>276</v>
      </c>
      <c r="B277" s="3" t="s">
        <v>1494</v>
      </c>
      <c r="C277" s="3" t="s">
        <v>1459</v>
      </c>
      <c r="D277" s="3" t="s">
        <v>1460</v>
      </c>
      <c r="E277" s="3" t="s">
        <v>1495</v>
      </c>
      <c r="F277" s="35" t="s">
        <v>1496</v>
      </c>
      <c r="G277" s="3" t="s">
        <v>38</v>
      </c>
      <c r="H277" s="35" t="str">
        <f t="shared" si="8"/>
        <v>Verify</v>
      </c>
      <c r="I277" s="35" t="s">
        <v>1422</v>
      </c>
      <c r="J277" s="35"/>
      <c r="K277" s="47"/>
      <c r="L277" s="35" t="s">
        <v>307</v>
      </c>
      <c r="M277" s="35"/>
      <c r="N277" s="35"/>
      <c r="O277" s="35"/>
      <c r="P277" s="35" t="s">
        <v>2232</v>
      </c>
      <c r="Q277" s="35"/>
      <c r="R277" s="35"/>
      <c r="S277" s="35"/>
      <c r="T277" s="35" t="s">
        <v>78</v>
      </c>
      <c r="U277" s="35"/>
      <c r="V277" s="35" t="s">
        <v>79</v>
      </c>
      <c r="W277" s="37">
        <f t="shared" si="9"/>
        <v>0</v>
      </c>
      <c r="X277" s="33" t="s">
        <v>43</v>
      </c>
      <c r="Y277" s="33" t="s">
        <v>213</v>
      </c>
      <c r="Z277" s="33" t="s">
        <v>658</v>
      </c>
      <c r="AA277" s="33" t="s">
        <v>119</v>
      </c>
      <c r="AB277" s="33" t="s">
        <v>1498</v>
      </c>
      <c r="AC277" s="33" t="s">
        <v>1497</v>
      </c>
      <c r="AD277" s="33" t="s">
        <v>1499</v>
      </c>
      <c r="AE277" s="33" t="s">
        <v>1465</v>
      </c>
      <c r="AG277" s="33" t="s">
        <v>50</v>
      </c>
      <c r="AH277" s="33" t="s">
        <v>51</v>
      </c>
    </row>
    <row r="278" spans="1:34" ht="265.25">
      <c r="A278" s="35">
        <v>277</v>
      </c>
      <c r="B278" s="3" t="s">
        <v>1500</v>
      </c>
      <c r="C278" s="3" t="s">
        <v>1459</v>
      </c>
      <c r="D278" s="3" t="s">
        <v>1460</v>
      </c>
      <c r="E278" s="3" t="s">
        <v>1501</v>
      </c>
      <c r="F278" s="35" t="s">
        <v>1502</v>
      </c>
      <c r="G278" s="3" t="s">
        <v>38</v>
      </c>
      <c r="H278" s="35" t="str">
        <f t="shared" si="8"/>
        <v>Verify</v>
      </c>
      <c r="I278" s="35" t="s">
        <v>1422</v>
      </c>
      <c r="J278" s="35"/>
      <c r="K278" s="47"/>
      <c r="L278" s="35" t="s">
        <v>1474</v>
      </c>
      <c r="M278" s="35"/>
      <c r="N278" s="35"/>
      <c r="O278" s="35"/>
      <c r="P278" s="35" t="s">
        <v>1503</v>
      </c>
      <c r="Q278" s="35"/>
      <c r="R278" s="35"/>
      <c r="S278" s="35"/>
      <c r="T278" s="35"/>
      <c r="U278" s="35"/>
      <c r="V278" s="35" t="s">
        <v>79</v>
      </c>
      <c r="W278" s="37">
        <f t="shared" si="9"/>
        <v>0</v>
      </c>
      <c r="X278" s="33" t="s">
        <v>43</v>
      </c>
      <c r="Y278" s="33" t="s">
        <v>44</v>
      </c>
      <c r="Z278" s="33" t="s">
        <v>658</v>
      </c>
      <c r="AA278" s="33" t="s">
        <v>46</v>
      </c>
      <c r="AB278" s="33" t="s">
        <v>1504</v>
      </c>
      <c r="AC278" s="33" t="s">
        <v>1503</v>
      </c>
      <c r="AD278" s="33" t="s">
        <v>176</v>
      </c>
      <c r="AE278" s="33" t="s">
        <v>1478</v>
      </c>
      <c r="AG278" s="33" t="s">
        <v>50</v>
      </c>
      <c r="AH278" s="33" t="s">
        <v>51</v>
      </c>
    </row>
    <row r="279" spans="1:34" ht="156">
      <c r="A279" s="35">
        <v>278</v>
      </c>
      <c r="B279" s="3" t="s">
        <v>1505</v>
      </c>
      <c r="C279" s="3" t="s">
        <v>1459</v>
      </c>
      <c r="D279" s="3" t="s">
        <v>1460</v>
      </c>
      <c r="E279" s="3" t="s">
        <v>1506</v>
      </c>
      <c r="F279" s="35" t="s">
        <v>1507</v>
      </c>
      <c r="G279" s="3" t="s">
        <v>38</v>
      </c>
      <c r="H279" s="35" t="str">
        <f t="shared" si="8"/>
        <v>Verify</v>
      </c>
      <c r="I279" s="35" t="s">
        <v>1422</v>
      </c>
      <c r="J279" s="35"/>
      <c r="K279" s="47"/>
      <c r="L279" s="35" t="s">
        <v>1474</v>
      </c>
      <c r="M279" s="35"/>
      <c r="N279" s="35"/>
      <c r="O279" s="35"/>
      <c r="P279" s="35" t="s">
        <v>1508</v>
      </c>
      <c r="Q279" s="35"/>
      <c r="R279" s="35"/>
      <c r="S279" s="35" t="s">
        <v>78</v>
      </c>
      <c r="T279" s="35"/>
      <c r="U279" s="35"/>
      <c r="V279" s="35" t="s">
        <v>79</v>
      </c>
      <c r="W279" s="37">
        <f t="shared" si="9"/>
        <v>0</v>
      </c>
      <c r="X279" s="33" t="s">
        <v>43</v>
      </c>
      <c r="Y279" s="33" t="s">
        <v>213</v>
      </c>
      <c r="Z279" s="33" t="s">
        <v>658</v>
      </c>
      <c r="AA279" s="33" t="s">
        <v>119</v>
      </c>
      <c r="AB279" s="33" t="s">
        <v>1509</v>
      </c>
      <c r="AC279" s="33" t="s">
        <v>1508</v>
      </c>
      <c r="AD279" s="33" t="s">
        <v>1510</v>
      </c>
      <c r="AE279" s="33" t="s">
        <v>1478</v>
      </c>
      <c r="AG279" s="33" t="s">
        <v>50</v>
      </c>
      <c r="AH279" s="33" t="s">
        <v>51</v>
      </c>
    </row>
    <row r="280" spans="1:34" ht="93.65">
      <c r="A280" s="35">
        <v>279</v>
      </c>
      <c r="B280" s="3" t="s">
        <v>1511</v>
      </c>
      <c r="C280" s="3" t="s">
        <v>1459</v>
      </c>
      <c r="D280" s="3" t="s">
        <v>1460</v>
      </c>
      <c r="E280" s="3" t="s">
        <v>1512</v>
      </c>
      <c r="F280" s="35" t="s">
        <v>1513</v>
      </c>
      <c r="G280" s="3" t="s">
        <v>38</v>
      </c>
      <c r="H280" s="35" t="str">
        <f t="shared" si="8"/>
        <v>Verify</v>
      </c>
      <c r="I280" s="35" t="s">
        <v>1422</v>
      </c>
      <c r="J280" s="35"/>
      <c r="K280" s="47"/>
      <c r="L280" s="35" t="s">
        <v>1474</v>
      </c>
      <c r="M280" s="35"/>
      <c r="N280" s="35"/>
      <c r="O280" s="35"/>
      <c r="P280" s="35" t="s">
        <v>1514</v>
      </c>
      <c r="Q280" s="35"/>
      <c r="R280" s="35"/>
      <c r="S280" s="35"/>
      <c r="T280" s="35"/>
      <c r="U280" s="35"/>
      <c r="V280" s="35" t="s">
        <v>79</v>
      </c>
      <c r="W280" s="37">
        <f t="shared" si="9"/>
        <v>0</v>
      </c>
      <c r="X280" s="33" t="s">
        <v>43</v>
      </c>
      <c r="Y280" s="33" t="s">
        <v>213</v>
      </c>
      <c r="Z280" s="33" t="s">
        <v>658</v>
      </c>
      <c r="AA280" s="33" t="s">
        <v>119</v>
      </c>
      <c r="AB280" s="33" t="s">
        <v>1515</v>
      </c>
      <c r="AC280" s="33" t="s">
        <v>1516</v>
      </c>
      <c r="AD280" s="33" t="s">
        <v>1517</v>
      </c>
      <c r="AE280" s="33" t="s">
        <v>1478</v>
      </c>
      <c r="AG280" s="33" t="s">
        <v>50</v>
      </c>
      <c r="AH280" s="33" t="s">
        <v>51</v>
      </c>
    </row>
    <row r="281" spans="1:34" ht="312">
      <c r="A281" s="35">
        <v>280</v>
      </c>
      <c r="B281" s="3" t="s">
        <v>1518</v>
      </c>
      <c r="C281" s="3" t="s">
        <v>1459</v>
      </c>
      <c r="D281" s="3" t="s">
        <v>1519</v>
      </c>
      <c r="E281" s="3" t="s">
        <v>1072</v>
      </c>
      <c r="F281" s="35" t="s">
        <v>1520</v>
      </c>
      <c r="G281" s="3" t="s">
        <v>38</v>
      </c>
      <c r="H281" s="35" t="str">
        <f t="shared" si="8"/>
        <v>Verify</v>
      </c>
      <c r="I281" s="35" t="s">
        <v>1422</v>
      </c>
      <c r="J281" s="35"/>
      <c r="K281" s="47"/>
      <c r="L281" s="35" t="s">
        <v>307</v>
      </c>
      <c r="M281" s="35"/>
      <c r="N281" s="35" t="s">
        <v>2234</v>
      </c>
      <c r="O281" s="35" t="s">
        <v>41</v>
      </c>
      <c r="P281" s="35" t="s">
        <v>2233</v>
      </c>
      <c r="Q281" s="35"/>
      <c r="R281" s="35"/>
      <c r="S281" s="35"/>
      <c r="T281" s="35"/>
      <c r="U281" s="35"/>
      <c r="V281" s="35" t="s">
        <v>2155</v>
      </c>
      <c r="W281" s="37">
        <f t="shared" si="9"/>
        <v>0.7</v>
      </c>
      <c r="X281" s="33" t="s">
        <v>43</v>
      </c>
      <c r="Y281" s="33" t="s">
        <v>44</v>
      </c>
      <c r="Z281" s="33" t="s">
        <v>658</v>
      </c>
      <c r="AA281" s="33" t="s">
        <v>46</v>
      </c>
      <c r="AB281" s="33" t="s">
        <v>1521</v>
      </c>
      <c r="AD281" s="33" t="s">
        <v>1318</v>
      </c>
      <c r="AE281" s="33" t="s">
        <v>1465</v>
      </c>
      <c r="AG281" s="33" t="s">
        <v>50</v>
      </c>
      <c r="AH281" s="33" t="s">
        <v>51</v>
      </c>
    </row>
    <row r="282" spans="1:34" ht="249.65">
      <c r="A282" s="35">
        <v>281</v>
      </c>
      <c r="B282" s="3" t="s">
        <v>1522</v>
      </c>
      <c r="C282" s="3" t="s">
        <v>1523</v>
      </c>
      <c r="D282" s="3" t="s">
        <v>1524</v>
      </c>
      <c r="E282" s="3" t="s">
        <v>1525</v>
      </c>
      <c r="F282" s="35" t="s">
        <v>1526</v>
      </c>
      <c r="G282" s="3" t="s">
        <v>38</v>
      </c>
      <c r="H282" s="35" t="str">
        <f t="shared" si="8"/>
        <v>Verify</v>
      </c>
      <c r="I282" s="35" t="s">
        <v>1422</v>
      </c>
      <c r="J282" s="35"/>
      <c r="K282" s="47"/>
      <c r="L282" s="35" t="s">
        <v>1224</v>
      </c>
      <c r="M282" s="35"/>
      <c r="N282" s="35"/>
      <c r="O282" s="35"/>
      <c r="P282" s="35"/>
      <c r="Q282" s="35"/>
      <c r="R282" s="35"/>
      <c r="S282" s="35"/>
      <c r="T282" s="35"/>
      <c r="U282" s="35"/>
      <c r="V282" s="35" t="s">
        <v>405</v>
      </c>
      <c r="W282" s="37">
        <f t="shared" si="9"/>
        <v>0.5</v>
      </c>
      <c r="X282" s="33" t="s">
        <v>43</v>
      </c>
      <c r="Y282" s="33" t="s">
        <v>44</v>
      </c>
      <c r="Z282" s="33" t="s">
        <v>658</v>
      </c>
      <c r="AA282" s="33" t="s">
        <v>46</v>
      </c>
      <c r="AB282" s="33" t="s">
        <v>1527</v>
      </c>
      <c r="AD282" s="33" t="s">
        <v>635</v>
      </c>
      <c r="AE282" s="33" t="s">
        <v>1528</v>
      </c>
      <c r="AG282" s="33" t="s">
        <v>50</v>
      </c>
      <c r="AH282" s="33" t="s">
        <v>51</v>
      </c>
    </row>
    <row r="283" spans="1:34" ht="312">
      <c r="A283" s="35">
        <v>282</v>
      </c>
      <c r="B283" s="3" t="s">
        <v>1529</v>
      </c>
      <c r="C283" s="3" t="s">
        <v>1523</v>
      </c>
      <c r="D283" s="3" t="s">
        <v>1530</v>
      </c>
      <c r="E283" s="3" t="s">
        <v>1531</v>
      </c>
      <c r="F283" s="35" t="s">
        <v>1532</v>
      </c>
      <c r="G283" s="3" t="s">
        <v>38</v>
      </c>
      <c r="H283" s="35" t="str">
        <f t="shared" si="8"/>
        <v>Verify</v>
      </c>
      <c r="I283" s="35" t="s">
        <v>1422</v>
      </c>
      <c r="J283" s="35"/>
      <c r="K283" s="47"/>
      <c r="L283" s="35" t="s">
        <v>1224</v>
      </c>
      <c r="M283" s="35"/>
      <c r="N283" s="35"/>
      <c r="O283" s="35"/>
      <c r="P283" s="35"/>
      <c r="Q283" s="35"/>
      <c r="R283" s="35"/>
      <c r="S283" s="35"/>
      <c r="T283" s="35"/>
      <c r="U283" s="35"/>
      <c r="V283" s="35" t="s">
        <v>405</v>
      </c>
      <c r="W283" s="37">
        <f t="shared" si="9"/>
        <v>0.5</v>
      </c>
      <c r="X283" s="33" t="s">
        <v>43</v>
      </c>
      <c r="Y283" s="33" t="s">
        <v>44</v>
      </c>
      <c r="Z283" s="33" t="s">
        <v>658</v>
      </c>
      <c r="AA283" s="33" t="s">
        <v>46</v>
      </c>
      <c r="AB283" s="33" t="s">
        <v>1533</v>
      </c>
      <c r="AD283" s="33" t="s">
        <v>1318</v>
      </c>
      <c r="AE283" s="33" t="s">
        <v>1528</v>
      </c>
      <c r="AG283" s="33" t="s">
        <v>50</v>
      </c>
      <c r="AH283" s="33" t="s">
        <v>51</v>
      </c>
    </row>
    <row r="284" spans="1:34" ht="409.6">
      <c r="A284" s="35">
        <v>283</v>
      </c>
      <c r="B284" s="3" t="s">
        <v>1534</v>
      </c>
      <c r="C284" s="3" t="s">
        <v>1523</v>
      </c>
      <c r="D284" s="3" t="s">
        <v>1535</v>
      </c>
      <c r="E284" s="3" t="s">
        <v>1536</v>
      </c>
      <c r="F284" s="35" t="s">
        <v>1537</v>
      </c>
      <c r="G284" s="3" t="s">
        <v>38</v>
      </c>
      <c r="H284" s="35" t="str">
        <f t="shared" si="8"/>
        <v>Verify</v>
      </c>
      <c r="I284" s="35" t="s">
        <v>1422</v>
      </c>
      <c r="J284" s="35"/>
      <c r="K284" s="47"/>
      <c r="L284" s="35" t="s">
        <v>1224</v>
      </c>
      <c r="M284" s="35"/>
      <c r="N284" s="35"/>
      <c r="O284" s="35"/>
      <c r="P284" s="35"/>
      <c r="Q284" s="35"/>
      <c r="R284" s="35"/>
      <c r="S284" s="35"/>
      <c r="T284" s="35"/>
      <c r="U284" s="35"/>
      <c r="V284" s="35" t="s">
        <v>405</v>
      </c>
      <c r="W284" s="37">
        <f t="shared" si="9"/>
        <v>0.5</v>
      </c>
      <c r="X284" s="33" t="s">
        <v>43</v>
      </c>
      <c r="Y284" s="33" t="s">
        <v>44</v>
      </c>
      <c r="Z284" s="33" t="s">
        <v>658</v>
      </c>
      <c r="AA284" s="33" t="s">
        <v>46</v>
      </c>
      <c r="AB284" s="33" t="s">
        <v>1538</v>
      </c>
      <c r="AD284" s="33" t="s">
        <v>1539</v>
      </c>
      <c r="AE284" s="33" t="s">
        <v>1528</v>
      </c>
      <c r="AG284" s="33" t="s">
        <v>50</v>
      </c>
      <c r="AH284" s="33" t="s">
        <v>51</v>
      </c>
    </row>
    <row r="285" spans="1:34" ht="249.65">
      <c r="A285" s="35">
        <v>284</v>
      </c>
      <c r="B285" s="3" t="s">
        <v>1540</v>
      </c>
      <c r="C285" s="3" t="s">
        <v>1523</v>
      </c>
      <c r="D285" s="3" t="s">
        <v>1541</v>
      </c>
      <c r="E285" s="3" t="s">
        <v>1542</v>
      </c>
      <c r="F285" s="35" t="s">
        <v>1543</v>
      </c>
      <c r="G285" s="3" t="s">
        <v>38</v>
      </c>
      <c r="H285" s="35" t="str">
        <f t="shared" si="8"/>
        <v>Verify</v>
      </c>
      <c r="I285" s="35" t="s">
        <v>1422</v>
      </c>
      <c r="J285" s="35"/>
      <c r="K285" s="47"/>
      <c r="L285" s="35" t="s">
        <v>1224</v>
      </c>
      <c r="M285" s="35"/>
      <c r="N285" s="35"/>
      <c r="O285" s="35"/>
      <c r="P285" s="35"/>
      <c r="Q285" s="35"/>
      <c r="R285" s="35"/>
      <c r="S285" s="35"/>
      <c r="T285" s="35"/>
      <c r="U285" s="35"/>
      <c r="V285" s="35" t="s">
        <v>405</v>
      </c>
      <c r="W285" s="37">
        <f t="shared" si="9"/>
        <v>0.5</v>
      </c>
      <c r="X285" s="33" t="s">
        <v>43</v>
      </c>
      <c r="Y285" s="33" t="s">
        <v>44</v>
      </c>
      <c r="Z285" s="33" t="s">
        <v>658</v>
      </c>
      <c r="AA285" s="33" t="s">
        <v>46</v>
      </c>
      <c r="AB285" s="33" t="s">
        <v>1544</v>
      </c>
      <c r="AD285" s="33" t="s">
        <v>106</v>
      </c>
      <c r="AE285" s="33" t="s">
        <v>1528</v>
      </c>
      <c r="AG285" s="33" t="s">
        <v>50</v>
      </c>
      <c r="AH285" s="33" t="s">
        <v>51</v>
      </c>
    </row>
    <row r="286" spans="1:34" ht="405.65">
      <c r="A286" s="35">
        <v>285</v>
      </c>
      <c r="B286" s="3" t="s">
        <v>1545</v>
      </c>
      <c r="C286" s="3" t="s">
        <v>1523</v>
      </c>
      <c r="D286" s="3" t="s">
        <v>1546</v>
      </c>
      <c r="E286" s="3" t="s">
        <v>1547</v>
      </c>
      <c r="F286" s="35" t="s">
        <v>1548</v>
      </c>
      <c r="G286" s="3" t="s">
        <v>38</v>
      </c>
      <c r="H286" s="35" t="str">
        <f t="shared" si="8"/>
        <v>Verify</v>
      </c>
      <c r="I286" s="35" t="s">
        <v>1422</v>
      </c>
      <c r="J286" s="35"/>
      <c r="K286" s="47"/>
      <c r="L286" s="35" t="s">
        <v>1224</v>
      </c>
      <c r="M286" s="35"/>
      <c r="N286" s="35"/>
      <c r="O286" s="35"/>
      <c r="P286" s="35"/>
      <c r="Q286" s="35"/>
      <c r="R286" s="35"/>
      <c r="S286" s="35"/>
      <c r="T286" s="35"/>
      <c r="U286" s="35"/>
      <c r="V286" s="35" t="s">
        <v>405</v>
      </c>
      <c r="W286" s="37">
        <f t="shared" si="9"/>
        <v>0.5</v>
      </c>
      <c r="X286" s="33" t="s">
        <v>43</v>
      </c>
      <c r="Y286" s="33" t="s">
        <v>44</v>
      </c>
      <c r="Z286" s="33" t="s">
        <v>658</v>
      </c>
      <c r="AA286" s="33" t="s">
        <v>46</v>
      </c>
      <c r="AB286" s="33" t="s">
        <v>1549</v>
      </c>
      <c r="AD286" s="33" t="s">
        <v>1550</v>
      </c>
      <c r="AE286" s="33" t="s">
        <v>1528</v>
      </c>
      <c r="AG286" s="33" t="s">
        <v>50</v>
      </c>
      <c r="AH286" s="33" t="s">
        <v>51</v>
      </c>
    </row>
    <row r="287" spans="1:34" ht="249.65">
      <c r="A287" s="35">
        <v>286</v>
      </c>
      <c r="B287" s="3" t="s">
        <v>1551</v>
      </c>
      <c r="C287" s="3" t="s">
        <v>1523</v>
      </c>
      <c r="D287" s="3" t="s">
        <v>1552</v>
      </c>
      <c r="E287" s="3" t="s">
        <v>1553</v>
      </c>
      <c r="F287" s="35" t="s">
        <v>1554</v>
      </c>
      <c r="G287" s="3" t="s">
        <v>38</v>
      </c>
      <c r="H287" s="35" t="str">
        <f t="shared" si="8"/>
        <v>Verify</v>
      </c>
      <c r="I287" s="35" t="s">
        <v>1422</v>
      </c>
      <c r="J287" s="35"/>
      <c r="K287" s="47"/>
      <c r="L287" s="35" t="s">
        <v>1224</v>
      </c>
      <c r="M287" s="35"/>
      <c r="N287" s="35"/>
      <c r="O287" s="35"/>
      <c r="P287" s="35"/>
      <c r="Q287" s="35"/>
      <c r="R287" s="35"/>
      <c r="S287" s="35"/>
      <c r="T287" s="35"/>
      <c r="U287" s="35"/>
      <c r="V287" s="35" t="s">
        <v>405</v>
      </c>
      <c r="W287" s="37">
        <f t="shared" si="9"/>
        <v>0.5</v>
      </c>
      <c r="X287" s="33" t="s">
        <v>43</v>
      </c>
      <c r="Y287" s="33" t="s">
        <v>44</v>
      </c>
      <c r="Z287" s="33" t="s">
        <v>658</v>
      </c>
      <c r="AA287" s="33" t="s">
        <v>46</v>
      </c>
      <c r="AB287" s="33" t="s">
        <v>1555</v>
      </c>
      <c r="AD287" s="33" t="s">
        <v>635</v>
      </c>
      <c r="AE287" s="33" t="s">
        <v>1528</v>
      </c>
      <c r="AG287" s="33" t="s">
        <v>50</v>
      </c>
      <c r="AH287" s="33" t="s">
        <v>51</v>
      </c>
    </row>
    <row r="288" spans="1:34" ht="312">
      <c r="A288" s="35">
        <v>287</v>
      </c>
      <c r="B288" s="3" t="s">
        <v>1556</v>
      </c>
      <c r="C288" s="3" t="s">
        <v>1523</v>
      </c>
      <c r="D288" s="3" t="s">
        <v>1557</v>
      </c>
      <c r="E288" s="3" t="s">
        <v>1558</v>
      </c>
      <c r="F288" s="35" t="s">
        <v>1559</v>
      </c>
      <c r="G288" s="3" t="s">
        <v>38</v>
      </c>
      <c r="H288" s="35" t="str">
        <f t="shared" si="8"/>
        <v>Verify</v>
      </c>
      <c r="I288" s="35" t="s">
        <v>1422</v>
      </c>
      <c r="J288" s="35"/>
      <c r="K288" s="47"/>
      <c r="L288" s="35" t="s">
        <v>1224</v>
      </c>
      <c r="M288" s="35"/>
      <c r="N288" s="35"/>
      <c r="O288" s="35"/>
      <c r="P288" s="35"/>
      <c r="Q288" s="35"/>
      <c r="R288" s="35"/>
      <c r="S288" s="35"/>
      <c r="T288" s="35"/>
      <c r="U288" s="35"/>
      <c r="V288" s="35" t="s">
        <v>405</v>
      </c>
      <c r="W288" s="37">
        <f t="shared" si="9"/>
        <v>0.5</v>
      </c>
      <c r="X288" s="33" t="s">
        <v>43</v>
      </c>
      <c r="Y288" s="33" t="s">
        <v>44</v>
      </c>
      <c r="Z288" s="33" t="s">
        <v>658</v>
      </c>
      <c r="AA288" s="33" t="s">
        <v>46</v>
      </c>
      <c r="AB288" s="33" t="s">
        <v>1560</v>
      </c>
      <c r="AD288" s="33" t="s">
        <v>1318</v>
      </c>
      <c r="AE288" s="33" t="s">
        <v>1528</v>
      </c>
      <c r="AG288" s="33" t="s">
        <v>50</v>
      </c>
      <c r="AH288" s="33" t="s">
        <v>51</v>
      </c>
    </row>
    <row r="289" spans="1:34" ht="249.65">
      <c r="A289" s="35">
        <v>288</v>
      </c>
      <c r="B289" s="3" t="s">
        <v>1561</v>
      </c>
      <c r="C289" s="3" t="s">
        <v>1523</v>
      </c>
      <c r="D289" s="3" t="s">
        <v>1562</v>
      </c>
      <c r="E289" s="3" t="s">
        <v>1563</v>
      </c>
      <c r="F289" s="35" t="s">
        <v>1564</v>
      </c>
      <c r="G289" s="3" t="s">
        <v>38</v>
      </c>
      <c r="H289" s="35" t="str">
        <f t="shared" si="8"/>
        <v>Verify</v>
      </c>
      <c r="I289" s="35" t="s">
        <v>1422</v>
      </c>
      <c r="J289" s="35"/>
      <c r="K289" s="47"/>
      <c r="L289" s="35" t="s">
        <v>1224</v>
      </c>
      <c r="M289" s="35"/>
      <c r="N289" s="35"/>
      <c r="O289" s="35"/>
      <c r="P289" s="35"/>
      <c r="Q289" s="35"/>
      <c r="R289" s="35"/>
      <c r="S289" s="35"/>
      <c r="T289" s="35"/>
      <c r="U289" s="35"/>
      <c r="V289" s="35" t="s">
        <v>405</v>
      </c>
      <c r="W289" s="37">
        <f t="shared" si="9"/>
        <v>0.5</v>
      </c>
      <c r="X289" s="33" t="s">
        <v>43</v>
      </c>
      <c r="Y289" s="33" t="s">
        <v>44</v>
      </c>
      <c r="Z289" s="33" t="s">
        <v>658</v>
      </c>
      <c r="AA289" s="33" t="s">
        <v>46</v>
      </c>
      <c r="AB289" s="33" t="s">
        <v>1565</v>
      </c>
      <c r="AD289" s="33" t="s">
        <v>635</v>
      </c>
      <c r="AE289" s="33" t="s">
        <v>1528</v>
      </c>
      <c r="AG289" s="33" t="s">
        <v>50</v>
      </c>
      <c r="AH289" s="33" t="s">
        <v>51</v>
      </c>
    </row>
    <row r="290" spans="1:34" ht="280.75">
      <c r="A290" s="35">
        <v>289</v>
      </c>
      <c r="B290" s="3" t="s">
        <v>1566</v>
      </c>
      <c r="C290" s="3" t="s">
        <v>1523</v>
      </c>
      <c r="D290" s="3" t="s">
        <v>1567</v>
      </c>
      <c r="E290" s="3" t="s">
        <v>1568</v>
      </c>
      <c r="F290" s="35" t="s">
        <v>1569</v>
      </c>
      <c r="G290" s="3" t="s">
        <v>38</v>
      </c>
      <c r="H290" s="35" t="str">
        <f t="shared" si="8"/>
        <v>Verify</v>
      </c>
      <c r="I290" s="35" t="s">
        <v>1422</v>
      </c>
      <c r="J290" s="35"/>
      <c r="K290" s="47"/>
      <c r="L290" s="35" t="s">
        <v>1224</v>
      </c>
      <c r="M290" s="35"/>
      <c r="N290" s="35"/>
      <c r="O290" s="35"/>
      <c r="P290" s="35"/>
      <c r="Q290" s="35"/>
      <c r="R290" s="35"/>
      <c r="S290" s="35"/>
      <c r="T290" s="35"/>
      <c r="U290" s="35"/>
      <c r="V290" s="35" t="s">
        <v>405</v>
      </c>
      <c r="W290" s="37">
        <f t="shared" si="9"/>
        <v>0.5</v>
      </c>
      <c r="X290" s="33" t="s">
        <v>43</v>
      </c>
      <c r="Y290" s="33" t="s">
        <v>44</v>
      </c>
      <c r="Z290" s="33" t="s">
        <v>658</v>
      </c>
      <c r="AA290" s="33" t="s">
        <v>46</v>
      </c>
      <c r="AB290" s="33" t="s">
        <v>1570</v>
      </c>
      <c r="AD290" s="33" t="s">
        <v>1571</v>
      </c>
      <c r="AE290" s="33" t="s">
        <v>1528</v>
      </c>
      <c r="AG290" s="33" t="s">
        <v>50</v>
      </c>
      <c r="AH290" s="33" t="s">
        <v>51</v>
      </c>
    </row>
    <row r="291" spans="1:34" ht="249.65">
      <c r="A291" s="35">
        <v>290</v>
      </c>
      <c r="B291" s="3" t="s">
        <v>1572</v>
      </c>
      <c r="C291" s="3" t="s">
        <v>1523</v>
      </c>
      <c r="D291" s="3" t="s">
        <v>1573</v>
      </c>
      <c r="E291" s="3" t="s">
        <v>1574</v>
      </c>
      <c r="F291" s="35" t="s">
        <v>1575</v>
      </c>
      <c r="G291" s="3" t="s">
        <v>38</v>
      </c>
      <c r="H291" s="35" t="str">
        <f t="shared" si="8"/>
        <v>Verify</v>
      </c>
      <c r="I291" s="35" t="s">
        <v>1422</v>
      </c>
      <c r="J291" s="35"/>
      <c r="K291" s="47"/>
      <c r="L291" s="35" t="s">
        <v>1224</v>
      </c>
      <c r="M291" s="35"/>
      <c r="N291" s="35"/>
      <c r="O291" s="35"/>
      <c r="P291" s="35"/>
      <c r="Q291" s="35"/>
      <c r="R291" s="35"/>
      <c r="S291" s="35"/>
      <c r="T291" s="35"/>
      <c r="U291" s="35"/>
      <c r="V291" s="35" t="s">
        <v>405</v>
      </c>
      <c r="W291" s="37">
        <f t="shared" si="9"/>
        <v>0.5</v>
      </c>
      <c r="X291" s="33" t="s">
        <v>43</v>
      </c>
      <c r="Y291" s="33" t="s">
        <v>44</v>
      </c>
      <c r="Z291" s="33" t="s">
        <v>658</v>
      </c>
      <c r="AA291" s="33" t="s">
        <v>46</v>
      </c>
      <c r="AB291" s="33" t="s">
        <v>1576</v>
      </c>
      <c r="AD291" s="33" t="s">
        <v>1577</v>
      </c>
      <c r="AE291" s="33" t="s">
        <v>1528</v>
      </c>
      <c r="AG291" s="33" t="s">
        <v>50</v>
      </c>
      <c r="AH291" s="33" t="s">
        <v>51</v>
      </c>
    </row>
    <row r="292" spans="1:34" ht="312">
      <c r="A292" s="35">
        <v>291</v>
      </c>
      <c r="B292" s="3" t="s">
        <v>1578</v>
      </c>
      <c r="C292" s="3" t="s">
        <v>1523</v>
      </c>
      <c r="D292" s="3" t="s">
        <v>1579</v>
      </c>
      <c r="E292" s="3" t="s">
        <v>1580</v>
      </c>
      <c r="F292" s="35" t="s">
        <v>1581</v>
      </c>
      <c r="G292" s="3" t="s">
        <v>38</v>
      </c>
      <c r="H292" s="35" t="str">
        <f t="shared" si="8"/>
        <v>Verify</v>
      </c>
      <c r="I292" s="35" t="s">
        <v>1422</v>
      </c>
      <c r="J292" s="35"/>
      <c r="K292" s="47"/>
      <c r="L292" s="35" t="s">
        <v>1224</v>
      </c>
      <c r="M292" s="35"/>
      <c r="N292" s="35"/>
      <c r="O292" s="35"/>
      <c r="P292" s="35"/>
      <c r="Q292" s="35"/>
      <c r="R292" s="35"/>
      <c r="S292" s="35"/>
      <c r="T292" s="35"/>
      <c r="U292" s="35"/>
      <c r="V292" s="35" t="s">
        <v>405</v>
      </c>
      <c r="W292" s="37">
        <f t="shared" si="9"/>
        <v>0.5</v>
      </c>
      <c r="X292" s="33" t="s">
        <v>43</v>
      </c>
      <c r="Y292" s="33" t="s">
        <v>44</v>
      </c>
      <c r="Z292" s="33" t="s">
        <v>658</v>
      </c>
      <c r="AA292" s="33" t="s">
        <v>46</v>
      </c>
      <c r="AB292" s="33" t="s">
        <v>1582</v>
      </c>
      <c r="AD292" s="33" t="s">
        <v>1583</v>
      </c>
      <c r="AE292" s="33" t="s">
        <v>1528</v>
      </c>
      <c r="AG292" s="33" t="s">
        <v>50</v>
      </c>
      <c r="AH292" s="33" t="s">
        <v>51</v>
      </c>
    </row>
    <row r="293" spans="1:34" ht="327.64999999999998">
      <c r="A293" s="35">
        <v>292</v>
      </c>
      <c r="B293" s="3" t="s">
        <v>1584</v>
      </c>
      <c r="C293" s="3" t="s">
        <v>1523</v>
      </c>
      <c r="D293" s="3" t="s">
        <v>1585</v>
      </c>
      <c r="E293" s="3" t="s">
        <v>1586</v>
      </c>
      <c r="F293" s="35" t="s">
        <v>1587</v>
      </c>
      <c r="G293" s="3" t="s">
        <v>38</v>
      </c>
      <c r="H293" s="35" t="str">
        <f t="shared" si="8"/>
        <v>Verify</v>
      </c>
      <c r="I293" s="35" t="s">
        <v>1422</v>
      </c>
      <c r="J293" s="35"/>
      <c r="K293" s="47"/>
      <c r="L293" s="35" t="s">
        <v>1224</v>
      </c>
      <c r="M293" s="35"/>
      <c r="N293" s="35"/>
      <c r="O293" s="35"/>
      <c r="P293" s="35"/>
      <c r="Q293" s="35"/>
      <c r="R293" s="35"/>
      <c r="S293" s="35"/>
      <c r="T293" s="35"/>
      <c r="U293" s="35"/>
      <c r="V293" s="35" t="s">
        <v>405</v>
      </c>
      <c r="W293" s="37">
        <f t="shared" si="9"/>
        <v>0.5</v>
      </c>
      <c r="X293" s="33" t="s">
        <v>43</v>
      </c>
      <c r="Y293" s="33" t="s">
        <v>44</v>
      </c>
      <c r="Z293" s="33" t="s">
        <v>658</v>
      </c>
      <c r="AA293" s="33" t="s">
        <v>46</v>
      </c>
      <c r="AB293" s="33" t="s">
        <v>1588</v>
      </c>
      <c r="AD293" s="33" t="s">
        <v>1589</v>
      </c>
      <c r="AE293" s="33" t="s">
        <v>1528</v>
      </c>
      <c r="AG293" s="33" t="s">
        <v>50</v>
      </c>
      <c r="AH293" s="33" t="s">
        <v>51</v>
      </c>
    </row>
    <row r="294" spans="1:34" ht="312">
      <c r="A294" s="35">
        <v>293</v>
      </c>
      <c r="B294" s="3" t="s">
        <v>1590</v>
      </c>
      <c r="C294" s="3" t="s">
        <v>1523</v>
      </c>
      <c r="D294" s="3" t="s">
        <v>1591</v>
      </c>
      <c r="E294" s="3" t="s">
        <v>1592</v>
      </c>
      <c r="F294" s="35" t="s">
        <v>1593</v>
      </c>
      <c r="G294" s="3" t="s">
        <v>38</v>
      </c>
      <c r="H294" s="35" t="str">
        <f t="shared" si="8"/>
        <v>Verify</v>
      </c>
      <c r="I294" s="35" t="s">
        <v>1422</v>
      </c>
      <c r="J294" s="35"/>
      <c r="K294" s="47"/>
      <c r="L294" s="35" t="s">
        <v>1224</v>
      </c>
      <c r="M294" s="35"/>
      <c r="N294" s="35"/>
      <c r="O294" s="35"/>
      <c r="P294" s="35"/>
      <c r="Q294" s="35"/>
      <c r="R294" s="35"/>
      <c r="S294" s="35"/>
      <c r="T294" s="35"/>
      <c r="U294" s="35"/>
      <c r="V294" s="35" t="s">
        <v>405</v>
      </c>
      <c r="W294" s="37">
        <f t="shared" si="9"/>
        <v>0.5</v>
      </c>
      <c r="X294" s="33" t="s">
        <v>43</v>
      </c>
      <c r="Y294" s="33" t="s">
        <v>44</v>
      </c>
      <c r="Z294" s="33" t="s">
        <v>658</v>
      </c>
      <c r="AA294" s="33" t="s">
        <v>46</v>
      </c>
      <c r="AB294" s="33" t="s">
        <v>1594</v>
      </c>
      <c r="AD294" s="33" t="s">
        <v>66</v>
      </c>
      <c r="AE294" s="33" t="s">
        <v>1528</v>
      </c>
      <c r="AG294" s="33" t="s">
        <v>50</v>
      </c>
      <c r="AH294" s="33" t="s">
        <v>51</v>
      </c>
    </row>
    <row r="295" spans="1:34" ht="312">
      <c r="A295" s="35">
        <v>294</v>
      </c>
      <c r="B295" s="3" t="s">
        <v>1595</v>
      </c>
      <c r="C295" s="3" t="s">
        <v>1523</v>
      </c>
      <c r="D295" s="3" t="s">
        <v>1596</v>
      </c>
      <c r="E295" s="3" t="s">
        <v>1597</v>
      </c>
      <c r="F295" s="35" t="s">
        <v>1598</v>
      </c>
      <c r="G295" s="3" t="s">
        <v>38</v>
      </c>
      <c r="H295" s="35" t="str">
        <f t="shared" si="8"/>
        <v>Verify</v>
      </c>
      <c r="I295" s="35" t="s">
        <v>1422</v>
      </c>
      <c r="J295" s="35"/>
      <c r="K295" s="47"/>
      <c r="L295" s="35" t="s">
        <v>1224</v>
      </c>
      <c r="M295" s="35"/>
      <c r="N295" s="35"/>
      <c r="O295" s="35"/>
      <c r="P295" s="35"/>
      <c r="Q295" s="35"/>
      <c r="R295" s="35"/>
      <c r="S295" s="35"/>
      <c r="T295" s="35"/>
      <c r="U295" s="35"/>
      <c r="V295" s="35" t="s">
        <v>405</v>
      </c>
      <c r="W295" s="37">
        <f t="shared" si="9"/>
        <v>0.5</v>
      </c>
      <c r="X295" s="33" t="s">
        <v>43</v>
      </c>
      <c r="Y295" s="33" t="s">
        <v>44</v>
      </c>
      <c r="Z295" s="33" t="s">
        <v>658</v>
      </c>
      <c r="AA295" s="33" t="s">
        <v>46</v>
      </c>
      <c r="AB295" s="33" t="s">
        <v>1599</v>
      </c>
      <c r="AD295" s="33" t="s">
        <v>1600</v>
      </c>
      <c r="AE295" s="33" t="s">
        <v>1528</v>
      </c>
      <c r="AG295" s="33" t="s">
        <v>50</v>
      </c>
      <c r="AH295" s="33" t="s">
        <v>51</v>
      </c>
    </row>
    <row r="296" spans="1:34" ht="312">
      <c r="A296" s="35">
        <v>295</v>
      </c>
      <c r="B296" s="3" t="s">
        <v>1601</v>
      </c>
      <c r="C296" s="3" t="s">
        <v>1523</v>
      </c>
      <c r="D296" s="3" t="s">
        <v>1602</v>
      </c>
      <c r="E296" s="3" t="s">
        <v>1603</v>
      </c>
      <c r="F296" s="35" t="s">
        <v>1604</v>
      </c>
      <c r="G296" s="3" t="s">
        <v>38</v>
      </c>
      <c r="H296" s="35" t="str">
        <f t="shared" si="8"/>
        <v>Verify</v>
      </c>
      <c r="I296" s="35" t="s">
        <v>1422</v>
      </c>
      <c r="J296" s="35"/>
      <c r="K296" s="47"/>
      <c r="L296" s="35" t="s">
        <v>1224</v>
      </c>
      <c r="M296" s="35"/>
      <c r="N296" s="35"/>
      <c r="O296" s="35"/>
      <c r="P296" s="35"/>
      <c r="Q296" s="35"/>
      <c r="R296" s="35"/>
      <c r="S296" s="35"/>
      <c r="T296" s="35"/>
      <c r="U296" s="35"/>
      <c r="V296" s="35" t="s">
        <v>405</v>
      </c>
      <c r="W296" s="37">
        <f t="shared" si="9"/>
        <v>0.5</v>
      </c>
      <c r="X296" s="33" t="s">
        <v>43</v>
      </c>
      <c r="Y296" s="33" t="s">
        <v>44</v>
      </c>
      <c r="Z296" s="33" t="s">
        <v>658</v>
      </c>
      <c r="AA296" s="33" t="s">
        <v>46</v>
      </c>
      <c r="AB296" s="33" t="s">
        <v>1605</v>
      </c>
      <c r="AD296" s="33" t="s">
        <v>1606</v>
      </c>
      <c r="AE296" s="33" t="s">
        <v>1528</v>
      </c>
      <c r="AG296" s="33" t="s">
        <v>50</v>
      </c>
      <c r="AH296" s="33" t="s">
        <v>51</v>
      </c>
    </row>
    <row r="297" spans="1:34" ht="327.64999999999998">
      <c r="A297" s="35">
        <v>296</v>
      </c>
      <c r="B297" s="3" t="s">
        <v>1607</v>
      </c>
      <c r="C297" s="3" t="s">
        <v>1523</v>
      </c>
      <c r="D297" s="3" t="s">
        <v>1608</v>
      </c>
      <c r="E297" s="3" t="s">
        <v>1609</v>
      </c>
      <c r="F297" s="35" t="s">
        <v>1610</v>
      </c>
      <c r="G297" s="3" t="s">
        <v>38</v>
      </c>
      <c r="H297" s="35" t="str">
        <f t="shared" si="8"/>
        <v>Verify</v>
      </c>
      <c r="I297" s="35" t="s">
        <v>1422</v>
      </c>
      <c r="J297" s="35"/>
      <c r="K297" s="47"/>
      <c r="L297" s="35" t="s">
        <v>1224</v>
      </c>
      <c r="M297" s="35"/>
      <c r="N297" s="35"/>
      <c r="O297" s="35"/>
      <c r="P297" s="35"/>
      <c r="Q297" s="35"/>
      <c r="R297" s="35"/>
      <c r="S297" s="35"/>
      <c r="T297" s="35"/>
      <c r="U297" s="35"/>
      <c r="V297" s="35" t="s">
        <v>405</v>
      </c>
      <c r="W297" s="37">
        <f t="shared" si="9"/>
        <v>0.5</v>
      </c>
      <c r="X297" s="33" t="s">
        <v>43</v>
      </c>
      <c r="Y297" s="33" t="s">
        <v>44</v>
      </c>
      <c r="Z297" s="33" t="s">
        <v>658</v>
      </c>
      <c r="AA297" s="33" t="s">
        <v>46</v>
      </c>
      <c r="AB297" s="33" t="s">
        <v>1611</v>
      </c>
      <c r="AD297" s="33" t="s">
        <v>1612</v>
      </c>
      <c r="AE297" s="33" t="s">
        <v>1528</v>
      </c>
      <c r="AG297" s="33" t="s">
        <v>50</v>
      </c>
      <c r="AH297" s="33" t="s">
        <v>51</v>
      </c>
    </row>
    <row r="298" spans="1:34" ht="312">
      <c r="A298" s="35">
        <v>297</v>
      </c>
      <c r="B298" s="3" t="s">
        <v>1613</v>
      </c>
      <c r="C298" s="3" t="s">
        <v>1523</v>
      </c>
      <c r="D298" s="3" t="s">
        <v>1614</v>
      </c>
      <c r="E298" s="3" t="s">
        <v>1615</v>
      </c>
      <c r="F298" s="35" t="s">
        <v>1616</v>
      </c>
      <c r="G298" s="3" t="s">
        <v>38</v>
      </c>
      <c r="H298" s="35" t="str">
        <f t="shared" si="8"/>
        <v>Verify</v>
      </c>
      <c r="I298" s="35" t="s">
        <v>1422</v>
      </c>
      <c r="J298" s="35"/>
      <c r="K298" s="47"/>
      <c r="L298" s="35" t="s">
        <v>1224</v>
      </c>
      <c r="M298" s="35"/>
      <c r="N298" s="35"/>
      <c r="O298" s="35"/>
      <c r="P298" s="35"/>
      <c r="Q298" s="35"/>
      <c r="R298" s="35"/>
      <c r="S298" s="35"/>
      <c r="T298" s="35"/>
      <c r="U298" s="35"/>
      <c r="V298" s="35" t="s">
        <v>405</v>
      </c>
      <c r="W298" s="37">
        <f t="shared" si="9"/>
        <v>0.5</v>
      </c>
      <c r="X298" s="33" t="s">
        <v>43</v>
      </c>
      <c r="Y298" s="33" t="s">
        <v>44</v>
      </c>
      <c r="Z298" s="33" t="s">
        <v>658</v>
      </c>
      <c r="AA298" s="33" t="s">
        <v>46</v>
      </c>
      <c r="AB298" s="33" t="s">
        <v>1617</v>
      </c>
      <c r="AD298" s="33" t="s">
        <v>1164</v>
      </c>
      <c r="AE298" s="33" t="s">
        <v>1528</v>
      </c>
      <c r="AG298" s="33" t="s">
        <v>50</v>
      </c>
      <c r="AH298" s="33" t="s">
        <v>51</v>
      </c>
    </row>
    <row r="299" spans="1:34" ht="312">
      <c r="A299" s="35">
        <v>298</v>
      </c>
      <c r="B299" s="3" t="s">
        <v>1618</v>
      </c>
      <c r="C299" s="3" t="s">
        <v>1523</v>
      </c>
      <c r="D299" s="3" t="s">
        <v>1619</v>
      </c>
      <c r="E299" s="3" t="s">
        <v>1620</v>
      </c>
      <c r="F299" s="35" t="s">
        <v>1621</v>
      </c>
      <c r="G299" s="3" t="s">
        <v>38</v>
      </c>
      <c r="H299" s="35" t="str">
        <f t="shared" si="8"/>
        <v>Verify</v>
      </c>
      <c r="I299" s="35" t="s">
        <v>1422</v>
      </c>
      <c r="J299" s="35"/>
      <c r="K299" s="47"/>
      <c r="L299" s="35" t="s">
        <v>1224</v>
      </c>
      <c r="M299" s="35"/>
      <c r="N299" s="35"/>
      <c r="O299" s="35"/>
      <c r="P299" s="35"/>
      <c r="Q299" s="35"/>
      <c r="R299" s="35"/>
      <c r="S299" s="35"/>
      <c r="T299" s="35"/>
      <c r="U299" s="35"/>
      <c r="V299" s="35" t="s">
        <v>405</v>
      </c>
      <c r="W299" s="37">
        <f t="shared" si="9"/>
        <v>0.5</v>
      </c>
      <c r="X299" s="33" t="s">
        <v>43</v>
      </c>
      <c r="Y299" s="33" t="s">
        <v>44</v>
      </c>
      <c r="Z299" s="33" t="s">
        <v>658</v>
      </c>
      <c r="AA299" s="33" t="s">
        <v>46</v>
      </c>
      <c r="AB299" s="33" t="s">
        <v>1622</v>
      </c>
      <c r="AD299" s="33" t="s">
        <v>66</v>
      </c>
      <c r="AE299" s="33" t="s">
        <v>1528</v>
      </c>
      <c r="AG299" s="33" t="s">
        <v>50</v>
      </c>
      <c r="AH299" s="33" t="s">
        <v>51</v>
      </c>
    </row>
    <row r="300" spans="1:34" ht="312">
      <c r="A300" s="35">
        <v>299</v>
      </c>
      <c r="B300" s="3" t="s">
        <v>1623</v>
      </c>
      <c r="C300" s="3" t="s">
        <v>1523</v>
      </c>
      <c r="D300" s="3" t="s">
        <v>1624</v>
      </c>
      <c r="E300" s="3" t="s">
        <v>1625</v>
      </c>
      <c r="F300" s="35" t="s">
        <v>1626</v>
      </c>
      <c r="G300" s="3" t="s">
        <v>38</v>
      </c>
      <c r="H300" s="35" t="str">
        <f t="shared" si="8"/>
        <v>Verify</v>
      </c>
      <c r="I300" s="35" t="s">
        <v>1422</v>
      </c>
      <c r="J300" s="35"/>
      <c r="K300" s="47"/>
      <c r="L300" s="35" t="s">
        <v>1224</v>
      </c>
      <c r="M300" s="35"/>
      <c r="N300" s="35"/>
      <c r="O300" s="35"/>
      <c r="P300" s="35"/>
      <c r="Q300" s="35"/>
      <c r="R300" s="35"/>
      <c r="S300" s="35"/>
      <c r="T300" s="35"/>
      <c r="U300" s="35"/>
      <c r="V300" s="35" t="s">
        <v>405</v>
      </c>
      <c r="W300" s="37">
        <f t="shared" si="9"/>
        <v>0.5</v>
      </c>
      <c r="X300" s="33" t="s">
        <v>43</v>
      </c>
      <c r="Y300" s="33" t="s">
        <v>44</v>
      </c>
      <c r="Z300" s="33" t="s">
        <v>658</v>
      </c>
      <c r="AA300" s="33" t="s">
        <v>46</v>
      </c>
      <c r="AB300" s="33" t="s">
        <v>1627</v>
      </c>
      <c r="AD300" s="33" t="s">
        <v>1628</v>
      </c>
      <c r="AE300" s="33" t="s">
        <v>1528</v>
      </c>
      <c r="AG300" s="33" t="s">
        <v>50</v>
      </c>
      <c r="AH300" s="33" t="s">
        <v>51</v>
      </c>
    </row>
    <row r="301" spans="1:34" ht="312">
      <c r="A301" s="35">
        <v>300</v>
      </c>
      <c r="B301" s="3" t="s">
        <v>1629</v>
      </c>
      <c r="C301" s="3" t="s">
        <v>1523</v>
      </c>
      <c r="D301" s="3" t="s">
        <v>1630</v>
      </c>
      <c r="E301" s="3" t="s">
        <v>1631</v>
      </c>
      <c r="F301" s="35" t="s">
        <v>1632</v>
      </c>
      <c r="G301" s="3" t="s">
        <v>38</v>
      </c>
      <c r="H301" s="35" t="str">
        <f t="shared" si="8"/>
        <v>Verify</v>
      </c>
      <c r="I301" s="35" t="s">
        <v>1422</v>
      </c>
      <c r="J301" s="35"/>
      <c r="K301" s="47"/>
      <c r="L301" s="35" t="s">
        <v>1224</v>
      </c>
      <c r="M301" s="35"/>
      <c r="N301" s="35"/>
      <c r="O301" s="35"/>
      <c r="P301" s="35"/>
      <c r="Q301" s="35"/>
      <c r="R301" s="35"/>
      <c r="S301" s="35"/>
      <c r="T301" s="35"/>
      <c r="U301" s="35"/>
      <c r="V301" s="35" t="s">
        <v>405</v>
      </c>
      <c r="W301" s="37">
        <f t="shared" ref="W301:W311" si="10">IF(V301="Not Started",0%,IF(V301="Started",50%,IF(V301="Ready for review",70%,IF(V301="Reviewed - Content",80%,IF(V301="Reviewed - Format",90%,IF(V301="Done",100%,""))))))</f>
        <v>0.5</v>
      </c>
      <c r="X301" s="33" t="s">
        <v>43</v>
      </c>
      <c r="Y301" s="33" t="s">
        <v>44</v>
      </c>
      <c r="Z301" s="33" t="s">
        <v>658</v>
      </c>
      <c r="AA301" s="33" t="s">
        <v>46</v>
      </c>
      <c r="AB301" s="33" t="s">
        <v>1633</v>
      </c>
      <c r="AD301" s="33" t="s">
        <v>66</v>
      </c>
      <c r="AE301" s="33" t="s">
        <v>1528</v>
      </c>
      <c r="AG301" s="33" t="s">
        <v>50</v>
      </c>
      <c r="AH301" s="33" t="s">
        <v>51</v>
      </c>
    </row>
    <row r="302" spans="1:34" ht="312">
      <c r="A302" s="35">
        <v>301</v>
      </c>
      <c r="B302" s="3" t="s">
        <v>1634</v>
      </c>
      <c r="C302" s="3" t="s">
        <v>1523</v>
      </c>
      <c r="D302" s="3" t="s">
        <v>1635</v>
      </c>
      <c r="E302" s="3" t="s">
        <v>1636</v>
      </c>
      <c r="F302" s="35" t="s">
        <v>1637</v>
      </c>
      <c r="G302" s="3" t="s">
        <v>38</v>
      </c>
      <c r="H302" s="35" t="str">
        <f t="shared" si="8"/>
        <v>Verify</v>
      </c>
      <c r="I302" s="35" t="s">
        <v>1422</v>
      </c>
      <c r="J302" s="35"/>
      <c r="K302" s="47"/>
      <c r="L302" s="35" t="s">
        <v>1224</v>
      </c>
      <c r="M302" s="35"/>
      <c r="N302" s="35"/>
      <c r="O302" s="35"/>
      <c r="P302" s="35"/>
      <c r="Q302" s="35"/>
      <c r="R302" s="35"/>
      <c r="S302" s="35"/>
      <c r="T302" s="35"/>
      <c r="U302" s="35"/>
      <c r="V302" s="35" t="s">
        <v>405</v>
      </c>
      <c r="W302" s="37">
        <f t="shared" si="10"/>
        <v>0.5</v>
      </c>
      <c r="X302" s="33" t="s">
        <v>43</v>
      </c>
      <c r="Y302" s="33" t="s">
        <v>44</v>
      </c>
      <c r="Z302" s="33" t="s">
        <v>658</v>
      </c>
      <c r="AA302" s="33" t="s">
        <v>46</v>
      </c>
      <c r="AB302" s="33" t="s">
        <v>1638</v>
      </c>
      <c r="AD302" s="33" t="s">
        <v>1606</v>
      </c>
      <c r="AE302" s="33" t="s">
        <v>1528</v>
      </c>
      <c r="AG302" s="33" t="s">
        <v>50</v>
      </c>
      <c r="AH302" s="33" t="s">
        <v>51</v>
      </c>
    </row>
    <row r="303" spans="1:34" ht="280.75">
      <c r="A303" s="35">
        <v>302</v>
      </c>
      <c r="B303" s="3" t="s">
        <v>1639</v>
      </c>
      <c r="C303" s="3" t="s">
        <v>1523</v>
      </c>
      <c r="D303" s="3" t="s">
        <v>1640</v>
      </c>
      <c r="E303" s="3" t="s">
        <v>1641</v>
      </c>
      <c r="F303" s="35" t="s">
        <v>1642</v>
      </c>
      <c r="G303" s="3" t="s">
        <v>38</v>
      </c>
      <c r="H303" s="35" t="str">
        <f t="shared" si="8"/>
        <v>Verify</v>
      </c>
      <c r="I303" s="35" t="s">
        <v>1422</v>
      </c>
      <c r="J303" s="35"/>
      <c r="K303" s="47"/>
      <c r="L303" s="35" t="s">
        <v>1224</v>
      </c>
      <c r="M303" s="35"/>
      <c r="N303" s="35"/>
      <c r="O303" s="35"/>
      <c r="P303" s="35"/>
      <c r="Q303" s="35"/>
      <c r="R303" s="35"/>
      <c r="S303" s="35"/>
      <c r="T303" s="35"/>
      <c r="U303" s="35"/>
      <c r="V303" s="35" t="s">
        <v>405</v>
      </c>
      <c r="W303" s="37">
        <f t="shared" si="10"/>
        <v>0.5</v>
      </c>
      <c r="X303" s="33" t="s">
        <v>43</v>
      </c>
      <c r="Y303" s="33" t="s">
        <v>44</v>
      </c>
      <c r="Z303" s="33" t="s">
        <v>658</v>
      </c>
      <c r="AA303" s="33" t="s">
        <v>46</v>
      </c>
      <c r="AB303" s="33" t="s">
        <v>1643</v>
      </c>
      <c r="AD303" s="33" t="s">
        <v>1351</v>
      </c>
      <c r="AE303" s="33" t="s">
        <v>1528</v>
      </c>
      <c r="AG303" s="33" t="s">
        <v>50</v>
      </c>
      <c r="AH303" s="33" t="s">
        <v>51</v>
      </c>
    </row>
    <row r="304" spans="1:34" ht="312">
      <c r="A304" s="35">
        <v>303</v>
      </c>
      <c r="B304" s="3" t="s">
        <v>1644</v>
      </c>
      <c r="C304" s="3" t="s">
        <v>1523</v>
      </c>
      <c r="D304" s="3" t="s">
        <v>1645</v>
      </c>
      <c r="E304" s="3" t="s">
        <v>1646</v>
      </c>
      <c r="F304" s="35" t="s">
        <v>1647</v>
      </c>
      <c r="G304" s="3" t="s">
        <v>38</v>
      </c>
      <c r="H304" s="35" t="str">
        <f t="shared" si="8"/>
        <v>Verify</v>
      </c>
      <c r="I304" s="35" t="s">
        <v>1422</v>
      </c>
      <c r="J304" s="35"/>
      <c r="K304" s="47"/>
      <c r="L304" s="35" t="s">
        <v>1224</v>
      </c>
      <c r="M304" s="35"/>
      <c r="N304" s="35"/>
      <c r="O304" s="35"/>
      <c r="P304" s="35"/>
      <c r="Q304" s="35"/>
      <c r="R304" s="35"/>
      <c r="S304" s="35"/>
      <c r="T304" s="35"/>
      <c r="U304" s="35"/>
      <c r="V304" s="35" t="s">
        <v>405</v>
      </c>
      <c r="W304" s="37">
        <f t="shared" si="10"/>
        <v>0.5</v>
      </c>
      <c r="X304" s="33" t="s">
        <v>43</v>
      </c>
      <c r="Y304" s="33" t="s">
        <v>44</v>
      </c>
      <c r="Z304" s="33" t="s">
        <v>658</v>
      </c>
      <c r="AA304" s="33" t="s">
        <v>46</v>
      </c>
      <c r="AB304" s="33" t="s">
        <v>1648</v>
      </c>
      <c r="AD304" s="33" t="s">
        <v>1628</v>
      </c>
      <c r="AE304" s="33" t="s">
        <v>1528</v>
      </c>
      <c r="AG304" s="33" t="s">
        <v>50</v>
      </c>
      <c r="AH304" s="33" t="s">
        <v>51</v>
      </c>
    </row>
    <row r="305" spans="1:34" ht="312">
      <c r="A305" s="35">
        <v>304</v>
      </c>
      <c r="B305" s="3" t="s">
        <v>1649</v>
      </c>
      <c r="C305" s="3" t="s">
        <v>1523</v>
      </c>
      <c r="D305" s="3" t="s">
        <v>1650</v>
      </c>
      <c r="E305" s="3" t="s">
        <v>1651</v>
      </c>
      <c r="F305" s="35" t="s">
        <v>1652</v>
      </c>
      <c r="G305" s="3" t="s">
        <v>38</v>
      </c>
      <c r="H305" s="35" t="str">
        <f t="shared" si="8"/>
        <v>Verify</v>
      </c>
      <c r="I305" s="35" t="s">
        <v>1422</v>
      </c>
      <c r="J305" s="35"/>
      <c r="K305" s="47"/>
      <c r="L305" s="35" t="s">
        <v>1224</v>
      </c>
      <c r="M305" s="35"/>
      <c r="N305" s="35"/>
      <c r="O305" s="35"/>
      <c r="P305" s="35"/>
      <c r="Q305" s="35"/>
      <c r="R305" s="35"/>
      <c r="S305" s="35"/>
      <c r="T305" s="35"/>
      <c r="U305" s="35"/>
      <c r="V305" s="35" t="s">
        <v>405</v>
      </c>
      <c r="W305" s="37">
        <f t="shared" si="10"/>
        <v>0.5</v>
      </c>
      <c r="X305" s="33" t="s">
        <v>43</v>
      </c>
      <c r="Y305" s="33" t="s">
        <v>44</v>
      </c>
      <c r="Z305" s="33" t="s">
        <v>658</v>
      </c>
      <c r="AA305" s="33" t="s">
        <v>46</v>
      </c>
      <c r="AB305" s="33" t="s">
        <v>1653</v>
      </c>
      <c r="AD305" s="33" t="s">
        <v>1164</v>
      </c>
      <c r="AE305" s="33" t="s">
        <v>1528</v>
      </c>
      <c r="AG305" s="33" t="s">
        <v>50</v>
      </c>
      <c r="AH305" s="33" t="s">
        <v>51</v>
      </c>
    </row>
    <row r="306" spans="1:34" ht="343.25">
      <c r="A306" s="35">
        <v>305</v>
      </c>
      <c r="B306" s="3" t="s">
        <v>1654</v>
      </c>
      <c r="C306" s="3" t="s">
        <v>1523</v>
      </c>
      <c r="D306" s="3" t="s">
        <v>1655</v>
      </c>
      <c r="E306" s="3" t="s">
        <v>1656</v>
      </c>
      <c r="F306" s="35" t="s">
        <v>1657</v>
      </c>
      <c r="G306" s="3" t="s">
        <v>38</v>
      </c>
      <c r="H306" s="35" t="str">
        <f t="shared" si="8"/>
        <v>Verify</v>
      </c>
      <c r="I306" s="35" t="s">
        <v>1422</v>
      </c>
      <c r="J306" s="35"/>
      <c r="K306" s="47"/>
      <c r="L306" s="35" t="s">
        <v>1224</v>
      </c>
      <c r="M306" s="35"/>
      <c r="N306" s="35"/>
      <c r="O306" s="35"/>
      <c r="P306" s="35"/>
      <c r="Q306" s="35"/>
      <c r="R306" s="35"/>
      <c r="S306" s="35"/>
      <c r="T306" s="35"/>
      <c r="U306" s="35"/>
      <c r="V306" s="35" t="s">
        <v>405</v>
      </c>
      <c r="W306" s="37">
        <f t="shared" si="10"/>
        <v>0.5</v>
      </c>
      <c r="X306" s="33" t="s">
        <v>43</v>
      </c>
      <c r="Y306" s="33" t="s">
        <v>44</v>
      </c>
      <c r="Z306" s="33" t="s">
        <v>658</v>
      </c>
      <c r="AA306" s="33" t="s">
        <v>46</v>
      </c>
      <c r="AB306" s="33" t="s">
        <v>1658</v>
      </c>
      <c r="AD306" s="33" t="s">
        <v>1659</v>
      </c>
      <c r="AE306" s="33" t="s">
        <v>1528</v>
      </c>
      <c r="AG306" s="33" t="s">
        <v>50</v>
      </c>
      <c r="AH306" s="33" t="s">
        <v>51</v>
      </c>
    </row>
    <row r="307" spans="1:34" ht="312">
      <c r="A307" s="35">
        <v>306</v>
      </c>
      <c r="B307" s="3" t="s">
        <v>1660</v>
      </c>
      <c r="C307" s="3" t="s">
        <v>1523</v>
      </c>
      <c r="D307" s="3" t="s">
        <v>1661</v>
      </c>
      <c r="E307" s="3" t="s">
        <v>1662</v>
      </c>
      <c r="F307" s="35" t="s">
        <v>1663</v>
      </c>
      <c r="G307" s="3" t="s">
        <v>38</v>
      </c>
      <c r="H307" s="35" t="str">
        <f t="shared" si="8"/>
        <v>Verify</v>
      </c>
      <c r="I307" s="35" t="s">
        <v>1422</v>
      </c>
      <c r="J307" s="35"/>
      <c r="K307" s="47"/>
      <c r="L307" s="35" t="s">
        <v>1224</v>
      </c>
      <c r="M307" s="35"/>
      <c r="N307" s="35"/>
      <c r="O307" s="35"/>
      <c r="P307" s="35"/>
      <c r="Q307" s="35"/>
      <c r="R307" s="35"/>
      <c r="S307" s="35"/>
      <c r="T307" s="35"/>
      <c r="U307" s="35"/>
      <c r="V307" s="35" t="s">
        <v>405</v>
      </c>
      <c r="W307" s="37">
        <f t="shared" si="10"/>
        <v>0.5</v>
      </c>
      <c r="X307" s="33" t="s">
        <v>43</v>
      </c>
      <c r="Y307" s="33" t="s">
        <v>44</v>
      </c>
      <c r="Z307" s="33" t="s">
        <v>658</v>
      </c>
      <c r="AA307" s="33" t="s">
        <v>46</v>
      </c>
      <c r="AB307" s="33" t="s">
        <v>1664</v>
      </c>
      <c r="AD307" s="33" t="s">
        <v>66</v>
      </c>
      <c r="AE307" s="33" t="s">
        <v>1528</v>
      </c>
      <c r="AG307" s="33" t="s">
        <v>50</v>
      </c>
      <c r="AH307" s="33" t="s">
        <v>51</v>
      </c>
    </row>
    <row r="308" spans="1:34" ht="249.65">
      <c r="A308" s="35">
        <v>307</v>
      </c>
      <c r="B308" s="3" t="s">
        <v>1665</v>
      </c>
      <c r="C308" s="3" t="s">
        <v>1523</v>
      </c>
      <c r="D308" s="3" t="s">
        <v>1666</v>
      </c>
      <c r="E308" s="3" t="s">
        <v>1667</v>
      </c>
      <c r="F308" s="35" t="s">
        <v>1668</v>
      </c>
      <c r="G308" s="3" t="s">
        <v>38</v>
      </c>
      <c r="H308" s="35" t="str">
        <f t="shared" si="8"/>
        <v>Verify</v>
      </c>
      <c r="I308" s="35" t="s">
        <v>1422</v>
      </c>
      <c r="J308" s="35"/>
      <c r="K308" s="47"/>
      <c r="L308" s="35" t="s">
        <v>1224</v>
      </c>
      <c r="M308" s="35"/>
      <c r="N308" s="35"/>
      <c r="O308" s="35"/>
      <c r="P308" s="35"/>
      <c r="Q308" s="35"/>
      <c r="R308" s="35"/>
      <c r="S308" s="35"/>
      <c r="T308" s="35"/>
      <c r="U308" s="35"/>
      <c r="V308" s="35" t="s">
        <v>405</v>
      </c>
      <c r="W308" s="37">
        <f t="shared" si="10"/>
        <v>0.5</v>
      </c>
      <c r="X308" s="33" t="s">
        <v>43</v>
      </c>
      <c r="Y308" s="33" t="s">
        <v>44</v>
      </c>
      <c r="Z308" s="33" t="s">
        <v>658</v>
      </c>
      <c r="AA308" s="33" t="s">
        <v>46</v>
      </c>
      <c r="AB308" s="33" t="s">
        <v>1669</v>
      </c>
      <c r="AD308" s="33" t="s">
        <v>635</v>
      </c>
      <c r="AE308" s="33" t="s">
        <v>1528</v>
      </c>
      <c r="AG308" s="33" t="s">
        <v>50</v>
      </c>
      <c r="AH308" s="33" t="s">
        <v>51</v>
      </c>
    </row>
    <row r="309" spans="1:34" ht="249.65">
      <c r="A309" s="35">
        <v>308</v>
      </c>
      <c r="B309" s="3" t="s">
        <v>1670</v>
      </c>
      <c r="C309" s="3" t="s">
        <v>1523</v>
      </c>
      <c r="D309" s="3" t="s">
        <v>1671</v>
      </c>
      <c r="E309" s="3" t="s">
        <v>1651</v>
      </c>
      <c r="F309" s="35" t="s">
        <v>1672</v>
      </c>
      <c r="G309" s="3" t="s">
        <v>38</v>
      </c>
      <c r="H309" s="35" t="str">
        <f t="shared" si="8"/>
        <v>Verify</v>
      </c>
      <c r="I309" s="35" t="s">
        <v>1422</v>
      </c>
      <c r="J309" s="35"/>
      <c r="K309" s="47"/>
      <c r="L309" s="35" t="s">
        <v>1224</v>
      </c>
      <c r="M309" s="35"/>
      <c r="N309" s="35"/>
      <c r="O309" s="35"/>
      <c r="P309" s="35"/>
      <c r="Q309" s="35"/>
      <c r="R309" s="35"/>
      <c r="S309" s="35"/>
      <c r="T309" s="35"/>
      <c r="U309" s="35"/>
      <c r="V309" s="35" t="s">
        <v>405</v>
      </c>
      <c r="W309" s="37">
        <f t="shared" si="10"/>
        <v>0.5</v>
      </c>
      <c r="X309" s="33" t="s">
        <v>43</v>
      </c>
      <c r="Y309" s="33" t="s">
        <v>44</v>
      </c>
      <c r="Z309" s="33" t="s">
        <v>658</v>
      </c>
      <c r="AA309" s="33" t="s">
        <v>46</v>
      </c>
      <c r="AB309" s="33" t="s">
        <v>1653</v>
      </c>
      <c r="AD309" s="33" t="s">
        <v>106</v>
      </c>
      <c r="AE309" s="33" t="s">
        <v>1528</v>
      </c>
      <c r="AG309" s="33" t="s">
        <v>50</v>
      </c>
      <c r="AH309" s="33" t="s">
        <v>51</v>
      </c>
    </row>
    <row r="310" spans="1:34" ht="280.75">
      <c r="A310" s="35">
        <v>309</v>
      </c>
      <c r="B310" s="3" t="s">
        <v>1673</v>
      </c>
      <c r="C310" s="3" t="s">
        <v>1523</v>
      </c>
      <c r="D310" s="3" t="s">
        <v>1674</v>
      </c>
      <c r="E310" s="3" t="s">
        <v>1662</v>
      </c>
      <c r="F310" s="35" t="s">
        <v>1675</v>
      </c>
      <c r="G310" s="3" t="s">
        <v>38</v>
      </c>
      <c r="H310" s="35" t="str">
        <f t="shared" si="8"/>
        <v>Verify</v>
      </c>
      <c r="I310" s="35" t="s">
        <v>1422</v>
      </c>
      <c r="J310" s="35"/>
      <c r="K310" s="47"/>
      <c r="L310" s="35" t="s">
        <v>1224</v>
      </c>
      <c r="M310" s="35"/>
      <c r="N310" s="35"/>
      <c r="O310" s="35"/>
      <c r="P310" s="35"/>
      <c r="Q310" s="35"/>
      <c r="R310" s="35"/>
      <c r="S310" s="35"/>
      <c r="T310" s="35"/>
      <c r="U310" s="35"/>
      <c r="V310" s="35" t="s">
        <v>405</v>
      </c>
      <c r="W310" s="37">
        <f t="shared" si="10"/>
        <v>0.5</v>
      </c>
      <c r="X310" s="33" t="s">
        <v>43</v>
      </c>
      <c r="Y310" s="33" t="s">
        <v>44</v>
      </c>
      <c r="Z310" s="33" t="s">
        <v>658</v>
      </c>
      <c r="AA310" s="33" t="s">
        <v>46</v>
      </c>
      <c r="AB310" s="33" t="s">
        <v>1664</v>
      </c>
      <c r="AD310" s="33" t="s">
        <v>1571</v>
      </c>
      <c r="AE310" s="33" t="s">
        <v>1528</v>
      </c>
      <c r="AG310" s="33" t="s">
        <v>50</v>
      </c>
      <c r="AH310" s="33" t="s">
        <v>51</v>
      </c>
    </row>
    <row r="311" spans="1:34" ht="312">
      <c r="A311" s="35">
        <v>310</v>
      </c>
      <c r="B311" s="3" t="s">
        <v>1676</v>
      </c>
      <c r="C311" s="3" t="s">
        <v>1523</v>
      </c>
      <c r="D311" s="3" t="s">
        <v>1677</v>
      </c>
      <c r="E311" s="3" t="s">
        <v>1678</v>
      </c>
      <c r="F311" s="35" t="s">
        <v>1679</v>
      </c>
      <c r="G311" s="3" t="s">
        <v>38</v>
      </c>
      <c r="H311" s="35" t="str">
        <f t="shared" si="8"/>
        <v>Verify</v>
      </c>
      <c r="I311" s="35" t="s">
        <v>1422</v>
      </c>
      <c r="J311" s="35"/>
      <c r="K311" s="47"/>
      <c r="L311" s="35" t="s">
        <v>1224</v>
      </c>
      <c r="M311" s="35"/>
      <c r="N311" s="35"/>
      <c r="O311" s="35"/>
      <c r="P311" s="35"/>
      <c r="Q311" s="35"/>
      <c r="R311" s="35"/>
      <c r="S311" s="35"/>
      <c r="T311" s="35"/>
      <c r="U311" s="35"/>
      <c r="V311" s="35" t="s">
        <v>405</v>
      </c>
      <c r="W311" s="37">
        <f t="shared" si="10"/>
        <v>0.5</v>
      </c>
      <c r="X311" s="33" t="s">
        <v>43</v>
      </c>
      <c r="Y311" s="33" t="s">
        <v>44</v>
      </c>
      <c r="Z311" s="33" t="s">
        <v>658</v>
      </c>
      <c r="AA311" s="33" t="s">
        <v>46</v>
      </c>
      <c r="AB311" s="33" t="s">
        <v>1680</v>
      </c>
      <c r="AD311" s="33" t="s">
        <v>1606</v>
      </c>
      <c r="AE311" s="33" t="s">
        <v>1528</v>
      </c>
      <c r="AG311" s="33" t="s">
        <v>50</v>
      </c>
      <c r="AH311" s="33" t="s">
        <v>51</v>
      </c>
    </row>
    <row r="312" spans="1:34" ht="280.75">
      <c r="A312" s="35">
        <v>311</v>
      </c>
      <c r="B312" s="3" t="s">
        <v>1681</v>
      </c>
      <c r="C312" s="3" t="s">
        <v>1682</v>
      </c>
      <c r="D312" s="3" t="s">
        <v>1530</v>
      </c>
      <c r="E312" s="3" t="s">
        <v>53</v>
      </c>
      <c r="F312" s="35" t="s">
        <v>1683</v>
      </c>
      <c r="G312" s="3" t="s">
        <v>38</v>
      </c>
      <c r="H312" s="35" t="str">
        <f t="shared" si="8"/>
        <v>Verify</v>
      </c>
      <c r="I312" s="35" t="s">
        <v>1422</v>
      </c>
      <c r="J312" s="35"/>
      <c r="K312" s="47"/>
      <c r="L312" s="35" t="s">
        <v>1224</v>
      </c>
      <c r="M312" s="35"/>
      <c r="N312" s="35"/>
      <c r="O312" s="35"/>
      <c r="P312" s="35"/>
      <c r="Q312" s="35"/>
      <c r="R312" s="35"/>
      <c r="S312" s="35"/>
      <c r="T312" s="35"/>
      <c r="U312" s="35"/>
      <c r="V312" s="35" t="s">
        <v>405</v>
      </c>
      <c r="W312" s="37">
        <f t="shared" ref="W312:W358" si="11">IF(V312="Not Started",0%,IF(V312="Started",50%,IF(V312="Ready for review",70%,IF(V312="Reviewed - Content",80%,IF(V312="Reviewed - Format",90%,IF(V312="Done",100%,""))))))</f>
        <v>0.5</v>
      </c>
      <c r="X312" s="33" t="s">
        <v>43</v>
      </c>
      <c r="Y312" s="33" t="s">
        <v>44</v>
      </c>
      <c r="Z312" s="33" t="s">
        <v>658</v>
      </c>
      <c r="AA312" s="33" t="s">
        <v>46</v>
      </c>
      <c r="AB312" s="33" t="s">
        <v>1684</v>
      </c>
      <c r="AD312" s="33" t="s">
        <v>71</v>
      </c>
      <c r="AE312" s="33" t="s">
        <v>1528</v>
      </c>
      <c r="AG312" s="33" t="s">
        <v>50</v>
      </c>
      <c r="AH312" s="33" t="s">
        <v>51</v>
      </c>
    </row>
    <row r="313" spans="1:34" ht="265.25">
      <c r="A313" s="35">
        <v>312</v>
      </c>
      <c r="B313" s="3" t="s">
        <v>1685</v>
      </c>
      <c r="C313" s="3" t="s">
        <v>1682</v>
      </c>
      <c r="D313" s="3" t="s">
        <v>1535</v>
      </c>
      <c r="E313" s="3" t="s">
        <v>1686</v>
      </c>
      <c r="F313" s="35" t="s">
        <v>1687</v>
      </c>
      <c r="G313" s="3" t="s">
        <v>38</v>
      </c>
      <c r="H313" s="35" t="str">
        <f t="shared" si="8"/>
        <v>Verify</v>
      </c>
      <c r="I313" s="35" t="s">
        <v>1422</v>
      </c>
      <c r="J313" s="35"/>
      <c r="K313" s="47"/>
      <c r="L313" s="35" t="s">
        <v>1224</v>
      </c>
      <c r="M313" s="35"/>
      <c r="N313" s="35"/>
      <c r="O313" s="35"/>
      <c r="P313" s="35"/>
      <c r="Q313" s="35"/>
      <c r="R313" s="35"/>
      <c r="S313" s="35"/>
      <c r="T313" s="35"/>
      <c r="U313" s="35"/>
      <c r="V313" s="35" t="s">
        <v>405</v>
      </c>
      <c r="W313" s="37">
        <f t="shared" si="11"/>
        <v>0.5</v>
      </c>
      <c r="X313" s="33" t="s">
        <v>43</v>
      </c>
      <c r="Y313" s="33" t="s">
        <v>44</v>
      </c>
      <c r="Z313" s="33" t="s">
        <v>658</v>
      </c>
      <c r="AA313" s="33" t="s">
        <v>46</v>
      </c>
      <c r="AB313" s="33" t="s">
        <v>1688</v>
      </c>
      <c r="AD313" s="33" t="s">
        <v>1689</v>
      </c>
      <c r="AE313" s="33" t="s">
        <v>1528</v>
      </c>
      <c r="AG313" s="33" t="s">
        <v>50</v>
      </c>
      <c r="AH313" s="33" t="s">
        <v>51</v>
      </c>
    </row>
    <row r="314" spans="1:34" ht="358.75">
      <c r="A314" s="35">
        <v>313</v>
      </c>
      <c r="B314" s="3" t="s">
        <v>1690</v>
      </c>
      <c r="C314" s="3" t="s">
        <v>1682</v>
      </c>
      <c r="D314" s="3" t="s">
        <v>1579</v>
      </c>
      <c r="E314" s="3" t="s">
        <v>1691</v>
      </c>
      <c r="F314" s="35" t="s">
        <v>1692</v>
      </c>
      <c r="G314" s="3" t="s">
        <v>38</v>
      </c>
      <c r="H314" s="35" t="str">
        <f t="shared" si="8"/>
        <v>Verify</v>
      </c>
      <c r="I314" s="35" t="s">
        <v>1422</v>
      </c>
      <c r="J314" s="35"/>
      <c r="K314" s="47"/>
      <c r="L314" s="35" t="s">
        <v>1224</v>
      </c>
      <c r="M314" s="35"/>
      <c r="N314" s="35"/>
      <c r="O314" s="35"/>
      <c r="P314" s="35"/>
      <c r="Q314" s="35"/>
      <c r="R314" s="35"/>
      <c r="S314" s="35"/>
      <c r="T314" s="35"/>
      <c r="U314" s="35"/>
      <c r="V314" s="35" t="s">
        <v>405</v>
      </c>
      <c r="W314" s="37">
        <f t="shared" si="11"/>
        <v>0.5</v>
      </c>
      <c r="X314" s="33" t="s">
        <v>43</v>
      </c>
      <c r="Y314" s="33" t="s">
        <v>44</v>
      </c>
      <c r="Z314" s="33" t="s">
        <v>658</v>
      </c>
      <c r="AA314" s="33" t="s">
        <v>46</v>
      </c>
      <c r="AB314" s="33" t="s">
        <v>1693</v>
      </c>
      <c r="AD314" s="33" t="s">
        <v>1694</v>
      </c>
      <c r="AE314" s="33" t="s">
        <v>1528</v>
      </c>
      <c r="AG314" s="33" t="s">
        <v>50</v>
      </c>
      <c r="AH314" s="33" t="s">
        <v>51</v>
      </c>
    </row>
    <row r="315" spans="1:34" ht="280.75">
      <c r="A315" s="35">
        <v>314</v>
      </c>
      <c r="B315" s="3" t="s">
        <v>1695</v>
      </c>
      <c r="C315" s="3" t="s">
        <v>1682</v>
      </c>
      <c r="D315" s="3" t="s">
        <v>1585</v>
      </c>
      <c r="E315" s="3" t="s">
        <v>1696</v>
      </c>
      <c r="F315" s="35" t="s">
        <v>1697</v>
      </c>
      <c r="G315" s="3" t="s">
        <v>38</v>
      </c>
      <c r="H315" s="35" t="str">
        <f t="shared" si="8"/>
        <v>Verify</v>
      </c>
      <c r="I315" s="35" t="s">
        <v>1422</v>
      </c>
      <c r="J315" s="35"/>
      <c r="K315" s="47"/>
      <c r="L315" s="35" t="s">
        <v>1224</v>
      </c>
      <c r="M315" s="35"/>
      <c r="N315" s="35"/>
      <c r="O315" s="35"/>
      <c r="P315" s="35"/>
      <c r="Q315" s="35"/>
      <c r="R315" s="35"/>
      <c r="S315" s="35"/>
      <c r="T315" s="35"/>
      <c r="U315" s="35"/>
      <c r="V315" s="35" t="s">
        <v>405</v>
      </c>
      <c r="W315" s="37">
        <f t="shared" si="11"/>
        <v>0.5</v>
      </c>
      <c r="X315" s="33" t="s">
        <v>43</v>
      </c>
      <c r="Y315" s="33" t="s">
        <v>44</v>
      </c>
      <c r="Z315" s="33" t="s">
        <v>658</v>
      </c>
      <c r="AA315" s="33" t="s">
        <v>46</v>
      </c>
      <c r="AB315" s="33" t="s">
        <v>1698</v>
      </c>
      <c r="AD315" s="33" t="s">
        <v>1699</v>
      </c>
      <c r="AE315" s="33" t="s">
        <v>1528</v>
      </c>
      <c r="AG315" s="33" t="s">
        <v>50</v>
      </c>
      <c r="AH315" s="33" t="s">
        <v>51</v>
      </c>
    </row>
    <row r="316" spans="1:34" ht="249.65">
      <c r="A316" s="35">
        <v>315</v>
      </c>
      <c r="B316" s="3" t="s">
        <v>1700</v>
      </c>
      <c r="C316" s="3" t="s">
        <v>1682</v>
      </c>
      <c r="D316" s="3" t="s">
        <v>1701</v>
      </c>
      <c r="E316" s="3" t="s">
        <v>1702</v>
      </c>
      <c r="F316" s="35" t="s">
        <v>1703</v>
      </c>
      <c r="G316" s="3" t="s">
        <v>38</v>
      </c>
      <c r="H316" s="35" t="str">
        <f t="shared" si="8"/>
        <v>Verify</v>
      </c>
      <c r="I316" s="35" t="s">
        <v>1422</v>
      </c>
      <c r="J316" s="35"/>
      <c r="K316" s="47"/>
      <c r="L316" s="35" t="s">
        <v>1224</v>
      </c>
      <c r="M316" s="35"/>
      <c r="N316" s="35"/>
      <c r="O316" s="35"/>
      <c r="P316" s="35"/>
      <c r="Q316" s="35"/>
      <c r="R316" s="35"/>
      <c r="S316" s="35"/>
      <c r="T316" s="35"/>
      <c r="U316" s="35"/>
      <c r="V316" s="35" t="s">
        <v>405</v>
      </c>
      <c r="W316" s="37">
        <f t="shared" si="11"/>
        <v>0.5</v>
      </c>
      <c r="X316" s="33" t="s">
        <v>43</v>
      </c>
      <c r="Y316" s="33" t="s">
        <v>44</v>
      </c>
      <c r="Z316" s="33" t="s">
        <v>658</v>
      </c>
      <c r="AA316" s="33" t="s">
        <v>46</v>
      </c>
      <c r="AB316" s="33" t="s">
        <v>1704</v>
      </c>
      <c r="AD316" s="33" t="s">
        <v>106</v>
      </c>
      <c r="AE316" s="33" t="s">
        <v>1528</v>
      </c>
      <c r="AG316" s="33" t="s">
        <v>50</v>
      </c>
      <c r="AH316" s="33" t="s">
        <v>51</v>
      </c>
    </row>
    <row r="317" spans="1:34" ht="265.25">
      <c r="A317" s="35">
        <v>316</v>
      </c>
      <c r="B317" s="3" t="s">
        <v>1705</v>
      </c>
      <c r="C317" s="3" t="s">
        <v>1682</v>
      </c>
      <c r="D317" s="3" t="s">
        <v>1706</v>
      </c>
      <c r="E317" s="3" t="s">
        <v>1707</v>
      </c>
      <c r="F317" s="35" t="s">
        <v>1708</v>
      </c>
      <c r="G317" s="3" t="s">
        <v>38</v>
      </c>
      <c r="H317" s="35" t="str">
        <f t="shared" si="8"/>
        <v>Verify</v>
      </c>
      <c r="I317" s="35" t="s">
        <v>1422</v>
      </c>
      <c r="J317" s="35"/>
      <c r="K317" s="47"/>
      <c r="L317" s="35" t="s">
        <v>1224</v>
      </c>
      <c r="M317" s="35"/>
      <c r="N317" s="35"/>
      <c r="O317" s="35"/>
      <c r="P317" s="35"/>
      <c r="Q317" s="35"/>
      <c r="R317" s="35"/>
      <c r="S317" s="35"/>
      <c r="T317" s="35"/>
      <c r="U317" s="35"/>
      <c r="V317" s="35" t="s">
        <v>405</v>
      </c>
      <c r="W317" s="37">
        <f t="shared" si="11"/>
        <v>0.5</v>
      </c>
      <c r="X317" s="33" t="s">
        <v>43</v>
      </c>
      <c r="Y317" s="33" t="s">
        <v>44</v>
      </c>
      <c r="Z317" s="33" t="s">
        <v>658</v>
      </c>
      <c r="AA317" s="33" t="s">
        <v>46</v>
      </c>
      <c r="AB317" s="33" t="s">
        <v>1709</v>
      </c>
      <c r="AD317" s="33" t="s">
        <v>97</v>
      </c>
      <c r="AE317" s="33" t="s">
        <v>1528</v>
      </c>
      <c r="AG317" s="33" t="s">
        <v>50</v>
      </c>
      <c r="AH317" s="33" t="s">
        <v>51</v>
      </c>
    </row>
    <row r="318" spans="1:34" ht="343.25">
      <c r="A318" s="35">
        <v>317</v>
      </c>
      <c r="B318" s="3" t="s">
        <v>1710</v>
      </c>
      <c r="C318" s="3" t="s">
        <v>1682</v>
      </c>
      <c r="D318" s="3" t="s">
        <v>1711</v>
      </c>
      <c r="E318" s="3" t="s">
        <v>1712</v>
      </c>
      <c r="F318" s="35" t="s">
        <v>1713</v>
      </c>
      <c r="G318" s="3" t="s">
        <v>38</v>
      </c>
      <c r="H318" s="35" t="str">
        <f t="shared" si="8"/>
        <v>Verify</v>
      </c>
      <c r="I318" s="35" t="s">
        <v>1422</v>
      </c>
      <c r="J318" s="35"/>
      <c r="K318" s="47"/>
      <c r="L318" s="35" t="s">
        <v>1224</v>
      </c>
      <c r="M318" s="35"/>
      <c r="N318" s="35"/>
      <c r="O318" s="35"/>
      <c r="P318" s="35"/>
      <c r="Q318" s="35"/>
      <c r="R318" s="35"/>
      <c r="S318" s="35"/>
      <c r="T318" s="35"/>
      <c r="U318" s="35"/>
      <c r="V318" s="35" t="s">
        <v>405</v>
      </c>
      <c r="W318" s="37">
        <f t="shared" si="11"/>
        <v>0.5</v>
      </c>
      <c r="X318" s="33" t="s">
        <v>43</v>
      </c>
      <c r="Y318" s="33" t="s">
        <v>44</v>
      </c>
      <c r="Z318" s="33" t="s">
        <v>658</v>
      </c>
      <c r="AA318" s="33" t="s">
        <v>46</v>
      </c>
      <c r="AB318" s="33" t="s">
        <v>1714</v>
      </c>
      <c r="AD318" s="33" t="s">
        <v>1659</v>
      </c>
      <c r="AE318" s="33" t="s">
        <v>1528</v>
      </c>
      <c r="AG318" s="33" t="s">
        <v>50</v>
      </c>
      <c r="AH318" s="33" t="s">
        <v>51</v>
      </c>
    </row>
    <row r="319" spans="1:34" ht="343.25">
      <c r="A319" s="35">
        <v>318</v>
      </c>
      <c r="B319" s="3" t="s">
        <v>1715</v>
      </c>
      <c r="C319" s="3" t="s">
        <v>1682</v>
      </c>
      <c r="D319" s="3" t="s">
        <v>1591</v>
      </c>
      <c r="E319" s="3" t="s">
        <v>1716</v>
      </c>
      <c r="F319" s="35" t="s">
        <v>1717</v>
      </c>
      <c r="G319" s="3" t="s">
        <v>38</v>
      </c>
      <c r="H319" s="35" t="str">
        <f t="shared" si="8"/>
        <v>Verify</v>
      </c>
      <c r="I319" s="35" t="s">
        <v>1422</v>
      </c>
      <c r="J319" s="35"/>
      <c r="K319" s="47"/>
      <c r="L319" s="35" t="s">
        <v>1224</v>
      </c>
      <c r="M319" s="35"/>
      <c r="N319" s="35"/>
      <c r="O319" s="35"/>
      <c r="P319" s="35"/>
      <c r="Q319" s="35"/>
      <c r="R319" s="35"/>
      <c r="S319" s="35"/>
      <c r="T319" s="35"/>
      <c r="U319" s="35"/>
      <c r="V319" s="35" t="s">
        <v>405</v>
      </c>
      <c r="W319" s="37">
        <f t="shared" si="11"/>
        <v>0.5</v>
      </c>
      <c r="X319" s="33" t="s">
        <v>43</v>
      </c>
      <c r="Y319" s="33" t="s">
        <v>44</v>
      </c>
      <c r="Z319" s="33" t="s">
        <v>658</v>
      </c>
      <c r="AA319" s="33" t="s">
        <v>46</v>
      </c>
      <c r="AB319" s="33" t="s">
        <v>1718</v>
      </c>
      <c r="AD319" s="33" t="s">
        <v>1719</v>
      </c>
      <c r="AE319" s="33" t="s">
        <v>1528</v>
      </c>
      <c r="AG319" s="33" t="s">
        <v>50</v>
      </c>
      <c r="AH319" s="33" t="s">
        <v>51</v>
      </c>
    </row>
    <row r="320" spans="1:34" ht="280.75">
      <c r="A320" s="35">
        <v>319</v>
      </c>
      <c r="B320" s="3" t="s">
        <v>1720</v>
      </c>
      <c r="C320" s="3" t="s">
        <v>1682</v>
      </c>
      <c r="D320" s="3" t="s">
        <v>1596</v>
      </c>
      <c r="E320" s="3" t="s">
        <v>1721</v>
      </c>
      <c r="F320" s="35" t="s">
        <v>1722</v>
      </c>
      <c r="G320" s="3" t="s">
        <v>38</v>
      </c>
      <c r="H320" s="35" t="str">
        <f t="shared" si="8"/>
        <v>Verify</v>
      </c>
      <c r="I320" s="35" t="s">
        <v>1422</v>
      </c>
      <c r="J320" s="35"/>
      <c r="K320" s="47"/>
      <c r="L320" s="35" t="s">
        <v>1224</v>
      </c>
      <c r="M320" s="35"/>
      <c r="N320" s="35"/>
      <c r="O320" s="35"/>
      <c r="P320" s="35"/>
      <c r="Q320" s="35"/>
      <c r="R320" s="35"/>
      <c r="S320" s="35"/>
      <c r="T320" s="35"/>
      <c r="U320" s="35"/>
      <c r="V320" s="35" t="s">
        <v>405</v>
      </c>
      <c r="W320" s="37">
        <f t="shared" si="11"/>
        <v>0.5</v>
      </c>
      <c r="X320" s="33" t="s">
        <v>43</v>
      </c>
      <c r="Y320" s="33" t="s">
        <v>44</v>
      </c>
      <c r="Z320" s="33" t="s">
        <v>658</v>
      </c>
      <c r="AA320" s="33" t="s">
        <v>46</v>
      </c>
      <c r="AB320" s="33" t="s">
        <v>1723</v>
      </c>
      <c r="AD320" s="33" t="s">
        <v>278</v>
      </c>
      <c r="AE320" s="33" t="s">
        <v>1528</v>
      </c>
      <c r="AG320" s="33" t="s">
        <v>50</v>
      </c>
      <c r="AH320" s="33" t="s">
        <v>51</v>
      </c>
    </row>
    <row r="321" spans="1:34" ht="280.75">
      <c r="A321" s="35">
        <v>320</v>
      </c>
      <c r="B321" s="3" t="s">
        <v>1724</v>
      </c>
      <c r="C321" s="3" t="s">
        <v>1682</v>
      </c>
      <c r="D321" s="3" t="s">
        <v>1725</v>
      </c>
      <c r="E321" s="3" t="s">
        <v>1726</v>
      </c>
      <c r="F321" s="35" t="s">
        <v>1727</v>
      </c>
      <c r="G321" s="3" t="s">
        <v>38</v>
      </c>
      <c r="H321" s="35" t="str">
        <f t="shared" si="8"/>
        <v>Verify</v>
      </c>
      <c r="I321" s="35" t="s">
        <v>1422</v>
      </c>
      <c r="J321" s="35"/>
      <c r="K321" s="47"/>
      <c r="L321" s="35" t="s">
        <v>1224</v>
      </c>
      <c r="M321" s="35"/>
      <c r="N321" s="35"/>
      <c r="O321" s="35"/>
      <c r="P321" s="35"/>
      <c r="Q321" s="35"/>
      <c r="R321" s="35"/>
      <c r="S321" s="35"/>
      <c r="T321" s="35"/>
      <c r="U321" s="35"/>
      <c r="V321" s="35" t="s">
        <v>405</v>
      </c>
      <c r="W321" s="37">
        <f t="shared" si="11"/>
        <v>0.5</v>
      </c>
      <c r="X321" s="33" t="s">
        <v>43</v>
      </c>
      <c r="Y321" s="33" t="s">
        <v>44</v>
      </c>
      <c r="Z321" s="33" t="s">
        <v>658</v>
      </c>
      <c r="AA321" s="33" t="s">
        <v>46</v>
      </c>
      <c r="AB321" s="33" t="s">
        <v>1728</v>
      </c>
      <c r="AD321" s="33" t="s">
        <v>1729</v>
      </c>
      <c r="AE321" s="33" t="s">
        <v>1528</v>
      </c>
      <c r="AG321" s="33" t="s">
        <v>50</v>
      </c>
      <c r="AH321" s="33" t="s">
        <v>51</v>
      </c>
    </row>
    <row r="322" spans="1:34" ht="358.75">
      <c r="A322" s="35">
        <v>321</v>
      </c>
      <c r="B322" s="3" t="s">
        <v>1730</v>
      </c>
      <c r="C322" s="3" t="s">
        <v>1682</v>
      </c>
      <c r="D322" s="3" t="s">
        <v>1731</v>
      </c>
      <c r="E322" s="3" t="s">
        <v>1732</v>
      </c>
      <c r="F322" s="35" t="s">
        <v>1733</v>
      </c>
      <c r="G322" s="3" t="s">
        <v>38</v>
      </c>
      <c r="H322" s="35" t="str">
        <f t="shared" si="8"/>
        <v>Verify</v>
      </c>
      <c r="I322" s="35" t="s">
        <v>1422</v>
      </c>
      <c r="J322" s="35"/>
      <c r="K322" s="47"/>
      <c r="L322" s="35" t="s">
        <v>1224</v>
      </c>
      <c r="M322" s="35"/>
      <c r="N322" s="35"/>
      <c r="O322" s="35"/>
      <c r="P322" s="35"/>
      <c r="Q322" s="35"/>
      <c r="R322" s="35"/>
      <c r="S322" s="35"/>
      <c r="T322" s="35"/>
      <c r="U322" s="35"/>
      <c r="V322" s="35" t="s">
        <v>405</v>
      </c>
      <c r="W322" s="37">
        <f t="shared" si="11"/>
        <v>0.5</v>
      </c>
      <c r="X322" s="33" t="s">
        <v>43</v>
      </c>
      <c r="Y322" s="33" t="s">
        <v>44</v>
      </c>
      <c r="Z322" s="33" t="s">
        <v>658</v>
      </c>
      <c r="AA322" s="33" t="s">
        <v>46</v>
      </c>
      <c r="AB322" s="33" t="s">
        <v>1734</v>
      </c>
      <c r="AD322" s="33" t="s">
        <v>48</v>
      </c>
      <c r="AE322" s="33" t="s">
        <v>1528</v>
      </c>
      <c r="AG322" s="33" t="s">
        <v>50</v>
      </c>
      <c r="AH322" s="33" t="s">
        <v>51</v>
      </c>
    </row>
    <row r="323" spans="1:34" ht="265.25">
      <c r="A323" s="35">
        <v>322</v>
      </c>
      <c r="B323" s="3" t="s">
        <v>1735</v>
      </c>
      <c r="C323" s="3" t="s">
        <v>1682</v>
      </c>
      <c r="D323" s="3" t="s">
        <v>1736</v>
      </c>
      <c r="E323" s="3" t="s">
        <v>1737</v>
      </c>
      <c r="F323" s="35" t="s">
        <v>1738</v>
      </c>
      <c r="G323" s="3" t="s">
        <v>38</v>
      </c>
      <c r="H323" s="35" t="str">
        <f t="shared" ref="H323:H358" si="12">IF(G323="Evalueringskrav","Answer",(IF(G323="Krav","Check",(IF(G323="Mindstekrav","Verify","")))))</f>
        <v>Verify</v>
      </c>
      <c r="I323" s="35" t="s">
        <v>1422</v>
      </c>
      <c r="J323" s="35"/>
      <c r="K323" s="47"/>
      <c r="L323" s="35" t="s">
        <v>1224</v>
      </c>
      <c r="M323" s="35"/>
      <c r="N323" s="35"/>
      <c r="O323" s="35"/>
      <c r="P323" s="35"/>
      <c r="Q323" s="35"/>
      <c r="R323" s="35"/>
      <c r="S323" s="35"/>
      <c r="T323" s="35"/>
      <c r="U323" s="35"/>
      <c r="V323" s="35" t="s">
        <v>405</v>
      </c>
      <c r="W323" s="37">
        <f t="shared" si="11"/>
        <v>0.5</v>
      </c>
      <c r="X323" s="33" t="s">
        <v>43</v>
      </c>
      <c r="Y323" s="33" t="s">
        <v>44</v>
      </c>
      <c r="Z323" s="33" t="s">
        <v>658</v>
      </c>
      <c r="AA323" s="33" t="s">
        <v>46</v>
      </c>
      <c r="AB323" s="33" t="s">
        <v>1739</v>
      </c>
      <c r="AD323" s="33" t="s">
        <v>97</v>
      </c>
      <c r="AE323" s="33" t="s">
        <v>1528</v>
      </c>
      <c r="AG323" s="33" t="s">
        <v>50</v>
      </c>
      <c r="AH323" s="33" t="s">
        <v>51</v>
      </c>
    </row>
    <row r="324" spans="1:34" ht="312">
      <c r="A324" s="35">
        <v>323</v>
      </c>
      <c r="B324" s="3" t="s">
        <v>1740</v>
      </c>
      <c r="C324" s="3" t="s">
        <v>1682</v>
      </c>
      <c r="D324" s="3" t="s">
        <v>1741</v>
      </c>
      <c r="E324" s="3" t="s">
        <v>1742</v>
      </c>
      <c r="F324" s="35" t="s">
        <v>1743</v>
      </c>
      <c r="G324" s="3" t="s">
        <v>38</v>
      </c>
      <c r="H324" s="35" t="str">
        <f t="shared" si="12"/>
        <v>Verify</v>
      </c>
      <c r="I324" s="35" t="s">
        <v>1422</v>
      </c>
      <c r="J324" s="35"/>
      <c r="K324" s="47"/>
      <c r="L324" s="35" t="s">
        <v>1224</v>
      </c>
      <c r="M324" s="35"/>
      <c r="N324" s="35"/>
      <c r="O324" s="35"/>
      <c r="P324" s="35"/>
      <c r="Q324" s="35"/>
      <c r="R324" s="35"/>
      <c r="S324" s="35"/>
      <c r="T324" s="35"/>
      <c r="U324" s="35"/>
      <c r="V324" s="35" t="s">
        <v>405</v>
      </c>
      <c r="W324" s="37">
        <f t="shared" si="11"/>
        <v>0.5</v>
      </c>
      <c r="X324" s="33" t="s">
        <v>43</v>
      </c>
      <c r="Y324" s="33" t="s">
        <v>44</v>
      </c>
      <c r="Z324" s="33" t="s">
        <v>658</v>
      </c>
      <c r="AA324" s="33" t="s">
        <v>46</v>
      </c>
      <c r="AB324" s="33" t="s">
        <v>1744</v>
      </c>
      <c r="AD324" s="33" t="s">
        <v>1606</v>
      </c>
      <c r="AE324" s="33" t="s">
        <v>1528</v>
      </c>
      <c r="AG324" s="33" t="s">
        <v>50</v>
      </c>
      <c r="AH324" s="33" t="s">
        <v>51</v>
      </c>
    </row>
    <row r="325" spans="1:34" ht="234">
      <c r="A325" s="35">
        <v>324</v>
      </c>
      <c r="B325" s="3" t="s">
        <v>1745</v>
      </c>
      <c r="C325" s="3" t="s">
        <v>1682</v>
      </c>
      <c r="D325" s="3" t="s">
        <v>1746</v>
      </c>
      <c r="E325" s="3" t="s">
        <v>1747</v>
      </c>
      <c r="F325" s="35" t="s">
        <v>1748</v>
      </c>
      <c r="G325" s="3" t="s">
        <v>38</v>
      </c>
      <c r="H325" s="35" t="str">
        <f t="shared" si="12"/>
        <v>Verify</v>
      </c>
      <c r="I325" s="35" t="s">
        <v>1422</v>
      </c>
      <c r="J325" s="35"/>
      <c r="K325" s="47"/>
      <c r="L325" s="35" t="s">
        <v>1224</v>
      </c>
      <c r="M325" s="35"/>
      <c r="N325" s="35"/>
      <c r="O325" s="35"/>
      <c r="P325" s="35"/>
      <c r="Q325" s="35"/>
      <c r="R325" s="35"/>
      <c r="S325" s="35"/>
      <c r="T325" s="35"/>
      <c r="U325" s="35"/>
      <c r="V325" s="35" t="s">
        <v>405</v>
      </c>
      <c r="W325" s="37">
        <f t="shared" si="11"/>
        <v>0.5</v>
      </c>
      <c r="X325" s="33" t="s">
        <v>43</v>
      </c>
      <c r="Y325" s="33" t="s">
        <v>44</v>
      </c>
      <c r="Z325" s="33" t="s">
        <v>658</v>
      </c>
      <c r="AA325" s="33" t="s">
        <v>46</v>
      </c>
      <c r="AB325" s="33" t="s">
        <v>1749</v>
      </c>
      <c r="AD325" s="33" t="s">
        <v>48</v>
      </c>
      <c r="AE325" s="33" t="s">
        <v>1528</v>
      </c>
      <c r="AG325" s="33" t="s">
        <v>50</v>
      </c>
      <c r="AH325" s="33" t="s">
        <v>51</v>
      </c>
    </row>
    <row r="326" spans="1:34" ht="280.75">
      <c r="A326" s="35">
        <v>325</v>
      </c>
      <c r="B326" s="3" t="s">
        <v>1750</v>
      </c>
      <c r="C326" s="3" t="s">
        <v>1682</v>
      </c>
      <c r="D326" s="3" t="s">
        <v>1608</v>
      </c>
      <c r="E326" s="3" t="s">
        <v>1751</v>
      </c>
      <c r="F326" s="35" t="s">
        <v>1752</v>
      </c>
      <c r="G326" s="3" t="s">
        <v>38</v>
      </c>
      <c r="H326" s="35" t="str">
        <f t="shared" si="12"/>
        <v>Verify</v>
      </c>
      <c r="I326" s="35" t="s">
        <v>1422</v>
      </c>
      <c r="J326" s="35"/>
      <c r="K326" s="47"/>
      <c r="L326" s="35" t="s">
        <v>1224</v>
      </c>
      <c r="M326" s="35"/>
      <c r="N326" s="35"/>
      <c r="O326" s="35"/>
      <c r="P326" s="35"/>
      <c r="Q326" s="35"/>
      <c r="R326" s="35"/>
      <c r="S326" s="35"/>
      <c r="T326" s="35"/>
      <c r="U326" s="35"/>
      <c r="V326" s="35" t="s">
        <v>405</v>
      </c>
      <c r="W326" s="37">
        <f t="shared" si="11"/>
        <v>0.5</v>
      </c>
      <c r="X326" s="33" t="s">
        <v>43</v>
      </c>
      <c r="Y326" s="33" t="s">
        <v>44</v>
      </c>
      <c r="Z326" s="33" t="s">
        <v>658</v>
      </c>
      <c r="AA326" s="33" t="s">
        <v>46</v>
      </c>
      <c r="AB326" s="33" t="s">
        <v>1753</v>
      </c>
      <c r="AD326" s="33" t="s">
        <v>1754</v>
      </c>
      <c r="AE326" s="33" t="s">
        <v>1528</v>
      </c>
      <c r="AG326" s="33" t="s">
        <v>50</v>
      </c>
      <c r="AH326" s="33" t="s">
        <v>51</v>
      </c>
    </row>
    <row r="327" spans="1:34" ht="405.65">
      <c r="A327" s="35">
        <v>326</v>
      </c>
      <c r="B327" s="3" t="s">
        <v>1755</v>
      </c>
      <c r="C327" s="3" t="s">
        <v>1682</v>
      </c>
      <c r="D327" s="3" t="s">
        <v>1756</v>
      </c>
      <c r="E327" s="3" t="s">
        <v>1757</v>
      </c>
      <c r="F327" s="35" t="s">
        <v>1758</v>
      </c>
      <c r="G327" s="3" t="s">
        <v>38</v>
      </c>
      <c r="H327" s="35" t="str">
        <f t="shared" si="12"/>
        <v>Verify</v>
      </c>
      <c r="I327" s="35" t="s">
        <v>1422</v>
      </c>
      <c r="J327" s="35"/>
      <c r="K327" s="47"/>
      <c r="L327" s="35" t="s">
        <v>1224</v>
      </c>
      <c r="M327" s="35"/>
      <c r="N327" s="35"/>
      <c r="O327" s="35"/>
      <c r="P327" s="35"/>
      <c r="Q327" s="35"/>
      <c r="R327" s="35"/>
      <c r="S327" s="35"/>
      <c r="T327" s="35"/>
      <c r="U327" s="35"/>
      <c r="V327" s="35" t="s">
        <v>405</v>
      </c>
      <c r="W327" s="37">
        <f t="shared" si="11"/>
        <v>0.5</v>
      </c>
      <c r="X327" s="33" t="s">
        <v>43</v>
      </c>
      <c r="Y327" s="33" t="s">
        <v>44</v>
      </c>
      <c r="Z327" s="33" t="s">
        <v>658</v>
      </c>
      <c r="AA327" s="33" t="s">
        <v>46</v>
      </c>
      <c r="AB327" s="33" t="s">
        <v>1759</v>
      </c>
      <c r="AD327" s="33" t="s">
        <v>1729</v>
      </c>
      <c r="AE327" s="33" t="s">
        <v>1528</v>
      </c>
      <c r="AG327" s="33" t="s">
        <v>50</v>
      </c>
      <c r="AH327" s="33" t="s">
        <v>51</v>
      </c>
    </row>
    <row r="328" spans="1:34" ht="296.39999999999998">
      <c r="A328" s="35">
        <v>327</v>
      </c>
      <c r="B328" s="3" t="s">
        <v>1760</v>
      </c>
      <c r="C328" s="3" t="s">
        <v>1682</v>
      </c>
      <c r="D328" s="3" t="s">
        <v>1761</v>
      </c>
      <c r="E328" s="3" t="s">
        <v>1762</v>
      </c>
      <c r="F328" s="35" t="s">
        <v>1763</v>
      </c>
      <c r="G328" s="3" t="s">
        <v>38</v>
      </c>
      <c r="H328" s="35" t="str">
        <f t="shared" si="12"/>
        <v>Verify</v>
      </c>
      <c r="I328" s="35" t="s">
        <v>1422</v>
      </c>
      <c r="J328" s="35"/>
      <c r="K328" s="47"/>
      <c r="L328" s="35" t="s">
        <v>1224</v>
      </c>
      <c r="M328" s="35"/>
      <c r="N328" s="35"/>
      <c r="O328" s="35"/>
      <c r="P328" s="35"/>
      <c r="Q328" s="35"/>
      <c r="R328" s="35"/>
      <c r="S328" s="35"/>
      <c r="T328" s="35"/>
      <c r="U328" s="35"/>
      <c r="V328" s="35" t="s">
        <v>405</v>
      </c>
      <c r="W328" s="37">
        <f t="shared" si="11"/>
        <v>0.5</v>
      </c>
      <c r="X328" s="33" t="s">
        <v>43</v>
      </c>
      <c r="Y328" s="33" t="s">
        <v>44</v>
      </c>
      <c r="Z328" s="33" t="s">
        <v>658</v>
      </c>
      <c r="AA328" s="33" t="s">
        <v>46</v>
      </c>
      <c r="AB328" s="33" t="s">
        <v>1764</v>
      </c>
      <c r="AD328" s="33" t="s">
        <v>635</v>
      </c>
      <c r="AE328" s="33" t="s">
        <v>1528</v>
      </c>
      <c r="AG328" s="33" t="s">
        <v>50</v>
      </c>
      <c r="AH328" s="33" t="s">
        <v>51</v>
      </c>
    </row>
    <row r="329" spans="1:34" ht="312">
      <c r="A329" s="35">
        <v>328</v>
      </c>
      <c r="B329" s="3" t="s">
        <v>1765</v>
      </c>
      <c r="C329" s="3" t="s">
        <v>1682</v>
      </c>
      <c r="D329" s="3" t="s">
        <v>1614</v>
      </c>
      <c r="E329" s="3" t="s">
        <v>1766</v>
      </c>
      <c r="F329" s="35" t="s">
        <v>1767</v>
      </c>
      <c r="G329" s="3" t="s">
        <v>38</v>
      </c>
      <c r="H329" s="35" t="str">
        <f t="shared" si="12"/>
        <v>Verify</v>
      </c>
      <c r="I329" s="35" t="s">
        <v>1422</v>
      </c>
      <c r="J329" s="35"/>
      <c r="K329" s="47"/>
      <c r="L329" s="35" t="s">
        <v>1224</v>
      </c>
      <c r="M329" s="35"/>
      <c r="N329" s="35"/>
      <c r="O329" s="35"/>
      <c r="P329" s="35"/>
      <c r="Q329" s="35"/>
      <c r="R329" s="35"/>
      <c r="S329" s="35"/>
      <c r="T329" s="35"/>
      <c r="U329" s="35"/>
      <c r="V329" s="35" t="s">
        <v>405</v>
      </c>
      <c r="W329" s="37">
        <f t="shared" si="11"/>
        <v>0.5</v>
      </c>
      <c r="X329" s="33" t="s">
        <v>43</v>
      </c>
      <c r="Y329" s="33" t="s">
        <v>44</v>
      </c>
      <c r="Z329" s="33" t="s">
        <v>658</v>
      </c>
      <c r="AA329" s="33" t="s">
        <v>46</v>
      </c>
      <c r="AB329" s="33" t="s">
        <v>1768</v>
      </c>
      <c r="AD329" s="33" t="s">
        <v>66</v>
      </c>
      <c r="AE329" s="33" t="s">
        <v>1528</v>
      </c>
      <c r="AG329" s="33" t="s">
        <v>50</v>
      </c>
      <c r="AH329" s="33" t="s">
        <v>51</v>
      </c>
    </row>
    <row r="330" spans="1:34" ht="296.39999999999998">
      <c r="A330" s="35">
        <v>329</v>
      </c>
      <c r="B330" s="3" t="s">
        <v>1769</v>
      </c>
      <c r="C330" s="3" t="s">
        <v>1770</v>
      </c>
      <c r="D330" s="3" t="s">
        <v>1530</v>
      </c>
      <c r="E330" s="3" t="s">
        <v>1771</v>
      </c>
      <c r="F330" s="35" t="s">
        <v>1772</v>
      </c>
      <c r="G330" s="3" t="s">
        <v>38</v>
      </c>
      <c r="H330" s="35" t="str">
        <f t="shared" si="12"/>
        <v>Verify</v>
      </c>
      <c r="I330" s="35" t="s">
        <v>1422</v>
      </c>
      <c r="J330" s="35"/>
      <c r="K330" s="47"/>
      <c r="L330" s="35" t="s">
        <v>1224</v>
      </c>
      <c r="M330" s="35"/>
      <c r="N330" s="35"/>
      <c r="O330" s="35"/>
      <c r="P330" s="35"/>
      <c r="Q330" s="35"/>
      <c r="R330" s="35"/>
      <c r="S330" s="35"/>
      <c r="T330" s="35"/>
      <c r="U330" s="35"/>
      <c r="V330" s="35" t="s">
        <v>405</v>
      </c>
      <c r="W330" s="37">
        <f t="shared" si="11"/>
        <v>0.5</v>
      </c>
      <c r="X330" s="33" t="s">
        <v>43</v>
      </c>
      <c r="Y330" s="33" t="s">
        <v>44</v>
      </c>
      <c r="Z330" s="33" t="s">
        <v>658</v>
      </c>
      <c r="AA330" s="33" t="s">
        <v>46</v>
      </c>
      <c r="AB330" s="33" t="s">
        <v>1773</v>
      </c>
      <c r="AD330" s="33" t="s">
        <v>1774</v>
      </c>
      <c r="AE330" s="33" t="s">
        <v>1528</v>
      </c>
      <c r="AG330" s="33" t="s">
        <v>50</v>
      </c>
      <c r="AH330" s="33" t="s">
        <v>51</v>
      </c>
    </row>
    <row r="331" spans="1:34" ht="312">
      <c r="A331" s="35">
        <v>330</v>
      </c>
      <c r="B331" s="3" t="s">
        <v>1775</v>
      </c>
      <c r="C331" s="3" t="s">
        <v>1770</v>
      </c>
      <c r="D331" s="3" t="s">
        <v>1776</v>
      </c>
      <c r="E331" s="3" t="s">
        <v>1777</v>
      </c>
      <c r="F331" s="35" t="s">
        <v>1778</v>
      </c>
      <c r="G331" s="3" t="s">
        <v>38</v>
      </c>
      <c r="H331" s="35" t="str">
        <f t="shared" si="12"/>
        <v>Verify</v>
      </c>
      <c r="I331" s="35" t="s">
        <v>1422</v>
      </c>
      <c r="J331" s="35"/>
      <c r="K331" s="47"/>
      <c r="L331" s="35" t="s">
        <v>1779</v>
      </c>
      <c r="M331" s="35"/>
      <c r="N331" s="35"/>
      <c r="O331" s="35" t="s">
        <v>41</v>
      </c>
      <c r="P331" s="35" t="s">
        <v>1780</v>
      </c>
      <c r="Q331" s="35"/>
      <c r="R331" s="35"/>
      <c r="S331" s="35"/>
      <c r="T331" s="35"/>
      <c r="U331" s="35"/>
      <c r="V331" s="35" t="s">
        <v>1781</v>
      </c>
      <c r="W331" s="37">
        <f t="shared" si="11"/>
        <v>0.9</v>
      </c>
      <c r="X331" s="33" t="s">
        <v>43</v>
      </c>
      <c r="Y331" s="33" t="s">
        <v>44</v>
      </c>
      <c r="Z331" s="33" t="s">
        <v>658</v>
      </c>
      <c r="AA331" s="33" t="s">
        <v>46</v>
      </c>
      <c r="AB331" s="33" t="s">
        <v>1782</v>
      </c>
      <c r="AD331" s="33" t="s">
        <v>1783</v>
      </c>
      <c r="AE331" s="33" t="s">
        <v>1784</v>
      </c>
      <c r="AG331" s="33" t="s">
        <v>50</v>
      </c>
      <c r="AH331" s="33" t="s">
        <v>51</v>
      </c>
    </row>
    <row r="332" spans="1:34" ht="296.39999999999998">
      <c r="A332" s="35">
        <v>331</v>
      </c>
      <c r="B332" s="3" t="s">
        <v>1785</v>
      </c>
      <c r="C332" s="3" t="s">
        <v>1770</v>
      </c>
      <c r="D332" s="3" t="s">
        <v>1535</v>
      </c>
      <c r="E332" s="3" t="s">
        <v>1786</v>
      </c>
      <c r="F332" s="35" t="s">
        <v>1787</v>
      </c>
      <c r="G332" s="3" t="s">
        <v>38</v>
      </c>
      <c r="H332" s="35" t="str">
        <f t="shared" si="12"/>
        <v>Verify</v>
      </c>
      <c r="I332" s="35" t="s">
        <v>1422</v>
      </c>
      <c r="J332" s="35"/>
      <c r="K332" s="47"/>
      <c r="L332" s="35" t="s">
        <v>1779</v>
      </c>
      <c r="M332" s="35"/>
      <c r="N332" s="35"/>
      <c r="O332" s="35" t="s">
        <v>41</v>
      </c>
      <c r="P332" s="35"/>
      <c r="Q332" s="35"/>
      <c r="R332" s="35"/>
      <c r="S332" s="35"/>
      <c r="T332" s="35"/>
      <c r="U332" s="35"/>
      <c r="V332" s="35" t="s">
        <v>1788</v>
      </c>
      <c r="W332" s="37">
        <f t="shared" si="11"/>
        <v>1</v>
      </c>
      <c r="X332" s="33" t="s">
        <v>43</v>
      </c>
      <c r="Y332" s="33" t="s">
        <v>44</v>
      </c>
      <c r="Z332" s="33" t="s">
        <v>658</v>
      </c>
      <c r="AA332" s="33" t="s">
        <v>46</v>
      </c>
      <c r="AB332" s="33" t="s">
        <v>1789</v>
      </c>
      <c r="AD332" s="33" t="s">
        <v>1278</v>
      </c>
      <c r="AE332" s="33" t="s">
        <v>1784</v>
      </c>
      <c r="AG332" s="33" t="s">
        <v>50</v>
      </c>
      <c r="AH332" s="33" t="s">
        <v>51</v>
      </c>
    </row>
    <row r="333" spans="1:34" ht="314.25" customHeight="1">
      <c r="A333" s="35">
        <v>332</v>
      </c>
      <c r="B333" s="3" t="s">
        <v>1790</v>
      </c>
      <c r="C333" s="3" t="s">
        <v>1770</v>
      </c>
      <c r="D333" s="3" t="s">
        <v>1791</v>
      </c>
      <c r="E333" s="3" t="s">
        <v>1792</v>
      </c>
      <c r="F333" s="35" t="s">
        <v>1793</v>
      </c>
      <c r="G333" s="3" t="s">
        <v>38</v>
      </c>
      <c r="H333" s="35" t="str">
        <f t="shared" si="12"/>
        <v>Verify</v>
      </c>
      <c r="I333" s="35" t="s">
        <v>1422</v>
      </c>
      <c r="J333" s="35"/>
      <c r="K333" s="47"/>
      <c r="L333" s="35" t="s">
        <v>1779</v>
      </c>
      <c r="M333" s="35"/>
      <c r="N333" s="35"/>
      <c r="O333" s="35" t="s">
        <v>41</v>
      </c>
      <c r="P333" s="35" t="s">
        <v>1794</v>
      </c>
      <c r="Q333" s="35"/>
      <c r="R333" s="35"/>
      <c r="S333" s="35"/>
      <c r="T333" s="35"/>
      <c r="U333" s="35"/>
      <c r="V333" s="35" t="s">
        <v>1781</v>
      </c>
      <c r="W333" s="37">
        <f t="shared" si="11"/>
        <v>0.9</v>
      </c>
      <c r="X333" s="33" t="s">
        <v>43</v>
      </c>
      <c r="Y333" s="33" t="s">
        <v>44</v>
      </c>
      <c r="Z333" s="33" t="s">
        <v>658</v>
      </c>
      <c r="AA333" s="33" t="s">
        <v>46</v>
      </c>
      <c r="AB333" s="33" t="s">
        <v>1795</v>
      </c>
      <c r="AD333" s="33" t="s">
        <v>106</v>
      </c>
      <c r="AE333" s="33" t="s">
        <v>1784</v>
      </c>
      <c r="AG333" s="33" t="s">
        <v>50</v>
      </c>
      <c r="AH333" s="33" t="s">
        <v>51</v>
      </c>
    </row>
    <row r="334" spans="1:34" ht="265.25">
      <c r="A334" s="35">
        <v>333</v>
      </c>
      <c r="B334" s="3" t="s">
        <v>1796</v>
      </c>
      <c r="C334" s="3" t="s">
        <v>1770</v>
      </c>
      <c r="D334" s="3" t="s">
        <v>1797</v>
      </c>
      <c r="E334" s="3" t="s">
        <v>1798</v>
      </c>
      <c r="F334" s="35" t="s">
        <v>1799</v>
      </c>
      <c r="G334" s="3" t="s">
        <v>38</v>
      </c>
      <c r="H334" s="35" t="str">
        <f t="shared" si="12"/>
        <v>Verify</v>
      </c>
      <c r="I334" s="35" t="s">
        <v>1422</v>
      </c>
      <c r="J334" s="35"/>
      <c r="K334" s="47"/>
      <c r="L334" s="35" t="s">
        <v>1779</v>
      </c>
      <c r="M334" s="35"/>
      <c r="N334" s="35"/>
      <c r="O334" s="35" t="s">
        <v>41</v>
      </c>
      <c r="P334" s="35" t="s">
        <v>1800</v>
      </c>
      <c r="Q334" s="35"/>
      <c r="R334" s="35"/>
      <c r="S334" s="35"/>
      <c r="T334" s="35"/>
      <c r="U334" s="35"/>
      <c r="V334" s="35" t="s">
        <v>1781</v>
      </c>
      <c r="W334" s="37">
        <f t="shared" si="11"/>
        <v>0.9</v>
      </c>
      <c r="X334" s="33" t="s">
        <v>43</v>
      </c>
      <c r="Y334" s="33" t="s">
        <v>44</v>
      </c>
      <c r="Z334" s="33" t="s">
        <v>658</v>
      </c>
      <c r="AA334" s="33" t="s">
        <v>46</v>
      </c>
      <c r="AB334" s="33" t="s">
        <v>1801</v>
      </c>
      <c r="AD334" s="33" t="s">
        <v>176</v>
      </c>
      <c r="AE334" s="33" t="s">
        <v>1784</v>
      </c>
      <c r="AG334" s="33" t="s">
        <v>50</v>
      </c>
      <c r="AH334" s="33" t="s">
        <v>51</v>
      </c>
    </row>
    <row r="335" spans="1:34" ht="296.39999999999998">
      <c r="A335" s="35">
        <v>334</v>
      </c>
      <c r="B335" s="3" t="s">
        <v>1802</v>
      </c>
      <c r="C335" s="3" t="s">
        <v>1770</v>
      </c>
      <c r="D335" s="3" t="s">
        <v>1803</v>
      </c>
      <c r="E335" s="3" t="s">
        <v>1804</v>
      </c>
      <c r="F335" s="35" t="s">
        <v>1805</v>
      </c>
      <c r="G335" s="3" t="s">
        <v>38</v>
      </c>
      <c r="H335" s="35" t="str">
        <f t="shared" si="12"/>
        <v>Verify</v>
      </c>
      <c r="I335" s="35" t="s">
        <v>1422</v>
      </c>
      <c r="J335" s="35"/>
      <c r="K335" s="47"/>
      <c r="L335" s="35" t="s">
        <v>1779</v>
      </c>
      <c r="M335" s="35"/>
      <c r="N335" s="35"/>
      <c r="O335" s="35" t="s">
        <v>41</v>
      </c>
      <c r="P335" s="35" t="s">
        <v>1806</v>
      </c>
      <c r="Q335" s="35"/>
      <c r="R335" s="35"/>
      <c r="S335" s="35"/>
      <c r="T335" s="35"/>
      <c r="U335" s="35"/>
      <c r="V335" s="35" t="s">
        <v>1781</v>
      </c>
      <c r="W335" s="37">
        <f t="shared" si="11"/>
        <v>0.9</v>
      </c>
      <c r="X335" s="33" t="s">
        <v>43</v>
      </c>
      <c r="Y335" s="33" t="s">
        <v>44</v>
      </c>
      <c r="Z335" s="33" t="s">
        <v>658</v>
      </c>
      <c r="AA335" s="33" t="s">
        <v>46</v>
      </c>
      <c r="AB335" s="33" t="s">
        <v>1807</v>
      </c>
      <c r="AD335" s="33" t="s">
        <v>1278</v>
      </c>
      <c r="AE335" s="33" t="s">
        <v>1784</v>
      </c>
      <c r="AG335" s="33" t="s">
        <v>50</v>
      </c>
      <c r="AH335" s="33" t="s">
        <v>51</v>
      </c>
    </row>
    <row r="336" spans="1:34" ht="93.65">
      <c r="A336" s="35">
        <v>335</v>
      </c>
      <c r="B336" s="3" t="s">
        <v>1808</v>
      </c>
      <c r="C336" s="3" t="s">
        <v>1770</v>
      </c>
      <c r="D336" s="3" t="s">
        <v>1541</v>
      </c>
      <c r="E336" s="3" t="s">
        <v>1809</v>
      </c>
      <c r="F336" s="35" t="s">
        <v>1809</v>
      </c>
      <c r="G336" s="3" t="s">
        <v>38</v>
      </c>
      <c r="H336" s="35" t="str">
        <f t="shared" si="12"/>
        <v>Verify</v>
      </c>
      <c r="I336" s="35" t="s">
        <v>1422</v>
      </c>
      <c r="J336" s="35"/>
      <c r="K336" s="47"/>
      <c r="L336" s="35" t="s">
        <v>1779</v>
      </c>
      <c r="M336" s="35"/>
      <c r="N336" s="35"/>
      <c r="O336" s="35" t="s">
        <v>41</v>
      </c>
      <c r="P336" s="35"/>
      <c r="Q336" s="35"/>
      <c r="R336" s="35"/>
      <c r="S336" s="35"/>
      <c r="T336" s="35"/>
      <c r="U336" s="35"/>
      <c r="V336" s="35" t="s">
        <v>1788</v>
      </c>
      <c r="W336" s="37">
        <f t="shared" si="11"/>
        <v>1</v>
      </c>
      <c r="X336" s="33" t="s">
        <v>43</v>
      </c>
      <c r="Y336" s="33" t="s">
        <v>44</v>
      </c>
      <c r="Z336" s="33" t="s">
        <v>658</v>
      </c>
      <c r="AA336" s="33" t="s">
        <v>119</v>
      </c>
      <c r="AB336" s="33" t="s">
        <v>1810</v>
      </c>
      <c r="AD336" s="33" t="s">
        <v>1811</v>
      </c>
      <c r="AE336" s="33" t="s">
        <v>1784</v>
      </c>
      <c r="AG336" s="33" t="s">
        <v>50</v>
      </c>
      <c r="AH336" s="33" t="s">
        <v>51</v>
      </c>
    </row>
    <row r="337" spans="1:34" ht="312">
      <c r="A337" s="35">
        <v>336</v>
      </c>
      <c r="B337" s="3" t="s">
        <v>1812</v>
      </c>
      <c r="C337" s="3" t="s">
        <v>1770</v>
      </c>
      <c r="D337" s="3" t="s">
        <v>1813</v>
      </c>
      <c r="E337" s="3" t="s">
        <v>1814</v>
      </c>
      <c r="F337" s="35" t="s">
        <v>1815</v>
      </c>
      <c r="G337" s="3" t="s">
        <v>38</v>
      </c>
      <c r="H337" s="35" t="str">
        <f t="shared" si="12"/>
        <v>Verify</v>
      </c>
      <c r="I337" s="35" t="s">
        <v>1422</v>
      </c>
      <c r="J337" s="35"/>
      <c r="K337" s="47"/>
      <c r="L337" s="35" t="s">
        <v>1779</v>
      </c>
      <c r="M337" s="35"/>
      <c r="N337" s="35"/>
      <c r="O337" s="35" t="s">
        <v>348</v>
      </c>
      <c r="P337" s="35" t="s">
        <v>1816</v>
      </c>
      <c r="Q337" s="35"/>
      <c r="R337" s="35"/>
      <c r="S337" s="35"/>
      <c r="T337" s="35"/>
      <c r="U337" s="35"/>
      <c r="V337" s="35" t="s">
        <v>1781</v>
      </c>
      <c r="W337" s="37">
        <f t="shared" si="11"/>
        <v>0.9</v>
      </c>
      <c r="X337" s="33" t="s">
        <v>43</v>
      </c>
      <c r="Y337" s="33" t="s">
        <v>44</v>
      </c>
      <c r="Z337" s="33" t="s">
        <v>658</v>
      </c>
      <c r="AA337" s="33" t="s">
        <v>46</v>
      </c>
      <c r="AB337" s="33" t="s">
        <v>1817</v>
      </c>
      <c r="AD337" s="33" t="s">
        <v>66</v>
      </c>
      <c r="AE337" s="33" t="s">
        <v>1784</v>
      </c>
      <c r="AG337" s="33" t="s">
        <v>50</v>
      </c>
      <c r="AH337" s="33" t="s">
        <v>51</v>
      </c>
    </row>
    <row r="338" spans="1:34" ht="265.25">
      <c r="A338" s="35">
        <v>337</v>
      </c>
      <c r="B338" s="3" t="s">
        <v>1818</v>
      </c>
      <c r="C338" s="3" t="s">
        <v>1770</v>
      </c>
      <c r="D338" s="3" t="s">
        <v>1546</v>
      </c>
      <c r="E338" s="3" t="s">
        <v>1819</v>
      </c>
      <c r="F338" s="35" t="s">
        <v>1820</v>
      </c>
      <c r="G338" s="3" t="s">
        <v>38</v>
      </c>
      <c r="H338" s="35" t="str">
        <f t="shared" si="12"/>
        <v>Verify</v>
      </c>
      <c r="I338" s="35" t="s">
        <v>1422</v>
      </c>
      <c r="J338" s="35"/>
      <c r="K338" s="47"/>
      <c r="L338" s="35" t="s">
        <v>1779</v>
      </c>
      <c r="M338" s="35"/>
      <c r="N338" s="35"/>
      <c r="O338" s="35" t="s">
        <v>348</v>
      </c>
      <c r="P338" s="35" t="s">
        <v>1821</v>
      </c>
      <c r="Q338" s="35"/>
      <c r="R338" s="35"/>
      <c r="S338" s="35"/>
      <c r="T338" s="35"/>
      <c r="U338" s="35"/>
      <c r="V338" s="35" t="s">
        <v>405</v>
      </c>
      <c r="W338" s="37">
        <f t="shared" si="11"/>
        <v>0.5</v>
      </c>
      <c r="X338" s="33" t="s">
        <v>43</v>
      </c>
      <c r="Y338" s="33" t="s">
        <v>44</v>
      </c>
      <c r="Z338" s="33" t="s">
        <v>658</v>
      </c>
      <c r="AA338" s="33" t="s">
        <v>46</v>
      </c>
      <c r="AB338" s="33" t="s">
        <v>1822</v>
      </c>
      <c r="AD338" s="33" t="s">
        <v>176</v>
      </c>
      <c r="AE338" s="33" t="s">
        <v>1784</v>
      </c>
      <c r="AG338" s="33" t="s">
        <v>50</v>
      </c>
      <c r="AH338" s="33" t="s">
        <v>51</v>
      </c>
    </row>
    <row r="339" spans="1:34" ht="312">
      <c r="A339" s="35">
        <v>338</v>
      </c>
      <c r="B339" s="3" t="s">
        <v>1823</v>
      </c>
      <c r="C339" s="3" t="s">
        <v>1770</v>
      </c>
      <c r="D339" s="3" t="s">
        <v>1824</v>
      </c>
      <c r="E339" s="3" t="s">
        <v>1825</v>
      </c>
      <c r="F339" s="35" t="s">
        <v>1826</v>
      </c>
      <c r="G339" s="3" t="s">
        <v>38</v>
      </c>
      <c r="H339" s="35" t="str">
        <f t="shared" si="12"/>
        <v>Verify</v>
      </c>
      <c r="I339" s="35" t="s">
        <v>1422</v>
      </c>
      <c r="J339" s="35"/>
      <c r="K339" s="47"/>
      <c r="L339" s="35" t="s">
        <v>1779</v>
      </c>
      <c r="M339" s="35"/>
      <c r="N339" s="35"/>
      <c r="O339" s="35" t="s">
        <v>348</v>
      </c>
      <c r="P339" s="35" t="s">
        <v>1821</v>
      </c>
      <c r="Q339" s="35"/>
      <c r="R339" s="35"/>
      <c r="S339" s="35"/>
      <c r="T339" s="35"/>
      <c r="U339" s="35"/>
      <c r="V339" s="35" t="s">
        <v>405</v>
      </c>
      <c r="W339" s="37">
        <f t="shared" si="11"/>
        <v>0.5</v>
      </c>
      <c r="X339" s="33" t="s">
        <v>43</v>
      </c>
      <c r="Y339" s="33" t="s">
        <v>44</v>
      </c>
      <c r="Z339" s="33" t="s">
        <v>658</v>
      </c>
      <c r="AA339" s="33" t="s">
        <v>46</v>
      </c>
      <c r="AB339" s="33" t="s">
        <v>1827</v>
      </c>
      <c r="AD339" s="33" t="s">
        <v>66</v>
      </c>
      <c r="AE339" s="33" t="s">
        <v>1784</v>
      </c>
      <c r="AG339" s="33" t="s">
        <v>50</v>
      </c>
      <c r="AH339" s="33" t="s">
        <v>51</v>
      </c>
    </row>
    <row r="340" spans="1:34" ht="296.39999999999998">
      <c r="A340" s="35">
        <v>339</v>
      </c>
      <c r="B340" s="3" t="s">
        <v>1828</v>
      </c>
      <c r="C340" s="3" t="s">
        <v>1770</v>
      </c>
      <c r="D340" s="3" t="s">
        <v>1635</v>
      </c>
      <c r="E340" s="3" t="s">
        <v>1829</v>
      </c>
      <c r="F340" s="35" t="s">
        <v>1830</v>
      </c>
      <c r="G340" s="3" t="s">
        <v>38</v>
      </c>
      <c r="H340" s="35" t="str">
        <f t="shared" si="12"/>
        <v>Verify</v>
      </c>
      <c r="I340" s="35" t="s">
        <v>1422</v>
      </c>
      <c r="J340" s="35"/>
      <c r="K340" s="47"/>
      <c r="L340" s="35" t="s">
        <v>1779</v>
      </c>
      <c r="M340" s="35"/>
      <c r="N340" s="35"/>
      <c r="O340" s="35" t="s">
        <v>348</v>
      </c>
      <c r="P340" s="35" t="s">
        <v>1821</v>
      </c>
      <c r="Q340" s="35"/>
      <c r="R340" s="35"/>
      <c r="S340" s="35"/>
      <c r="T340" s="35"/>
      <c r="U340" s="35"/>
      <c r="V340" s="35" t="s">
        <v>405</v>
      </c>
      <c r="W340" s="37">
        <f t="shared" si="11"/>
        <v>0.5</v>
      </c>
      <c r="X340" s="33" t="s">
        <v>43</v>
      </c>
      <c r="Y340" s="33" t="s">
        <v>44</v>
      </c>
      <c r="Z340" s="33" t="s">
        <v>658</v>
      </c>
      <c r="AA340" s="33" t="s">
        <v>46</v>
      </c>
      <c r="AB340" s="33" t="s">
        <v>1831</v>
      </c>
      <c r="AD340" s="33" t="s">
        <v>1337</v>
      </c>
      <c r="AE340" s="33" t="s">
        <v>1784</v>
      </c>
      <c r="AG340" s="33" t="s">
        <v>50</v>
      </c>
      <c r="AH340" s="33" t="s">
        <v>51</v>
      </c>
    </row>
    <row r="341" spans="1:34" ht="312">
      <c r="A341" s="35">
        <v>340</v>
      </c>
      <c r="B341" s="3" t="s">
        <v>1832</v>
      </c>
      <c r="C341" s="3" t="s">
        <v>1770</v>
      </c>
      <c r="D341" s="3" t="s">
        <v>1833</v>
      </c>
      <c r="E341" s="3" t="s">
        <v>1834</v>
      </c>
      <c r="F341" s="35" t="s">
        <v>1835</v>
      </c>
      <c r="G341" s="3" t="s">
        <v>38</v>
      </c>
      <c r="H341" s="35" t="str">
        <f t="shared" si="12"/>
        <v>Verify</v>
      </c>
      <c r="I341" s="35" t="s">
        <v>1422</v>
      </c>
      <c r="J341" s="35"/>
      <c r="K341" s="47"/>
      <c r="L341" s="35" t="s">
        <v>1779</v>
      </c>
      <c r="M341" s="35"/>
      <c r="N341" s="35"/>
      <c r="O341" s="35" t="s">
        <v>348</v>
      </c>
      <c r="P341" s="35" t="s">
        <v>1821</v>
      </c>
      <c r="Q341" s="35"/>
      <c r="R341" s="35"/>
      <c r="S341" s="35"/>
      <c r="T341" s="35"/>
      <c r="U341" s="35"/>
      <c r="V341" s="35" t="s">
        <v>405</v>
      </c>
      <c r="W341" s="37">
        <f t="shared" si="11"/>
        <v>0.5</v>
      </c>
      <c r="X341" s="33" t="s">
        <v>43</v>
      </c>
      <c r="Y341" s="33" t="s">
        <v>44</v>
      </c>
      <c r="Z341" s="33" t="s">
        <v>658</v>
      </c>
      <c r="AA341" s="33" t="s">
        <v>46</v>
      </c>
      <c r="AB341" s="33" t="s">
        <v>1836</v>
      </c>
      <c r="AD341" s="33" t="s">
        <v>1628</v>
      </c>
      <c r="AE341" s="33" t="s">
        <v>1784</v>
      </c>
      <c r="AG341" s="33" t="s">
        <v>50</v>
      </c>
      <c r="AH341" s="33" t="s">
        <v>51</v>
      </c>
    </row>
    <row r="342" spans="1:34" ht="312">
      <c r="A342" s="35">
        <v>341</v>
      </c>
      <c r="B342" s="3" t="s">
        <v>1837</v>
      </c>
      <c r="C342" s="3" t="s">
        <v>1770</v>
      </c>
      <c r="D342" s="3" t="s">
        <v>1838</v>
      </c>
      <c r="E342" s="3" t="s">
        <v>1839</v>
      </c>
      <c r="F342" s="35" t="s">
        <v>1840</v>
      </c>
      <c r="G342" s="3" t="s">
        <v>38</v>
      </c>
      <c r="H342" s="35" t="str">
        <f t="shared" si="12"/>
        <v>Verify</v>
      </c>
      <c r="I342" s="35" t="s">
        <v>1422</v>
      </c>
      <c r="J342" s="35"/>
      <c r="K342" s="47"/>
      <c r="L342" s="35" t="s">
        <v>1779</v>
      </c>
      <c r="M342" s="35"/>
      <c r="N342" s="35"/>
      <c r="O342" s="35" t="s">
        <v>348</v>
      </c>
      <c r="P342" s="35" t="s">
        <v>1821</v>
      </c>
      <c r="Q342" s="35"/>
      <c r="R342" s="35"/>
      <c r="S342" s="35"/>
      <c r="T342" s="35"/>
      <c r="U342" s="35"/>
      <c r="V342" s="35" t="s">
        <v>405</v>
      </c>
      <c r="W342" s="37">
        <f t="shared" si="11"/>
        <v>0.5</v>
      </c>
      <c r="X342" s="33" t="s">
        <v>43</v>
      </c>
      <c r="Y342" s="33" t="s">
        <v>44</v>
      </c>
      <c r="Z342" s="33" t="s">
        <v>658</v>
      </c>
      <c r="AA342" s="33" t="s">
        <v>46</v>
      </c>
      <c r="AB342" s="33" t="s">
        <v>1841</v>
      </c>
      <c r="AD342" s="33" t="s">
        <v>1842</v>
      </c>
      <c r="AE342" s="33" t="s">
        <v>1784</v>
      </c>
      <c r="AG342" s="33" t="s">
        <v>50</v>
      </c>
      <c r="AH342" s="33" t="s">
        <v>51</v>
      </c>
    </row>
    <row r="343" spans="1:34" ht="312">
      <c r="A343" s="35">
        <v>342</v>
      </c>
      <c r="B343" s="3" t="s">
        <v>1843</v>
      </c>
      <c r="C343" s="3" t="s">
        <v>1770</v>
      </c>
      <c r="D343" s="3" t="s">
        <v>1844</v>
      </c>
      <c r="E343" s="3" t="s">
        <v>1845</v>
      </c>
      <c r="F343" s="35" t="s">
        <v>1846</v>
      </c>
      <c r="G343" s="3" t="s">
        <v>38</v>
      </c>
      <c r="H343" s="35" t="str">
        <f t="shared" si="12"/>
        <v>Verify</v>
      </c>
      <c r="I343" s="35" t="s">
        <v>1422</v>
      </c>
      <c r="J343" s="35"/>
      <c r="K343" s="47"/>
      <c r="L343" s="35" t="s">
        <v>1779</v>
      </c>
      <c r="M343" s="35"/>
      <c r="N343" s="35"/>
      <c r="O343" s="35" t="s">
        <v>348</v>
      </c>
      <c r="P343" s="35" t="s">
        <v>1821</v>
      </c>
      <c r="Q343" s="35"/>
      <c r="R343" s="35"/>
      <c r="S343" s="35"/>
      <c r="T343" s="35"/>
      <c r="U343" s="35"/>
      <c r="V343" s="35" t="s">
        <v>405</v>
      </c>
      <c r="W343" s="37">
        <f t="shared" si="11"/>
        <v>0.5</v>
      </c>
      <c r="X343" s="33" t="s">
        <v>43</v>
      </c>
      <c r="Y343" s="33" t="s">
        <v>44</v>
      </c>
      <c r="Z343" s="33" t="s">
        <v>658</v>
      </c>
      <c r="AA343" s="33" t="s">
        <v>46</v>
      </c>
      <c r="AB343" s="33" t="s">
        <v>1847</v>
      </c>
      <c r="AD343" s="33" t="s">
        <v>1318</v>
      </c>
      <c r="AE343" s="33" t="s">
        <v>1784</v>
      </c>
      <c r="AG343" s="33" t="s">
        <v>50</v>
      </c>
      <c r="AH343" s="33" t="s">
        <v>51</v>
      </c>
    </row>
    <row r="344" spans="1:34" ht="296.39999999999998">
      <c r="A344" s="35">
        <v>343</v>
      </c>
      <c r="B344" s="3" t="s">
        <v>1848</v>
      </c>
      <c r="C344" s="3" t="s">
        <v>1770</v>
      </c>
      <c r="D344" s="3" t="s">
        <v>1849</v>
      </c>
      <c r="E344" s="3" t="s">
        <v>1850</v>
      </c>
      <c r="F344" s="35" t="s">
        <v>1851</v>
      </c>
      <c r="G344" s="3" t="s">
        <v>38</v>
      </c>
      <c r="H344" s="35" t="str">
        <f t="shared" si="12"/>
        <v>Verify</v>
      </c>
      <c r="I344" s="35" t="s">
        <v>1422</v>
      </c>
      <c r="J344" s="35"/>
      <c r="K344" s="47"/>
      <c r="L344" s="35" t="s">
        <v>1779</v>
      </c>
      <c r="M344" s="35"/>
      <c r="N344" s="35"/>
      <c r="O344" s="35" t="s">
        <v>348</v>
      </c>
      <c r="P344" s="35" t="s">
        <v>1821</v>
      </c>
      <c r="Q344" s="35"/>
      <c r="R344" s="35"/>
      <c r="S344" s="35"/>
      <c r="T344" s="35"/>
      <c r="U344" s="35"/>
      <c r="V344" s="35" t="s">
        <v>405</v>
      </c>
      <c r="W344" s="37">
        <f t="shared" si="11"/>
        <v>0.5</v>
      </c>
      <c r="X344" s="33" t="s">
        <v>43</v>
      </c>
      <c r="Y344" s="33" t="s">
        <v>44</v>
      </c>
      <c r="Z344" s="33" t="s">
        <v>658</v>
      </c>
      <c r="AA344" s="33" t="s">
        <v>46</v>
      </c>
      <c r="AB344" s="33" t="s">
        <v>1852</v>
      </c>
      <c r="AD344" s="33" t="s">
        <v>1774</v>
      </c>
      <c r="AE344" s="33" t="s">
        <v>1784</v>
      </c>
      <c r="AG344" s="33" t="s">
        <v>50</v>
      </c>
      <c r="AH344" s="33" t="s">
        <v>51</v>
      </c>
    </row>
    <row r="345" spans="1:34" ht="409.6">
      <c r="A345" s="35">
        <v>344</v>
      </c>
      <c r="B345" s="3" t="s">
        <v>1853</v>
      </c>
      <c r="C345" s="3" t="s">
        <v>1770</v>
      </c>
      <c r="D345" s="3" t="s">
        <v>1552</v>
      </c>
      <c r="E345" s="3" t="s">
        <v>1854</v>
      </c>
      <c r="F345" s="35" t="s">
        <v>1855</v>
      </c>
      <c r="G345" s="3" t="s">
        <v>38</v>
      </c>
      <c r="H345" s="35" t="str">
        <f t="shared" si="12"/>
        <v>Verify</v>
      </c>
      <c r="I345" s="35" t="s">
        <v>1422</v>
      </c>
      <c r="J345" s="35"/>
      <c r="K345" s="47"/>
      <c r="L345" s="35" t="s">
        <v>1779</v>
      </c>
      <c r="M345" s="35"/>
      <c r="N345" s="35"/>
      <c r="O345" s="35" t="s">
        <v>348</v>
      </c>
      <c r="P345" s="35" t="s">
        <v>1816</v>
      </c>
      <c r="Q345" s="35"/>
      <c r="R345" s="35"/>
      <c r="S345" s="35"/>
      <c r="T345" s="35"/>
      <c r="U345" s="35"/>
      <c r="V345" s="35" t="s">
        <v>1781</v>
      </c>
      <c r="W345" s="37">
        <f t="shared" si="11"/>
        <v>0.9</v>
      </c>
      <c r="X345" s="33" t="s">
        <v>43</v>
      </c>
      <c r="Y345" s="33" t="s">
        <v>44</v>
      </c>
      <c r="Z345" s="33" t="s">
        <v>658</v>
      </c>
      <c r="AA345" s="33" t="s">
        <v>46</v>
      </c>
      <c r="AB345" s="33" t="s">
        <v>1856</v>
      </c>
      <c r="AD345" s="33" t="s">
        <v>1857</v>
      </c>
      <c r="AE345" s="33" t="s">
        <v>1784</v>
      </c>
      <c r="AG345" s="33" t="s">
        <v>50</v>
      </c>
      <c r="AH345" s="33" t="s">
        <v>51</v>
      </c>
    </row>
    <row r="346" spans="1:34" ht="405.65">
      <c r="A346" s="35">
        <v>345</v>
      </c>
      <c r="B346" s="3" t="s">
        <v>1858</v>
      </c>
      <c r="C346" s="3" t="s">
        <v>1770</v>
      </c>
      <c r="D346" s="3" t="s">
        <v>1557</v>
      </c>
      <c r="E346" s="3" t="s">
        <v>1859</v>
      </c>
      <c r="F346" s="35" t="s">
        <v>1860</v>
      </c>
      <c r="G346" s="3" t="s">
        <v>38</v>
      </c>
      <c r="H346" s="35" t="str">
        <f t="shared" si="12"/>
        <v>Verify</v>
      </c>
      <c r="I346" s="35" t="s">
        <v>1422</v>
      </c>
      <c r="J346" s="35"/>
      <c r="K346" s="47"/>
      <c r="L346" s="35" t="s">
        <v>1779</v>
      </c>
      <c r="M346" s="35"/>
      <c r="N346" s="35"/>
      <c r="O346" s="35" t="s">
        <v>41</v>
      </c>
      <c r="P346" s="35"/>
      <c r="Q346" s="35"/>
      <c r="R346" s="35"/>
      <c r="S346" s="35"/>
      <c r="T346" s="35"/>
      <c r="U346" s="35"/>
      <c r="V346" s="35" t="s">
        <v>1788</v>
      </c>
      <c r="W346" s="37">
        <f t="shared" si="11"/>
        <v>1</v>
      </c>
      <c r="X346" s="33" t="s">
        <v>43</v>
      </c>
      <c r="Y346" s="33" t="s">
        <v>44</v>
      </c>
      <c r="Z346" s="33" t="s">
        <v>658</v>
      </c>
      <c r="AA346" s="33" t="s">
        <v>46</v>
      </c>
      <c r="AB346" s="33" t="s">
        <v>1861</v>
      </c>
      <c r="AD346" s="33" t="s">
        <v>381</v>
      </c>
      <c r="AE346" s="33" t="s">
        <v>1784</v>
      </c>
      <c r="AG346" s="33" t="s">
        <v>50</v>
      </c>
      <c r="AH346" s="33" t="s">
        <v>51</v>
      </c>
    </row>
    <row r="347" spans="1:34" ht="409.6">
      <c r="A347" s="35">
        <v>346</v>
      </c>
      <c r="B347" s="3" t="s">
        <v>1862</v>
      </c>
      <c r="C347" s="3" t="s">
        <v>1770</v>
      </c>
      <c r="D347" s="3" t="s">
        <v>1562</v>
      </c>
      <c r="E347" s="3" t="s">
        <v>1863</v>
      </c>
      <c r="F347" s="35" t="s">
        <v>1864</v>
      </c>
      <c r="G347" s="3" t="s">
        <v>38</v>
      </c>
      <c r="H347" s="35" t="str">
        <f t="shared" si="12"/>
        <v>Verify</v>
      </c>
      <c r="I347" s="35" t="s">
        <v>1422</v>
      </c>
      <c r="J347" s="35"/>
      <c r="K347" s="47"/>
      <c r="L347" s="35" t="s">
        <v>1779</v>
      </c>
      <c r="M347" s="35"/>
      <c r="N347" s="35"/>
      <c r="O347" s="35" t="s">
        <v>348</v>
      </c>
      <c r="P347" s="35" t="s">
        <v>1816</v>
      </c>
      <c r="Q347" s="35"/>
      <c r="R347" s="35"/>
      <c r="S347" s="35"/>
      <c r="T347" s="35"/>
      <c r="U347" s="35"/>
      <c r="V347" s="35" t="s">
        <v>1781</v>
      </c>
      <c r="W347" s="37">
        <f t="shared" si="11"/>
        <v>0.9</v>
      </c>
      <c r="X347" s="33" t="s">
        <v>43</v>
      </c>
      <c r="Y347" s="33" t="s">
        <v>44</v>
      </c>
      <c r="Z347" s="33" t="s">
        <v>658</v>
      </c>
      <c r="AA347" s="33" t="s">
        <v>46</v>
      </c>
      <c r="AB347" s="33" t="s">
        <v>1865</v>
      </c>
      <c r="AD347" s="33" t="s">
        <v>1866</v>
      </c>
      <c r="AE347" s="33" t="s">
        <v>1784</v>
      </c>
      <c r="AG347" s="33" t="s">
        <v>50</v>
      </c>
      <c r="AH347" s="33" t="s">
        <v>51</v>
      </c>
    </row>
    <row r="348" spans="1:34" ht="409.6">
      <c r="A348" s="35">
        <v>347</v>
      </c>
      <c r="B348" s="3" t="s">
        <v>1867</v>
      </c>
      <c r="C348" s="3"/>
      <c r="D348" s="3">
        <v>3</v>
      </c>
      <c r="E348" s="3" t="s">
        <v>1868</v>
      </c>
      <c r="F348" s="35" t="s">
        <v>1869</v>
      </c>
      <c r="G348" s="3" t="s">
        <v>38</v>
      </c>
      <c r="H348" s="35" t="str">
        <f t="shared" si="12"/>
        <v>Verify</v>
      </c>
      <c r="I348" s="35" t="s">
        <v>1422</v>
      </c>
      <c r="J348" s="35"/>
      <c r="K348" s="47"/>
      <c r="L348" s="35" t="s">
        <v>1779</v>
      </c>
      <c r="M348" s="35"/>
      <c r="N348" s="35"/>
      <c r="O348" s="35"/>
      <c r="P348" s="35" t="e" vm="1">
        <v>#VALUE!</v>
      </c>
      <c r="Q348" s="35"/>
      <c r="R348" s="35"/>
      <c r="S348" s="35" t="s">
        <v>78</v>
      </c>
      <c r="T348" s="35" t="s">
        <v>78</v>
      </c>
      <c r="U348" s="35"/>
      <c r="V348" s="35" t="s">
        <v>79</v>
      </c>
      <c r="W348" s="37"/>
    </row>
    <row r="349" spans="1:34" ht="249.65">
      <c r="A349" s="35">
        <v>348</v>
      </c>
      <c r="B349" s="3" t="s">
        <v>1870</v>
      </c>
      <c r="C349" s="3" t="s">
        <v>1871</v>
      </c>
      <c r="D349" s="3" t="s">
        <v>1524</v>
      </c>
      <c r="E349" s="3" t="s">
        <v>1872</v>
      </c>
      <c r="F349" s="35" t="s">
        <v>1873</v>
      </c>
      <c r="G349" s="3" t="s">
        <v>38</v>
      </c>
      <c r="H349" s="35" t="str">
        <f t="shared" si="12"/>
        <v>Verify</v>
      </c>
      <c r="I349" s="35" t="s">
        <v>1422</v>
      </c>
      <c r="J349" s="35"/>
      <c r="K349" s="47"/>
      <c r="L349" s="35" t="s">
        <v>1224</v>
      </c>
      <c r="M349" s="35"/>
      <c r="N349" s="35"/>
      <c r="O349" s="35"/>
      <c r="P349" s="35"/>
      <c r="Q349" s="35"/>
      <c r="R349" s="35"/>
      <c r="S349" s="35"/>
      <c r="T349" s="35"/>
      <c r="U349" s="35"/>
      <c r="V349" s="35" t="s">
        <v>405</v>
      </c>
      <c r="W349" s="37">
        <f t="shared" si="11"/>
        <v>0.5</v>
      </c>
      <c r="X349" s="33" t="s">
        <v>43</v>
      </c>
      <c r="Y349" s="33" t="s">
        <v>44</v>
      </c>
      <c r="Z349" s="33" t="s">
        <v>658</v>
      </c>
      <c r="AA349" s="33" t="s">
        <v>46</v>
      </c>
      <c r="AB349" s="33" t="s">
        <v>1874</v>
      </c>
      <c r="AD349" s="33" t="s">
        <v>106</v>
      </c>
      <c r="AE349" s="33" t="s">
        <v>1528</v>
      </c>
      <c r="AG349" s="33" t="s">
        <v>50</v>
      </c>
      <c r="AH349" s="33" t="s">
        <v>51</v>
      </c>
    </row>
    <row r="350" spans="1:34" ht="409.6">
      <c r="A350" s="35">
        <v>349</v>
      </c>
      <c r="B350" s="3" t="s">
        <v>1875</v>
      </c>
      <c r="C350" s="3" t="s">
        <v>1871</v>
      </c>
      <c r="D350" s="3" t="s">
        <v>1530</v>
      </c>
      <c r="E350" s="3" t="s">
        <v>1876</v>
      </c>
      <c r="F350" s="35" t="s">
        <v>1877</v>
      </c>
      <c r="G350" s="3" t="s">
        <v>38</v>
      </c>
      <c r="H350" s="35" t="str">
        <f t="shared" si="12"/>
        <v>Verify</v>
      </c>
      <c r="I350" s="35" t="s">
        <v>1422</v>
      </c>
      <c r="J350" s="35"/>
      <c r="K350" s="47"/>
      <c r="L350" s="35" t="s">
        <v>1224</v>
      </c>
      <c r="M350" s="35"/>
      <c r="N350" s="35"/>
      <c r="O350" s="35"/>
      <c r="P350" s="35"/>
      <c r="Q350" s="35"/>
      <c r="R350" s="35"/>
      <c r="S350" s="35"/>
      <c r="T350" s="35"/>
      <c r="U350" s="35"/>
      <c r="V350" s="35" t="s">
        <v>405</v>
      </c>
      <c r="W350" s="37">
        <f t="shared" si="11"/>
        <v>0.5</v>
      </c>
      <c r="X350" s="33" t="s">
        <v>43</v>
      </c>
      <c r="Y350" s="33" t="s">
        <v>44</v>
      </c>
      <c r="Z350" s="33" t="s">
        <v>658</v>
      </c>
      <c r="AA350" s="33" t="s">
        <v>46</v>
      </c>
      <c r="AB350" s="33" t="s">
        <v>1878</v>
      </c>
      <c r="AD350" s="33" t="s">
        <v>66</v>
      </c>
      <c r="AE350" s="33" t="s">
        <v>1528</v>
      </c>
      <c r="AG350" s="33" t="s">
        <v>50</v>
      </c>
      <c r="AH350" s="33" t="s">
        <v>51</v>
      </c>
    </row>
    <row r="351" spans="1:34" ht="265.25">
      <c r="A351" s="35">
        <v>350</v>
      </c>
      <c r="B351" s="3" t="s">
        <v>1879</v>
      </c>
      <c r="C351" s="3" t="s">
        <v>1871</v>
      </c>
      <c r="D351" s="3" t="s">
        <v>1535</v>
      </c>
      <c r="E351" s="3" t="s">
        <v>1880</v>
      </c>
      <c r="F351" s="35" t="s">
        <v>1881</v>
      </c>
      <c r="G351" s="3" t="s">
        <v>38</v>
      </c>
      <c r="H351" s="35" t="str">
        <f t="shared" si="12"/>
        <v>Verify</v>
      </c>
      <c r="I351" s="35" t="s">
        <v>1422</v>
      </c>
      <c r="J351" s="35"/>
      <c r="K351" s="47"/>
      <c r="L351" s="35" t="s">
        <v>1224</v>
      </c>
      <c r="M351" s="35"/>
      <c r="N351" s="35"/>
      <c r="O351" s="35"/>
      <c r="P351" s="35"/>
      <c r="Q351" s="35"/>
      <c r="R351" s="35"/>
      <c r="S351" s="35"/>
      <c r="T351" s="35"/>
      <c r="U351" s="35"/>
      <c r="V351" s="35" t="s">
        <v>405</v>
      </c>
      <c r="W351" s="37">
        <f t="shared" si="11"/>
        <v>0.5</v>
      </c>
      <c r="X351" s="33" t="s">
        <v>43</v>
      </c>
      <c r="Y351" s="33" t="s">
        <v>44</v>
      </c>
      <c r="Z351" s="33" t="s">
        <v>658</v>
      </c>
      <c r="AA351" s="33" t="s">
        <v>46</v>
      </c>
      <c r="AB351" s="33" t="s">
        <v>1882</v>
      </c>
      <c r="AD351" s="33" t="s">
        <v>176</v>
      </c>
      <c r="AE351" s="33" t="s">
        <v>1528</v>
      </c>
      <c r="AG351" s="33" t="s">
        <v>50</v>
      </c>
      <c r="AH351" s="33" t="s">
        <v>51</v>
      </c>
    </row>
    <row r="352" spans="1:34" ht="265.25">
      <c r="A352" s="35">
        <v>351</v>
      </c>
      <c r="B352" s="3" t="s">
        <v>1883</v>
      </c>
      <c r="C352" s="3" t="s">
        <v>1871</v>
      </c>
      <c r="D352" s="3" t="s">
        <v>1541</v>
      </c>
      <c r="E352" s="3" t="s">
        <v>1884</v>
      </c>
      <c r="F352" s="35" t="s">
        <v>1885</v>
      </c>
      <c r="G352" s="3" t="s">
        <v>38</v>
      </c>
      <c r="H352" s="35" t="str">
        <f t="shared" si="12"/>
        <v>Verify</v>
      </c>
      <c r="I352" s="35" t="s">
        <v>1422</v>
      </c>
      <c r="J352" s="35"/>
      <c r="K352" s="47"/>
      <c r="L352" s="35" t="s">
        <v>1224</v>
      </c>
      <c r="M352" s="35"/>
      <c r="N352" s="35"/>
      <c r="O352" s="35"/>
      <c r="P352" s="35"/>
      <c r="Q352" s="35"/>
      <c r="R352" s="35"/>
      <c r="S352" s="35"/>
      <c r="T352" s="35"/>
      <c r="U352" s="35"/>
      <c r="V352" s="35" t="s">
        <v>405</v>
      </c>
      <c r="W352" s="37">
        <f t="shared" si="11"/>
        <v>0.5</v>
      </c>
      <c r="X352" s="33" t="s">
        <v>43</v>
      </c>
      <c r="Y352" s="33" t="s">
        <v>44</v>
      </c>
      <c r="Z352" s="33" t="s">
        <v>658</v>
      </c>
      <c r="AA352" s="33" t="s">
        <v>46</v>
      </c>
      <c r="AB352" s="33" t="s">
        <v>1886</v>
      </c>
      <c r="AD352" s="33" t="s">
        <v>1887</v>
      </c>
      <c r="AE352" s="33" t="s">
        <v>1528</v>
      </c>
      <c r="AG352" s="33" t="s">
        <v>50</v>
      </c>
      <c r="AH352" s="33" t="s">
        <v>51</v>
      </c>
    </row>
    <row r="353" spans="1:34" ht="296.39999999999998">
      <c r="A353" s="35">
        <v>352</v>
      </c>
      <c r="B353" s="3" t="s">
        <v>1888</v>
      </c>
      <c r="C353" s="3" t="s">
        <v>1871</v>
      </c>
      <c r="D353" s="3" t="s">
        <v>1546</v>
      </c>
      <c r="E353" s="3" t="s">
        <v>1889</v>
      </c>
      <c r="F353" s="35" t="s">
        <v>1890</v>
      </c>
      <c r="G353" s="3" t="s">
        <v>38</v>
      </c>
      <c r="H353" s="35" t="str">
        <f t="shared" si="12"/>
        <v>Verify</v>
      </c>
      <c r="I353" s="35" t="s">
        <v>1422</v>
      </c>
      <c r="J353" s="35"/>
      <c r="K353" s="47"/>
      <c r="L353" s="35" t="s">
        <v>1224</v>
      </c>
      <c r="M353" s="35"/>
      <c r="N353" s="35"/>
      <c r="O353" s="35"/>
      <c r="P353" s="35"/>
      <c r="Q353" s="35"/>
      <c r="R353" s="35"/>
      <c r="S353" s="35"/>
      <c r="T353" s="35"/>
      <c r="U353" s="35"/>
      <c r="V353" s="35" t="s">
        <v>405</v>
      </c>
      <c r="W353" s="37">
        <f t="shared" si="11"/>
        <v>0.5</v>
      </c>
      <c r="X353" s="33" t="s">
        <v>43</v>
      </c>
      <c r="Y353" s="33" t="s">
        <v>44</v>
      </c>
      <c r="Z353" s="33" t="s">
        <v>658</v>
      </c>
      <c r="AA353" s="33" t="s">
        <v>46</v>
      </c>
      <c r="AB353" s="33" t="s">
        <v>1891</v>
      </c>
      <c r="AD353" s="33" t="s">
        <v>1337</v>
      </c>
      <c r="AE353" s="33" t="s">
        <v>1528</v>
      </c>
      <c r="AG353" s="33" t="s">
        <v>50</v>
      </c>
      <c r="AH353" s="33" t="s">
        <v>51</v>
      </c>
    </row>
    <row r="354" spans="1:34" ht="265.25">
      <c r="A354" s="35">
        <v>353</v>
      </c>
      <c r="B354" s="3" t="s">
        <v>1892</v>
      </c>
      <c r="C354" s="3" t="s">
        <v>1871</v>
      </c>
      <c r="D354" s="3" t="s">
        <v>1552</v>
      </c>
      <c r="E354" s="3" t="s">
        <v>1893</v>
      </c>
      <c r="F354" s="35" t="s">
        <v>1894</v>
      </c>
      <c r="G354" s="3" t="s">
        <v>38</v>
      </c>
      <c r="H354" s="35" t="str">
        <f t="shared" si="12"/>
        <v>Verify</v>
      </c>
      <c r="I354" s="35" t="s">
        <v>1422</v>
      </c>
      <c r="J354" s="35"/>
      <c r="K354" s="47"/>
      <c r="L354" s="35" t="s">
        <v>1224</v>
      </c>
      <c r="M354" s="35"/>
      <c r="N354" s="35"/>
      <c r="O354" s="35"/>
      <c r="P354" s="35"/>
      <c r="Q354" s="35"/>
      <c r="R354" s="35"/>
      <c r="S354" s="35"/>
      <c r="T354" s="35"/>
      <c r="U354" s="35"/>
      <c r="V354" s="35" t="s">
        <v>405</v>
      </c>
      <c r="W354" s="37">
        <f t="shared" si="11"/>
        <v>0.5</v>
      </c>
      <c r="X354" s="33" t="s">
        <v>43</v>
      </c>
      <c r="Y354" s="33" t="s">
        <v>44</v>
      </c>
      <c r="Z354" s="33" t="s">
        <v>658</v>
      </c>
      <c r="AA354" s="33" t="s">
        <v>46</v>
      </c>
      <c r="AB354" s="33" t="s">
        <v>1895</v>
      </c>
      <c r="AD354" s="33" t="s">
        <v>97</v>
      </c>
      <c r="AE354" s="33" t="s">
        <v>1528</v>
      </c>
      <c r="AG354" s="33" t="s">
        <v>50</v>
      </c>
      <c r="AH354" s="33" t="s">
        <v>51</v>
      </c>
    </row>
    <row r="355" spans="1:34" ht="296.39999999999998">
      <c r="A355" s="35">
        <v>354</v>
      </c>
      <c r="B355" s="3" t="s">
        <v>1896</v>
      </c>
      <c r="C355" s="3" t="s">
        <v>1897</v>
      </c>
      <c r="D355" s="3" t="s">
        <v>1530</v>
      </c>
      <c r="E355" s="3" t="s">
        <v>1898</v>
      </c>
      <c r="F355" s="35" t="s">
        <v>1899</v>
      </c>
      <c r="G355" s="3" t="s">
        <v>38</v>
      </c>
      <c r="H355" s="35" t="str">
        <f t="shared" si="12"/>
        <v>Verify</v>
      </c>
      <c r="I355" s="35" t="s">
        <v>1422</v>
      </c>
      <c r="J355" s="35"/>
      <c r="K355" s="47"/>
      <c r="L355" s="35" t="s">
        <v>1224</v>
      </c>
      <c r="M355" s="35"/>
      <c r="N355" s="35"/>
      <c r="O355" s="35"/>
      <c r="P355" s="35"/>
      <c r="Q355" s="35"/>
      <c r="R355" s="35"/>
      <c r="S355" s="35"/>
      <c r="T355" s="35"/>
      <c r="U355" s="35"/>
      <c r="V355" s="35" t="s">
        <v>405</v>
      </c>
      <c r="W355" s="37">
        <f t="shared" si="11"/>
        <v>0.5</v>
      </c>
      <c r="X355" s="33" t="s">
        <v>43</v>
      </c>
      <c r="Y355" s="33" t="s">
        <v>44</v>
      </c>
      <c r="Z355" s="33" t="s">
        <v>658</v>
      </c>
      <c r="AA355" s="33" t="s">
        <v>46</v>
      </c>
      <c r="AB355" s="33" t="s">
        <v>1900</v>
      </c>
      <c r="AD355" s="33" t="s">
        <v>1774</v>
      </c>
      <c r="AE355" s="33" t="s">
        <v>1528</v>
      </c>
      <c r="AG355" s="33" t="s">
        <v>50</v>
      </c>
      <c r="AH355" s="33" t="s">
        <v>51</v>
      </c>
    </row>
    <row r="356" spans="1:34" ht="265.25">
      <c r="A356" s="35">
        <v>355</v>
      </c>
      <c r="B356" s="3" t="s">
        <v>1901</v>
      </c>
      <c r="C356" s="3" t="s">
        <v>1897</v>
      </c>
      <c r="D356" s="3" t="s">
        <v>1535</v>
      </c>
      <c r="E356" s="3" t="s">
        <v>1902</v>
      </c>
      <c r="F356" s="35" t="s">
        <v>1903</v>
      </c>
      <c r="G356" s="3" t="s">
        <v>38</v>
      </c>
      <c r="H356" s="35" t="str">
        <f t="shared" si="12"/>
        <v>Verify</v>
      </c>
      <c r="I356" s="35" t="s">
        <v>1422</v>
      </c>
      <c r="J356" s="35"/>
      <c r="K356" s="47"/>
      <c r="L356" s="35" t="s">
        <v>1224</v>
      </c>
      <c r="M356" s="35"/>
      <c r="N356" s="35"/>
      <c r="O356" s="35"/>
      <c r="P356" s="35"/>
      <c r="Q356" s="35"/>
      <c r="R356" s="35"/>
      <c r="S356" s="35"/>
      <c r="T356" s="35"/>
      <c r="U356" s="35"/>
      <c r="V356" s="35" t="s">
        <v>405</v>
      </c>
      <c r="W356" s="37">
        <f t="shared" si="11"/>
        <v>0.5</v>
      </c>
      <c r="X356" s="33" t="s">
        <v>43</v>
      </c>
      <c r="Y356" s="33" t="s">
        <v>44</v>
      </c>
      <c r="Z356" s="33" t="s">
        <v>658</v>
      </c>
      <c r="AA356" s="33" t="s">
        <v>46</v>
      </c>
      <c r="AB356" s="33" t="s">
        <v>1904</v>
      </c>
      <c r="AD356" s="33" t="s">
        <v>1470</v>
      </c>
      <c r="AE356" s="33" t="s">
        <v>1528</v>
      </c>
      <c r="AG356" s="33" t="s">
        <v>50</v>
      </c>
      <c r="AH356" s="33" t="s">
        <v>51</v>
      </c>
    </row>
    <row r="357" spans="1:34" ht="234">
      <c r="A357" s="35">
        <v>356</v>
      </c>
      <c r="B357" s="3" t="s">
        <v>1905</v>
      </c>
      <c r="C357" s="3" t="s">
        <v>1897</v>
      </c>
      <c r="D357" s="3" t="s">
        <v>1579</v>
      </c>
      <c r="E357" s="3" t="s">
        <v>1906</v>
      </c>
      <c r="F357" s="35" t="s">
        <v>1907</v>
      </c>
      <c r="G357" s="3" t="s">
        <v>38</v>
      </c>
      <c r="H357" s="35" t="str">
        <f t="shared" si="12"/>
        <v>Verify</v>
      </c>
      <c r="I357" s="35" t="s">
        <v>1422</v>
      </c>
      <c r="J357" s="35"/>
      <c r="K357" s="47"/>
      <c r="L357" s="35" t="s">
        <v>1224</v>
      </c>
      <c r="M357" s="35"/>
      <c r="N357" s="35"/>
      <c r="O357" s="35"/>
      <c r="P357" s="35"/>
      <c r="Q357" s="35"/>
      <c r="R357" s="35"/>
      <c r="S357" s="35"/>
      <c r="T357" s="35"/>
      <c r="U357" s="35"/>
      <c r="V357" s="35" t="s">
        <v>405</v>
      </c>
      <c r="W357" s="37">
        <f t="shared" si="11"/>
        <v>0.5</v>
      </c>
      <c r="X357" s="33" t="s">
        <v>43</v>
      </c>
      <c r="Y357" s="33" t="s">
        <v>44</v>
      </c>
      <c r="Z357" s="33" t="s">
        <v>658</v>
      </c>
      <c r="AA357" s="33" t="s">
        <v>46</v>
      </c>
      <c r="AB357" s="33" t="s">
        <v>1908</v>
      </c>
      <c r="AD357" s="33" t="s">
        <v>1261</v>
      </c>
      <c r="AE357" s="33" t="s">
        <v>1528</v>
      </c>
      <c r="AG357" s="33" t="s">
        <v>50</v>
      </c>
      <c r="AH357" s="33" t="s">
        <v>51</v>
      </c>
    </row>
    <row r="358" spans="1:34" ht="234">
      <c r="A358" s="35">
        <v>357</v>
      </c>
      <c r="B358" s="3" t="s">
        <v>1909</v>
      </c>
      <c r="C358" s="3" t="s">
        <v>1897</v>
      </c>
      <c r="D358" s="3" t="s">
        <v>1585</v>
      </c>
      <c r="E358" s="3" t="s">
        <v>1910</v>
      </c>
      <c r="F358" s="35" t="s">
        <v>1911</v>
      </c>
      <c r="G358" s="3" t="s">
        <v>38</v>
      </c>
      <c r="H358" s="35" t="str">
        <f t="shared" si="12"/>
        <v>Verify</v>
      </c>
      <c r="I358" s="35" t="s">
        <v>1422</v>
      </c>
      <c r="J358" s="35"/>
      <c r="K358" s="47"/>
      <c r="L358" s="35" t="s">
        <v>1224</v>
      </c>
      <c r="M358" s="35"/>
      <c r="N358" s="35"/>
      <c r="O358" s="35"/>
      <c r="P358" s="35"/>
      <c r="Q358" s="35"/>
      <c r="R358" s="35"/>
      <c r="S358" s="35"/>
      <c r="T358" s="35"/>
      <c r="U358" s="35"/>
      <c r="V358" s="35" t="s">
        <v>405</v>
      </c>
      <c r="W358" s="37">
        <f t="shared" si="11"/>
        <v>0.5</v>
      </c>
      <c r="X358" s="33" t="s">
        <v>43</v>
      </c>
      <c r="Y358" s="33" t="s">
        <v>44</v>
      </c>
      <c r="Z358" s="33" t="s">
        <v>658</v>
      </c>
      <c r="AA358" s="33" t="s">
        <v>46</v>
      </c>
      <c r="AB358" s="33" t="s">
        <v>1912</v>
      </c>
      <c r="AD358" s="33" t="s">
        <v>1913</v>
      </c>
      <c r="AE358" s="33" t="s">
        <v>1528</v>
      </c>
      <c r="AG358" s="33" t="s">
        <v>50</v>
      </c>
      <c r="AH358" s="33" t="s">
        <v>51</v>
      </c>
    </row>
  </sheetData>
  <autoFilter ref="A1:AH358" xr:uid="{D1EE93EC-F2E3-4848-BD29-CE38EA57B900}"/>
  <phoneticPr fontId="4" type="noConversion"/>
  <conditionalFormatting sqref="W2:W358">
    <cfRule type="expression" dxfId="16" priority="49">
      <formula>W2=100%</formula>
    </cfRule>
    <cfRule type="expression" dxfId="15" priority="50">
      <formula>W2=90%</formula>
    </cfRule>
    <cfRule type="expression" dxfId="14" priority="51">
      <formula>W2=80%</formula>
    </cfRule>
    <cfRule type="expression" dxfId="13" priority="52">
      <formula>W2=70%</formula>
    </cfRule>
    <cfRule type="expression" dxfId="12" priority="53">
      <formula>W2=50%</formula>
    </cfRule>
    <cfRule type="expression" dxfId="11" priority="54">
      <formula>W2=0%</formula>
    </cfRule>
  </conditionalFormatting>
  <dataValidations count="6">
    <dataValidation type="list" allowBlank="1" showInputMessage="1" showErrorMessage="1" sqref="H359:H1048576" xr:uid="{95499E4C-074F-4B28-9F2A-77949A801A46}">
      <formula1>"Check,Answer"</formula1>
    </dataValidation>
    <dataValidation type="list" allowBlank="1" showInputMessage="1" showErrorMessage="1" sqref="H2:H265 H267:H358" xr:uid="{8014D40F-4211-4C8A-874A-A988BD30F2C4}">
      <formula1>"Check,Answer,Verify"</formula1>
    </dataValidation>
    <dataValidation type="list" allowBlank="1" showInputMessage="1" showErrorMessage="1" sqref="V2:V1048576" xr:uid="{040DE69A-7B26-4651-A2CD-62D1B8DEF7C4}">
      <formula1>"Not Started,Started,Ready for review,Reviewed - Content,Reviewed - Format,Done"</formula1>
    </dataValidation>
    <dataValidation type="list" allowBlank="1" showInputMessage="1" showErrorMessage="1" sqref="O2:O1048576" xr:uid="{305E000A-9AC7-4135-A4BC-2C782A6A2F4F}">
      <formula1>"1. Fully met,2. Partly met,3. Not able to meet,4. Not part of offer"</formula1>
    </dataValidation>
    <dataValidation type="list" allowBlank="1" showInputMessage="1" showErrorMessage="1" sqref="G2:G1048576" xr:uid="{A8E04739-B86C-4219-8699-F3D1EEDE7DD5}">
      <formula1>"Mindstekrav,Krav,Evalueringskrav"</formula1>
    </dataValidation>
    <dataValidation type="list" allowBlank="1" showInputMessage="1" showErrorMessage="1" sqref="R2:T1048576" xr:uid="{18ED9EE9-09B1-43C4-8FC8-08B49C73047C}">
      <formula1>"Yes,No"</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CA590-C6C7-4B5F-A730-0A4210218439}">
  <dimension ref="A1:C53"/>
  <sheetViews>
    <sheetView zoomScale="71" workbookViewId="0">
      <pane ySplit="1" topLeftCell="A2" activePane="bottomLeft" state="frozen"/>
      <selection pane="bottomLeft" activeCell="C1" sqref="C1"/>
    </sheetView>
  </sheetViews>
  <sheetFormatPr defaultRowHeight="16"/>
  <cols>
    <col min="1" max="1" width="14.765625" bestFit="1" customWidth="1"/>
    <col min="2" max="2" width="51.3046875" customWidth="1"/>
    <col min="3" max="3" width="72.23046875" customWidth="1"/>
  </cols>
  <sheetData>
    <row r="1" spans="1:3">
      <c r="A1" s="44" t="s">
        <v>1914</v>
      </c>
      <c r="B1" s="44" t="s">
        <v>1915</v>
      </c>
      <c r="C1" s="44" t="s">
        <v>1916</v>
      </c>
    </row>
    <row r="2" spans="1:3" ht="32">
      <c r="A2" s="48" t="s">
        <v>209</v>
      </c>
      <c r="B2" s="48" t="s">
        <v>209</v>
      </c>
      <c r="C2" s="48" t="s">
        <v>1917</v>
      </c>
    </row>
    <row r="3" spans="1:3" ht="48">
      <c r="A3" s="48" t="s">
        <v>238</v>
      </c>
      <c r="B3" s="48" t="s">
        <v>240</v>
      </c>
      <c r="C3" s="48" t="s">
        <v>1918</v>
      </c>
    </row>
    <row r="4" spans="1:3" ht="96">
      <c r="A4" s="48" t="s">
        <v>296</v>
      </c>
      <c r="B4" s="48" t="s">
        <v>298</v>
      </c>
      <c r="C4" s="48" t="s">
        <v>1919</v>
      </c>
    </row>
    <row r="5" spans="1:3" ht="64">
      <c r="A5" s="48" t="s">
        <v>304</v>
      </c>
      <c r="B5" s="48" t="s">
        <v>306</v>
      </c>
      <c r="C5" s="48" t="s">
        <v>1920</v>
      </c>
    </row>
    <row r="6" spans="1:3" ht="48">
      <c r="A6" s="48" t="s">
        <v>345</v>
      </c>
      <c r="B6" s="48" t="s">
        <v>347</v>
      </c>
      <c r="C6" s="48" t="s">
        <v>1921</v>
      </c>
    </row>
    <row r="7" spans="1:3" ht="48">
      <c r="A7" s="48" t="s">
        <v>409</v>
      </c>
      <c r="B7" s="48" t="s">
        <v>411</v>
      </c>
      <c r="C7" s="48" t="s">
        <v>1922</v>
      </c>
    </row>
    <row r="8" spans="1:3" ht="32">
      <c r="A8" s="48" t="s">
        <v>422</v>
      </c>
      <c r="B8" s="48" t="s">
        <v>423</v>
      </c>
      <c r="C8" s="48" t="s">
        <v>1923</v>
      </c>
    </row>
    <row r="9" spans="1:3" ht="32">
      <c r="A9" s="48" t="s">
        <v>434</v>
      </c>
      <c r="B9" s="48" t="s">
        <v>436</v>
      </c>
      <c r="C9" s="48" t="s">
        <v>1924</v>
      </c>
    </row>
    <row r="10" spans="1:3" ht="48">
      <c r="A10" s="48" t="s">
        <v>456</v>
      </c>
      <c r="B10" s="48" t="s">
        <v>458</v>
      </c>
      <c r="C10" s="48" t="s">
        <v>1925</v>
      </c>
    </row>
    <row r="11" spans="1:3" ht="48">
      <c r="A11" s="48" t="s">
        <v>463</v>
      </c>
      <c r="B11" s="48" t="s">
        <v>465</v>
      </c>
      <c r="C11" s="48" t="s">
        <v>1926</v>
      </c>
    </row>
    <row r="12" spans="1:3" ht="32">
      <c r="A12" s="48" t="s">
        <v>491</v>
      </c>
      <c r="B12" s="48" t="s">
        <v>491</v>
      </c>
      <c r="C12" s="48" t="s">
        <v>1927</v>
      </c>
    </row>
    <row r="13" spans="1:3" ht="96">
      <c r="A13" s="48" t="s">
        <v>499</v>
      </c>
      <c r="B13" s="48" t="s">
        <v>501</v>
      </c>
      <c r="C13" s="48" t="s">
        <v>1928</v>
      </c>
    </row>
    <row r="14" spans="1:3" ht="48">
      <c r="A14" s="48" t="s">
        <v>507</v>
      </c>
      <c r="B14" s="48" t="s">
        <v>509</v>
      </c>
      <c r="C14" s="48" t="s">
        <v>1929</v>
      </c>
    </row>
    <row r="15" spans="1:3" ht="64">
      <c r="A15" s="48" t="s">
        <v>518</v>
      </c>
      <c r="B15" s="48" t="s">
        <v>520</v>
      </c>
      <c r="C15" s="48" t="s">
        <v>1930</v>
      </c>
    </row>
    <row r="16" spans="1:3" ht="32">
      <c r="A16" s="48" t="s">
        <v>526</v>
      </c>
      <c r="B16" s="48" t="s">
        <v>528</v>
      </c>
      <c r="C16" s="48" t="s">
        <v>1931</v>
      </c>
    </row>
    <row r="17" spans="1:3" ht="48">
      <c r="A17" s="48" t="s">
        <v>537</v>
      </c>
      <c r="B17" s="48" t="s">
        <v>539</v>
      </c>
      <c r="C17" s="48" t="s">
        <v>1932</v>
      </c>
    </row>
    <row r="18" spans="1:3" ht="32">
      <c r="A18" s="48" t="s">
        <v>544</v>
      </c>
      <c r="B18" s="48" t="s">
        <v>546</v>
      </c>
      <c r="C18" s="48" t="s">
        <v>1932</v>
      </c>
    </row>
    <row r="19" spans="1:3" ht="48">
      <c r="A19" s="48" t="s">
        <v>550</v>
      </c>
      <c r="B19" s="48" t="s">
        <v>552</v>
      </c>
      <c r="C19" s="48" t="s">
        <v>1932</v>
      </c>
    </row>
    <row r="20" spans="1:3" ht="48">
      <c r="A20" s="48" t="s">
        <v>557</v>
      </c>
      <c r="B20" s="48" t="s">
        <v>559</v>
      </c>
      <c r="C20" s="48" t="s">
        <v>1933</v>
      </c>
    </row>
    <row r="21" spans="1:3" ht="48">
      <c r="A21" s="48" t="s">
        <v>564</v>
      </c>
      <c r="B21" s="48" t="s">
        <v>566</v>
      </c>
      <c r="C21" s="48" t="s">
        <v>1934</v>
      </c>
    </row>
    <row r="22" spans="1:3" ht="48">
      <c r="A22" s="48" t="s">
        <v>571</v>
      </c>
      <c r="B22" s="48" t="s">
        <v>573</v>
      </c>
      <c r="C22" s="48" t="s">
        <v>1935</v>
      </c>
    </row>
    <row r="23" spans="1:3" ht="48">
      <c r="A23" s="48" t="s">
        <v>636</v>
      </c>
      <c r="B23" s="48" t="s">
        <v>638</v>
      </c>
      <c r="C23" s="48" t="s">
        <v>1936</v>
      </c>
    </row>
    <row r="24" spans="1:3" ht="48">
      <c r="A24" s="48" t="s">
        <v>643</v>
      </c>
      <c r="B24" s="48" t="s">
        <v>645</v>
      </c>
      <c r="C24" s="48" t="s">
        <v>1936</v>
      </c>
    </row>
    <row r="25" spans="1:3" ht="64">
      <c r="A25" s="48" t="s">
        <v>654</v>
      </c>
      <c r="B25" s="48" t="s">
        <v>656</v>
      </c>
      <c r="C25" s="48" t="s">
        <v>1937</v>
      </c>
    </row>
    <row r="26" spans="1:3" ht="96">
      <c r="A26" s="48" t="s">
        <v>663</v>
      </c>
      <c r="B26" s="48" t="s">
        <v>665</v>
      </c>
      <c r="C26" s="48" t="s">
        <v>1937</v>
      </c>
    </row>
    <row r="27" spans="1:3" ht="32">
      <c r="A27" s="48" t="s">
        <v>707</v>
      </c>
      <c r="B27" s="48" t="s">
        <v>709</v>
      </c>
      <c r="C27" s="48" t="s">
        <v>1938</v>
      </c>
    </row>
    <row r="28" spans="1:3" ht="64">
      <c r="A28" s="48" t="s">
        <v>718</v>
      </c>
      <c r="B28" s="48" t="s">
        <v>720</v>
      </c>
      <c r="C28" s="48" t="s">
        <v>1939</v>
      </c>
    </row>
    <row r="29" spans="1:3" ht="32">
      <c r="A29" s="48" t="s">
        <v>741</v>
      </c>
      <c r="B29" s="48" t="s">
        <v>743</v>
      </c>
      <c r="C29" s="48" t="s">
        <v>1940</v>
      </c>
    </row>
    <row r="30" spans="1:3" ht="64">
      <c r="A30" s="48" t="s">
        <v>788</v>
      </c>
      <c r="B30" s="48" t="s">
        <v>789</v>
      </c>
      <c r="C30" s="48" t="s">
        <v>1941</v>
      </c>
    </row>
    <row r="31" spans="1:3" ht="64">
      <c r="A31" s="48" t="s">
        <v>795</v>
      </c>
      <c r="B31" s="48" t="s">
        <v>797</v>
      </c>
      <c r="C31" s="48" t="s">
        <v>1941</v>
      </c>
    </row>
    <row r="32" spans="1:3" ht="64">
      <c r="A32" s="48" t="s">
        <v>802</v>
      </c>
      <c r="B32" s="48" t="s">
        <v>804</v>
      </c>
      <c r="C32" s="48" t="s">
        <v>1941</v>
      </c>
    </row>
    <row r="33" spans="1:3" ht="32">
      <c r="A33" s="48" t="s">
        <v>809</v>
      </c>
      <c r="B33" s="48" t="s">
        <v>817</v>
      </c>
      <c r="C33" s="48" t="s">
        <v>1941</v>
      </c>
    </row>
    <row r="34" spans="1:3" ht="96">
      <c r="A34" s="48" t="s">
        <v>876</v>
      </c>
      <c r="B34" s="48" t="s">
        <v>878</v>
      </c>
      <c r="C34" s="48" t="s">
        <v>1942</v>
      </c>
    </row>
    <row r="35" spans="1:3" ht="80">
      <c r="A35" s="48" t="s">
        <v>886</v>
      </c>
      <c r="B35" s="48" t="s">
        <v>892</v>
      </c>
      <c r="C35" s="48" t="s">
        <v>1943</v>
      </c>
    </row>
    <row r="36" spans="1:3" ht="64">
      <c r="A36" s="48" t="s">
        <v>906</v>
      </c>
      <c r="B36" s="48" t="s">
        <v>908</v>
      </c>
      <c r="C36" s="48" t="s">
        <v>1944</v>
      </c>
    </row>
    <row r="37" spans="1:3" ht="80">
      <c r="A37" s="48" t="s">
        <v>936</v>
      </c>
      <c r="B37" s="48" t="s">
        <v>944</v>
      </c>
      <c r="C37" s="48" t="s">
        <v>1945</v>
      </c>
    </row>
    <row r="38" spans="1:3" ht="48">
      <c r="A38" s="48" t="s">
        <v>958</v>
      </c>
      <c r="B38" s="48" t="s">
        <v>960</v>
      </c>
      <c r="C38" s="48" t="s">
        <v>1946</v>
      </c>
    </row>
    <row r="39" spans="1:3" ht="64">
      <c r="A39" s="48" t="s">
        <v>976</v>
      </c>
      <c r="B39" s="48" t="s">
        <v>985</v>
      </c>
      <c r="C39" s="48" t="s">
        <v>1947</v>
      </c>
    </row>
    <row r="40" spans="1:3" ht="32">
      <c r="A40" s="48" t="s">
        <v>1002</v>
      </c>
      <c r="B40" s="48" t="s">
        <v>1948</v>
      </c>
      <c r="C40" s="48" t="s">
        <v>1949</v>
      </c>
    </row>
    <row r="41" spans="1:3" ht="80">
      <c r="A41" s="48" t="s">
        <v>1011</v>
      </c>
      <c r="B41" s="48" t="s">
        <v>1013</v>
      </c>
      <c r="C41" s="48" t="s">
        <v>1950</v>
      </c>
    </row>
    <row r="42" spans="1:3" ht="48">
      <c r="A42" s="48" t="s">
        <v>1024</v>
      </c>
      <c r="B42" s="48" t="s">
        <v>1026</v>
      </c>
      <c r="C42" s="48" t="s">
        <v>1951</v>
      </c>
    </row>
    <row r="43" spans="1:3" ht="48">
      <c r="A43" s="48" t="s">
        <v>1094</v>
      </c>
      <c r="B43" s="48" t="s">
        <v>1096</v>
      </c>
      <c r="C43" s="48" t="s">
        <v>1952</v>
      </c>
    </row>
    <row r="44" spans="1:3" ht="96">
      <c r="A44" s="48" t="s">
        <v>1113</v>
      </c>
      <c r="B44" s="48" t="s">
        <v>1115</v>
      </c>
      <c r="C44" s="48" t="s">
        <v>1953</v>
      </c>
    </row>
    <row r="45" spans="1:3" ht="32">
      <c r="A45" s="48" t="s">
        <v>1120</v>
      </c>
      <c r="B45" s="48" t="s">
        <v>1954</v>
      </c>
      <c r="C45" s="48" t="s">
        <v>1942</v>
      </c>
    </row>
    <row r="46" spans="1:3" ht="80">
      <c r="A46" s="48" t="s">
        <v>1134</v>
      </c>
      <c r="B46" s="48" t="s">
        <v>1137</v>
      </c>
      <c r="C46" s="48" t="s">
        <v>1955</v>
      </c>
    </row>
    <row r="47" spans="1:3" ht="32">
      <c r="A47" s="48" t="s">
        <v>1165</v>
      </c>
      <c r="B47" s="48" t="s">
        <v>1956</v>
      </c>
      <c r="C47" s="48" t="s">
        <v>1957</v>
      </c>
    </row>
    <row r="48" spans="1:3" ht="160">
      <c r="A48" s="35" t="s">
        <v>1445</v>
      </c>
      <c r="B48" s="35" t="s">
        <v>1447</v>
      </c>
      <c r="C48" s="35" t="s">
        <v>1448</v>
      </c>
    </row>
    <row r="49" spans="1:3" ht="64">
      <c r="A49" s="3" t="s">
        <v>1494</v>
      </c>
      <c r="B49" s="35" t="s">
        <v>1496</v>
      </c>
      <c r="C49" s="35" t="s">
        <v>1497</v>
      </c>
    </row>
    <row r="50" spans="1:3" ht="192">
      <c r="A50" s="3" t="s">
        <v>1505</v>
      </c>
      <c r="B50" s="35" t="s">
        <v>1507</v>
      </c>
      <c r="C50" s="35" t="s">
        <v>1508</v>
      </c>
    </row>
    <row r="51" spans="1:3" ht="112">
      <c r="A51" s="3" t="s">
        <v>1511</v>
      </c>
      <c r="B51" s="35" t="s">
        <v>1513</v>
      </c>
      <c r="C51" s="35" t="s">
        <v>1514</v>
      </c>
    </row>
    <row r="52" spans="1:3" ht="32">
      <c r="A52" s="3" t="s">
        <v>1958</v>
      </c>
      <c r="B52" s="3" t="s">
        <v>1959</v>
      </c>
      <c r="C52" s="35" t="s">
        <v>1960</v>
      </c>
    </row>
    <row r="53" spans="1:3" ht="64">
      <c r="A53" s="3" t="s">
        <v>1961</v>
      </c>
      <c r="B53" s="35" t="s">
        <v>1962</v>
      </c>
      <c r="C53" s="35" t="s">
        <v>1963</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193A8-FB5F-46DF-940E-2691CCA2F8B9}">
  <dimension ref="A1:I100"/>
  <sheetViews>
    <sheetView tabSelected="1" topLeftCell="C1" zoomScale="70" zoomScaleNormal="70" workbookViewId="0">
      <pane ySplit="1" topLeftCell="A2" activePane="bottomLeft" state="frozen"/>
      <selection pane="bottomLeft" activeCell="D3" sqref="D3"/>
    </sheetView>
  </sheetViews>
  <sheetFormatPr defaultRowHeight="16"/>
  <cols>
    <col min="1" max="1" width="3.07421875" bestFit="1" customWidth="1"/>
    <col min="2" max="2" width="21" customWidth="1"/>
    <col min="3" max="3" width="13" customWidth="1"/>
    <col min="4" max="4" width="109.765625" customWidth="1"/>
    <col min="5" max="5" width="13.69140625" style="7" customWidth="1"/>
    <col min="6" max="6" width="45.69140625" style="33" customWidth="1"/>
    <col min="7" max="7" width="14.765625" style="7" customWidth="1"/>
    <col min="8" max="8" width="14.765625" style="53" customWidth="1"/>
    <col min="9" max="9" width="26.53515625" style="33" customWidth="1"/>
  </cols>
  <sheetData>
    <row r="1" spans="1:9" ht="32">
      <c r="A1" s="32" t="s">
        <v>0</v>
      </c>
      <c r="B1" s="32" t="s">
        <v>1964</v>
      </c>
      <c r="C1" s="32" t="s">
        <v>1965</v>
      </c>
      <c r="D1" s="32" t="s">
        <v>1966</v>
      </c>
      <c r="E1" s="32" t="s">
        <v>1967</v>
      </c>
      <c r="F1" s="52" t="s">
        <v>1421</v>
      </c>
      <c r="G1" s="32" t="s">
        <v>1968</v>
      </c>
      <c r="H1" s="52" t="s">
        <v>1969</v>
      </c>
      <c r="I1" s="52" t="s">
        <v>15</v>
      </c>
    </row>
    <row r="2" spans="1:9" ht="256">
      <c r="A2" s="3">
        <v>1</v>
      </c>
      <c r="B2" s="35" t="s">
        <v>1970</v>
      </c>
      <c r="C2" s="3" t="s">
        <v>1971</v>
      </c>
      <c r="D2" s="35" t="s">
        <v>2302</v>
      </c>
      <c r="E2" s="8"/>
      <c r="F2" s="3"/>
      <c r="G2" s="8"/>
      <c r="H2" s="51"/>
      <c r="I2" s="35" t="s">
        <v>2296</v>
      </c>
    </row>
    <row r="3" spans="1:9" ht="272">
      <c r="A3" s="3">
        <v>2</v>
      </c>
      <c r="B3" s="35" t="s">
        <v>1972</v>
      </c>
      <c r="C3" s="3" t="s">
        <v>1971</v>
      </c>
      <c r="D3" s="35" t="s">
        <v>2303</v>
      </c>
      <c r="E3" s="8"/>
      <c r="F3" s="3"/>
      <c r="G3" s="8"/>
      <c r="H3" s="51"/>
      <c r="I3" s="35" t="s">
        <v>2296</v>
      </c>
    </row>
    <row r="4" spans="1:9" ht="409.5">
      <c r="A4" s="3">
        <v>4</v>
      </c>
      <c r="B4" s="35" t="s">
        <v>1973</v>
      </c>
      <c r="C4" s="3" t="s">
        <v>1971</v>
      </c>
      <c r="D4" s="35" t="s">
        <v>1974</v>
      </c>
      <c r="E4" s="8"/>
      <c r="F4" s="3"/>
      <c r="G4" s="8"/>
      <c r="H4" s="51"/>
      <c r="I4" s="35" t="s">
        <v>1975</v>
      </c>
    </row>
    <row r="5" spans="1:9" ht="272">
      <c r="A5" s="3">
        <v>5</v>
      </c>
      <c r="B5" s="35" t="s">
        <v>1976</v>
      </c>
      <c r="C5" s="3" t="s">
        <v>1971</v>
      </c>
      <c r="D5" s="35" t="s">
        <v>1977</v>
      </c>
      <c r="E5" s="8"/>
      <c r="F5" s="3"/>
      <c r="G5" s="8"/>
      <c r="H5" s="51"/>
      <c r="I5" s="35" t="s">
        <v>1978</v>
      </c>
    </row>
    <row r="6" spans="1:9" ht="272">
      <c r="A6" s="3">
        <v>6</v>
      </c>
      <c r="B6" s="35" t="s">
        <v>1979</v>
      </c>
      <c r="C6" s="3" t="s">
        <v>1971</v>
      </c>
      <c r="D6" s="35" t="s">
        <v>1980</v>
      </c>
      <c r="E6" s="8"/>
      <c r="F6" s="3"/>
      <c r="G6" s="8"/>
      <c r="H6" s="51"/>
      <c r="I6" s="35"/>
    </row>
    <row r="7" spans="1:9" ht="224">
      <c r="A7" s="3">
        <v>7</v>
      </c>
      <c r="B7" s="35" t="s">
        <v>1981</v>
      </c>
      <c r="C7" s="3" t="s">
        <v>1971</v>
      </c>
      <c r="D7" s="35" t="s">
        <v>1982</v>
      </c>
      <c r="E7" s="8"/>
      <c r="F7" s="3"/>
      <c r="G7" s="8"/>
      <c r="H7" s="51"/>
      <c r="I7" s="35"/>
    </row>
    <row r="8" spans="1:9" ht="409.5">
      <c r="A8" s="3">
        <v>8</v>
      </c>
      <c r="B8" s="35" t="s">
        <v>1983</v>
      </c>
      <c r="C8" s="3" t="s">
        <v>1971</v>
      </c>
      <c r="D8" s="35" t="s">
        <v>1984</v>
      </c>
      <c r="E8" s="8">
        <v>46227</v>
      </c>
      <c r="F8" s="35" t="s">
        <v>1985</v>
      </c>
      <c r="G8" s="8">
        <v>46241</v>
      </c>
      <c r="H8" s="51" t="s">
        <v>1986</v>
      </c>
      <c r="I8" s="35"/>
    </row>
    <row r="9" spans="1:9" ht="96">
      <c r="A9" s="3">
        <v>9</v>
      </c>
      <c r="B9" s="3" t="s">
        <v>1987</v>
      </c>
      <c r="C9" s="3" t="s">
        <v>1971</v>
      </c>
      <c r="D9" s="35" t="s">
        <v>1988</v>
      </c>
      <c r="E9" s="8">
        <v>46227</v>
      </c>
      <c r="F9" s="35" t="s">
        <v>1989</v>
      </c>
      <c r="G9" s="8">
        <v>46241</v>
      </c>
      <c r="H9" s="62" t="s">
        <v>1990</v>
      </c>
      <c r="I9" s="35"/>
    </row>
    <row r="10" spans="1:9" ht="192">
      <c r="A10" s="3">
        <v>10</v>
      </c>
      <c r="B10" s="3" t="s">
        <v>1991</v>
      </c>
      <c r="C10" s="3" t="s">
        <v>40</v>
      </c>
      <c r="D10" s="35" t="s">
        <v>1992</v>
      </c>
      <c r="E10" s="8">
        <v>46227</v>
      </c>
      <c r="F10" s="35" t="s">
        <v>1993</v>
      </c>
      <c r="G10" s="8">
        <v>46241</v>
      </c>
      <c r="H10" s="51" t="s">
        <v>1994</v>
      </c>
      <c r="I10" s="35"/>
    </row>
    <row r="11" spans="1:9" ht="409.5">
      <c r="A11" s="3">
        <v>11</v>
      </c>
      <c r="B11" s="3" t="s">
        <v>1991</v>
      </c>
      <c r="C11" s="3" t="s">
        <v>1971</v>
      </c>
      <c r="D11" s="35" t="s">
        <v>2293</v>
      </c>
      <c r="E11" s="8"/>
      <c r="F11" s="3"/>
      <c r="G11" s="8"/>
      <c r="H11" s="51"/>
      <c r="I11" s="35" t="s">
        <v>2294</v>
      </c>
    </row>
    <row r="12" spans="1:9" ht="169.5" customHeight="1">
      <c r="A12" s="3">
        <v>12</v>
      </c>
      <c r="B12" s="3" t="s">
        <v>34</v>
      </c>
      <c r="C12" s="3" t="s">
        <v>40</v>
      </c>
      <c r="D12" s="49" t="s">
        <v>1995</v>
      </c>
      <c r="E12" s="8">
        <v>46227</v>
      </c>
      <c r="F12" s="35" t="s">
        <v>1996</v>
      </c>
      <c r="G12" s="8">
        <v>46241</v>
      </c>
      <c r="H12" s="51" t="s">
        <v>1997</v>
      </c>
      <c r="I12" s="35"/>
    </row>
    <row r="13" spans="1:9" ht="128">
      <c r="A13" s="3">
        <v>13</v>
      </c>
      <c r="B13" s="3" t="s">
        <v>34</v>
      </c>
      <c r="C13" s="3" t="s">
        <v>307</v>
      </c>
      <c r="D13" s="35" t="s">
        <v>1998</v>
      </c>
      <c r="E13" s="8"/>
      <c r="F13" s="3"/>
      <c r="G13" s="8"/>
      <c r="H13" s="51"/>
      <c r="I13" s="35" t="s">
        <v>1978</v>
      </c>
    </row>
    <row r="14" spans="1:9" ht="336">
      <c r="A14" s="3">
        <v>14</v>
      </c>
      <c r="B14" s="3" t="s">
        <v>714</v>
      </c>
      <c r="C14" s="3" t="s">
        <v>1999</v>
      </c>
      <c r="D14" s="35" t="s">
        <v>2000</v>
      </c>
      <c r="E14" s="8" t="s">
        <v>2001</v>
      </c>
      <c r="F14" s="35" t="s">
        <v>2002</v>
      </c>
      <c r="G14" s="8">
        <v>46213</v>
      </c>
      <c r="H14" s="51" t="s">
        <v>2003</v>
      </c>
      <c r="I14" s="35"/>
    </row>
    <row r="15" spans="1:9" ht="409.5">
      <c r="A15" s="3">
        <v>15</v>
      </c>
      <c r="B15" s="3" t="s">
        <v>703</v>
      </c>
      <c r="C15" s="3" t="s">
        <v>1999</v>
      </c>
      <c r="D15" s="35" t="s">
        <v>2004</v>
      </c>
      <c r="E15" s="8" t="s">
        <v>2001</v>
      </c>
      <c r="F15" s="35" t="s">
        <v>2005</v>
      </c>
      <c r="G15" s="8">
        <v>46213</v>
      </c>
      <c r="H15" s="51" t="s">
        <v>2006</v>
      </c>
      <c r="I15" s="35"/>
    </row>
    <row r="16" spans="1:9" ht="320">
      <c r="A16" s="3">
        <v>16</v>
      </c>
      <c r="B16" s="3" t="s">
        <v>2007</v>
      </c>
      <c r="C16" s="3" t="s">
        <v>1999</v>
      </c>
      <c r="D16" s="35" t="s">
        <v>2008</v>
      </c>
      <c r="E16" s="8" t="s">
        <v>2001</v>
      </c>
      <c r="F16" s="35" t="s">
        <v>2009</v>
      </c>
      <c r="G16" s="8">
        <v>46213</v>
      </c>
      <c r="H16" s="51" t="s">
        <v>2010</v>
      </c>
      <c r="I16" s="35"/>
    </row>
    <row r="17" spans="1:9" ht="409.5">
      <c r="A17" s="3">
        <v>17</v>
      </c>
      <c r="B17" s="3" t="s">
        <v>491</v>
      </c>
      <c r="C17" s="3" t="s">
        <v>1999</v>
      </c>
      <c r="D17" s="35" t="s">
        <v>2011</v>
      </c>
      <c r="E17" s="8" t="s">
        <v>2001</v>
      </c>
      <c r="F17" s="35" t="s">
        <v>2012</v>
      </c>
      <c r="G17" s="8">
        <v>46213</v>
      </c>
      <c r="H17" s="51" t="s">
        <v>2013</v>
      </c>
      <c r="I17" s="35" t="s">
        <v>2014</v>
      </c>
    </row>
    <row r="18" spans="1:9" ht="409.5">
      <c r="A18" s="3">
        <v>18</v>
      </c>
      <c r="B18" s="3" t="s">
        <v>34</v>
      </c>
      <c r="C18" s="3" t="s">
        <v>1999</v>
      </c>
      <c r="D18" s="35" t="s">
        <v>2015</v>
      </c>
      <c r="E18" s="8" t="s">
        <v>2001</v>
      </c>
      <c r="F18" s="35" t="s">
        <v>2016</v>
      </c>
      <c r="G18" s="8">
        <v>46213</v>
      </c>
      <c r="H18" s="51" t="s">
        <v>2017</v>
      </c>
      <c r="I18" s="35" t="s">
        <v>2018</v>
      </c>
    </row>
    <row r="19" spans="1:9" ht="128">
      <c r="A19" s="3">
        <v>19</v>
      </c>
      <c r="B19" s="3" t="s">
        <v>2019</v>
      </c>
      <c r="C19" s="3" t="s">
        <v>1971</v>
      </c>
      <c r="D19" s="35" t="s">
        <v>2020</v>
      </c>
      <c r="E19" s="8">
        <v>46230</v>
      </c>
      <c r="F19" s="35" t="s">
        <v>2021</v>
      </c>
      <c r="G19" s="8">
        <v>46241</v>
      </c>
      <c r="H19" s="51" t="s">
        <v>2022</v>
      </c>
      <c r="I19" s="35"/>
    </row>
    <row r="20" spans="1:9" ht="176">
      <c r="A20" s="3">
        <v>20</v>
      </c>
      <c r="B20" s="3" t="s">
        <v>2023</v>
      </c>
      <c r="C20" s="3" t="s">
        <v>1971</v>
      </c>
      <c r="D20" s="35" t="s">
        <v>2024</v>
      </c>
      <c r="E20" s="8">
        <v>46230</v>
      </c>
      <c r="F20" s="35" t="s">
        <v>2025</v>
      </c>
      <c r="G20" s="8">
        <v>46241</v>
      </c>
      <c r="H20" s="62" t="s">
        <v>2026</v>
      </c>
      <c r="I20" s="35"/>
    </row>
    <row r="21" spans="1:9" ht="208">
      <c r="A21" s="3">
        <v>21</v>
      </c>
      <c r="B21" s="3" t="s">
        <v>2023</v>
      </c>
      <c r="C21" s="3" t="s">
        <v>1971</v>
      </c>
      <c r="D21" s="35" t="s">
        <v>2027</v>
      </c>
      <c r="E21" s="8">
        <v>46230</v>
      </c>
      <c r="F21" s="35" t="s">
        <v>2028</v>
      </c>
      <c r="G21" s="8">
        <v>46241</v>
      </c>
      <c r="H21" s="62" t="s">
        <v>2029</v>
      </c>
      <c r="I21" s="35"/>
    </row>
    <row r="22" spans="1:9" ht="80">
      <c r="A22" s="3">
        <v>22</v>
      </c>
      <c r="B22" s="3" t="s">
        <v>2030</v>
      </c>
      <c r="C22" s="3" t="s">
        <v>1971</v>
      </c>
      <c r="D22" s="35" t="s">
        <v>2031</v>
      </c>
      <c r="E22" s="8">
        <v>46230</v>
      </c>
      <c r="F22" s="35" t="s">
        <v>2032</v>
      </c>
      <c r="G22" s="8">
        <v>46241</v>
      </c>
      <c r="H22" s="62" t="s">
        <v>2033</v>
      </c>
      <c r="I22" s="35"/>
    </row>
    <row r="23" spans="1:9" ht="112">
      <c r="A23" s="3">
        <v>23</v>
      </c>
      <c r="B23" s="3" t="s">
        <v>2034</v>
      </c>
      <c r="C23" s="3" t="s">
        <v>1971</v>
      </c>
      <c r="D23" s="35" t="s">
        <v>2035</v>
      </c>
      <c r="E23" s="8">
        <v>46230</v>
      </c>
      <c r="F23" s="3"/>
      <c r="G23" s="8"/>
      <c r="H23" s="51"/>
      <c r="I23" s="35"/>
    </row>
    <row r="24" spans="1:9" ht="48" customHeight="1">
      <c r="A24" s="3">
        <v>24</v>
      </c>
      <c r="B24" s="3" t="s">
        <v>1439</v>
      </c>
      <c r="C24" s="3" t="s">
        <v>1224</v>
      </c>
      <c r="D24" s="35" t="s">
        <v>2036</v>
      </c>
      <c r="E24" s="8">
        <v>46231</v>
      </c>
      <c r="F24" s="35" t="s">
        <v>2037</v>
      </c>
      <c r="G24" s="8">
        <v>46241</v>
      </c>
      <c r="H24" s="51" t="s">
        <v>2038</v>
      </c>
      <c r="I24" s="35"/>
    </row>
    <row r="25" spans="1:9" ht="112">
      <c r="A25" s="3">
        <v>25</v>
      </c>
      <c r="B25" s="3" t="s">
        <v>2039</v>
      </c>
      <c r="C25" s="3" t="s">
        <v>1224</v>
      </c>
      <c r="D25" s="35" t="s">
        <v>2299</v>
      </c>
      <c r="E25" s="8"/>
      <c r="F25" s="3"/>
      <c r="G25" s="8"/>
      <c r="H25" s="51"/>
      <c r="I25" s="35" t="s">
        <v>2300</v>
      </c>
    </row>
    <row r="26" spans="1:9" ht="48" customHeight="1">
      <c r="A26" s="3">
        <v>26</v>
      </c>
      <c r="B26" s="3" t="s">
        <v>2040</v>
      </c>
      <c r="C26" s="3" t="s">
        <v>1224</v>
      </c>
      <c r="D26" s="35" t="s">
        <v>2041</v>
      </c>
      <c r="E26" s="8"/>
      <c r="F26" s="3"/>
      <c r="G26" s="8"/>
      <c r="H26" s="51"/>
      <c r="I26" s="35" t="s">
        <v>1978</v>
      </c>
    </row>
    <row r="27" spans="1:9" ht="96">
      <c r="A27" s="3">
        <v>27</v>
      </c>
      <c r="B27" s="3" t="s">
        <v>2040</v>
      </c>
      <c r="C27" s="3" t="s">
        <v>1224</v>
      </c>
      <c r="D27" s="35" t="s">
        <v>2042</v>
      </c>
      <c r="E27" s="8">
        <v>46239</v>
      </c>
      <c r="F27" s="3"/>
      <c r="G27" s="8"/>
      <c r="H27" s="51"/>
      <c r="I27" s="35" t="s">
        <v>2043</v>
      </c>
    </row>
    <row r="28" spans="1:9" ht="80">
      <c r="A28" s="3">
        <v>28</v>
      </c>
      <c r="B28" s="3" t="s">
        <v>2040</v>
      </c>
      <c r="C28" s="3" t="s">
        <v>1224</v>
      </c>
      <c r="D28" s="35" t="s">
        <v>2044</v>
      </c>
      <c r="E28" s="8"/>
      <c r="F28" s="3"/>
      <c r="G28" s="8"/>
      <c r="H28" s="51"/>
      <c r="I28" s="35" t="s">
        <v>2045</v>
      </c>
    </row>
    <row r="29" spans="1:9" ht="112">
      <c r="A29" s="3">
        <v>29</v>
      </c>
      <c r="B29" s="3" t="s">
        <v>2046</v>
      </c>
      <c r="C29" s="3" t="s">
        <v>1474</v>
      </c>
      <c r="D29" s="35" t="s">
        <v>2047</v>
      </c>
      <c r="E29" s="8">
        <v>46239</v>
      </c>
      <c r="F29" s="3"/>
      <c r="G29" s="8"/>
      <c r="H29" s="51"/>
      <c r="I29" s="35" t="s">
        <v>2043</v>
      </c>
    </row>
    <row r="30" spans="1:9" ht="96">
      <c r="A30" s="3">
        <v>30</v>
      </c>
      <c r="B30" s="3" t="s">
        <v>2048</v>
      </c>
      <c r="C30" s="3" t="s">
        <v>1474</v>
      </c>
      <c r="D30" s="35" t="s">
        <v>2049</v>
      </c>
      <c r="E30" s="8">
        <v>46239</v>
      </c>
      <c r="F30" s="3"/>
      <c r="G30" s="8"/>
      <c r="H30" s="51"/>
      <c r="I30" s="35"/>
    </row>
    <row r="31" spans="1:9" ht="112">
      <c r="A31" s="3">
        <v>31</v>
      </c>
      <c r="B31" s="3" t="s">
        <v>2050</v>
      </c>
      <c r="C31" s="3" t="s">
        <v>1474</v>
      </c>
      <c r="D31" s="35" t="s">
        <v>2051</v>
      </c>
      <c r="E31" s="8"/>
      <c r="F31" s="3"/>
      <c r="G31" s="8"/>
      <c r="H31" s="51"/>
      <c r="I31" s="35" t="s">
        <v>1978</v>
      </c>
    </row>
    <row r="32" spans="1:9" ht="96">
      <c r="A32" s="54">
        <v>32</v>
      </c>
      <c r="B32" s="3" t="s">
        <v>2052</v>
      </c>
      <c r="C32" s="3" t="s">
        <v>1474</v>
      </c>
      <c r="D32" s="35" t="s">
        <v>2053</v>
      </c>
      <c r="E32" s="8"/>
      <c r="F32" s="3"/>
      <c r="G32" s="8"/>
      <c r="H32" s="51"/>
      <c r="I32" s="35" t="s">
        <v>2298</v>
      </c>
    </row>
    <row r="33" spans="1:9" ht="80">
      <c r="A33" s="54">
        <v>33</v>
      </c>
      <c r="B33" s="3" t="s">
        <v>2054</v>
      </c>
      <c r="C33" s="3" t="s">
        <v>1474</v>
      </c>
      <c r="D33" s="35" t="s">
        <v>2055</v>
      </c>
      <c r="E33" s="8"/>
      <c r="F33" s="3"/>
      <c r="G33" s="8"/>
      <c r="H33" s="51"/>
      <c r="I33" s="35" t="s">
        <v>2056</v>
      </c>
    </row>
    <row r="34" spans="1:9" ht="96">
      <c r="A34" s="54">
        <v>34</v>
      </c>
      <c r="B34" s="3" t="s">
        <v>2057</v>
      </c>
      <c r="C34" s="3" t="s">
        <v>1474</v>
      </c>
      <c r="D34" s="35" t="s">
        <v>2058</v>
      </c>
      <c r="E34" s="8"/>
      <c r="F34" s="3"/>
      <c r="G34" s="8"/>
      <c r="H34" s="51"/>
      <c r="I34" s="35" t="s">
        <v>2056</v>
      </c>
    </row>
    <row r="35" spans="1:9" ht="64">
      <c r="A35" s="54">
        <v>35</v>
      </c>
      <c r="B35" s="3" t="s">
        <v>2059</v>
      </c>
      <c r="C35" s="3" t="s">
        <v>1474</v>
      </c>
      <c r="D35" s="35" t="s">
        <v>2060</v>
      </c>
      <c r="E35" s="8"/>
      <c r="F35" s="3"/>
      <c r="G35" s="8"/>
      <c r="H35" s="51"/>
      <c r="I35" s="35" t="s">
        <v>2056</v>
      </c>
    </row>
    <row r="36" spans="1:9" ht="96">
      <c r="A36" s="54">
        <v>36</v>
      </c>
      <c r="B36" s="3" t="s">
        <v>2061</v>
      </c>
      <c r="C36" s="3" t="s">
        <v>1474</v>
      </c>
      <c r="D36" s="35" t="s">
        <v>2062</v>
      </c>
      <c r="E36" s="8"/>
      <c r="F36" s="3"/>
      <c r="G36" s="8"/>
      <c r="H36" s="51"/>
      <c r="I36" s="35" t="s">
        <v>2056</v>
      </c>
    </row>
    <row r="37" spans="1:9" ht="80">
      <c r="A37" s="54">
        <v>37</v>
      </c>
      <c r="B37" s="3" t="s">
        <v>2063</v>
      </c>
      <c r="C37" s="3" t="s">
        <v>1474</v>
      </c>
      <c r="D37" s="35" t="s">
        <v>2064</v>
      </c>
      <c r="E37" s="8">
        <v>46239</v>
      </c>
      <c r="F37" s="3"/>
      <c r="G37" s="8"/>
      <c r="H37" s="51"/>
      <c r="I37" s="35"/>
    </row>
    <row r="38" spans="1:9" ht="48">
      <c r="A38" s="54">
        <v>38</v>
      </c>
      <c r="B38" s="3" t="s">
        <v>2065</v>
      </c>
      <c r="C38" s="3" t="s">
        <v>1474</v>
      </c>
      <c r="D38" s="35" t="s">
        <v>2066</v>
      </c>
      <c r="E38" s="8">
        <v>46239</v>
      </c>
      <c r="F38" s="3"/>
      <c r="G38" s="8"/>
      <c r="H38" s="51"/>
      <c r="I38" s="35"/>
    </row>
    <row r="39" spans="1:9" ht="144">
      <c r="A39" s="54">
        <v>39</v>
      </c>
      <c r="B39" s="3" t="s">
        <v>2067</v>
      </c>
      <c r="C39" s="3" t="s">
        <v>1474</v>
      </c>
      <c r="D39" s="35" t="s">
        <v>2291</v>
      </c>
      <c r="E39" s="8"/>
      <c r="F39" s="3"/>
      <c r="G39" s="8"/>
      <c r="H39" s="51"/>
      <c r="I39" s="35" t="s">
        <v>2292</v>
      </c>
    </row>
    <row r="40" spans="1:9" ht="304">
      <c r="A40" s="54">
        <v>40</v>
      </c>
      <c r="B40" s="3" t="s">
        <v>2068</v>
      </c>
      <c r="C40" s="3" t="s">
        <v>1474</v>
      </c>
      <c r="D40" s="35" t="s">
        <v>2069</v>
      </c>
      <c r="E40" s="8">
        <v>46239</v>
      </c>
      <c r="F40" s="3"/>
      <c r="G40" s="8"/>
      <c r="H40" s="51"/>
      <c r="I40" s="35"/>
    </row>
    <row r="41" spans="1:9" ht="144">
      <c r="A41" s="54">
        <v>41</v>
      </c>
      <c r="B41" s="3" t="s">
        <v>2070</v>
      </c>
      <c r="C41" s="3" t="s">
        <v>1474</v>
      </c>
      <c r="D41" s="35" t="s">
        <v>2071</v>
      </c>
      <c r="E41" s="8"/>
      <c r="F41" s="3"/>
      <c r="G41" s="8"/>
      <c r="H41" s="51"/>
      <c r="I41" s="35" t="s">
        <v>2056</v>
      </c>
    </row>
    <row r="42" spans="1:9" ht="160">
      <c r="A42" s="54">
        <v>42</v>
      </c>
      <c r="B42" s="3" t="s">
        <v>2072</v>
      </c>
      <c r="C42" s="3" t="s">
        <v>1474</v>
      </c>
      <c r="D42" s="35" t="s">
        <v>2073</v>
      </c>
      <c r="E42" s="8"/>
      <c r="F42" s="3"/>
      <c r="G42" s="8"/>
      <c r="H42" s="51"/>
      <c r="I42" s="35" t="s">
        <v>2056</v>
      </c>
    </row>
    <row r="43" spans="1:9" ht="352">
      <c r="A43" s="54">
        <v>43</v>
      </c>
      <c r="B43" s="3" t="s">
        <v>2074</v>
      </c>
      <c r="C43" s="3" t="s">
        <v>1474</v>
      </c>
      <c r="D43" s="35" t="s">
        <v>2295</v>
      </c>
      <c r="E43" s="8"/>
      <c r="F43" s="3"/>
      <c r="G43" s="8"/>
      <c r="H43" s="51"/>
      <c r="I43" s="35" t="s">
        <v>2296</v>
      </c>
    </row>
    <row r="44" spans="1:9" ht="192">
      <c r="A44" s="54">
        <v>44</v>
      </c>
      <c r="B44" s="3" t="s">
        <v>2075</v>
      </c>
      <c r="C44" s="3" t="s">
        <v>1474</v>
      </c>
      <c r="D44" s="35" t="s">
        <v>2076</v>
      </c>
      <c r="E44" s="8">
        <v>46239</v>
      </c>
      <c r="F44" s="3"/>
      <c r="G44" s="8"/>
      <c r="H44" s="51"/>
      <c r="I44" s="35"/>
    </row>
    <row r="45" spans="1:9" ht="144">
      <c r="A45" s="54">
        <v>45</v>
      </c>
      <c r="B45" s="3" t="s">
        <v>2077</v>
      </c>
      <c r="C45" s="3" t="s">
        <v>1474</v>
      </c>
      <c r="D45" s="35" t="s">
        <v>2078</v>
      </c>
      <c r="E45" s="8"/>
      <c r="F45" s="3"/>
      <c r="G45" s="8"/>
      <c r="H45" s="51"/>
      <c r="I45" s="35" t="s">
        <v>2056</v>
      </c>
    </row>
    <row r="46" spans="1:9" ht="144">
      <c r="A46" s="54">
        <v>46</v>
      </c>
      <c r="B46" s="3" t="s">
        <v>2079</v>
      </c>
      <c r="C46" s="3" t="s">
        <v>1474</v>
      </c>
      <c r="D46" s="35" t="s">
        <v>2080</v>
      </c>
      <c r="E46" s="8"/>
      <c r="F46" s="3"/>
      <c r="G46" s="8"/>
      <c r="H46" s="51"/>
      <c r="I46" s="35" t="s">
        <v>2056</v>
      </c>
    </row>
    <row r="47" spans="1:9" ht="224">
      <c r="A47" s="54">
        <v>47</v>
      </c>
      <c r="B47" s="3" t="s">
        <v>2081</v>
      </c>
      <c r="C47" s="3" t="s">
        <v>1474</v>
      </c>
      <c r="D47" s="35" t="s">
        <v>2082</v>
      </c>
      <c r="E47" s="8">
        <v>46239</v>
      </c>
      <c r="F47" s="3"/>
      <c r="G47" s="8"/>
      <c r="H47" s="51"/>
      <c r="I47" s="35"/>
    </row>
    <row r="48" spans="1:9" ht="409.5">
      <c r="A48" s="54">
        <v>48</v>
      </c>
      <c r="B48" s="3" t="s">
        <v>34</v>
      </c>
      <c r="C48" s="3" t="s">
        <v>1474</v>
      </c>
      <c r="D48" s="35" t="s">
        <v>2083</v>
      </c>
      <c r="E48" s="8"/>
      <c r="F48" s="3"/>
      <c r="G48" s="8"/>
      <c r="H48" s="51"/>
      <c r="I48" s="35" t="s">
        <v>2056</v>
      </c>
    </row>
    <row r="49" spans="1:9" ht="240">
      <c r="A49" s="54">
        <v>49</v>
      </c>
      <c r="B49" s="3" t="s">
        <v>2084</v>
      </c>
      <c r="C49" s="3" t="s">
        <v>1474</v>
      </c>
      <c r="D49" s="35" t="s">
        <v>2301</v>
      </c>
      <c r="E49" s="8"/>
      <c r="F49" s="35"/>
      <c r="G49" s="8"/>
      <c r="H49" s="51"/>
      <c r="I49" s="35" t="s">
        <v>2296</v>
      </c>
    </row>
    <row r="50" spans="1:9" ht="409.5">
      <c r="A50" s="54">
        <v>50</v>
      </c>
      <c r="B50" s="3" t="s">
        <v>2085</v>
      </c>
      <c r="C50" s="3" t="s">
        <v>1474</v>
      </c>
      <c r="D50" s="35" t="s">
        <v>2297</v>
      </c>
      <c r="E50" s="8"/>
      <c r="F50" s="3"/>
      <c r="G50" s="8"/>
      <c r="H50" s="51"/>
      <c r="I50" s="35" t="s">
        <v>2296</v>
      </c>
    </row>
    <row r="51" spans="1:9" ht="112">
      <c r="A51" s="54">
        <v>51</v>
      </c>
      <c r="B51" s="3" t="s">
        <v>2086</v>
      </c>
      <c r="C51" s="3" t="s">
        <v>1224</v>
      </c>
      <c r="D51" s="35" t="s">
        <v>2087</v>
      </c>
      <c r="E51" s="8"/>
      <c r="F51" s="3"/>
      <c r="G51" s="8"/>
      <c r="H51" s="51"/>
      <c r="I51" s="35" t="s">
        <v>2056</v>
      </c>
    </row>
    <row r="52" spans="1:9" ht="240">
      <c r="A52" s="54">
        <v>52</v>
      </c>
      <c r="B52" s="3" t="s">
        <v>2088</v>
      </c>
      <c r="C52" s="3"/>
      <c r="D52" s="35" t="s">
        <v>2089</v>
      </c>
      <c r="E52" s="8"/>
      <c r="F52" s="3"/>
      <c r="G52" s="8"/>
      <c r="H52" s="51"/>
      <c r="I52" s="35"/>
    </row>
    <row r="53" spans="1:9" ht="336">
      <c r="A53" s="54">
        <v>53</v>
      </c>
      <c r="B53" s="3" t="s">
        <v>409</v>
      </c>
      <c r="C53" s="3"/>
      <c r="D53" s="35" t="s">
        <v>2090</v>
      </c>
      <c r="E53" s="8"/>
      <c r="F53" s="3"/>
      <c r="G53" s="8"/>
      <c r="H53" s="51"/>
      <c r="I53" s="35"/>
    </row>
    <row r="54" spans="1:9" ht="409.5">
      <c r="A54" s="54">
        <v>54</v>
      </c>
      <c r="B54" s="3" t="s">
        <v>434</v>
      </c>
      <c r="C54" s="3"/>
      <c r="D54" s="35" t="s">
        <v>2091</v>
      </c>
      <c r="E54" s="8"/>
      <c r="F54" s="3"/>
      <c r="G54" s="8"/>
      <c r="H54" s="51"/>
      <c r="I54" s="35"/>
    </row>
    <row r="55" spans="1:9" ht="192">
      <c r="A55" s="54">
        <v>55</v>
      </c>
      <c r="B55" s="3" t="s">
        <v>2092</v>
      </c>
      <c r="C55" s="3" t="s">
        <v>1999</v>
      </c>
      <c r="D55" s="35" t="s">
        <v>2093</v>
      </c>
      <c r="E55" s="8" t="s">
        <v>2001</v>
      </c>
      <c r="F55" s="35" t="s">
        <v>2094</v>
      </c>
      <c r="G55" s="8">
        <v>46241</v>
      </c>
      <c r="H55" s="62" t="s">
        <v>2095</v>
      </c>
      <c r="I55" s="35"/>
    </row>
    <row r="56" spans="1:9" ht="352">
      <c r="A56" s="54">
        <v>56</v>
      </c>
      <c r="B56" s="63" t="s">
        <v>2096</v>
      </c>
      <c r="C56" s="63" t="s">
        <v>1999</v>
      </c>
      <c r="D56" s="64" t="s">
        <v>2097</v>
      </c>
      <c r="E56" s="65" t="s">
        <v>2001</v>
      </c>
      <c r="F56" s="64" t="s">
        <v>2098</v>
      </c>
      <c r="G56" s="65">
        <v>46241</v>
      </c>
      <c r="H56" s="66" t="s">
        <v>2099</v>
      </c>
      <c r="I56" s="64"/>
    </row>
    <row r="57" spans="1:9" ht="409.5">
      <c r="A57" s="3">
        <v>57</v>
      </c>
      <c r="B57" s="3" t="s">
        <v>2100</v>
      </c>
      <c r="C57" s="3" t="s">
        <v>1999</v>
      </c>
      <c r="D57" s="35" t="s">
        <v>2101</v>
      </c>
      <c r="E57" s="8" t="s">
        <v>2001</v>
      </c>
      <c r="F57" s="35" t="s">
        <v>2102</v>
      </c>
      <c r="G57" s="8">
        <v>46241</v>
      </c>
      <c r="H57" s="51" t="s">
        <v>2103</v>
      </c>
      <c r="I57" s="35"/>
    </row>
    <row r="58" spans="1:9" ht="160">
      <c r="A58" s="3">
        <v>58</v>
      </c>
      <c r="B58" s="3" t="s">
        <v>2104</v>
      </c>
      <c r="C58" s="3" t="s">
        <v>1999</v>
      </c>
      <c r="D58" s="35" t="s">
        <v>2105</v>
      </c>
      <c r="E58" s="8" t="s">
        <v>2001</v>
      </c>
      <c r="F58" s="35" t="s">
        <v>2106</v>
      </c>
      <c r="G58" s="8">
        <v>46241</v>
      </c>
      <c r="H58" s="51" t="s">
        <v>2107</v>
      </c>
      <c r="I58" s="35"/>
    </row>
    <row r="59" spans="1:9" ht="96">
      <c r="A59" s="3">
        <v>59</v>
      </c>
      <c r="B59" s="3" t="s">
        <v>2108</v>
      </c>
      <c r="C59" s="3" t="s">
        <v>1999</v>
      </c>
      <c r="D59" s="35" t="s">
        <v>2109</v>
      </c>
      <c r="E59" s="8" t="s">
        <v>2001</v>
      </c>
      <c r="F59" s="35" t="s">
        <v>1989</v>
      </c>
      <c r="G59" s="8">
        <v>46241</v>
      </c>
      <c r="H59" s="51" t="s">
        <v>2110</v>
      </c>
      <c r="I59" s="35"/>
    </row>
    <row r="60" spans="1:9" ht="80">
      <c r="A60" s="3">
        <v>60</v>
      </c>
      <c r="B60" s="3" t="s">
        <v>2235</v>
      </c>
      <c r="C60" s="3" t="s">
        <v>1971</v>
      </c>
      <c r="D60" s="35" t="s">
        <v>2236</v>
      </c>
      <c r="E60" s="8"/>
      <c r="F60" s="3"/>
      <c r="G60" s="8"/>
      <c r="H60" s="51"/>
      <c r="I60" s="35"/>
    </row>
    <row r="61" spans="1:9" ht="80">
      <c r="A61" s="3">
        <v>61</v>
      </c>
      <c r="B61" s="3" t="s">
        <v>2237</v>
      </c>
      <c r="C61" s="3" t="s">
        <v>1971</v>
      </c>
      <c r="D61" s="35" t="s">
        <v>2238</v>
      </c>
      <c r="E61" s="8"/>
      <c r="F61" s="35"/>
      <c r="G61" s="8"/>
      <c r="H61" s="51"/>
      <c r="I61" s="35"/>
    </row>
    <row r="62" spans="1:9" ht="96">
      <c r="A62" s="3">
        <v>62</v>
      </c>
      <c r="B62" s="3" t="s">
        <v>2239</v>
      </c>
      <c r="C62" s="3" t="s">
        <v>1971</v>
      </c>
      <c r="D62" s="35" t="s">
        <v>2240</v>
      </c>
      <c r="E62" s="8"/>
      <c r="F62" s="35"/>
      <c r="G62" s="8"/>
      <c r="H62" s="51"/>
      <c r="I62" s="35"/>
    </row>
    <row r="63" spans="1:9" ht="96">
      <c r="A63" s="3">
        <v>63</v>
      </c>
      <c r="B63" s="3" t="s">
        <v>2242</v>
      </c>
      <c r="C63" s="3" t="s">
        <v>1971</v>
      </c>
      <c r="D63" s="35" t="s">
        <v>2241</v>
      </c>
      <c r="E63" s="8"/>
      <c r="F63" s="35"/>
      <c r="G63" s="8"/>
      <c r="H63" s="51"/>
      <c r="I63" s="35"/>
    </row>
    <row r="64" spans="1:9" ht="288">
      <c r="A64" s="3">
        <v>64</v>
      </c>
      <c r="B64" s="3" t="s">
        <v>2244</v>
      </c>
      <c r="C64" s="3" t="s">
        <v>1971</v>
      </c>
      <c r="D64" s="35" t="s">
        <v>2243</v>
      </c>
      <c r="E64" s="8"/>
      <c r="F64" s="35"/>
      <c r="G64" s="8"/>
      <c r="H64" s="51"/>
      <c r="I64" s="35"/>
    </row>
    <row r="65" spans="1:9" ht="160">
      <c r="A65" s="3">
        <v>65</v>
      </c>
      <c r="B65" s="3" t="s">
        <v>2246</v>
      </c>
      <c r="C65" s="3" t="s">
        <v>1971</v>
      </c>
      <c r="D65" s="35" t="s">
        <v>2245</v>
      </c>
      <c r="E65" s="8"/>
      <c r="F65" s="35"/>
      <c r="G65" s="8"/>
      <c r="H65" s="51"/>
      <c r="I65" s="35"/>
    </row>
    <row r="66" spans="1:9" ht="96">
      <c r="A66" s="3">
        <v>66</v>
      </c>
      <c r="B66" s="3" t="s">
        <v>2248</v>
      </c>
      <c r="C66" s="3" t="s">
        <v>1971</v>
      </c>
      <c r="D66" s="35" t="s">
        <v>2247</v>
      </c>
      <c r="E66" s="8"/>
      <c r="F66" s="35"/>
      <c r="G66" s="8"/>
      <c r="H66" s="51"/>
      <c r="I66" s="35"/>
    </row>
    <row r="67" spans="1:9" ht="192">
      <c r="A67" s="3">
        <v>67</v>
      </c>
      <c r="B67" s="3" t="s">
        <v>2250</v>
      </c>
      <c r="C67" s="3" t="s">
        <v>1971</v>
      </c>
      <c r="D67" s="35" t="s">
        <v>2249</v>
      </c>
      <c r="E67" s="8"/>
      <c r="F67" s="35"/>
      <c r="G67" s="8"/>
      <c r="H67" s="51"/>
      <c r="I67" s="35"/>
    </row>
    <row r="68" spans="1:9" ht="176">
      <c r="A68" s="3">
        <v>68</v>
      </c>
      <c r="B68" s="3" t="s">
        <v>2252</v>
      </c>
      <c r="C68" s="3" t="s">
        <v>1971</v>
      </c>
      <c r="D68" s="35" t="s">
        <v>2251</v>
      </c>
      <c r="E68" s="8"/>
      <c r="F68" s="35"/>
      <c r="G68" s="8"/>
      <c r="H68" s="51"/>
      <c r="I68" s="35"/>
    </row>
    <row r="69" spans="1:9" ht="288">
      <c r="A69" s="3">
        <v>69</v>
      </c>
      <c r="B69" s="3" t="s">
        <v>2254</v>
      </c>
      <c r="C69" s="3" t="s">
        <v>1971</v>
      </c>
      <c r="D69" s="35" t="s">
        <v>2253</v>
      </c>
      <c r="E69" s="8"/>
      <c r="F69" s="35"/>
      <c r="G69" s="8"/>
      <c r="H69" s="51"/>
      <c r="I69" s="35"/>
    </row>
    <row r="70" spans="1:9" ht="176">
      <c r="A70" s="3">
        <v>70</v>
      </c>
      <c r="B70" s="3" t="s">
        <v>2256</v>
      </c>
      <c r="C70" s="3" t="s">
        <v>1971</v>
      </c>
      <c r="D70" s="35" t="s">
        <v>2255</v>
      </c>
      <c r="E70" s="8"/>
      <c r="F70" s="35"/>
      <c r="G70" s="8"/>
      <c r="H70" s="51"/>
      <c r="I70" s="35"/>
    </row>
    <row r="71" spans="1:9" ht="176">
      <c r="A71" s="3">
        <v>71</v>
      </c>
      <c r="B71" s="3" t="s">
        <v>2258</v>
      </c>
      <c r="C71" s="3" t="s">
        <v>1971</v>
      </c>
      <c r="D71" s="35" t="s">
        <v>2257</v>
      </c>
      <c r="E71" s="8"/>
      <c r="F71" s="35"/>
      <c r="G71" s="8"/>
      <c r="H71" s="51"/>
      <c r="I71" s="35"/>
    </row>
    <row r="72" spans="1:9" ht="176">
      <c r="A72" s="3">
        <v>72</v>
      </c>
      <c r="B72" s="3" t="s">
        <v>2260</v>
      </c>
      <c r="C72" s="3" t="s">
        <v>1971</v>
      </c>
      <c r="D72" s="35" t="s">
        <v>2259</v>
      </c>
      <c r="E72" s="8"/>
      <c r="F72" s="35"/>
      <c r="G72" s="8"/>
      <c r="H72" s="51"/>
      <c r="I72" s="35"/>
    </row>
    <row r="73" spans="1:9" ht="112">
      <c r="A73" s="3">
        <v>73</v>
      </c>
      <c r="B73" s="3" t="s">
        <v>2262</v>
      </c>
      <c r="C73" s="3" t="s">
        <v>1971</v>
      </c>
      <c r="D73" s="35" t="s">
        <v>2261</v>
      </c>
      <c r="E73" s="8"/>
      <c r="F73" s="35"/>
      <c r="G73" s="8"/>
      <c r="H73" s="51"/>
      <c r="I73" s="35"/>
    </row>
    <row r="74" spans="1:9" ht="128">
      <c r="A74" s="3">
        <v>74</v>
      </c>
      <c r="B74" s="3" t="s">
        <v>2264</v>
      </c>
      <c r="C74" s="3" t="s">
        <v>1971</v>
      </c>
      <c r="D74" s="35" t="s">
        <v>2263</v>
      </c>
      <c r="E74" s="8"/>
      <c r="F74" s="35"/>
      <c r="G74" s="8"/>
      <c r="H74" s="51"/>
      <c r="I74" s="35"/>
    </row>
    <row r="75" spans="1:9" ht="160">
      <c r="A75" s="3">
        <v>75</v>
      </c>
      <c r="B75" s="3" t="s">
        <v>2266</v>
      </c>
      <c r="C75" s="3" t="s">
        <v>1971</v>
      </c>
      <c r="D75" s="35" t="s">
        <v>2265</v>
      </c>
      <c r="E75" s="8"/>
      <c r="F75" s="35"/>
      <c r="G75" s="8"/>
      <c r="H75" s="51"/>
      <c r="I75" s="35"/>
    </row>
    <row r="76" spans="1:9" ht="160">
      <c r="A76" s="3">
        <v>76</v>
      </c>
      <c r="B76" s="3" t="s">
        <v>2268</v>
      </c>
      <c r="C76" s="3" t="s">
        <v>1971</v>
      </c>
      <c r="D76" s="35" t="s">
        <v>2267</v>
      </c>
      <c r="E76" s="8"/>
      <c r="F76" s="35"/>
      <c r="G76" s="8"/>
      <c r="H76" s="51"/>
      <c r="I76" s="35"/>
    </row>
    <row r="77" spans="1:9" ht="272">
      <c r="A77" s="3">
        <v>77</v>
      </c>
      <c r="B77" s="3" t="s">
        <v>2270</v>
      </c>
      <c r="C77" s="3" t="s">
        <v>1971</v>
      </c>
      <c r="D77" s="35" t="s">
        <v>2269</v>
      </c>
      <c r="E77" s="8"/>
      <c r="F77" s="35"/>
      <c r="G77" s="8"/>
      <c r="H77" s="51"/>
      <c r="I77" s="35"/>
    </row>
    <row r="78" spans="1:9" ht="128">
      <c r="A78" s="3">
        <v>78</v>
      </c>
      <c r="B78" s="3" t="s">
        <v>2272</v>
      </c>
      <c r="C78" s="3" t="s">
        <v>1971</v>
      </c>
      <c r="D78" s="35" t="s">
        <v>2271</v>
      </c>
      <c r="E78" s="8"/>
      <c r="F78" s="35"/>
      <c r="G78" s="8"/>
      <c r="H78" s="51"/>
      <c r="I78" s="35"/>
    </row>
    <row r="79" spans="1:9" ht="144">
      <c r="A79" s="3">
        <v>79</v>
      </c>
      <c r="B79" s="3" t="s">
        <v>2274</v>
      </c>
      <c r="C79" s="3" t="s">
        <v>1971</v>
      </c>
      <c r="D79" s="35" t="s">
        <v>2273</v>
      </c>
      <c r="E79" s="8"/>
      <c r="F79" s="35"/>
      <c r="G79" s="8"/>
      <c r="H79" s="51"/>
      <c r="I79" s="35"/>
    </row>
    <row r="80" spans="1:9" ht="176">
      <c r="A80" s="3">
        <v>80</v>
      </c>
      <c r="B80" s="3" t="s">
        <v>2276</v>
      </c>
      <c r="C80" s="3" t="s">
        <v>1971</v>
      </c>
      <c r="D80" s="35" t="s">
        <v>2275</v>
      </c>
      <c r="E80" s="8"/>
      <c r="F80" s="35"/>
      <c r="G80" s="8"/>
      <c r="H80" s="51"/>
      <c r="I80" s="35"/>
    </row>
    <row r="81" spans="1:9" ht="144">
      <c r="A81" s="3">
        <v>81</v>
      </c>
      <c r="B81" s="3" t="s">
        <v>2278</v>
      </c>
      <c r="C81" s="3" t="s">
        <v>1971</v>
      </c>
      <c r="D81" s="35" t="s">
        <v>2277</v>
      </c>
      <c r="E81" s="8"/>
      <c r="F81" s="35"/>
      <c r="G81" s="8"/>
      <c r="H81" s="51"/>
      <c r="I81" s="35"/>
    </row>
    <row r="82" spans="1:9" ht="144">
      <c r="A82" s="3">
        <v>82</v>
      </c>
      <c r="B82" s="3" t="s">
        <v>2280</v>
      </c>
      <c r="C82" s="3" t="s">
        <v>1971</v>
      </c>
      <c r="D82" s="35" t="s">
        <v>2279</v>
      </c>
      <c r="E82" s="8"/>
      <c r="F82" s="35"/>
      <c r="G82" s="8"/>
      <c r="H82" s="51"/>
      <c r="I82" s="35"/>
    </row>
    <row r="83" spans="1:9" ht="160">
      <c r="A83" s="3">
        <v>83</v>
      </c>
      <c r="B83" s="3" t="s">
        <v>2282</v>
      </c>
      <c r="C83" s="3" t="s">
        <v>1971</v>
      </c>
      <c r="D83" s="35" t="s">
        <v>2281</v>
      </c>
      <c r="E83" s="8"/>
      <c r="F83" s="35"/>
      <c r="G83" s="8"/>
      <c r="H83" s="51"/>
      <c r="I83" s="35"/>
    </row>
    <row r="84" spans="1:9" ht="176">
      <c r="A84" s="3">
        <v>84</v>
      </c>
      <c r="B84" s="3" t="s">
        <v>2283</v>
      </c>
      <c r="C84" s="3" t="s">
        <v>1971</v>
      </c>
      <c r="D84" s="35" t="s">
        <v>2284</v>
      </c>
      <c r="E84" s="8"/>
      <c r="F84" s="35"/>
      <c r="G84" s="8"/>
      <c r="H84" s="51"/>
      <c r="I84" s="35"/>
    </row>
    <row r="85" spans="1:9" ht="192">
      <c r="A85" s="3">
        <v>85</v>
      </c>
      <c r="B85" s="3" t="s">
        <v>2286</v>
      </c>
      <c r="C85" s="3" t="s">
        <v>1971</v>
      </c>
      <c r="D85" s="35" t="s">
        <v>2285</v>
      </c>
      <c r="E85" s="8"/>
      <c r="F85" s="35"/>
      <c r="G85" s="8"/>
      <c r="H85" s="51"/>
      <c r="I85" s="35"/>
    </row>
    <row r="86" spans="1:9" ht="256">
      <c r="A86" s="3">
        <v>86</v>
      </c>
      <c r="B86" s="3" t="s">
        <v>2288</v>
      </c>
      <c r="C86" s="3" t="s">
        <v>1971</v>
      </c>
      <c r="D86" s="35" t="s">
        <v>2287</v>
      </c>
      <c r="E86" s="8"/>
      <c r="F86" s="35"/>
      <c r="G86" s="8"/>
      <c r="H86" s="51"/>
      <c r="I86" s="35"/>
    </row>
    <row r="87" spans="1:9" ht="192">
      <c r="A87" s="3">
        <v>87</v>
      </c>
      <c r="B87" s="3" t="s">
        <v>2290</v>
      </c>
      <c r="C87" s="3" t="s">
        <v>1971</v>
      </c>
      <c r="D87" s="35" t="s">
        <v>2289</v>
      </c>
      <c r="E87" s="8"/>
      <c r="F87" s="35"/>
      <c r="G87" s="8"/>
      <c r="H87" s="51"/>
      <c r="I87" s="35"/>
    </row>
    <row r="88" spans="1:9" ht="288">
      <c r="A88" s="3">
        <v>88</v>
      </c>
      <c r="B88" s="3" t="s">
        <v>1459</v>
      </c>
      <c r="C88" s="3" t="s">
        <v>1971</v>
      </c>
      <c r="D88" s="35" t="s">
        <v>2304</v>
      </c>
      <c r="E88" s="8"/>
      <c r="F88" s="35"/>
      <c r="G88" s="8"/>
      <c r="H88" s="51"/>
      <c r="I88" s="35"/>
    </row>
    <row r="89" spans="1:9">
      <c r="A89" s="3">
        <v>89</v>
      </c>
      <c r="B89" s="3"/>
      <c r="C89" s="3"/>
      <c r="D89" s="3"/>
      <c r="E89" s="8"/>
      <c r="F89" s="35"/>
      <c r="G89" s="8"/>
      <c r="H89" s="51"/>
      <c r="I89" s="35"/>
    </row>
    <row r="90" spans="1:9">
      <c r="A90" s="3">
        <v>90</v>
      </c>
      <c r="B90" s="3"/>
      <c r="C90" s="3"/>
      <c r="D90" s="3"/>
      <c r="E90" s="8"/>
      <c r="F90" s="35"/>
      <c r="G90" s="8"/>
      <c r="H90" s="51"/>
      <c r="I90" s="35"/>
    </row>
    <row r="91" spans="1:9">
      <c r="A91" s="3">
        <v>91</v>
      </c>
      <c r="B91" s="3"/>
      <c r="C91" s="3"/>
      <c r="D91" s="3"/>
      <c r="E91" s="8"/>
      <c r="F91" s="35"/>
      <c r="G91" s="8"/>
      <c r="H91" s="51"/>
      <c r="I91" s="35"/>
    </row>
    <row r="92" spans="1:9">
      <c r="A92" s="3">
        <v>92</v>
      </c>
      <c r="B92" s="3"/>
      <c r="C92" s="3"/>
      <c r="D92" s="3"/>
      <c r="E92" s="8"/>
      <c r="F92" s="35"/>
      <c r="G92" s="8"/>
      <c r="H92" s="51"/>
      <c r="I92" s="35"/>
    </row>
    <row r="93" spans="1:9">
      <c r="A93" s="3">
        <v>93</v>
      </c>
      <c r="B93" s="3"/>
      <c r="C93" s="3"/>
      <c r="D93" s="3"/>
      <c r="E93" s="8"/>
      <c r="F93" s="35"/>
      <c r="G93" s="8"/>
      <c r="H93" s="51"/>
      <c r="I93" s="35"/>
    </row>
    <row r="94" spans="1:9">
      <c r="A94" s="3">
        <v>94</v>
      </c>
      <c r="B94" s="3"/>
      <c r="C94" s="3"/>
      <c r="D94" s="3"/>
      <c r="E94" s="8"/>
      <c r="F94" s="35"/>
      <c r="G94" s="8"/>
      <c r="H94" s="51"/>
      <c r="I94" s="35"/>
    </row>
    <row r="95" spans="1:9">
      <c r="A95" s="3">
        <v>95</v>
      </c>
      <c r="B95" s="3"/>
      <c r="C95" s="3"/>
      <c r="D95" s="3"/>
      <c r="E95" s="8"/>
      <c r="F95" s="35"/>
      <c r="G95" s="8"/>
      <c r="H95" s="51"/>
      <c r="I95" s="35"/>
    </row>
    <row r="96" spans="1:9">
      <c r="A96" s="3">
        <v>96</v>
      </c>
      <c r="B96" s="3"/>
      <c r="C96" s="3"/>
      <c r="D96" s="3"/>
      <c r="E96" s="8"/>
      <c r="F96" s="35"/>
      <c r="G96" s="8"/>
      <c r="H96" s="51"/>
      <c r="I96" s="35"/>
    </row>
    <row r="97" spans="1:9">
      <c r="A97" s="3">
        <v>97</v>
      </c>
      <c r="B97" s="3"/>
      <c r="C97" s="3"/>
      <c r="D97" s="3"/>
      <c r="E97" s="8"/>
      <c r="F97" s="35"/>
      <c r="G97" s="8"/>
      <c r="H97" s="51"/>
      <c r="I97" s="35"/>
    </row>
    <row r="98" spans="1:9">
      <c r="A98" s="3">
        <v>98</v>
      </c>
      <c r="B98" s="3"/>
      <c r="C98" s="3"/>
      <c r="D98" s="3"/>
      <c r="E98" s="8"/>
      <c r="F98" s="35"/>
      <c r="G98" s="8"/>
      <c r="H98" s="51"/>
      <c r="I98" s="35"/>
    </row>
    <row r="99" spans="1:9">
      <c r="A99" s="3">
        <v>99</v>
      </c>
      <c r="B99" s="3"/>
      <c r="C99" s="3"/>
      <c r="D99" s="3"/>
      <c r="E99" s="8"/>
      <c r="F99" s="35"/>
      <c r="G99" s="8"/>
      <c r="H99" s="51"/>
      <c r="I99" s="35"/>
    </row>
    <row r="100" spans="1:9">
      <c r="A100" s="3">
        <v>100</v>
      </c>
      <c r="B100" s="3"/>
      <c r="C100" s="3"/>
      <c r="D100" s="3"/>
      <c r="E100" s="8"/>
      <c r="F100" s="35"/>
      <c r="G100" s="8"/>
      <c r="H100" s="51"/>
      <c r="I100" s="35"/>
    </row>
  </sheetData>
  <autoFilter ref="A1:I100" xr:uid="{FB7193A8-FB5F-46DF-940E-2691CCA2F8B9}"/>
  <conditionalFormatting sqref="D1:D1048576">
    <cfRule type="duplicateValues" dxfId="1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40318-F893-4E69-BAE6-650B9B84C183}">
  <dimension ref="A1:E21"/>
  <sheetViews>
    <sheetView workbookViewId="0">
      <selection activeCell="B19" sqref="B19"/>
    </sheetView>
  </sheetViews>
  <sheetFormatPr defaultRowHeight="16"/>
  <cols>
    <col min="1" max="1" width="35.53515625" bestFit="1" customWidth="1"/>
    <col min="2" max="2" width="22.3046875" customWidth="1"/>
  </cols>
  <sheetData>
    <row r="1" spans="1:5">
      <c r="A1" s="40" t="s">
        <v>2111</v>
      </c>
      <c r="B1" s="40" t="s">
        <v>2112</v>
      </c>
    </row>
    <row r="2" spans="1:5">
      <c r="A2" s="41" t="s">
        <v>2113</v>
      </c>
      <c r="B2" s="41" t="s">
        <v>2114</v>
      </c>
      <c r="C2" t="s">
        <v>2115</v>
      </c>
    </row>
    <row r="3" spans="1:5">
      <c r="A3" s="41" t="s">
        <v>2116</v>
      </c>
      <c r="B3" s="41" t="s">
        <v>2114</v>
      </c>
      <c r="C3" t="s">
        <v>2115</v>
      </c>
    </row>
    <row r="4" spans="1:5">
      <c r="A4" s="41" t="s">
        <v>2117</v>
      </c>
      <c r="B4" s="41" t="s">
        <v>2118</v>
      </c>
      <c r="C4" t="s">
        <v>2115</v>
      </c>
    </row>
    <row r="5" spans="1:5">
      <c r="A5" s="41" t="s">
        <v>2119</v>
      </c>
      <c r="B5" s="41" t="s">
        <v>2120</v>
      </c>
      <c r="C5" t="s">
        <v>2115</v>
      </c>
    </row>
    <row r="6" spans="1:5">
      <c r="A6" s="41" t="s">
        <v>2121</v>
      </c>
      <c r="B6" s="41" t="s">
        <v>2120</v>
      </c>
      <c r="C6" t="s">
        <v>2115</v>
      </c>
    </row>
    <row r="7" spans="1:5">
      <c r="A7" s="41" t="s">
        <v>2122</v>
      </c>
      <c r="B7" s="41" t="s">
        <v>2120</v>
      </c>
      <c r="C7" t="s">
        <v>2115</v>
      </c>
      <c r="E7" t="s">
        <v>2123</v>
      </c>
    </row>
    <row r="8" spans="1:5">
      <c r="A8" s="41" t="s">
        <v>2124</v>
      </c>
      <c r="B8" s="41" t="s">
        <v>2120</v>
      </c>
      <c r="C8" t="s">
        <v>2115</v>
      </c>
    </row>
    <row r="9" spans="1:5">
      <c r="A9" s="41" t="s">
        <v>2125</v>
      </c>
      <c r="B9" s="41" t="s">
        <v>2120</v>
      </c>
      <c r="C9" t="s">
        <v>2115</v>
      </c>
    </row>
    <row r="10" spans="1:5">
      <c r="A10" s="73" t="s">
        <v>2126</v>
      </c>
      <c r="B10" s="73"/>
    </row>
    <row r="11" spans="1:5">
      <c r="A11" s="41" t="s">
        <v>2127</v>
      </c>
      <c r="B11" s="41" t="s">
        <v>2128</v>
      </c>
      <c r="C11" t="s">
        <v>2115</v>
      </c>
    </row>
    <row r="12" spans="1:5">
      <c r="A12" s="41" t="s">
        <v>2129</v>
      </c>
      <c r="B12" s="41" t="s">
        <v>2128</v>
      </c>
      <c r="C12" t="s">
        <v>2115</v>
      </c>
    </row>
    <row r="13" spans="1:5">
      <c r="A13" s="41" t="s">
        <v>2130</v>
      </c>
      <c r="B13" s="41" t="s">
        <v>2131</v>
      </c>
    </row>
    <row r="14" spans="1:5">
      <c r="A14" s="42" t="s">
        <v>2132</v>
      </c>
      <c r="B14" s="42" t="s">
        <v>2133</v>
      </c>
      <c r="C14" t="s">
        <v>2134</v>
      </c>
    </row>
    <row r="15" spans="1:5">
      <c r="A15" s="41" t="s">
        <v>2135</v>
      </c>
      <c r="B15" s="41" t="s">
        <v>2136</v>
      </c>
    </row>
    <row r="16" spans="1:5">
      <c r="A16" s="41" t="s">
        <v>2137</v>
      </c>
      <c r="B16" s="41" t="s">
        <v>2138</v>
      </c>
    </row>
    <row r="17" spans="1:2">
      <c r="A17" s="41" t="s">
        <v>2139</v>
      </c>
      <c r="B17" s="41" t="s">
        <v>2140</v>
      </c>
    </row>
    <row r="18" spans="1:2">
      <c r="A18" s="41" t="s">
        <v>2141</v>
      </c>
      <c r="B18" s="41" t="s">
        <v>2142</v>
      </c>
    </row>
    <row r="19" spans="1:2">
      <c r="A19" s="41" t="s">
        <v>2143</v>
      </c>
      <c r="B19" s="41" t="s">
        <v>2144</v>
      </c>
    </row>
    <row r="20" spans="1:2">
      <c r="A20" s="41" t="s">
        <v>2145</v>
      </c>
      <c r="B20" s="41" t="s">
        <v>2146</v>
      </c>
    </row>
    <row r="21" spans="1:2">
      <c r="A21" s="41" t="s">
        <v>2147</v>
      </c>
      <c r="B21" s="41" t="s">
        <v>2148</v>
      </c>
    </row>
  </sheetData>
  <mergeCells count="1">
    <mergeCell ref="A10:B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95E5-44A8-46E2-8F73-F5908619E989}">
  <dimension ref="B5:K89"/>
  <sheetViews>
    <sheetView topLeftCell="A26" zoomScale="69" workbookViewId="0">
      <selection activeCell="J11" sqref="J11"/>
    </sheetView>
  </sheetViews>
  <sheetFormatPr defaultRowHeight="16"/>
  <cols>
    <col min="3" max="3" width="26.07421875" bestFit="1" customWidth="1"/>
    <col min="4" max="6" width="15.765625" bestFit="1" customWidth="1"/>
    <col min="7" max="8" width="15.765625" customWidth="1"/>
  </cols>
  <sheetData>
    <row r="5" spans="2:9" ht="16.5" thickBot="1"/>
    <row r="6" spans="2:9">
      <c r="B6" s="10"/>
      <c r="C6" s="11"/>
      <c r="D6" s="11"/>
      <c r="E6" s="11"/>
      <c r="F6" s="11"/>
      <c r="G6" s="11"/>
      <c r="H6" s="11"/>
      <c r="I6" s="12"/>
    </row>
    <row r="7" spans="2:9">
      <c r="B7" s="13"/>
      <c r="C7" s="14"/>
      <c r="D7" s="14"/>
      <c r="E7" s="14"/>
      <c r="F7" s="14"/>
      <c r="G7" s="14"/>
      <c r="H7" s="14"/>
      <c r="I7" s="15"/>
    </row>
    <row r="8" spans="2:9">
      <c r="B8" s="13"/>
      <c r="C8" s="4" t="s">
        <v>2149</v>
      </c>
      <c r="D8" s="21">
        <f>COUNTIF('Production Plan'!B:B,"&lt;&gt;")-1</f>
        <v>357</v>
      </c>
      <c r="E8" s="14"/>
      <c r="F8" s="14"/>
      <c r="G8" s="4" t="s">
        <v>2150</v>
      </c>
      <c r="H8" s="21">
        <f>COUNTIF('Production Plan'!G:G,"=Evalueringskrav")</f>
        <v>12</v>
      </c>
      <c r="I8" s="15"/>
    </row>
    <row r="9" spans="2:9">
      <c r="B9" s="13"/>
      <c r="C9" s="20"/>
      <c r="D9" s="14"/>
      <c r="E9" s="14"/>
      <c r="F9" s="14"/>
      <c r="G9" s="14"/>
      <c r="H9" s="14"/>
      <c r="I9" s="15"/>
    </row>
    <row r="10" spans="2:9">
      <c r="B10" s="13"/>
      <c r="C10" s="14"/>
      <c r="D10" s="14"/>
      <c r="E10" s="14"/>
      <c r="F10" s="14"/>
      <c r="G10" s="14"/>
      <c r="H10" s="14"/>
      <c r="I10" s="15"/>
    </row>
    <row r="11" spans="2:9">
      <c r="B11" s="13"/>
      <c r="C11" s="14"/>
      <c r="D11" s="14"/>
      <c r="E11" s="68" t="s">
        <v>2151</v>
      </c>
      <c r="F11" s="70"/>
      <c r="G11" s="71" t="s">
        <v>2152</v>
      </c>
      <c r="H11" s="72"/>
      <c r="I11" s="15"/>
    </row>
    <row r="12" spans="2:9">
      <c r="B12" s="13"/>
      <c r="C12" s="14"/>
      <c r="D12" s="14"/>
      <c r="E12" s="5" t="s">
        <v>2153</v>
      </c>
      <c r="F12" s="5" t="s">
        <v>2154</v>
      </c>
      <c r="G12" s="55" t="s">
        <v>2153</v>
      </c>
      <c r="H12" s="55" t="s">
        <v>2154</v>
      </c>
      <c r="I12" s="15"/>
    </row>
    <row r="13" spans="2:9">
      <c r="B13" s="13"/>
      <c r="C13" s="6" t="s">
        <v>79</v>
      </c>
      <c r="D13" s="30"/>
      <c r="E13" s="21">
        <f>COUNTIF('Production Plan'!V:V,Status!$C$13)</f>
        <v>46</v>
      </c>
      <c r="F13" s="22">
        <f>E13/$D$8</f>
        <v>0.12885154061624648</v>
      </c>
      <c r="G13" s="21">
        <f>COUNTIFS('Production Plan'!V:V,C13,'Production Plan'!G:G,"Evalueringskrav")</f>
        <v>12</v>
      </c>
      <c r="H13" s="22">
        <f>G13/$D$8</f>
        <v>3.3613445378151259E-2</v>
      </c>
      <c r="I13" s="15"/>
    </row>
    <row r="14" spans="2:9">
      <c r="B14" s="13"/>
      <c r="C14" s="6" t="s">
        <v>405</v>
      </c>
      <c r="D14" s="31"/>
      <c r="E14" s="21">
        <f>COUNTIF('Production Plan'!V:V,Status!C14)</f>
        <v>112</v>
      </c>
      <c r="F14" s="22">
        <f t="shared" ref="F14:F18" si="0">E14/$D$8</f>
        <v>0.31372549019607843</v>
      </c>
      <c r="G14" s="21">
        <f>COUNTIFS('Production Plan'!V:V,C14,'Production Plan'!G:G,"Evalueringskrav")</f>
        <v>0</v>
      </c>
      <c r="H14" s="22">
        <f t="shared" ref="H14:H18" si="1">G14/$D$8</f>
        <v>0</v>
      </c>
      <c r="I14" s="15"/>
    </row>
    <row r="15" spans="2:9">
      <c r="B15" s="13"/>
      <c r="C15" s="6" t="s">
        <v>2155</v>
      </c>
      <c r="D15" s="30"/>
      <c r="E15" s="21">
        <f>COUNTIF('Production Plan'!V:V,Status!C15)</f>
        <v>45</v>
      </c>
      <c r="F15" s="22">
        <f t="shared" si="0"/>
        <v>0.12605042016806722</v>
      </c>
      <c r="G15" s="21">
        <f>COUNTIFS('Production Plan'!V:V,C15,'Production Plan'!G:G,"Evalueringskrav")</f>
        <v>0</v>
      </c>
      <c r="H15" s="22">
        <f t="shared" si="1"/>
        <v>0</v>
      </c>
      <c r="I15" s="15"/>
    </row>
    <row r="16" spans="2:9">
      <c r="B16" s="13"/>
      <c r="C16" s="6" t="s">
        <v>42</v>
      </c>
      <c r="D16" s="30"/>
      <c r="E16" s="21">
        <f>COUNTIF('Production Plan'!V:V,Status!C16)</f>
        <v>144</v>
      </c>
      <c r="F16" s="22">
        <f t="shared" si="0"/>
        <v>0.40336134453781514</v>
      </c>
      <c r="G16" s="21">
        <f>COUNTIFS('Production Plan'!V:V,C16,'Production Plan'!G:G,"Evalueringskrav")</f>
        <v>0</v>
      </c>
      <c r="H16" s="22">
        <f t="shared" si="1"/>
        <v>0</v>
      </c>
      <c r="I16" s="15"/>
    </row>
    <row r="17" spans="2:9">
      <c r="B17" s="13"/>
      <c r="C17" s="6" t="s">
        <v>1781</v>
      </c>
      <c r="D17" s="30"/>
      <c r="E17" s="21">
        <f>COUNTIF('Production Plan'!V:V,Status!C17)</f>
        <v>7</v>
      </c>
      <c r="F17" s="22">
        <f t="shared" si="0"/>
        <v>1.9607843137254902E-2</v>
      </c>
      <c r="G17" s="21">
        <f>COUNTIFS('Production Plan'!V:V,C17,'Production Plan'!G:G,"Evalueringskrav")</f>
        <v>0</v>
      </c>
      <c r="H17" s="22">
        <f t="shared" si="1"/>
        <v>0</v>
      </c>
      <c r="I17" s="15"/>
    </row>
    <row r="18" spans="2:9">
      <c r="B18" s="13"/>
      <c r="C18" s="6" t="s">
        <v>1788</v>
      </c>
      <c r="D18" s="31"/>
      <c r="E18" s="21">
        <f>COUNTIF('Production Plan'!V:V,Status!C18)</f>
        <v>3</v>
      </c>
      <c r="F18" s="22">
        <f t="shared" si="0"/>
        <v>8.4033613445378148E-3</v>
      </c>
      <c r="G18" s="21">
        <f>COUNTIFS('Production Plan'!V:V,C18,'Production Plan'!G:G,"Evalueringskrav")</f>
        <v>0</v>
      </c>
      <c r="H18" s="22">
        <f t="shared" si="1"/>
        <v>0</v>
      </c>
      <c r="I18" s="15"/>
    </row>
    <row r="19" spans="2:9">
      <c r="B19" s="13"/>
      <c r="C19" s="24" t="s">
        <v>2156</v>
      </c>
      <c r="D19" s="25"/>
      <c r="E19" s="26">
        <f t="shared" ref="E19:H19" si="2">SUM(E13:E18)</f>
        <v>357</v>
      </c>
      <c r="F19" s="27">
        <f t="shared" si="2"/>
        <v>1</v>
      </c>
      <c r="G19" s="26">
        <f t="shared" si="2"/>
        <v>12</v>
      </c>
      <c r="H19" s="27">
        <f t="shared" si="2"/>
        <v>3.3613445378151259E-2</v>
      </c>
      <c r="I19" s="15"/>
    </row>
    <row r="20" spans="2:9">
      <c r="B20" s="13"/>
      <c r="C20" s="24" t="s">
        <v>2157</v>
      </c>
      <c r="D20" s="25"/>
      <c r="E20" s="25">
        <f>$D$8-E19</f>
        <v>0</v>
      </c>
      <c r="F20" s="28">
        <f>100%-F19</f>
        <v>0</v>
      </c>
      <c r="G20" s="25">
        <f>H8-G19</f>
        <v>0</v>
      </c>
      <c r="H20" s="28">
        <f>100%-H19</f>
        <v>0.96638655462184875</v>
      </c>
      <c r="I20" s="15"/>
    </row>
    <row r="21" spans="2:9">
      <c r="B21" s="13"/>
      <c r="C21" s="14"/>
      <c r="E21" s="14"/>
      <c r="F21" s="16"/>
      <c r="G21" s="16"/>
      <c r="H21" s="16"/>
      <c r="I21" s="15"/>
    </row>
    <row r="22" spans="2:9" ht="16.5" thickBot="1">
      <c r="B22" s="17"/>
      <c r="C22" s="18"/>
      <c r="D22" s="18"/>
      <c r="E22" s="18"/>
      <c r="F22" s="18"/>
      <c r="G22" s="18"/>
      <c r="H22" s="18"/>
      <c r="I22" s="19"/>
    </row>
    <row r="24" spans="2:9" ht="16.5" thickBot="1"/>
    <row r="25" spans="2:9">
      <c r="B25" s="10"/>
      <c r="C25" s="11"/>
      <c r="D25" s="11"/>
      <c r="E25" s="11"/>
      <c r="F25" s="11"/>
      <c r="G25" s="11"/>
      <c r="H25" s="11"/>
      <c r="I25" s="12"/>
    </row>
    <row r="26" spans="2:9">
      <c r="B26" s="13"/>
      <c r="C26" s="14"/>
      <c r="D26" s="14"/>
      <c r="E26" s="14"/>
      <c r="F26" s="14"/>
      <c r="G26" s="14"/>
      <c r="H26" s="14"/>
      <c r="I26" s="15"/>
    </row>
    <row r="27" spans="2:9">
      <c r="B27" s="13"/>
      <c r="C27" s="14"/>
      <c r="D27" s="14"/>
      <c r="E27" s="69" t="s">
        <v>2151</v>
      </c>
      <c r="F27" s="69"/>
      <c r="G27" s="71" t="s">
        <v>2152</v>
      </c>
      <c r="H27" s="72"/>
      <c r="I27" s="15"/>
    </row>
    <row r="28" spans="2:9">
      <c r="B28" s="13"/>
      <c r="C28" s="6" t="s">
        <v>11</v>
      </c>
      <c r="D28" s="29"/>
      <c r="E28" s="9" t="s">
        <v>2158</v>
      </c>
      <c r="F28" s="2" t="s">
        <v>2154</v>
      </c>
      <c r="G28" s="56" t="s">
        <v>2153</v>
      </c>
      <c r="H28" s="56" t="s">
        <v>2154</v>
      </c>
      <c r="I28" s="15"/>
    </row>
    <row r="29" spans="2:9">
      <c r="B29" s="13"/>
      <c r="C29" s="6" t="s">
        <v>40</v>
      </c>
      <c r="D29" s="29"/>
      <c r="E29" s="23">
        <f>COUNTIF('Production Plan'!L:L,C29)</f>
        <v>144</v>
      </c>
      <c r="F29" s="22">
        <f>E29/$D$8</f>
        <v>0.40336134453781514</v>
      </c>
      <c r="G29" s="21">
        <f>COUNTIFS('Production Plan'!L:L,C29,'Production Plan'!G:G,"Evalueringskrav")</f>
        <v>0</v>
      </c>
      <c r="H29" s="22">
        <f>G29/$H$8</f>
        <v>0</v>
      </c>
      <c r="I29" s="15"/>
    </row>
    <row r="30" spans="2:9">
      <c r="B30" s="13"/>
      <c r="C30" s="6" t="s">
        <v>1423</v>
      </c>
      <c r="D30" s="29"/>
      <c r="E30" s="23">
        <f>COUNTIF('Production Plan'!L:L,C30)</f>
        <v>3</v>
      </c>
      <c r="F30" s="22">
        <f t="shared" ref="F30:F35" si="3">E30/$D$8</f>
        <v>8.4033613445378148E-3</v>
      </c>
      <c r="G30" s="21">
        <f>COUNTIFS('Production Plan'!L:L,C30,'Production Plan'!G:G,"Evalueringskrav")</f>
        <v>0</v>
      </c>
      <c r="H30" s="22">
        <f t="shared" ref="H30:H40" si="4">G30/$H$8</f>
        <v>0</v>
      </c>
      <c r="I30" s="15"/>
    </row>
    <row r="31" spans="2:9">
      <c r="B31" s="13"/>
      <c r="C31" s="6" t="s">
        <v>307</v>
      </c>
      <c r="D31" s="29"/>
      <c r="E31" s="23">
        <f>COUNTIF('Production Plan'!L:L,C31)</f>
        <v>65</v>
      </c>
      <c r="F31" s="22">
        <f t="shared" si="3"/>
        <v>0.18207282913165265</v>
      </c>
      <c r="G31" s="21">
        <f>COUNTIFS('Production Plan'!L:L,C31,'Production Plan'!G:G,"Evalueringskrav")</f>
        <v>4</v>
      </c>
      <c r="H31" s="22">
        <f t="shared" si="4"/>
        <v>0.33333333333333331</v>
      </c>
      <c r="I31" s="15"/>
    </row>
    <row r="32" spans="2:9">
      <c r="B32" s="13"/>
      <c r="C32" s="6" t="s">
        <v>395</v>
      </c>
      <c r="D32" s="29"/>
      <c r="E32" s="23">
        <f>COUNTIF('Production Plan'!L:L,C32)</f>
        <v>11</v>
      </c>
      <c r="F32" s="22">
        <f t="shared" si="3"/>
        <v>3.081232492997199E-2</v>
      </c>
      <c r="G32" s="21">
        <f>COUNTIFS('Production Plan'!L:L,C32,'Production Plan'!G:G,"Evalueringskrav")</f>
        <v>4</v>
      </c>
      <c r="H32" s="22">
        <f t="shared" si="4"/>
        <v>0.33333333333333331</v>
      </c>
      <c r="I32" s="15"/>
    </row>
    <row r="33" spans="2:10">
      <c r="B33" s="13"/>
      <c r="C33" s="6" t="s">
        <v>117</v>
      </c>
      <c r="D33" s="29"/>
      <c r="E33" s="23">
        <f>COUNTIF('Production Plan'!L:L,C33)</f>
        <v>24</v>
      </c>
      <c r="F33" s="22">
        <f t="shared" si="3"/>
        <v>6.7226890756302518E-2</v>
      </c>
      <c r="G33" s="21">
        <f>COUNTIFS('Production Plan'!L:L,C33,'Production Plan'!G:G,"Evalueringskrav")</f>
        <v>4</v>
      </c>
      <c r="H33" s="22">
        <f t="shared" si="4"/>
        <v>0.33333333333333331</v>
      </c>
      <c r="I33" s="15"/>
    </row>
    <row r="34" spans="2:10">
      <c r="B34" s="13"/>
      <c r="C34" s="6" t="s">
        <v>1224</v>
      </c>
      <c r="D34" s="29"/>
      <c r="E34" s="23">
        <f>COUNTIF('Production Plan'!L:L,C34)</f>
        <v>64</v>
      </c>
      <c r="F34" s="22">
        <f t="shared" si="3"/>
        <v>0.17927170868347339</v>
      </c>
      <c r="G34" s="21">
        <f>COUNTIFS('Production Plan'!L:L,C34,'Production Plan'!G:G,"Evalueringskrav")</f>
        <v>0</v>
      </c>
      <c r="H34" s="22">
        <f t="shared" si="4"/>
        <v>0</v>
      </c>
      <c r="I34" s="15"/>
    </row>
    <row r="35" spans="2:10">
      <c r="B35" s="13"/>
      <c r="C35" s="6" t="s">
        <v>1779</v>
      </c>
      <c r="D35" s="29"/>
      <c r="E35" s="23">
        <f>COUNTIF('Production Plan'!L:L,C35)</f>
        <v>18</v>
      </c>
      <c r="F35" s="22">
        <f t="shared" si="3"/>
        <v>5.0420168067226892E-2</v>
      </c>
      <c r="G35" s="21">
        <f>COUNTIFS('Production Plan'!L:L,C35,'Production Plan'!G:G,"Evalueringskrav")</f>
        <v>0</v>
      </c>
      <c r="H35" s="22">
        <f t="shared" si="4"/>
        <v>0</v>
      </c>
      <c r="I35" s="15"/>
    </row>
    <row r="36" spans="2:10">
      <c r="B36" s="13"/>
      <c r="C36" s="6" t="s">
        <v>1474</v>
      </c>
      <c r="D36" s="29"/>
      <c r="E36" s="23">
        <f>COUNTIF('Production Plan'!L:L,C36)</f>
        <v>5</v>
      </c>
      <c r="F36" s="22">
        <f t="shared" ref="F36" si="5">E36/$D$8</f>
        <v>1.4005602240896359E-2</v>
      </c>
      <c r="G36" s="21">
        <f>COUNTIFS('Production Plan'!L:L,C36,'Production Plan'!G:G,"Evalueringskrav")</f>
        <v>0</v>
      </c>
      <c r="H36" s="22">
        <f t="shared" si="4"/>
        <v>0</v>
      </c>
      <c r="I36" s="15"/>
    </row>
    <row r="37" spans="2:10">
      <c r="B37" s="13"/>
      <c r="C37" s="6" t="s">
        <v>1169</v>
      </c>
      <c r="D37" s="29"/>
      <c r="E37" s="23">
        <f>COUNTIF('Production Plan'!L:L,C37)</f>
        <v>5</v>
      </c>
      <c r="F37" s="22">
        <f t="shared" ref="F37:F41" si="6">E37/$D$8</f>
        <v>1.4005602240896359E-2</v>
      </c>
      <c r="G37" s="21">
        <f>COUNTIFS('Production Plan'!L:L,C37,'Production Plan'!G:G,"Evalueringskrav")</f>
        <v>0</v>
      </c>
      <c r="H37" s="22">
        <f t="shared" si="4"/>
        <v>0</v>
      </c>
      <c r="I37" s="15"/>
    </row>
    <row r="38" spans="2:10">
      <c r="B38" s="13"/>
      <c r="C38" s="6" t="s">
        <v>1455</v>
      </c>
      <c r="D38" s="29"/>
      <c r="E38" s="23">
        <f>COUNTIF('Production Plan'!L:L,C38)</f>
        <v>1</v>
      </c>
      <c r="F38" s="22">
        <f t="shared" ref="F38:F39" si="7">E38/$D$8</f>
        <v>2.8011204481792717E-3</v>
      </c>
      <c r="G38" s="21">
        <f>COUNTIFS('Production Plan'!L:L,C38,'Production Plan'!G:G,"Evalueringskrav")</f>
        <v>0</v>
      </c>
      <c r="H38" s="22">
        <f t="shared" si="4"/>
        <v>0</v>
      </c>
      <c r="I38" s="15"/>
    </row>
    <row r="39" spans="2:10">
      <c r="B39" s="13"/>
      <c r="C39" s="6" t="s">
        <v>168</v>
      </c>
      <c r="D39" s="29"/>
      <c r="E39" s="23">
        <f>COUNTIF('Production Plan'!L:L,C39)</f>
        <v>9</v>
      </c>
      <c r="F39" s="22">
        <f t="shared" si="7"/>
        <v>2.5210084033613446E-2</v>
      </c>
      <c r="G39" s="21">
        <f>COUNTIFS('Production Plan'!L:L,C39,'Production Plan'!G:G,"Evalueringskrav")</f>
        <v>0</v>
      </c>
      <c r="H39" s="22">
        <f t="shared" si="4"/>
        <v>0</v>
      </c>
      <c r="I39" s="15"/>
    </row>
    <row r="40" spans="2:10">
      <c r="B40" s="13"/>
      <c r="C40" s="6" t="s">
        <v>1138</v>
      </c>
      <c r="D40" s="29"/>
      <c r="E40" s="23">
        <f>COUNTIF('Production Plan'!L:L,C40)</f>
        <v>5</v>
      </c>
      <c r="F40" s="22">
        <f t="shared" si="6"/>
        <v>1.4005602240896359E-2</v>
      </c>
      <c r="G40" s="21">
        <f>COUNTIFS('Production Plan'!L:L,C40,'Production Plan'!G:G,"Evalueringskrav")</f>
        <v>0</v>
      </c>
      <c r="H40" s="22">
        <f t="shared" si="4"/>
        <v>0</v>
      </c>
      <c r="I40" s="15"/>
    </row>
    <row r="41" spans="2:10">
      <c r="B41" s="13"/>
      <c r="C41" s="6" t="s">
        <v>75</v>
      </c>
      <c r="D41" s="29"/>
      <c r="E41" s="23">
        <f>COUNTIF('Production Plan'!L:L,C41)</f>
        <v>3</v>
      </c>
      <c r="F41" s="22">
        <f t="shared" si="6"/>
        <v>8.4033613445378148E-3</v>
      </c>
      <c r="G41" s="21">
        <f>COUNTIFS('Production Plan'!L:L,C41,'Production Plan'!G:G,"Evalueringskrav")</f>
        <v>0</v>
      </c>
      <c r="H41" s="22">
        <f>G41/$H$8</f>
        <v>0</v>
      </c>
      <c r="I41" s="15"/>
    </row>
    <row r="42" spans="2:10">
      <c r="B42" s="13"/>
      <c r="C42" s="24" t="s">
        <v>2156</v>
      </c>
      <c r="D42" s="25"/>
      <c r="E42" s="25">
        <f>SUM(E29:E41)</f>
        <v>357</v>
      </c>
      <c r="F42" s="28">
        <f>SUM(F29:F41)</f>
        <v>0.99999999999999989</v>
      </c>
      <c r="G42" s="57">
        <f>SUM(G29:G41)</f>
        <v>12</v>
      </c>
      <c r="H42" s="58">
        <f>SUM(H29:H41)</f>
        <v>1</v>
      </c>
      <c r="I42" s="15"/>
    </row>
    <row r="43" spans="2:10">
      <c r="B43" s="13"/>
      <c r="C43" s="24" t="s">
        <v>2157</v>
      </c>
      <c r="D43" s="25"/>
      <c r="E43" s="25">
        <f>$D$8-E42</f>
        <v>0</v>
      </c>
      <c r="F43" s="28">
        <f>100%-F42</f>
        <v>0</v>
      </c>
      <c r="G43" s="25">
        <f>H8-G42</f>
        <v>0</v>
      </c>
      <c r="H43" s="28">
        <f>100%-H42</f>
        <v>0</v>
      </c>
      <c r="I43" s="15"/>
    </row>
    <row r="44" spans="2:10">
      <c r="B44" s="13"/>
      <c r="C44" s="14"/>
      <c r="D44" s="14"/>
      <c r="E44" s="14"/>
      <c r="F44" s="14"/>
      <c r="G44" s="14"/>
      <c r="H44" s="14"/>
      <c r="I44" s="15"/>
    </row>
    <row r="45" spans="2:10" ht="16.5" thickBot="1">
      <c r="B45" s="17"/>
      <c r="C45" s="18"/>
      <c r="D45" s="18"/>
      <c r="E45" s="18"/>
      <c r="F45" s="18"/>
      <c r="G45" s="18"/>
      <c r="H45" s="18"/>
      <c r="I45" s="19"/>
    </row>
    <row r="47" spans="2:10" ht="16.5" thickBot="1"/>
    <row r="48" spans="2:10">
      <c r="B48" s="10"/>
      <c r="C48" s="11"/>
      <c r="D48" s="11"/>
      <c r="E48" s="11"/>
      <c r="F48" s="11"/>
      <c r="G48" s="11"/>
      <c r="H48" s="11"/>
      <c r="I48" s="11"/>
      <c r="J48" s="12"/>
    </row>
    <row r="49" spans="2:11">
      <c r="B49" s="13"/>
      <c r="C49" s="67" t="s">
        <v>2159</v>
      </c>
      <c r="D49" s="67"/>
      <c r="E49" s="67"/>
      <c r="F49" s="67"/>
      <c r="G49" s="67"/>
      <c r="H49" s="67"/>
      <c r="I49" s="68"/>
      <c r="J49" s="61"/>
      <c r="K49" s="60"/>
    </row>
    <row r="50" spans="2:11">
      <c r="B50" s="13"/>
      <c r="C50" s="4" t="s">
        <v>11</v>
      </c>
      <c r="D50" s="4" t="s">
        <v>79</v>
      </c>
      <c r="E50" s="4" t="s">
        <v>405</v>
      </c>
      <c r="F50" s="4" t="s">
        <v>2155</v>
      </c>
      <c r="G50" s="4" t="s">
        <v>42</v>
      </c>
      <c r="H50" s="4" t="s">
        <v>1781</v>
      </c>
      <c r="I50" s="4" t="s">
        <v>1788</v>
      </c>
      <c r="J50" s="15"/>
    </row>
    <row r="51" spans="2:11">
      <c r="B51" s="13"/>
      <c r="C51" s="4" t="s">
        <v>40</v>
      </c>
      <c r="D51" s="3">
        <f>COUNTIFS('Production Plan'!L:L,C51,'Production Plan'!V:V,Status!$D$50)</f>
        <v>0</v>
      </c>
      <c r="E51" s="3">
        <f>COUNTIFS('Production Plan'!L:L,$C$51,'Production Plan'!V:V,Status!$E$50)</f>
        <v>0</v>
      </c>
      <c r="F51" s="3">
        <f>COUNTIFS('Production Plan'!L:L,C51,'Production Plan'!V:V,Status!$F$50)</f>
        <v>0</v>
      </c>
      <c r="G51" s="3">
        <f>COUNTIFS('Production Plan'!L:L,C51,'Production Plan'!V:V,Status!$G$50)</f>
        <v>144</v>
      </c>
      <c r="H51" s="3">
        <f>COUNTIFS('Production Plan'!L:L,C51,'Production Plan'!V:V,Status!$H$50)</f>
        <v>0</v>
      </c>
      <c r="I51" s="3">
        <f>COUNTIFS('Production Plan'!L:L,C51,'Production Plan'!V:V,Status!$I$50)</f>
        <v>0</v>
      </c>
      <c r="J51" s="15"/>
    </row>
    <row r="52" spans="2:11">
      <c r="B52" s="13"/>
      <c r="C52" s="4" t="s">
        <v>1423</v>
      </c>
      <c r="D52" s="3">
        <f>COUNTIFS('Production Plan'!L:L,C52,'Production Plan'!V:V,Status!$D$50)</f>
        <v>0</v>
      </c>
      <c r="E52" s="3">
        <f>COUNTIFS('Production Plan'!L:L,C52,'Production Plan'!V:V,Status!$E$50)</f>
        <v>3</v>
      </c>
      <c r="F52" s="3">
        <f>COUNTIFS('Production Plan'!L:L,C52,'Production Plan'!V:V,Status!$F$50)</f>
        <v>0</v>
      </c>
      <c r="G52" s="3">
        <f>COUNTIFS('Production Plan'!L:L,C52,'Production Plan'!V:V,Status!$G$50)</f>
        <v>0</v>
      </c>
      <c r="H52" s="3">
        <f>COUNTIFS('Production Plan'!L:L,C52,'Production Plan'!V:V,Status!$H$50)</f>
        <v>0</v>
      </c>
      <c r="I52" s="3">
        <f>COUNTIFS('Production Plan'!L:L,C52,'Production Plan'!V:V,Status!$I$50)</f>
        <v>0</v>
      </c>
      <c r="J52" s="15"/>
    </row>
    <row r="53" spans="2:11">
      <c r="B53" s="13"/>
      <c r="C53" s="4" t="s">
        <v>307</v>
      </c>
      <c r="D53" s="3">
        <f>COUNTIFS('Production Plan'!L:L,C53,'Production Plan'!V:V,Status!$D$50)</f>
        <v>7</v>
      </c>
      <c r="E53" s="3">
        <f>COUNTIFS('Production Plan'!L:L,C53,'Production Plan'!V:V,Status!$E$50)</f>
        <v>30</v>
      </c>
      <c r="F53" s="3">
        <f>COUNTIFS('Production Plan'!L:L,C53,'Production Plan'!V:V,Status!$F$50)</f>
        <v>28</v>
      </c>
      <c r="G53" s="3">
        <f>COUNTIFS('Production Plan'!L:L,C53,'Production Plan'!V:V,Status!$G$50)</f>
        <v>0</v>
      </c>
      <c r="H53" s="3">
        <f>COUNTIFS('Production Plan'!L:L,C53,'Production Plan'!V:V,Status!$H$50)</f>
        <v>0</v>
      </c>
      <c r="I53" s="3">
        <f>COUNTIFS('Production Plan'!L:L,C53,'Production Plan'!V:V,Status!$I$50)</f>
        <v>0</v>
      </c>
      <c r="J53" s="15"/>
    </row>
    <row r="54" spans="2:11">
      <c r="B54" s="13"/>
      <c r="C54" s="4" t="s">
        <v>395</v>
      </c>
      <c r="D54" s="3">
        <f>COUNTIFS('Production Plan'!L:L,C54,'Production Plan'!V:V,Status!$D$50)</f>
        <v>4</v>
      </c>
      <c r="E54" s="3">
        <f>COUNTIFS('Production Plan'!L:L,C54,'Production Plan'!V:V,Status!$E$50)</f>
        <v>7</v>
      </c>
      <c r="F54" s="3">
        <f>COUNTIFS('Production Plan'!L:L,C54,'Production Plan'!V:V,Status!$F$50)</f>
        <v>0</v>
      </c>
      <c r="G54" s="3">
        <f>COUNTIFS('Production Plan'!L:L,C54,'Production Plan'!V:V,Status!$G$50)</f>
        <v>0</v>
      </c>
      <c r="H54" s="3">
        <f>COUNTIFS('Production Plan'!L:L,C54,'Production Plan'!V:V,Status!$H$50)</f>
        <v>0</v>
      </c>
      <c r="I54" s="3">
        <f>COUNTIFS('Production Plan'!L:L,C54,'Production Plan'!V:V,Status!$I$50)</f>
        <v>0</v>
      </c>
      <c r="J54" s="15"/>
    </row>
    <row r="55" spans="2:11">
      <c r="B55" s="13"/>
      <c r="C55" s="4" t="s">
        <v>117</v>
      </c>
      <c r="D55" s="3">
        <f>COUNTIFS('Production Plan'!L:L,C55,'Production Plan'!V:V,Status!$D$50)</f>
        <v>15</v>
      </c>
      <c r="E55" s="3">
        <f>COUNTIFS('Production Plan'!L:L,C55,'Production Plan'!V:V,Status!$E$50)</f>
        <v>3</v>
      </c>
      <c r="F55" s="3">
        <f>COUNTIFS('Production Plan'!L:L,C55,'Production Plan'!V:V,Status!$F$50)</f>
        <v>6</v>
      </c>
      <c r="G55" s="3">
        <f>COUNTIFS('Production Plan'!L:L,C55,'Production Plan'!V:V,Status!$G$50)</f>
        <v>0</v>
      </c>
      <c r="H55" s="3">
        <f>COUNTIFS('Production Plan'!L:L,C55,'Production Plan'!V:V,Status!$H$50)</f>
        <v>0</v>
      </c>
      <c r="I55" s="3">
        <f>COUNTIFS('Production Plan'!L:L,C55,'Production Plan'!V:V,Status!$I$50)</f>
        <v>0</v>
      </c>
      <c r="J55" s="15"/>
    </row>
    <row r="56" spans="2:11">
      <c r="B56" s="13"/>
      <c r="C56" s="4" t="s">
        <v>1224</v>
      </c>
      <c r="D56" s="3">
        <f>COUNTIFS('Production Plan'!L:L,C56,'Production Plan'!V:V,Status!$D$50)</f>
        <v>0</v>
      </c>
      <c r="E56" s="3">
        <f>COUNTIFS('Production Plan'!L:L,C56,'Production Plan'!V:V,Status!$E$50)</f>
        <v>60</v>
      </c>
      <c r="F56" s="3">
        <f>COUNTIFS('Production Plan'!L:L,C56,'Production Plan'!V:V,Status!$F$50)</f>
        <v>4</v>
      </c>
      <c r="G56" s="3">
        <f>COUNTIFS('Production Plan'!L:L,C56,'Production Plan'!V:V,Status!$G$50)</f>
        <v>0</v>
      </c>
      <c r="H56" s="3">
        <f>COUNTIFS('Production Plan'!L:L,C56,'Production Plan'!V:V,Status!$H$50)</f>
        <v>0</v>
      </c>
      <c r="I56" s="3">
        <f>COUNTIFS('Production Plan'!L:L,C56,'Production Plan'!V:V,Status!$I$50)</f>
        <v>0</v>
      </c>
      <c r="J56" s="15"/>
    </row>
    <row r="57" spans="2:11">
      <c r="B57" s="13"/>
      <c r="C57" s="4" t="s">
        <v>1779</v>
      </c>
      <c r="D57" s="3">
        <f>COUNTIFS('Production Plan'!L:L,C57,'Production Plan'!V:V,Status!$D$50)</f>
        <v>1</v>
      </c>
      <c r="E57" s="3">
        <f>COUNTIFS('Production Plan'!L:L,C57,'Production Plan'!V:V,Status!$E$50)</f>
        <v>7</v>
      </c>
      <c r="F57" s="3">
        <f>COUNTIFS('Production Plan'!L:L,C57,'Production Plan'!V:V,Status!$F$50)</f>
        <v>0</v>
      </c>
      <c r="G57" s="3">
        <f>COUNTIFS('Production Plan'!L:L,C57,'Production Plan'!V:V,Status!$G$50)</f>
        <v>0</v>
      </c>
      <c r="H57" s="3">
        <f>COUNTIFS('Production Plan'!L:L,C57,'Production Plan'!V:V,Status!$H$50)</f>
        <v>7</v>
      </c>
      <c r="I57" s="3">
        <f>COUNTIFS('Production Plan'!L:L,C57,'Production Plan'!V:V,Status!$I$50)</f>
        <v>3</v>
      </c>
      <c r="J57" s="15"/>
    </row>
    <row r="58" spans="2:11">
      <c r="B58" s="13"/>
      <c r="C58" s="4" t="s">
        <v>1474</v>
      </c>
      <c r="D58" s="3">
        <f>COUNTIFS('Production Plan'!L:L,C58,'Production Plan'!V:V,Status!$D$50)</f>
        <v>5</v>
      </c>
      <c r="E58" s="3">
        <f>COUNTIFS('Production Plan'!L:L,C58,'Production Plan'!V:V,Status!$E$50)</f>
        <v>0</v>
      </c>
      <c r="F58" s="3">
        <f>COUNTIFS('Production Plan'!L:L,C58,'Production Plan'!V:V,Status!$F$50)</f>
        <v>0</v>
      </c>
      <c r="G58" s="3">
        <f>COUNTIFS('Production Plan'!L:L,C58,'Production Plan'!V:V,Status!$G$50)</f>
        <v>0</v>
      </c>
      <c r="H58" s="3">
        <f>COUNTIFS('Production Plan'!L:L,C58,'Production Plan'!V:V,Status!$H$50)</f>
        <v>0</v>
      </c>
      <c r="I58" s="3">
        <f>COUNTIFS('Production Plan'!L:L,C58,'Production Plan'!V:V,Status!$I$50)</f>
        <v>0</v>
      </c>
      <c r="J58" s="15"/>
    </row>
    <row r="59" spans="2:11">
      <c r="B59" s="13"/>
      <c r="C59" s="4" t="s">
        <v>1169</v>
      </c>
      <c r="D59" s="3">
        <f>COUNTIFS('Production Plan'!L:L,C59,'Production Plan'!V:V,Status!$D$50)</f>
        <v>5</v>
      </c>
      <c r="E59" s="3">
        <f>COUNTIFS('Production Plan'!L:L,C59,'Production Plan'!V:V,Status!$E$50)</f>
        <v>0</v>
      </c>
      <c r="F59" s="3">
        <f>COUNTIFS('Production Plan'!L:L,C59,'Production Plan'!V:V,Status!$F$50)</f>
        <v>0</v>
      </c>
      <c r="G59" s="3">
        <f>COUNTIFS('Production Plan'!L:L,C59,'Production Plan'!V:V,Status!$G$50)</f>
        <v>0</v>
      </c>
      <c r="H59" s="3">
        <f>COUNTIFS('Production Plan'!L:L,C59,'Production Plan'!V:V,Status!$H$50)</f>
        <v>0</v>
      </c>
      <c r="I59" s="3">
        <f>COUNTIFS('Production Plan'!L:L,C59,'Production Plan'!V:V,Status!$I$50)</f>
        <v>0</v>
      </c>
      <c r="J59" s="15"/>
    </row>
    <row r="60" spans="2:11">
      <c r="B60" s="13"/>
      <c r="C60" s="4" t="s">
        <v>1455</v>
      </c>
      <c r="D60" s="3">
        <f>COUNTIFS('Production Plan'!L:L,C60,'Production Plan'!V:V,Status!$D$50)</f>
        <v>1</v>
      </c>
      <c r="E60" s="3">
        <f>COUNTIFS('Production Plan'!L:L,C60,'Production Plan'!V:V,Status!$E$50)</f>
        <v>0</v>
      </c>
      <c r="F60" s="3">
        <f>COUNTIFS('Production Plan'!L:L,C60,'Production Plan'!V:V,Status!$F$50)</f>
        <v>0</v>
      </c>
      <c r="G60" s="3">
        <f>COUNTIFS('Production Plan'!L:L,C60,'Production Plan'!V:V,Status!$G$50)</f>
        <v>0</v>
      </c>
      <c r="H60" s="3">
        <f>COUNTIFS('Production Plan'!L:L,C60,'Production Plan'!V:V,Status!$H$50)</f>
        <v>0</v>
      </c>
      <c r="I60" s="3">
        <f>COUNTIFS('Production Plan'!L:L,C60,'Production Plan'!V:V,Status!$I$50)</f>
        <v>0</v>
      </c>
      <c r="J60" s="15"/>
    </row>
    <row r="61" spans="2:11">
      <c r="B61" s="13"/>
      <c r="C61" s="4" t="s">
        <v>168</v>
      </c>
      <c r="D61" s="3">
        <f>COUNTIFS('Production Plan'!L:L,C61,'Production Plan'!V:V,Status!$D$50)</f>
        <v>5</v>
      </c>
      <c r="E61" s="3">
        <f>COUNTIFS('Production Plan'!L:L,C61,'Production Plan'!V:V,Status!$E$50)</f>
        <v>1</v>
      </c>
      <c r="F61" s="3">
        <f>COUNTIFS('Production Plan'!L:L,C61,'Production Plan'!V:V,Status!$F$50)</f>
        <v>3</v>
      </c>
      <c r="G61" s="3">
        <f>COUNTIFS('Production Plan'!L:L,C61,'Production Plan'!V:V,Status!$G$50)</f>
        <v>0</v>
      </c>
      <c r="H61" s="3">
        <f>COUNTIFS('Production Plan'!L:L,C61,'Production Plan'!V:V,Status!$H$50)</f>
        <v>0</v>
      </c>
      <c r="I61" s="3">
        <f>COUNTIFS('Production Plan'!L:L,C61,'Production Plan'!V:V,Status!$I$50)</f>
        <v>0</v>
      </c>
      <c r="J61" s="15"/>
    </row>
    <row r="62" spans="2:11">
      <c r="B62" s="13"/>
      <c r="C62" s="4" t="s">
        <v>1138</v>
      </c>
      <c r="D62" s="3">
        <f>COUNTIFS('Production Plan'!L:L,C62,'Production Plan'!V:V,Status!$D$50)</f>
        <v>1</v>
      </c>
      <c r="E62" s="3">
        <f>COUNTIFS('Production Plan'!L:L,C62,'Production Plan'!V:V,Status!$E$50)</f>
        <v>1</v>
      </c>
      <c r="F62" s="3">
        <f>COUNTIFS('Production Plan'!L:L,C62,'Production Plan'!V:V,Status!$F$50)</f>
        <v>3</v>
      </c>
      <c r="G62" s="3">
        <f>COUNTIFS('Production Plan'!L:L,C62,'Production Plan'!V:V,Status!$G$50)</f>
        <v>0</v>
      </c>
      <c r="H62" s="3">
        <f>COUNTIFS('Production Plan'!L:L,C62,'Production Plan'!V:V,Status!$H$50)</f>
        <v>0</v>
      </c>
      <c r="I62" s="3">
        <f>COUNTIFS('Production Plan'!L:L,C62,'Production Plan'!V:V,Status!$I$50)</f>
        <v>0</v>
      </c>
      <c r="J62" s="15"/>
    </row>
    <row r="63" spans="2:11">
      <c r="B63" s="13"/>
      <c r="C63" s="4" t="s">
        <v>75</v>
      </c>
      <c r="D63" s="3">
        <f>COUNTIFS('Production Plan'!L:L,C63,'Production Plan'!V:V,Status!$D$50)</f>
        <v>2</v>
      </c>
      <c r="E63" s="3">
        <f>COUNTIFS('Production Plan'!L:L,C63,'Production Plan'!V:V,Status!$E$50)</f>
        <v>0</v>
      </c>
      <c r="F63" s="3">
        <f>COUNTIFS('Production Plan'!L:L,C63,'Production Plan'!V:V,Status!$F$50)</f>
        <v>1</v>
      </c>
      <c r="G63" s="3">
        <f>COUNTIFS('Production Plan'!L:L,C63,'Production Plan'!V:V,Status!$G$50)</f>
        <v>0</v>
      </c>
      <c r="H63" s="3">
        <f>COUNTIFS('Production Plan'!L:L,C63,'Production Plan'!V:V,Status!$H$50)</f>
        <v>0</v>
      </c>
      <c r="I63" s="3">
        <f>COUNTIFS('Production Plan'!L:L,C63,'Production Plan'!V:V,Status!$I$50)</f>
        <v>0</v>
      </c>
      <c r="J63" s="15"/>
    </row>
    <row r="64" spans="2:11">
      <c r="B64" s="13"/>
      <c r="C64" s="59" t="s">
        <v>2156</v>
      </c>
      <c r="D64" s="3">
        <f>SUM(D51:D63)</f>
        <v>46</v>
      </c>
      <c r="E64" s="3">
        <f>SUM(E51:E63)</f>
        <v>112</v>
      </c>
      <c r="F64" s="3">
        <f t="shared" ref="F64:I64" si="8">SUM(F51:F63)</f>
        <v>45</v>
      </c>
      <c r="G64" s="3">
        <f t="shared" si="8"/>
        <v>144</v>
      </c>
      <c r="H64" s="3">
        <f t="shared" si="8"/>
        <v>7</v>
      </c>
      <c r="I64" s="3">
        <f t="shared" si="8"/>
        <v>3</v>
      </c>
      <c r="J64" s="15"/>
    </row>
    <row r="65" spans="2:10">
      <c r="B65" s="13"/>
      <c r="C65" s="14"/>
      <c r="D65" s="14"/>
      <c r="E65" s="14"/>
      <c r="F65" s="14"/>
      <c r="G65" s="14"/>
      <c r="H65" s="14"/>
      <c r="I65" s="14"/>
      <c r="J65" s="15"/>
    </row>
    <row r="66" spans="2:10">
      <c r="B66" s="13"/>
      <c r="C66" s="59" t="s">
        <v>2157</v>
      </c>
      <c r="D66" s="3">
        <f>D8-(SUM(D51:I63))</f>
        <v>0</v>
      </c>
      <c r="E66" s="14"/>
      <c r="F66" s="14"/>
      <c r="G66" s="14"/>
      <c r="H66" s="14"/>
      <c r="I66" s="14"/>
      <c r="J66" s="15"/>
    </row>
    <row r="67" spans="2:10" ht="16.5" thickBot="1">
      <c r="B67" s="17"/>
      <c r="C67" s="18"/>
      <c r="D67" s="18"/>
      <c r="E67" s="18"/>
      <c r="F67" s="18"/>
      <c r="G67" s="18"/>
      <c r="H67" s="18"/>
      <c r="I67" s="18"/>
      <c r="J67" s="19"/>
    </row>
    <row r="69" spans="2:10" ht="16.5" thickBot="1"/>
    <row r="70" spans="2:10">
      <c r="B70" s="10"/>
      <c r="C70" s="11"/>
      <c r="D70" s="11"/>
      <c r="E70" s="11"/>
      <c r="F70" s="11"/>
      <c r="G70" s="11"/>
      <c r="H70" s="11"/>
      <c r="I70" s="11"/>
      <c r="J70" s="12"/>
    </row>
    <row r="71" spans="2:10">
      <c r="B71" s="13"/>
      <c r="C71" s="67" t="s">
        <v>2160</v>
      </c>
      <c r="D71" s="67"/>
      <c r="E71" s="67"/>
      <c r="F71" s="67"/>
      <c r="G71" s="67"/>
      <c r="H71" s="67"/>
      <c r="I71" s="68"/>
      <c r="J71" s="61"/>
    </row>
    <row r="72" spans="2:10">
      <c r="B72" s="13"/>
      <c r="C72" s="4" t="s">
        <v>11</v>
      </c>
      <c r="D72" s="4" t="s">
        <v>79</v>
      </c>
      <c r="E72" s="4" t="s">
        <v>405</v>
      </c>
      <c r="F72" s="4" t="s">
        <v>2155</v>
      </c>
      <c r="G72" s="4" t="s">
        <v>42</v>
      </c>
      <c r="H72" s="4" t="s">
        <v>1781</v>
      </c>
      <c r="I72" s="4" t="s">
        <v>1788</v>
      </c>
      <c r="J72" s="15"/>
    </row>
    <row r="73" spans="2:10">
      <c r="B73" s="13"/>
      <c r="C73" s="4" t="s">
        <v>40</v>
      </c>
      <c r="D73" s="3">
        <f>COUNTIFS('Production Plan'!L:L,C73,'Production Plan'!V:V,Status!$D$50,'Production Plan'!G:G,"Evalueringskrav")</f>
        <v>0</v>
      </c>
      <c r="E73" s="3">
        <f>COUNTIFS('Production Plan'!L:L,C51,'Production Plan'!V:V,Status!$E$50,'Production Plan'!G:G,"Evalueringskrav")</f>
        <v>0</v>
      </c>
      <c r="F73" s="3">
        <f>COUNTIFS('Production Plan'!L:L,C73,'Production Plan'!V:V,Status!$F$50,'Production Plan'!G:G,"Evalueringskrav")</f>
        <v>0</v>
      </c>
      <c r="G73" s="3">
        <f>COUNTIFS('Production Plan'!L:L,C73,'Production Plan'!V:V,Status!$G$50,'Production Plan'!G:G,"Evalueringskrav")</f>
        <v>0</v>
      </c>
      <c r="H73" s="3">
        <f>COUNTIFS('Production Plan'!L:L,C73,'Production Plan'!V:V,Status!$H$50,'Production Plan'!G:G,"Evalueringskrav")</f>
        <v>0</v>
      </c>
      <c r="I73" s="3">
        <f>COUNTIFS('Production Plan'!L:L,C73,'Production Plan'!V:V,Status!$I$50,'Production Plan'!G:G,"Evalueringskrav")</f>
        <v>0</v>
      </c>
      <c r="J73" s="15"/>
    </row>
    <row r="74" spans="2:10">
      <c r="B74" s="13"/>
      <c r="C74" s="4" t="s">
        <v>1423</v>
      </c>
      <c r="D74" s="3">
        <f>COUNTIFS('Production Plan'!L:L,C74,'Production Plan'!V:V,Status!$D$50,'Production Plan'!G:G,"Evalueringskrav")</f>
        <v>0</v>
      </c>
      <c r="E74" s="3">
        <f>COUNTIFS('Production Plan'!L:L,C52,'Production Plan'!V:V,Status!$E$50,'Production Plan'!G:G,"Evalueringskrav")</f>
        <v>0</v>
      </c>
      <c r="F74" s="3">
        <f>COUNTIFS('Production Plan'!L:L,C74,'Production Plan'!V:V,Status!$F$50,'Production Plan'!G:G,"Evalueringskrav")</f>
        <v>0</v>
      </c>
      <c r="G74" s="3">
        <f>COUNTIFS('Production Plan'!L:L,C74,'Production Plan'!V:V,Status!$G$50,'Production Plan'!G:G,"Evalueringskrav")</f>
        <v>0</v>
      </c>
      <c r="H74" s="3">
        <f>COUNTIFS('Production Plan'!L:L,C74,'Production Plan'!V:V,Status!$H$50,'Production Plan'!G:G,"Evalueringskrav")</f>
        <v>0</v>
      </c>
      <c r="I74" s="3">
        <f>COUNTIFS('Production Plan'!L:L,C74,'Production Plan'!V:V,Status!$I$50,'Production Plan'!G:G,"Evalueringskrav")</f>
        <v>0</v>
      </c>
      <c r="J74" s="15"/>
    </row>
    <row r="75" spans="2:10">
      <c r="B75" s="13"/>
      <c r="C75" s="4" t="s">
        <v>307</v>
      </c>
      <c r="D75" s="3">
        <f>COUNTIFS('Production Plan'!L:L,C75,'Production Plan'!V:V,Status!$D$50,'Production Plan'!G:G,"Evalueringskrav")</f>
        <v>4</v>
      </c>
      <c r="E75" s="3">
        <f>COUNTIFS('Production Plan'!L:L,C53,'Production Plan'!V:V,Status!$E$50,'Production Plan'!G:G,"Evalueringskrav")</f>
        <v>0</v>
      </c>
      <c r="F75" s="3">
        <f>COUNTIFS('Production Plan'!L:L,C75,'Production Plan'!V:V,Status!$F$50,'Production Plan'!G:G,"Evalueringskrav")</f>
        <v>0</v>
      </c>
      <c r="G75" s="3">
        <f>COUNTIFS('Production Plan'!L:L,C75,'Production Plan'!V:V,Status!$G$50,'Production Plan'!G:G,"Evalueringskrav")</f>
        <v>0</v>
      </c>
      <c r="H75" s="3">
        <f>COUNTIFS('Production Plan'!L:L,C75,'Production Plan'!V:V,Status!$H$50,'Production Plan'!G:G,"Evalueringskrav")</f>
        <v>0</v>
      </c>
      <c r="I75" s="3">
        <f>COUNTIFS('Production Plan'!L:L,C75,'Production Plan'!V:V,Status!$I$50,'Production Plan'!G:G,"Evalueringskrav")</f>
        <v>0</v>
      </c>
      <c r="J75" s="15"/>
    </row>
    <row r="76" spans="2:10">
      <c r="B76" s="13"/>
      <c r="C76" s="4" t="s">
        <v>395</v>
      </c>
      <c r="D76" s="3">
        <f>COUNTIFS('Production Plan'!L:L,C76,'Production Plan'!V:V,Status!$D$50,'Production Plan'!G:G,"Evalueringskrav")</f>
        <v>4</v>
      </c>
      <c r="E76" s="3">
        <f>COUNTIFS('Production Plan'!L:L,C54,'Production Plan'!V:V,Status!$E$50,'Production Plan'!G:G,"Evalueringskrav")</f>
        <v>0</v>
      </c>
      <c r="F76" s="3">
        <f>COUNTIFS('Production Plan'!L:L,C76,'Production Plan'!V:V,Status!$F$50,'Production Plan'!G:G,"Evalueringskrav")</f>
        <v>0</v>
      </c>
      <c r="G76" s="3">
        <f>COUNTIFS('Production Plan'!L:L,C76,'Production Plan'!V:V,Status!$G$50,'Production Plan'!G:G,"Evalueringskrav")</f>
        <v>0</v>
      </c>
      <c r="H76" s="3">
        <f>COUNTIFS('Production Plan'!L:L,C76,'Production Plan'!V:V,Status!$H$50,'Production Plan'!G:G,"Evalueringskrav")</f>
        <v>0</v>
      </c>
      <c r="I76" s="3">
        <f>COUNTIFS('Production Plan'!L:L,C76,'Production Plan'!V:V,Status!$I$50,'Production Plan'!G:G,"Evalueringskrav")</f>
        <v>0</v>
      </c>
      <c r="J76" s="15"/>
    </row>
    <row r="77" spans="2:10">
      <c r="B77" s="13"/>
      <c r="C77" s="4" t="s">
        <v>117</v>
      </c>
      <c r="D77" s="3">
        <f>COUNTIFS('Production Plan'!L:L,C77,'Production Plan'!V:V,Status!$D$50,'Production Plan'!G:G,"Evalueringskrav")</f>
        <v>4</v>
      </c>
      <c r="E77" s="3">
        <f>COUNTIFS('Production Plan'!L:L,C55,'Production Plan'!V:V,Status!$E$50,'Production Plan'!G:G,"Evalueringskrav")</f>
        <v>0</v>
      </c>
      <c r="F77" s="3">
        <f>COUNTIFS('Production Plan'!L:L,C77,'Production Plan'!V:V,Status!$F$50,'Production Plan'!G:G,"Evalueringskrav")</f>
        <v>0</v>
      </c>
      <c r="G77" s="3">
        <f>COUNTIFS('Production Plan'!L:L,C77,'Production Plan'!V:V,Status!$G$50,'Production Plan'!G:G,"Evalueringskrav")</f>
        <v>0</v>
      </c>
      <c r="H77" s="3">
        <f>COUNTIFS('Production Plan'!L:L,C77,'Production Plan'!V:V,Status!$H$50,'Production Plan'!G:G,"Evalueringskrav")</f>
        <v>0</v>
      </c>
      <c r="I77" s="3">
        <f>COUNTIFS('Production Plan'!L:L,C77,'Production Plan'!V:V,Status!$I$50,'Production Plan'!G:G,"Evalueringskrav")</f>
        <v>0</v>
      </c>
      <c r="J77" s="15"/>
    </row>
    <row r="78" spans="2:10">
      <c r="B78" s="13"/>
      <c r="C78" s="4" t="s">
        <v>1224</v>
      </c>
      <c r="D78" s="3">
        <f>COUNTIFS('Production Plan'!L:L,C78,'Production Plan'!V:V,Status!$D$50,'Production Plan'!G:G,"Evalueringskrav")</f>
        <v>0</v>
      </c>
      <c r="E78" s="3">
        <f>COUNTIFS('Production Plan'!L:L,C56,'Production Plan'!V:V,Status!$E$50,'Production Plan'!G:G,"Evalueringskrav")</f>
        <v>0</v>
      </c>
      <c r="F78" s="3">
        <f>COUNTIFS('Production Plan'!L:L,C78,'Production Plan'!V:V,Status!$F$50,'Production Plan'!G:G,"Evalueringskrav")</f>
        <v>0</v>
      </c>
      <c r="G78" s="3">
        <f>COUNTIFS('Production Plan'!L:L,C78,'Production Plan'!V:V,Status!$G$50,'Production Plan'!G:G,"Evalueringskrav")</f>
        <v>0</v>
      </c>
      <c r="H78" s="3">
        <f>COUNTIFS('Production Plan'!L:L,C78,'Production Plan'!V:V,Status!$H$50,'Production Plan'!G:G,"Evalueringskrav")</f>
        <v>0</v>
      </c>
      <c r="I78" s="3">
        <f>COUNTIFS('Production Plan'!L:L,C78,'Production Plan'!V:V,Status!$I$50,'Production Plan'!G:G,"Evalueringskrav")</f>
        <v>0</v>
      </c>
      <c r="J78" s="15"/>
    </row>
    <row r="79" spans="2:10">
      <c r="B79" s="13"/>
      <c r="C79" s="4" t="s">
        <v>1779</v>
      </c>
      <c r="D79" s="3">
        <f>COUNTIFS('Production Plan'!L:L,C79,'Production Plan'!V:V,Status!$D$50,'Production Plan'!G:G,"Evalueringskrav")</f>
        <v>0</v>
      </c>
      <c r="E79" s="3">
        <f>COUNTIFS('Production Plan'!L:L,C57,'Production Plan'!V:V,Status!$E$50,'Production Plan'!G:G,"Evalueringskrav")</f>
        <v>0</v>
      </c>
      <c r="F79" s="3">
        <f>COUNTIFS('Production Plan'!L:L,C79,'Production Plan'!V:V,Status!$F$50,'Production Plan'!G:G,"Evalueringskrav")</f>
        <v>0</v>
      </c>
      <c r="G79" s="3">
        <f>COUNTIFS('Production Plan'!L:L,C79,'Production Plan'!V:V,Status!$G$50,'Production Plan'!G:G,"Evalueringskrav")</f>
        <v>0</v>
      </c>
      <c r="H79" s="3">
        <f>COUNTIFS('Production Plan'!L:L,C79,'Production Plan'!V:V,Status!$H$50,'Production Plan'!G:G,"Evalueringskrav")</f>
        <v>0</v>
      </c>
      <c r="I79" s="3">
        <f>COUNTIFS('Production Plan'!L:L,C79,'Production Plan'!V:V,Status!$I$50,'Production Plan'!G:G,"Evalueringskrav")</f>
        <v>0</v>
      </c>
      <c r="J79" s="15"/>
    </row>
    <row r="80" spans="2:10">
      <c r="B80" s="13"/>
      <c r="C80" s="4" t="s">
        <v>1474</v>
      </c>
      <c r="D80" s="3">
        <f>COUNTIFS('Production Plan'!L:L,C80,'Production Plan'!V:V,Status!$D$50,'Production Plan'!G:G,"Evalueringskrav")</f>
        <v>0</v>
      </c>
      <c r="E80" s="3">
        <f>COUNTIFS('Production Plan'!L:L,C58,'Production Plan'!V:V,Status!$E$50,'Production Plan'!G:G,"Evalueringskrav")</f>
        <v>0</v>
      </c>
      <c r="F80" s="3">
        <f>COUNTIFS('Production Plan'!L:L,C80,'Production Plan'!V:V,Status!$F$50,'Production Plan'!G:G,"Evalueringskrav")</f>
        <v>0</v>
      </c>
      <c r="G80" s="3">
        <f>COUNTIFS('Production Plan'!L:L,C80,'Production Plan'!V:V,Status!$G$50,'Production Plan'!G:G,"Evalueringskrav")</f>
        <v>0</v>
      </c>
      <c r="H80" s="3">
        <f>COUNTIFS('Production Plan'!L:L,C80,'Production Plan'!V:V,Status!$H$50,'Production Plan'!G:G,"Evalueringskrav")</f>
        <v>0</v>
      </c>
      <c r="I80" s="3">
        <f>COUNTIFS('Production Plan'!L:L,C80,'Production Plan'!V:V,Status!$I$50,'Production Plan'!G:G,"Evalueringskrav")</f>
        <v>0</v>
      </c>
      <c r="J80" s="15"/>
    </row>
    <row r="81" spans="2:10">
      <c r="B81" s="13"/>
      <c r="C81" s="4" t="s">
        <v>1169</v>
      </c>
      <c r="D81" s="3">
        <f>COUNTIFS('Production Plan'!L:L,C81,'Production Plan'!V:V,Status!$D$50,'Production Plan'!G:G,"Evalueringskrav")</f>
        <v>0</v>
      </c>
      <c r="E81" s="3">
        <f>COUNTIFS('Production Plan'!L:L,C59,'Production Plan'!V:V,Status!$E$50,'Production Plan'!G:G,"Evalueringskrav")</f>
        <v>0</v>
      </c>
      <c r="F81" s="3">
        <f>COUNTIFS('Production Plan'!L:L,C81,'Production Plan'!V:V,Status!$F$50,'Production Plan'!G:G,"Evalueringskrav")</f>
        <v>0</v>
      </c>
      <c r="G81" s="3">
        <f>COUNTIFS('Production Plan'!L:L,C81,'Production Plan'!V:V,Status!$G$50,'Production Plan'!G:G,"Evalueringskrav")</f>
        <v>0</v>
      </c>
      <c r="H81" s="3">
        <f>COUNTIFS('Production Plan'!L:L,C81,'Production Plan'!V:V,Status!$H$50,'Production Plan'!G:G,"Evalueringskrav")</f>
        <v>0</v>
      </c>
      <c r="I81" s="3">
        <f>COUNTIFS('Production Plan'!L:L,C81,'Production Plan'!V:V,Status!$I$50,'Production Plan'!G:G,"Evalueringskrav")</f>
        <v>0</v>
      </c>
      <c r="J81" s="15"/>
    </row>
    <row r="82" spans="2:10">
      <c r="B82" s="13"/>
      <c r="C82" s="4" t="s">
        <v>1455</v>
      </c>
      <c r="D82" s="3">
        <f>COUNTIFS('Production Plan'!L:L,C82,'Production Plan'!V:V,Status!$D$50,'Production Plan'!G:G,"Evalueringskrav")</f>
        <v>0</v>
      </c>
      <c r="E82" s="3">
        <f>COUNTIFS('Production Plan'!L:L,C60,'Production Plan'!V:V,Status!$E$50,'Production Plan'!G:G,"Evalueringskrav")</f>
        <v>0</v>
      </c>
      <c r="F82" s="3">
        <f>COUNTIFS('Production Plan'!L:L,C82,'Production Plan'!V:V,Status!$F$50,'Production Plan'!G:G,"Evalueringskrav")</f>
        <v>0</v>
      </c>
      <c r="G82" s="3">
        <f>COUNTIFS('Production Plan'!L:L,C82,'Production Plan'!V:V,Status!$G$50,'Production Plan'!G:G,"Evalueringskrav")</f>
        <v>0</v>
      </c>
      <c r="H82" s="3">
        <f>COUNTIFS('Production Plan'!L:L,C82,'Production Plan'!V:V,Status!$H$50,'Production Plan'!G:G,"Evalueringskrav")</f>
        <v>0</v>
      </c>
      <c r="I82" s="3">
        <f>COUNTIFS('Production Plan'!L:L,C82,'Production Plan'!V:V,Status!$I$50,'Production Plan'!G:G,"Evalueringskrav")</f>
        <v>0</v>
      </c>
      <c r="J82" s="15"/>
    </row>
    <row r="83" spans="2:10">
      <c r="B83" s="13"/>
      <c r="C83" s="4" t="s">
        <v>168</v>
      </c>
      <c r="D83" s="3">
        <f>COUNTIFS('Production Plan'!L:L,C83,'Production Plan'!V:V,Status!$D$50,'Production Plan'!G:G,"Evalueringskrav")</f>
        <v>0</v>
      </c>
      <c r="E83" s="3">
        <f>COUNTIFS('Production Plan'!L:L,C61,'Production Plan'!V:V,Status!$E$50,'Production Plan'!G:G,"Evalueringskrav")</f>
        <v>0</v>
      </c>
      <c r="F83" s="3">
        <f>COUNTIFS('Production Plan'!L:L,C83,'Production Plan'!V:V,Status!$F$50,'Production Plan'!G:G,"Evalueringskrav")</f>
        <v>0</v>
      </c>
      <c r="G83" s="3">
        <f>COUNTIFS('Production Plan'!L:L,C83,'Production Plan'!V:V,Status!$G$50,'Production Plan'!G:G,"Evalueringskrav")</f>
        <v>0</v>
      </c>
      <c r="H83" s="3">
        <f>COUNTIFS('Production Plan'!L:L,C83,'Production Plan'!V:V,Status!$H$50,'Production Plan'!G:G,"Evalueringskrav")</f>
        <v>0</v>
      </c>
      <c r="I83" s="3">
        <f>COUNTIFS('Production Plan'!L:L,C83,'Production Plan'!V:V,Status!$I$50,'Production Plan'!G:G,"Evalueringskrav")</f>
        <v>0</v>
      </c>
      <c r="J83" s="15"/>
    </row>
    <row r="84" spans="2:10">
      <c r="B84" s="13"/>
      <c r="C84" s="4" t="s">
        <v>1138</v>
      </c>
      <c r="D84" s="3">
        <f>COUNTIFS('Production Plan'!L:L,C84,'Production Plan'!V:V,Status!$D$50,'Production Plan'!G:G,"Evalueringskrav")</f>
        <v>0</v>
      </c>
      <c r="E84" s="3">
        <f>COUNTIFS('Production Plan'!L:L,C62,'Production Plan'!V:V,Status!$E$50,'Production Plan'!G:G,"Evalueringskrav")</f>
        <v>0</v>
      </c>
      <c r="F84" s="3">
        <f>COUNTIFS('Production Plan'!L:L,C84,'Production Plan'!V:V,Status!$F$50,'Production Plan'!G:G,"Evalueringskrav")</f>
        <v>0</v>
      </c>
      <c r="G84" s="3">
        <f>COUNTIFS('Production Plan'!L:L,C84,'Production Plan'!V:V,Status!$G$50,'Production Plan'!G:G,"Evalueringskrav")</f>
        <v>0</v>
      </c>
      <c r="H84" s="3">
        <f>COUNTIFS('Production Plan'!L:L,C84,'Production Plan'!V:V,Status!$H$50,'Production Plan'!G:G,"Evalueringskrav")</f>
        <v>0</v>
      </c>
      <c r="I84" s="3">
        <f>COUNTIFS('Production Plan'!L:L,C84,'Production Plan'!V:V,Status!$I$50,'Production Plan'!G:G,"Evalueringskrav")</f>
        <v>0</v>
      </c>
      <c r="J84" s="15"/>
    </row>
    <row r="85" spans="2:10">
      <c r="B85" s="13"/>
      <c r="C85" s="4" t="s">
        <v>75</v>
      </c>
      <c r="D85" s="3">
        <f>COUNTIFS('Production Plan'!L:L,C85,'Production Plan'!V:V,Status!$D$50,'Production Plan'!G:G,"Evalueringskrav")</f>
        <v>0</v>
      </c>
      <c r="E85" s="3">
        <f>COUNTIFS('Production Plan'!L:L,C63,'Production Plan'!V:V,Status!$E$50,'Production Plan'!G:G,"Evalueringskrav")</f>
        <v>0</v>
      </c>
      <c r="F85" s="3">
        <f>COUNTIFS('Production Plan'!L:L,C85,'Production Plan'!V:V,Status!$F$50,'Production Plan'!G:G,"Evalueringskrav")</f>
        <v>0</v>
      </c>
      <c r="G85" s="3">
        <f>COUNTIFS('Production Plan'!L:L,C85,'Production Plan'!V:V,Status!$G$50,'Production Plan'!G:G,"Evalueringskrav")</f>
        <v>0</v>
      </c>
      <c r="H85" s="3">
        <f>COUNTIFS('Production Plan'!L:L,C85,'Production Plan'!V:V,Status!$H$50,'Production Plan'!G:G,"Evalueringskrav")</f>
        <v>0</v>
      </c>
      <c r="I85" s="3">
        <f>COUNTIFS('Production Plan'!L:L,C85,'Production Plan'!V:V,Status!$I$50,'Production Plan'!G:G,"Evalueringskrav")</f>
        <v>0</v>
      </c>
      <c r="J85" s="15"/>
    </row>
    <row r="86" spans="2:10">
      <c r="B86" s="13"/>
      <c r="C86" s="59" t="s">
        <v>2156</v>
      </c>
      <c r="D86" s="3">
        <f>SUM(D73:D85)</f>
        <v>12</v>
      </c>
      <c r="E86" s="3">
        <f>SUM(E73:E85)</f>
        <v>0</v>
      </c>
      <c r="F86" s="3">
        <f>COUNTIFS('Production Plan'!L:L,C86,'Production Plan'!V:V,Status!$F$50,'Production Plan'!G:G,"Evalueringskrav")</f>
        <v>0</v>
      </c>
      <c r="G86" s="3">
        <f t="shared" ref="G86" si="9">SUM(G73:G85)</f>
        <v>0</v>
      </c>
      <c r="H86" s="3">
        <f t="shared" ref="H86" si="10">SUM(H73:H85)</f>
        <v>0</v>
      </c>
      <c r="I86" s="3">
        <f t="shared" ref="I86" si="11">SUM(I73:I85)</f>
        <v>0</v>
      </c>
      <c r="J86" s="15"/>
    </row>
    <row r="87" spans="2:10">
      <c r="B87" s="13"/>
      <c r="C87" s="14"/>
      <c r="D87" s="14"/>
      <c r="E87" s="14"/>
      <c r="F87" s="14"/>
      <c r="G87" s="14"/>
      <c r="H87" s="14"/>
      <c r="I87" s="14"/>
      <c r="J87" s="15"/>
    </row>
    <row r="88" spans="2:10">
      <c r="B88" s="13"/>
      <c r="C88" s="59" t="s">
        <v>2157</v>
      </c>
      <c r="D88" s="3">
        <f>H8-(SUM(D73:I85))</f>
        <v>0</v>
      </c>
      <c r="E88" s="14"/>
      <c r="F88" s="14"/>
      <c r="G88" s="14"/>
      <c r="H88" s="14"/>
      <c r="I88" s="14"/>
      <c r="J88" s="15"/>
    </row>
    <row r="89" spans="2:10" ht="16.5" thickBot="1">
      <c r="B89" s="17"/>
      <c r="C89" s="18"/>
      <c r="D89" s="18"/>
      <c r="E89" s="18"/>
      <c r="F89" s="18"/>
      <c r="G89" s="18"/>
      <c r="H89" s="18"/>
      <c r="I89" s="18"/>
      <c r="J89" s="19"/>
    </row>
  </sheetData>
  <mergeCells count="6">
    <mergeCell ref="C49:I49"/>
    <mergeCell ref="C71:I71"/>
    <mergeCell ref="E27:F27"/>
    <mergeCell ref="E11:F11"/>
    <mergeCell ref="G11:H11"/>
    <mergeCell ref="G27:H27"/>
  </mergeCells>
  <phoneticPr fontId="4" type="noConversion"/>
  <conditionalFormatting sqref="D73:I85">
    <cfRule type="cellIs" dxfId="9" priority="1" operator="lessThan">
      <formula>0</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13420-B748-487C-BB29-F92D086DD6B8}">
  <sheetPr filterMode="1"/>
  <dimension ref="A1:J1009"/>
  <sheetViews>
    <sheetView workbookViewId="0">
      <selection activeCell="D1015" sqref="D1015"/>
    </sheetView>
  </sheetViews>
  <sheetFormatPr defaultRowHeight="16"/>
  <cols>
    <col min="1" max="1" width="6.23046875" bestFit="1" customWidth="1"/>
    <col min="3" max="3" width="30.69140625" customWidth="1"/>
    <col min="4" max="4" width="38.07421875" customWidth="1"/>
    <col min="5" max="5" width="27.84375" bestFit="1" customWidth="1"/>
    <col min="6" max="6" width="40.07421875" customWidth="1"/>
    <col min="7" max="7" width="11.69140625" bestFit="1" customWidth="1"/>
    <col min="8" max="8" width="14.3046875" style="7" bestFit="1" customWidth="1"/>
    <col min="9" max="9" width="43.3046875" customWidth="1"/>
    <col min="10" max="10" width="37" customWidth="1"/>
  </cols>
  <sheetData>
    <row r="1" spans="1:10">
      <c r="A1" s="4" t="s">
        <v>2161</v>
      </c>
      <c r="B1" s="4" t="s">
        <v>2162</v>
      </c>
      <c r="C1" s="4" t="s">
        <v>5</v>
      </c>
      <c r="D1" s="4" t="s">
        <v>2163</v>
      </c>
      <c r="E1" s="4" t="s">
        <v>2164</v>
      </c>
      <c r="F1" s="4" t="s">
        <v>2165</v>
      </c>
      <c r="G1" s="4" t="s">
        <v>2166</v>
      </c>
      <c r="H1" s="4" t="s">
        <v>2167</v>
      </c>
      <c r="I1" s="4" t="s">
        <v>2168</v>
      </c>
      <c r="J1" s="4" t="s">
        <v>15</v>
      </c>
    </row>
    <row r="2" spans="1:10">
      <c r="A2" s="3" t="str">
        <f>'Production Plan'!B2</f>
        <v>MK-1</v>
      </c>
      <c r="B2" s="3" t="str">
        <f>VLOOKUP(A2,'Production Plan'!B:R,14,FALSE)</f>
        <v>1. Fully met</v>
      </c>
      <c r="C2" s="3" t="str">
        <f>VLOOKUP(A2,'Production Plan'!B:F,5,FALSE)</f>
        <v>ESDH-løsningen skal understøtte Rigsarkivets gældende retningslinjer for anmeldelse og godkendelse af it-systemer fra statslige Myndigheder, jf. Cirkulære om anmeldelse og godkendelse af it-systemer på Retsinformation og gældende regler for generel aflevering af statslige it-systemer, jf. Bekendtgørelse om arkiveringsversioner på Retsinformation.</v>
      </c>
      <c r="D2" s="3" t="s">
        <v>2169</v>
      </c>
      <c r="E2" s="3" t="s">
        <v>2170</v>
      </c>
      <c r="F2" s="3" t="s">
        <v>2171</v>
      </c>
      <c r="G2" s="3" t="s">
        <v>2172</v>
      </c>
      <c r="H2" s="8">
        <v>46023</v>
      </c>
      <c r="I2" s="3" t="s">
        <v>2173</v>
      </c>
      <c r="J2" s="3"/>
    </row>
    <row r="3" spans="1:10" hidden="1">
      <c r="A3" t="str">
        <f>'Production Plan'!B3</f>
        <v>MK-2</v>
      </c>
      <c r="B3" s="3" t="str">
        <f>VLOOKUP(A3,'Production Plan'!B:R,14,FALSE)</f>
        <v>1. Fully met</v>
      </c>
    </row>
    <row r="4" spans="1:10" hidden="1">
      <c r="A4" t="str">
        <f>'Production Plan'!B4</f>
        <v>MK-3</v>
      </c>
      <c r="B4" s="3" t="str">
        <f>VLOOKUP(A4,'Production Plan'!B:R,14,FALSE)</f>
        <v>1. Fully met</v>
      </c>
    </row>
    <row r="5" spans="1:10" hidden="1">
      <c r="A5" t="str">
        <f>'Production Plan'!B5</f>
        <v>MK-4</v>
      </c>
      <c r="B5" s="3" t="str">
        <f>VLOOKUP(A5,'Production Plan'!B:R,14,FALSE)</f>
        <v>1. Fully met</v>
      </c>
    </row>
    <row r="6" spans="1:10" hidden="1">
      <c r="A6" t="str">
        <f>'Production Plan'!B6</f>
        <v>MK-5</v>
      </c>
      <c r="B6" s="3" t="str">
        <f>VLOOKUP(A6,'Production Plan'!B:R,14,FALSE)</f>
        <v>1. Fully met</v>
      </c>
    </row>
    <row r="7" spans="1:10" hidden="1">
      <c r="A7" t="str">
        <f>'Production Plan'!B7</f>
        <v>MK-6</v>
      </c>
      <c r="B7" s="3" t="str">
        <f>VLOOKUP(A7,'Production Plan'!B:R,14,FALSE)</f>
        <v>3. Not able to meet</v>
      </c>
    </row>
    <row r="8" spans="1:10" hidden="1">
      <c r="A8" t="str">
        <f>'Production Plan'!B8</f>
        <v>MK-7</v>
      </c>
      <c r="B8" s="3" t="str">
        <f>VLOOKUP(A8,'Production Plan'!B:R,14,FALSE)</f>
        <v>1. Fully met</v>
      </c>
    </row>
    <row r="9" spans="1:10" hidden="1">
      <c r="A9" t="str">
        <f>'Production Plan'!B9</f>
        <v>MK-8</v>
      </c>
      <c r="B9" s="3" t="str">
        <f>VLOOKUP(A9,'Production Plan'!B:R,14,FALSE)</f>
        <v>1. Fully met</v>
      </c>
    </row>
    <row r="10" spans="1:10" hidden="1">
      <c r="A10" t="str">
        <f>'Production Plan'!B10</f>
        <v>MK-9</v>
      </c>
      <c r="B10" s="3" t="str">
        <f>VLOOKUP(A10,'Production Plan'!B:R,14,FALSE)</f>
        <v>1. Fully met</v>
      </c>
    </row>
    <row r="11" spans="1:10" hidden="1">
      <c r="A11" t="str">
        <f>'Production Plan'!B11</f>
        <v>MK-10</v>
      </c>
      <c r="B11" s="3" t="str">
        <f>VLOOKUP(A11,'Production Plan'!B:R,14,FALSE)</f>
        <v>1. Fully met</v>
      </c>
    </row>
    <row r="12" spans="1:10" hidden="1">
      <c r="A12" t="str">
        <f>'Production Plan'!B12</f>
        <v>MK-11</v>
      </c>
      <c r="B12" s="3" t="str">
        <f>VLOOKUP(A12,'Production Plan'!B:R,14,FALSE)</f>
        <v>1. Fully met</v>
      </c>
    </row>
    <row r="13" spans="1:10" hidden="1">
      <c r="A13" t="str">
        <f>'Production Plan'!B13</f>
        <v>K-1</v>
      </c>
      <c r="B13" s="3" t="str">
        <f>VLOOKUP(A13,'Production Plan'!B:R,14,FALSE)</f>
        <v>1. Fully met</v>
      </c>
    </row>
    <row r="14" spans="1:10" hidden="1">
      <c r="A14" t="str">
        <f>'Production Plan'!B14</f>
        <v>MK-12</v>
      </c>
      <c r="B14" s="3" t="str">
        <f>VLOOKUP(A14,'Production Plan'!B:R,14,FALSE)</f>
        <v>1. Fully met</v>
      </c>
    </row>
    <row r="15" spans="1:10" hidden="1">
      <c r="A15" t="str">
        <f>'Production Plan'!B15</f>
        <v>MK-13</v>
      </c>
      <c r="B15" s="3" t="str">
        <f>VLOOKUP(A15,'Production Plan'!B:R,14,FALSE)</f>
        <v>1. Fully met</v>
      </c>
    </row>
    <row r="16" spans="1:10" hidden="1">
      <c r="A16" t="str">
        <f>'Production Plan'!B16</f>
        <v>MK-14</v>
      </c>
      <c r="B16" s="3" t="str">
        <f>VLOOKUP(A16,'Production Plan'!B:R,14,FALSE)</f>
        <v>1. Fully met</v>
      </c>
    </row>
    <row r="17" spans="1:2" hidden="1">
      <c r="A17" t="str">
        <f>'Production Plan'!B17</f>
        <v>MK-15</v>
      </c>
      <c r="B17" s="3" t="str">
        <f>VLOOKUP(A17,'Production Plan'!B:R,14,FALSE)</f>
        <v>1. Fully met</v>
      </c>
    </row>
    <row r="18" spans="1:2" hidden="1">
      <c r="A18" t="str">
        <f>'Production Plan'!B18</f>
        <v>MK-16</v>
      </c>
      <c r="B18" s="3" t="str">
        <f>VLOOKUP(A18,'Production Plan'!B:R,14,FALSE)</f>
        <v>1. Fully met</v>
      </c>
    </row>
    <row r="19" spans="1:2" hidden="1">
      <c r="A19" t="str">
        <f>'Production Plan'!B19</f>
        <v>MK-17</v>
      </c>
      <c r="B19" s="3" t="str">
        <f>VLOOKUP(A19,'Production Plan'!B:R,14,FALSE)</f>
        <v>1. Fully met</v>
      </c>
    </row>
    <row r="20" spans="1:2" hidden="1">
      <c r="A20" t="str">
        <f>'Production Plan'!B20</f>
        <v>MK-18</v>
      </c>
      <c r="B20" s="3" t="str">
        <f>VLOOKUP(A20,'Production Plan'!B:R,14,FALSE)</f>
        <v>1. Fully met</v>
      </c>
    </row>
    <row r="21" spans="1:2" hidden="1">
      <c r="A21" t="str">
        <f>'Production Plan'!B21</f>
        <v>MK-19</v>
      </c>
      <c r="B21" s="3" t="str">
        <f>VLOOKUP(A21,'Production Plan'!B:R,14,FALSE)</f>
        <v>1. Fully met</v>
      </c>
    </row>
    <row r="22" spans="1:2" hidden="1">
      <c r="A22" t="str">
        <f>'Production Plan'!B22</f>
        <v>MK-20</v>
      </c>
      <c r="B22" s="3" t="str">
        <f>VLOOKUP(A22,'Production Plan'!B:R,14,FALSE)</f>
        <v>1. Fully met</v>
      </c>
    </row>
    <row r="23" spans="1:2" hidden="1">
      <c r="A23" t="str">
        <f>'Production Plan'!B23</f>
        <v>MK-21</v>
      </c>
      <c r="B23" s="3" t="str">
        <f>VLOOKUP(A23,'Production Plan'!B:R,14,FALSE)</f>
        <v>1. Fully met</v>
      </c>
    </row>
    <row r="24" spans="1:2" hidden="1">
      <c r="A24" t="str">
        <f>'Production Plan'!B24</f>
        <v>MK-22</v>
      </c>
      <c r="B24" s="3" t="str">
        <f>VLOOKUP(A24,'Production Plan'!B:R,14,FALSE)</f>
        <v>1. Fully met</v>
      </c>
    </row>
    <row r="25" spans="1:2" hidden="1">
      <c r="A25" t="str">
        <f>'Production Plan'!B25</f>
        <v>MK-23</v>
      </c>
      <c r="B25" s="3" t="str">
        <f>VLOOKUP(A25,'Production Plan'!B:R,14,FALSE)</f>
        <v>1. Fully met</v>
      </c>
    </row>
    <row r="26" spans="1:2" hidden="1">
      <c r="A26" t="str">
        <f>'Production Plan'!B26</f>
        <v>MK-24</v>
      </c>
      <c r="B26" s="3" t="str">
        <f>VLOOKUP(A26,'Production Plan'!B:R,14,FALSE)</f>
        <v>1. Fully met</v>
      </c>
    </row>
    <row r="27" spans="1:2" hidden="1">
      <c r="A27" t="str">
        <f>'Production Plan'!B27</f>
        <v>MK-25</v>
      </c>
      <c r="B27" s="3" t="str">
        <f>VLOOKUP(A27,'Production Plan'!B:R,14,FALSE)</f>
        <v>1. Fully met</v>
      </c>
    </row>
    <row r="28" spans="1:2" hidden="1">
      <c r="A28" t="str">
        <f>'Production Plan'!B28</f>
        <v>MK-26</v>
      </c>
      <c r="B28" s="3" t="str">
        <f>VLOOKUP(A28,'Production Plan'!B:R,14,FALSE)</f>
        <v>1. Fully met</v>
      </c>
    </row>
    <row r="29" spans="1:2" hidden="1">
      <c r="A29" t="str">
        <f>'Production Plan'!B29</f>
        <v>MK-27</v>
      </c>
      <c r="B29" s="3" t="str">
        <f>VLOOKUP(A29,'Production Plan'!B:R,14,FALSE)</f>
        <v>1. Fully met</v>
      </c>
    </row>
    <row r="30" spans="1:2" hidden="1">
      <c r="A30" t="str">
        <f>'Production Plan'!B30</f>
        <v>MK-28</v>
      </c>
      <c r="B30" s="3" t="str">
        <f>VLOOKUP(A30,'Production Plan'!B:R,14,FALSE)</f>
        <v>1. Fully met</v>
      </c>
    </row>
    <row r="31" spans="1:2" hidden="1">
      <c r="A31" t="str">
        <f>'Production Plan'!B31</f>
        <v>MK-29</v>
      </c>
      <c r="B31" s="3" t="str">
        <f>VLOOKUP(A31,'Production Plan'!B:R,14,FALSE)</f>
        <v>1. Fully met</v>
      </c>
    </row>
    <row r="32" spans="1:2" hidden="1">
      <c r="A32" t="str">
        <f>'Production Plan'!B32</f>
        <v>MK-30</v>
      </c>
      <c r="B32" s="3" t="str">
        <f>VLOOKUP(A32,'Production Plan'!B:R,14,FALSE)</f>
        <v>3. Not able to meet</v>
      </c>
    </row>
    <row r="33" spans="1:2" hidden="1">
      <c r="A33" t="str">
        <f>'Production Plan'!B33</f>
        <v>MK-31</v>
      </c>
      <c r="B33" s="3" t="str">
        <f>VLOOKUP(A33,'Production Plan'!B:R,14,FALSE)</f>
        <v>1. Fully met</v>
      </c>
    </row>
    <row r="34" spans="1:2" hidden="1">
      <c r="A34" t="str">
        <f>'Production Plan'!B34</f>
        <v>MK-32</v>
      </c>
      <c r="B34" s="3" t="str">
        <f>VLOOKUP(A34,'Production Plan'!B:R,14,FALSE)</f>
        <v>1. Fully met</v>
      </c>
    </row>
    <row r="35" spans="1:2" hidden="1">
      <c r="A35" t="str">
        <f>'Production Plan'!B35</f>
        <v>MK-33</v>
      </c>
      <c r="B35" s="3" t="str">
        <f>VLOOKUP(A35,'Production Plan'!B:R,14,FALSE)</f>
        <v>1. Fully met</v>
      </c>
    </row>
    <row r="36" spans="1:2" hidden="1">
      <c r="A36" t="str">
        <f>'Production Plan'!B36</f>
        <v>MK-34</v>
      </c>
      <c r="B36" s="3" t="str">
        <f>VLOOKUP(A36,'Production Plan'!B:R,14,FALSE)</f>
        <v>1. Fully met</v>
      </c>
    </row>
    <row r="37" spans="1:2" hidden="1">
      <c r="A37" t="str">
        <f>'Production Plan'!B37</f>
        <v>MK-35</v>
      </c>
      <c r="B37" s="3" t="str">
        <f>VLOOKUP(A37,'Production Plan'!B:R,14,FALSE)</f>
        <v>1. Fully met</v>
      </c>
    </row>
    <row r="38" spans="1:2" hidden="1">
      <c r="A38" t="str">
        <f>'Production Plan'!B38</f>
        <v>MK-36</v>
      </c>
      <c r="B38" s="3" t="str">
        <f>VLOOKUP(A38,'Production Plan'!B:R,14,FALSE)</f>
        <v>1. Fully met</v>
      </c>
    </row>
    <row r="39" spans="1:2" hidden="1">
      <c r="A39" t="str">
        <f>'Production Plan'!B39</f>
        <v>MK-37</v>
      </c>
      <c r="B39" s="3" t="str">
        <f>VLOOKUP(A39,'Production Plan'!B:R,14,FALSE)</f>
        <v>1. Fully met</v>
      </c>
    </row>
    <row r="40" spans="1:2" hidden="1">
      <c r="A40" t="str">
        <f>'Production Plan'!B40</f>
        <v>MK-38</v>
      </c>
      <c r="B40" s="3" t="str">
        <f>VLOOKUP(A40,'Production Plan'!B:R,14,FALSE)</f>
        <v>1. Fully met</v>
      </c>
    </row>
    <row r="41" spans="1:2" hidden="1">
      <c r="A41" t="str">
        <f>'Production Plan'!B41</f>
        <v>MK-39</v>
      </c>
      <c r="B41" s="3" t="str">
        <f>VLOOKUP(A41,'Production Plan'!B:R,14,FALSE)</f>
        <v>1. Fully met</v>
      </c>
    </row>
    <row r="42" spans="1:2" hidden="1">
      <c r="A42" t="str">
        <f>'Production Plan'!B42</f>
        <v>MK-40</v>
      </c>
      <c r="B42" s="3" t="str">
        <f>VLOOKUP(A42,'Production Plan'!B:R,14,FALSE)</f>
        <v>1. Fully met</v>
      </c>
    </row>
    <row r="43" spans="1:2" hidden="1">
      <c r="A43" t="str">
        <f>'Production Plan'!B43</f>
        <v>MK-41</v>
      </c>
      <c r="B43" s="3" t="str">
        <f>VLOOKUP(A43,'Production Plan'!B:R,14,FALSE)</f>
        <v>1. Fully met</v>
      </c>
    </row>
    <row r="44" spans="1:2" hidden="1">
      <c r="A44" t="str">
        <f>'Production Plan'!B44</f>
        <v>MK-42</v>
      </c>
      <c r="B44" s="3" t="str">
        <f>VLOOKUP(A44,'Production Plan'!B:R,14,FALSE)</f>
        <v>1. Fully met</v>
      </c>
    </row>
    <row r="45" spans="1:2" hidden="1">
      <c r="A45" t="str">
        <f>'Production Plan'!B45</f>
        <v>MK-43</v>
      </c>
      <c r="B45" s="3" t="str">
        <f>VLOOKUP(A45,'Production Plan'!B:R,14,FALSE)</f>
        <v>1. Fully met</v>
      </c>
    </row>
    <row r="46" spans="1:2" hidden="1">
      <c r="A46" t="str">
        <f>'Production Plan'!B46</f>
        <v>MK-44</v>
      </c>
      <c r="B46" s="3" t="str">
        <f>VLOOKUP(A46,'Production Plan'!B:R,14,FALSE)</f>
        <v>1. Fully met</v>
      </c>
    </row>
    <row r="47" spans="1:2" hidden="1">
      <c r="A47" t="str">
        <f>'Production Plan'!B47</f>
        <v>MK-45</v>
      </c>
      <c r="B47" s="3" t="str">
        <f>VLOOKUP(A47,'Production Plan'!B:R,14,FALSE)</f>
        <v>1. Fully met</v>
      </c>
    </row>
    <row r="48" spans="1:2" hidden="1">
      <c r="A48" t="str">
        <f>'Production Plan'!B48</f>
        <v>MK-46</v>
      </c>
      <c r="B48" s="3" t="str">
        <f>VLOOKUP(A48,'Production Plan'!B:R,14,FALSE)</f>
        <v>1. Fully met</v>
      </c>
    </row>
    <row r="49" spans="1:2" hidden="1">
      <c r="A49" t="str">
        <f>'Production Plan'!B49</f>
        <v>MK-47</v>
      </c>
      <c r="B49" s="3" t="str">
        <f>VLOOKUP(A49,'Production Plan'!B:R,14,FALSE)</f>
        <v>1. Fully met</v>
      </c>
    </row>
    <row r="50" spans="1:2" hidden="1">
      <c r="A50" t="str">
        <f>'Production Plan'!B50</f>
        <v>MK-48</v>
      </c>
      <c r="B50" s="3" t="str">
        <f>VLOOKUP(A50,'Production Plan'!B:R,14,FALSE)</f>
        <v>1. Fully met</v>
      </c>
    </row>
    <row r="51" spans="1:2" hidden="1">
      <c r="A51" t="str">
        <f>'Production Plan'!B51</f>
        <v>MK-49</v>
      </c>
      <c r="B51" s="3" t="str">
        <f>VLOOKUP(A51,'Production Plan'!B:R,14,FALSE)</f>
        <v>1. Fully met</v>
      </c>
    </row>
    <row r="52" spans="1:2" hidden="1">
      <c r="A52" t="str">
        <f>'Production Plan'!B52</f>
        <v>MK-50</v>
      </c>
      <c r="B52" s="3" t="str">
        <f>VLOOKUP(A52,'Production Plan'!B:R,14,FALSE)</f>
        <v>3. Not able to meet</v>
      </c>
    </row>
    <row r="53" spans="1:2" hidden="1">
      <c r="A53" t="str">
        <f>'Production Plan'!B53</f>
        <v>MK-51</v>
      </c>
      <c r="B53" s="3" t="str">
        <f>VLOOKUP(A53,'Production Plan'!B:R,14,FALSE)</f>
        <v>1. Fully met</v>
      </c>
    </row>
    <row r="54" spans="1:2" hidden="1">
      <c r="A54" t="str">
        <f>'Production Plan'!B54</f>
        <v>MK-52</v>
      </c>
      <c r="B54" s="3" t="str">
        <f>VLOOKUP(A54,'Production Plan'!B:R,14,FALSE)</f>
        <v>1. Fully met</v>
      </c>
    </row>
    <row r="55" spans="1:2" hidden="1">
      <c r="A55" t="str">
        <f>'Production Plan'!B55</f>
        <v>K-2</v>
      </c>
      <c r="B55" s="3" t="str">
        <f>VLOOKUP(A55,'Production Plan'!B:R,14,FALSE)</f>
        <v>1. Fully met</v>
      </c>
    </row>
    <row r="56" spans="1:2" hidden="1">
      <c r="A56" t="str">
        <f>'Production Plan'!B56</f>
        <v>K-3</v>
      </c>
      <c r="B56" s="3" t="str">
        <f>VLOOKUP(A56,'Production Plan'!B:R,14,FALSE)</f>
        <v>1. Fully met</v>
      </c>
    </row>
    <row r="57" spans="1:2" hidden="1">
      <c r="A57" t="str">
        <f>'Production Plan'!B57</f>
        <v>MK-53</v>
      </c>
      <c r="B57" s="3" t="str">
        <f>VLOOKUP(A57,'Production Plan'!B:R,14,FALSE)</f>
        <v>1. Fully met</v>
      </c>
    </row>
    <row r="58" spans="1:2" hidden="1">
      <c r="A58" t="str">
        <f>'Production Plan'!B58</f>
        <v>MK-54</v>
      </c>
      <c r="B58" s="3" t="str">
        <f>VLOOKUP(A58,'Production Plan'!B:R,14,FALSE)</f>
        <v>1. Fully met</v>
      </c>
    </row>
    <row r="59" spans="1:2" hidden="1">
      <c r="A59" t="str">
        <f>'Production Plan'!B59</f>
        <v>MK-55</v>
      </c>
      <c r="B59" s="3" t="str">
        <f>VLOOKUP(A59,'Production Plan'!B:R,14,FALSE)</f>
        <v>1. Fully met</v>
      </c>
    </row>
    <row r="60" spans="1:2" hidden="1">
      <c r="A60" t="str">
        <f>'Production Plan'!B60</f>
        <v>MK-56</v>
      </c>
      <c r="B60" s="3" t="str">
        <f>VLOOKUP(A60,'Production Plan'!B:R,14,FALSE)</f>
        <v>2. Partly met</v>
      </c>
    </row>
    <row r="61" spans="1:2" hidden="1">
      <c r="A61" t="str">
        <f>'Production Plan'!B61</f>
        <v>MK-57</v>
      </c>
      <c r="B61" s="3" t="str">
        <f>VLOOKUP(A61,'Production Plan'!B:R,14,FALSE)</f>
        <v>1. Fully met</v>
      </c>
    </row>
    <row r="62" spans="1:2" hidden="1">
      <c r="A62" t="str">
        <f>'Production Plan'!B62</f>
        <v>MK-58</v>
      </c>
      <c r="B62" s="3" t="str">
        <f>VLOOKUP(A62,'Production Plan'!B:R,14,FALSE)</f>
        <v>1. Fully met</v>
      </c>
    </row>
    <row r="63" spans="1:2" hidden="1">
      <c r="A63" t="str">
        <f>'Production Plan'!B63</f>
        <v>MK-59</v>
      </c>
      <c r="B63" s="3" t="str">
        <f>VLOOKUP(A63,'Production Plan'!B:R,14,FALSE)</f>
        <v>1. Fully met</v>
      </c>
    </row>
    <row r="64" spans="1:2" hidden="1">
      <c r="A64" t="str">
        <f>'Production Plan'!B64</f>
        <v>MK-60</v>
      </c>
      <c r="B64" s="3" t="str">
        <f>VLOOKUP(A64,'Production Plan'!B:R,14,FALSE)</f>
        <v>1. Fully met</v>
      </c>
    </row>
    <row r="65" spans="1:2" hidden="1">
      <c r="A65" t="str">
        <f>'Production Plan'!B65</f>
        <v>MK-61</v>
      </c>
      <c r="B65" s="3" t="str">
        <f>VLOOKUP(A65,'Production Plan'!B:R,14,FALSE)</f>
        <v>1. Fully met</v>
      </c>
    </row>
    <row r="66" spans="1:2" hidden="1">
      <c r="A66" t="str">
        <f>'Production Plan'!B66</f>
        <v>MK-62</v>
      </c>
      <c r="B66" s="3" t="str">
        <f>VLOOKUP(A66,'Production Plan'!B:R,14,FALSE)</f>
        <v>1. Fully met</v>
      </c>
    </row>
    <row r="67" spans="1:2" hidden="1">
      <c r="A67" t="str">
        <f>'Production Plan'!B67</f>
        <v>MK-63</v>
      </c>
      <c r="B67" s="3" t="str">
        <f>VLOOKUP(A67,'Production Plan'!B:R,14,FALSE)</f>
        <v>1. Fully met</v>
      </c>
    </row>
    <row r="68" spans="1:2" hidden="1">
      <c r="A68" t="str">
        <f>'Production Plan'!B68</f>
        <v>MK-64</v>
      </c>
      <c r="B68" s="3" t="str">
        <f>VLOOKUP(A68,'Production Plan'!B:R,14,FALSE)</f>
        <v>1. Fully met</v>
      </c>
    </row>
    <row r="69" spans="1:2" hidden="1">
      <c r="A69" t="str">
        <f>'Production Plan'!B69</f>
        <v>EK-1</v>
      </c>
      <c r="B69" s="3">
        <f>VLOOKUP(A69,'Production Plan'!B:R,14,FALSE)</f>
        <v>0</v>
      </c>
    </row>
    <row r="70" spans="1:2" hidden="1">
      <c r="A70" t="str">
        <f>'Production Plan'!B70</f>
        <v>MK-65</v>
      </c>
      <c r="B70" s="3" t="str">
        <f>VLOOKUP(A70,'Production Plan'!B:R,14,FALSE)</f>
        <v>1. Fully met</v>
      </c>
    </row>
    <row r="71" spans="1:2" hidden="1">
      <c r="A71" t="str">
        <f>'Production Plan'!B71</f>
        <v>MK-66</v>
      </c>
      <c r="B71" s="3" t="str">
        <f>VLOOKUP(A71,'Production Plan'!B:R,14,FALSE)</f>
        <v>2. Partly met</v>
      </c>
    </row>
    <row r="72" spans="1:2" hidden="1">
      <c r="A72" t="str">
        <f>'Production Plan'!B72</f>
        <v>MK-67</v>
      </c>
      <c r="B72" s="3" t="str">
        <f>VLOOKUP(A72,'Production Plan'!B:R,14,FALSE)</f>
        <v>1. Fully met</v>
      </c>
    </row>
    <row r="73" spans="1:2" hidden="1">
      <c r="A73" t="str">
        <f>'Production Plan'!B73</f>
        <v>MK-68</v>
      </c>
      <c r="B73" s="3" t="str">
        <f>VLOOKUP(A73,'Production Plan'!B:R,14,FALSE)</f>
        <v>1. Fully met</v>
      </c>
    </row>
    <row r="74" spans="1:2" hidden="1">
      <c r="A74" t="str">
        <f>'Production Plan'!B74</f>
        <v>MK-69</v>
      </c>
      <c r="B74" s="3" t="str">
        <f>VLOOKUP(A74,'Production Plan'!B:R,14,FALSE)</f>
        <v>1. Fully met</v>
      </c>
    </row>
    <row r="75" spans="1:2" hidden="1">
      <c r="A75" t="str">
        <f>'Production Plan'!B75</f>
        <v>MK-70</v>
      </c>
      <c r="B75" s="3" t="str">
        <f>VLOOKUP(A75,'Production Plan'!B:R,14,FALSE)</f>
        <v>2. Partly met</v>
      </c>
    </row>
    <row r="76" spans="1:2" hidden="1">
      <c r="A76" t="str">
        <f>'Production Plan'!B76</f>
        <v>MK-71</v>
      </c>
      <c r="B76" s="3" t="str">
        <f>VLOOKUP(A76,'Production Plan'!B:R,14,FALSE)</f>
        <v>1. Fully met</v>
      </c>
    </row>
    <row r="77" spans="1:2" hidden="1">
      <c r="A77" t="str">
        <f>'Production Plan'!B77</f>
        <v>MK-72</v>
      </c>
      <c r="B77" s="3" t="str">
        <f>VLOOKUP(A77,'Production Plan'!B:R,14,FALSE)</f>
        <v>1. Fully met</v>
      </c>
    </row>
    <row r="78" spans="1:2" hidden="1">
      <c r="A78" t="str">
        <f>'Production Plan'!B78</f>
        <v>MK-73</v>
      </c>
      <c r="B78" s="3" t="str">
        <f>VLOOKUP(A78,'Production Plan'!B:R,14,FALSE)</f>
        <v>1. Fully met</v>
      </c>
    </row>
    <row r="79" spans="1:2" hidden="1">
      <c r="A79" t="str">
        <f>'Production Plan'!B79</f>
        <v>MK-74</v>
      </c>
      <c r="B79" s="3" t="str">
        <f>VLOOKUP(A79,'Production Plan'!B:R,14,FALSE)</f>
        <v>2. Partly met</v>
      </c>
    </row>
    <row r="80" spans="1:2" hidden="1">
      <c r="A80" t="str">
        <f>'Production Plan'!B80</f>
        <v>MK-75</v>
      </c>
      <c r="B80" s="3" t="str">
        <f>VLOOKUP(A80,'Production Plan'!B:R,14,FALSE)</f>
        <v>2. Partly met</v>
      </c>
    </row>
    <row r="81" spans="1:2" hidden="1">
      <c r="A81" t="str">
        <f>'Production Plan'!B81</f>
        <v>K-4</v>
      </c>
      <c r="B81" s="3" t="str">
        <f>VLOOKUP(A81,'Production Plan'!B:R,14,FALSE)</f>
        <v>1. Fully met</v>
      </c>
    </row>
    <row r="82" spans="1:2" hidden="1">
      <c r="A82" t="str">
        <f>'Production Plan'!B82</f>
        <v>K-5</v>
      </c>
      <c r="B82" s="3" t="str">
        <f>VLOOKUP(A82,'Production Plan'!B:R,14,FALSE)</f>
        <v>1. Fully met</v>
      </c>
    </row>
    <row r="83" spans="1:2" hidden="1">
      <c r="A83" t="str">
        <f>'Production Plan'!B83</f>
        <v>K-6</v>
      </c>
      <c r="B83" s="3" t="str">
        <f>VLOOKUP(A83,'Production Plan'!B:R,14,FALSE)</f>
        <v>2. Partly met</v>
      </c>
    </row>
    <row r="84" spans="1:2" hidden="1">
      <c r="A84" t="str">
        <f>'Production Plan'!B84</f>
        <v>EK-2</v>
      </c>
      <c r="B84" s="3">
        <f>VLOOKUP(A84,'Production Plan'!B:R,14,FALSE)</f>
        <v>0</v>
      </c>
    </row>
    <row r="85" spans="1:2" hidden="1">
      <c r="A85" t="str">
        <f>'Production Plan'!B85</f>
        <v>MK-76</v>
      </c>
      <c r="B85" s="3" t="str">
        <f>VLOOKUP(A85,'Production Plan'!B:R,14,FALSE)</f>
        <v>1. Fully met</v>
      </c>
    </row>
    <row r="86" spans="1:2" hidden="1">
      <c r="A86" t="str">
        <f>'Production Plan'!B86</f>
        <v>MK-77</v>
      </c>
      <c r="B86" s="3" t="str">
        <f>VLOOKUP(A86,'Production Plan'!B:R,14,FALSE)</f>
        <v>3. Not able to meet</v>
      </c>
    </row>
    <row r="87" spans="1:2" hidden="1">
      <c r="A87" t="str">
        <f>'Production Plan'!B87</f>
        <v>MK-78</v>
      </c>
      <c r="B87" s="3" t="str">
        <f>VLOOKUP(A87,'Production Plan'!B:R,14,FALSE)</f>
        <v>1. Fully met</v>
      </c>
    </row>
    <row r="88" spans="1:2" hidden="1">
      <c r="A88" t="str">
        <f>'Production Plan'!B88</f>
        <v>MK-79</v>
      </c>
      <c r="B88" s="3" t="str">
        <f>VLOOKUP(A88,'Production Plan'!B:R,14,FALSE)</f>
        <v>1. Fully met</v>
      </c>
    </row>
    <row r="89" spans="1:2" hidden="1">
      <c r="A89" t="str">
        <f>'Production Plan'!B89</f>
        <v>MK-80</v>
      </c>
      <c r="B89" s="3" t="str">
        <f>VLOOKUP(A89,'Production Plan'!B:R,14,FALSE)</f>
        <v>3. Not able to meet</v>
      </c>
    </row>
    <row r="90" spans="1:2" hidden="1">
      <c r="A90" t="str">
        <f>'Production Plan'!B90</f>
        <v>MK-81</v>
      </c>
      <c r="B90" s="3" t="str">
        <f>VLOOKUP(A90,'Production Plan'!B:R,14,FALSE)</f>
        <v>1. Fully met</v>
      </c>
    </row>
    <row r="91" spans="1:2" hidden="1">
      <c r="A91" t="str">
        <f>'Production Plan'!B91</f>
        <v>MK-82</v>
      </c>
      <c r="B91" s="3" t="str">
        <f>VLOOKUP(A91,'Production Plan'!B:R,14,FALSE)</f>
        <v>1. Fully met</v>
      </c>
    </row>
    <row r="92" spans="1:2" hidden="1">
      <c r="A92" t="str">
        <f>'Production Plan'!B92</f>
        <v>MK-83</v>
      </c>
      <c r="B92" s="3" t="str">
        <f>VLOOKUP(A92,'Production Plan'!B:R,14,FALSE)</f>
        <v>3. Not able to meet</v>
      </c>
    </row>
    <row r="93" spans="1:2" hidden="1">
      <c r="A93" t="str">
        <f>'Production Plan'!B93</f>
        <v>MK-84</v>
      </c>
      <c r="B93" s="3" t="str">
        <f>VLOOKUP(A93,'Production Plan'!B:R,14,FALSE)</f>
        <v>3. Not able to meet</v>
      </c>
    </row>
    <row r="94" spans="1:2" hidden="1">
      <c r="A94" t="str">
        <f>'Production Plan'!B94</f>
        <v>MK-85</v>
      </c>
      <c r="B94" s="3" t="str">
        <f>VLOOKUP(A94,'Production Plan'!B:R,14,FALSE)</f>
        <v>3. Not able to meet</v>
      </c>
    </row>
    <row r="95" spans="1:2" hidden="1">
      <c r="A95" t="str">
        <f>'Production Plan'!B95</f>
        <v>MK-86</v>
      </c>
      <c r="B95" s="3" t="str">
        <f>VLOOKUP(A95,'Production Plan'!B:R,14,FALSE)</f>
        <v>3. Not able to meet</v>
      </c>
    </row>
    <row r="96" spans="1:2" hidden="1">
      <c r="A96" t="str">
        <f>'Production Plan'!B96</f>
        <v>MK-87</v>
      </c>
      <c r="B96" s="3" t="str">
        <f>VLOOKUP(A96,'Production Plan'!B:R,14,FALSE)</f>
        <v>3. Not able to meet</v>
      </c>
    </row>
    <row r="97" spans="1:2" hidden="1">
      <c r="A97" t="str">
        <f>'Production Plan'!B97</f>
        <v>MK-88</v>
      </c>
      <c r="B97" s="3" t="str">
        <f>VLOOKUP(A97,'Production Plan'!B:R,14,FALSE)</f>
        <v>3. Not able to meet</v>
      </c>
    </row>
    <row r="98" spans="1:2" hidden="1">
      <c r="A98" t="str">
        <f>'Production Plan'!B98</f>
        <v>K-7</v>
      </c>
      <c r="B98" s="3" t="str">
        <f>VLOOKUP(A98,'Production Plan'!B:R,14,FALSE)</f>
        <v>1. Fully met</v>
      </c>
    </row>
    <row r="99" spans="1:2" hidden="1">
      <c r="A99" t="str">
        <f>'Production Plan'!B99</f>
        <v>EK-3</v>
      </c>
      <c r="B99" s="3">
        <f>VLOOKUP(A99,'Production Plan'!B:R,14,FALSE)</f>
        <v>0</v>
      </c>
    </row>
    <row r="100" spans="1:2" hidden="1">
      <c r="A100" t="str">
        <f>'Production Plan'!B100</f>
        <v>MK-89</v>
      </c>
      <c r="B100" s="3" t="str">
        <f>VLOOKUP(A100,'Production Plan'!B:R,14,FALSE)</f>
        <v>1. Fully met</v>
      </c>
    </row>
    <row r="101" spans="1:2" hidden="1">
      <c r="A101" t="str">
        <f>'Production Plan'!B101</f>
        <v>EK-4</v>
      </c>
      <c r="B101" s="3">
        <f>VLOOKUP(A101,'Production Plan'!B:R,14,FALSE)</f>
        <v>0</v>
      </c>
    </row>
    <row r="102" spans="1:2" hidden="1">
      <c r="A102" t="str">
        <f>'Production Plan'!B102</f>
        <v>MK-90</v>
      </c>
      <c r="B102" s="3" t="str">
        <f>VLOOKUP(A102,'Production Plan'!B:R,14,FALSE)</f>
        <v>1. Fully met</v>
      </c>
    </row>
    <row r="103" spans="1:2" hidden="1">
      <c r="A103" t="str">
        <f>'Production Plan'!B103</f>
        <v>MK-91</v>
      </c>
      <c r="B103" s="3" t="str">
        <f>VLOOKUP(A103,'Production Plan'!B:R,14,FALSE)</f>
        <v>1. Fully met</v>
      </c>
    </row>
    <row r="104" spans="1:2" hidden="1">
      <c r="A104" t="str">
        <f>'Production Plan'!B104</f>
        <v>MK-92</v>
      </c>
      <c r="B104" s="3" t="str">
        <f>VLOOKUP(A104,'Production Plan'!B:R,14,FALSE)</f>
        <v>1. Fully met</v>
      </c>
    </row>
    <row r="105" spans="1:2" hidden="1">
      <c r="A105" t="str">
        <f>'Production Plan'!B105</f>
        <v>MK-93</v>
      </c>
      <c r="B105" s="3" t="str">
        <f>VLOOKUP(A105,'Production Plan'!B:R,14,FALSE)</f>
        <v>1. Fully met</v>
      </c>
    </row>
    <row r="106" spans="1:2" hidden="1">
      <c r="A106" t="str">
        <f>'Production Plan'!B106</f>
        <v>MK-94</v>
      </c>
      <c r="B106" s="3" t="str">
        <f>VLOOKUP(A106,'Production Plan'!B:R,14,FALSE)</f>
        <v>1. Fully met</v>
      </c>
    </row>
    <row r="107" spans="1:2" hidden="1">
      <c r="A107" t="str">
        <f>'Production Plan'!B107</f>
        <v>MK-95</v>
      </c>
      <c r="B107" s="3" t="str">
        <f>VLOOKUP(A107,'Production Plan'!B:R,14,FALSE)</f>
        <v>1. Fully met</v>
      </c>
    </row>
    <row r="108" spans="1:2" hidden="1">
      <c r="A108" t="str">
        <f>'Production Plan'!B108</f>
        <v>MK-96</v>
      </c>
      <c r="B108" s="3" t="str">
        <f>VLOOKUP(A108,'Production Plan'!B:R,14,FALSE)</f>
        <v>1. Fully met</v>
      </c>
    </row>
    <row r="109" spans="1:2" hidden="1">
      <c r="A109" t="str">
        <f>'Production Plan'!B109</f>
        <v>MK-97</v>
      </c>
      <c r="B109" s="3" t="str">
        <f>VLOOKUP(A109,'Production Plan'!B:R,14,FALSE)</f>
        <v>1. Fully met</v>
      </c>
    </row>
    <row r="110" spans="1:2" hidden="1">
      <c r="A110" t="str">
        <f>'Production Plan'!B110</f>
        <v>MK-98</v>
      </c>
      <c r="B110" s="3" t="str">
        <f>VLOOKUP(A110,'Production Plan'!B:R,14,FALSE)</f>
        <v>1. Fully met</v>
      </c>
    </row>
    <row r="111" spans="1:2" hidden="1">
      <c r="A111" t="str">
        <f>'Production Plan'!B111</f>
        <v>MK-99</v>
      </c>
      <c r="B111" s="3" t="str">
        <f>VLOOKUP(A111,'Production Plan'!B:R,14,FALSE)</f>
        <v>3. Not able to meet</v>
      </c>
    </row>
    <row r="112" spans="1:2" hidden="1">
      <c r="A112" t="str">
        <f>'Production Plan'!B112</f>
        <v>MK-100</v>
      </c>
      <c r="B112" s="3" t="str">
        <f>VLOOKUP(A112,'Production Plan'!B:R,14,FALSE)</f>
        <v>1. Fully met</v>
      </c>
    </row>
    <row r="113" spans="1:2" hidden="1">
      <c r="A113" t="str">
        <f>'Production Plan'!B113</f>
        <v>MK-101</v>
      </c>
      <c r="B113" s="3" t="str">
        <f>VLOOKUP(A113,'Production Plan'!B:R,14,FALSE)</f>
        <v>1. Fully met</v>
      </c>
    </row>
    <row r="114" spans="1:2" hidden="1">
      <c r="A114" t="str">
        <f>'Production Plan'!B114</f>
        <v>MK-102</v>
      </c>
      <c r="B114" s="3">
        <f>VLOOKUP(A114,'Production Plan'!B:R,14,FALSE)</f>
        <v>0</v>
      </c>
    </row>
    <row r="115" spans="1:2" hidden="1">
      <c r="A115" t="str">
        <f>'Production Plan'!B115</f>
        <v>MK-103</v>
      </c>
      <c r="B115" s="3">
        <f>VLOOKUP(A115,'Production Plan'!B:R,14,FALSE)</f>
        <v>0</v>
      </c>
    </row>
    <row r="116" spans="1:2" hidden="1">
      <c r="A116" t="str">
        <f>'Production Plan'!B116</f>
        <v>MK-104</v>
      </c>
      <c r="B116" s="3" t="str">
        <f>VLOOKUP(A116,'Production Plan'!B:R,14,FALSE)</f>
        <v>1. Fully met</v>
      </c>
    </row>
    <row r="117" spans="1:2" hidden="1">
      <c r="A117" t="str">
        <f>'Production Plan'!B117</f>
        <v>K-8</v>
      </c>
      <c r="B117" s="3" t="str">
        <f>VLOOKUP(A117,'Production Plan'!B:R,14,FALSE)</f>
        <v>1. Fully met</v>
      </c>
    </row>
    <row r="118" spans="1:2" hidden="1">
      <c r="A118" t="str">
        <f>'Production Plan'!B118</f>
        <v>MK-105</v>
      </c>
      <c r="B118" s="3" t="str">
        <f>VLOOKUP(A118,'Production Plan'!B:R,14,FALSE)</f>
        <v>1. Fully met</v>
      </c>
    </row>
    <row r="119" spans="1:2" hidden="1">
      <c r="A119" t="str">
        <f>'Production Plan'!B119</f>
        <v>MK-106</v>
      </c>
      <c r="B119" s="3" t="str">
        <f>VLOOKUP(A119,'Production Plan'!B:R,14,FALSE)</f>
        <v>1. Fully met</v>
      </c>
    </row>
    <row r="120" spans="1:2" hidden="1">
      <c r="A120" t="str">
        <f>'Production Plan'!B120</f>
        <v>MK-107</v>
      </c>
      <c r="B120" s="3" t="str">
        <f>VLOOKUP(A120,'Production Plan'!B:R,14,FALSE)</f>
        <v>1. Fully met</v>
      </c>
    </row>
    <row r="121" spans="1:2" hidden="1">
      <c r="A121" t="str">
        <f>'Production Plan'!B121</f>
        <v>MK-108</v>
      </c>
      <c r="B121" s="3" t="str">
        <f>VLOOKUP(A121,'Production Plan'!B:R,14,FALSE)</f>
        <v>1. Fully met</v>
      </c>
    </row>
    <row r="122" spans="1:2" hidden="1">
      <c r="A122" t="str">
        <f>'Production Plan'!B122</f>
        <v>MK-109</v>
      </c>
      <c r="B122" s="3" t="str">
        <f>VLOOKUP(A122,'Production Plan'!B:R,14,FALSE)</f>
        <v>1. Fully met</v>
      </c>
    </row>
    <row r="123" spans="1:2" hidden="1">
      <c r="A123" t="str">
        <f>'Production Plan'!B123</f>
        <v>MK-110</v>
      </c>
      <c r="B123" s="3" t="str">
        <f>VLOOKUP(A123,'Production Plan'!B:R,14,FALSE)</f>
        <v>1. Fully met</v>
      </c>
    </row>
    <row r="124" spans="1:2" hidden="1">
      <c r="A124" t="str">
        <f>'Production Plan'!B124</f>
        <v>MK-111</v>
      </c>
      <c r="B124" s="3" t="str">
        <f>VLOOKUP(A124,'Production Plan'!B:R,14,FALSE)</f>
        <v>1. Fully met</v>
      </c>
    </row>
    <row r="125" spans="1:2" hidden="1">
      <c r="A125" t="str">
        <f>'Production Plan'!B125</f>
        <v>MK-112</v>
      </c>
      <c r="B125" s="3" t="str">
        <f>VLOOKUP(A125,'Production Plan'!B:R,14,FALSE)</f>
        <v>1. Fully met</v>
      </c>
    </row>
    <row r="126" spans="1:2" hidden="1">
      <c r="A126" t="str">
        <f>'Production Plan'!B126</f>
        <v>MK-113</v>
      </c>
      <c r="B126" s="3" t="str">
        <f>VLOOKUP(A126,'Production Plan'!B:R,14,FALSE)</f>
        <v>1. Fully met</v>
      </c>
    </row>
    <row r="127" spans="1:2" hidden="1">
      <c r="A127" t="str">
        <f>'Production Plan'!B127</f>
        <v>MK-114</v>
      </c>
      <c r="B127" s="3" t="str">
        <f>VLOOKUP(A127,'Production Plan'!B:R,14,FALSE)</f>
        <v>1. Fully met</v>
      </c>
    </row>
    <row r="128" spans="1:2" hidden="1">
      <c r="A128" t="str">
        <f>'Production Plan'!B128</f>
        <v>MK-115</v>
      </c>
      <c r="B128" s="3" t="str">
        <f>VLOOKUP(A128,'Production Plan'!B:R,14,FALSE)</f>
        <v>1. Fully met</v>
      </c>
    </row>
    <row r="129" spans="1:2" hidden="1">
      <c r="A129" t="str">
        <f>'Production Plan'!B129</f>
        <v>MK-116</v>
      </c>
      <c r="B129" s="3" t="str">
        <f>VLOOKUP(A129,'Production Plan'!B:R,14,FALSE)</f>
        <v>1. Fully met</v>
      </c>
    </row>
    <row r="130" spans="1:2" hidden="1">
      <c r="A130" t="str">
        <f>'Production Plan'!B130</f>
        <v>MK-117</v>
      </c>
      <c r="B130" s="3" t="str">
        <f>VLOOKUP(A130,'Production Plan'!B:R,14,FALSE)</f>
        <v>1. Fully met</v>
      </c>
    </row>
    <row r="131" spans="1:2" hidden="1">
      <c r="A131" t="str">
        <f>'Production Plan'!B131</f>
        <v>MK-118</v>
      </c>
      <c r="B131" s="3" t="str">
        <f>VLOOKUP(A131,'Production Plan'!B:R,14,FALSE)</f>
        <v>3. Not able to meet</v>
      </c>
    </row>
    <row r="132" spans="1:2" hidden="1">
      <c r="A132" t="str">
        <f>'Production Plan'!B132</f>
        <v>MK-119</v>
      </c>
      <c r="B132" s="3" t="str">
        <f>VLOOKUP(A132,'Production Plan'!B:R,14,FALSE)</f>
        <v>1. Fully met</v>
      </c>
    </row>
    <row r="133" spans="1:2" hidden="1">
      <c r="A133" t="str">
        <f>'Production Plan'!B133</f>
        <v>MK-120</v>
      </c>
      <c r="B133" s="3" t="str">
        <f>VLOOKUP(A133,'Production Plan'!B:R,14,FALSE)</f>
        <v>1. Fully met</v>
      </c>
    </row>
    <row r="134" spans="1:2" hidden="1">
      <c r="A134" t="str">
        <f>'Production Plan'!B134</f>
        <v>MK-121</v>
      </c>
      <c r="B134" s="3" t="str">
        <f>VLOOKUP(A134,'Production Plan'!B:R,14,FALSE)</f>
        <v>1. Fully met</v>
      </c>
    </row>
    <row r="135" spans="1:2" hidden="1">
      <c r="A135" t="str">
        <f>'Production Plan'!B135</f>
        <v>MK-122</v>
      </c>
      <c r="B135" s="3" t="str">
        <f>VLOOKUP(A135,'Production Plan'!B:R,14,FALSE)</f>
        <v>1. Fully met</v>
      </c>
    </row>
    <row r="136" spans="1:2" hidden="1">
      <c r="A136" t="str">
        <f>'Production Plan'!B136</f>
        <v>MK-123</v>
      </c>
      <c r="B136" s="3" t="str">
        <f>VLOOKUP(A136,'Production Plan'!B:R,14,FALSE)</f>
        <v>1. Fully met</v>
      </c>
    </row>
    <row r="137" spans="1:2" hidden="1">
      <c r="A137" t="str">
        <f>'Production Plan'!B137</f>
        <v>MK-124</v>
      </c>
      <c r="B137" s="3">
        <f>VLOOKUP(A137,'Production Plan'!B:R,14,FALSE)</f>
        <v>0</v>
      </c>
    </row>
    <row r="138" spans="1:2" hidden="1">
      <c r="A138" t="str">
        <f>'Production Plan'!B138</f>
        <v>K-9</v>
      </c>
      <c r="B138" s="3">
        <f>VLOOKUP(A138,'Production Plan'!B:R,14,FALSE)</f>
        <v>0</v>
      </c>
    </row>
    <row r="139" spans="1:2" hidden="1">
      <c r="A139" t="str">
        <f>'Production Plan'!B139</f>
        <v>K-10</v>
      </c>
      <c r="B139" s="3" t="str">
        <f>VLOOKUP(A139,'Production Plan'!B:R,14,FALSE)</f>
        <v>1. Fully met</v>
      </c>
    </row>
    <row r="140" spans="1:2" hidden="1">
      <c r="A140" t="str">
        <f>'Production Plan'!B140</f>
        <v>K-11</v>
      </c>
      <c r="B140" s="3" t="str">
        <f>VLOOKUP(A140,'Production Plan'!B:R,14,FALSE)</f>
        <v>1. Fully met</v>
      </c>
    </row>
    <row r="141" spans="1:2" hidden="1">
      <c r="A141" t="str">
        <f>'Production Plan'!B141</f>
        <v>K-12</v>
      </c>
      <c r="B141" s="3" t="str">
        <f>VLOOKUP(A141,'Production Plan'!B:R,14,FALSE)</f>
        <v>1. Fully met</v>
      </c>
    </row>
    <row r="142" spans="1:2" hidden="1">
      <c r="A142" t="str">
        <f>'Production Plan'!B142</f>
        <v>K-13</v>
      </c>
      <c r="B142" s="3" t="str">
        <f>VLOOKUP(A142,'Production Plan'!B:R,14,FALSE)</f>
        <v>1. Fully met</v>
      </c>
    </row>
    <row r="143" spans="1:2" hidden="1">
      <c r="A143" t="str">
        <f>'Production Plan'!B143</f>
        <v>K-14</v>
      </c>
      <c r="B143" s="3" t="str">
        <f>VLOOKUP(A143,'Production Plan'!B:R,14,FALSE)</f>
        <v>3. Not able to meet</v>
      </c>
    </row>
    <row r="144" spans="1:2" hidden="1">
      <c r="A144" t="str">
        <f>'Production Plan'!B144</f>
        <v>EK-5</v>
      </c>
      <c r="B144" s="3">
        <f>VLOOKUP(A144,'Production Plan'!B:R,14,FALSE)</f>
        <v>0</v>
      </c>
    </row>
    <row r="145" spans="1:2" hidden="1">
      <c r="A145" t="str">
        <f>'Production Plan'!B145</f>
        <v>EK-6</v>
      </c>
      <c r="B145" s="3">
        <f>VLOOKUP(A145,'Production Plan'!B:R,14,FALSE)</f>
        <v>0</v>
      </c>
    </row>
    <row r="146" spans="1:2" hidden="1">
      <c r="A146" t="str">
        <f>'Production Plan'!B146</f>
        <v>EK-7</v>
      </c>
      <c r="B146" s="3">
        <f>VLOOKUP(A146,'Production Plan'!B:R,14,FALSE)</f>
        <v>0</v>
      </c>
    </row>
    <row r="147" spans="1:2" hidden="1">
      <c r="A147" t="str">
        <f>'Production Plan'!B147</f>
        <v>EK-8</v>
      </c>
      <c r="B147" s="3">
        <f>VLOOKUP(A147,'Production Plan'!B:R,14,FALSE)</f>
        <v>0</v>
      </c>
    </row>
    <row r="148" spans="1:2" hidden="1">
      <c r="A148" t="str">
        <f>'Production Plan'!B148</f>
        <v>MK-125</v>
      </c>
      <c r="B148" s="3" t="str">
        <f>VLOOKUP(A148,'Production Plan'!B:R,14,FALSE)</f>
        <v>1. Fully met</v>
      </c>
    </row>
    <row r="149" spans="1:2" hidden="1">
      <c r="A149" t="str">
        <f>'Production Plan'!B149</f>
        <v>MK-126</v>
      </c>
      <c r="B149" s="3" t="str">
        <f>VLOOKUP(A149,'Production Plan'!B:R,14,FALSE)</f>
        <v>1. Fully met</v>
      </c>
    </row>
    <row r="150" spans="1:2" hidden="1">
      <c r="A150" t="str">
        <f>'Production Plan'!B150</f>
        <v>MK-127</v>
      </c>
      <c r="B150" s="3" t="str">
        <f>VLOOKUP(A150,'Production Plan'!B:R,14,FALSE)</f>
        <v>1. Fully met</v>
      </c>
    </row>
    <row r="151" spans="1:2" hidden="1">
      <c r="A151" t="str">
        <f>'Production Plan'!B151</f>
        <v>MK-128</v>
      </c>
      <c r="B151" s="3" t="str">
        <f>VLOOKUP(A151,'Production Plan'!B:R,14,FALSE)</f>
        <v>1. Fully met</v>
      </c>
    </row>
    <row r="152" spans="1:2" hidden="1">
      <c r="A152" t="str">
        <f>'Production Plan'!B152</f>
        <v>MK-129</v>
      </c>
      <c r="B152" s="3" t="str">
        <f>VLOOKUP(A152,'Production Plan'!B:R,14,FALSE)</f>
        <v>1. Fully met</v>
      </c>
    </row>
    <row r="153" spans="1:2" hidden="1">
      <c r="A153" t="str">
        <f>'Production Plan'!B153</f>
        <v>MK-130</v>
      </c>
      <c r="B153" s="3" t="str">
        <f>VLOOKUP(A153,'Production Plan'!B:R,14,FALSE)</f>
        <v>1. Fully met</v>
      </c>
    </row>
    <row r="154" spans="1:2" hidden="1">
      <c r="A154" t="str">
        <f>'Production Plan'!B154</f>
        <v>MK-131</v>
      </c>
      <c r="B154" s="3" t="str">
        <f>VLOOKUP(A154,'Production Plan'!B:R,14,FALSE)</f>
        <v>1. Fully met</v>
      </c>
    </row>
    <row r="155" spans="1:2" hidden="1">
      <c r="A155" t="str">
        <f>'Production Plan'!B155</f>
        <v>MK-132</v>
      </c>
      <c r="B155" s="3" t="str">
        <f>VLOOKUP(A155,'Production Plan'!B:R,14,FALSE)</f>
        <v>1. Fully met</v>
      </c>
    </row>
    <row r="156" spans="1:2" hidden="1">
      <c r="A156" t="str">
        <f>'Production Plan'!B156</f>
        <v>MK-133</v>
      </c>
      <c r="B156" s="3" t="str">
        <f>VLOOKUP(A156,'Production Plan'!B:R,14,FALSE)</f>
        <v>3. Not able to meet</v>
      </c>
    </row>
    <row r="157" spans="1:2" hidden="1">
      <c r="A157" t="str">
        <f>'Production Plan'!B157</f>
        <v>MK-134</v>
      </c>
      <c r="B157" s="3" t="str">
        <f>VLOOKUP(A157,'Production Plan'!B:R,14,FALSE)</f>
        <v>1. Fully met</v>
      </c>
    </row>
    <row r="158" spans="1:2" hidden="1">
      <c r="A158" t="str">
        <f>'Production Plan'!B158</f>
        <v>MK-135</v>
      </c>
      <c r="B158" s="3" t="str">
        <f>VLOOKUP(A158,'Production Plan'!B:R,14,FALSE)</f>
        <v>1. Fully met</v>
      </c>
    </row>
    <row r="159" spans="1:2" hidden="1">
      <c r="A159" t="str">
        <f>'Production Plan'!B159</f>
        <v>K-15</v>
      </c>
      <c r="B159" s="3" t="str">
        <f>VLOOKUP(A159,'Production Plan'!B:R,14,FALSE)</f>
        <v>1. Fully met</v>
      </c>
    </row>
    <row r="160" spans="1:2" hidden="1">
      <c r="A160" t="str">
        <f>'Production Plan'!B160</f>
        <v>EK-9</v>
      </c>
      <c r="B160" s="3">
        <f>VLOOKUP(A160,'Production Plan'!B:R,14,FALSE)</f>
        <v>0</v>
      </c>
    </row>
    <row r="161" spans="1:2" hidden="1">
      <c r="A161" t="str">
        <f>'Production Plan'!B161</f>
        <v>EK-10</v>
      </c>
      <c r="B161" s="3">
        <f>VLOOKUP(A161,'Production Plan'!B:R,14,FALSE)</f>
        <v>0</v>
      </c>
    </row>
    <row r="162" spans="1:2" hidden="1">
      <c r="A162" t="str">
        <f>'Production Plan'!B162</f>
        <v>MK-136</v>
      </c>
      <c r="B162" s="3" t="str">
        <f>VLOOKUP(A162,'Production Plan'!B:R,14,FALSE)</f>
        <v>1. Fully met</v>
      </c>
    </row>
    <row r="163" spans="1:2" hidden="1">
      <c r="A163" t="str">
        <f>'Production Plan'!B163</f>
        <v>MK-137</v>
      </c>
      <c r="B163" s="3" t="str">
        <f>VLOOKUP(A163,'Production Plan'!B:R,14,FALSE)</f>
        <v>1. Fully met</v>
      </c>
    </row>
    <row r="164" spans="1:2" hidden="1">
      <c r="A164" t="str">
        <f>'Production Plan'!B164</f>
        <v>MK-138</v>
      </c>
      <c r="B164" s="3" t="str">
        <f>VLOOKUP(A164,'Production Plan'!B:R,14,FALSE)</f>
        <v>1. Fully met</v>
      </c>
    </row>
    <row r="165" spans="1:2" hidden="1">
      <c r="A165" t="str">
        <f>'Production Plan'!B165</f>
        <v>MK-139</v>
      </c>
      <c r="B165" s="3" t="str">
        <f>VLOOKUP(A165,'Production Plan'!B:R,14,FALSE)</f>
        <v>1. Fully met</v>
      </c>
    </row>
    <row r="166" spans="1:2" hidden="1">
      <c r="A166" t="str">
        <f>'Production Plan'!B166</f>
        <v>MK-140</v>
      </c>
      <c r="B166" s="3" t="str">
        <f>VLOOKUP(A166,'Production Plan'!B:R,14,FALSE)</f>
        <v>1. Fully met</v>
      </c>
    </row>
    <row r="167" spans="1:2" hidden="1">
      <c r="A167" t="str">
        <f>'Production Plan'!B167</f>
        <v>MK-141</v>
      </c>
      <c r="B167" s="3" t="str">
        <f>VLOOKUP(A167,'Production Plan'!B:R,14,FALSE)</f>
        <v>1. Fully met</v>
      </c>
    </row>
    <row r="168" spans="1:2" hidden="1">
      <c r="A168" t="str">
        <f>'Production Plan'!B168</f>
        <v>MK-142</v>
      </c>
      <c r="B168" s="3" t="str">
        <f>VLOOKUP(A168,'Production Plan'!B:R,14,FALSE)</f>
        <v>1. Fully met</v>
      </c>
    </row>
    <row r="169" spans="1:2" hidden="1">
      <c r="A169" t="str">
        <f>'Production Plan'!B169</f>
        <v>K-16</v>
      </c>
      <c r="B169" s="3" t="str">
        <f>VLOOKUP(A169,'Production Plan'!B:R,14,FALSE)</f>
        <v>3. Not able to meet</v>
      </c>
    </row>
    <row r="170" spans="1:2" hidden="1">
      <c r="A170" t="str">
        <f>'Production Plan'!B170</f>
        <v>MK-143</v>
      </c>
      <c r="B170" s="3" t="str">
        <f>VLOOKUP(A170,'Production Plan'!B:R,14,FALSE)</f>
        <v>1. Fully met</v>
      </c>
    </row>
    <row r="171" spans="1:2" hidden="1">
      <c r="A171" t="str">
        <f>'Production Plan'!B171</f>
        <v>MK-144</v>
      </c>
      <c r="B171" s="3" t="str">
        <f>VLOOKUP(A171,'Production Plan'!B:R,14,FALSE)</f>
        <v>1. Fully met</v>
      </c>
    </row>
    <row r="172" spans="1:2" hidden="1">
      <c r="A172" t="str">
        <f>'Production Plan'!B172</f>
        <v>MK-145</v>
      </c>
      <c r="B172" s="3" t="str">
        <f>VLOOKUP(A172,'Production Plan'!B:R,14,FALSE)</f>
        <v>2. Partly met</v>
      </c>
    </row>
    <row r="173" spans="1:2" hidden="1">
      <c r="A173" t="str">
        <f>'Production Plan'!B173</f>
        <v>MK-146</v>
      </c>
      <c r="B173" s="3" t="str">
        <f>VLOOKUP(A173,'Production Plan'!B:R,14,FALSE)</f>
        <v>1. Fully met</v>
      </c>
    </row>
    <row r="174" spans="1:2" hidden="1">
      <c r="A174" t="str">
        <f>'Production Plan'!B174</f>
        <v>MK-147</v>
      </c>
      <c r="B174" s="3" t="str">
        <f>VLOOKUP(A174,'Production Plan'!B:R,14,FALSE)</f>
        <v>1. Fully met</v>
      </c>
    </row>
    <row r="175" spans="1:2" hidden="1">
      <c r="A175" t="str">
        <f>'Production Plan'!B175</f>
        <v>MK-148</v>
      </c>
      <c r="B175" s="3" t="str">
        <f>VLOOKUP(A175,'Production Plan'!B:R,14,FALSE)</f>
        <v>1. Fully met</v>
      </c>
    </row>
    <row r="176" spans="1:2" hidden="1">
      <c r="A176" t="str">
        <f>'Production Plan'!B176</f>
        <v>K-17</v>
      </c>
      <c r="B176" s="3" t="str">
        <f>VLOOKUP(A176,'Production Plan'!B:R,14,FALSE)</f>
        <v>3. Not able to meet</v>
      </c>
    </row>
    <row r="177" spans="1:2" hidden="1">
      <c r="A177" t="str">
        <f>'Production Plan'!B177</f>
        <v>EK-11</v>
      </c>
      <c r="B177" s="3">
        <f>VLOOKUP(A177,'Production Plan'!B:R,14,FALSE)</f>
        <v>0</v>
      </c>
    </row>
    <row r="178" spans="1:2" hidden="1">
      <c r="A178" t="str">
        <f>'Production Plan'!B178</f>
        <v>MK-149</v>
      </c>
      <c r="B178" s="3" t="str">
        <f>VLOOKUP(A178,'Production Plan'!B:R,14,FALSE)</f>
        <v>1. Fully met</v>
      </c>
    </row>
    <row r="179" spans="1:2" hidden="1">
      <c r="A179" t="str">
        <f>'Production Plan'!B179</f>
        <v>MK-150</v>
      </c>
      <c r="B179" s="3" t="str">
        <f>VLOOKUP(A179,'Production Plan'!B:R,14,FALSE)</f>
        <v>2. Partly met</v>
      </c>
    </row>
    <row r="180" spans="1:2" hidden="1">
      <c r="A180" t="str">
        <f>'Production Plan'!B180</f>
        <v>MK-151</v>
      </c>
      <c r="B180" s="3" t="str">
        <f>VLOOKUP(A180,'Production Plan'!B:R,14,FALSE)</f>
        <v>1. Fully met</v>
      </c>
    </row>
    <row r="181" spans="1:2" hidden="1">
      <c r="A181" t="str">
        <f>'Production Plan'!B181</f>
        <v>MK-152</v>
      </c>
      <c r="B181" s="3" t="str">
        <f>VLOOKUP(A181,'Production Plan'!B:R,14,FALSE)</f>
        <v>1. Fully met</v>
      </c>
    </row>
    <row r="182" spans="1:2" hidden="1">
      <c r="A182" t="str">
        <f>'Production Plan'!B182</f>
        <v>MK-153</v>
      </c>
      <c r="B182" s="3" t="str">
        <f>VLOOKUP(A182,'Production Plan'!B:R,14,FALSE)</f>
        <v>1. Fully met</v>
      </c>
    </row>
    <row r="183" spans="1:2" hidden="1">
      <c r="A183" t="str">
        <f>'Production Plan'!B183</f>
        <v>MK-154</v>
      </c>
      <c r="B183" s="3" t="str">
        <f>VLOOKUP(A183,'Production Plan'!B:R,14,FALSE)</f>
        <v>1. Fully met</v>
      </c>
    </row>
    <row r="184" spans="1:2" hidden="1">
      <c r="A184" t="str">
        <f>'Production Plan'!B184</f>
        <v>MK-155</v>
      </c>
      <c r="B184" s="3" t="str">
        <f>VLOOKUP(A184,'Production Plan'!B:R,14,FALSE)</f>
        <v>1. Fully met</v>
      </c>
    </row>
    <row r="185" spans="1:2" hidden="1">
      <c r="A185" t="str">
        <f>'Production Plan'!B185</f>
        <v>MK-156</v>
      </c>
      <c r="B185" s="3" t="str">
        <f>VLOOKUP(A185,'Production Plan'!B:R,14,FALSE)</f>
        <v>1. Fully met</v>
      </c>
    </row>
    <row r="186" spans="1:2" hidden="1">
      <c r="A186" t="str">
        <f>'Production Plan'!B186</f>
        <v>MK-157</v>
      </c>
      <c r="B186" s="3" t="str">
        <f>VLOOKUP(A186,'Production Plan'!B:R,14,FALSE)</f>
        <v>2. Partly met</v>
      </c>
    </row>
    <row r="187" spans="1:2" hidden="1">
      <c r="A187" t="str">
        <f>'Production Plan'!B187</f>
        <v>MK-158</v>
      </c>
      <c r="B187" s="3" t="str">
        <f>VLOOKUP(A187,'Production Plan'!B:R,14,FALSE)</f>
        <v>1. Fully met</v>
      </c>
    </row>
    <row r="188" spans="1:2" hidden="1">
      <c r="A188" t="str">
        <f>'Production Plan'!B188</f>
        <v>MK-159</v>
      </c>
      <c r="B188" s="3" t="str">
        <f>VLOOKUP(A188,'Production Plan'!B:R,14,FALSE)</f>
        <v>1. Fully met</v>
      </c>
    </row>
    <row r="189" spans="1:2" hidden="1">
      <c r="A189" t="str">
        <f>'Production Plan'!B189</f>
        <v>MK-160</v>
      </c>
      <c r="B189" s="3" t="str">
        <f>VLOOKUP(A189,'Production Plan'!B:R,14,FALSE)</f>
        <v>1. Fully met</v>
      </c>
    </row>
    <row r="190" spans="1:2" hidden="1">
      <c r="A190" t="str">
        <f>'Production Plan'!B190</f>
        <v>MK-161</v>
      </c>
      <c r="B190" s="3" t="str">
        <f>VLOOKUP(A190,'Production Plan'!B:R,14,FALSE)</f>
        <v>1. Fully met</v>
      </c>
    </row>
    <row r="191" spans="1:2" hidden="1">
      <c r="A191" t="str">
        <f>'Production Plan'!B191</f>
        <v>EK-12</v>
      </c>
      <c r="B191" s="3">
        <f>VLOOKUP(A191,'Production Plan'!B:R,14,FALSE)</f>
        <v>0</v>
      </c>
    </row>
    <row r="192" spans="1:2" hidden="1">
      <c r="A192" t="str">
        <f>'Production Plan'!B192</f>
        <v>MK-162</v>
      </c>
      <c r="B192" s="3" t="str">
        <f>VLOOKUP(A192,'Production Plan'!B:R,14,FALSE)</f>
        <v>1. Fully met</v>
      </c>
    </row>
    <row r="193" spans="1:2" hidden="1">
      <c r="A193" t="str">
        <f>'Production Plan'!B193</f>
        <v>MK-163</v>
      </c>
      <c r="B193" s="3" t="str">
        <f>VLOOKUP(A193,'Production Plan'!B:R,14,FALSE)</f>
        <v>1. Fully met</v>
      </c>
    </row>
    <row r="194" spans="1:2" hidden="1">
      <c r="A194" t="str">
        <f>'Production Plan'!B194</f>
        <v>MK-164</v>
      </c>
      <c r="B194" s="3" t="str">
        <f>VLOOKUP(A194,'Production Plan'!B:R,14,FALSE)</f>
        <v>1. Fully met</v>
      </c>
    </row>
    <row r="195" spans="1:2" hidden="1">
      <c r="A195" t="str">
        <f>'Production Plan'!B195</f>
        <v>MK-165</v>
      </c>
      <c r="B195" s="3" t="str">
        <f>VLOOKUP(A195,'Production Plan'!B:R,14,FALSE)</f>
        <v>2. Partly met</v>
      </c>
    </row>
    <row r="196" spans="1:2" hidden="1">
      <c r="A196" t="str">
        <f>'Production Plan'!B196</f>
        <v>MK-166</v>
      </c>
      <c r="B196" s="3" t="str">
        <f>VLOOKUP(A196,'Production Plan'!B:R,14,FALSE)</f>
        <v>1. Fully met</v>
      </c>
    </row>
    <row r="197" spans="1:2" hidden="1">
      <c r="A197" t="str">
        <f>'Production Plan'!B197</f>
        <v>MK-167</v>
      </c>
      <c r="B197" s="3" t="str">
        <f>VLOOKUP(A197,'Production Plan'!B:R,14,FALSE)</f>
        <v>2. Partly met</v>
      </c>
    </row>
    <row r="198" spans="1:2" hidden="1">
      <c r="A198" t="str">
        <f>'Production Plan'!B198</f>
        <v>MK-168</v>
      </c>
      <c r="B198" s="3" t="str">
        <f>VLOOKUP(A198,'Production Plan'!B:R,14,FALSE)</f>
        <v>1. Fully met</v>
      </c>
    </row>
    <row r="199" spans="1:2" hidden="1">
      <c r="A199" t="str">
        <f>'Production Plan'!B199</f>
        <v>MK-169</v>
      </c>
      <c r="B199" s="3" t="str">
        <f>VLOOKUP(A199,'Production Plan'!B:R,14,FALSE)</f>
        <v>3. Not able to meet</v>
      </c>
    </row>
    <row r="200" spans="1:2" hidden="1">
      <c r="A200" t="str">
        <f>'Production Plan'!B200</f>
        <v>K-18</v>
      </c>
      <c r="B200" s="3" t="str">
        <f>VLOOKUP(A200,'Production Plan'!B:R,14,FALSE)</f>
        <v>3. Not able to meet</v>
      </c>
    </row>
    <row r="201" spans="1:2" hidden="1">
      <c r="A201" t="str">
        <f>'Production Plan'!B201</f>
        <v>MK-170</v>
      </c>
      <c r="B201" s="3" t="str">
        <f>VLOOKUP(A201,'Production Plan'!B:R,14,FALSE)</f>
        <v>1. Fully met</v>
      </c>
    </row>
    <row r="202" spans="1:2" hidden="1">
      <c r="A202" t="str">
        <f>'Production Plan'!B202</f>
        <v>MK-171</v>
      </c>
      <c r="B202" s="3" t="str">
        <f>VLOOKUP(A202,'Production Plan'!B:R,14,FALSE)</f>
        <v>1. Fully met</v>
      </c>
    </row>
    <row r="203" spans="1:2" hidden="1">
      <c r="A203" t="str">
        <f>'Production Plan'!B203</f>
        <v>MK-172</v>
      </c>
      <c r="B203" s="3" t="str">
        <f>VLOOKUP(A203,'Production Plan'!B:R,14,FALSE)</f>
        <v>1. Fully met</v>
      </c>
    </row>
    <row r="204" spans="1:2" hidden="1">
      <c r="A204" t="str">
        <f>'Production Plan'!B204</f>
        <v>MK-173</v>
      </c>
      <c r="B204" s="3" t="str">
        <f>VLOOKUP(A204,'Production Plan'!B:R,14,FALSE)</f>
        <v>1. Fully met</v>
      </c>
    </row>
    <row r="205" spans="1:2" hidden="1">
      <c r="A205" t="str">
        <f>'Production Plan'!B205</f>
        <v>MK-174</v>
      </c>
      <c r="B205" s="3" t="str">
        <f>VLOOKUP(A205,'Production Plan'!B:R,14,FALSE)</f>
        <v>2. Partly met</v>
      </c>
    </row>
    <row r="206" spans="1:2" hidden="1">
      <c r="A206" t="str">
        <f>'Production Plan'!B206</f>
        <v>MK-175</v>
      </c>
      <c r="B206" s="3" t="str">
        <f>VLOOKUP(A206,'Production Plan'!B:R,14,FALSE)</f>
        <v>3. Not able to meet</v>
      </c>
    </row>
    <row r="207" spans="1:2" hidden="1">
      <c r="A207" t="str">
        <f>'Production Plan'!B207</f>
        <v>MK-176</v>
      </c>
      <c r="B207" s="3">
        <f>VLOOKUP(A207,'Production Plan'!B:R,14,FALSE)</f>
        <v>0</v>
      </c>
    </row>
    <row r="208" spans="1:2" hidden="1">
      <c r="A208" t="str">
        <f>'Production Plan'!B208</f>
        <v>MK-177</v>
      </c>
      <c r="B208" s="3">
        <f>VLOOKUP(A208,'Production Plan'!B:R,14,FALSE)</f>
        <v>0</v>
      </c>
    </row>
    <row r="209" spans="1:2" hidden="1">
      <c r="A209" t="str">
        <f>'Production Plan'!B209</f>
        <v>MK-178</v>
      </c>
      <c r="B209" s="3">
        <f>VLOOKUP(A209,'Production Plan'!B:R,14,FALSE)</f>
        <v>0</v>
      </c>
    </row>
    <row r="210" spans="1:2" hidden="1">
      <c r="A210" t="str">
        <f>'Production Plan'!B210</f>
        <v>MK-179</v>
      </c>
      <c r="B210" s="3" t="str">
        <f>VLOOKUP(A210,'Production Plan'!B:R,14,FALSE)</f>
        <v>1. Fully met</v>
      </c>
    </row>
    <row r="211" spans="1:2" hidden="1">
      <c r="A211" t="str">
        <f>'Production Plan'!B211</f>
        <v>MK-180</v>
      </c>
      <c r="B211" s="3" t="str">
        <f>VLOOKUP(A211,'Production Plan'!B:R,14,FALSE)</f>
        <v>1. Fully met</v>
      </c>
    </row>
    <row r="212" spans="1:2" hidden="1">
      <c r="A212" t="str">
        <f>'Production Plan'!B212</f>
        <v>MK-181</v>
      </c>
      <c r="B212" s="3" t="str">
        <f>VLOOKUP(A212,'Production Plan'!B:R,14,FALSE)</f>
        <v>1. Fully met</v>
      </c>
    </row>
    <row r="213" spans="1:2" hidden="1">
      <c r="A213" t="str">
        <f>'Production Plan'!B213</f>
        <v>MK-182</v>
      </c>
      <c r="B213" s="3" t="str">
        <f>VLOOKUP(A213,'Production Plan'!B:R,14,FALSE)</f>
        <v>1. Fully met</v>
      </c>
    </row>
    <row r="214" spans="1:2" hidden="1">
      <c r="A214" t="str">
        <f>'Production Plan'!B214</f>
        <v>MK-183</v>
      </c>
      <c r="B214" s="3" t="str">
        <f>VLOOKUP(A214,'Production Plan'!B:R,14,FALSE)</f>
        <v>1. Fully met</v>
      </c>
    </row>
    <row r="215" spans="1:2" hidden="1">
      <c r="A215" t="str">
        <f>'Production Plan'!B215</f>
        <v>MK-184</v>
      </c>
      <c r="B215" s="3" t="str">
        <f>VLOOKUP(A215,'Production Plan'!B:R,14,FALSE)</f>
        <v>1. Fully met</v>
      </c>
    </row>
    <row r="216" spans="1:2" hidden="1">
      <c r="A216" t="str">
        <f>'Production Plan'!B216</f>
        <v>MK-185</v>
      </c>
      <c r="B216" s="3" t="str">
        <f>VLOOKUP(A216,'Production Plan'!B:R,14,FALSE)</f>
        <v>1. Fully met</v>
      </c>
    </row>
    <row r="217" spans="1:2" hidden="1">
      <c r="A217" t="str">
        <f>'Production Plan'!B217</f>
        <v>MK-186</v>
      </c>
      <c r="B217" s="3" t="str">
        <f>VLOOKUP(A217,'Production Plan'!B:R,14,FALSE)</f>
        <v>1. Fully met</v>
      </c>
    </row>
    <row r="218" spans="1:2" hidden="1">
      <c r="A218" t="str">
        <f>'Production Plan'!B218</f>
        <v>MK-187</v>
      </c>
      <c r="B218" s="3" t="str">
        <f>VLOOKUP(A218,'Production Plan'!B:R,14,FALSE)</f>
        <v>1. Fully met</v>
      </c>
    </row>
    <row r="219" spans="1:2" hidden="1">
      <c r="A219" t="str">
        <f>'Production Plan'!B219</f>
        <v>MK-188</v>
      </c>
      <c r="B219" s="3" t="str">
        <f>VLOOKUP(A219,'Production Plan'!B:R,14,FALSE)</f>
        <v>1. Fully met</v>
      </c>
    </row>
    <row r="220" spans="1:2" hidden="1">
      <c r="A220" t="str">
        <f>'Production Plan'!B220</f>
        <v>MK-189</v>
      </c>
      <c r="B220" s="3">
        <f>VLOOKUP(A220,'Production Plan'!B:R,14,FALSE)</f>
        <v>0</v>
      </c>
    </row>
    <row r="221" spans="1:2" hidden="1">
      <c r="A221" t="str">
        <f>'Production Plan'!B221</f>
        <v>MK-190</v>
      </c>
      <c r="B221" s="3" t="str">
        <f>VLOOKUP(A221,'Production Plan'!B:R,14,FALSE)</f>
        <v>1. Fully met</v>
      </c>
    </row>
    <row r="222" spans="1:2" hidden="1">
      <c r="A222" t="str">
        <f>'Production Plan'!B222</f>
        <v>MK-1</v>
      </c>
      <c r="B222" s="3" t="str">
        <f>VLOOKUP(A222,'Production Plan'!B:R,14,FALSE)</f>
        <v>1. Fully met</v>
      </c>
    </row>
    <row r="223" spans="1:2" hidden="1">
      <c r="A223" t="str">
        <f>'Production Plan'!B223</f>
        <v>MK-2</v>
      </c>
      <c r="B223" s="3" t="str">
        <f>VLOOKUP(A223,'Production Plan'!B:R,14,FALSE)</f>
        <v>1. Fully met</v>
      </c>
    </row>
    <row r="224" spans="1:2" hidden="1">
      <c r="A224" t="str">
        <f>'Production Plan'!B224</f>
        <v>MK-3</v>
      </c>
      <c r="B224" s="3" t="str">
        <f>VLOOKUP(A224,'Production Plan'!B:R,14,FALSE)</f>
        <v>1. Fully met</v>
      </c>
    </row>
    <row r="225" spans="1:2" hidden="1">
      <c r="A225" t="str">
        <f>'Production Plan'!B225</f>
        <v>MK-4</v>
      </c>
      <c r="B225" s="3" t="str">
        <f>VLOOKUP(A225,'Production Plan'!B:R,14,FALSE)</f>
        <v>1. Fully met</v>
      </c>
    </row>
    <row r="226" spans="1:2" hidden="1">
      <c r="A226" t="str">
        <f>'Production Plan'!B226</f>
        <v>MK-5</v>
      </c>
      <c r="B226" s="3" t="str">
        <f>VLOOKUP(A226,'Production Plan'!B:R,14,FALSE)</f>
        <v>1. Fully met</v>
      </c>
    </row>
    <row r="227" spans="1:2" hidden="1">
      <c r="A227" t="str">
        <f>'Production Plan'!B227</f>
        <v>MK-6</v>
      </c>
      <c r="B227" s="3" t="str">
        <f>VLOOKUP(A227,'Production Plan'!B:R,14,FALSE)</f>
        <v>3. Not able to meet</v>
      </c>
    </row>
    <row r="228" spans="1:2" hidden="1">
      <c r="A228" t="str">
        <f>'Production Plan'!B228</f>
        <v>K-1</v>
      </c>
      <c r="B228" s="3" t="str">
        <f>VLOOKUP(A228,'Production Plan'!B:R,14,FALSE)</f>
        <v>1. Fully met</v>
      </c>
    </row>
    <row r="229" spans="1:2" hidden="1">
      <c r="A229" t="str">
        <f>'Production Plan'!B229</f>
        <v>K-2</v>
      </c>
      <c r="B229" s="3" t="str">
        <f>VLOOKUP(A229,'Production Plan'!B:R,14,FALSE)</f>
        <v>1. Fully met</v>
      </c>
    </row>
    <row r="230" spans="1:2" hidden="1">
      <c r="A230" t="str">
        <f>'Production Plan'!B230</f>
        <v>K-3</v>
      </c>
      <c r="B230" s="3" t="str">
        <f>VLOOKUP(A230,'Production Plan'!B:R,14,FALSE)</f>
        <v>1. Fully met</v>
      </c>
    </row>
    <row r="231" spans="1:2" hidden="1">
      <c r="A231" t="str">
        <f>'Production Plan'!B231</f>
        <v>K-4</v>
      </c>
      <c r="B231" s="3" t="str">
        <f>VLOOKUP(A231,'Production Plan'!B:R,14,FALSE)</f>
        <v>1. Fully met</v>
      </c>
    </row>
    <row r="232" spans="1:2" hidden="1">
      <c r="A232" t="str">
        <f>'Production Plan'!B232</f>
        <v>K-5</v>
      </c>
      <c r="B232" s="3" t="str">
        <f>VLOOKUP(A232,'Production Plan'!B:R,14,FALSE)</f>
        <v>1. Fully met</v>
      </c>
    </row>
    <row r="233" spans="1:2" hidden="1">
      <c r="A233" t="str">
        <f>'Production Plan'!B233</f>
        <v>MK-7</v>
      </c>
      <c r="B233" s="3" t="str">
        <f>VLOOKUP(A233,'Production Plan'!B:R,14,FALSE)</f>
        <v>1. Fully met</v>
      </c>
    </row>
    <row r="234" spans="1:2" hidden="1">
      <c r="A234" t="str">
        <f>'Production Plan'!B234</f>
        <v>MK-8</v>
      </c>
      <c r="B234" s="3" t="str">
        <f>VLOOKUP(A234,'Production Plan'!B:R,14,FALSE)</f>
        <v>1. Fully met</v>
      </c>
    </row>
    <row r="235" spans="1:2" hidden="1">
      <c r="A235" t="str">
        <f>'Production Plan'!B235</f>
        <v>MK-9</v>
      </c>
      <c r="B235" s="3" t="str">
        <f>VLOOKUP(A235,'Production Plan'!B:R,14,FALSE)</f>
        <v>1. Fully met</v>
      </c>
    </row>
    <row r="236" spans="1:2" hidden="1">
      <c r="A236" t="str">
        <f>'Production Plan'!B236</f>
        <v>MK-10</v>
      </c>
      <c r="B236" s="3" t="str">
        <f>VLOOKUP(A236,'Production Plan'!B:R,14,FALSE)</f>
        <v>1. Fully met</v>
      </c>
    </row>
    <row r="237" spans="1:2" hidden="1">
      <c r="A237" t="str">
        <f>'Production Plan'!B237</f>
        <v>MK-11</v>
      </c>
      <c r="B237" s="3" t="str">
        <f>VLOOKUP(A237,'Production Plan'!B:R,14,FALSE)</f>
        <v>1. Fully met</v>
      </c>
    </row>
    <row r="238" spans="1:2" hidden="1">
      <c r="A238" t="str">
        <f>'Production Plan'!B238</f>
        <v>MK-12</v>
      </c>
      <c r="B238" s="3" t="str">
        <f>VLOOKUP(A238,'Production Plan'!B:R,14,FALSE)</f>
        <v>1. Fully met</v>
      </c>
    </row>
    <row r="239" spans="1:2" hidden="1">
      <c r="A239" t="str">
        <f>'Production Plan'!B239</f>
        <v>MK-13</v>
      </c>
      <c r="B239" s="3" t="str">
        <f>VLOOKUP(A239,'Production Plan'!B:R,14,FALSE)</f>
        <v>1. Fully met</v>
      </c>
    </row>
    <row r="240" spans="1:2" hidden="1">
      <c r="A240" t="str">
        <f>'Production Plan'!B240</f>
        <v>MK-14</v>
      </c>
      <c r="B240" s="3" t="str">
        <f>VLOOKUP(A240,'Production Plan'!B:R,14,FALSE)</f>
        <v>1. Fully met</v>
      </c>
    </row>
    <row r="241" spans="1:2" hidden="1">
      <c r="A241" t="str">
        <f>'Production Plan'!B241</f>
        <v>MK-15</v>
      </c>
      <c r="B241" s="3" t="str">
        <f>VLOOKUP(A241,'Production Plan'!B:R,14,FALSE)</f>
        <v>1. Fully met</v>
      </c>
    </row>
    <row r="242" spans="1:2" hidden="1">
      <c r="A242" t="str">
        <f>'Production Plan'!B242</f>
        <v>MK-16</v>
      </c>
      <c r="B242" s="3" t="str">
        <f>VLOOKUP(A242,'Production Plan'!B:R,14,FALSE)</f>
        <v>1. Fully met</v>
      </c>
    </row>
    <row r="243" spans="1:2" hidden="1">
      <c r="A243" t="str">
        <f>'Production Plan'!B243</f>
        <v>K-6</v>
      </c>
      <c r="B243" s="3" t="str">
        <f>VLOOKUP(A243,'Production Plan'!B:R,14,FALSE)</f>
        <v>2. Partly met</v>
      </c>
    </row>
    <row r="244" spans="1:2" hidden="1">
      <c r="A244" t="str">
        <f>'Production Plan'!B244</f>
        <v>K-7</v>
      </c>
      <c r="B244" s="3" t="str">
        <f>VLOOKUP(A244,'Production Plan'!B:R,14,FALSE)</f>
        <v>1. Fully met</v>
      </c>
    </row>
    <row r="245" spans="1:2" hidden="1">
      <c r="A245" t="str">
        <f>'Production Plan'!B245</f>
        <v>K-8</v>
      </c>
      <c r="B245" s="3" t="str">
        <f>VLOOKUP(A245,'Production Plan'!B:R,14,FALSE)</f>
        <v>1. Fully met</v>
      </c>
    </row>
    <row r="246" spans="1:2" hidden="1">
      <c r="A246" t="str">
        <f>'Production Plan'!B246</f>
        <v>MK-17</v>
      </c>
      <c r="B246" s="3" t="str">
        <f>VLOOKUP(A246,'Production Plan'!B:R,14,FALSE)</f>
        <v>1. Fully met</v>
      </c>
    </row>
    <row r="247" spans="1:2" hidden="1">
      <c r="A247" t="str">
        <f>'Production Plan'!B247</f>
        <v>MK-18</v>
      </c>
      <c r="B247" s="3" t="str">
        <f>VLOOKUP(A247,'Production Plan'!B:R,14,FALSE)</f>
        <v>1. Fully met</v>
      </c>
    </row>
    <row r="248" spans="1:2" hidden="1">
      <c r="A248" t="str">
        <f>'Production Plan'!B248</f>
        <v>MK-19</v>
      </c>
      <c r="B248" s="3" t="str">
        <f>VLOOKUP(A248,'Production Plan'!B:R,14,FALSE)</f>
        <v>1. Fully met</v>
      </c>
    </row>
    <row r="249" spans="1:2" hidden="1">
      <c r="A249" t="str">
        <f>'Production Plan'!B249</f>
        <v>MK-20</v>
      </c>
      <c r="B249" s="3" t="str">
        <f>VLOOKUP(A249,'Production Plan'!B:R,14,FALSE)</f>
        <v>1. Fully met</v>
      </c>
    </row>
    <row r="250" spans="1:2" hidden="1">
      <c r="A250" t="str">
        <f>'Production Plan'!B250</f>
        <v>MK-21</v>
      </c>
      <c r="B250" s="3" t="str">
        <f>VLOOKUP(A250,'Production Plan'!B:R,14,FALSE)</f>
        <v>1. Fully met</v>
      </c>
    </row>
    <row r="251" spans="1:2" hidden="1">
      <c r="A251" t="str">
        <f>'Production Plan'!B251</f>
        <v>MK-22</v>
      </c>
      <c r="B251" s="3" t="str">
        <f>VLOOKUP(A251,'Production Plan'!B:R,14,FALSE)</f>
        <v>1. Fully met</v>
      </c>
    </row>
    <row r="252" spans="1:2" hidden="1">
      <c r="A252" t="str">
        <f>'Production Plan'!B252</f>
        <v>MK-23</v>
      </c>
      <c r="B252" s="3" t="str">
        <f>VLOOKUP(A252,'Production Plan'!B:R,14,FALSE)</f>
        <v>1. Fully met</v>
      </c>
    </row>
    <row r="253" spans="1:2" hidden="1">
      <c r="A253" t="str">
        <f>'Production Plan'!B253</f>
        <v>MK-24</v>
      </c>
      <c r="B253" s="3" t="str">
        <f>VLOOKUP(A253,'Production Plan'!B:R,14,FALSE)</f>
        <v>1. Fully met</v>
      </c>
    </row>
    <row r="254" spans="1:2" hidden="1">
      <c r="A254" t="str">
        <f>'Production Plan'!B254</f>
        <v>K-9</v>
      </c>
      <c r="B254" s="3">
        <f>VLOOKUP(A254,'Production Plan'!B:R,14,FALSE)</f>
        <v>0</v>
      </c>
    </row>
    <row r="255" spans="1:2" hidden="1">
      <c r="A255" t="str">
        <f>'Production Plan'!B255</f>
        <v>MK-25</v>
      </c>
      <c r="B255" s="3" t="str">
        <f>VLOOKUP(A255,'Production Plan'!B:R,14,FALSE)</f>
        <v>1. Fully met</v>
      </c>
    </row>
    <row r="256" spans="1:2" hidden="1">
      <c r="A256" t="str">
        <f>'Production Plan'!B256</f>
        <v>MK-26</v>
      </c>
      <c r="B256" s="3" t="str">
        <f>VLOOKUP(A256,'Production Plan'!B:R,14,FALSE)</f>
        <v>1. Fully met</v>
      </c>
    </row>
    <row r="257" spans="1:2" hidden="1">
      <c r="A257" t="str">
        <f>'Production Plan'!B257</f>
        <v>MK-27</v>
      </c>
      <c r="B257" s="3" t="str">
        <f>VLOOKUP(A257,'Production Plan'!B:R,14,FALSE)</f>
        <v>1. Fully met</v>
      </c>
    </row>
    <row r="258" spans="1:2" hidden="1">
      <c r="A258" t="str">
        <f>'Production Plan'!B258</f>
        <v>K-10</v>
      </c>
      <c r="B258" s="3" t="str">
        <f>VLOOKUP(A258,'Production Plan'!B:R,14,FALSE)</f>
        <v>1. Fully met</v>
      </c>
    </row>
    <row r="259" spans="1:2" hidden="1">
      <c r="A259" t="str">
        <f>'Production Plan'!B259</f>
        <v>K-11</v>
      </c>
      <c r="B259" s="3" t="str">
        <f>VLOOKUP(A259,'Production Plan'!B:R,14,FALSE)</f>
        <v>1. Fully met</v>
      </c>
    </row>
    <row r="260" spans="1:2" hidden="1">
      <c r="A260" t="str">
        <f>'Production Plan'!B260</f>
        <v>K-12</v>
      </c>
      <c r="B260" s="3" t="str">
        <f>VLOOKUP(A260,'Production Plan'!B:R,14,FALSE)</f>
        <v>1. Fully met</v>
      </c>
    </row>
    <row r="261" spans="1:2" hidden="1">
      <c r="A261" t="str">
        <f>'Production Plan'!B261</f>
        <v>K-13</v>
      </c>
      <c r="B261" s="3" t="str">
        <f>VLOOKUP(A261,'Production Plan'!B:R,14,FALSE)</f>
        <v>1. Fully met</v>
      </c>
    </row>
    <row r="262" spans="1:2" hidden="1">
      <c r="A262" t="str">
        <f>'Production Plan'!B262</f>
        <v>K-14</v>
      </c>
      <c r="B262" s="3" t="str">
        <f>VLOOKUP(A262,'Production Plan'!B:R,14,FALSE)</f>
        <v>3. Not able to meet</v>
      </c>
    </row>
    <row r="263" spans="1:2" hidden="1">
      <c r="A263" t="str">
        <f>'Production Plan'!B263</f>
        <v>K-15</v>
      </c>
      <c r="B263" s="3" t="str">
        <f>VLOOKUP(A263,'Production Plan'!B:R,14,FALSE)</f>
        <v>1. Fully met</v>
      </c>
    </row>
    <row r="264" spans="1:2" hidden="1">
      <c r="A264" t="str">
        <f>'Production Plan'!B264</f>
        <v>Tilbudsbrev</v>
      </c>
      <c r="B264" s="3">
        <f>VLOOKUP(A264,'Production Plan'!B:R,14,FALSE)</f>
        <v>0</v>
      </c>
    </row>
    <row r="265" spans="1:2" hidden="1">
      <c r="A265" t="str">
        <f>'Production Plan'!B265</f>
        <v>Bilag 2 Producentens standardvilkår</v>
      </c>
      <c r="B265" s="3">
        <f>VLOOKUP(A265,'Production Plan'!B:R,14,FALSE)</f>
        <v>0</v>
      </c>
    </row>
    <row r="266" spans="1:2" hidden="1">
      <c r="A266" t="str">
        <f>'Production Plan'!B266</f>
        <v>Bilag 3 Leverandørens priser</v>
      </c>
      <c r="B266" s="3">
        <f>VLOOKUP(A266,'Production Plan'!B:R,14,FALSE)</f>
        <v>0</v>
      </c>
    </row>
    <row r="267" spans="1:2" hidden="1">
      <c r="A267" t="str">
        <f>'Production Plan'!B267</f>
        <v>ESPD</v>
      </c>
      <c r="B267" s="3">
        <f>VLOOKUP(A267,'Production Plan'!B:R,14,FALSE)</f>
        <v>0</v>
      </c>
    </row>
    <row r="268" spans="1:2" hidden="1">
      <c r="A268" t="str">
        <f>'Production Plan'!B268</f>
        <v>Bilag 1 - tidsplan og implementering</v>
      </c>
      <c r="B268" s="3">
        <f>VLOOKUP(A268,'Production Plan'!B:R,14,FALSE)</f>
        <v>0</v>
      </c>
    </row>
    <row r="269" spans="1:2" hidden="1">
      <c r="A269" t="str">
        <f>'Production Plan'!B269</f>
        <v>Bilag 1 - Optioner</v>
      </c>
      <c r="B269" s="3">
        <f>VLOOKUP(A269,'Production Plan'!B:R,14,FALSE)</f>
        <v>0</v>
      </c>
    </row>
    <row r="270" spans="1:2" hidden="1">
      <c r="A270" t="str">
        <f>'Production Plan'!B270</f>
        <v>Bilag 1 - Sikkerhed</v>
      </c>
      <c r="B270" s="3">
        <f>VLOOKUP(A270,'Production Plan'!B:R,14,FALSE)</f>
        <v>0</v>
      </c>
    </row>
    <row r="271" spans="1:2" hidden="1">
      <c r="A271" t="str">
        <f>'Production Plan'!B271</f>
        <v>B1.A-1</v>
      </c>
      <c r="B271" s="3" t="str">
        <f>VLOOKUP(A271,'Production Plan'!B:R,14,FALSE)</f>
        <v>1. Fully met</v>
      </c>
    </row>
    <row r="272" spans="1:2" hidden="1">
      <c r="A272" t="str">
        <f>'Production Plan'!B272</f>
        <v>B1.A-2</v>
      </c>
      <c r="B272" s="3" t="str">
        <f>VLOOKUP(A272,'Production Plan'!B:R,14,FALSE)</f>
        <v>1. Fully met</v>
      </c>
    </row>
    <row r="273" spans="1:2" hidden="1">
      <c r="A273" t="str">
        <f>'Production Plan'!B273</f>
        <v>B1.A-3</v>
      </c>
      <c r="B273" s="3">
        <f>VLOOKUP(A273,'Production Plan'!B:R,14,FALSE)</f>
        <v>0</v>
      </c>
    </row>
    <row r="274" spans="1:2" hidden="1">
      <c r="A274" t="str">
        <f>'Production Plan'!B274</f>
        <v>B1.A-4</v>
      </c>
      <c r="B274" s="3">
        <f>VLOOKUP(A274,'Production Plan'!B:R,14,FALSE)</f>
        <v>0</v>
      </c>
    </row>
    <row r="275" spans="1:2" hidden="1">
      <c r="A275" t="str">
        <f>'Production Plan'!B275</f>
        <v>B1.A-5</v>
      </c>
      <c r="B275" s="3" t="str">
        <f>VLOOKUP(A275,'Production Plan'!B:R,14,FALSE)</f>
        <v>1. Fully met</v>
      </c>
    </row>
    <row r="276" spans="1:2" hidden="1">
      <c r="A276" t="str">
        <f>'Production Plan'!B276</f>
        <v>B1.A-6</v>
      </c>
      <c r="B276" s="3" t="str">
        <f>VLOOKUP(A276,'Production Plan'!B:R,14,FALSE)</f>
        <v>1. Fully met</v>
      </c>
    </row>
    <row r="277" spans="1:2" hidden="1">
      <c r="A277" t="str">
        <f>'Production Plan'!B277</f>
        <v>B1.A-7</v>
      </c>
      <c r="B277" s="3">
        <f>VLOOKUP(A277,'Production Plan'!B:R,14,FALSE)</f>
        <v>0</v>
      </c>
    </row>
    <row r="278" spans="1:2" hidden="1">
      <c r="A278" t="str">
        <f>'Production Plan'!B278</f>
        <v>B1.A-8</v>
      </c>
      <c r="B278" s="3">
        <f>VLOOKUP(A278,'Production Plan'!B:R,14,FALSE)</f>
        <v>0</v>
      </c>
    </row>
    <row r="279" spans="1:2" hidden="1">
      <c r="A279" t="str">
        <f>'Production Plan'!B279</f>
        <v>B1.A-9</v>
      </c>
      <c r="B279" s="3">
        <f>VLOOKUP(A279,'Production Plan'!B:R,14,FALSE)</f>
        <v>0</v>
      </c>
    </row>
    <row r="280" spans="1:2" hidden="1">
      <c r="A280" t="str">
        <f>'Production Plan'!B280</f>
        <v>B1.A-10</v>
      </c>
      <c r="B280" s="3">
        <f>VLOOKUP(A280,'Production Plan'!B:R,14,FALSE)</f>
        <v>0</v>
      </c>
    </row>
    <row r="281" spans="1:2" hidden="1">
      <c r="A281" t="str">
        <f>'Production Plan'!B281</f>
        <v>B1.A-11</v>
      </c>
      <c r="B281" s="3" t="str">
        <f>VLOOKUP(A281,'Production Plan'!B:R,14,FALSE)</f>
        <v>1. Fully met</v>
      </c>
    </row>
    <row r="282" spans="1:2" hidden="1">
      <c r="A282" t="str">
        <f>'Production Plan'!B282</f>
        <v>B1.F-1</v>
      </c>
      <c r="B282" s="3">
        <f>VLOOKUP(A282,'Production Plan'!B:R,14,FALSE)</f>
        <v>0</v>
      </c>
    </row>
    <row r="283" spans="1:2" hidden="1">
      <c r="A283" t="str">
        <f>'Production Plan'!B283</f>
        <v>B1.F-2</v>
      </c>
      <c r="B283" s="3">
        <f>VLOOKUP(A283,'Production Plan'!B:R,14,FALSE)</f>
        <v>0</v>
      </c>
    </row>
    <row r="284" spans="1:2" hidden="1">
      <c r="A284" t="str">
        <f>'Production Plan'!B284</f>
        <v>B1.F-3</v>
      </c>
      <c r="B284" s="3">
        <f>VLOOKUP(A284,'Production Plan'!B:R,14,FALSE)</f>
        <v>0</v>
      </c>
    </row>
    <row r="285" spans="1:2" hidden="1">
      <c r="A285" t="str">
        <f>'Production Plan'!B285</f>
        <v>B1.F-4</v>
      </c>
      <c r="B285" s="3">
        <f>VLOOKUP(A285,'Production Plan'!B:R,14,FALSE)</f>
        <v>0</v>
      </c>
    </row>
    <row r="286" spans="1:2" hidden="1">
      <c r="A286" t="str">
        <f>'Production Plan'!B286</f>
        <v>B1.F-5</v>
      </c>
      <c r="B286" s="3">
        <f>VLOOKUP(A286,'Production Plan'!B:R,14,FALSE)</f>
        <v>0</v>
      </c>
    </row>
    <row r="287" spans="1:2" hidden="1">
      <c r="A287" t="str">
        <f>'Production Plan'!B287</f>
        <v>B1.F-6</v>
      </c>
      <c r="B287" s="3">
        <f>VLOOKUP(A287,'Production Plan'!B:R,14,FALSE)</f>
        <v>0</v>
      </c>
    </row>
    <row r="288" spans="1:2" hidden="1">
      <c r="A288" t="str">
        <f>'Production Plan'!B288</f>
        <v>B1.F-7</v>
      </c>
      <c r="B288" s="3">
        <f>VLOOKUP(A288,'Production Plan'!B:R,14,FALSE)</f>
        <v>0</v>
      </c>
    </row>
    <row r="289" spans="1:2" hidden="1">
      <c r="A289" t="str">
        <f>'Production Plan'!B289</f>
        <v>B1.F-8</v>
      </c>
      <c r="B289" s="3">
        <f>VLOOKUP(A289,'Production Plan'!B:R,14,FALSE)</f>
        <v>0</v>
      </c>
    </row>
    <row r="290" spans="1:2" hidden="1">
      <c r="A290" t="str">
        <f>'Production Plan'!B290</f>
        <v>B1.F-9</v>
      </c>
      <c r="B290" s="3">
        <f>VLOOKUP(A290,'Production Plan'!B:R,14,FALSE)</f>
        <v>0</v>
      </c>
    </row>
    <row r="291" spans="1:2" hidden="1">
      <c r="A291" t="str">
        <f>'Production Plan'!B291</f>
        <v>B1.F-10</v>
      </c>
      <c r="B291" s="3">
        <f>VLOOKUP(A291,'Production Plan'!B:R,14,FALSE)</f>
        <v>0</v>
      </c>
    </row>
    <row r="292" spans="1:2" hidden="1">
      <c r="A292" t="str">
        <f>'Production Plan'!B292</f>
        <v>B1.F-11</v>
      </c>
      <c r="B292" s="3">
        <f>VLOOKUP(A292,'Production Plan'!B:R,14,FALSE)</f>
        <v>0</v>
      </c>
    </row>
    <row r="293" spans="1:2" hidden="1">
      <c r="A293" t="str">
        <f>'Production Plan'!B293</f>
        <v>B1.F-12</v>
      </c>
      <c r="B293" s="3">
        <f>VLOOKUP(A293,'Production Plan'!B:R,14,FALSE)</f>
        <v>0</v>
      </c>
    </row>
    <row r="294" spans="1:2" hidden="1">
      <c r="A294" t="str">
        <f>'Production Plan'!B294</f>
        <v>B1.F-13</v>
      </c>
      <c r="B294" s="3">
        <f>VLOOKUP(A294,'Production Plan'!B:R,14,FALSE)</f>
        <v>0</v>
      </c>
    </row>
    <row r="295" spans="1:2" hidden="1">
      <c r="A295" t="str">
        <f>'Production Plan'!B295</f>
        <v>B1.F-14</v>
      </c>
      <c r="B295" s="3">
        <f>VLOOKUP(A295,'Production Plan'!B:R,14,FALSE)</f>
        <v>0</v>
      </c>
    </row>
    <row r="296" spans="1:2" hidden="1">
      <c r="A296" t="str">
        <f>'Production Plan'!B296</f>
        <v>B1.F-15</v>
      </c>
      <c r="B296" s="3">
        <f>VLOOKUP(A296,'Production Plan'!B:R,14,FALSE)</f>
        <v>0</v>
      </c>
    </row>
    <row r="297" spans="1:2" hidden="1">
      <c r="A297" t="str">
        <f>'Production Plan'!B297</f>
        <v>B1.F-16</v>
      </c>
      <c r="B297" s="3">
        <f>VLOOKUP(A297,'Production Plan'!B:R,14,FALSE)</f>
        <v>0</v>
      </c>
    </row>
    <row r="298" spans="1:2" hidden="1">
      <c r="A298" t="str">
        <f>'Production Plan'!B298</f>
        <v>B1.F-17</v>
      </c>
      <c r="B298" s="3">
        <f>VLOOKUP(A298,'Production Plan'!B:R,14,FALSE)</f>
        <v>0</v>
      </c>
    </row>
    <row r="299" spans="1:2" hidden="1">
      <c r="A299" t="str">
        <f>'Production Plan'!B299</f>
        <v>B1.F-18</v>
      </c>
      <c r="B299" s="3">
        <f>VLOOKUP(A299,'Production Plan'!B:R,14,FALSE)</f>
        <v>0</v>
      </c>
    </row>
    <row r="300" spans="1:2" hidden="1">
      <c r="A300" t="str">
        <f>'Production Plan'!B300</f>
        <v>B1.F-19</v>
      </c>
      <c r="B300" s="3">
        <f>VLOOKUP(A300,'Production Plan'!B:R,14,FALSE)</f>
        <v>0</v>
      </c>
    </row>
    <row r="301" spans="1:2" hidden="1">
      <c r="A301" t="str">
        <f>'Production Plan'!B301</f>
        <v>B1.F-20</v>
      </c>
      <c r="B301" s="3">
        <f>VLOOKUP(A301,'Production Plan'!B:R,14,FALSE)</f>
        <v>0</v>
      </c>
    </row>
    <row r="302" spans="1:2" hidden="1">
      <c r="A302" t="str">
        <f>'Production Plan'!B302</f>
        <v>B1.F-21</v>
      </c>
      <c r="B302" s="3">
        <f>VLOOKUP(A302,'Production Plan'!B:R,14,FALSE)</f>
        <v>0</v>
      </c>
    </row>
    <row r="303" spans="1:2" hidden="1">
      <c r="A303" t="str">
        <f>'Production Plan'!B303</f>
        <v>B1.F-22</v>
      </c>
      <c r="B303" s="3">
        <f>VLOOKUP(A303,'Production Plan'!B:R,14,FALSE)</f>
        <v>0</v>
      </c>
    </row>
    <row r="304" spans="1:2" hidden="1">
      <c r="A304" t="str">
        <f>'Production Plan'!B304</f>
        <v>B1.F-23</v>
      </c>
      <c r="B304" s="3">
        <f>VLOOKUP(A304,'Production Plan'!B:R,14,FALSE)</f>
        <v>0</v>
      </c>
    </row>
    <row r="305" spans="1:2" hidden="1">
      <c r="A305" t="str">
        <f>'Production Plan'!B305</f>
        <v>B1.F-24</v>
      </c>
      <c r="B305" s="3">
        <f>VLOOKUP(A305,'Production Plan'!B:R,14,FALSE)</f>
        <v>0</v>
      </c>
    </row>
    <row r="306" spans="1:2" hidden="1">
      <c r="A306" t="str">
        <f>'Production Plan'!B306</f>
        <v>B1.F-25</v>
      </c>
      <c r="B306" s="3">
        <f>VLOOKUP(A306,'Production Plan'!B:R,14,FALSE)</f>
        <v>0</v>
      </c>
    </row>
    <row r="307" spans="1:2" hidden="1">
      <c r="A307" t="str">
        <f>'Production Plan'!B307</f>
        <v>B1.F-26</v>
      </c>
      <c r="B307" s="3">
        <f>VLOOKUP(A307,'Production Plan'!B:R,14,FALSE)</f>
        <v>0</v>
      </c>
    </row>
    <row r="308" spans="1:2" hidden="1">
      <c r="A308" t="str">
        <f>'Production Plan'!B308</f>
        <v>B1.F-27</v>
      </c>
      <c r="B308" s="3">
        <f>VLOOKUP(A308,'Production Plan'!B:R,14,FALSE)</f>
        <v>0</v>
      </c>
    </row>
    <row r="309" spans="1:2" hidden="1">
      <c r="A309" t="str">
        <f>'Production Plan'!B309</f>
        <v>B1.F-28</v>
      </c>
      <c r="B309" s="3">
        <f>VLOOKUP(A309,'Production Plan'!B:R,14,FALSE)</f>
        <v>0</v>
      </c>
    </row>
    <row r="310" spans="1:2" hidden="1">
      <c r="A310" t="str">
        <f>'Production Plan'!B310</f>
        <v>B1.F-29</v>
      </c>
      <c r="B310" s="3">
        <f>VLOOKUP(A310,'Production Plan'!B:R,14,FALSE)</f>
        <v>0</v>
      </c>
    </row>
    <row r="311" spans="1:2" hidden="1">
      <c r="A311" t="str">
        <f>'Production Plan'!B311</f>
        <v>B1.F-30</v>
      </c>
      <c r="B311" s="3">
        <f>VLOOKUP(A311,'Production Plan'!B:R,14,FALSE)</f>
        <v>0</v>
      </c>
    </row>
    <row r="312" spans="1:2" hidden="1">
      <c r="A312" t="str">
        <f>'Production Plan'!B312</f>
        <v>B1.G-1</v>
      </c>
      <c r="B312" s="3">
        <f>VLOOKUP(A312,'Production Plan'!B:R,14,FALSE)</f>
        <v>0</v>
      </c>
    </row>
    <row r="313" spans="1:2" hidden="1">
      <c r="A313" t="str">
        <f>'Production Plan'!B313</f>
        <v>B1.G-2</v>
      </c>
      <c r="B313" s="3">
        <f>VLOOKUP(A313,'Production Plan'!B:R,14,FALSE)</f>
        <v>0</v>
      </c>
    </row>
    <row r="314" spans="1:2" hidden="1">
      <c r="A314" t="str">
        <f>'Production Plan'!B314</f>
        <v>B1.G-3</v>
      </c>
      <c r="B314" s="3">
        <f>VLOOKUP(A314,'Production Plan'!B:R,14,FALSE)</f>
        <v>0</v>
      </c>
    </row>
    <row r="315" spans="1:2" hidden="1">
      <c r="A315" t="str">
        <f>'Production Plan'!B315</f>
        <v>B1.G-4</v>
      </c>
      <c r="B315" s="3">
        <f>VLOOKUP(A315,'Production Plan'!B:R,14,FALSE)</f>
        <v>0</v>
      </c>
    </row>
    <row r="316" spans="1:2" hidden="1">
      <c r="A316" t="str">
        <f>'Production Plan'!B316</f>
        <v>B1.G-5</v>
      </c>
      <c r="B316" s="3">
        <f>VLOOKUP(A316,'Production Plan'!B:R,14,FALSE)</f>
        <v>0</v>
      </c>
    </row>
    <row r="317" spans="1:2" hidden="1">
      <c r="A317" t="str">
        <f>'Production Plan'!B317</f>
        <v>B1.G-6</v>
      </c>
      <c r="B317" s="3">
        <f>VLOOKUP(A317,'Production Plan'!B:R,14,FALSE)</f>
        <v>0</v>
      </c>
    </row>
    <row r="318" spans="1:2" hidden="1">
      <c r="A318" t="str">
        <f>'Production Plan'!B318</f>
        <v>B1.G-7</v>
      </c>
      <c r="B318" s="3">
        <f>VLOOKUP(A318,'Production Plan'!B:R,14,FALSE)</f>
        <v>0</v>
      </c>
    </row>
    <row r="319" spans="1:2" hidden="1">
      <c r="A319" t="str">
        <f>'Production Plan'!B319</f>
        <v>B1.G-8</v>
      </c>
      <c r="B319" s="3">
        <f>VLOOKUP(A319,'Production Plan'!B:R,14,FALSE)</f>
        <v>0</v>
      </c>
    </row>
    <row r="320" spans="1:2" hidden="1">
      <c r="A320" t="str">
        <f>'Production Plan'!B320</f>
        <v>B1.G-9</v>
      </c>
      <c r="B320" s="3">
        <f>VLOOKUP(A320,'Production Plan'!B:R,14,FALSE)</f>
        <v>0</v>
      </c>
    </row>
    <row r="321" spans="1:2" hidden="1">
      <c r="A321" t="str">
        <f>'Production Plan'!B321</f>
        <v>B1.G-10</v>
      </c>
      <c r="B321" s="3">
        <f>VLOOKUP(A321,'Production Plan'!B:R,14,FALSE)</f>
        <v>0</v>
      </c>
    </row>
    <row r="322" spans="1:2" hidden="1">
      <c r="A322" t="str">
        <f>'Production Plan'!B322</f>
        <v>B1.G-11</v>
      </c>
      <c r="B322" s="3">
        <f>VLOOKUP(A322,'Production Plan'!B:R,14,FALSE)</f>
        <v>0</v>
      </c>
    </row>
    <row r="323" spans="1:2" hidden="1">
      <c r="A323" t="e">
        <f>'Production Plan'!#REF!</f>
        <v>#REF!</v>
      </c>
      <c r="B323" s="3" t="e">
        <f>VLOOKUP(A323,'Production Plan'!B:R,14,FALSE)</f>
        <v>#REF!</v>
      </c>
    </row>
    <row r="324" spans="1:2" hidden="1">
      <c r="A324" t="str">
        <f>'Production Plan'!B323</f>
        <v>B1.G-13</v>
      </c>
      <c r="B324" s="3">
        <f>VLOOKUP(A324,'Production Plan'!B:R,14,FALSE)</f>
        <v>0</v>
      </c>
    </row>
    <row r="325" spans="1:2" hidden="1">
      <c r="A325" t="str">
        <f>'Production Plan'!B324</f>
        <v>B1.G-14</v>
      </c>
      <c r="B325" s="3">
        <f>VLOOKUP(A325,'Production Plan'!B:R,14,FALSE)</f>
        <v>0</v>
      </c>
    </row>
    <row r="326" spans="1:2" hidden="1">
      <c r="A326" t="str">
        <f>'Production Plan'!B325</f>
        <v>B1.G-15</v>
      </c>
      <c r="B326" s="3">
        <f>VLOOKUP(A326,'Production Plan'!B:R,14,FALSE)</f>
        <v>0</v>
      </c>
    </row>
    <row r="327" spans="1:2" hidden="1">
      <c r="A327" t="str">
        <f>'Production Plan'!B326</f>
        <v>B1.G-16</v>
      </c>
      <c r="B327" s="3">
        <f>VLOOKUP(A327,'Production Plan'!B:R,14,FALSE)</f>
        <v>0</v>
      </c>
    </row>
    <row r="328" spans="1:2" hidden="1">
      <c r="A328" t="str">
        <f>'Production Plan'!B327</f>
        <v>B1.G-17</v>
      </c>
      <c r="B328" s="3">
        <f>VLOOKUP(A328,'Production Plan'!B:R,14,FALSE)</f>
        <v>0</v>
      </c>
    </row>
    <row r="329" spans="1:2" hidden="1">
      <c r="A329" t="str">
        <f>'Production Plan'!B328</f>
        <v>B1.G-18</v>
      </c>
      <c r="B329" s="3">
        <f>VLOOKUP(A329,'Production Plan'!B:R,14,FALSE)</f>
        <v>0</v>
      </c>
    </row>
    <row r="330" spans="1:2" hidden="1">
      <c r="A330" t="str">
        <f>'Production Plan'!B329</f>
        <v>B1.G-19</v>
      </c>
      <c r="B330" s="3">
        <f>VLOOKUP(A330,'Production Plan'!B:R,14,FALSE)</f>
        <v>0</v>
      </c>
    </row>
    <row r="331" spans="1:2" hidden="1">
      <c r="A331" t="str">
        <f>'Production Plan'!B330</f>
        <v>B1.H-1</v>
      </c>
      <c r="B331" s="3">
        <f>VLOOKUP(A331,'Production Plan'!B:R,14,FALSE)</f>
        <v>0</v>
      </c>
    </row>
    <row r="332" spans="1:2" hidden="1">
      <c r="A332" t="str">
        <f>'Production Plan'!B331</f>
        <v>B1.H-2</v>
      </c>
      <c r="B332" s="3" t="str">
        <f>VLOOKUP(A332,'Production Plan'!B:R,14,FALSE)</f>
        <v>1. Fully met</v>
      </c>
    </row>
    <row r="333" spans="1:2" hidden="1">
      <c r="A333" t="str">
        <f>'Production Plan'!B332</f>
        <v>B1.H-3</v>
      </c>
      <c r="B333" s="3" t="str">
        <f>VLOOKUP(A333,'Production Plan'!B:R,14,FALSE)</f>
        <v>1. Fully met</v>
      </c>
    </row>
    <row r="334" spans="1:2" hidden="1">
      <c r="A334" t="str">
        <f>'Production Plan'!B333</f>
        <v>B1.H-4</v>
      </c>
      <c r="B334" s="3" t="str">
        <f>VLOOKUP(A334,'Production Plan'!B:R,14,FALSE)</f>
        <v>1. Fully met</v>
      </c>
    </row>
    <row r="335" spans="1:2" hidden="1">
      <c r="A335" t="str">
        <f>'Production Plan'!B334</f>
        <v>B1.H-5</v>
      </c>
      <c r="B335" s="3" t="str">
        <f>VLOOKUP(A335,'Production Plan'!B:R,14,FALSE)</f>
        <v>1. Fully met</v>
      </c>
    </row>
    <row r="336" spans="1:2" hidden="1">
      <c r="A336" t="str">
        <f>'Production Plan'!B335</f>
        <v>B1.H-6</v>
      </c>
      <c r="B336" s="3" t="str">
        <f>VLOOKUP(A336,'Production Plan'!B:R,14,FALSE)</f>
        <v>1. Fully met</v>
      </c>
    </row>
    <row r="337" spans="1:2" hidden="1">
      <c r="A337" t="str">
        <f>'Production Plan'!B336</f>
        <v>B1.H-7</v>
      </c>
      <c r="B337" s="3" t="str">
        <f>VLOOKUP(A337,'Production Plan'!B:R,14,FALSE)</f>
        <v>1. Fully met</v>
      </c>
    </row>
    <row r="338" spans="1:2" hidden="1">
      <c r="A338" t="str">
        <f>'Production Plan'!B337</f>
        <v>B1.H-8</v>
      </c>
      <c r="B338" s="3" t="str">
        <f>VLOOKUP(A338,'Production Plan'!B:R,14,FALSE)</f>
        <v>2. Partly met</v>
      </c>
    </row>
    <row r="339" spans="1:2" hidden="1">
      <c r="A339" t="str">
        <f>'Production Plan'!B338</f>
        <v>B1.H-9</v>
      </c>
      <c r="B339" s="3" t="str">
        <f>VLOOKUP(A339,'Production Plan'!B:R,14,FALSE)</f>
        <v>2. Partly met</v>
      </c>
    </row>
    <row r="340" spans="1:2" hidden="1">
      <c r="A340" t="str">
        <f>'Production Plan'!B339</f>
        <v>B1.H-10</v>
      </c>
      <c r="B340" s="3" t="str">
        <f>VLOOKUP(A340,'Production Plan'!B:R,14,FALSE)</f>
        <v>2. Partly met</v>
      </c>
    </row>
    <row r="341" spans="1:2" hidden="1">
      <c r="A341" t="str">
        <f>'Production Plan'!B340</f>
        <v>B1.H-11</v>
      </c>
      <c r="B341" s="3" t="str">
        <f>VLOOKUP(A341,'Production Plan'!B:R,14,FALSE)</f>
        <v>2. Partly met</v>
      </c>
    </row>
    <row r="342" spans="1:2" hidden="1">
      <c r="A342" t="str">
        <f>'Production Plan'!B341</f>
        <v>B1.H-12</v>
      </c>
      <c r="B342" s="3" t="str">
        <f>VLOOKUP(A342,'Production Plan'!B:R,14,FALSE)</f>
        <v>2. Partly met</v>
      </c>
    </row>
    <row r="343" spans="1:2" hidden="1">
      <c r="A343" t="str">
        <f>'Production Plan'!B342</f>
        <v>B1.H-13</v>
      </c>
      <c r="B343" s="3" t="str">
        <f>VLOOKUP(A343,'Production Plan'!B:R,14,FALSE)</f>
        <v>2. Partly met</v>
      </c>
    </row>
    <row r="344" spans="1:2" hidden="1">
      <c r="A344" t="str">
        <f>'Production Plan'!B343</f>
        <v>B1.H-14</v>
      </c>
      <c r="B344" s="3" t="str">
        <f>VLOOKUP(A344,'Production Plan'!B:R,14,FALSE)</f>
        <v>2. Partly met</v>
      </c>
    </row>
    <row r="345" spans="1:2" hidden="1">
      <c r="A345" t="str">
        <f>'Production Plan'!B344</f>
        <v>B1.H-15</v>
      </c>
      <c r="B345" s="3" t="str">
        <f>VLOOKUP(A345,'Production Plan'!B:R,14,FALSE)</f>
        <v>2. Partly met</v>
      </c>
    </row>
    <row r="346" spans="1:2" hidden="1">
      <c r="A346" t="str">
        <f>'Production Plan'!B345</f>
        <v>B1.H-16</v>
      </c>
      <c r="B346" s="3" t="str">
        <f>VLOOKUP(A346,'Production Plan'!B:R,14,FALSE)</f>
        <v>2. Partly met</v>
      </c>
    </row>
    <row r="347" spans="1:2" hidden="1">
      <c r="A347" t="str">
        <f>'Production Plan'!B346</f>
        <v>B1.H-17</v>
      </c>
      <c r="B347" s="3" t="str">
        <f>VLOOKUP(A347,'Production Plan'!B:R,14,FALSE)</f>
        <v>1. Fully met</v>
      </c>
    </row>
    <row r="348" spans="1:2" hidden="1">
      <c r="A348" t="str">
        <f>'Production Plan'!B347</f>
        <v>B1.H-18</v>
      </c>
      <c r="B348" s="3" t="str">
        <f>VLOOKUP(A348,'Production Plan'!B:R,14,FALSE)</f>
        <v>2. Partly met</v>
      </c>
    </row>
    <row r="349" spans="1:2" hidden="1">
      <c r="A349" t="str">
        <f>'Production Plan'!B349</f>
        <v>B1.J-1</v>
      </c>
      <c r="B349" s="3">
        <f>VLOOKUP(A349,'Production Plan'!B:R,14,FALSE)</f>
        <v>0</v>
      </c>
    </row>
    <row r="350" spans="1:2" hidden="1">
      <c r="A350" t="str">
        <f>'Production Plan'!B350</f>
        <v>B1.J-2</v>
      </c>
      <c r="B350" s="3">
        <f>VLOOKUP(A350,'Production Plan'!B:R,14,FALSE)</f>
        <v>0</v>
      </c>
    </row>
    <row r="351" spans="1:2" hidden="1">
      <c r="A351" t="str">
        <f>'Production Plan'!B351</f>
        <v>B1.J-3</v>
      </c>
      <c r="B351" s="3">
        <f>VLOOKUP(A351,'Production Plan'!B:R,14,FALSE)</f>
        <v>0</v>
      </c>
    </row>
    <row r="352" spans="1:2" hidden="1">
      <c r="A352" t="str">
        <f>'Production Plan'!B352</f>
        <v>B1.J-4</v>
      </c>
      <c r="B352" s="3">
        <f>VLOOKUP(A352,'Production Plan'!B:R,14,FALSE)</f>
        <v>0</v>
      </c>
    </row>
    <row r="353" spans="1:2" hidden="1">
      <c r="A353" t="str">
        <f>'Production Plan'!B353</f>
        <v>B1.J-5</v>
      </c>
      <c r="B353" s="3">
        <f>VLOOKUP(A353,'Production Plan'!B:R,14,FALSE)</f>
        <v>0</v>
      </c>
    </row>
    <row r="354" spans="1:2" hidden="1">
      <c r="A354" t="str">
        <f>'Production Plan'!B354</f>
        <v>B1.J-6</v>
      </c>
      <c r="B354" s="3">
        <f>VLOOKUP(A354,'Production Plan'!B:R,14,FALSE)</f>
        <v>0</v>
      </c>
    </row>
    <row r="355" spans="1:2" hidden="1">
      <c r="A355" t="str">
        <f>'Production Plan'!B355</f>
        <v>B1.K-1</v>
      </c>
      <c r="B355" s="3">
        <f>VLOOKUP(A355,'Production Plan'!B:R,14,FALSE)</f>
        <v>0</v>
      </c>
    </row>
    <row r="356" spans="1:2" hidden="1">
      <c r="A356" t="str">
        <f>'Production Plan'!B356</f>
        <v>B1.K-2</v>
      </c>
      <c r="B356" s="3">
        <f>VLOOKUP(A356,'Production Plan'!B:R,14,FALSE)</f>
        <v>0</v>
      </c>
    </row>
    <row r="357" spans="1:2" hidden="1">
      <c r="A357" t="str">
        <f>'Production Plan'!B357</f>
        <v>B1.K-3</v>
      </c>
      <c r="B357" s="3">
        <f>VLOOKUP(A357,'Production Plan'!B:R,14,FALSE)</f>
        <v>0</v>
      </c>
    </row>
    <row r="358" spans="1:2" hidden="1">
      <c r="A358" t="str">
        <f>'Production Plan'!B358</f>
        <v>B1.K-4</v>
      </c>
      <c r="B358" s="3">
        <f>VLOOKUP(A358,'Production Plan'!B:R,14,FALSE)</f>
        <v>0</v>
      </c>
    </row>
    <row r="359" spans="1:2" hidden="1">
      <c r="A359" t="e">
        <f>'Production Plan'!#REF!</f>
        <v>#REF!</v>
      </c>
      <c r="B359" s="3" t="e">
        <f>VLOOKUP(A359,'Production Plan'!B:R,14,FALSE)</f>
        <v>#REF!</v>
      </c>
    </row>
    <row r="360" spans="1:2" hidden="1">
      <c r="A360" t="e">
        <f>'Production Plan'!#REF!</f>
        <v>#REF!</v>
      </c>
      <c r="B360" s="3" t="e">
        <f>VLOOKUP(A360,'Production Plan'!B:R,14,FALSE)</f>
        <v>#REF!</v>
      </c>
    </row>
    <row r="361" spans="1:2" hidden="1">
      <c r="A361" t="e">
        <f>'Production Plan'!#REF!</f>
        <v>#REF!</v>
      </c>
      <c r="B361" s="3" t="e">
        <f>VLOOKUP(A361,'Production Plan'!B:R,14,FALSE)</f>
        <v>#REF!</v>
      </c>
    </row>
    <row r="362" spans="1:2" hidden="1">
      <c r="A362" t="e">
        <f>'Production Plan'!#REF!</f>
        <v>#REF!</v>
      </c>
      <c r="B362" s="3" t="e">
        <f>VLOOKUP(A362,'Production Plan'!B:R,14,FALSE)</f>
        <v>#REF!</v>
      </c>
    </row>
    <row r="363" spans="1:2" hidden="1">
      <c r="A363" t="e">
        <f>'Production Plan'!#REF!</f>
        <v>#REF!</v>
      </c>
      <c r="B363" s="3" t="e">
        <f>VLOOKUP(A363,'Production Plan'!B:R,14,FALSE)</f>
        <v>#REF!</v>
      </c>
    </row>
    <row r="364" spans="1:2" hidden="1">
      <c r="A364" t="e">
        <f>'Production Plan'!#REF!</f>
        <v>#REF!</v>
      </c>
      <c r="B364" s="3" t="e">
        <f>VLOOKUP(A364,'Production Plan'!B:R,14,FALSE)</f>
        <v>#REF!</v>
      </c>
    </row>
    <row r="365" spans="1:2" hidden="1">
      <c r="A365" t="e">
        <f>'Production Plan'!#REF!</f>
        <v>#REF!</v>
      </c>
      <c r="B365" s="3" t="e">
        <f>VLOOKUP(A365,'Production Plan'!B:R,14,FALSE)</f>
        <v>#REF!</v>
      </c>
    </row>
    <row r="366" spans="1:2" hidden="1">
      <c r="A366" t="e">
        <f>'Production Plan'!#REF!</f>
        <v>#REF!</v>
      </c>
      <c r="B366" s="3" t="e">
        <f>VLOOKUP(A366,'Production Plan'!B:R,14,FALSE)</f>
        <v>#REF!</v>
      </c>
    </row>
    <row r="367" spans="1:2" hidden="1">
      <c r="A367" t="e">
        <f>'Production Plan'!#REF!</f>
        <v>#REF!</v>
      </c>
      <c r="B367" s="3" t="e">
        <f>VLOOKUP(A367,'Production Plan'!B:R,14,FALSE)</f>
        <v>#REF!</v>
      </c>
    </row>
    <row r="368" spans="1:2" hidden="1">
      <c r="A368" t="e">
        <f>'Production Plan'!#REF!</f>
        <v>#REF!</v>
      </c>
      <c r="B368" s="3" t="e">
        <f>VLOOKUP(A368,'Production Plan'!B:R,14,FALSE)</f>
        <v>#REF!</v>
      </c>
    </row>
    <row r="369" spans="1:2" hidden="1">
      <c r="A369" t="e">
        <f>'Production Plan'!#REF!</f>
        <v>#REF!</v>
      </c>
      <c r="B369" s="3" t="e">
        <f>VLOOKUP(A369,'Production Plan'!B:R,14,FALSE)</f>
        <v>#REF!</v>
      </c>
    </row>
    <row r="370" spans="1:2" hidden="1">
      <c r="A370">
        <f>'Production Plan'!B359</f>
        <v>0</v>
      </c>
      <c r="B370" s="3" t="e">
        <f>VLOOKUP(A370,'Production Plan'!B:R,14,FALSE)</f>
        <v>#N/A</v>
      </c>
    </row>
    <row r="371" spans="1:2" hidden="1">
      <c r="A371">
        <f>'Production Plan'!B360</f>
        <v>0</v>
      </c>
      <c r="B371" s="3" t="e">
        <f>VLOOKUP(A371,'Production Plan'!B:R,14,FALSE)</f>
        <v>#N/A</v>
      </c>
    </row>
    <row r="372" spans="1:2" hidden="1">
      <c r="A372">
        <f>'Production Plan'!B361</f>
        <v>0</v>
      </c>
      <c r="B372" s="3" t="e">
        <f>VLOOKUP(A372,'Production Plan'!B:R,14,FALSE)</f>
        <v>#N/A</v>
      </c>
    </row>
    <row r="373" spans="1:2" hidden="1">
      <c r="A373">
        <f>'Production Plan'!B362</f>
        <v>0</v>
      </c>
      <c r="B373" s="3" t="e">
        <f>VLOOKUP(A373,'Production Plan'!B:R,14,FALSE)</f>
        <v>#N/A</v>
      </c>
    </row>
    <row r="374" spans="1:2" hidden="1">
      <c r="A374">
        <f>'Production Plan'!B363</f>
        <v>0</v>
      </c>
      <c r="B374" s="3" t="e">
        <f>VLOOKUP(A374,'Production Plan'!B:R,14,FALSE)</f>
        <v>#N/A</v>
      </c>
    </row>
    <row r="375" spans="1:2" hidden="1">
      <c r="A375">
        <f>'Production Plan'!B364</f>
        <v>0</v>
      </c>
      <c r="B375" s="3" t="e">
        <f>VLOOKUP(A375,'Production Plan'!B:R,14,FALSE)</f>
        <v>#N/A</v>
      </c>
    </row>
    <row r="376" spans="1:2" hidden="1">
      <c r="A376">
        <f>'Production Plan'!B365</f>
        <v>0</v>
      </c>
      <c r="B376" s="3" t="e">
        <f>VLOOKUP(A376,'Production Plan'!B:R,14,FALSE)</f>
        <v>#N/A</v>
      </c>
    </row>
    <row r="377" spans="1:2" hidden="1">
      <c r="A377">
        <f>'Production Plan'!B366</f>
        <v>0</v>
      </c>
      <c r="B377" s="3" t="e">
        <f>VLOOKUP(A377,'Production Plan'!B:R,14,FALSE)</f>
        <v>#N/A</v>
      </c>
    </row>
    <row r="378" spans="1:2" hidden="1">
      <c r="A378">
        <f>'Production Plan'!B367</f>
        <v>0</v>
      </c>
      <c r="B378" s="3" t="e">
        <f>VLOOKUP(A378,'Production Plan'!B:R,14,FALSE)</f>
        <v>#N/A</v>
      </c>
    </row>
    <row r="379" spans="1:2" hidden="1">
      <c r="A379">
        <f>'Production Plan'!B368</f>
        <v>0</v>
      </c>
      <c r="B379" s="3" t="e">
        <f>VLOOKUP(A379,'Production Plan'!B:R,14,FALSE)</f>
        <v>#N/A</v>
      </c>
    </row>
    <row r="380" spans="1:2" hidden="1">
      <c r="A380">
        <f>'Production Plan'!B369</f>
        <v>0</v>
      </c>
      <c r="B380" s="3" t="e">
        <f>VLOOKUP(A380,'Production Plan'!B:R,14,FALSE)</f>
        <v>#N/A</v>
      </c>
    </row>
    <row r="381" spans="1:2" hidden="1">
      <c r="A381">
        <f>'Production Plan'!B370</f>
        <v>0</v>
      </c>
      <c r="B381" s="3" t="e">
        <f>VLOOKUP(A381,'Production Plan'!B:R,14,FALSE)</f>
        <v>#N/A</v>
      </c>
    </row>
    <row r="382" spans="1:2" hidden="1">
      <c r="A382">
        <f>'Production Plan'!B371</f>
        <v>0</v>
      </c>
      <c r="B382" s="3" t="e">
        <f>VLOOKUP(A382,'Production Plan'!B:R,14,FALSE)</f>
        <v>#N/A</v>
      </c>
    </row>
    <row r="383" spans="1:2" hidden="1">
      <c r="A383">
        <f>'Production Plan'!B372</f>
        <v>0</v>
      </c>
      <c r="B383" s="3" t="e">
        <f>VLOOKUP(A383,'Production Plan'!B:R,14,FALSE)</f>
        <v>#N/A</v>
      </c>
    </row>
    <row r="384" spans="1:2" hidden="1">
      <c r="A384">
        <f>'Production Plan'!B373</f>
        <v>0</v>
      </c>
      <c r="B384" s="3" t="e">
        <f>VLOOKUP(A384,'Production Plan'!B:R,14,FALSE)</f>
        <v>#N/A</v>
      </c>
    </row>
    <row r="385" spans="1:2" hidden="1">
      <c r="A385">
        <f>'Production Plan'!B374</f>
        <v>0</v>
      </c>
      <c r="B385" s="3" t="e">
        <f>VLOOKUP(A385,'Production Plan'!B:R,14,FALSE)</f>
        <v>#N/A</v>
      </c>
    </row>
    <row r="386" spans="1:2" hidden="1">
      <c r="A386">
        <f>'Production Plan'!B375</f>
        <v>0</v>
      </c>
      <c r="B386" s="3" t="e">
        <f>VLOOKUP(A386,'Production Plan'!B:R,14,FALSE)</f>
        <v>#N/A</v>
      </c>
    </row>
    <row r="387" spans="1:2" hidden="1">
      <c r="A387">
        <f>'Production Plan'!B376</f>
        <v>0</v>
      </c>
      <c r="B387" s="3" t="e">
        <f>VLOOKUP(A387,'Production Plan'!B:R,14,FALSE)</f>
        <v>#N/A</v>
      </c>
    </row>
    <row r="388" spans="1:2" hidden="1">
      <c r="A388">
        <f>'Production Plan'!B377</f>
        <v>0</v>
      </c>
      <c r="B388" s="3" t="e">
        <f>VLOOKUP(A388,'Production Plan'!B:R,14,FALSE)</f>
        <v>#N/A</v>
      </c>
    </row>
    <row r="389" spans="1:2" hidden="1">
      <c r="A389">
        <f>'Production Plan'!B378</f>
        <v>0</v>
      </c>
      <c r="B389" s="3" t="e">
        <f>VLOOKUP(A389,'Production Plan'!B:R,14,FALSE)</f>
        <v>#N/A</v>
      </c>
    </row>
    <row r="390" spans="1:2" hidden="1">
      <c r="A390">
        <f>'Production Plan'!B379</f>
        <v>0</v>
      </c>
      <c r="B390" s="3" t="e">
        <f>VLOOKUP(A390,'Production Plan'!B:R,14,FALSE)</f>
        <v>#N/A</v>
      </c>
    </row>
    <row r="391" spans="1:2" hidden="1">
      <c r="A391">
        <f>'Production Plan'!B380</f>
        <v>0</v>
      </c>
      <c r="B391" s="3" t="e">
        <f>VLOOKUP(A391,'Production Plan'!B:R,14,FALSE)</f>
        <v>#N/A</v>
      </c>
    </row>
    <row r="392" spans="1:2" hidden="1">
      <c r="A392">
        <f>'Production Plan'!B381</f>
        <v>0</v>
      </c>
      <c r="B392" s="3" t="e">
        <f>VLOOKUP(A392,'Production Plan'!B:R,14,FALSE)</f>
        <v>#N/A</v>
      </c>
    </row>
    <row r="393" spans="1:2" hidden="1">
      <c r="A393">
        <f>'Production Plan'!B382</f>
        <v>0</v>
      </c>
      <c r="B393" s="3" t="e">
        <f>VLOOKUP(A393,'Production Plan'!B:R,14,FALSE)</f>
        <v>#N/A</v>
      </c>
    </row>
    <row r="394" spans="1:2" hidden="1">
      <c r="A394">
        <f>'Production Plan'!B383</f>
        <v>0</v>
      </c>
      <c r="B394" s="3" t="e">
        <f>VLOOKUP(A394,'Production Plan'!B:R,14,FALSE)</f>
        <v>#N/A</v>
      </c>
    </row>
    <row r="395" spans="1:2" hidden="1">
      <c r="A395">
        <f>'Production Plan'!B384</f>
        <v>0</v>
      </c>
      <c r="B395" s="3" t="e">
        <f>VLOOKUP(A395,'Production Plan'!B:R,14,FALSE)</f>
        <v>#N/A</v>
      </c>
    </row>
    <row r="396" spans="1:2" hidden="1">
      <c r="A396">
        <f>'Production Plan'!B385</f>
        <v>0</v>
      </c>
      <c r="B396" s="3" t="e">
        <f>VLOOKUP(A396,'Production Plan'!B:R,14,FALSE)</f>
        <v>#N/A</v>
      </c>
    </row>
    <row r="397" spans="1:2" hidden="1">
      <c r="A397">
        <f>'Production Plan'!B386</f>
        <v>0</v>
      </c>
      <c r="B397" s="3" t="e">
        <f>VLOOKUP(A397,'Production Plan'!B:R,14,FALSE)</f>
        <v>#N/A</v>
      </c>
    </row>
    <row r="398" spans="1:2" hidden="1">
      <c r="A398">
        <f>'Production Plan'!B387</f>
        <v>0</v>
      </c>
      <c r="B398" s="3" t="e">
        <f>VLOOKUP(A398,'Production Plan'!B:R,14,FALSE)</f>
        <v>#N/A</v>
      </c>
    </row>
    <row r="399" spans="1:2" hidden="1">
      <c r="A399">
        <f>'Production Plan'!B388</f>
        <v>0</v>
      </c>
      <c r="B399" s="3" t="e">
        <f>VLOOKUP(A399,'Production Plan'!B:R,14,FALSE)</f>
        <v>#N/A</v>
      </c>
    </row>
    <row r="400" spans="1:2" hidden="1">
      <c r="A400">
        <f>'Production Plan'!B389</f>
        <v>0</v>
      </c>
      <c r="B400" s="3" t="e">
        <f>VLOOKUP(A400,'Production Plan'!B:R,14,FALSE)</f>
        <v>#N/A</v>
      </c>
    </row>
    <row r="401" spans="1:2" hidden="1">
      <c r="A401">
        <f>'Production Plan'!B390</f>
        <v>0</v>
      </c>
      <c r="B401" s="3" t="e">
        <f>VLOOKUP(A401,'Production Plan'!B:R,14,FALSE)</f>
        <v>#N/A</v>
      </c>
    </row>
    <row r="402" spans="1:2" hidden="1">
      <c r="A402">
        <f>'Production Plan'!B391</f>
        <v>0</v>
      </c>
      <c r="B402" s="3" t="e">
        <f>VLOOKUP(A402,'Production Plan'!B:R,14,FALSE)</f>
        <v>#N/A</v>
      </c>
    </row>
    <row r="403" spans="1:2" hidden="1">
      <c r="A403">
        <f>'Production Plan'!B392</f>
        <v>0</v>
      </c>
      <c r="B403" s="3" t="e">
        <f>VLOOKUP(A403,'Production Plan'!B:R,14,FALSE)</f>
        <v>#N/A</v>
      </c>
    </row>
    <row r="404" spans="1:2" hidden="1">
      <c r="A404">
        <f>'Production Plan'!B393</f>
        <v>0</v>
      </c>
      <c r="B404" s="3" t="e">
        <f>VLOOKUP(A404,'Production Plan'!B:R,14,FALSE)</f>
        <v>#N/A</v>
      </c>
    </row>
    <row r="405" spans="1:2" hidden="1">
      <c r="A405">
        <f>'Production Plan'!B394</f>
        <v>0</v>
      </c>
      <c r="B405" s="3" t="e">
        <f>VLOOKUP(A405,'Production Plan'!B:R,14,FALSE)</f>
        <v>#N/A</v>
      </c>
    </row>
    <row r="406" spans="1:2" hidden="1">
      <c r="A406">
        <f>'Production Plan'!B395</f>
        <v>0</v>
      </c>
      <c r="B406" s="3" t="e">
        <f>VLOOKUP(A406,'Production Plan'!B:R,14,FALSE)</f>
        <v>#N/A</v>
      </c>
    </row>
    <row r="407" spans="1:2" hidden="1">
      <c r="A407">
        <f>'Production Plan'!B396</f>
        <v>0</v>
      </c>
      <c r="B407" s="3" t="e">
        <f>VLOOKUP(A407,'Production Plan'!B:R,14,FALSE)</f>
        <v>#N/A</v>
      </c>
    </row>
    <row r="408" spans="1:2" hidden="1">
      <c r="A408">
        <f>'Production Plan'!B397</f>
        <v>0</v>
      </c>
      <c r="B408" s="3" t="e">
        <f>VLOOKUP(A408,'Production Plan'!B:R,14,FALSE)</f>
        <v>#N/A</v>
      </c>
    </row>
    <row r="409" spans="1:2" hidden="1">
      <c r="A409">
        <f>'Production Plan'!B398</f>
        <v>0</v>
      </c>
      <c r="B409" s="3" t="e">
        <f>VLOOKUP(A409,'Production Plan'!B:R,14,FALSE)</f>
        <v>#N/A</v>
      </c>
    </row>
    <row r="410" spans="1:2" hidden="1">
      <c r="A410">
        <f>'Production Plan'!B399</f>
        <v>0</v>
      </c>
      <c r="B410" s="3" t="e">
        <f>VLOOKUP(A410,'Production Plan'!B:R,14,FALSE)</f>
        <v>#N/A</v>
      </c>
    </row>
    <row r="411" spans="1:2" hidden="1">
      <c r="A411">
        <f>'Production Plan'!B400</f>
        <v>0</v>
      </c>
      <c r="B411" s="3" t="e">
        <f>VLOOKUP(A411,'Production Plan'!B:R,14,FALSE)</f>
        <v>#N/A</v>
      </c>
    </row>
    <row r="412" spans="1:2" hidden="1">
      <c r="A412">
        <f>'Production Plan'!B401</f>
        <v>0</v>
      </c>
      <c r="B412" s="3" t="e">
        <f>VLOOKUP(A412,'Production Plan'!B:R,14,FALSE)</f>
        <v>#N/A</v>
      </c>
    </row>
    <row r="413" spans="1:2" hidden="1">
      <c r="A413">
        <f>'Production Plan'!B402</f>
        <v>0</v>
      </c>
      <c r="B413" s="3" t="e">
        <f>VLOOKUP(A413,'Production Plan'!B:R,14,FALSE)</f>
        <v>#N/A</v>
      </c>
    </row>
    <row r="414" spans="1:2" hidden="1">
      <c r="A414">
        <f>'Production Plan'!B403</f>
        <v>0</v>
      </c>
      <c r="B414" s="3" t="e">
        <f>VLOOKUP(A414,'Production Plan'!B:R,14,FALSE)</f>
        <v>#N/A</v>
      </c>
    </row>
    <row r="415" spans="1:2" hidden="1">
      <c r="A415">
        <f>'Production Plan'!B404</f>
        <v>0</v>
      </c>
      <c r="B415" s="3" t="e">
        <f>VLOOKUP(A415,'Production Plan'!B:R,14,FALSE)</f>
        <v>#N/A</v>
      </c>
    </row>
    <row r="416" spans="1:2" hidden="1">
      <c r="A416">
        <f>'Production Plan'!B405</f>
        <v>0</v>
      </c>
      <c r="B416" s="3" t="e">
        <f>VLOOKUP(A416,'Production Plan'!B:R,14,FALSE)</f>
        <v>#N/A</v>
      </c>
    </row>
    <row r="417" spans="1:2" hidden="1">
      <c r="A417">
        <f>'Production Plan'!B406</f>
        <v>0</v>
      </c>
      <c r="B417" s="3" t="e">
        <f>VLOOKUP(A417,'Production Plan'!B:R,14,FALSE)</f>
        <v>#N/A</v>
      </c>
    </row>
    <row r="418" spans="1:2" hidden="1">
      <c r="A418">
        <f>'Production Plan'!B407</f>
        <v>0</v>
      </c>
      <c r="B418" s="3" t="e">
        <f>VLOOKUP(A418,'Production Plan'!B:R,14,FALSE)</f>
        <v>#N/A</v>
      </c>
    </row>
    <row r="419" spans="1:2" hidden="1">
      <c r="A419">
        <f>'Production Plan'!B408</f>
        <v>0</v>
      </c>
      <c r="B419" s="3" t="e">
        <f>VLOOKUP(A419,'Production Plan'!B:R,14,FALSE)</f>
        <v>#N/A</v>
      </c>
    </row>
    <row r="420" spans="1:2" hidden="1">
      <c r="A420">
        <f>'Production Plan'!B409</f>
        <v>0</v>
      </c>
      <c r="B420" s="3" t="e">
        <f>VLOOKUP(A420,'Production Plan'!B:R,14,FALSE)</f>
        <v>#N/A</v>
      </c>
    </row>
    <row r="421" spans="1:2" hidden="1">
      <c r="A421">
        <f>'Production Plan'!B410</f>
        <v>0</v>
      </c>
      <c r="B421" s="3" t="e">
        <f>VLOOKUP(A421,'Production Plan'!B:R,14,FALSE)</f>
        <v>#N/A</v>
      </c>
    </row>
    <row r="422" spans="1:2" hidden="1">
      <c r="A422">
        <f>'Production Plan'!B411</f>
        <v>0</v>
      </c>
      <c r="B422" s="3" t="e">
        <f>VLOOKUP(A422,'Production Plan'!B:R,14,FALSE)</f>
        <v>#N/A</v>
      </c>
    </row>
    <row r="423" spans="1:2" hidden="1">
      <c r="A423">
        <f>'Production Plan'!B412</f>
        <v>0</v>
      </c>
      <c r="B423" s="3" t="e">
        <f>VLOOKUP(A423,'Production Plan'!B:R,14,FALSE)</f>
        <v>#N/A</v>
      </c>
    </row>
    <row r="424" spans="1:2" hidden="1">
      <c r="A424">
        <f>'Production Plan'!B413</f>
        <v>0</v>
      </c>
      <c r="B424" s="3" t="e">
        <f>VLOOKUP(A424,'Production Plan'!B:R,14,FALSE)</f>
        <v>#N/A</v>
      </c>
    </row>
    <row r="425" spans="1:2" hidden="1">
      <c r="A425">
        <f>'Production Plan'!B414</f>
        <v>0</v>
      </c>
      <c r="B425" s="3" t="e">
        <f>VLOOKUP(A425,'Production Plan'!B:R,14,FALSE)</f>
        <v>#N/A</v>
      </c>
    </row>
    <row r="426" spans="1:2" hidden="1">
      <c r="A426">
        <f>'Production Plan'!B415</f>
        <v>0</v>
      </c>
      <c r="B426" s="3" t="e">
        <f>VLOOKUP(A426,'Production Plan'!B:R,14,FALSE)</f>
        <v>#N/A</v>
      </c>
    </row>
    <row r="427" spans="1:2" hidden="1">
      <c r="A427">
        <f>'Production Plan'!B416</f>
        <v>0</v>
      </c>
      <c r="B427" s="3" t="e">
        <f>VLOOKUP(A427,'Production Plan'!B:R,14,FALSE)</f>
        <v>#N/A</v>
      </c>
    </row>
    <row r="428" spans="1:2" hidden="1">
      <c r="A428">
        <f>'Production Plan'!B417</f>
        <v>0</v>
      </c>
      <c r="B428" s="3" t="e">
        <f>VLOOKUP(A428,'Production Plan'!B:R,14,FALSE)</f>
        <v>#N/A</v>
      </c>
    </row>
    <row r="429" spans="1:2" hidden="1">
      <c r="A429">
        <f>'Production Plan'!B418</f>
        <v>0</v>
      </c>
      <c r="B429" s="3" t="e">
        <f>VLOOKUP(A429,'Production Plan'!B:R,14,FALSE)</f>
        <v>#N/A</v>
      </c>
    </row>
    <row r="430" spans="1:2" hidden="1">
      <c r="A430">
        <f>'Production Plan'!B419</f>
        <v>0</v>
      </c>
      <c r="B430" s="3" t="e">
        <f>VLOOKUP(A430,'Production Plan'!B:R,14,FALSE)</f>
        <v>#N/A</v>
      </c>
    </row>
    <row r="431" spans="1:2" hidden="1">
      <c r="A431">
        <f>'Production Plan'!B420</f>
        <v>0</v>
      </c>
      <c r="B431" s="3" t="e">
        <f>VLOOKUP(A431,'Production Plan'!B:R,14,FALSE)</f>
        <v>#N/A</v>
      </c>
    </row>
    <row r="432" spans="1:2" hidden="1">
      <c r="A432">
        <f>'Production Plan'!B421</f>
        <v>0</v>
      </c>
      <c r="B432" s="3" t="e">
        <f>VLOOKUP(A432,'Production Plan'!B:R,14,FALSE)</f>
        <v>#N/A</v>
      </c>
    </row>
    <row r="433" spans="1:2" hidden="1">
      <c r="A433">
        <f>'Production Plan'!B422</f>
        <v>0</v>
      </c>
      <c r="B433" s="3" t="e">
        <f>VLOOKUP(A433,'Production Plan'!B:R,14,FALSE)</f>
        <v>#N/A</v>
      </c>
    </row>
    <row r="434" spans="1:2" hidden="1">
      <c r="A434">
        <f>'Production Plan'!B423</f>
        <v>0</v>
      </c>
      <c r="B434" s="3" t="e">
        <f>VLOOKUP(A434,'Production Plan'!B:R,14,FALSE)</f>
        <v>#N/A</v>
      </c>
    </row>
    <row r="435" spans="1:2" hidden="1">
      <c r="A435">
        <f>'Production Plan'!B424</f>
        <v>0</v>
      </c>
      <c r="B435" s="3" t="e">
        <f>VLOOKUP(A435,'Production Plan'!B:R,14,FALSE)</f>
        <v>#N/A</v>
      </c>
    </row>
    <row r="436" spans="1:2" hidden="1">
      <c r="A436">
        <f>'Production Plan'!B425</f>
        <v>0</v>
      </c>
      <c r="B436" s="3" t="e">
        <f>VLOOKUP(A436,'Production Plan'!B:R,14,FALSE)</f>
        <v>#N/A</v>
      </c>
    </row>
    <row r="437" spans="1:2" hidden="1">
      <c r="A437">
        <f>'Production Plan'!B426</f>
        <v>0</v>
      </c>
      <c r="B437" s="3" t="e">
        <f>VLOOKUP(A437,'Production Plan'!B:R,14,FALSE)</f>
        <v>#N/A</v>
      </c>
    </row>
    <row r="438" spans="1:2" hidden="1">
      <c r="A438">
        <f>'Production Plan'!B427</f>
        <v>0</v>
      </c>
      <c r="B438" s="3" t="e">
        <f>VLOOKUP(A438,'Production Plan'!B:R,14,FALSE)</f>
        <v>#N/A</v>
      </c>
    </row>
    <row r="439" spans="1:2" hidden="1">
      <c r="A439">
        <f>'Production Plan'!B428</f>
        <v>0</v>
      </c>
      <c r="B439" s="3" t="e">
        <f>VLOOKUP(A439,'Production Plan'!B:R,14,FALSE)</f>
        <v>#N/A</v>
      </c>
    </row>
    <row r="440" spans="1:2" hidden="1">
      <c r="A440">
        <f>'Production Plan'!B429</f>
        <v>0</v>
      </c>
      <c r="B440" s="3" t="e">
        <f>VLOOKUP(A440,'Production Plan'!B:R,14,FALSE)</f>
        <v>#N/A</v>
      </c>
    </row>
    <row r="441" spans="1:2" hidden="1">
      <c r="A441">
        <f>'Production Plan'!B430</f>
        <v>0</v>
      </c>
      <c r="B441" s="3" t="e">
        <f>VLOOKUP(A441,'Production Plan'!B:R,14,FALSE)</f>
        <v>#N/A</v>
      </c>
    </row>
    <row r="442" spans="1:2" hidden="1">
      <c r="A442">
        <f>'Production Plan'!B431</f>
        <v>0</v>
      </c>
      <c r="B442" s="3" t="e">
        <f>VLOOKUP(A442,'Production Plan'!B:R,14,FALSE)</f>
        <v>#N/A</v>
      </c>
    </row>
    <row r="443" spans="1:2" hidden="1">
      <c r="A443">
        <f>'Production Plan'!B432</f>
        <v>0</v>
      </c>
      <c r="B443" s="3" t="e">
        <f>VLOOKUP(A443,'Production Plan'!B:R,14,FALSE)</f>
        <v>#N/A</v>
      </c>
    </row>
    <row r="444" spans="1:2" hidden="1">
      <c r="A444">
        <f>'Production Plan'!B433</f>
        <v>0</v>
      </c>
      <c r="B444" s="3" t="e">
        <f>VLOOKUP(A444,'Production Plan'!B:R,14,FALSE)</f>
        <v>#N/A</v>
      </c>
    </row>
    <row r="445" spans="1:2" hidden="1">
      <c r="A445">
        <f>'Production Plan'!B434</f>
        <v>0</v>
      </c>
      <c r="B445" s="3" t="e">
        <f>VLOOKUP(A445,'Production Plan'!B:R,14,FALSE)</f>
        <v>#N/A</v>
      </c>
    </row>
    <row r="446" spans="1:2" hidden="1">
      <c r="A446">
        <f>'Production Plan'!B435</f>
        <v>0</v>
      </c>
      <c r="B446" s="3" t="e">
        <f>VLOOKUP(A446,'Production Plan'!B:R,14,FALSE)</f>
        <v>#N/A</v>
      </c>
    </row>
    <row r="447" spans="1:2" hidden="1">
      <c r="A447">
        <f>'Production Plan'!B436</f>
        <v>0</v>
      </c>
      <c r="B447" s="3" t="e">
        <f>VLOOKUP(A447,'Production Plan'!B:R,14,FALSE)</f>
        <v>#N/A</v>
      </c>
    </row>
    <row r="448" spans="1:2" hidden="1">
      <c r="A448">
        <f>'Production Plan'!B437</f>
        <v>0</v>
      </c>
      <c r="B448" s="3" t="e">
        <f>VLOOKUP(A448,'Production Plan'!B:R,14,FALSE)</f>
        <v>#N/A</v>
      </c>
    </row>
    <row r="449" spans="1:2" hidden="1">
      <c r="A449">
        <f>'Production Plan'!B438</f>
        <v>0</v>
      </c>
      <c r="B449" s="3" t="e">
        <f>VLOOKUP(A449,'Production Plan'!B:R,14,FALSE)</f>
        <v>#N/A</v>
      </c>
    </row>
    <row r="450" spans="1:2" hidden="1">
      <c r="A450">
        <f>'Production Plan'!B439</f>
        <v>0</v>
      </c>
      <c r="B450" s="3" t="e">
        <f>VLOOKUP(A450,'Production Plan'!B:R,14,FALSE)</f>
        <v>#N/A</v>
      </c>
    </row>
    <row r="451" spans="1:2" hidden="1">
      <c r="A451">
        <f>'Production Plan'!B440</f>
        <v>0</v>
      </c>
      <c r="B451" s="3" t="e">
        <f>VLOOKUP(A451,'Production Plan'!B:R,14,FALSE)</f>
        <v>#N/A</v>
      </c>
    </row>
    <row r="452" spans="1:2" hidden="1">
      <c r="A452">
        <f>'Production Plan'!B441</f>
        <v>0</v>
      </c>
      <c r="B452" s="3" t="e">
        <f>VLOOKUP(A452,'Production Plan'!B:R,14,FALSE)</f>
        <v>#N/A</v>
      </c>
    </row>
    <row r="453" spans="1:2" hidden="1">
      <c r="A453">
        <f>'Production Plan'!B442</f>
        <v>0</v>
      </c>
      <c r="B453" s="3" t="e">
        <f>VLOOKUP(A453,'Production Plan'!B:R,14,FALSE)</f>
        <v>#N/A</v>
      </c>
    </row>
    <row r="454" spans="1:2" hidden="1">
      <c r="A454">
        <f>'Production Plan'!B443</f>
        <v>0</v>
      </c>
      <c r="B454" s="3" t="e">
        <f>VLOOKUP(A454,'Production Plan'!B:R,14,FALSE)</f>
        <v>#N/A</v>
      </c>
    </row>
    <row r="455" spans="1:2" hidden="1">
      <c r="A455">
        <f>'Production Plan'!B444</f>
        <v>0</v>
      </c>
      <c r="B455" s="3" t="e">
        <f>VLOOKUP(A455,'Production Plan'!B:R,14,FALSE)</f>
        <v>#N/A</v>
      </c>
    </row>
    <row r="456" spans="1:2" hidden="1">
      <c r="A456">
        <f>'Production Plan'!B445</f>
        <v>0</v>
      </c>
      <c r="B456" s="3" t="e">
        <f>VLOOKUP(A456,'Production Plan'!B:R,14,FALSE)</f>
        <v>#N/A</v>
      </c>
    </row>
    <row r="457" spans="1:2" hidden="1">
      <c r="A457">
        <f>'Production Plan'!B446</f>
        <v>0</v>
      </c>
      <c r="B457" s="3" t="e">
        <f>VLOOKUP(A457,'Production Plan'!B:R,14,FALSE)</f>
        <v>#N/A</v>
      </c>
    </row>
    <row r="458" spans="1:2" hidden="1">
      <c r="A458">
        <f>'Production Plan'!B447</f>
        <v>0</v>
      </c>
      <c r="B458" s="3" t="e">
        <f>VLOOKUP(A458,'Production Plan'!B:R,14,FALSE)</f>
        <v>#N/A</v>
      </c>
    </row>
    <row r="459" spans="1:2" hidden="1">
      <c r="A459">
        <f>'Production Plan'!B448</f>
        <v>0</v>
      </c>
      <c r="B459" s="3" t="e">
        <f>VLOOKUP(A459,'Production Plan'!B:R,14,FALSE)</f>
        <v>#N/A</v>
      </c>
    </row>
    <row r="460" spans="1:2" hidden="1">
      <c r="A460">
        <f>'Production Plan'!B449</f>
        <v>0</v>
      </c>
      <c r="B460" s="3" t="e">
        <f>VLOOKUP(A460,'Production Plan'!B:R,14,FALSE)</f>
        <v>#N/A</v>
      </c>
    </row>
    <row r="461" spans="1:2" hidden="1">
      <c r="A461">
        <f>'Production Plan'!B450</f>
        <v>0</v>
      </c>
      <c r="B461" s="3" t="e">
        <f>VLOOKUP(A461,'Production Plan'!B:R,14,FALSE)</f>
        <v>#N/A</v>
      </c>
    </row>
    <row r="462" spans="1:2" hidden="1">
      <c r="A462">
        <f>'Production Plan'!B451</f>
        <v>0</v>
      </c>
      <c r="B462" s="3" t="e">
        <f>VLOOKUP(A462,'Production Plan'!B:R,14,FALSE)</f>
        <v>#N/A</v>
      </c>
    </row>
    <row r="463" spans="1:2" hidden="1">
      <c r="A463">
        <f>'Production Plan'!B452</f>
        <v>0</v>
      </c>
      <c r="B463" s="3" t="e">
        <f>VLOOKUP(A463,'Production Plan'!B:R,14,FALSE)</f>
        <v>#N/A</v>
      </c>
    </row>
    <row r="464" spans="1:2" hidden="1">
      <c r="A464">
        <f>'Production Plan'!B453</f>
        <v>0</v>
      </c>
      <c r="B464" s="3" t="e">
        <f>VLOOKUP(A464,'Production Plan'!B:R,14,FALSE)</f>
        <v>#N/A</v>
      </c>
    </row>
    <row r="465" spans="1:2" hidden="1">
      <c r="A465">
        <f>'Production Plan'!B454</f>
        <v>0</v>
      </c>
      <c r="B465" s="3" t="e">
        <f>VLOOKUP(A465,'Production Plan'!B:R,14,FALSE)</f>
        <v>#N/A</v>
      </c>
    </row>
    <row r="466" spans="1:2" hidden="1">
      <c r="A466">
        <f>'Production Plan'!B455</f>
        <v>0</v>
      </c>
      <c r="B466" s="3" t="e">
        <f>VLOOKUP(A466,'Production Plan'!B:R,14,FALSE)</f>
        <v>#N/A</v>
      </c>
    </row>
    <row r="467" spans="1:2" hidden="1">
      <c r="A467">
        <f>'Production Plan'!B456</f>
        <v>0</v>
      </c>
      <c r="B467" s="3" t="e">
        <f>VLOOKUP(A467,'Production Plan'!B:R,14,FALSE)</f>
        <v>#N/A</v>
      </c>
    </row>
    <row r="468" spans="1:2" hidden="1">
      <c r="A468">
        <f>'Production Plan'!B457</f>
        <v>0</v>
      </c>
      <c r="B468" s="3" t="e">
        <f>VLOOKUP(A468,'Production Plan'!B:R,14,FALSE)</f>
        <v>#N/A</v>
      </c>
    </row>
    <row r="469" spans="1:2" hidden="1">
      <c r="A469">
        <f>'Production Plan'!B458</f>
        <v>0</v>
      </c>
      <c r="B469" s="3" t="e">
        <f>VLOOKUP(A469,'Production Plan'!B:R,14,FALSE)</f>
        <v>#N/A</v>
      </c>
    </row>
    <row r="470" spans="1:2" hidden="1">
      <c r="A470">
        <f>'Production Plan'!B459</f>
        <v>0</v>
      </c>
      <c r="B470" s="3" t="e">
        <f>VLOOKUP(A470,'Production Plan'!B:R,14,FALSE)</f>
        <v>#N/A</v>
      </c>
    </row>
    <row r="471" spans="1:2" hidden="1">
      <c r="A471">
        <f>'Production Plan'!B460</f>
        <v>0</v>
      </c>
      <c r="B471" s="3" t="e">
        <f>VLOOKUP(A471,'Production Plan'!B:R,14,FALSE)</f>
        <v>#N/A</v>
      </c>
    </row>
    <row r="472" spans="1:2" hidden="1">
      <c r="A472">
        <f>'Production Plan'!B461</f>
        <v>0</v>
      </c>
      <c r="B472" s="3" t="e">
        <f>VLOOKUP(A472,'Production Plan'!B:R,14,FALSE)</f>
        <v>#N/A</v>
      </c>
    </row>
    <row r="473" spans="1:2" hidden="1">
      <c r="A473">
        <f>'Production Plan'!B462</f>
        <v>0</v>
      </c>
      <c r="B473" s="3" t="e">
        <f>VLOOKUP(A473,'Production Plan'!B:R,14,FALSE)</f>
        <v>#N/A</v>
      </c>
    </row>
    <row r="474" spans="1:2" hidden="1">
      <c r="A474">
        <f>'Production Plan'!B463</f>
        <v>0</v>
      </c>
      <c r="B474" s="3" t="e">
        <f>VLOOKUP(A474,'Production Plan'!B:R,14,FALSE)</f>
        <v>#N/A</v>
      </c>
    </row>
    <row r="475" spans="1:2" hidden="1">
      <c r="A475">
        <f>'Production Plan'!B464</f>
        <v>0</v>
      </c>
      <c r="B475" s="3" t="e">
        <f>VLOOKUP(A475,'Production Plan'!B:R,14,FALSE)</f>
        <v>#N/A</v>
      </c>
    </row>
    <row r="476" spans="1:2" hidden="1">
      <c r="A476">
        <f>'Production Plan'!B465</f>
        <v>0</v>
      </c>
      <c r="B476" s="3" t="e">
        <f>VLOOKUP(A476,'Production Plan'!B:R,14,FALSE)</f>
        <v>#N/A</v>
      </c>
    </row>
    <row r="477" spans="1:2" hidden="1">
      <c r="A477">
        <f>'Production Plan'!B466</f>
        <v>0</v>
      </c>
      <c r="B477" s="3" t="e">
        <f>VLOOKUP(A477,'Production Plan'!B:R,14,FALSE)</f>
        <v>#N/A</v>
      </c>
    </row>
    <row r="478" spans="1:2" hidden="1">
      <c r="A478">
        <f>'Production Plan'!B467</f>
        <v>0</v>
      </c>
      <c r="B478" s="3" t="e">
        <f>VLOOKUP(A478,'Production Plan'!B:R,14,FALSE)</f>
        <v>#N/A</v>
      </c>
    </row>
    <row r="479" spans="1:2" hidden="1">
      <c r="A479">
        <f>'Production Plan'!B468</f>
        <v>0</v>
      </c>
      <c r="B479" s="3" t="e">
        <f>VLOOKUP(A479,'Production Plan'!B:R,14,FALSE)</f>
        <v>#N/A</v>
      </c>
    </row>
    <row r="480" spans="1:2" hidden="1">
      <c r="A480">
        <f>'Production Plan'!B469</f>
        <v>0</v>
      </c>
      <c r="B480" s="3" t="e">
        <f>VLOOKUP(A480,'Production Plan'!B:R,14,FALSE)</f>
        <v>#N/A</v>
      </c>
    </row>
    <row r="481" spans="1:2" hidden="1">
      <c r="A481">
        <f>'Production Plan'!B470</f>
        <v>0</v>
      </c>
      <c r="B481" s="3" t="e">
        <f>VLOOKUP(A481,'Production Plan'!B:R,14,FALSE)</f>
        <v>#N/A</v>
      </c>
    </row>
    <row r="482" spans="1:2" hidden="1">
      <c r="A482">
        <f>'Production Plan'!B471</f>
        <v>0</v>
      </c>
      <c r="B482" s="3" t="e">
        <f>VLOOKUP(A482,'Production Plan'!B:R,14,FALSE)</f>
        <v>#N/A</v>
      </c>
    </row>
    <row r="483" spans="1:2" hidden="1">
      <c r="A483">
        <f>'Production Plan'!B472</f>
        <v>0</v>
      </c>
      <c r="B483" s="3" t="e">
        <f>VLOOKUP(A483,'Production Plan'!B:R,14,FALSE)</f>
        <v>#N/A</v>
      </c>
    </row>
    <row r="484" spans="1:2" hidden="1">
      <c r="A484">
        <f>'Production Plan'!B473</f>
        <v>0</v>
      </c>
      <c r="B484" s="3" t="e">
        <f>VLOOKUP(A484,'Production Plan'!B:R,14,FALSE)</f>
        <v>#N/A</v>
      </c>
    </row>
    <row r="485" spans="1:2" hidden="1">
      <c r="A485">
        <f>'Production Plan'!B474</f>
        <v>0</v>
      </c>
      <c r="B485" s="3" t="e">
        <f>VLOOKUP(A485,'Production Plan'!B:R,14,FALSE)</f>
        <v>#N/A</v>
      </c>
    </row>
    <row r="486" spans="1:2" hidden="1">
      <c r="A486">
        <f>'Production Plan'!B475</f>
        <v>0</v>
      </c>
      <c r="B486" s="3" t="e">
        <f>VLOOKUP(A486,'Production Plan'!B:R,14,FALSE)</f>
        <v>#N/A</v>
      </c>
    </row>
    <row r="487" spans="1:2" hidden="1">
      <c r="A487">
        <f>'Production Plan'!B476</f>
        <v>0</v>
      </c>
      <c r="B487" s="3" t="e">
        <f>VLOOKUP(A487,'Production Plan'!B:R,14,FALSE)</f>
        <v>#N/A</v>
      </c>
    </row>
    <row r="488" spans="1:2" hidden="1">
      <c r="A488">
        <f>'Production Plan'!B477</f>
        <v>0</v>
      </c>
      <c r="B488" s="3" t="e">
        <f>VLOOKUP(A488,'Production Plan'!B:R,14,FALSE)</f>
        <v>#N/A</v>
      </c>
    </row>
    <row r="489" spans="1:2" hidden="1">
      <c r="A489">
        <f>'Production Plan'!B478</f>
        <v>0</v>
      </c>
      <c r="B489" s="3" t="e">
        <f>VLOOKUP(A489,'Production Plan'!B:R,14,FALSE)</f>
        <v>#N/A</v>
      </c>
    </row>
    <row r="490" spans="1:2" hidden="1">
      <c r="A490">
        <f>'Production Plan'!B479</f>
        <v>0</v>
      </c>
      <c r="B490" s="3" t="e">
        <f>VLOOKUP(A490,'Production Plan'!B:R,14,FALSE)</f>
        <v>#N/A</v>
      </c>
    </row>
    <row r="491" spans="1:2" hidden="1">
      <c r="A491">
        <f>'Production Plan'!B480</f>
        <v>0</v>
      </c>
      <c r="B491" s="3" t="e">
        <f>VLOOKUP(A491,'Production Plan'!B:R,14,FALSE)</f>
        <v>#N/A</v>
      </c>
    </row>
    <row r="492" spans="1:2" hidden="1">
      <c r="A492">
        <f>'Production Plan'!B481</f>
        <v>0</v>
      </c>
      <c r="B492" s="3" t="e">
        <f>VLOOKUP(A492,'Production Plan'!B:R,14,FALSE)</f>
        <v>#N/A</v>
      </c>
    </row>
    <row r="493" spans="1:2" hidden="1">
      <c r="A493">
        <f>'Production Plan'!B482</f>
        <v>0</v>
      </c>
      <c r="B493" s="3" t="e">
        <f>VLOOKUP(A493,'Production Plan'!B:R,14,FALSE)</f>
        <v>#N/A</v>
      </c>
    </row>
    <row r="494" spans="1:2" hidden="1">
      <c r="A494">
        <f>'Production Plan'!B483</f>
        <v>0</v>
      </c>
      <c r="B494" s="3" t="e">
        <f>VLOOKUP(A494,'Production Plan'!B:R,14,FALSE)</f>
        <v>#N/A</v>
      </c>
    </row>
    <row r="495" spans="1:2" hidden="1">
      <c r="A495">
        <f>'Production Plan'!B484</f>
        <v>0</v>
      </c>
      <c r="B495" s="3" t="e">
        <f>VLOOKUP(A495,'Production Plan'!B:R,14,FALSE)</f>
        <v>#N/A</v>
      </c>
    </row>
    <row r="496" spans="1:2" hidden="1">
      <c r="A496">
        <f>'Production Plan'!B485</f>
        <v>0</v>
      </c>
      <c r="B496" s="3" t="e">
        <f>VLOOKUP(A496,'Production Plan'!B:R,14,FALSE)</f>
        <v>#N/A</v>
      </c>
    </row>
    <row r="497" spans="1:2" hidden="1">
      <c r="A497">
        <f>'Production Plan'!B486</f>
        <v>0</v>
      </c>
      <c r="B497" s="3" t="e">
        <f>VLOOKUP(A497,'Production Plan'!B:R,14,FALSE)</f>
        <v>#N/A</v>
      </c>
    </row>
    <row r="498" spans="1:2" hidden="1">
      <c r="A498">
        <f>'Production Plan'!B487</f>
        <v>0</v>
      </c>
      <c r="B498" s="3" t="e">
        <f>VLOOKUP(A498,'Production Plan'!B:R,14,FALSE)</f>
        <v>#N/A</v>
      </c>
    </row>
    <row r="499" spans="1:2" hidden="1">
      <c r="A499">
        <f>'Production Plan'!B488</f>
        <v>0</v>
      </c>
      <c r="B499" s="3" t="e">
        <f>VLOOKUP(A499,'Production Plan'!B:R,14,FALSE)</f>
        <v>#N/A</v>
      </c>
    </row>
    <row r="500" spans="1:2" hidden="1">
      <c r="A500">
        <f>'Production Plan'!B489</f>
        <v>0</v>
      </c>
      <c r="B500" s="3" t="e">
        <f>VLOOKUP(A500,'Production Plan'!B:R,14,FALSE)</f>
        <v>#N/A</v>
      </c>
    </row>
    <row r="501" spans="1:2" hidden="1">
      <c r="A501">
        <f>'Production Plan'!B490</f>
        <v>0</v>
      </c>
      <c r="B501" s="3" t="e">
        <f>VLOOKUP(A501,'Production Plan'!B:R,14,FALSE)</f>
        <v>#N/A</v>
      </c>
    </row>
    <row r="502" spans="1:2" hidden="1">
      <c r="A502">
        <f>'Production Plan'!B491</f>
        <v>0</v>
      </c>
      <c r="B502" s="3" t="e">
        <f>VLOOKUP(A502,'Production Plan'!B:R,14,FALSE)</f>
        <v>#N/A</v>
      </c>
    </row>
    <row r="503" spans="1:2" hidden="1">
      <c r="A503">
        <f>'Production Plan'!B492</f>
        <v>0</v>
      </c>
      <c r="B503" s="3" t="e">
        <f>VLOOKUP(A503,'Production Plan'!B:R,14,FALSE)</f>
        <v>#N/A</v>
      </c>
    </row>
    <row r="504" spans="1:2" hidden="1">
      <c r="A504">
        <f>'Production Plan'!B493</f>
        <v>0</v>
      </c>
      <c r="B504" s="3" t="e">
        <f>VLOOKUP(A504,'Production Plan'!B:R,14,FALSE)</f>
        <v>#N/A</v>
      </c>
    </row>
    <row r="505" spans="1:2" hidden="1">
      <c r="A505">
        <f>'Production Plan'!B494</f>
        <v>0</v>
      </c>
      <c r="B505" s="3" t="e">
        <f>VLOOKUP(A505,'Production Plan'!B:R,14,FALSE)</f>
        <v>#N/A</v>
      </c>
    </row>
    <row r="506" spans="1:2" hidden="1">
      <c r="A506">
        <f>'Production Plan'!B495</f>
        <v>0</v>
      </c>
      <c r="B506" s="3" t="e">
        <f>VLOOKUP(A506,'Production Plan'!B:R,14,FALSE)</f>
        <v>#N/A</v>
      </c>
    </row>
    <row r="507" spans="1:2" hidden="1">
      <c r="A507">
        <f>'Production Plan'!B496</f>
        <v>0</v>
      </c>
      <c r="B507" s="3" t="e">
        <f>VLOOKUP(A507,'Production Plan'!B:R,14,FALSE)</f>
        <v>#N/A</v>
      </c>
    </row>
    <row r="508" spans="1:2" hidden="1">
      <c r="A508">
        <f>'Production Plan'!B497</f>
        <v>0</v>
      </c>
      <c r="B508" s="3" t="e">
        <f>VLOOKUP(A508,'Production Plan'!B:R,14,FALSE)</f>
        <v>#N/A</v>
      </c>
    </row>
    <row r="509" spans="1:2" hidden="1">
      <c r="A509">
        <f>'Production Plan'!B498</f>
        <v>0</v>
      </c>
      <c r="B509" s="3" t="e">
        <f>VLOOKUP(A509,'Production Plan'!B:R,14,FALSE)</f>
        <v>#N/A</v>
      </c>
    </row>
    <row r="510" spans="1:2" hidden="1">
      <c r="A510">
        <f>'Production Plan'!B499</f>
        <v>0</v>
      </c>
      <c r="B510" s="3" t="e">
        <f>VLOOKUP(A510,'Production Plan'!B:R,14,FALSE)</f>
        <v>#N/A</v>
      </c>
    </row>
    <row r="511" spans="1:2" hidden="1">
      <c r="A511">
        <f>'Production Plan'!B500</f>
        <v>0</v>
      </c>
      <c r="B511" s="3" t="e">
        <f>VLOOKUP(A511,'Production Plan'!B:R,14,FALSE)</f>
        <v>#N/A</v>
      </c>
    </row>
    <row r="512" spans="1:2" hidden="1">
      <c r="A512">
        <f>'Production Plan'!B501</f>
        <v>0</v>
      </c>
      <c r="B512" s="3" t="e">
        <f>VLOOKUP(A512,'Production Plan'!B:R,14,FALSE)</f>
        <v>#N/A</v>
      </c>
    </row>
    <row r="513" spans="1:2" hidden="1">
      <c r="A513">
        <f>'Production Plan'!B502</f>
        <v>0</v>
      </c>
      <c r="B513" s="3" t="e">
        <f>VLOOKUP(A513,'Production Plan'!B:R,14,FALSE)</f>
        <v>#N/A</v>
      </c>
    </row>
    <row r="514" spans="1:2" hidden="1">
      <c r="A514">
        <f>'Production Plan'!B503</f>
        <v>0</v>
      </c>
      <c r="B514" s="3" t="e">
        <f>VLOOKUP(A514,'Production Plan'!B:R,14,FALSE)</f>
        <v>#N/A</v>
      </c>
    </row>
    <row r="515" spans="1:2" hidden="1">
      <c r="A515">
        <f>'Production Plan'!B504</f>
        <v>0</v>
      </c>
      <c r="B515" s="3" t="e">
        <f>VLOOKUP(A515,'Production Plan'!B:R,14,FALSE)</f>
        <v>#N/A</v>
      </c>
    </row>
    <row r="516" spans="1:2" hidden="1">
      <c r="A516">
        <f>'Production Plan'!B505</f>
        <v>0</v>
      </c>
      <c r="B516" s="3" t="e">
        <f>VLOOKUP(A516,'Production Plan'!B:R,14,FALSE)</f>
        <v>#N/A</v>
      </c>
    </row>
    <row r="517" spans="1:2" hidden="1">
      <c r="A517">
        <f>'Production Plan'!B506</f>
        <v>0</v>
      </c>
      <c r="B517" s="3" t="e">
        <f>VLOOKUP(A517,'Production Plan'!B:R,14,FALSE)</f>
        <v>#N/A</v>
      </c>
    </row>
    <row r="518" spans="1:2" hidden="1">
      <c r="A518">
        <f>'Production Plan'!B507</f>
        <v>0</v>
      </c>
      <c r="B518" s="3" t="e">
        <f>VLOOKUP(A518,'Production Plan'!B:R,14,FALSE)</f>
        <v>#N/A</v>
      </c>
    </row>
    <row r="519" spans="1:2" hidden="1">
      <c r="A519">
        <f>'Production Plan'!B508</f>
        <v>0</v>
      </c>
      <c r="B519" s="3" t="e">
        <f>VLOOKUP(A519,'Production Plan'!B:R,14,FALSE)</f>
        <v>#N/A</v>
      </c>
    </row>
    <row r="520" spans="1:2" hidden="1">
      <c r="A520">
        <f>'Production Plan'!B509</f>
        <v>0</v>
      </c>
      <c r="B520" s="3" t="e">
        <f>VLOOKUP(A520,'Production Plan'!B:R,14,FALSE)</f>
        <v>#N/A</v>
      </c>
    </row>
    <row r="521" spans="1:2" hidden="1">
      <c r="A521">
        <f>'Production Plan'!B510</f>
        <v>0</v>
      </c>
      <c r="B521" s="3" t="e">
        <f>VLOOKUP(A521,'Production Plan'!B:R,14,FALSE)</f>
        <v>#N/A</v>
      </c>
    </row>
    <row r="522" spans="1:2" hidden="1">
      <c r="A522">
        <f>'Production Plan'!B511</f>
        <v>0</v>
      </c>
      <c r="B522" s="3" t="e">
        <f>VLOOKUP(A522,'Production Plan'!B:R,14,FALSE)</f>
        <v>#N/A</v>
      </c>
    </row>
    <row r="523" spans="1:2" hidden="1">
      <c r="A523">
        <f>'Production Plan'!B512</f>
        <v>0</v>
      </c>
      <c r="B523" s="3" t="e">
        <f>VLOOKUP(A523,'Production Plan'!B:R,14,FALSE)</f>
        <v>#N/A</v>
      </c>
    </row>
    <row r="524" spans="1:2" hidden="1">
      <c r="A524">
        <f>'Production Plan'!B513</f>
        <v>0</v>
      </c>
      <c r="B524" s="3" t="e">
        <f>VLOOKUP(A524,'Production Plan'!B:R,14,FALSE)</f>
        <v>#N/A</v>
      </c>
    </row>
    <row r="525" spans="1:2" hidden="1">
      <c r="A525">
        <f>'Production Plan'!B514</f>
        <v>0</v>
      </c>
      <c r="B525" s="3" t="e">
        <f>VLOOKUP(A525,'Production Plan'!B:R,14,FALSE)</f>
        <v>#N/A</v>
      </c>
    </row>
    <row r="526" spans="1:2" hidden="1">
      <c r="A526">
        <f>'Production Plan'!B515</f>
        <v>0</v>
      </c>
      <c r="B526" s="3" t="e">
        <f>VLOOKUP(A526,'Production Plan'!B:R,14,FALSE)</f>
        <v>#N/A</v>
      </c>
    </row>
    <row r="527" spans="1:2" hidden="1">
      <c r="A527">
        <f>'Production Plan'!B516</f>
        <v>0</v>
      </c>
      <c r="B527" s="3" t="e">
        <f>VLOOKUP(A527,'Production Plan'!B:R,14,FALSE)</f>
        <v>#N/A</v>
      </c>
    </row>
    <row r="528" spans="1:2" hidden="1">
      <c r="A528">
        <f>'Production Plan'!B517</f>
        <v>0</v>
      </c>
      <c r="B528" s="3" t="e">
        <f>VLOOKUP(A528,'Production Plan'!B:R,14,FALSE)</f>
        <v>#N/A</v>
      </c>
    </row>
    <row r="529" spans="1:2" hidden="1">
      <c r="A529">
        <f>'Production Plan'!B518</f>
        <v>0</v>
      </c>
      <c r="B529" s="3" t="e">
        <f>VLOOKUP(A529,'Production Plan'!B:R,14,FALSE)</f>
        <v>#N/A</v>
      </c>
    </row>
    <row r="530" spans="1:2" hidden="1">
      <c r="A530">
        <f>'Production Plan'!B519</f>
        <v>0</v>
      </c>
      <c r="B530" s="3" t="e">
        <f>VLOOKUP(A530,'Production Plan'!B:R,14,FALSE)</f>
        <v>#N/A</v>
      </c>
    </row>
    <row r="531" spans="1:2" hidden="1">
      <c r="A531">
        <f>'Production Plan'!B520</f>
        <v>0</v>
      </c>
      <c r="B531" s="3" t="e">
        <f>VLOOKUP(A531,'Production Plan'!B:R,14,FALSE)</f>
        <v>#N/A</v>
      </c>
    </row>
    <row r="532" spans="1:2" hidden="1">
      <c r="A532">
        <f>'Production Plan'!B521</f>
        <v>0</v>
      </c>
      <c r="B532" s="3" t="e">
        <f>VLOOKUP(A532,'Production Plan'!B:R,14,FALSE)</f>
        <v>#N/A</v>
      </c>
    </row>
    <row r="533" spans="1:2" hidden="1">
      <c r="A533">
        <f>'Production Plan'!B522</f>
        <v>0</v>
      </c>
      <c r="B533" s="3" t="e">
        <f>VLOOKUP(A533,'Production Plan'!B:R,14,FALSE)</f>
        <v>#N/A</v>
      </c>
    </row>
    <row r="534" spans="1:2" hidden="1">
      <c r="A534">
        <f>'Production Plan'!B523</f>
        <v>0</v>
      </c>
      <c r="B534" s="3" t="e">
        <f>VLOOKUP(A534,'Production Plan'!B:R,14,FALSE)</f>
        <v>#N/A</v>
      </c>
    </row>
    <row r="535" spans="1:2" hidden="1">
      <c r="A535">
        <f>'Production Plan'!B524</f>
        <v>0</v>
      </c>
      <c r="B535" s="3" t="e">
        <f>VLOOKUP(A535,'Production Plan'!B:R,14,FALSE)</f>
        <v>#N/A</v>
      </c>
    </row>
    <row r="536" spans="1:2" hidden="1">
      <c r="A536">
        <f>'Production Plan'!B525</f>
        <v>0</v>
      </c>
      <c r="B536" s="3" t="e">
        <f>VLOOKUP(A536,'Production Plan'!B:R,14,FALSE)</f>
        <v>#N/A</v>
      </c>
    </row>
    <row r="537" spans="1:2" hidden="1">
      <c r="A537">
        <f>'Production Plan'!B526</f>
        <v>0</v>
      </c>
      <c r="B537" s="3" t="e">
        <f>VLOOKUP(A537,'Production Plan'!B:R,14,FALSE)</f>
        <v>#N/A</v>
      </c>
    </row>
    <row r="538" spans="1:2" hidden="1">
      <c r="A538">
        <f>'Production Plan'!B527</f>
        <v>0</v>
      </c>
      <c r="B538" s="3" t="e">
        <f>VLOOKUP(A538,'Production Plan'!B:R,14,FALSE)</f>
        <v>#N/A</v>
      </c>
    </row>
    <row r="539" spans="1:2" hidden="1">
      <c r="A539">
        <f>'Production Plan'!B528</f>
        <v>0</v>
      </c>
      <c r="B539" s="3" t="e">
        <f>VLOOKUP(A539,'Production Plan'!B:R,14,FALSE)</f>
        <v>#N/A</v>
      </c>
    </row>
    <row r="540" spans="1:2" hidden="1">
      <c r="A540">
        <f>'Production Plan'!B529</f>
        <v>0</v>
      </c>
      <c r="B540" s="3" t="e">
        <f>VLOOKUP(A540,'Production Plan'!B:R,14,FALSE)</f>
        <v>#N/A</v>
      </c>
    </row>
    <row r="541" spans="1:2" hidden="1">
      <c r="A541">
        <f>'Production Plan'!B530</f>
        <v>0</v>
      </c>
      <c r="B541" s="3" t="e">
        <f>VLOOKUP(A541,'Production Plan'!B:R,14,FALSE)</f>
        <v>#N/A</v>
      </c>
    </row>
    <row r="542" spans="1:2" hidden="1">
      <c r="A542">
        <f>'Production Plan'!B531</f>
        <v>0</v>
      </c>
      <c r="B542" s="3" t="e">
        <f>VLOOKUP(A542,'Production Plan'!B:R,14,FALSE)</f>
        <v>#N/A</v>
      </c>
    </row>
    <row r="543" spans="1:2" hidden="1">
      <c r="A543">
        <f>'Production Plan'!B532</f>
        <v>0</v>
      </c>
      <c r="B543" s="3" t="e">
        <f>VLOOKUP(A543,'Production Plan'!B:R,14,FALSE)</f>
        <v>#N/A</v>
      </c>
    </row>
    <row r="544" spans="1:2" hidden="1">
      <c r="A544">
        <f>'Production Plan'!B533</f>
        <v>0</v>
      </c>
      <c r="B544" s="3" t="e">
        <f>VLOOKUP(A544,'Production Plan'!B:R,14,FALSE)</f>
        <v>#N/A</v>
      </c>
    </row>
    <row r="545" spans="1:2" hidden="1">
      <c r="A545">
        <f>'Production Plan'!B534</f>
        <v>0</v>
      </c>
      <c r="B545" s="3" t="e">
        <f>VLOOKUP(A545,'Production Plan'!B:R,14,FALSE)</f>
        <v>#N/A</v>
      </c>
    </row>
    <row r="546" spans="1:2" hidden="1">
      <c r="A546">
        <f>'Production Plan'!B535</f>
        <v>0</v>
      </c>
      <c r="B546" s="3" t="e">
        <f>VLOOKUP(A546,'Production Plan'!B:R,14,FALSE)</f>
        <v>#N/A</v>
      </c>
    </row>
    <row r="547" spans="1:2" hidden="1">
      <c r="A547">
        <f>'Production Plan'!B536</f>
        <v>0</v>
      </c>
      <c r="B547" s="3" t="e">
        <f>VLOOKUP(A547,'Production Plan'!B:R,14,FALSE)</f>
        <v>#N/A</v>
      </c>
    </row>
    <row r="548" spans="1:2" hidden="1">
      <c r="A548">
        <f>'Production Plan'!B537</f>
        <v>0</v>
      </c>
      <c r="B548" s="3" t="e">
        <f>VLOOKUP(A548,'Production Plan'!B:R,14,FALSE)</f>
        <v>#N/A</v>
      </c>
    </row>
    <row r="549" spans="1:2" hidden="1">
      <c r="A549">
        <f>'Production Plan'!B538</f>
        <v>0</v>
      </c>
      <c r="B549" s="3" t="e">
        <f>VLOOKUP(A549,'Production Plan'!B:R,14,FALSE)</f>
        <v>#N/A</v>
      </c>
    </row>
    <row r="550" spans="1:2" hidden="1">
      <c r="A550">
        <f>'Production Plan'!B539</f>
        <v>0</v>
      </c>
      <c r="B550" s="3" t="e">
        <f>VLOOKUP(A550,'Production Plan'!B:R,14,FALSE)</f>
        <v>#N/A</v>
      </c>
    </row>
    <row r="551" spans="1:2" hidden="1">
      <c r="A551">
        <f>'Production Plan'!B540</f>
        <v>0</v>
      </c>
      <c r="B551" s="3" t="e">
        <f>VLOOKUP(A551,'Production Plan'!B:R,14,FALSE)</f>
        <v>#N/A</v>
      </c>
    </row>
    <row r="552" spans="1:2" hidden="1">
      <c r="A552">
        <f>'Production Plan'!B541</f>
        <v>0</v>
      </c>
      <c r="B552" s="3" t="e">
        <f>VLOOKUP(A552,'Production Plan'!B:R,14,FALSE)</f>
        <v>#N/A</v>
      </c>
    </row>
    <row r="553" spans="1:2" hidden="1">
      <c r="A553">
        <f>'Production Plan'!B542</f>
        <v>0</v>
      </c>
      <c r="B553" s="3" t="e">
        <f>VLOOKUP(A553,'Production Plan'!B:R,14,FALSE)</f>
        <v>#N/A</v>
      </c>
    </row>
    <row r="554" spans="1:2" hidden="1">
      <c r="A554">
        <f>'Production Plan'!B543</f>
        <v>0</v>
      </c>
      <c r="B554" s="3" t="e">
        <f>VLOOKUP(A554,'Production Plan'!B:R,14,FALSE)</f>
        <v>#N/A</v>
      </c>
    </row>
    <row r="555" spans="1:2" hidden="1">
      <c r="A555">
        <f>'Production Plan'!B544</f>
        <v>0</v>
      </c>
      <c r="B555" s="3" t="e">
        <f>VLOOKUP(A555,'Production Plan'!B:R,14,FALSE)</f>
        <v>#N/A</v>
      </c>
    </row>
    <row r="556" spans="1:2" hidden="1">
      <c r="A556">
        <f>'Production Plan'!B545</f>
        <v>0</v>
      </c>
      <c r="B556" s="3" t="e">
        <f>VLOOKUP(A556,'Production Plan'!B:R,14,FALSE)</f>
        <v>#N/A</v>
      </c>
    </row>
    <row r="557" spans="1:2" hidden="1">
      <c r="A557">
        <f>'Production Plan'!B546</f>
        <v>0</v>
      </c>
      <c r="B557" s="3" t="e">
        <f>VLOOKUP(A557,'Production Plan'!B:R,14,FALSE)</f>
        <v>#N/A</v>
      </c>
    </row>
    <row r="558" spans="1:2" hidden="1">
      <c r="A558">
        <f>'Production Plan'!B547</f>
        <v>0</v>
      </c>
      <c r="B558" s="3" t="e">
        <f>VLOOKUP(A558,'Production Plan'!B:R,14,FALSE)</f>
        <v>#N/A</v>
      </c>
    </row>
    <row r="559" spans="1:2" hidden="1">
      <c r="A559">
        <f>'Production Plan'!B548</f>
        <v>0</v>
      </c>
      <c r="B559" s="3" t="e">
        <f>VLOOKUP(A559,'Production Plan'!B:R,14,FALSE)</f>
        <v>#N/A</v>
      </c>
    </row>
    <row r="560" spans="1:2" hidden="1">
      <c r="A560">
        <f>'Production Plan'!B549</f>
        <v>0</v>
      </c>
      <c r="B560" s="3" t="e">
        <f>VLOOKUP(A560,'Production Plan'!B:R,14,FALSE)</f>
        <v>#N/A</v>
      </c>
    </row>
    <row r="561" spans="1:2" hidden="1">
      <c r="A561">
        <f>'Production Plan'!B550</f>
        <v>0</v>
      </c>
      <c r="B561" s="3" t="e">
        <f>VLOOKUP(A561,'Production Plan'!B:R,14,FALSE)</f>
        <v>#N/A</v>
      </c>
    </row>
    <row r="562" spans="1:2" hidden="1">
      <c r="A562">
        <f>'Production Plan'!B551</f>
        <v>0</v>
      </c>
      <c r="B562" s="3" t="e">
        <f>VLOOKUP(A562,'Production Plan'!B:R,14,FALSE)</f>
        <v>#N/A</v>
      </c>
    </row>
    <row r="563" spans="1:2" hidden="1">
      <c r="A563">
        <f>'Production Plan'!B552</f>
        <v>0</v>
      </c>
      <c r="B563" s="3" t="e">
        <f>VLOOKUP(A563,'Production Plan'!B:R,14,FALSE)</f>
        <v>#N/A</v>
      </c>
    </row>
    <row r="564" spans="1:2" hidden="1">
      <c r="A564">
        <f>'Production Plan'!B553</f>
        <v>0</v>
      </c>
      <c r="B564" s="3" t="e">
        <f>VLOOKUP(A564,'Production Plan'!B:R,14,FALSE)</f>
        <v>#N/A</v>
      </c>
    </row>
    <row r="565" spans="1:2" hidden="1">
      <c r="A565">
        <f>'Production Plan'!B554</f>
        <v>0</v>
      </c>
      <c r="B565" s="3" t="e">
        <f>VLOOKUP(A565,'Production Plan'!B:R,14,FALSE)</f>
        <v>#N/A</v>
      </c>
    </row>
    <row r="566" spans="1:2" hidden="1">
      <c r="A566">
        <f>'Production Plan'!B555</f>
        <v>0</v>
      </c>
      <c r="B566" s="3" t="e">
        <f>VLOOKUP(A566,'Production Plan'!B:R,14,FALSE)</f>
        <v>#N/A</v>
      </c>
    </row>
    <row r="567" spans="1:2" hidden="1">
      <c r="A567">
        <f>'Production Plan'!B556</f>
        <v>0</v>
      </c>
      <c r="B567" s="3" t="e">
        <f>VLOOKUP(A567,'Production Plan'!B:R,14,FALSE)</f>
        <v>#N/A</v>
      </c>
    </row>
    <row r="568" spans="1:2" hidden="1">
      <c r="A568">
        <f>'Production Plan'!B557</f>
        <v>0</v>
      </c>
      <c r="B568" s="3" t="e">
        <f>VLOOKUP(A568,'Production Plan'!B:R,14,FALSE)</f>
        <v>#N/A</v>
      </c>
    </row>
    <row r="569" spans="1:2" hidden="1">
      <c r="A569">
        <f>'Production Plan'!B558</f>
        <v>0</v>
      </c>
      <c r="B569" s="3" t="e">
        <f>VLOOKUP(A569,'Production Plan'!B:R,14,FALSE)</f>
        <v>#N/A</v>
      </c>
    </row>
    <row r="570" spans="1:2" hidden="1">
      <c r="A570">
        <f>'Production Plan'!B559</f>
        <v>0</v>
      </c>
      <c r="B570" s="3" t="e">
        <f>VLOOKUP(A570,'Production Plan'!B:R,14,FALSE)</f>
        <v>#N/A</v>
      </c>
    </row>
    <row r="571" spans="1:2" hidden="1">
      <c r="A571">
        <f>'Production Plan'!B560</f>
        <v>0</v>
      </c>
      <c r="B571" s="3" t="e">
        <f>VLOOKUP(A571,'Production Plan'!B:R,14,FALSE)</f>
        <v>#N/A</v>
      </c>
    </row>
    <row r="572" spans="1:2" hidden="1">
      <c r="A572">
        <f>'Production Plan'!B561</f>
        <v>0</v>
      </c>
      <c r="B572" s="3" t="e">
        <f>VLOOKUP(A572,'Production Plan'!B:R,14,FALSE)</f>
        <v>#N/A</v>
      </c>
    </row>
    <row r="573" spans="1:2" hidden="1">
      <c r="A573">
        <f>'Production Plan'!B562</f>
        <v>0</v>
      </c>
      <c r="B573" s="3" t="e">
        <f>VLOOKUP(A573,'Production Plan'!B:R,14,FALSE)</f>
        <v>#N/A</v>
      </c>
    </row>
    <row r="574" spans="1:2" hidden="1">
      <c r="A574">
        <f>'Production Plan'!B563</f>
        <v>0</v>
      </c>
      <c r="B574" s="3" t="e">
        <f>VLOOKUP(A574,'Production Plan'!B:R,14,FALSE)</f>
        <v>#N/A</v>
      </c>
    </row>
    <row r="575" spans="1:2" hidden="1">
      <c r="A575">
        <f>'Production Plan'!B564</f>
        <v>0</v>
      </c>
      <c r="B575" s="3" t="e">
        <f>VLOOKUP(A575,'Production Plan'!B:R,14,FALSE)</f>
        <v>#N/A</v>
      </c>
    </row>
    <row r="576" spans="1:2" hidden="1">
      <c r="A576">
        <f>'Production Plan'!B565</f>
        <v>0</v>
      </c>
      <c r="B576" s="3" t="e">
        <f>VLOOKUP(A576,'Production Plan'!B:R,14,FALSE)</f>
        <v>#N/A</v>
      </c>
    </row>
    <row r="577" spans="1:2" hidden="1">
      <c r="A577">
        <f>'Production Plan'!B566</f>
        <v>0</v>
      </c>
      <c r="B577" s="3" t="e">
        <f>VLOOKUP(A577,'Production Plan'!B:R,14,FALSE)</f>
        <v>#N/A</v>
      </c>
    </row>
    <row r="578" spans="1:2" hidden="1">
      <c r="A578">
        <f>'Production Plan'!B567</f>
        <v>0</v>
      </c>
      <c r="B578" s="3" t="e">
        <f>VLOOKUP(A578,'Production Plan'!B:R,14,FALSE)</f>
        <v>#N/A</v>
      </c>
    </row>
    <row r="579" spans="1:2" hidden="1">
      <c r="A579">
        <f>'Production Plan'!B568</f>
        <v>0</v>
      </c>
      <c r="B579" s="3" t="e">
        <f>VLOOKUP(A579,'Production Plan'!B:R,14,FALSE)</f>
        <v>#N/A</v>
      </c>
    </row>
    <row r="580" spans="1:2" hidden="1">
      <c r="A580">
        <f>'Production Plan'!B569</f>
        <v>0</v>
      </c>
      <c r="B580" s="3" t="e">
        <f>VLOOKUP(A580,'Production Plan'!B:R,14,FALSE)</f>
        <v>#N/A</v>
      </c>
    </row>
    <row r="581" spans="1:2" hidden="1">
      <c r="A581">
        <f>'Production Plan'!B570</f>
        <v>0</v>
      </c>
      <c r="B581" s="3" t="e">
        <f>VLOOKUP(A581,'Production Plan'!B:R,14,FALSE)</f>
        <v>#N/A</v>
      </c>
    </row>
    <row r="582" spans="1:2" hidden="1">
      <c r="A582">
        <f>'Production Plan'!B571</f>
        <v>0</v>
      </c>
      <c r="B582" s="3" t="e">
        <f>VLOOKUP(A582,'Production Plan'!B:R,14,FALSE)</f>
        <v>#N/A</v>
      </c>
    </row>
    <row r="583" spans="1:2" hidden="1">
      <c r="A583">
        <f>'Production Plan'!B572</f>
        <v>0</v>
      </c>
      <c r="B583" s="3" t="e">
        <f>VLOOKUP(A583,'Production Plan'!B:R,14,FALSE)</f>
        <v>#N/A</v>
      </c>
    </row>
    <row r="584" spans="1:2" hidden="1">
      <c r="A584">
        <f>'Production Plan'!B573</f>
        <v>0</v>
      </c>
      <c r="B584" s="3" t="e">
        <f>VLOOKUP(A584,'Production Plan'!B:R,14,FALSE)</f>
        <v>#N/A</v>
      </c>
    </row>
    <row r="585" spans="1:2" hidden="1">
      <c r="A585">
        <f>'Production Plan'!B574</f>
        <v>0</v>
      </c>
      <c r="B585" s="3" t="e">
        <f>VLOOKUP(A585,'Production Plan'!B:R,14,FALSE)</f>
        <v>#N/A</v>
      </c>
    </row>
    <row r="586" spans="1:2" hidden="1">
      <c r="A586">
        <f>'Production Plan'!B575</f>
        <v>0</v>
      </c>
      <c r="B586" s="3" t="e">
        <f>VLOOKUP(A586,'Production Plan'!B:R,14,FALSE)</f>
        <v>#N/A</v>
      </c>
    </row>
    <row r="587" spans="1:2" hidden="1">
      <c r="A587">
        <f>'Production Plan'!B576</f>
        <v>0</v>
      </c>
      <c r="B587" s="3" t="e">
        <f>VLOOKUP(A587,'Production Plan'!B:R,14,FALSE)</f>
        <v>#N/A</v>
      </c>
    </row>
    <row r="588" spans="1:2" hidden="1">
      <c r="A588">
        <f>'Production Plan'!B577</f>
        <v>0</v>
      </c>
      <c r="B588" s="3" t="e">
        <f>VLOOKUP(A588,'Production Plan'!B:R,14,FALSE)</f>
        <v>#N/A</v>
      </c>
    </row>
    <row r="589" spans="1:2" hidden="1">
      <c r="A589">
        <f>'Production Plan'!B578</f>
        <v>0</v>
      </c>
      <c r="B589" s="3" t="e">
        <f>VLOOKUP(A589,'Production Plan'!B:R,14,FALSE)</f>
        <v>#N/A</v>
      </c>
    </row>
    <row r="590" spans="1:2" hidden="1">
      <c r="A590">
        <f>'Production Plan'!B579</f>
        <v>0</v>
      </c>
      <c r="B590" s="3" t="e">
        <f>VLOOKUP(A590,'Production Plan'!B:R,14,FALSE)</f>
        <v>#N/A</v>
      </c>
    </row>
    <row r="591" spans="1:2" hidden="1">
      <c r="A591">
        <f>'Production Plan'!B580</f>
        <v>0</v>
      </c>
      <c r="B591" s="3" t="e">
        <f>VLOOKUP(A591,'Production Plan'!B:R,14,FALSE)</f>
        <v>#N/A</v>
      </c>
    </row>
    <row r="592" spans="1:2" hidden="1">
      <c r="A592">
        <f>'Production Plan'!B581</f>
        <v>0</v>
      </c>
      <c r="B592" s="3" t="e">
        <f>VLOOKUP(A592,'Production Plan'!B:R,14,FALSE)</f>
        <v>#N/A</v>
      </c>
    </row>
    <row r="593" spans="1:2" hidden="1">
      <c r="A593">
        <f>'Production Plan'!B582</f>
        <v>0</v>
      </c>
      <c r="B593" s="3" t="e">
        <f>VLOOKUP(A593,'Production Plan'!B:R,14,FALSE)</f>
        <v>#N/A</v>
      </c>
    </row>
    <row r="594" spans="1:2" hidden="1">
      <c r="A594">
        <f>'Production Plan'!B583</f>
        <v>0</v>
      </c>
      <c r="B594" s="3" t="e">
        <f>VLOOKUP(A594,'Production Plan'!B:R,14,FALSE)</f>
        <v>#N/A</v>
      </c>
    </row>
    <row r="595" spans="1:2" hidden="1">
      <c r="A595">
        <f>'Production Plan'!B584</f>
        <v>0</v>
      </c>
      <c r="B595" s="3" t="e">
        <f>VLOOKUP(A595,'Production Plan'!B:R,14,FALSE)</f>
        <v>#N/A</v>
      </c>
    </row>
    <row r="596" spans="1:2" hidden="1">
      <c r="A596">
        <f>'Production Plan'!B585</f>
        <v>0</v>
      </c>
      <c r="B596" s="3" t="e">
        <f>VLOOKUP(A596,'Production Plan'!B:R,14,FALSE)</f>
        <v>#N/A</v>
      </c>
    </row>
    <row r="597" spans="1:2" hidden="1">
      <c r="A597">
        <f>'Production Plan'!B586</f>
        <v>0</v>
      </c>
      <c r="B597" s="3" t="e">
        <f>VLOOKUP(A597,'Production Plan'!B:R,14,FALSE)</f>
        <v>#N/A</v>
      </c>
    </row>
    <row r="598" spans="1:2" hidden="1">
      <c r="A598">
        <f>'Production Plan'!B587</f>
        <v>0</v>
      </c>
      <c r="B598" s="3" t="e">
        <f>VLOOKUP(A598,'Production Plan'!B:R,14,FALSE)</f>
        <v>#N/A</v>
      </c>
    </row>
    <row r="599" spans="1:2" hidden="1">
      <c r="A599">
        <f>'Production Plan'!B588</f>
        <v>0</v>
      </c>
      <c r="B599" s="3" t="e">
        <f>VLOOKUP(A599,'Production Plan'!B:R,14,FALSE)</f>
        <v>#N/A</v>
      </c>
    </row>
    <row r="600" spans="1:2" hidden="1">
      <c r="A600">
        <f>'Production Plan'!B589</f>
        <v>0</v>
      </c>
      <c r="B600" s="3" t="e">
        <f>VLOOKUP(A600,'Production Plan'!B:R,14,FALSE)</f>
        <v>#N/A</v>
      </c>
    </row>
    <row r="601" spans="1:2" hidden="1">
      <c r="A601">
        <f>'Production Plan'!B590</f>
        <v>0</v>
      </c>
      <c r="B601" s="3" t="e">
        <f>VLOOKUP(A601,'Production Plan'!B:R,14,FALSE)</f>
        <v>#N/A</v>
      </c>
    </row>
    <row r="602" spans="1:2" hidden="1">
      <c r="A602">
        <f>'Production Plan'!B591</f>
        <v>0</v>
      </c>
      <c r="B602" s="3" t="e">
        <f>VLOOKUP(A602,'Production Plan'!B:R,14,FALSE)</f>
        <v>#N/A</v>
      </c>
    </row>
    <row r="603" spans="1:2" hidden="1">
      <c r="A603">
        <f>'Production Plan'!B592</f>
        <v>0</v>
      </c>
      <c r="B603" s="3" t="e">
        <f>VLOOKUP(A603,'Production Plan'!B:R,14,FALSE)</f>
        <v>#N/A</v>
      </c>
    </row>
    <row r="604" spans="1:2" hidden="1">
      <c r="A604">
        <f>'Production Plan'!B593</f>
        <v>0</v>
      </c>
      <c r="B604" s="3" t="e">
        <f>VLOOKUP(A604,'Production Plan'!B:R,14,FALSE)</f>
        <v>#N/A</v>
      </c>
    </row>
    <row r="605" spans="1:2" hidden="1">
      <c r="A605">
        <f>'Production Plan'!B594</f>
        <v>0</v>
      </c>
      <c r="B605" s="3" t="e">
        <f>VLOOKUP(A605,'Production Plan'!B:R,14,FALSE)</f>
        <v>#N/A</v>
      </c>
    </row>
    <row r="606" spans="1:2" hidden="1">
      <c r="A606">
        <f>'Production Plan'!B595</f>
        <v>0</v>
      </c>
      <c r="B606" s="3" t="e">
        <f>VLOOKUP(A606,'Production Plan'!B:R,14,FALSE)</f>
        <v>#N/A</v>
      </c>
    </row>
    <row r="607" spans="1:2" hidden="1">
      <c r="A607">
        <f>'Production Plan'!B596</f>
        <v>0</v>
      </c>
      <c r="B607" s="3" t="e">
        <f>VLOOKUP(A607,'Production Plan'!B:R,14,FALSE)</f>
        <v>#N/A</v>
      </c>
    </row>
    <row r="608" spans="1:2" hidden="1">
      <c r="A608">
        <f>'Production Plan'!B597</f>
        <v>0</v>
      </c>
      <c r="B608" s="3" t="e">
        <f>VLOOKUP(A608,'Production Plan'!B:R,14,FALSE)</f>
        <v>#N/A</v>
      </c>
    </row>
    <row r="609" spans="1:2" hidden="1">
      <c r="A609">
        <f>'Production Plan'!B598</f>
        <v>0</v>
      </c>
      <c r="B609" s="3" t="e">
        <f>VLOOKUP(A609,'Production Plan'!B:R,14,FALSE)</f>
        <v>#N/A</v>
      </c>
    </row>
    <row r="610" spans="1:2" hidden="1">
      <c r="A610">
        <f>'Production Plan'!B599</f>
        <v>0</v>
      </c>
      <c r="B610" s="3" t="e">
        <f>VLOOKUP(A610,'Production Plan'!B:R,14,FALSE)</f>
        <v>#N/A</v>
      </c>
    </row>
    <row r="611" spans="1:2" hidden="1">
      <c r="A611">
        <f>'Production Plan'!B600</f>
        <v>0</v>
      </c>
      <c r="B611" s="3" t="e">
        <f>VLOOKUP(A611,'Production Plan'!B:R,14,FALSE)</f>
        <v>#N/A</v>
      </c>
    </row>
    <row r="612" spans="1:2" hidden="1">
      <c r="A612">
        <f>'Production Plan'!B601</f>
        <v>0</v>
      </c>
      <c r="B612" s="3" t="e">
        <f>VLOOKUP(A612,'Production Plan'!B:R,14,FALSE)</f>
        <v>#N/A</v>
      </c>
    </row>
    <row r="613" spans="1:2" hidden="1">
      <c r="A613">
        <f>'Production Plan'!B602</f>
        <v>0</v>
      </c>
      <c r="B613" s="3" t="e">
        <f>VLOOKUP(A613,'Production Plan'!B:R,14,FALSE)</f>
        <v>#N/A</v>
      </c>
    </row>
    <row r="614" spans="1:2" hidden="1">
      <c r="A614">
        <f>'Production Plan'!B603</f>
        <v>0</v>
      </c>
      <c r="B614" s="3" t="e">
        <f>VLOOKUP(A614,'Production Plan'!B:R,14,FALSE)</f>
        <v>#N/A</v>
      </c>
    </row>
    <row r="615" spans="1:2" hidden="1">
      <c r="A615">
        <f>'Production Plan'!B604</f>
        <v>0</v>
      </c>
      <c r="B615" s="3" t="e">
        <f>VLOOKUP(A615,'Production Plan'!B:R,14,FALSE)</f>
        <v>#N/A</v>
      </c>
    </row>
    <row r="616" spans="1:2" hidden="1">
      <c r="A616">
        <f>'Production Plan'!B605</f>
        <v>0</v>
      </c>
      <c r="B616" s="3" t="e">
        <f>VLOOKUP(A616,'Production Plan'!B:R,14,FALSE)</f>
        <v>#N/A</v>
      </c>
    </row>
    <row r="617" spans="1:2" hidden="1">
      <c r="A617">
        <f>'Production Plan'!B606</f>
        <v>0</v>
      </c>
      <c r="B617" s="3" t="e">
        <f>VLOOKUP(A617,'Production Plan'!B:R,14,FALSE)</f>
        <v>#N/A</v>
      </c>
    </row>
    <row r="618" spans="1:2" hidden="1">
      <c r="A618">
        <f>'Production Plan'!B607</f>
        <v>0</v>
      </c>
      <c r="B618" s="3" t="e">
        <f>VLOOKUP(A618,'Production Plan'!B:R,14,FALSE)</f>
        <v>#N/A</v>
      </c>
    </row>
    <row r="619" spans="1:2" hidden="1">
      <c r="A619">
        <f>'Production Plan'!B608</f>
        <v>0</v>
      </c>
      <c r="B619" s="3" t="e">
        <f>VLOOKUP(A619,'Production Plan'!B:R,14,FALSE)</f>
        <v>#N/A</v>
      </c>
    </row>
    <row r="620" spans="1:2" hidden="1">
      <c r="A620">
        <f>'Production Plan'!B609</f>
        <v>0</v>
      </c>
      <c r="B620" s="3" t="e">
        <f>VLOOKUP(A620,'Production Plan'!B:R,14,FALSE)</f>
        <v>#N/A</v>
      </c>
    </row>
    <row r="621" spans="1:2" hidden="1">
      <c r="A621">
        <f>'Production Plan'!B610</f>
        <v>0</v>
      </c>
      <c r="B621" s="3" t="e">
        <f>VLOOKUP(A621,'Production Plan'!B:R,14,FALSE)</f>
        <v>#N/A</v>
      </c>
    </row>
    <row r="622" spans="1:2" hidden="1">
      <c r="A622">
        <f>'Production Plan'!B611</f>
        <v>0</v>
      </c>
      <c r="B622" s="3" t="e">
        <f>VLOOKUP(A622,'Production Plan'!B:R,14,FALSE)</f>
        <v>#N/A</v>
      </c>
    </row>
    <row r="623" spans="1:2" hidden="1">
      <c r="A623">
        <f>'Production Plan'!B612</f>
        <v>0</v>
      </c>
      <c r="B623" s="3" t="e">
        <f>VLOOKUP(A623,'Production Plan'!B:R,14,FALSE)</f>
        <v>#N/A</v>
      </c>
    </row>
    <row r="624" spans="1:2" hidden="1">
      <c r="A624">
        <f>'Production Plan'!B613</f>
        <v>0</v>
      </c>
      <c r="B624" s="3" t="e">
        <f>VLOOKUP(A624,'Production Plan'!B:R,14,FALSE)</f>
        <v>#N/A</v>
      </c>
    </row>
    <row r="625" spans="1:2" hidden="1">
      <c r="A625">
        <f>'Production Plan'!B614</f>
        <v>0</v>
      </c>
      <c r="B625" s="3" t="e">
        <f>VLOOKUP(A625,'Production Plan'!B:R,14,FALSE)</f>
        <v>#N/A</v>
      </c>
    </row>
    <row r="626" spans="1:2" hidden="1">
      <c r="A626">
        <f>'Production Plan'!B615</f>
        <v>0</v>
      </c>
      <c r="B626" s="3" t="e">
        <f>VLOOKUP(A626,'Production Plan'!B:R,14,FALSE)</f>
        <v>#N/A</v>
      </c>
    </row>
    <row r="627" spans="1:2" hidden="1">
      <c r="A627">
        <f>'Production Plan'!B616</f>
        <v>0</v>
      </c>
      <c r="B627" s="3" t="e">
        <f>VLOOKUP(A627,'Production Plan'!B:R,14,FALSE)</f>
        <v>#N/A</v>
      </c>
    </row>
    <row r="628" spans="1:2" hidden="1">
      <c r="A628">
        <f>'Production Plan'!B617</f>
        <v>0</v>
      </c>
      <c r="B628" s="3" t="e">
        <f>VLOOKUP(A628,'Production Plan'!B:R,14,FALSE)</f>
        <v>#N/A</v>
      </c>
    </row>
    <row r="629" spans="1:2" hidden="1">
      <c r="A629">
        <f>'Production Plan'!B618</f>
        <v>0</v>
      </c>
      <c r="B629" s="3" t="e">
        <f>VLOOKUP(A629,'Production Plan'!B:R,14,FALSE)</f>
        <v>#N/A</v>
      </c>
    </row>
    <row r="630" spans="1:2" hidden="1">
      <c r="A630">
        <f>'Production Plan'!B619</f>
        <v>0</v>
      </c>
      <c r="B630" s="3" t="e">
        <f>VLOOKUP(A630,'Production Plan'!B:R,14,FALSE)</f>
        <v>#N/A</v>
      </c>
    </row>
    <row r="631" spans="1:2" hidden="1">
      <c r="A631">
        <f>'Production Plan'!B620</f>
        <v>0</v>
      </c>
      <c r="B631" s="3" t="e">
        <f>VLOOKUP(A631,'Production Plan'!B:R,14,FALSE)</f>
        <v>#N/A</v>
      </c>
    </row>
    <row r="632" spans="1:2" hidden="1">
      <c r="A632">
        <f>'Production Plan'!B621</f>
        <v>0</v>
      </c>
      <c r="B632" s="3" t="e">
        <f>VLOOKUP(A632,'Production Plan'!B:R,14,FALSE)</f>
        <v>#N/A</v>
      </c>
    </row>
    <row r="633" spans="1:2" hidden="1">
      <c r="A633">
        <f>'Production Plan'!B622</f>
        <v>0</v>
      </c>
      <c r="B633" s="3" t="e">
        <f>VLOOKUP(A633,'Production Plan'!B:R,14,FALSE)</f>
        <v>#N/A</v>
      </c>
    </row>
    <row r="634" spans="1:2" hidden="1">
      <c r="A634">
        <f>'Production Plan'!B623</f>
        <v>0</v>
      </c>
      <c r="B634" s="3" t="e">
        <f>VLOOKUP(A634,'Production Plan'!B:R,14,FALSE)</f>
        <v>#N/A</v>
      </c>
    </row>
    <row r="635" spans="1:2" hidden="1">
      <c r="A635">
        <f>'Production Plan'!B624</f>
        <v>0</v>
      </c>
      <c r="B635" s="3" t="e">
        <f>VLOOKUP(A635,'Production Plan'!B:R,14,FALSE)</f>
        <v>#N/A</v>
      </c>
    </row>
    <row r="636" spans="1:2" hidden="1">
      <c r="A636">
        <f>'Production Plan'!B625</f>
        <v>0</v>
      </c>
      <c r="B636" s="3" t="e">
        <f>VLOOKUP(A636,'Production Plan'!B:R,14,FALSE)</f>
        <v>#N/A</v>
      </c>
    </row>
    <row r="637" spans="1:2" hidden="1">
      <c r="A637">
        <f>'Production Plan'!B626</f>
        <v>0</v>
      </c>
      <c r="B637" s="3" t="e">
        <f>VLOOKUP(A637,'Production Plan'!B:R,14,FALSE)</f>
        <v>#N/A</v>
      </c>
    </row>
    <row r="638" spans="1:2" hidden="1">
      <c r="A638">
        <f>'Production Plan'!B627</f>
        <v>0</v>
      </c>
      <c r="B638" s="3" t="e">
        <f>VLOOKUP(A638,'Production Plan'!B:R,14,FALSE)</f>
        <v>#N/A</v>
      </c>
    </row>
    <row r="639" spans="1:2" hidden="1">
      <c r="A639">
        <f>'Production Plan'!B628</f>
        <v>0</v>
      </c>
      <c r="B639" s="3" t="e">
        <f>VLOOKUP(A639,'Production Plan'!B:R,14,FALSE)</f>
        <v>#N/A</v>
      </c>
    </row>
    <row r="640" spans="1:2" hidden="1">
      <c r="A640">
        <f>'Production Plan'!B629</f>
        <v>0</v>
      </c>
      <c r="B640" s="3" t="e">
        <f>VLOOKUP(A640,'Production Plan'!B:R,14,FALSE)</f>
        <v>#N/A</v>
      </c>
    </row>
    <row r="641" spans="1:2" hidden="1">
      <c r="A641">
        <f>'Production Plan'!B630</f>
        <v>0</v>
      </c>
      <c r="B641" s="3" t="e">
        <f>VLOOKUP(A641,'Production Plan'!B:R,14,FALSE)</f>
        <v>#N/A</v>
      </c>
    </row>
    <row r="642" spans="1:2" hidden="1">
      <c r="A642">
        <f>'Production Plan'!B631</f>
        <v>0</v>
      </c>
      <c r="B642" s="3" t="e">
        <f>VLOOKUP(A642,'Production Plan'!B:R,14,FALSE)</f>
        <v>#N/A</v>
      </c>
    </row>
    <row r="643" spans="1:2" hidden="1">
      <c r="A643">
        <f>'Production Plan'!B632</f>
        <v>0</v>
      </c>
      <c r="B643" s="3" t="e">
        <f>VLOOKUP(A643,'Production Plan'!B:R,14,FALSE)</f>
        <v>#N/A</v>
      </c>
    </row>
    <row r="644" spans="1:2" hidden="1">
      <c r="A644">
        <f>'Production Plan'!B633</f>
        <v>0</v>
      </c>
      <c r="B644" s="3" t="e">
        <f>VLOOKUP(A644,'Production Plan'!B:R,14,FALSE)</f>
        <v>#N/A</v>
      </c>
    </row>
    <row r="645" spans="1:2" hidden="1">
      <c r="A645">
        <f>'Production Plan'!B634</f>
        <v>0</v>
      </c>
      <c r="B645" s="3" t="e">
        <f>VLOOKUP(A645,'Production Plan'!B:R,14,FALSE)</f>
        <v>#N/A</v>
      </c>
    </row>
    <row r="646" spans="1:2" hidden="1">
      <c r="A646">
        <f>'Production Plan'!B635</f>
        <v>0</v>
      </c>
      <c r="B646" s="3" t="e">
        <f>VLOOKUP(A646,'Production Plan'!B:R,14,FALSE)</f>
        <v>#N/A</v>
      </c>
    </row>
    <row r="647" spans="1:2" hidden="1">
      <c r="A647">
        <f>'Production Plan'!B636</f>
        <v>0</v>
      </c>
      <c r="B647" s="3" t="e">
        <f>VLOOKUP(A647,'Production Plan'!B:R,14,FALSE)</f>
        <v>#N/A</v>
      </c>
    </row>
    <row r="648" spans="1:2" hidden="1">
      <c r="A648">
        <f>'Production Plan'!B637</f>
        <v>0</v>
      </c>
      <c r="B648" s="3" t="e">
        <f>VLOOKUP(A648,'Production Plan'!B:R,14,FALSE)</f>
        <v>#N/A</v>
      </c>
    </row>
    <row r="649" spans="1:2" hidden="1">
      <c r="A649">
        <f>'Production Plan'!B638</f>
        <v>0</v>
      </c>
      <c r="B649" s="3" t="e">
        <f>VLOOKUP(A649,'Production Plan'!B:R,14,FALSE)</f>
        <v>#N/A</v>
      </c>
    </row>
    <row r="650" spans="1:2" hidden="1">
      <c r="A650">
        <f>'Production Plan'!B639</f>
        <v>0</v>
      </c>
      <c r="B650" s="3" t="e">
        <f>VLOOKUP(A650,'Production Plan'!B:R,14,FALSE)</f>
        <v>#N/A</v>
      </c>
    </row>
    <row r="651" spans="1:2" hidden="1">
      <c r="A651">
        <f>'Production Plan'!B640</f>
        <v>0</v>
      </c>
      <c r="B651" s="3" t="e">
        <f>VLOOKUP(A651,'Production Plan'!B:R,14,FALSE)</f>
        <v>#N/A</v>
      </c>
    </row>
    <row r="652" spans="1:2" hidden="1">
      <c r="A652">
        <f>'Production Plan'!B641</f>
        <v>0</v>
      </c>
      <c r="B652" s="3" t="e">
        <f>VLOOKUP(A652,'Production Plan'!B:R,14,FALSE)</f>
        <v>#N/A</v>
      </c>
    </row>
    <row r="653" spans="1:2" hidden="1">
      <c r="A653">
        <f>'Production Plan'!B642</f>
        <v>0</v>
      </c>
      <c r="B653" s="3" t="e">
        <f>VLOOKUP(A653,'Production Plan'!B:R,14,FALSE)</f>
        <v>#N/A</v>
      </c>
    </row>
    <row r="654" spans="1:2" hidden="1">
      <c r="A654">
        <f>'Production Plan'!B643</f>
        <v>0</v>
      </c>
      <c r="B654" s="3" t="e">
        <f>VLOOKUP(A654,'Production Plan'!B:R,14,FALSE)</f>
        <v>#N/A</v>
      </c>
    </row>
    <row r="655" spans="1:2" hidden="1">
      <c r="A655">
        <f>'Production Plan'!B644</f>
        <v>0</v>
      </c>
      <c r="B655" s="3" t="e">
        <f>VLOOKUP(A655,'Production Plan'!B:R,14,FALSE)</f>
        <v>#N/A</v>
      </c>
    </row>
    <row r="656" spans="1:2" hidden="1">
      <c r="A656">
        <f>'Production Plan'!B645</f>
        <v>0</v>
      </c>
      <c r="B656" s="3" t="e">
        <f>VLOOKUP(A656,'Production Plan'!B:R,14,FALSE)</f>
        <v>#N/A</v>
      </c>
    </row>
    <row r="657" spans="1:2" hidden="1">
      <c r="A657">
        <f>'Production Plan'!B646</f>
        <v>0</v>
      </c>
      <c r="B657" s="3" t="e">
        <f>VLOOKUP(A657,'Production Plan'!B:R,14,FALSE)</f>
        <v>#N/A</v>
      </c>
    </row>
    <row r="658" spans="1:2" hidden="1">
      <c r="A658">
        <f>'Production Plan'!B647</f>
        <v>0</v>
      </c>
      <c r="B658" s="3" t="e">
        <f>VLOOKUP(A658,'Production Plan'!B:R,14,FALSE)</f>
        <v>#N/A</v>
      </c>
    </row>
    <row r="659" spans="1:2" hidden="1">
      <c r="A659">
        <f>'Production Plan'!B648</f>
        <v>0</v>
      </c>
      <c r="B659" s="3" t="e">
        <f>VLOOKUP(A659,'Production Plan'!B:R,14,FALSE)</f>
        <v>#N/A</v>
      </c>
    </row>
    <row r="660" spans="1:2" hidden="1">
      <c r="A660">
        <f>'Production Plan'!B649</f>
        <v>0</v>
      </c>
      <c r="B660" s="3" t="e">
        <f>VLOOKUP(A660,'Production Plan'!B:R,14,FALSE)</f>
        <v>#N/A</v>
      </c>
    </row>
    <row r="661" spans="1:2" hidden="1">
      <c r="A661">
        <f>'Production Plan'!B650</f>
        <v>0</v>
      </c>
      <c r="B661" s="3" t="e">
        <f>VLOOKUP(A661,'Production Plan'!B:R,14,FALSE)</f>
        <v>#N/A</v>
      </c>
    </row>
    <row r="662" spans="1:2" hidden="1">
      <c r="A662">
        <f>'Production Plan'!B651</f>
        <v>0</v>
      </c>
      <c r="B662" s="3" t="e">
        <f>VLOOKUP(A662,'Production Plan'!B:R,14,FALSE)</f>
        <v>#N/A</v>
      </c>
    </row>
    <row r="663" spans="1:2" hidden="1">
      <c r="A663">
        <f>'Production Plan'!B652</f>
        <v>0</v>
      </c>
      <c r="B663" s="3" t="e">
        <f>VLOOKUP(A663,'Production Plan'!B:R,14,FALSE)</f>
        <v>#N/A</v>
      </c>
    </row>
    <row r="664" spans="1:2" hidden="1">
      <c r="A664">
        <f>'Production Plan'!B653</f>
        <v>0</v>
      </c>
      <c r="B664" s="3" t="e">
        <f>VLOOKUP(A664,'Production Plan'!B:R,14,FALSE)</f>
        <v>#N/A</v>
      </c>
    </row>
    <row r="665" spans="1:2" hidden="1">
      <c r="A665">
        <f>'Production Plan'!B654</f>
        <v>0</v>
      </c>
      <c r="B665" s="3" t="e">
        <f>VLOOKUP(A665,'Production Plan'!B:R,14,FALSE)</f>
        <v>#N/A</v>
      </c>
    </row>
    <row r="666" spans="1:2" hidden="1">
      <c r="A666">
        <f>'Production Plan'!B655</f>
        <v>0</v>
      </c>
      <c r="B666" s="3" t="e">
        <f>VLOOKUP(A666,'Production Plan'!B:R,14,FALSE)</f>
        <v>#N/A</v>
      </c>
    </row>
    <row r="667" spans="1:2" hidden="1">
      <c r="A667">
        <f>'Production Plan'!B656</f>
        <v>0</v>
      </c>
      <c r="B667" s="3" t="e">
        <f>VLOOKUP(A667,'Production Plan'!B:R,14,FALSE)</f>
        <v>#N/A</v>
      </c>
    </row>
    <row r="668" spans="1:2" hidden="1">
      <c r="A668">
        <f>'Production Plan'!B657</f>
        <v>0</v>
      </c>
      <c r="B668" s="3" t="e">
        <f>VLOOKUP(A668,'Production Plan'!B:R,14,FALSE)</f>
        <v>#N/A</v>
      </c>
    </row>
    <row r="669" spans="1:2" hidden="1">
      <c r="A669">
        <f>'Production Plan'!B658</f>
        <v>0</v>
      </c>
      <c r="B669" s="3" t="e">
        <f>VLOOKUP(A669,'Production Plan'!B:R,14,FALSE)</f>
        <v>#N/A</v>
      </c>
    </row>
    <row r="670" spans="1:2" hidden="1">
      <c r="A670">
        <f>'Production Plan'!B659</f>
        <v>0</v>
      </c>
      <c r="B670" s="3" t="e">
        <f>VLOOKUP(A670,'Production Plan'!B:R,14,FALSE)</f>
        <v>#N/A</v>
      </c>
    </row>
    <row r="671" spans="1:2" hidden="1">
      <c r="A671">
        <f>'Production Plan'!B660</f>
        <v>0</v>
      </c>
      <c r="B671" s="3" t="e">
        <f>VLOOKUP(A671,'Production Plan'!B:R,14,FALSE)</f>
        <v>#N/A</v>
      </c>
    </row>
    <row r="672" spans="1:2" hidden="1">
      <c r="A672">
        <f>'Production Plan'!B661</f>
        <v>0</v>
      </c>
      <c r="B672" s="3" t="e">
        <f>VLOOKUP(A672,'Production Plan'!B:R,14,FALSE)</f>
        <v>#N/A</v>
      </c>
    </row>
    <row r="673" spans="1:2" hidden="1">
      <c r="A673">
        <f>'Production Plan'!B662</f>
        <v>0</v>
      </c>
      <c r="B673" s="3" t="e">
        <f>VLOOKUP(A673,'Production Plan'!B:R,14,FALSE)</f>
        <v>#N/A</v>
      </c>
    </row>
    <row r="674" spans="1:2" hidden="1">
      <c r="A674">
        <f>'Production Plan'!B663</f>
        <v>0</v>
      </c>
      <c r="B674" s="3" t="e">
        <f>VLOOKUP(A674,'Production Plan'!B:R,14,FALSE)</f>
        <v>#N/A</v>
      </c>
    </row>
    <row r="675" spans="1:2" hidden="1">
      <c r="A675">
        <f>'Production Plan'!B664</f>
        <v>0</v>
      </c>
      <c r="B675" s="3" t="e">
        <f>VLOOKUP(A675,'Production Plan'!B:R,14,FALSE)</f>
        <v>#N/A</v>
      </c>
    </row>
    <row r="676" spans="1:2" hidden="1">
      <c r="A676">
        <f>'Production Plan'!B665</f>
        <v>0</v>
      </c>
      <c r="B676" s="3" t="e">
        <f>VLOOKUP(A676,'Production Plan'!B:R,14,FALSE)</f>
        <v>#N/A</v>
      </c>
    </row>
    <row r="677" spans="1:2" hidden="1">
      <c r="A677">
        <f>'Production Plan'!B666</f>
        <v>0</v>
      </c>
      <c r="B677" s="3" t="e">
        <f>VLOOKUP(A677,'Production Plan'!B:R,14,FALSE)</f>
        <v>#N/A</v>
      </c>
    </row>
    <row r="678" spans="1:2" hidden="1">
      <c r="A678">
        <f>'Production Plan'!B667</f>
        <v>0</v>
      </c>
      <c r="B678" s="3" t="e">
        <f>VLOOKUP(A678,'Production Plan'!B:R,14,FALSE)</f>
        <v>#N/A</v>
      </c>
    </row>
    <row r="679" spans="1:2" hidden="1">
      <c r="A679">
        <f>'Production Plan'!B668</f>
        <v>0</v>
      </c>
      <c r="B679" s="3" t="e">
        <f>VLOOKUP(A679,'Production Plan'!B:R,14,FALSE)</f>
        <v>#N/A</v>
      </c>
    </row>
    <row r="680" spans="1:2" hidden="1">
      <c r="A680">
        <f>'Production Plan'!B669</f>
        <v>0</v>
      </c>
      <c r="B680" s="3" t="e">
        <f>VLOOKUP(A680,'Production Plan'!B:R,14,FALSE)</f>
        <v>#N/A</v>
      </c>
    </row>
    <row r="681" spans="1:2" hidden="1">
      <c r="A681">
        <f>'Production Plan'!B670</f>
        <v>0</v>
      </c>
      <c r="B681" s="3" t="e">
        <f>VLOOKUP(A681,'Production Plan'!B:R,14,FALSE)</f>
        <v>#N/A</v>
      </c>
    </row>
    <row r="682" spans="1:2" hidden="1">
      <c r="A682">
        <f>'Production Plan'!B671</f>
        <v>0</v>
      </c>
      <c r="B682" s="3" t="e">
        <f>VLOOKUP(A682,'Production Plan'!B:R,14,FALSE)</f>
        <v>#N/A</v>
      </c>
    </row>
    <row r="683" spans="1:2" hidden="1">
      <c r="A683">
        <f>'Production Plan'!B672</f>
        <v>0</v>
      </c>
      <c r="B683" s="3" t="e">
        <f>VLOOKUP(A683,'Production Plan'!B:R,14,FALSE)</f>
        <v>#N/A</v>
      </c>
    </row>
    <row r="684" spans="1:2" hidden="1">
      <c r="A684">
        <f>'Production Plan'!B673</f>
        <v>0</v>
      </c>
      <c r="B684" s="3" t="e">
        <f>VLOOKUP(A684,'Production Plan'!B:R,14,FALSE)</f>
        <v>#N/A</v>
      </c>
    </row>
    <row r="685" spans="1:2" hidden="1">
      <c r="A685">
        <f>'Production Plan'!B674</f>
        <v>0</v>
      </c>
      <c r="B685" s="3" t="e">
        <f>VLOOKUP(A685,'Production Plan'!B:R,14,FALSE)</f>
        <v>#N/A</v>
      </c>
    </row>
    <row r="686" spans="1:2" hidden="1">
      <c r="A686">
        <f>'Production Plan'!B675</f>
        <v>0</v>
      </c>
      <c r="B686" s="3" t="e">
        <f>VLOOKUP(A686,'Production Plan'!B:R,14,FALSE)</f>
        <v>#N/A</v>
      </c>
    </row>
    <row r="687" spans="1:2" hidden="1">
      <c r="A687">
        <f>'Production Plan'!B676</f>
        <v>0</v>
      </c>
      <c r="B687" s="3" t="e">
        <f>VLOOKUP(A687,'Production Plan'!B:R,14,FALSE)</f>
        <v>#N/A</v>
      </c>
    </row>
    <row r="688" spans="1:2" hidden="1">
      <c r="A688">
        <f>'Production Plan'!B677</f>
        <v>0</v>
      </c>
      <c r="B688" s="3" t="e">
        <f>VLOOKUP(A688,'Production Plan'!B:R,14,FALSE)</f>
        <v>#N/A</v>
      </c>
    </row>
    <row r="689" spans="1:2" hidden="1">
      <c r="A689">
        <f>'Production Plan'!B678</f>
        <v>0</v>
      </c>
      <c r="B689" s="3" t="e">
        <f>VLOOKUP(A689,'Production Plan'!B:R,14,FALSE)</f>
        <v>#N/A</v>
      </c>
    </row>
    <row r="690" spans="1:2" hidden="1">
      <c r="A690">
        <f>'Production Plan'!B679</f>
        <v>0</v>
      </c>
      <c r="B690" s="3" t="e">
        <f>VLOOKUP(A690,'Production Plan'!B:R,14,FALSE)</f>
        <v>#N/A</v>
      </c>
    </row>
    <row r="691" spans="1:2" hidden="1">
      <c r="A691">
        <f>'Production Plan'!B680</f>
        <v>0</v>
      </c>
      <c r="B691" s="3" t="e">
        <f>VLOOKUP(A691,'Production Plan'!B:R,14,FALSE)</f>
        <v>#N/A</v>
      </c>
    </row>
    <row r="692" spans="1:2" hidden="1">
      <c r="A692">
        <f>'Production Plan'!B681</f>
        <v>0</v>
      </c>
      <c r="B692" s="3" t="e">
        <f>VLOOKUP(A692,'Production Plan'!B:R,14,FALSE)</f>
        <v>#N/A</v>
      </c>
    </row>
    <row r="693" spans="1:2" hidden="1">
      <c r="A693">
        <f>'Production Plan'!B682</f>
        <v>0</v>
      </c>
      <c r="B693" s="3" t="e">
        <f>VLOOKUP(A693,'Production Plan'!B:R,14,FALSE)</f>
        <v>#N/A</v>
      </c>
    </row>
    <row r="694" spans="1:2" hidden="1">
      <c r="A694">
        <f>'Production Plan'!B683</f>
        <v>0</v>
      </c>
      <c r="B694" s="3" t="e">
        <f>VLOOKUP(A694,'Production Plan'!B:R,14,FALSE)</f>
        <v>#N/A</v>
      </c>
    </row>
    <row r="695" spans="1:2" hidden="1">
      <c r="A695">
        <f>'Production Plan'!B684</f>
        <v>0</v>
      </c>
      <c r="B695" s="3" t="e">
        <f>VLOOKUP(A695,'Production Plan'!B:R,14,FALSE)</f>
        <v>#N/A</v>
      </c>
    </row>
    <row r="696" spans="1:2" hidden="1">
      <c r="A696">
        <f>'Production Plan'!B685</f>
        <v>0</v>
      </c>
      <c r="B696" s="3" t="e">
        <f>VLOOKUP(A696,'Production Plan'!B:R,14,FALSE)</f>
        <v>#N/A</v>
      </c>
    </row>
    <row r="697" spans="1:2" hidden="1">
      <c r="A697">
        <f>'Production Plan'!B686</f>
        <v>0</v>
      </c>
      <c r="B697" s="3" t="e">
        <f>VLOOKUP(A697,'Production Plan'!B:R,14,FALSE)</f>
        <v>#N/A</v>
      </c>
    </row>
    <row r="698" spans="1:2" hidden="1">
      <c r="A698">
        <f>'Production Plan'!B687</f>
        <v>0</v>
      </c>
      <c r="B698" s="3" t="e">
        <f>VLOOKUP(A698,'Production Plan'!B:R,14,FALSE)</f>
        <v>#N/A</v>
      </c>
    </row>
    <row r="699" spans="1:2" hidden="1">
      <c r="A699">
        <f>'Production Plan'!B688</f>
        <v>0</v>
      </c>
      <c r="B699" s="3" t="e">
        <f>VLOOKUP(A699,'Production Plan'!B:R,14,FALSE)</f>
        <v>#N/A</v>
      </c>
    </row>
    <row r="700" spans="1:2" hidden="1">
      <c r="A700">
        <f>'Production Plan'!B689</f>
        <v>0</v>
      </c>
      <c r="B700" s="3" t="e">
        <f>VLOOKUP(A700,'Production Plan'!B:R,14,FALSE)</f>
        <v>#N/A</v>
      </c>
    </row>
    <row r="701" spans="1:2" hidden="1">
      <c r="A701">
        <f>'Production Plan'!B690</f>
        <v>0</v>
      </c>
      <c r="B701" s="3" t="e">
        <f>VLOOKUP(A701,'Production Plan'!B:R,14,FALSE)</f>
        <v>#N/A</v>
      </c>
    </row>
    <row r="702" spans="1:2" hidden="1">
      <c r="A702">
        <f>'Production Plan'!B691</f>
        <v>0</v>
      </c>
      <c r="B702" s="3" t="e">
        <f>VLOOKUP(A702,'Production Plan'!B:R,14,FALSE)</f>
        <v>#N/A</v>
      </c>
    </row>
    <row r="703" spans="1:2" hidden="1">
      <c r="A703">
        <f>'Production Plan'!B692</f>
        <v>0</v>
      </c>
      <c r="B703" s="3" t="e">
        <f>VLOOKUP(A703,'Production Plan'!B:R,14,FALSE)</f>
        <v>#N/A</v>
      </c>
    </row>
    <row r="704" spans="1:2" hidden="1">
      <c r="A704">
        <f>'Production Plan'!B693</f>
        <v>0</v>
      </c>
      <c r="B704" s="3" t="e">
        <f>VLOOKUP(A704,'Production Plan'!B:R,14,FALSE)</f>
        <v>#N/A</v>
      </c>
    </row>
    <row r="705" spans="1:2" hidden="1">
      <c r="A705">
        <f>'Production Plan'!B694</f>
        <v>0</v>
      </c>
      <c r="B705" s="3" t="e">
        <f>VLOOKUP(A705,'Production Plan'!B:R,14,FALSE)</f>
        <v>#N/A</v>
      </c>
    </row>
    <row r="706" spans="1:2" hidden="1">
      <c r="A706">
        <f>'Production Plan'!B695</f>
        <v>0</v>
      </c>
      <c r="B706" s="3" t="e">
        <f>VLOOKUP(A706,'Production Plan'!B:R,14,FALSE)</f>
        <v>#N/A</v>
      </c>
    </row>
    <row r="707" spans="1:2" hidden="1">
      <c r="A707">
        <f>'Production Plan'!B696</f>
        <v>0</v>
      </c>
      <c r="B707" s="3" t="e">
        <f>VLOOKUP(A707,'Production Plan'!B:R,14,FALSE)</f>
        <v>#N/A</v>
      </c>
    </row>
    <row r="708" spans="1:2" hidden="1">
      <c r="A708">
        <f>'Production Plan'!B697</f>
        <v>0</v>
      </c>
      <c r="B708" s="3" t="e">
        <f>VLOOKUP(A708,'Production Plan'!B:R,14,FALSE)</f>
        <v>#N/A</v>
      </c>
    </row>
    <row r="709" spans="1:2" hidden="1">
      <c r="A709">
        <f>'Production Plan'!B698</f>
        <v>0</v>
      </c>
      <c r="B709" s="3" t="e">
        <f>VLOOKUP(A709,'Production Plan'!B:R,14,FALSE)</f>
        <v>#N/A</v>
      </c>
    </row>
    <row r="710" spans="1:2" hidden="1">
      <c r="A710">
        <f>'Production Plan'!B699</f>
        <v>0</v>
      </c>
      <c r="B710" s="3" t="e">
        <f>VLOOKUP(A710,'Production Plan'!B:R,14,FALSE)</f>
        <v>#N/A</v>
      </c>
    </row>
    <row r="711" spans="1:2" hidden="1">
      <c r="A711">
        <f>'Production Plan'!B700</f>
        <v>0</v>
      </c>
      <c r="B711" s="3" t="e">
        <f>VLOOKUP(A711,'Production Plan'!B:R,14,FALSE)</f>
        <v>#N/A</v>
      </c>
    </row>
    <row r="712" spans="1:2" hidden="1">
      <c r="A712">
        <f>'Production Plan'!B701</f>
        <v>0</v>
      </c>
      <c r="B712" s="3" t="e">
        <f>VLOOKUP(A712,'Production Plan'!B:R,14,FALSE)</f>
        <v>#N/A</v>
      </c>
    </row>
    <row r="713" spans="1:2" hidden="1">
      <c r="A713">
        <f>'Production Plan'!B702</f>
        <v>0</v>
      </c>
      <c r="B713" s="3" t="e">
        <f>VLOOKUP(A713,'Production Plan'!B:R,14,FALSE)</f>
        <v>#N/A</v>
      </c>
    </row>
    <row r="714" spans="1:2" hidden="1">
      <c r="A714">
        <f>'Production Plan'!B703</f>
        <v>0</v>
      </c>
      <c r="B714" s="3" t="e">
        <f>VLOOKUP(A714,'Production Plan'!B:R,14,FALSE)</f>
        <v>#N/A</v>
      </c>
    </row>
    <row r="715" spans="1:2" hidden="1">
      <c r="A715">
        <f>'Production Plan'!B704</f>
        <v>0</v>
      </c>
      <c r="B715" s="3" t="e">
        <f>VLOOKUP(A715,'Production Plan'!B:R,14,FALSE)</f>
        <v>#N/A</v>
      </c>
    </row>
    <row r="716" spans="1:2" hidden="1">
      <c r="A716">
        <f>'Production Plan'!B705</f>
        <v>0</v>
      </c>
      <c r="B716" s="3" t="e">
        <f>VLOOKUP(A716,'Production Plan'!B:R,14,FALSE)</f>
        <v>#N/A</v>
      </c>
    </row>
    <row r="717" spans="1:2" hidden="1">
      <c r="A717">
        <f>'Production Plan'!B706</f>
        <v>0</v>
      </c>
      <c r="B717" s="3" t="e">
        <f>VLOOKUP(A717,'Production Plan'!B:R,14,FALSE)</f>
        <v>#N/A</v>
      </c>
    </row>
    <row r="718" spans="1:2" hidden="1">
      <c r="A718">
        <f>'Production Plan'!B707</f>
        <v>0</v>
      </c>
      <c r="B718" s="3" t="e">
        <f>VLOOKUP(A718,'Production Plan'!B:R,14,FALSE)</f>
        <v>#N/A</v>
      </c>
    </row>
    <row r="719" spans="1:2" hidden="1">
      <c r="A719">
        <f>'Production Plan'!B708</f>
        <v>0</v>
      </c>
      <c r="B719" s="3" t="e">
        <f>VLOOKUP(A719,'Production Plan'!B:R,14,FALSE)</f>
        <v>#N/A</v>
      </c>
    </row>
    <row r="720" spans="1:2" hidden="1">
      <c r="A720">
        <f>'Production Plan'!B709</f>
        <v>0</v>
      </c>
      <c r="B720" s="3" t="e">
        <f>VLOOKUP(A720,'Production Plan'!B:R,14,FALSE)</f>
        <v>#N/A</v>
      </c>
    </row>
    <row r="721" spans="1:2" hidden="1">
      <c r="A721">
        <f>'Production Plan'!B710</f>
        <v>0</v>
      </c>
      <c r="B721" s="3" t="e">
        <f>VLOOKUP(A721,'Production Plan'!B:R,14,FALSE)</f>
        <v>#N/A</v>
      </c>
    </row>
    <row r="722" spans="1:2" hidden="1">
      <c r="A722">
        <f>'Production Plan'!B711</f>
        <v>0</v>
      </c>
      <c r="B722" s="3" t="e">
        <f>VLOOKUP(A722,'Production Plan'!B:R,14,FALSE)</f>
        <v>#N/A</v>
      </c>
    </row>
    <row r="723" spans="1:2" hidden="1">
      <c r="A723">
        <f>'Production Plan'!B712</f>
        <v>0</v>
      </c>
      <c r="B723" s="3" t="e">
        <f>VLOOKUP(A723,'Production Plan'!B:R,14,FALSE)</f>
        <v>#N/A</v>
      </c>
    </row>
    <row r="724" spans="1:2" hidden="1">
      <c r="A724">
        <f>'Production Plan'!B713</f>
        <v>0</v>
      </c>
      <c r="B724" s="3" t="e">
        <f>VLOOKUP(A724,'Production Plan'!B:R,14,FALSE)</f>
        <v>#N/A</v>
      </c>
    </row>
    <row r="725" spans="1:2" hidden="1">
      <c r="A725">
        <f>'Production Plan'!B714</f>
        <v>0</v>
      </c>
      <c r="B725" s="3" t="e">
        <f>VLOOKUP(A725,'Production Plan'!B:R,14,FALSE)</f>
        <v>#N/A</v>
      </c>
    </row>
    <row r="726" spans="1:2" hidden="1">
      <c r="A726">
        <f>'Production Plan'!B715</f>
        <v>0</v>
      </c>
      <c r="B726" s="3" t="e">
        <f>VLOOKUP(A726,'Production Plan'!B:R,14,FALSE)</f>
        <v>#N/A</v>
      </c>
    </row>
    <row r="727" spans="1:2" hidden="1">
      <c r="A727">
        <f>'Production Plan'!B716</f>
        <v>0</v>
      </c>
      <c r="B727" s="3" t="e">
        <f>VLOOKUP(A727,'Production Plan'!B:R,14,FALSE)</f>
        <v>#N/A</v>
      </c>
    </row>
    <row r="728" spans="1:2" hidden="1">
      <c r="A728">
        <f>'Production Plan'!B717</f>
        <v>0</v>
      </c>
      <c r="B728" s="3" t="e">
        <f>VLOOKUP(A728,'Production Plan'!B:R,14,FALSE)</f>
        <v>#N/A</v>
      </c>
    </row>
    <row r="729" spans="1:2" hidden="1">
      <c r="A729">
        <f>'Production Plan'!B718</f>
        <v>0</v>
      </c>
      <c r="B729" s="3" t="e">
        <f>VLOOKUP(A729,'Production Plan'!B:R,14,FALSE)</f>
        <v>#N/A</v>
      </c>
    </row>
    <row r="730" spans="1:2" hidden="1">
      <c r="A730">
        <f>'Production Plan'!B719</f>
        <v>0</v>
      </c>
      <c r="B730" s="3" t="e">
        <f>VLOOKUP(A730,'Production Plan'!B:R,14,FALSE)</f>
        <v>#N/A</v>
      </c>
    </row>
    <row r="731" spans="1:2" hidden="1">
      <c r="A731">
        <f>'Production Plan'!B720</f>
        <v>0</v>
      </c>
      <c r="B731" s="3" t="e">
        <f>VLOOKUP(A731,'Production Plan'!B:R,14,FALSE)</f>
        <v>#N/A</v>
      </c>
    </row>
    <row r="732" spans="1:2" hidden="1">
      <c r="A732">
        <f>'Production Plan'!B721</f>
        <v>0</v>
      </c>
      <c r="B732" s="3" t="e">
        <f>VLOOKUP(A732,'Production Plan'!B:R,14,FALSE)</f>
        <v>#N/A</v>
      </c>
    </row>
    <row r="733" spans="1:2" hidden="1">
      <c r="A733">
        <f>'Production Plan'!B722</f>
        <v>0</v>
      </c>
      <c r="B733" s="3" t="e">
        <f>VLOOKUP(A733,'Production Plan'!B:R,14,FALSE)</f>
        <v>#N/A</v>
      </c>
    </row>
    <row r="734" spans="1:2" hidden="1">
      <c r="A734">
        <f>'Production Plan'!B723</f>
        <v>0</v>
      </c>
      <c r="B734" s="3" t="e">
        <f>VLOOKUP(A734,'Production Plan'!B:R,14,FALSE)</f>
        <v>#N/A</v>
      </c>
    </row>
    <row r="735" spans="1:2" hidden="1">
      <c r="A735">
        <f>'Production Plan'!B724</f>
        <v>0</v>
      </c>
      <c r="B735" s="3" t="e">
        <f>VLOOKUP(A735,'Production Plan'!B:R,14,FALSE)</f>
        <v>#N/A</v>
      </c>
    </row>
    <row r="736" spans="1:2" hidden="1">
      <c r="A736">
        <f>'Production Plan'!B725</f>
        <v>0</v>
      </c>
      <c r="B736" s="3" t="e">
        <f>VLOOKUP(A736,'Production Plan'!B:R,14,FALSE)</f>
        <v>#N/A</v>
      </c>
    </row>
    <row r="737" spans="1:2" hidden="1">
      <c r="A737">
        <f>'Production Plan'!B726</f>
        <v>0</v>
      </c>
      <c r="B737" s="3" t="e">
        <f>VLOOKUP(A737,'Production Plan'!B:R,14,FALSE)</f>
        <v>#N/A</v>
      </c>
    </row>
    <row r="738" spans="1:2" hidden="1">
      <c r="A738">
        <f>'Production Plan'!B727</f>
        <v>0</v>
      </c>
      <c r="B738" s="3" t="e">
        <f>VLOOKUP(A738,'Production Plan'!B:R,14,FALSE)</f>
        <v>#N/A</v>
      </c>
    </row>
    <row r="739" spans="1:2" hidden="1">
      <c r="A739">
        <f>'Production Plan'!B728</f>
        <v>0</v>
      </c>
      <c r="B739" s="3" t="e">
        <f>VLOOKUP(A739,'Production Plan'!B:R,14,FALSE)</f>
        <v>#N/A</v>
      </c>
    </row>
    <row r="740" spans="1:2" hidden="1">
      <c r="A740">
        <f>'Production Plan'!B729</f>
        <v>0</v>
      </c>
      <c r="B740" s="3" t="e">
        <f>VLOOKUP(A740,'Production Plan'!B:R,14,FALSE)</f>
        <v>#N/A</v>
      </c>
    </row>
    <row r="741" spans="1:2" hidden="1">
      <c r="A741">
        <f>'Production Plan'!B730</f>
        <v>0</v>
      </c>
      <c r="B741" s="3" t="e">
        <f>VLOOKUP(A741,'Production Plan'!B:R,14,FALSE)</f>
        <v>#N/A</v>
      </c>
    </row>
    <row r="742" spans="1:2" hidden="1">
      <c r="A742">
        <f>'Production Plan'!B731</f>
        <v>0</v>
      </c>
      <c r="B742" s="3" t="e">
        <f>VLOOKUP(A742,'Production Plan'!B:R,14,FALSE)</f>
        <v>#N/A</v>
      </c>
    </row>
    <row r="743" spans="1:2" hidden="1">
      <c r="A743">
        <f>'Production Plan'!B732</f>
        <v>0</v>
      </c>
      <c r="B743" s="3" t="e">
        <f>VLOOKUP(A743,'Production Plan'!B:R,14,FALSE)</f>
        <v>#N/A</v>
      </c>
    </row>
    <row r="744" spans="1:2" hidden="1">
      <c r="A744">
        <f>'Production Plan'!B733</f>
        <v>0</v>
      </c>
      <c r="B744" s="3" t="e">
        <f>VLOOKUP(A744,'Production Plan'!B:R,14,FALSE)</f>
        <v>#N/A</v>
      </c>
    </row>
    <row r="745" spans="1:2" hidden="1">
      <c r="A745">
        <f>'Production Plan'!B734</f>
        <v>0</v>
      </c>
      <c r="B745" s="3" t="e">
        <f>VLOOKUP(A745,'Production Plan'!B:R,14,FALSE)</f>
        <v>#N/A</v>
      </c>
    </row>
    <row r="746" spans="1:2" hidden="1">
      <c r="A746">
        <f>'Production Plan'!B735</f>
        <v>0</v>
      </c>
      <c r="B746" s="3" t="e">
        <f>VLOOKUP(A746,'Production Plan'!B:R,14,FALSE)</f>
        <v>#N/A</v>
      </c>
    </row>
    <row r="747" spans="1:2" hidden="1">
      <c r="A747">
        <f>'Production Plan'!B736</f>
        <v>0</v>
      </c>
      <c r="B747" s="3" t="e">
        <f>VLOOKUP(A747,'Production Plan'!B:R,14,FALSE)</f>
        <v>#N/A</v>
      </c>
    </row>
    <row r="748" spans="1:2" hidden="1">
      <c r="A748">
        <f>'Production Plan'!B737</f>
        <v>0</v>
      </c>
      <c r="B748" s="3" t="e">
        <f>VLOOKUP(A748,'Production Plan'!B:R,14,FALSE)</f>
        <v>#N/A</v>
      </c>
    </row>
    <row r="749" spans="1:2" hidden="1">
      <c r="A749">
        <f>'Production Plan'!B738</f>
        <v>0</v>
      </c>
      <c r="B749" s="3" t="e">
        <f>VLOOKUP(A749,'Production Plan'!B:R,14,FALSE)</f>
        <v>#N/A</v>
      </c>
    </row>
    <row r="750" spans="1:2" hidden="1">
      <c r="A750">
        <f>'Production Plan'!B739</f>
        <v>0</v>
      </c>
      <c r="B750" s="3" t="e">
        <f>VLOOKUP(A750,'Production Plan'!B:R,14,FALSE)</f>
        <v>#N/A</v>
      </c>
    </row>
    <row r="751" spans="1:2" hidden="1">
      <c r="A751">
        <f>'Production Plan'!B740</f>
        <v>0</v>
      </c>
      <c r="B751" s="3" t="e">
        <f>VLOOKUP(A751,'Production Plan'!B:R,14,FALSE)</f>
        <v>#N/A</v>
      </c>
    </row>
    <row r="752" spans="1:2" hidden="1">
      <c r="A752">
        <f>'Production Plan'!B741</f>
        <v>0</v>
      </c>
      <c r="B752" s="3" t="e">
        <f>VLOOKUP(A752,'Production Plan'!B:R,14,FALSE)</f>
        <v>#N/A</v>
      </c>
    </row>
    <row r="753" spans="1:2" hidden="1">
      <c r="A753">
        <f>'Production Plan'!B742</f>
        <v>0</v>
      </c>
      <c r="B753" s="3" t="e">
        <f>VLOOKUP(A753,'Production Plan'!B:R,14,FALSE)</f>
        <v>#N/A</v>
      </c>
    </row>
    <row r="754" spans="1:2" hidden="1">
      <c r="A754">
        <f>'Production Plan'!B743</f>
        <v>0</v>
      </c>
      <c r="B754" s="3" t="e">
        <f>VLOOKUP(A754,'Production Plan'!B:R,14,FALSE)</f>
        <v>#N/A</v>
      </c>
    </row>
    <row r="755" spans="1:2" hidden="1">
      <c r="A755">
        <f>'Production Plan'!B744</f>
        <v>0</v>
      </c>
      <c r="B755" s="3" t="e">
        <f>VLOOKUP(A755,'Production Plan'!B:R,14,FALSE)</f>
        <v>#N/A</v>
      </c>
    </row>
    <row r="756" spans="1:2" hidden="1">
      <c r="A756">
        <f>'Production Plan'!B745</f>
        <v>0</v>
      </c>
      <c r="B756" s="3" t="e">
        <f>VLOOKUP(A756,'Production Plan'!B:R,14,FALSE)</f>
        <v>#N/A</v>
      </c>
    </row>
    <row r="757" spans="1:2" hidden="1">
      <c r="A757">
        <f>'Production Plan'!B746</f>
        <v>0</v>
      </c>
      <c r="B757" s="3" t="e">
        <f>VLOOKUP(A757,'Production Plan'!B:R,14,FALSE)</f>
        <v>#N/A</v>
      </c>
    </row>
    <row r="758" spans="1:2" hidden="1">
      <c r="A758">
        <f>'Production Plan'!B747</f>
        <v>0</v>
      </c>
      <c r="B758" s="3" t="e">
        <f>VLOOKUP(A758,'Production Plan'!B:R,14,FALSE)</f>
        <v>#N/A</v>
      </c>
    </row>
    <row r="759" spans="1:2" hidden="1">
      <c r="A759">
        <f>'Production Plan'!B748</f>
        <v>0</v>
      </c>
      <c r="B759" s="3" t="e">
        <f>VLOOKUP(A759,'Production Plan'!B:R,14,FALSE)</f>
        <v>#N/A</v>
      </c>
    </row>
    <row r="760" spans="1:2" hidden="1">
      <c r="A760">
        <f>'Production Plan'!B749</f>
        <v>0</v>
      </c>
      <c r="B760" s="3" t="e">
        <f>VLOOKUP(A760,'Production Plan'!B:R,14,FALSE)</f>
        <v>#N/A</v>
      </c>
    </row>
    <row r="761" spans="1:2" hidden="1">
      <c r="A761">
        <f>'Production Plan'!B750</f>
        <v>0</v>
      </c>
      <c r="B761" s="3" t="e">
        <f>VLOOKUP(A761,'Production Plan'!B:R,14,FALSE)</f>
        <v>#N/A</v>
      </c>
    </row>
    <row r="762" spans="1:2" hidden="1">
      <c r="A762">
        <f>'Production Plan'!B751</f>
        <v>0</v>
      </c>
      <c r="B762" s="3" t="e">
        <f>VLOOKUP(A762,'Production Plan'!B:R,14,FALSE)</f>
        <v>#N/A</v>
      </c>
    </row>
    <row r="763" spans="1:2" hidden="1">
      <c r="A763">
        <f>'Production Plan'!B752</f>
        <v>0</v>
      </c>
      <c r="B763" s="3" t="e">
        <f>VLOOKUP(A763,'Production Plan'!B:R,14,FALSE)</f>
        <v>#N/A</v>
      </c>
    </row>
    <row r="764" spans="1:2" hidden="1">
      <c r="A764">
        <f>'Production Plan'!B753</f>
        <v>0</v>
      </c>
      <c r="B764" s="3" t="e">
        <f>VLOOKUP(A764,'Production Plan'!B:R,14,FALSE)</f>
        <v>#N/A</v>
      </c>
    </row>
    <row r="765" spans="1:2" hidden="1">
      <c r="A765">
        <f>'Production Plan'!B754</f>
        <v>0</v>
      </c>
      <c r="B765" s="3" t="e">
        <f>VLOOKUP(A765,'Production Plan'!B:R,14,FALSE)</f>
        <v>#N/A</v>
      </c>
    </row>
    <row r="766" spans="1:2" hidden="1">
      <c r="A766">
        <f>'Production Plan'!B755</f>
        <v>0</v>
      </c>
      <c r="B766" s="3" t="e">
        <f>VLOOKUP(A766,'Production Plan'!B:R,14,FALSE)</f>
        <v>#N/A</v>
      </c>
    </row>
    <row r="767" spans="1:2" hidden="1">
      <c r="A767">
        <f>'Production Plan'!B756</f>
        <v>0</v>
      </c>
      <c r="B767" s="3" t="e">
        <f>VLOOKUP(A767,'Production Plan'!B:R,14,FALSE)</f>
        <v>#N/A</v>
      </c>
    </row>
    <row r="768" spans="1:2" hidden="1">
      <c r="A768">
        <f>'Production Plan'!B757</f>
        <v>0</v>
      </c>
      <c r="B768" s="3" t="e">
        <f>VLOOKUP(A768,'Production Plan'!B:R,14,FALSE)</f>
        <v>#N/A</v>
      </c>
    </row>
    <row r="769" spans="1:2" hidden="1">
      <c r="A769">
        <f>'Production Plan'!B758</f>
        <v>0</v>
      </c>
      <c r="B769" s="3" t="e">
        <f>VLOOKUP(A769,'Production Plan'!B:R,14,FALSE)</f>
        <v>#N/A</v>
      </c>
    </row>
    <row r="770" spans="1:2" hidden="1">
      <c r="A770">
        <f>'Production Plan'!B759</f>
        <v>0</v>
      </c>
      <c r="B770" s="3" t="e">
        <f>VLOOKUP(A770,'Production Plan'!B:R,14,FALSE)</f>
        <v>#N/A</v>
      </c>
    </row>
    <row r="771" spans="1:2" hidden="1">
      <c r="A771">
        <f>'Production Plan'!B760</f>
        <v>0</v>
      </c>
      <c r="B771" s="3" t="e">
        <f>VLOOKUP(A771,'Production Plan'!B:R,14,FALSE)</f>
        <v>#N/A</v>
      </c>
    </row>
    <row r="772" spans="1:2" hidden="1">
      <c r="A772">
        <f>'Production Plan'!B761</f>
        <v>0</v>
      </c>
      <c r="B772" s="3" t="e">
        <f>VLOOKUP(A772,'Production Plan'!B:R,14,FALSE)</f>
        <v>#N/A</v>
      </c>
    </row>
    <row r="773" spans="1:2" hidden="1">
      <c r="A773">
        <f>'Production Plan'!B762</f>
        <v>0</v>
      </c>
      <c r="B773" s="3" t="e">
        <f>VLOOKUP(A773,'Production Plan'!B:R,14,FALSE)</f>
        <v>#N/A</v>
      </c>
    </row>
    <row r="774" spans="1:2" hidden="1">
      <c r="A774">
        <f>'Production Plan'!B763</f>
        <v>0</v>
      </c>
      <c r="B774" s="3" t="e">
        <f>VLOOKUP(A774,'Production Plan'!B:R,14,FALSE)</f>
        <v>#N/A</v>
      </c>
    </row>
    <row r="775" spans="1:2" hidden="1">
      <c r="A775">
        <f>'Production Plan'!B764</f>
        <v>0</v>
      </c>
      <c r="B775" s="3" t="e">
        <f>VLOOKUP(A775,'Production Plan'!B:R,14,FALSE)</f>
        <v>#N/A</v>
      </c>
    </row>
    <row r="776" spans="1:2" hidden="1">
      <c r="A776">
        <f>'Production Plan'!B765</f>
        <v>0</v>
      </c>
      <c r="B776" s="3" t="e">
        <f>VLOOKUP(A776,'Production Plan'!B:R,14,FALSE)</f>
        <v>#N/A</v>
      </c>
    </row>
    <row r="777" spans="1:2" hidden="1">
      <c r="A777">
        <f>'Production Plan'!B766</f>
        <v>0</v>
      </c>
      <c r="B777" s="3" t="e">
        <f>VLOOKUP(A777,'Production Plan'!B:R,14,FALSE)</f>
        <v>#N/A</v>
      </c>
    </row>
    <row r="778" spans="1:2" hidden="1">
      <c r="A778">
        <f>'Production Plan'!B767</f>
        <v>0</v>
      </c>
      <c r="B778" s="3" t="e">
        <f>VLOOKUP(A778,'Production Plan'!B:R,14,FALSE)</f>
        <v>#N/A</v>
      </c>
    </row>
    <row r="779" spans="1:2" hidden="1">
      <c r="A779">
        <f>'Production Plan'!B768</f>
        <v>0</v>
      </c>
      <c r="B779" s="3" t="e">
        <f>VLOOKUP(A779,'Production Plan'!B:R,14,FALSE)</f>
        <v>#N/A</v>
      </c>
    </row>
    <row r="780" spans="1:2" hidden="1">
      <c r="A780">
        <f>'Production Plan'!B769</f>
        <v>0</v>
      </c>
      <c r="B780" s="3" t="e">
        <f>VLOOKUP(A780,'Production Plan'!B:R,14,FALSE)</f>
        <v>#N/A</v>
      </c>
    </row>
    <row r="781" spans="1:2" hidden="1">
      <c r="A781">
        <f>'Production Plan'!B770</f>
        <v>0</v>
      </c>
      <c r="B781" s="3" t="e">
        <f>VLOOKUP(A781,'Production Plan'!B:R,14,FALSE)</f>
        <v>#N/A</v>
      </c>
    </row>
    <row r="782" spans="1:2" hidden="1">
      <c r="A782">
        <f>'Production Plan'!B771</f>
        <v>0</v>
      </c>
      <c r="B782" s="3" t="e">
        <f>VLOOKUP(A782,'Production Plan'!B:R,14,FALSE)</f>
        <v>#N/A</v>
      </c>
    </row>
    <row r="783" spans="1:2" hidden="1">
      <c r="A783">
        <f>'Production Plan'!B772</f>
        <v>0</v>
      </c>
      <c r="B783" s="3" t="e">
        <f>VLOOKUP(A783,'Production Plan'!B:R,14,FALSE)</f>
        <v>#N/A</v>
      </c>
    </row>
    <row r="784" spans="1:2" hidden="1">
      <c r="A784">
        <f>'Production Plan'!B773</f>
        <v>0</v>
      </c>
      <c r="B784" s="3" t="e">
        <f>VLOOKUP(A784,'Production Plan'!B:R,14,FALSE)</f>
        <v>#N/A</v>
      </c>
    </row>
    <row r="785" spans="1:2" hidden="1">
      <c r="A785">
        <f>'Production Plan'!B774</f>
        <v>0</v>
      </c>
      <c r="B785" s="3" t="e">
        <f>VLOOKUP(A785,'Production Plan'!B:R,14,FALSE)</f>
        <v>#N/A</v>
      </c>
    </row>
    <row r="786" spans="1:2" hidden="1">
      <c r="A786">
        <f>'Production Plan'!B775</f>
        <v>0</v>
      </c>
      <c r="B786" s="3" t="e">
        <f>VLOOKUP(A786,'Production Plan'!B:R,14,FALSE)</f>
        <v>#N/A</v>
      </c>
    </row>
    <row r="787" spans="1:2" hidden="1">
      <c r="A787">
        <f>'Production Plan'!B776</f>
        <v>0</v>
      </c>
      <c r="B787" s="3" t="e">
        <f>VLOOKUP(A787,'Production Plan'!B:R,14,FALSE)</f>
        <v>#N/A</v>
      </c>
    </row>
    <row r="788" spans="1:2" hidden="1">
      <c r="A788">
        <f>'Production Plan'!B777</f>
        <v>0</v>
      </c>
      <c r="B788" s="3" t="e">
        <f>VLOOKUP(A788,'Production Plan'!B:R,14,FALSE)</f>
        <v>#N/A</v>
      </c>
    </row>
    <row r="789" spans="1:2" hidden="1">
      <c r="A789">
        <f>'Production Plan'!B778</f>
        <v>0</v>
      </c>
      <c r="B789" s="3" t="e">
        <f>VLOOKUP(A789,'Production Plan'!B:R,14,FALSE)</f>
        <v>#N/A</v>
      </c>
    </row>
    <row r="790" spans="1:2" hidden="1">
      <c r="A790">
        <f>'Production Plan'!B779</f>
        <v>0</v>
      </c>
      <c r="B790" s="3" t="e">
        <f>VLOOKUP(A790,'Production Plan'!B:R,14,FALSE)</f>
        <v>#N/A</v>
      </c>
    </row>
    <row r="791" spans="1:2" hidden="1">
      <c r="A791">
        <f>'Production Plan'!B780</f>
        <v>0</v>
      </c>
      <c r="B791" s="3" t="e">
        <f>VLOOKUP(A791,'Production Plan'!B:R,14,FALSE)</f>
        <v>#N/A</v>
      </c>
    </row>
    <row r="792" spans="1:2" hidden="1">
      <c r="A792">
        <f>'Production Plan'!B781</f>
        <v>0</v>
      </c>
      <c r="B792" s="3" t="e">
        <f>VLOOKUP(A792,'Production Plan'!B:R,14,FALSE)</f>
        <v>#N/A</v>
      </c>
    </row>
    <row r="793" spans="1:2" hidden="1">
      <c r="A793">
        <f>'Production Plan'!B782</f>
        <v>0</v>
      </c>
      <c r="B793" s="3" t="e">
        <f>VLOOKUP(A793,'Production Plan'!B:R,14,FALSE)</f>
        <v>#N/A</v>
      </c>
    </row>
    <row r="794" spans="1:2" hidden="1">
      <c r="A794">
        <f>'Production Plan'!B783</f>
        <v>0</v>
      </c>
      <c r="B794" s="3" t="e">
        <f>VLOOKUP(A794,'Production Plan'!B:R,14,FALSE)</f>
        <v>#N/A</v>
      </c>
    </row>
    <row r="795" spans="1:2" hidden="1">
      <c r="A795">
        <f>'Production Plan'!B784</f>
        <v>0</v>
      </c>
      <c r="B795" s="3" t="e">
        <f>VLOOKUP(A795,'Production Plan'!B:R,14,FALSE)</f>
        <v>#N/A</v>
      </c>
    </row>
    <row r="796" spans="1:2" hidden="1">
      <c r="A796">
        <f>'Production Plan'!B785</f>
        <v>0</v>
      </c>
      <c r="B796" s="3" t="e">
        <f>VLOOKUP(A796,'Production Plan'!B:R,14,FALSE)</f>
        <v>#N/A</v>
      </c>
    </row>
    <row r="797" spans="1:2" hidden="1">
      <c r="A797">
        <f>'Production Plan'!B786</f>
        <v>0</v>
      </c>
      <c r="B797" s="3" t="e">
        <f>VLOOKUP(A797,'Production Plan'!B:R,14,FALSE)</f>
        <v>#N/A</v>
      </c>
    </row>
    <row r="798" spans="1:2" hidden="1">
      <c r="A798">
        <f>'Production Plan'!B787</f>
        <v>0</v>
      </c>
      <c r="B798" s="3" t="e">
        <f>VLOOKUP(A798,'Production Plan'!B:R,14,FALSE)</f>
        <v>#N/A</v>
      </c>
    </row>
    <row r="799" spans="1:2" hidden="1">
      <c r="A799">
        <f>'Production Plan'!B788</f>
        <v>0</v>
      </c>
      <c r="B799" s="3" t="e">
        <f>VLOOKUP(A799,'Production Plan'!B:R,14,FALSE)</f>
        <v>#N/A</v>
      </c>
    </row>
    <row r="800" spans="1:2" hidden="1">
      <c r="A800">
        <f>'Production Plan'!B789</f>
        <v>0</v>
      </c>
      <c r="B800" s="3" t="e">
        <f>VLOOKUP(A800,'Production Plan'!B:R,14,FALSE)</f>
        <v>#N/A</v>
      </c>
    </row>
    <row r="801" spans="1:2" hidden="1">
      <c r="A801">
        <f>'Production Plan'!B790</f>
        <v>0</v>
      </c>
      <c r="B801" s="3" t="e">
        <f>VLOOKUP(A801,'Production Plan'!B:R,14,FALSE)</f>
        <v>#N/A</v>
      </c>
    </row>
    <row r="802" spans="1:2" hidden="1">
      <c r="A802">
        <f>'Production Plan'!B791</f>
        <v>0</v>
      </c>
      <c r="B802" s="3" t="e">
        <f>VLOOKUP(A802,'Production Plan'!B:R,14,FALSE)</f>
        <v>#N/A</v>
      </c>
    </row>
    <row r="803" spans="1:2" hidden="1">
      <c r="A803">
        <f>'Production Plan'!B792</f>
        <v>0</v>
      </c>
      <c r="B803" s="3" t="e">
        <f>VLOOKUP(A803,'Production Plan'!B:R,14,FALSE)</f>
        <v>#N/A</v>
      </c>
    </row>
    <row r="804" spans="1:2" hidden="1">
      <c r="A804">
        <f>'Production Plan'!B793</f>
        <v>0</v>
      </c>
      <c r="B804" s="3" t="e">
        <f>VLOOKUP(A804,'Production Plan'!B:R,14,FALSE)</f>
        <v>#N/A</v>
      </c>
    </row>
    <row r="805" spans="1:2" hidden="1">
      <c r="A805">
        <f>'Production Plan'!B794</f>
        <v>0</v>
      </c>
      <c r="B805" s="3" t="e">
        <f>VLOOKUP(A805,'Production Plan'!B:R,14,FALSE)</f>
        <v>#N/A</v>
      </c>
    </row>
    <row r="806" spans="1:2" hidden="1">
      <c r="A806">
        <f>'Production Plan'!B795</f>
        <v>0</v>
      </c>
      <c r="B806" s="3" t="e">
        <f>VLOOKUP(A806,'Production Plan'!B:R,14,FALSE)</f>
        <v>#N/A</v>
      </c>
    </row>
    <row r="807" spans="1:2" hidden="1">
      <c r="A807">
        <f>'Production Plan'!B796</f>
        <v>0</v>
      </c>
      <c r="B807" s="3" t="e">
        <f>VLOOKUP(A807,'Production Plan'!B:R,14,FALSE)</f>
        <v>#N/A</v>
      </c>
    </row>
    <row r="808" spans="1:2" hidden="1">
      <c r="A808">
        <f>'Production Plan'!B797</f>
        <v>0</v>
      </c>
      <c r="B808" s="3" t="e">
        <f>VLOOKUP(A808,'Production Plan'!B:R,14,FALSE)</f>
        <v>#N/A</v>
      </c>
    </row>
    <row r="809" spans="1:2" hidden="1">
      <c r="A809">
        <f>'Production Plan'!B798</f>
        <v>0</v>
      </c>
      <c r="B809" s="3" t="e">
        <f>VLOOKUP(A809,'Production Plan'!B:R,14,FALSE)</f>
        <v>#N/A</v>
      </c>
    </row>
    <row r="810" spans="1:2" hidden="1">
      <c r="A810">
        <f>'Production Plan'!B799</f>
        <v>0</v>
      </c>
      <c r="B810" s="3" t="e">
        <f>VLOOKUP(A810,'Production Plan'!B:R,14,FALSE)</f>
        <v>#N/A</v>
      </c>
    </row>
    <row r="811" spans="1:2" hidden="1">
      <c r="A811">
        <f>'Production Plan'!B800</f>
        <v>0</v>
      </c>
      <c r="B811" s="3" t="e">
        <f>VLOOKUP(A811,'Production Plan'!B:R,14,FALSE)</f>
        <v>#N/A</v>
      </c>
    </row>
    <row r="812" spans="1:2" hidden="1">
      <c r="A812">
        <f>'Production Plan'!B801</f>
        <v>0</v>
      </c>
      <c r="B812" s="3" t="e">
        <f>VLOOKUP(A812,'Production Plan'!B:R,14,FALSE)</f>
        <v>#N/A</v>
      </c>
    </row>
    <row r="813" spans="1:2" hidden="1">
      <c r="A813">
        <f>'Production Plan'!B802</f>
        <v>0</v>
      </c>
      <c r="B813" s="3" t="e">
        <f>VLOOKUP(A813,'Production Plan'!B:R,14,FALSE)</f>
        <v>#N/A</v>
      </c>
    </row>
    <row r="814" spans="1:2" hidden="1">
      <c r="A814">
        <f>'Production Plan'!B803</f>
        <v>0</v>
      </c>
      <c r="B814" s="3" t="e">
        <f>VLOOKUP(A814,'Production Plan'!B:R,14,FALSE)</f>
        <v>#N/A</v>
      </c>
    </row>
    <row r="815" spans="1:2" hidden="1">
      <c r="A815">
        <f>'Production Plan'!B804</f>
        <v>0</v>
      </c>
      <c r="B815" s="3" t="e">
        <f>VLOOKUP(A815,'Production Plan'!B:R,14,FALSE)</f>
        <v>#N/A</v>
      </c>
    </row>
    <row r="816" spans="1:2" hidden="1">
      <c r="A816">
        <f>'Production Plan'!B805</f>
        <v>0</v>
      </c>
      <c r="B816" s="3" t="e">
        <f>VLOOKUP(A816,'Production Plan'!B:R,14,FALSE)</f>
        <v>#N/A</v>
      </c>
    </row>
    <row r="817" spans="1:2" hidden="1">
      <c r="A817">
        <f>'Production Plan'!B806</f>
        <v>0</v>
      </c>
      <c r="B817" s="3" t="e">
        <f>VLOOKUP(A817,'Production Plan'!B:R,14,FALSE)</f>
        <v>#N/A</v>
      </c>
    </row>
    <row r="818" spans="1:2" hidden="1">
      <c r="A818">
        <f>'Production Plan'!B807</f>
        <v>0</v>
      </c>
      <c r="B818" s="3" t="e">
        <f>VLOOKUP(A818,'Production Plan'!B:R,14,FALSE)</f>
        <v>#N/A</v>
      </c>
    </row>
    <row r="819" spans="1:2" hidden="1">
      <c r="A819">
        <f>'Production Plan'!B808</f>
        <v>0</v>
      </c>
      <c r="B819" s="3" t="e">
        <f>VLOOKUP(A819,'Production Plan'!B:R,14,FALSE)</f>
        <v>#N/A</v>
      </c>
    </row>
    <row r="820" spans="1:2" hidden="1">
      <c r="A820">
        <f>'Production Plan'!B809</f>
        <v>0</v>
      </c>
      <c r="B820" s="3" t="e">
        <f>VLOOKUP(A820,'Production Plan'!B:R,14,FALSE)</f>
        <v>#N/A</v>
      </c>
    </row>
    <row r="821" spans="1:2" hidden="1">
      <c r="A821">
        <f>'Production Plan'!B810</f>
        <v>0</v>
      </c>
      <c r="B821" s="3" t="e">
        <f>VLOOKUP(A821,'Production Plan'!B:R,14,FALSE)</f>
        <v>#N/A</v>
      </c>
    </row>
    <row r="822" spans="1:2" hidden="1">
      <c r="A822">
        <f>'Production Plan'!B811</f>
        <v>0</v>
      </c>
      <c r="B822" s="3" t="e">
        <f>VLOOKUP(A822,'Production Plan'!B:R,14,FALSE)</f>
        <v>#N/A</v>
      </c>
    </row>
    <row r="823" spans="1:2" hidden="1">
      <c r="A823">
        <f>'Production Plan'!B812</f>
        <v>0</v>
      </c>
      <c r="B823" s="3" t="e">
        <f>VLOOKUP(A823,'Production Plan'!B:R,14,FALSE)</f>
        <v>#N/A</v>
      </c>
    </row>
    <row r="824" spans="1:2" hidden="1">
      <c r="A824">
        <f>'Production Plan'!B813</f>
        <v>0</v>
      </c>
      <c r="B824" s="3" t="e">
        <f>VLOOKUP(A824,'Production Plan'!B:R,14,FALSE)</f>
        <v>#N/A</v>
      </c>
    </row>
    <row r="825" spans="1:2" hidden="1">
      <c r="A825">
        <f>'Production Plan'!B814</f>
        <v>0</v>
      </c>
      <c r="B825" s="3" t="e">
        <f>VLOOKUP(A825,'Production Plan'!B:R,14,FALSE)</f>
        <v>#N/A</v>
      </c>
    </row>
    <row r="826" spans="1:2" hidden="1">
      <c r="A826">
        <f>'Production Plan'!B815</f>
        <v>0</v>
      </c>
      <c r="B826" s="3" t="e">
        <f>VLOOKUP(A826,'Production Plan'!B:R,14,FALSE)</f>
        <v>#N/A</v>
      </c>
    </row>
    <row r="827" spans="1:2" hidden="1">
      <c r="A827">
        <f>'Production Plan'!B816</f>
        <v>0</v>
      </c>
      <c r="B827" s="3" t="e">
        <f>VLOOKUP(A827,'Production Plan'!B:R,14,FALSE)</f>
        <v>#N/A</v>
      </c>
    </row>
    <row r="828" spans="1:2" hidden="1">
      <c r="A828">
        <f>'Production Plan'!B817</f>
        <v>0</v>
      </c>
      <c r="B828" s="3" t="e">
        <f>VLOOKUP(A828,'Production Plan'!B:R,14,FALSE)</f>
        <v>#N/A</v>
      </c>
    </row>
    <row r="829" spans="1:2" hidden="1">
      <c r="A829">
        <f>'Production Plan'!B818</f>
        <v>0</v>
      </c>
      <c r="B829" s="3" t="e">
        <f>VLOOKUP(A829,'Production Plan'!B:R,14,FALSE)</f>
        <v>#N/A</v>
      </c>
    </row>
    <row r="830" spans="1:2" hidden="1">
      <c r="A830">
        <f>'Production Plan'!B819</f>
        <v>0</v>
      </c>
      <c r="B830" s="3" t="e">
        <f>VLOOKUP(A830,'Production Plan'!B:R,14,FALSE)</f>
        <v>#N/A</v>
      </c>
    </row>
    <row r="831" spans="1:2" hidden="1">
      <c r="A831">
        <f>'Production Plan'!B820</f>
        <v>0</v>
      </c>
      <c r="B831" s="3" t="e">
        <f>VLOOKUP(A831,'Production Plan'!B:R,14,FALSE)</f>
        <v>#N/A</v>
      </c>
    </row>
    <row r="832" spans="1:2" hidden="1">
      <c r="A832">
        <f>'Production Plan'!B821</f>
        <v>0</v>
      </c>
      <c r="B832" s="3" t="e">
        <f>VLOOKUP(A832,'Production Plan'!B:R,14,FALSE)</f>
        <v>#N/A</v>
      </c>
    </row>
    <row r="833" spans="1:2" hidden="1">
      <c r="A833">
        <f>'Production Plan'!B822</f>
        <v>0</v>
      </c>
      <c r="B833" s="3" t="e">
        <f>VLOOKUP(A833,'Production Plan'!B:R,14,FALSE)</f>
        <v>#N/A</v>
      </c>
    </row>
    <row r="834" spans="1:2" hidden="1">
      <c r="A834">
        <f>'Production Plan'!B823</f>
        <v>0</v>
      </c>
      <c r="B834" s="3" t="e">
        <f>VLOOKUP(A834,'Production Plan'!B:R,14,FALSE)</f>
        <v>#N/A</v>
      </c>
    </row>
    <row r="835" spans="1:2" hidden="1">
      <c r="A835">
        <f>'Production Plan'!B824</f>
        <v>0</v>
      </c>
      <c r="B835" s="3" t="e">
        <f>VLOOKUP(A835,'Production Plan'!B:R,14,FALSE)</f>
        <v>#N/A</v>
      </c>
    </row>
    <row r="836" spans="1:2" hidden="1">
      <c r="A836">
        <f>'Production Plan'!B825</f>
        <v>0</v>
      </c>
      <c r="B836" s="3" t="e">
        <f>VLOOKUP(A836,'Production Plan'!B:R,14,FALSE)</f>
        <v>#N/A</v>
      </c>
    </row>
    <row r="837" spans="1:2" hidden="1">
      <c r="A837">
        <f>'Production Plan'!B826</f>
        <v>0</v>
      </c>
      <c r="B837" s="3" t="e">
        <f>VLOOKUP(A837,'Production Plan'!B:R,14,FALSE)</f>
        <v>#N/A</v>
      </c>
    </row>
    <row r="838" spans="1:2" hidden="1">
      <c r="A838">
        <f>'Production Plan'!B827</f>
        <v>0</v>
      </c>
      <c r="B838" s="3" t="e">
        <f>VLOOKUP(A838,'Production Plan'!B:R,14,FALSE)</f>
        <v>#N/A</v>
      </c>
    </row>
    <row r="839" spans="1:2" hidden="1">
      <c r="A839">
        <f>'Production Plan'!B828</f>
        <v>0</v>
      </c>
      <c r="B839" s="3" t="e">
        <f>VLOOKUP(A839,'Production Plan'!B:R,14,FALSE)</f>
        <v>#N/A</v>
      </c>
    </row>
    <row r="840" spans="1:2" hidden="1">
      <c r="A840">
        <f>'Production Plan'!B829</f>
        <v>0</v>
      </c>
      <c r="B840" s="3" t="e">
        <f>VLOOKUP(A840,'Production Plan'!B:R,14,FALSE)</f>
        <v>#N/A</v>
      </c>
    </row>
    <row r="841" spans="1:2" hidden="1">
      <c r="A841">
        <f>'Production Plan'!B830</f>
        <v>0</v>
      </c>
      <c r="B841" s="3" t="e">
        <f>VLOOKUP(A841,'Production Plan'!B:R,14,FALSE)</f>
        <v>#N/A</v>
      </c>
    </row>
    <row r="842" spans="1:2" hidden="1">
      <c r="A842">
        <f>'Production Plan'!B831</f>
        <v>0</v>
      </c>
      <c r="B842" s="3" t="e">
        <f>VLOOKUP(A842,'Production Plan'!B:R,14,FALSE)</f>
        <v>#N/A</v>
      </c>
    </row>
    <row r="843" spans="1:2" hidden="1">
      <c r="A843">
        <f>'Production Plan'!B832</f>
        <v>0</v>
      </c>
      <c r="B843" s="3" t="e">
        <f>VLOOKUP(A843,'Production Plan'!B:R,14,FALSE)</f>
        <v>#N/A</v>
      </c>
    </row>
    <row r="844" spans="1:2" hidden="1">
      <c r="A844">
        <f>'Production Plan'!B833</f>
        <v>0</v>
      </c>
      <c r="B844" s="3" t="e">
        <f>VLOOKUP(A844,'Production Plan'!B:R,14,FALSE)</f>
        <v>#N/A</v>
      </c>
    </row>
    <row r="845" spans="1:2" hidden="1">
      <c r="A845">
        <f>'Production Plan'!B834</f>
        <v>0</v>
      </c>
      <c r="B845" s="3" t="e">
        <f>VLOOKUP(A845,'Production Plan'!B:R,14,FALSE)</f>
        <v>#N/A</v>
      </c>
    </row>
    <row r="846" spans="1:2" hidden="1">
      <c r="A846">
        <f>'Production Plan'!B835</f>
        <v>0</v>
      </c>
      <c r="B846" s="3" t="e">
        <f>VLOOKUP(A846,'Production Plan'!B:R,14,FALSE)</f>
        <v>#N/A</v>
      </c>
    </row>
    <row r="847" spans="1:2" hidden="1">
      <c r="A847">
        <f>'Production Plan'!B836</f>
        <v>0</v>
      </c>
      <c r="B847" s="3" t="e">
        <f>VLOOKUP(A847,'Production Plan'!B:R,14,FALSE)</f>
        <v>#N/A</v>
      </c>
    </row>
    <row r="848" spans="1:2" hidden="1">
      <c r="A848">
        <f>'Production Plan'!B837</f>
        <v>0</v>
      </c>
      <c r="B848" s="3" t="e">
        <f>VLOOKUP(A848,'Production Plan'!B:R,14,FALSE)</f>
        <v>#N/A</v>
      </c>
    </row>
    <row r="849" spans="1:2" hidden="1">
      <c r="A849">
        <f>'Production Plan'!B838</f>
        <v>0</v>
      </c>
      <c r="B849" s="3" t="e">
        <f>VLOOKUP(A849,'Production Plan'!B:R,14,FALSE)</f>
        <v>#N/A</v>
      </c>
    </row>
    <row r="850" spans="1:2" hidden="1">
      <c r="A850">
        <f>'Production Plan'!B839</f>
        <v>0</v>
      </c>
      <c r="B850" s="3" t="e">
        <f>VLOOKUP(A850,'Production Plan'!B:R,14,FALSE)</f>
        <v>#N/A</v>
      </c>
    </row>
    <row r="851" spans="1:2" hidden="1">
      <c r="A851">
        <f>'Production Plan'!B840</f>
        <v>0</v>
      </c>
      <c r="B851" s="3" t="e">
        <f>VLOOKUP(A851,'Production Plan'!B:R,14,FALSE)</f>
        <v>#N/A</v>
      </c>
    </row>
    <row r="852" spans="1:2" hidden="1">
      <c r="A852">
        <f>'Production Plan'!B841</f>
        <v>0</v>
      </c>
      <c r="B852" s="3" t="e">
        <f>VLOOKUP(A852,'Production Plan'!B:R,14,FALSE)</f>
        <v>#N/A</v>
      </c>
    </row>
    <row r="853" spans="1:2" hidden="1">
      <c r="A853">
        <f>'Production Plan'!B842</f>
        <v>0</v>
      </c>
      <c r="B853" s="3" t="e">
        <f>VLOOKUP(A853,'Production Plan'!B:R,14,FALSE)</f>
        <v>#N/A</v>
      </c>
    </row>
    <row r="854" spans="1:2" hidden="1">
      <c r="A854">
        <f>'Production Plan'!B843</f>
        <v>0</v>
      </c>
      <c r="B854" s="3" t="e">
        <f>VLOOKUP(A854,'Production Plan'!B:R,14,FALSE)</f>
        <v>#N/A</v>
      </c>
    </row>
    <row r="855" spans="1:2" hidden="1">
      <c r="A855">
        <f>'Production Plan'!B844</f>
        <v>0</v>
      </c>
      <c r="B855" s="3" t="e">
        <f>VLOOKUP(A855,'Production Plan'!B:R,14,FALSE)</f>
        <v>#N/A</v>
      </c>
    </row>
    <row r="856" spans="1:2" hidden="1">
      <c r="A856">
        <f>'Production Plan'!B845</f>
        <v>0</v>
      </c>
      <c r="B856" s="3" t="e">
        <f>VLOOKUP(A856,'Production Plan'!B:R,14,FALSE)</f>
        <v>#N/A</v>
      </c>
    </row>
    <row r="857" spans="1:2" hidden="1">
      <c r="A857">
        <f>'Production Plan'!B846</f>
        <v>0</v>
      </c>
      <c r="B857" s="3" t="e">
        <f>VLOOKUP(A857,'Production Plan'!B:R,14,FALSE)</f>
        <v>#N/A</v>
      </c>
    </row>
    <row r="858" spans="1:2" hidden="1">
      <c r="A858">
        <f>'Production Plan'!B847</f>
        <v>0</v>
      </c>
      <c r="B858" s="3" t="e">
        <f>VLOOKUP(A858,'Production Plan'!B:R,14,FALSE)</f>
        <v>#N/A</v>
      </c>
    </row>
    <row r="859" spans="1:2" hidden="1">
      <c r="A859">
        <f>'Production Plan'!B848</f>
        <v>0</v>
      </c>
      <c r="B859" s="3" t="e">
        <f>VLOOKUP(A859,'Production Plan'!B:R,14,FALSE)</f>
        <v>#N/A</v>
      </c>
    </row>
    <row r="860" spans="1:2" hidden="1">
      <c r="A860">
        <f>'Production Plan'!B849</f>
        <v>0</v>
      </c>
      <c r="B860" s="3" t="e">
        <f>VLOOKUP(A860,'Production Plan'!B:R,14,FALSE)</f>
        <v>#N/A</v>
      </c>
    </row>
    <row r="861" spans="1:2" hidden="1">
      <c r="A861">
        <f>'Production Plan'!B850</f>
        <v>0</v>
      </c>
      <c r="B861" s="3" t="e">
        <f>VLOOKUP(A861,'Production Plan'!B:R,14,FALSE)</f>
        <v>#N/A</v>
      </c>
    </row>
    <row r="862" spans="1:2" hidden="1">
      <c r="A862">
        <f>'Production Plan'!B851</f>
        <v>0</v>
      </c>
      <c r="B862" s="3" t="e">
        <f>VLOOKUP(A862,'Production Plan'!B:R,14,FALSE)</f>
        <v>#N/A</v>
      </c>
    </row>
    <row r="863" spans="1:2" hidden="1">
      <c r="A863">
        <f>'Production Plan'!B852</f>
        <v>0</v>
      </c>
      <c r="B863" s="3" t="e">
        <f>VLOOKUP(A863,'Production Plan'!B:R,14,FALSE)</f>
        <v>#N/A</v>
      </c>
    </row>
    <row r="864" spans="1:2" hidden="1">
      <c r="A864">
        <f>'Production Plan'!B853</f>
        <v>0</v>
      </c>
      <c r="B864" s="3" t="e">
        <f>VLOOKUP(A864,'Production Plan'!B:R,14,FALSE)</f>
        <v>#N/A</v>
      </c>
    </row>
    <row r="865" spans="1:2" hidden="1">
      <c r="A865">
        <f>'Production Plan'!B854</f>
        <v>0</v>
      </c>
      <c r="B865" s="3" t="e">
        <f>VLOOKUP(A865,'Production Plan'!B:R,14,FALSE)</f>
        <v>#N/A</v>
      </c>
    </row>
    <row r="866" spans="1:2" hidden="1">
      <c r="A866">
        <f>'Production Plan'!B855</f>
        <v>0</v>
      </c>
      <c r="B866" s="3" t="e">
        <f>VLOOKUP(A866,'Production Plan'!B:R,14,FALSE)</f>
        <v>#N/A</v>
      </c>
    </row>
    <row r="867" spans="1:2" hidden="1">
      <c r="A867">
        <f>'Production Plan'!B856</f>
        <v>0</v>
      </c>
      <c r="B867" s="3" t="e">
        <f>VLOOKUP(A867,'Production Plan'!B:R,14,FALSE)</f>
        <v>#N/A</v>
      </c>
    </row>
    <row r="868" spans="1:2" hidden="1">
      <c r="A868">
        <f>'Production Plan'!B857</f>
        <v>0</v>
      </c>
      <c r="B868" s="3" t="e">
        <f>VLOOKUP(A868,'Production Plan'!B:R,14,FALSE)</f>
        <v>#N/A</v>
      </c>
    </row>
    <row r="869" spans="1:2" hidden="1">
      <c r="A869">
        <f>'Production Plan'!B858</f>
        <v>0</v>
      </c>
      <c r="B869" s="3" t="e">
        <f>VLOOKUP(A869,'Production Plan'!B:R,14,FALSE)</f>
        <v>#N/A</v>
      </c>
    </row>
    <row r="870" spans="1:2" hidden="1">
      <c r="A870">
        <f>'Production Plan'!B859</f>
        <v>0</v>
      </c>
      <c r="B870" s="3" t="e">
        <f>VLOOKUP(A870,'Production Plan'!B:R,14,FALSE)</f>
        <v>#N/A</v>
      </c>
    </row>
    <row r="871" spans="1:2" hidden="1">
      <c r="A871">
        <f>'Production Plan'!B860</f>
        <v>0</v>
      </c>
      <c r="B871" s="3" t="e">
        <f>VLOOKUP(A871,'Production Plan'!B:R,14,FALSE)</f>
        <v>#N/A</v>
      </c>
    </row>
    <row r="872" spans="1:2" hidden="1">
      <c r="A872">
        <f>'Production Plan'!B861</f>
        <v>0</v>
      </c>
      <c r="B872" s="3" t="e">
        <f>VLOOKUP(A872,'Production Plan'!B:R,14,FALSE)</f>
        <v>#N/A</v>
      </c>
    </row>
    <row r="873" spans="1:2" hidden="1">
      <c r="A873">
        <f>'Production Plan'!B862</f>
        <v>0</v>
      </c>
      <c r="B873" s="3" t="e">
        <f>VLOOKUP(A873,'Production Plan'!B:R,14,FALSE)</f>
        <v>#N/A</v>
      </c>
    </row>
    <row r="874" spans="1:2" hidden="1">
      <c r="A874">
        <f>'Production Plan'!B863</f>
        <v>0</v>
      </c>
      <c r="B874" s="3" t="e">
        <f>VLOOKUP(A874,'Production Plan'!B:R,14,FALSE)</f>
        <v>#N/A</v>
      </c>
    </row>
    <row r="875" spans="1:2" hidden="1">
      <c r="A875">
        <f>'Production Plan'!B864</f>
        <v>0</v>
      </c>
      <c r="B875" s="3" t="e">
        <f>VLOOKUP(A875,'Production Plan'!B:R,14,FALSE)</f>
        <v>#N/A</v>
      </c>
    </row>
    <row r="876" spans="1:2" hidden="1">
      <c r="A876">
        <f>'Production Plan'!B865</f>
        <v>0</v>
      </c>
      <c r="B876" s="3" t="e">
        <f>VLOOKUP(A876,'Production Plan'!B:R,14,FALSE)</f>
        <v>#N/A</v>
      </c>
    </row>
    <row r="877" spans="1:2" hidden="1">
      <c r="A877">
        <f>'Production Plan'!B866</f>
        <v>0</v>
      </c>
      <c r="B877" s="3" t="e">
        <f>VLOOKUP(A877,'Production Plan'!B:R,14,FALSE)</f>
        <v>#N/A</v>
      </c>
    </row>
    <row r="878" spans="1:2" hidden="1">
      <c r="A878">
        <f>'Production Plan'!B867</f>
        <v>0</v>
      </c>
      <c r="B878" s="3" t="e">
        <f>VLOOKUP(A878,'Production Plan'!B:R,14,FALSE)</f>
        <v>#N/A</v>
      </c>
    </row>
    <row r="879" spans="1:2" hidden="1">
      <c r="A879">
        <f>'Production Plan'!B868</f>
        <v>0</v>
      </c>
      <c r="B879" s="3" t="e">
        <f>VLOOKUP(A879,'Production Plan'!B:R,14,FALSE)</f>
        <v>#N/A</v>
      </c>
    </row>
    <row r="880" spans="1:2" hidden="1">
      <c r="A880">
        <f>'Production Plan'!B869</f>
        <v>0</v>
      </c>
      <c r="B880" s="3" t="e">
        <f>VLOOKUP(A880,'Production Plan'!B:R,14,FALSE)</f>
        <v>#N/A</v>
      </c>
    </row>
    <row r="881" spans="1:2" hidden="1">
      <c r="A881">
        <f>'Production Plan'!B870</f>
        <v>0</v>
      </c>
      <c r="B881" s="3" t="e">
        <f>VLOOKUP(A881,'Production Plan'!B:R,14,FALSE)</f>
        <v>#N/A</v>
      </c>
    </row>
    <row r="882" spans="1:2" hidden="1">
      <c r="A882">
        <f>'Production Plan'!B871</f>
        <v>0</v>
      </c>
      <c r="B882" s="3" t="e">
        <f>VLOOKUP(A882,'Production Plan'!B:R,14,FALSE)</f>
        <v>#N/A</v>
      </c>
    </row>
    <row r="883" spans="1:2" hidden="1">
      <c r="A883">
        <f>'Production Plan'!B872</f>
        <v>0</v>
      </c>
      <c r="B883" s="3" t="e">
        <f>VLOOKUP(A883,'Production Plan'!B:R,14,FALSE)</f>
        <v>#N/A</v>
      </c>
    </row>
    <row r="884" spans="1:2" hidden="1">
      <c r="A884">
        <f>'Production Plan'!B873</f>
        <v>0</v>
      </c>
      <c r="B884" s="3" t="e">
        <f>VLOOKUP(A884,'Production Plan'!B:R,14,FALSE)</f>
        <v>#N/A</v>
      </c>
    </row>
    <row r="885" spans="1:2" hidden="1">
      <c r="A885">
        <f>'Production Plan'!B874</f>
        <v>0</v>
      </c>
      <c r="B885" s="3" t="e">
        <f>VLOOKUP(A885,'Production Plan'!B:R,14,FALSE)</f>
        <v>#N/A</v>
      </c>
    </row>
    <row r="886" spans="1:2" hidden="1">
      <c r="A886">
        <f>'Production Plan'!B875</f>
        <v>0</v>
      </c>
      <c r="B886" s="3" t="e">
        <f>VLOOKUP(A886,'Production Plan'!B:R,14,FALSE)</f>
        <v>#N/A</v>
      </c>
    </row>
    <row r="887" spans="1:2" hidden="1">
      <c r="A887">
        <f>'Production Plan'!B876</f>
        <v>0</v>
      </c>
      <c r="B887" s="3" t="e">
        <f>VLOOKUP(A887,'Production Plan'!B:R,14,FALSE)</f>
        <v>#N/A</v>
      </c>
    </row>
    <row r="888" spans="1:2" hidden="1">
      <c r="A888">
        <f>'Production Plan'!B877</f>
        <v>0</v>
      </c>
      <c r="B888" s="3" t="e">
        <f>VLOOKUP(A888,'Production Plan'!B:R,14,FALSE)</f>
        <v>#N/A</v>
      </c>
    </row>
    <row r="889" spans="1:2" hidden="1">
      <c r="A889">
        <f>'Production Plan'!B878</f>
        <v>0</v>
      </c>
      <c r="B889" s="3" t="e">
        <f>VLOOKUP(A889,'Production Plan'!B:R,14,FALSE)</f>
        <v>#N/A</v>
      </c>
    </row>
    <row r="890" spans="1:2" hidden="1">
      <c r="A890">
        <f>'Production Plan'!B879</f>
        <v>0</v>
      </c>
      <c r="B890" s="3" t="e">
        <f>VLOOKUP(A890,'Production Plan'!B:R,14,FALSE)</f>
        <v>#N/A</v>
      </c>
    </row>
    <row r="891" spans="1:2" hidden="1">
      <c r="A891">
        <f>'Production Plan'!B880</f>
        <v>0</v>
      </c>
      <c r="B891" s="3" t="e">
        <f>VLOOKUP(A891,'Production Plan'!B:R,14,FALSE)</f>
        <v>#N/A</v>
      </c>
    </row>
    <row r="892" spans="1:2" hidden="1">
      <c r="A892">
        <f>'Production Plan'!B881</f>
        <v>0</v>
      </c>
      <c r="B892" s="3" t="e">
        <f>VLOOKUP(A892,'Production Plan'!B:R,14,FALSE)</f>
        <v>#N/A</v>
      </c>
    </row>
    <row r="893" spans="1:2" hidden="1">
      <c r="A893">
        <f>'Production Plan'!B882</f>
        <v>0</v>
      </c>
      <c r="B893" s="3" t="e">
        <f>VLOOKUP(A893,'Production Plan'!B:R,14,FALSE)</f>
        <v>#N/A</v>
      </c>
    </row>
    <row r="894" spans="1:2" hidden="1">
      <c r="A894">
        <f>'Production Plan'!B883</f>
        <v>0</v>
      </c>
      <c r="B894" s="3" t="e">
        <f>VLOOKUP(A894,'Production Plan'!B:R,14,FALSE)</f>
        <v>#N/A</v>
      </c>
    </row>
    <row r="895" spans="1:2" hidden="1">
      <c r="A895">
        <f>'Production Plan'!B884</f>
        <v>0</v>
      </c>
      <c r="B895" s="3" t="e">
        <f>VLOOKUP(A895,'Production Plan'!B:R,14,FALSE)</f>
        <v>#N/A</v>
      </c>
    </row>
    <row r="896" spans="1:2" hidden="1">
      <c r="A896">
        <f>'Production Plan'!B885</f>
        <v>0</v>
      </c>
      <c r="B896" s="3" t="e">
        <f>VLOOKUP(A896,'Production Plan'!B:R,14,FALSE)</f>
        <v>#N/A</v>
      </c>
    </row>
    <row r="897" spans="1:2" hidden="1">
      <c r="A897">
        <f>'Production Plan'!B886</f>
        <v>0</v>
      </c>
      <c r="B897" s="3" t="e">
        <f>VLOOKUP(A897,'Production Plan'!B:R,14,FALSE)</f>
        <v>#N/A</v>
      </c>
    </row>
    <row r="898" spans="1:2" hidden="1">
      <c r="A898">
        <f>'Production Plan'!B887</f>
        <v>0</v>
      </c>
      <c r="B898" s="3" t="e">
        <f>VLOOKUP(A898,'Production Plan'!B:R,14,FALSE)</f>
        <v>#N/A</v>
      </c>
    </row>
    <row r="899" spans="1:2" hidden="1">
      <c r="A899">
        <f>'Production Plan'!B888</f>
        <v>0</v>
      </c>
      <c r="B899" s="3" t="e">
        <f>VLOOKUP(A899,'Production Plan'!B:R,14,FALSE)</f>
        <v>#N/A</v>
      </c>
    </row>
    <row r="900" spans="1:2" hidden="1">
      <c r="A900">
        <f>'Production Plan'!B889</f>
        <v>0</v>
      </c>
      <c r="B900" s="3" t="e">
        <f>VLOOKUP(A900,'Production Plan'!B:R,14,FALSE)</f>
        <v>#N/A</v>
      </c>
    </row>
    <row r="901" spans="1:2" hidden="1">
      <c r="A901">
        <f>'Production Plan'!B890</f>
        <v>0</v>
      </c>
      <c r="B901" s="3" t="e">
        <f>VLOOKUP(A901,'Production Plan'!B:R,14,FALSE)</f>
        <v>#N/A</v>
      </c>
    </row>
    <row r="902" spans="1:2" hidden="1">
      <c r="A902">
        <f>'Production Plan'!B891</f>
        <v>0</v>
      </c>
      <c r="B902" s="3" t="e">
        <f>VLOOKUP(A902,'Production Plan'!B:R,14,FALSE)</f>
        <v>#N/A</v>
      </c>
    </row>
    <row r="903" spans="1:2" hidden="1">
      <c r="A903">
        <f>'Production Plan'!B892</f>
        <v>0</v>
      </c>
      <c r="B903" s="3" t="e">
        <f>VLOOKUP(A903,'Production Plan'!B:R,14,FALSE)</f>
        <v>#N/A</v>
      </c>
    </row>
    <row r="904" spans="1:2" hidden="1">
      <c r="A904">
        <f>'Production Plan'!B893</f>
        <v>0</v>
      </c>
      <c r="B904" s="3" t="e">
        <f>VLOOKUP(A904,'Production Plan'!B:R,14,FALSE)</f>
        <v>#N/A</v>
      </c>
    </row>
    <row r="905" spans="1:2" hidden="1">
      <c r="A905">
        <f>'Production Plan'!B894</f>
        <v>0</v>
      </c>
      <c r="B905" s="3" t="e">
        <f>VLOOKUP(A905,'Production Plan'!B:R,14,FALSE)</f>
        <v>#N/A</v>
      </c>
    </row>
    <row r="906" spans="1:2" hidden="1">
      <c r="A906">
        <f>'Production Plan'!B895</f>
        <v>0</v>
      </c>
      <c r="B906" s="3" t="e">
        <f>VLOOKUP(A906,'Production Plan'!B:R,14,FALSE)</f>
        <v>#N/A</v>
      </c>
    </row>
    <row r="907" spans="1:2" hidden="1">
      <c r="A907">
        <f>'Production Plan'!B896</f>
        <v>0</v>
      </c>
      <c r="B907" s="3" t="e">
        <f>VLOOKUP(A907,'Production Plan'!B:R,14,FALSE)</f>
        <v>#N/A</v>
      </c>
    </row>
    <row r="908" spans="1:2" hidden="1">
      <c r="A908">
        <f>'Production Plan'!B897</f>
        <v>0</v>
      </c>
      <c r="B908" s="3" t="e">
        <f>VLOOKUP(A908,'Production Plan'!B:R,14,FALSE)</f>
        <v>#N/A</v>
      </c>
    </row>
    <row r="909" spans="1:2" hidden="1">
      <c r="A909">
        <f>'Production Plan'!B898</f>
        <v>0</v>
      </c>
      <c r="B909" s="3" t="e">
        <f>VLOOKUP(A909,'Production Plan'!B:R,14,FALSE)</f>
        <v>#N/A</v>
      </c>
    </row>
    <row r="910" spans="1:2" hidden="1">
      <c r="A910">
        <f>'Production Plan'!B899</f>
        <v>0</v>
      </c>
      <c r="B910" s="3" t="e">
        <f>VLOOKUP(A910,'Production Plan'!B:R,14,FALSE)</f>
        <v>#N/A</v>
      </c>
    </row>
    <row r="911" spans="1:2" hidden="1">
      <c r="A911">
        <f>'Production Plan'!B900</f>
        <v>0</v>
      </c>
      <c r="B911" s="3" t="e">
        <f>VLOOKUP(A911,'Production Plan'!B:R,14,FALSE)</f>
        <v>#N/A</v>
      </c>
    </row>
    <row r="912" spans="1:2" hidden="1">
      <c r="A912">
        <f>'Production Plan'!B901</f>
        <v>0</v>
      </c>
      <c r="B912" s="3" t="e">
        <f>VLOOKUP(A912,'Production Plan'!B:R,14,FALSE)</f>
        <v>#N/A</v>
      </c>
    </row>
    <row r="913" spans="1:2" hidden="1">
      <c r="A913">
        <f>'Production Plan'!B902</f>
        <v>0</v>
      </c>
      <c r="B913" s="3" t="e">
        <f>VLOOKUP(A913,'Production Plan'!B:R,14,FALSE)</f>
        <v>#N/A</v>
      </c>
    </row>
    <row r="914" spans="1:2" hidden="1">
      <c r="A914">
        <f>'Production Plan'!B903</f>
        <v>0</v>
      </c>
      <c r="B914" s="3" t="e">
        <f>VLOOKUP(A914,'Production Plan'!B:R,14,FALSE)</f>
        <v>#N/A</v>
      </c>
    </row>
    <row r="915" spans="1:2" hidden="1">
      <c r="A915">
        <f>'Production Plan'!B904</f>
        <v>0</v>
      </c>
      <c r="B915" s="3" t="e">
        <f>VLOOKUP(A915,'Production Plan'!B:R,14,FALSE)</f>
        <v>#N/A</v>
      </c>
    </row>
    <row r="916" spans="1:2" hidden="1">
      <c r="A916">
        <f>'Production Plan'!B905</f>
        <v>0</v>
      </c>
      <c r="B916" s="3" t="e">
        <f>VLOOKUP(A916,'Production Plan'!B:R,14,FALSE)</f>
        <v>#N/A</v>
      </c>
    </row>
    <row r="917" spans="1:2" hidden="1">
      <c r="A917">
        <f>'Production Plan'!B906</f>
        <v>0</v>
      </c>
      <c r="B917" s="3" t="e">
        <f>VLOOKUP(A917,'Production Plan'!B:R,14,FALSE)</f>
        <v>#N/A</v>
      </c>
    </row>
    <row r="918" spans="1:2" hidden="1">
      <c r="A918">
        <f>'Production Plan'!B907</f>
        <v>0</v>
      </c>
      <c r="B918" s="3" t="e">
        <f>VLOOKUP(A918,'Production Plan'!B:R,14,FALSE)</f>
        <v>#N/A</v>
      </c>
    </row>
    <row r="919" spans="1:2" hidden="1">
      <c r="A919">
        <f>'Production Plan'!B908</f>
        <v>0</v>
      </c>
      <c r="B919" s="3" t="e">
        <f>VLOOKUP(A919,'Production Plan'!B:R,14,FALSE)</f>
        <v>#N/A</v>
      </c>
    </row>
    <row r="920" spans="1:2" hidden="1">
      <c r="A920">
        <f>'Production Plan'!B909</f>
        <v>0</v>
      </c>
      <c r="B920" s="3" t="e">
        <f>VLOOKUP(A920,'Production Plan'!B:R,14,FALSE)</f>
        <v>#N/A</v>
      </c>
    </row>
    <row r="921" spans="1:2" hidden="1">
      <c r="A921">
        <f>'Production Plan'!B910</f>
        <v>0</v>
      </c>
      <c r="B921" s="3" t="e">
        <f>VLOOKUP(A921,'Production Plan'!B:R,14,FALSE)</f>
        <v>#N/A</v>
      </c>
    </row>
    <row r="922" spans="1:2" hidden="1">
      <c r="A922">
        <f>'Production Plan'!B911</f>
        <v>0</v>
      </c>
      <c r="B922" s="3" t="e">
        <f>VLOOKUP(A922,'Production Plan'!B:R,14,FALSE)</f>
        <v>#N/A</v>
      </c>
    </row>
    <row r="923" spans="1:2" hidden="1">
      <c r="A923">
        <f>'Production Plan'!B912</f>
        <v>0</v>
      </c>
      <c r="B923" s="3" t="e">
        <f>VLOOKUP(A923,'Production Plan'!B:R,14,FALSE)</f>
        <v>#N/A</v>
      </c>
    </row>
    <row r="924" spans="1:2" hidden="1">
      <c r="A924">
        <f>'Production Plan'!B913</f>
        <v>0</v>
      </c>
      <c r="B924" s="3" t="e">
        <f>VLOOKUP(A924,'Production Plan'!B:R,14,FALSE)</f>
        <v>#N/A</v>
      </c>
    </row>
    <row r="925" spans="1:2" hidden="1">
      <c r="A925">
        <f>'Production Plan'!B914</f>
        <v>0</v>
      </c>
      <c r="B925" s="3" t="e">
        <f>VLOOKUP(A925,'Production Plan'!B:R,14,FALSE)</f>
        <v>#N/A</v>
      </c>
    </row>
    <row r="926" spans="1:2" hidden="1">
      <c r="A926">
        <f>'Production Plan'!B915</f>
        <v>0</v>
      </c>
      <c r="B926" s="3" t="e">
        <f>VLOOKUP(A926,'Production Plan'!B:R,14,FALSE)</f>
        <v>#N/A</v>
      </c>
    </row>
    <row r="927" spans="1:2" hidden="1">
      <c r="A927">
        <f>'Production Plan'!B916</f>
        <v>0</v>
      </c>
      <c r="B927" s="3" t="e">
        <f>VLOOKUP(A927,'Production Plan'!B:R,14,FALSE)</f>
        <v>#N/A</v>
      </c>
    </row>
    <row r="928" spans="1:2" hidden="1">
      <c r="A928">
        <f>'Production Plan'!B917</f>
        <v>0</v>
      </c>
      <c r="B928" s="3" t="e">
        <f>VLOOKUP(A928,'Production Plan'!B:R,14,FALSE)</f>
        <v>#N/A</v>
      </c>
    </row>
    <row r="929" spans="1:2" hidden="1">
      <c r="A929">
        <f>'Production Plan'!B918</f>
        <v>0</v>
      </c>
      <c r="B929" s="3" t="e">
        <f>VLOOKUP(A929,'Production Plan'!B:R,14,FALSE)</f>
        <v>#N/A</v>
      </c>
    </row>
    <row r="930" spans="1:2" hidden="1">
      <c r="A930">
        <f>'Production Plan'!B919</f>
        <v>0</v>
      </c>
      <c r="B930" s="3" t="e">
        <f>VLOOKUP(A930,'Production Plan'!B:R,14,FALSE)</f>
        <v>#N/A</v>
      </c>
    </row>
    <row r="931" spans="1:2" hidden="1">
      <c r="A931">
        <f>'Production Plan'!B920</f>
        <v>0</v>
      </c>
      <c r="B931" s="3" t="e">
        <f>VLOOKUP(A931,'Production Plan'!B:R,14,FALSE)</f>
        <v>#N/A</v>
      </c>
    </row>
    <row r="932" spans="1:2" hidden="1">
      <c r="A932">
        <f>'Production Plan'!B921</f>
        <v>0</v>
      </c>
      <c r="B932" s="3" t="e">
        <f>VLOOKUP(A932,'Production Plan'!B:R,14,FALSE)</f>
        <v>#N/A</v>
      </c>
    </row>
    <row r="933" spans="1:2" hidden="1">
      <c r="A933">
        <f>'Production Plan'!B922</f>
        <v>0</v>
      </c>
      <c r="B933" s="3" t="e">
        <f>VLOOKUP(A933,'Production Plan'!B:R,14,FALSE)</f>
        <v>#N/A</v>
      </c>
    </row>
    <row r="934" spans="1:2" hidden="1">
      <c r="A934">
        <f>'Production Plan'!B923</f>
        <v>0</v>
      </c>
      <c r="B934" s="3" t="e">
        <f>VLOOKUP(A934,'Production Plan'!B:R,14,FALSE)</f>
        <v>#N/A</v>
      </c>
    </row>
    <row r="935" spans="1:2" hidden="1">
      <c r="A935">
        <f>'Production Plan'!B924</f>
        <v>0</v>
      </c>
      <c r="B935" s="3" t="e">
        <f>VLOOKUP(A935,'Production Plan'!B:R,14,FALSE)</f>
        <v>#N/A</v>
      </c>
    </row>
    <row r="936" spans="1:2" hidden="1">
      <c r="A936">
        <f>'Production Plan'!B925</f>
        <v>0</v>
      </c>
      <c r="B936" s="3" t="e">
        <f>VLOOKUP(A936,'Production Plan'!B:R,14,FALSE)</f>
        <v>#N/A</v>
      </c>
    </row>
    <row r="937" spans="1:2" hidden="1">
      <c r="A937">
        <f>'Production Plan'!B926</f>
        <v>0</v>
      </c>
      <c r="B937" s="3" t="e">
        <f>VLOOKUP(A937,'Production Plan'!B:R,14,FALSE)</f>
        <v>#N/A</v>
      </c>
    </row>
    <row r="938" spans="1:2" hidden="1">
      <c r="A938">
        <f>'Production Plan'!B927</f>
        <v>0</v>
      </c>
      <c r="B938" s="3" t="e">
        <f>VLOOKUP(A938,'Production Plan'!B:R,14,FALSE)</f>
        <v>#N/A</v>
      </c>
    </row>
    <row r="939" spans="1:2" hidden="1">
      <c r="A939">
        <f>'Production Plan'!B928</f>
        <v>0</v>
      </c>
      <c r="B939" s="3" t="e">
        <f>VLOOKUP(A939,'Production Plan'!B:R,14,FALSE)</f>
        <v>#N/A</v>
      </c>
    </row>
    <row r="940" spans="1:2" hidden="1">
      <c r="A940">
        <f>'Production Plan'!B929</f>
        <v>0</v>
      </c>
      <c r="B940" s="3" t="e">
        <f>VLOOKUP(A940,'Production Plan'!B:R,14,FALSE)</f>
        <v>#N/A</v>
      </c>
    </row>
    <row r="941" spans="1:2" hidden="1">
      <c r="A941">
        <f>'Production Plan'!B930</f>
        <v>0</v>
      </c>
      <c r="B941" s="3" t="e">
        <f>VLOOKUP(A941,'Production Plan'!B:R,14,FALSE)</f>
        <v>#N/A</v>
      </c>
    </row>
    <row r="942" spans="1:2" hidden="1">
      <c r="A942">
        <f>'Production Plan'!B931</f>
        <v>0</v>
      </c>
      <c r="B942" s="3" t="e">
        <f>VLOOKUP(A942,'Production Plan'!B:R,14,FALSE)</f>
        <v>#N/A</v>
      </c>
    </row>
    <row r="943" spans="1:2" hidden="1">
      <c r="A943">
        <f>'Production Plan'!B932</f>
        <v>0</v>
      </c>
      <c r="B943" s="3" t="e">
        <f>VLOOKUP(A943,'Production Plan'!B:R,14,FALSE)</f>
        <v>#N/A</v>
      </c>
    </row>
    <row r="944" spans="1:2" hidden="1">
      <c r="A944">
        <f>'Production Plan'!B933</f>
        <v>0</v>
      </c>
      <c r="B944" s="3" t="e">
        <f>VLOOKUP(A944,'Production Plan'!B:R,14,FALSE)</f>
        <v>#N/A</v>
      </c>
    </row>
    <row r="945" spans="1:2" hidden="1">
      <c r="A945">
        <f>'Production Plan'!B934</f>
        <v>0</v>
      </c>
      <c r="B945" s="3" t="e">
        <f>VLOOKUP(A945,'Production Plan'!B:R,14,FALSE)</f>
        <v>#N/A</v>
      </c>
    </row>
    <row r="946" spans="1:2" hidden="1">
      <c r="A946">
        <f>'Production Plan'!B935</f>
        <v>0</v>
      </c>
      <c r="B946" s="3" t="e">
        <f>VLOOKUP(A946,'Production Plan'!B:R,14,FALSE)</f>
        <v>#N/A</v>
      </c>
    </row>
    <row r="947" spans="1:2" hidden="1">
      <c r="A947">
        <f>'Production Plan'!B936</f>
        <v>0</v>
      </c>
      <c r="B947" s="3" t="e">
        <f>VLOOKUP(A947,'Production Plan'!B:R,14,FALSE)</f>
        <v>#N/A</v>
      </c>
    </row>
    <row r="948" spans="1:2" hidden="1">
      <c r="A948">
        <f>'Production Plan'!B937</f>
        <v>0</v>
      </c>
      <c r="B948" s="3" t="e">
        <f>VLOOKUP(A948,'Production Plan'!B:R,14,FALSE)</f>
        <v>#N/A</v>
      </c>
    </row>
    <row r="949" spans="1:2" hidden="1">
      <c r="A949">
        <f>'Production Plan'!B938</f>
        <v>0</v>
      </c>
      <c r="B949" s="3" t="e">
        <f>VLOOKUP(A949,'Production Plan'!B:R,14,FALSE)</f>
        <v>#N/A</v>
      </c>
    </row>
    <row r="950" spans="1:2" hidden="1">
      <c r="A950">
        <f>'Production Plan'!B939</f>
        <v>0</v>
      </c>
      <c r="B950" s="3" t="e">
        <f>VLOOKUP(A950,'Production Plan'!B:R,14,FALSE)</f>
        <v>#N/A</v>
      </c>
    </row>
    <row r="951" spans="1:2" hidden="1">
      <c r="A951">
        <f>'Production Plan'!B940</f>
        <v>0</v>
      </c>
      <c r="B951" s="3" t="e">
        <f>VLOOKUP(A951,'Production Plan'!B:R,14,FALSE)</f>
        <v>#N/A</v>
      </c>
    </row>
    <row r="952" spans="1:2" hidden="1">
      <c r="A952">
        <f>'Production Plan'!B941</f>
        <v>0</v>
      </c>
      <c r="B952" s="3" t="e">
        <f>VLOOKUP(A952,'Production Plan'!B:R,14,FALSE)</f>
        <v>#N/A</v>
      </c>
    </row>
    <row r="953" spans="1:2" hidden="1">
      <c r="A953">
        <f>'Production Plan'!B942</f>
        <v>0</v>
      </c>
      <c r="B953" s="3" t="e">
        <f>VLOOKUP(A953,'Production Plan'!B:R,14,FALSE)</f>
        <v>#N/A</v>
      </c>
    </row>
    <row r="954" spans="1:2" hidden="1">
      <c r="A954">
        <f>'Production Plan'!B943</f>
        <v>0</v>
      </c>
      <c r="B954" s="3" t="e">
        <f>VLOOKUP(A954,'Production Plan'!B:R,14,FALSE)</f>
        <v>#N/A</v>
      </c>
    </row>
    <row r="955" spans="1:2" hidden="1">
      <c r="A955">
        <f>'Production Plan'!B944</f>
        <v>0</v>
      </c>
      <c r="B955" s="3" t="e">
        <f>VLOOKUP(A955,'Production Plan'!B:R,14,FALSE)</f>
        <v>#N/A</v>
      </c>
    </row>
    <row r="956" spans="1:2" hidden="1">
      <c r="A956">
        <f>'Production Plan'!B945</f>
        <v>0</v>
      </c>
      <c r="B956" s="3" t="e">
        <f>VLOOKUP(A956,'Production Plan'!B:R,14,FALSE)</f>
        <v>#N/A</v>
      </c>
    </row>
    <row r="957" spans="1:2" hidden="1">
      <c r="A957">
        <f>'Production Plan'!B946</f>
        <v>0</v>
      </c>
      <c r="B957" s="3" t="e">
        <f>VLOOKUP(A957,'Production Plan'!B:R,14,FALSE)</f>
        <v>#N/A</v>
      </c>
    </row>
    <row r="958" spans="1:2" hidden="1">
      <c r="A958">
        <f>'Production Plan'!B947</f>
        <v>0</v>
      </c>
      <c r="B958" s="3" t="e">
        <f>VLOOKUP(A958,'Production Plan'!B:R,14,FALSE)</f>
        <v>#N/A</v>
      </c>
    </row>
    <row r="959" spans="1:2" hidden="1">
      <c r="A959">
        <f>'Production Plan'!B948</f>
        <v>0</v>
      </c>
      <c r="B959" s="3" t="e">
        <f>VLOOKUP(A959,'Production Plan'!B:R,14,FALSE)</f>
        <v>#N/A</v>
      </c>
    </row>
    <row r="960" spans="1:2" hidden="1">
      <c r="A960">
        <f>'Production Plan'!B949</f>
        <v>0</v>
      </c>
      <c r="B960" s="3" t="e">
        <f>VLOOKUP(A960,'Production Plan'!B:R,14,FALSE)</f>
        <v>#N/A</v>
      </c>
    </row>
    <row r="961" spans="1:2" hidden="1">
      <c r="A961">
        <f>'Production Plan'!B950</f>
        <v>0</v>
      </c>
      <c r="B961" s="3" t="e">
        <f>VLOOKUP(A961,'Production Plan'!B:R,14,FALSE)</f>
        <v>#N/A</v>
      </c>
    </row>
    <row r="962" spans="1:2" hidden="1">
      <c r="A962">
        <f>'Production Plan'!B951</f>
        <v>0</v>
      </c>
      <c r="B962" s="3" t="e">
        <f>VLOOKUP(A962,'Production Plan'!B:R,14,FALSE)</f>
        <v>#N/A</v>
      </c>
    </row>
    <row r="963" spans="1:2" hidden="1">
      <c r="A963">
        <f>'Production Plan'!B952</f>
        <v>0</v>
      </c>
      <c r="B963" s="3" t="e">
        <f>VLOOKUP(A963,'Production Plan'!B:R,14,FALSE)</f>
        <v>#N/A</v>
      </c>
    </row>
    <row r="964" spans="1:2" hidden="1">
      <c r="A964">
        <f>'Production Plan'!B953</f>
        <v>0</v>
      </c>
      <c r="B964" s="3" t="e">
        <f>VLOOKUP(A964,'Production Plan'!B:R,14,FALSE)</f>
        <v>#N/A</v>
      </c>
    </row>
    <row r="965" spans="1:2" hidden="1">
      <c r="A965">
        <f>'Production Plan'!B954</f>
        <v>0</v>
      </c>
      <c r="B965" s="3" t="e">
        <f>VLOOKUP(A965,'Production Plan'!B:R,14,FALSE)</f>
        <v>#N/A</v>
      </c>
    </row>
    <row r="966" spans="1:2" hidden="1">
      <c r="A966">
        <f>'Production Plan'!B955</f>
        <v>0</v>
      </c>
      <c r="B966" s="3" t="e">
        <f>VLOOKUP(A966,'Production Plan'!B:R,14,FALSE)</f>
        <v>#N/A</v>
      </c>
    </row>
    <row r="967" spans="1:2" hidden="1">
      <c r="A967">
        <f>'Production Plan'!B956</f>
        <v>0</v>
      </c>
      <c r="B967" s="3" t="e">
        <f>VLOOKUP(A967,'Production Plan'!B:R,14,FALSE)</f>
        <v>#N/A</v>
      </c>
    </row>
    <row r="968" spans="1:2" hidden="1">
      <c r="A968">
        <f>'Production Plan'!B957</f>
        <v>0</v>
      </c>
      <c r="B968" s="3" t="e">
        <f>VLOOKUP(A968,'Production Plan'!B:R,14,FALSE)</f>
        <v>#N/A</v>
      </c>
    </row>
    <row r="969" spans="1:2" hidden="1">
      <c r="A969">
        <f>'Production Plan'!B958</f>
        <v>0</v>
      </c>
      <c r="B969" s="3" t="e">
        <f>VLOOKUP(A969,'Production Plan'!B:R,14,FALSE)</f>
        <v>#N/A</v>
      </c>
    </row>
    <row r="970" spans="1:2" hidden="1">
      <c r="A970">
        <f>'Production Plan'!B959</f>
        <v>0</v>
      </c>
      <c r="B970" s="3" t="e">
        <f>VLOOKUP(A970,'Production Plan'!B:R,14,FALSE)</f>
        <v>#N/A</v>
      </c>
    </row>
    <row r="971" spans="1:2" hidden="1">
      <c r="A971">
        <f>'Production Plan'!B960</f>
        <v>0</v>
      </c>
      <c r="B971" s="3" t="e">
        <f>VLOOKUP(A971,'Production Plan'!B:R,14,FALSE)</f>
        <v>#N/A</v>
      </c>
    </row>
    <row r="972" spans="1:2" hidden="1">
      <c r="A972">
        <f>'Production Plan'!B961</f>
        <v>0</v>
      </c>
      <c r="B972" s="3" t="e">
        <f>VLOOKUP(A972,'Production Plan'!B:R,14,FALSE)</f>
        <v>#N/A</v>
      </c>
    </row>
    <row r="973" spans="1:2" hidden="1">
      <c r="A973">
        <f>'Production Plan'!B962</f>
        <v>0</v>
      </c>
      <c r="B973" s="3" t="e">
        <f>VLOOKUP(A973,'Production Plan'!B:R,14,FALSE)</f>
        <v>#N/A</v>
      </c>
    </row>
    <row r="974" spans="1:2" hidden="1">
      <c r="A974">
        <f>'Production Plan'!B963</f>
        <v>0</v>
      </c>
      <c r="B974" s="3" t="e">
        <f>VLOOKUP(A974,'Production Plan'!B:R,14,FALSE)</f>
        <v>#N/A</v>
      </c>
    </row>
    <row r="975" spans="1:2" hidden="1">
      <c r="A975">
        <f>'Production Plan'!B964</f>
        <v>0</v>
      </c>
      <c r="B975" s="3" t="e">
        <f>VLOOKUP(A975,'Production Plan'!B:R,14,FALSE)</f>
        <v>#N/A</v>
      </c>
    </row>
    <row r="976" spans="1:2" hidden="1">
      <c r="A976">
        <f>'Production Plan'!B965</f>
        <v>0</v>
      </c>
      <c r="B976" s="3" t="e">
        <f>VLOOKUP(A976,'Production Plan'!B:R,14,FALSE)</f>
        <v>#N/A</v>
      </c>
    </row>
    <row r="977" spans="1:2" hidden="1">
      <c r="A977">
        <f>'Production Plan'!B966</f>
        <v>0</v>
      </c>
      <c r="B977" s="3" t="e">
        <f>VLOOKUP(A977,'Production Plan'!B:R,14,FALSE)</f>
        <v>#N/A</v>
      </c>
    </row>
    <row r="978" spans="1:2" hidden="1">
      <c r="A978">
        <f>'Production Plan'!B967</f>
        <v>0</v>
      </c>
      <c r="B978" s="3" t="e">
        <f>VLOOKUP(A978,'Production Plan'!B:R,14,FALSE)</f>
        <v>#N/A</v>
      </c>
    </row>
    <row r="979" spans="1:2" hidden="1">
      <c r="A979">
        <f>'Production Plan'!B968</f>
        <v>0</v>
      </c>
      <c r="B979" s="3" t="e">
        <f>VLOOKUP(A979,'Production Plan'!B:R,14,FALSE)</f>
        <v>#N/A</v>
      </c>
    </row>
    <row r="980" spans="1:2" hidden="1">
      <c r="A980">
        <f>'Production Plan'!B969</f>
        <v>0</v>
      </c>
      <c r="B980" s="3" t="e">
        <f>VLOOKUP(A980,'Production Plan'!B:R,14,FALSE)</f>
        <v>#N/A</v>
      </c>
    </row>
    <row r="981" spans="1:2" hidden="1">
      <c r="A981">
        <f>'Production Plan'!B970</f>
        <v>0</v>
      </c>
      <c r="B981" s="3" t="e">
        <f>VLOOKUP(A981,'Production Plan'!B:R,14,FALSE)</f>
        <v>#N/A</v>
      </c>
    </row>
    <row r="982" spans="1:2" hidden="1">
      <c r="A982">
        <f>'Production Plan'!B971</f>
        <v>0</v>
      </c>
      <c r="B982" s="3" t="e">
        <f>VLOOKUP(A982,'Production Plan'!B:R,14,FALSE)</f>
        <v>#N/A</v>
      </c>
    </row>
    <row r="983" spans="1:2" hidden="1">
      <c r="A983">
        <f>'Production Plan'!B972</f>
        <v>0</v>
      </c>
      <c r="B983" s="3" t="e">
        <f>VLOOKUP(A983,'Production Plan'!B:R,14,FALSE)</f>
        <v>#N/A</v>
      </c>
    </row>
    <row r="984" spans="1:2" hidden="1">
      <c r="A984">
        <f>'Production Plan'!B973</f>
        <v>0</v>
      </c>
      <c r="B984" s="3" t="e">
        <f>VLOOKUP(A984,'Production Plan'!B:R,14,FALSE)</f>
        <v>#N/A</v>
      </c>
    </row>
    <row r="985" spans="1:2" hidden="1">
      <c r="A985">
        <f>'Production Plan'!B974</f>
        <v>0</v>
      </c>
      <c r="B985" s="3" t="e">
        <f>VLOOKUP(A985,'Production Plan'!B:R,14,FALSE)</f>
        <v>#N/A</v>
      </c>
    </row>
    <row r="986" spans="1:2" hidden="1">
      <c r="A986">
        <f>'Production Plan'!B975</f>
        <v>0</v>
      </c>
      <c r="B986" s="3" t="e">
        <f>VLOOKUP(A986,'Production Plan'!B:R,14,FALSE)</f>
        <v>#N/A</v>
      </c>
    </row>
    <row r="987" spans="1:2" hidden="1">
      <c r="A987">
        <f>'Production Plan'!B976</f>
        <v>0</v>
      </c>
      <c r="B987" s="3" t="e">
        <f>VLOOKUP(A987,'Production Plan'!B:R,14,FALSE)</f>
        <v>#N/A</v>
      </c>
    </row>
    <row r="988" spans="1:2" hidden="1">
      <c r="A988">
        <f>'Production Plan'!B977</f>
        <v>0</v>
      </c>
      <c r="B988" s="3" t="e">
        <f>VLOOKUP(A988,'Production Plan'!B:R,14,FALSE)</f>
        <v>#N/A</v>
      </c>
    </row>
    <row r="989" spans="1:2" hidden="1">
      <c r="A989">
        <f>'Production Plan'!B978</f>
        <v>0</v>
      </c>
      <c r="B989" s="3" t="e">
        <f>VLOOKUP(A989,'Production Plan'!B:R,14,FALSE)</f>
        <v>#N/A</v>
      </c>
    </row>
    <row r="990" spans="1:2" hidden="1">
      <c r="A990">
        <f>'Production Plan'!B979</f>
        <v>0</v>
      </c>
      <c r="B990" s="3" t="e">
        <f>VLOOKUP(A990,'Production Plan'!B:R,14,FALSE)</f>
        <v>#N/A</v>
      </c>
    </row>
    <row r="991" spans="1:2" hidden="1">
      <c r="A991">
        <f>'Production Plan'!B980</f>
        <v>0</v>
      </c>
      <c r="B991" s="3" t="e">
        <f>VLOOKUP(A991,'Production Plan'!B:R,14,FALSE)</f>
        <v>#N/A</v>
      </c>
    </row>
    <row r="992" spans="1:2" hidden="1">
      <c r="A992">
        <f>'Production Plan'!B981</f>
        <v>0</v>
      </c>
      <c r="B992" s="3" t="e">
        <f>VLOOKUP(A992,'Production Plan'!B:R,14,FALSE)</f>
        <v>#N/A</v>
      </c>
    </row>
    <row r="993" spans="1:10" hidden="1">
      <c r="A993">
        <f>'Production Plan'!B982</f>
        <v>0</v>
      </c>
      <c r="B993" s="3" t="e">
        <f>VLOOKUP(A993,'Production Plan'!B:R,14,FALSE)</f>
        <v>#N/A</v>
      </c>
    </row>
    <row r="994" spans="1:10" hidden="1">
      <c r="A994">
        <f>'Production Plan'!B983</f>
        <v>0</v>
      </c>
      <c r="B994" s="3" t="e">
        <f>VLOOKUP(A994,'Production Plan'!B:R,14,FALSE)</f>
        <v>#N/A</v>
      </c>
    </row>
    <row r="995" spans="1:10" hidden="1">
      <c r="A995">
        <f>'Production Plan'!B984</f>
        <v>0</v>
      </c>
      <c r="B995" s="3" t="e">
        <f>VLOOKUP(A995,'Production Plan'!B:R,14,FALSE)</f>
        <v>#N/A</v>
      </c>
    </row>
    <row r="996" spans="1:10" hidden="1">
      <c r="A996">
        <f>'Production Plan'!B985</f>
        <v>0</v>
      </c>
      <c r="B996" s="3" t="e">
        <f>VLOOKUP(A996,'Production Plan'!B:R,14,FALSE)</f>
        <v>#N/A</v>
      </c>
    </row>
    <row r="997" spans="1:10" hidden="1">
      <c r="A997">
        <f>'Production Plan'!B986</f>
        <v>0</v>
      </c>
      <c r="B997" s="3" t="e">
        <f>VLOOKUP(A997,'Production Plan'!B:R,14,FALSE)</f>
        <v>#N/A</v>
      </c>
    </row>
    <row r="998" spans="1:10" hidden="1">
      <c r="A998">
        <f>'Production Plan'!B987</f>
        <v>0</v>
      </c>
      <c r="B998" s="3" t="e">
        <f>VLOOKUP(A998,'Production Plan'!B:R,14,FALSE)</f>
        <v>#N/A</v>
      </c>
    </row>
    <row r="999" spans="1:10" hidden="1">
      <c r="A999">
        <f>'Production Plan'!B988</f>
        <v>0</v>
      </c>
      <c r="B999" s="3" t="e">
        <f>VLOOKUP(A999,'Production Plan'!B:R,14,FALSE)</f>
        <v>#N/A</v>
      </c>
    </row>
    <row r="1000" spans="1:10" hidden="1">
      <c r="A1000">
        <f>'Production Plan'!B989</f>
        <v>0</v>
      </c>
      <c r="B1000" s="3" t="e">
        <f>VLOOKUP(A1000,'Production Plan'!B:R,14,FALSE)</f>
        <v>#N/A</v>
      </c>
    </row>
    <row r="1001" spans="1:10">
      <c r="A1001" s="3"/>
      <c r="B1001" s="3"/>
      <c r="C1001" s="3"/>
      <c r="D1001" s="3"/>
      <c r="E1001" s="3"/>
      <c r="F1001" s="3"/>
      <c r="G1001" s="3"/>
      <c r="H1001" s="8"/>
      <c r="I1001" s="3"/>
      <c r="J1001" s="3"/>
    </row>
    <row r="1002" spans="1:10">
      <c r="A1002" s="3"/>
      <c r="B1002" s="3"/>
      <c r="C1002" s="3"/>
      <c r="D1002" s="3"/>
      <c r="E1002" s="3"/>
      <c r="F1002" s="3"/>
      <c r="G1002" s="3"/>
      <c r="H1002" s="8"/>
      <c r="I1002" s="3"/>
      <c r="J1002" s="3"/>
    </row>
    <row r="1003" spans="1:10">
      <c r="A1003" s="3"/>
      <c r="B1003" s="3"/>
      <c r="C1003" s="3"/>
      <c r="D1003" s="3"/>
      <c r="E1003" s="3"/>
      <c r="F1003" s="3"/>
      <c r="G1003" s="3"/>
      <c r="H1003" s="8"/>
      <c r="I1003" s="3"/>
      <c r="J1003" s="3"/>
    </row>
    <row r="1004" spans="1:10">
      <c r="A1004" s="3"/>
      <c r="B1004" s="3"/>
      <c r="C1004" s="3"/>
      <c r="D1004" s="3"/>
      <c r="E1004" s="3"/>
      <c r="F1004" s="3"/>
      <c r="G1004" s="3"/>
      <c r="H1004" s="8"/>
      <c r="I1004" s="3"/>
      <c r="J1004" s="3"/>
    </row>
    <row r="1005" spans="1:10">
      <c r="A1005" s="3"/>
      <c r="B1005" s="3"/>
      <c r="C1005" s="3"/>
      <c r="D1005" s="3"/>
      <c r="E1005" s="3"/>
      <c r="F1005" s="3"/>
      <c r="G1005" s="3"/>
      <c r="H1005" s="8"/>
      <c r="I1005" s="3"/>
      <c r="J1005" s="3"/>
    </row>
    <row r="1006" spans="1:10">
      <c r="A1006" s="3"/>
      <c r="B1006" s="3"/>
      <c r="C1006" s="3"/>
      <c r="D1006" s="3"/>
      <c r="E1006" s="3"/>
      <c r="F1006" s="3"/>
      <c r="G1006" s="3"/>
      <c r="H1006" s="8"/>
      <c r="I1006" s="3"/>
      <c r="J1006" s="3"/>
    </row>
    <row r="1007" spans="1:10">
      <c r="A1007" s="3"/>
      <c r="B1007" s="3"/>
      <c r="C1007" s="3"/>
      <c r="D1007" s="3"/>
      <c r="E1007" s="3"/>
      <c r="F1007" s="3"/>
      <c r="G1007" s="3"/>
      <c r="H1007" s="8"/>
      <c r="I1007" s="3"/>
      <c r="J1007" s="3"/>
    </row>
    <row r="1008" spans="1:10">
      <c r="A1008" s="3"/>
      <c r="B1008" s="3"/>
      <c r="C1008" s="3"/>
      <c r="D1008" s="3"/>
      <c r="E1008" s="3"/>
      <c r="F1008" s="3"/>
      <c r="G1008" s="3"/>
      <c r="H1008" s="8"/>
      <c r="I1008" s="3"/>
      <c r="J1008" s="3"/>
    </row>
    <row r="1009" spans="1:10">
      <c r="A1009" s="3"/>
      <c r="B1009" s="3"/>
      <c r="C1009" s="3"/>
      <c r="D1009" s="3"/>
      <c r="E1009" s="3"/>
      <c r="F1009" s="3"/>
      <c r="G1009" s="3"/>
      <c r="H1009" s="8"/>
      <c r="I1009" s="3"/>
      <c r="J1009" s="3"/>
    </row>
  </sheetData>
  <autoFilter ref="A1:L1000" xr:uid="{72713420-B748-487C-BB29-F92D086DD6B8}">
    <filterColumn colId="1">
      <filters>
        <filter val="Yes"/>
      </filters>
    </filterColumn>
  </autoFilter>
  <dataValidations count="1">
    <dataValidation type="list" allowBlank="1" showInputMessage="1" showErrorMessage="1" sqref="E2:E1048576" xr:uid="{299AFAD3-69D3-4E99-BFB7-D497CC43FD2A}">
      <formula1>"Disqualification/Non-conditional,Decreases chances of winning,No effect"</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8DFA9-9E70-486E-9EFA-7B1D2508D3E5}">
  <sheetPr filterMode="1"/>
  <dimension ref="A1:M453"/>
  <sheetViews>
    <sheetView workbookViewId="0">
      <selection activeCell="I472" sqref="I472"/>
    </sheetView>
  </sheetViews>
  <sheetFormatPr defaultRowHeight="16"/>
  <cols>
    <col min="1" max="1" width="6.3046875" bestFit="1" customWidth="1"/>
    <col min="2" max="2" width="8.3046875" bestFit="1" customWidth="1"/>
    <col min="3" max="3" width="40.69140625" customWidth="1"/>
    <col min="4" max="4" width="20.07421875" bestFit="1" customWidth="1"/>
    <col min="5" max="5" width="27.84375" bestFit="1" customWidth="1"/>
    <col min="6" max="6" width="29.53515625" bestFit="1" customWidth="1"/>
    <col min="7" max="8" width="31.07421875" customWidth="1"/>
    <col min="9" max="9" width="32.3046875" bestFit="1" customWidth="1"/>
    <col min="10" max="10" width="19.3046875" customWidth="1"/>
    <col min="11" max="11" width="13" bestFit="1" customWidth="1"/>
    <col min="12" max="12" width="46.07421875" bestFit="1" customWidth="1"/>
  </cols>
  <sheetData>
    <row r="1" spans="1:13">
      <c r="A1" s="4" t="s">
        <v>2161</v>
      </c>
      <c r="B1" s="4" t="s">
        <v>2162</v>
      </c>
      <c r="C1" s="4" t="s">
        <v>5</v>
      </c>
      <c r="D1" s="4" t="s">
        <v>2174</v>
      </c>
      <c r="E1" s="4" t="s">
        <v>2175</v>
      </c>
      <c r="F1" s="4" t="s">
        <v>2165</v>
      </c>
      <c r="G1" s="4" t="s">
        <v>2176</v>
      </c>
      <c r="H1" s="4" t="s">
        <v>15</v>
      </c>
      <c r="I1" s="4" t="s">
        <v>2177</v>
      </c>
      <c r="J1" s="4" t="s">
        <v>2178</v>
      </c>
      <c r="K1" s="4" t="s">
        <v>2179</v>
      </c>
      <c r="L1" s="4" t="s">
        <v>2180</v>
      </c>
      <c r="M1" s="4" t="s">
        <v>2181</v>
      </c>
    </row>
    <row r="2" spans="1:13">
      <c r="A2" s="3" t="str">
        <f>'Production Plan'!B2</f>
        <v>MK-1</v>
      </c>
      <c r="B2" s="3">
        <f>VLOOKUP(A2,'Production Plan'!B:S,15,FALSE)</f>
        <v>0</v>
      </c>
      <c r="C2" s="3" t="str">
        <f>VLOOKUP(A2,'Production Plan'!B:F,5,FALSE)</f>
        <v>ESDH-løsningen skal understøtte Rigsarkivets gældende retningslinjer for anmeldelse og godkendelse af it-systemer fra statslige Myndigheder, jf. Cirkulære om anmeldelse og godkendelse af it-systemer på Retsinformation og gældende regler for generel aflevering af statslige it-systemer, jf. Bekendtgørelse om arkiveringsversioner på Retsinformation.</v>
      </c>
      <c r="D2" s="3" t="s">
        <v>2169</v>
      </c>
      <c r="E2" s="3" t="s">
        <v>2182</v>
      </c>
      <c r="F2" s="3" t="s">
        <v>2183</v>
      </c>
      <c r="G2" s="3" t="s">
        <v>2184</v>
      </c>
      <c r="H2" s="3"/>
      <c r="I2" s="3" t="s">
        <v>2185</v>
      </c>
      <c r="J2" s="3" t="s">
        <v>2172</v>
      </c>
      <c r="K2" s="8">
        <v>46023</v>
      </c>
      <c r="L2" s="3" t="s">
        <v>2186</v>
      </c>
      <c r="M2" s="3"/>
    </row>
    <row r="3" spans="1:13">
      <c r="A3" s="3" t="str">
        <f>'Production Plan'!B3</f>
        <v>MK-2</v>
      </c>
      <c r="B3" s="3">
        <f>VLOOKUP(A3,'Production Plan'!B:S,15,FALSE)</f>
        <v>0</v>
      </c>
      <c r="C3" s="3" t="str">
        <f>VLOOKUP(A3,'Production Plan'!B:F,5,FALSE)</f>
        <v>ESDH-løsningen skal understøtte dansk og engelsk.</v>
      </c>
      <c r="D3" s="3" t="s">
        <v>2169</v>
      </c>
      <c r="E3" s="3" t="s">
        <v>2187</v>
      </c>
      <c r="F3" s="3" t="s">
        <v>2188</v>
      </c>
      <c r="G3" s="3" t="s">
        <v>2189</v>
      </c>
      <c r="H3" s="3"/>
      <c r="I3" s="3" t="s">
        <v>2190</v>
      </c>
      <c r="J3" s="3" t="s">
        <v>2172</v>
      </c>
      <c r="K3" s="8">
        <v>46023</v>
      </c>
      <c r="L3" s="3" t="s">
        <v>2191</v>
      </c>
      <c r="M3" s="3"/>
    </row>
    <row r="4" spans="1:13" hidden="1">
      <c r="A4" s="3" t="str">
        <f>'Production Plan'!B4</f>
        <v>MK-3</v>
      </c>
      <c r="B4" s="3">
        <f>VLOOKUP(A4,'Production Plan'!B:S,15,FALSE)</f>
        <v>0</v>
      </c>
      <c r="C4" s="3" t="str">
        <f>VLOOKUP(A4,'Production Plan'!B:F,5,FALSE)</f>
        <v>ESDH-løsningen skal understøtte en Datamodel med en klar og tydelig beskrivelse af felterne i både frontend og backend.</v>
      </c>
      <c r="D4" s="3"/>
      <c r="E4" s="3"/>
      <c r="F4" s="3"/>
      <c r="G4" s="3"/>
      <c r="H4" s="3"/>
      <c r="I4" s="3"/>
      <c r="J4" s="3"/>
      <c r="K4" s="3"/>
      <c r="L4" s="3"/>
    </row>
    <row r="5" spans="1:13">
      <c r="A5" s="3" t="str">
        <f>'Production Plan'!B5</f>
        <v>MK-4</v>
      </c>
      <c r="B5" s="3">
        <f>VLOOKUP(A5,'Production Plan'!B:S,15,FALSE)</f>
        <v>0</v>
      </c>
      <c r="C5" s="3" t="str">
        <f>VLOOKUP(A5,'Production Plan'!B:F,5,FALSE)</f>
        <v>ESDH-løsningen skal understøtte fremsøgning, sammenstilling og udlevering af personoplysninger om den registrerede i overensstemmelse med GDPR-artikel 15. ESDH-løsningen skal ligeledes understøtte behandling af anmodninger fremsat af en lovlig repræsentant for den registrerede, herunder forældremyndighed eller værgemål. Udleveringen skal kunne leveres i et almindelig læsbart format og skal kunne fremsendes til den registrerede via Digital Post, sikker e-mail og fjernprint.</v>
      </c>
      <c r="D5" s="3" t="s">
        <v>2169</v>
      </c>
      <c r="E5" s="3" t="s">
        <v>2192</v>
      </c>
      <c r="F5" s="3" t="s">
        <v>2193</v>
      </c>
      <c r="G5" s="3" t="s">
        <v>2194</v>
      </c>
      <c r="H5" s="3" t="s">
        <v>2195</v>
      </c>
      <c r="I5" s="3" t="s">
        <v>2196</v>
      </c>
      <c r="J5" s="3" t="s">
        <v>2172</v>
      </c>
      <c r="K5" s="8">
        <v>46023</v>
      </c>
      <c r="L5" s="3" t="s">
        <v>2197</v>
      </c>
      <c r="M5" s="3"/>
    </row>
    <row r="6" spans="1:13" hidden="1">
      <c r="A6" s="3" t="str">
        <f>'Production Plan'!B6</f>
        <v>MK-5</v>
      </c>
      <c r="B6" s="3">
        <f>VLOOKUP(A6,'Production Plan'!B:S,15,FALSE)</f>
        <v>0</v>
      </c>
      <c r="C6" s="3" t="str">
        <f>VLOOKUP(A6,'Production Plan'!B:F,5,FALSE)</f>
        <v>ESDH-løsningen skal understøtte håndtering af indsigts-, slette- og berigtigelsesanmodninger fra de registrerede i Løsningen.</v>
      </c>
      <c r="D6" s="3"/>
      <c r="E6" s="3"/>
      <c r="F6" s="3"/>
      <c r="G6" s="3"/>
      <c r="H6" s="3"/>
      <c r="I6" s="3"/>
      <c r="J6" s="3"/>
      <c r="K6" s="8"/>
      <c r="L6" s="3"/>
    </row>
    <row r="7" spans="1:13">
      <c r="A7" s="3" t="str">
        <f>'Production Plan'!B7</f>
        <v>MK-6</v>
      </c>
      <c r="B7" s="3" t="str">
        <f>VLOOKUP(A7,'Production Plan'!B:S,15,FALSE)</f>
        <v>ADN: "Sletteregler for alle entiteter", kan vi sige at vi har det på kontakter?</v>
      </c>
      <c r="C7" s="3" t="str">
        <f>VLOOKUP(A7,'Production Plan'!B:F,5,FALSE)</f>
        <v>ESDH-løsningen skal understøtte håndtering af sletteregler, herunder bevaringskoder, for både midlertidig og permanent sletning. ESDH-løsningen skal understøtte, at sletning alene kan foretages af Brugere med de nødvendige rettigheder, herunder at rettigheder til permanent sletning og midlertidig sletning kan adskilles. Sletteregler skal kunne anvendes på alle Entiteter i Løsningen.</v>
      </c>
      <c r="D7" s="3" t="s">
        <v>2169</v>
      </c>
      <c r="E7" s="3" t="s">
        <v>2182</v>
      </c>
      <c r="F7" s="3" t="s">
        <v>2198</v>
      </c>
      <c r="G7" s="3" t="s">
        <v>2199</v>
      </c>
      <c r="H7" s="3" t="s">
        <v>2200</v>
      </c>
      <c r="I7" s="3" t="s">
        <v>2201</v>
      </c>
      <c r="J7" s="3" t="s">
        <v>2172</v>
      </c>
      <c r="K7" s="8">
        <v>46023</v>
      </c>
      <c r="L7" s="3" t="s">
        <v>2001</v>
      </c>
      <c r="M7" s="3"/>
    </row>
    <row r="8" spans="1:13" hidden="1">
      <c r="A8" s="3" t="str">
        <f>'Production Plan'!B8</f>
        <v>MK-7</v>
      </c>
      <c r="B8" s="3">
        <f>VLOOKUP(A8,'Production Plan'!B:S,15,FALSE)</f>
        <v>0</v>
      </c>
      <c r="C8" s="3" t="str">
        <f>VLOOKUP(A8,'Production Plan'!B:F,5,FALSE)</f>
        <v>ESDH-løsningen skal understøtte, at Kunden selv uden Leverdørens involvering kan konfigurere slettepolitikker i Løsningens administrationsmodul.</v>
      </c>
      <c r="D8" s="3"/>
      <c r="E8" s="3"/>
      <c r="F8" s="3"/>
      <c r="G8" s="3"/>
      <c r="H8" s="3"/>
      <c r="I8" s="3"/>
      <c r="J8" s="3"/>
      <c r="K8" s="8"/>
      <c r="L8" s="3"/>
    </row>
    <row r="9" spans="1:13" hidden="1">
      <c r="A9" s="3" t="str">
        <f>'Production Plan'!B9</f>
        <v>MK-8</v>
      </c>
      <c r="B9" s="3">
        <f>VLOOKUP(A9,'Production Plan'!B:S,15,FALSE)</f>
        <v>0</v>
      </c>
      <c r="C9" s="3" t="str">
        <f>VLOOKUP(A9,'Production Plan'!B:F,5,FALSE)</f>
        <v>ESDH-løsningen skal understøtte, at klassifikationskoder kan oprettes af Administrator, hvortil Kunden valgfrit kan bestemme hvilke klassifikationskoder Løsningen skal indeholde.</v>
      </c>
      <c r="D9" s="3"/>
      <c r="E9" s="3"/>
      <c r="F9" s="3"/>
      <c r="G9" s="3"/>
      <c r="H9" s="3"/>
      <c r="I9" s="3"/>
      <c r="J9" s="3"/>
      <c r="K9" s="8"/>
      <c r="L9" s="3"/>
    </row>
    <row r="10" spans="1:13" hidden="1">
      <c r="A10" s="3" t="str">
        <f>'Production Plan'!B10</f>
        <v>MK-9</v>
      </c>
      <c r="B10" s="3">
        <f>VLOOKUP(A10,'Production Plan'!B:S,15,FALSE)</f>
        <v>0</v>
      </c>
      <c r="C10" s="3" t="str">
        <f>VLOOKUP(A10,'Production Plan'!B:F,5,FALSE)</f>
        <v>ESDH-løsningen skal understøtte, at Entiteter kan deles mellem Brugere, såfremt adgangene tillader dette.</v>
      </c>
      <c r="D10" s="3"/>
      <c r="E10" s="3"/>
      <c r="F10" s="3"/>
      <c r="G10" s="3"/>
      <c r="H10" s="3"/>
      <c r="I10" s="3"/>
      <c r="J10" s="3"/>
      <c r="K10" s="8"/>
      <c r="L10" s="3"/>
    </row>
    <row r="11" spans="1:13" hidden="1">
      <c r="A11" s="3" t="str">
        <f>'Production Plan'!B11</f>
        <v>MK-10</v>
      </c>
      <c r="B11" s="3">
        <f>VLOOKUP(A11,'Production Plan'!B:S,15,FALSE)</f>
        <v>0</v>
      </c>
      <c r="C11" s="3" t="str">
        <f>VLOOKUP(A11,'Production Plan'!B:F,5,FALSE)</f>
        <v>ESDH-løsningen skal understøtte en klassisk journalplan eller facetteret journalplan i minimum tre niveauer og emneordsfelter.</v>
      </c>
      <c r="D11" s="3"/>
      <c r="E11" s="3"/>
      <c r="F11" s="3"/>
      <c r="G11" s="3"/>
      <c r="H11" s="3"/>
      <c r="I11" s="3"/>
      <c r="J11" s="3"/>
      <c r="K11" s="8"/>
      <c r="L11" s="3"/>
    </row>
    <row r="12" spans="1:13" hidden="1">
      <c r="A12" s="3" t="str">
        <f>'Production Plan'!B12</f>
        <v>MK-11</v>
      </c>
      <c r="B12" s="3">
        <f>VLOOKUP(A12,'Production Plan'!B:S,15,FALSE)</f>
        <v>0</v>
      </c>
      <c r="C12" s="3" t="str">
        <f>VLOOKUP(A12,'Production Plan'!B:F,5,FALSE)</f>
        <v>ESDH-løsningen skal understøtte oprettelse af breve baseret på Kundens brevskabeloner i Dynamic Template.</v>
      </c>
    </row>
    <row r="13" spans="1:13" hidden="1">
      <c r="A13" s="3" t="str">
        <f>'Production Plan'!B13</f>
        <v>K-1</v>
      </c>
      <c r="B13" s="3" t="str">
        <f>VLOOKUP(A13,'Production Plan'!B:S,15,FALSE)</f>
        <v>ADN: We tend to say yes to this requirement - but it comes with a risc, especially if customer uses same External partner in the implementation project</v>
      </c>
      <c r="C13" s="3" t="str">
        <f>VLOOKUP(A13,'Production Plan'!B:F,5,FALSE)</f>
        <v>ESDH-løsningen skal understøtte, at fejlmeddelelser i ESDH-løsningen inkluderer handlingsanvisning.</v>
      </c>
    </row>
    <row r="14" spans="1:13" hidden="1">
      <c r="A14" s="3" t="str">
        <f>'Production Plan'!B14</f>
        <v>MK-12</v>
      </c>
      <c r="B14" s="3">
        <f>VLOOKUP(A14,'Production Plan'!B:S,15,FALSE)</f>
        <v>0</v>
      </c>
      <c r="C14" s="3" t="str">
        <f>VLOOKUP(A14,'Production Plan'!B:F,5,FALSE)</f>
        <v>ESDH-løsningen skal understøtte oprettelse og registrering af sager.</v>
      </c>
    </row>
    <row r="15" spans="1:13" hidden="1">
      <c r="A15" s="3" t="str">
        <f>'Production Plan'!B15</f>
        <v>MK-13</v>
      </c>
      <c r="B15" s="3">
        <f>VLOOKUP(A15,'Production Plan'!B:S,15,FALSE)</f>
        <v>0</v>
      </c>
      <c r="C15" s="3" t="str">
        <f>VLOOKUP(A15,'Production Plan'!B:F,5,FALSE)</f>
        <v>ESDH-løsningen skal understøtte ændring af sagens metadata.</v>
      </c>
    </row>
    <row r="16" spans="1:13" hidden="1">
      <c r="A16" s="3" t="str">
        <f>'Production Plan'!B16</f>
        <v>MK-14</v>
      </c>
      <c r="B16" s="3">
        <f>VLOOKUP(A16,'Production Plan'!B:S,15,FALSE)</f>
        <v>0</v>
      </c>
      <c r="C16" s="3" t="str">
        <f>VLOOKUP(A16,'Production Plan'!B:F,5,FALSE)</f>
        <v>ESDH-løsningen skal understøtte både midlertidig og permanent sletning af sager.</v>
      </c>
    </row>
    <row r="17" spans="1:3" hidden="1">
      <c r="A17" s="3" t="str">
        <f>'Production Plan'!B17</f>
        <v>MK-15</v>
      </c>
      <c r="B17" s="3">
        <f>VLOOKUP(A17,'Production Plan'!B:S,15,FALSE)</f>
        <v>0</v>
      </c>
      <c r="C17" s="3" t="str">
        <f>VLOOKUP(A17,'Production Plan'!B:F,5,FALSE)</f>
        <v>ESDH-løsningen skal understøtte arbejdet med statusser på en sag, f.eks. 'Passiv', 'Under behandling' og 'Lukket' / 'Afsluttet'. ESDH-løsningen skal understøtte, at Kunden selv kan oprette og vedligeholde statuskoder.</v>
      </c>
    </row>
    <row r="18" spans="1:3" hidden="1">
      <c r="A18" s="3" t="str">
        <f>'Production Plan'!B18</f>
        <v>MK-16</v>
      </c>
      <c r="B18" s="3">
        <f>VLOOKUP(A18,'Production Plan'!B:S,15,FALSE)</f>
        <v>0</v>
      </c>
      <c r="C18" s="3" t="str">
        <f>VLOOKUP(A18,'Production Plan'!B:F,5,FALSE)</f>
        <v>ESDH-løsningen skal understøtte, at hver sag tildeles et unikt sagsnummer automatisk ved oprettelse.</v>
      </c>
    </row>
    <row r="19" spans="1:3" hidden="1">
      <c r="A19" s="3" t="str">
        <f>'Production Plan'!B19</f>
        <v>MK-17</v>
      </c>
      <c r="B19" s="3">
        <f>VLOOKUP(A19,'Production Plan'!B:S,15,FALSE)</f>
        <v>0</v>
      </c>
      <c r="C19" s="3" t="str">
        <f>VLOOKUP(A19,'Production Plan'!B:F,5,FALSE)</f>
        <v>ESDH-løsningen skal understøtte, at en Bruger kan ændre sagstype på sager.</v>
      </c>
    </row>
    <row r="20" spans="1:3" hidden="1">
      <c r="A20" s="3" t="str">
        <f>'Production Plan'!B20</f>
        <v>MK-18</v>
      </c>
      <c r="B20" s="3" t="str">
        <f>VLOOKUP(A20,'Production Plan'!B:S,15,FALSE)</f>
        <v>ADN:Configure field called "Fristtype"</v>
      </c>
      <c r="C20" s="3" t="str">
        <f>VLOOKUP(A20,'Production Plan'!B:F,5,FALSE)</f>
        <v>ESDH-løsningen skal understøtte, at der kan indsættes, rettes og fjernes frister på alle sagstyper. Fristen skal som minimum bestå af en fristtype, fristdato og fristansvarlig.</v>
      </c>
    </row>
    <row r="21" spans="1:3" hidden="1">
      <c r="A21" s="3" t="str">
        <f>'Production Plan'!B21</f>
        <v>MK-19</v>
      </c>
      <c r="B21" s="3">
        <f>VLOOKUP(A21,'Production Plan'!B:S,15,FALSE)</f>
        <v>0</v>
      </c>
      <c r="C21" s="3" t="str">
        <f>VLOOKUP(A21,'Production Plan'!B:F,5,FALSE)</f>
        <v>ESDH-løsningen skal understøtte, at Brugere kan indsætte, rette og fjerne én eller flere afdelingsspecifikke frister på sager.</v>
      </c>
    </row>
    <row r="22" spans="1:3" hidden="1">
      <c r="A22" s="3" t="str">
        <f>'Production Plan'!B22</f>
        <v>MK-20</v>
      </c>
      <c r="B22" s="3">
        <f>VLOOKUP(A22,'Production Plan'!B:S,15,FALSE)</f>
        <v>0</v>
      </c>
      <c r="C22" s="3" t="str">
        <f>VLOOKUP(A22,'Production Plan'!B:F,5,FALSE)</f>
        <v>ESDH-løsningen skal understøtte oprettelse af samlesager. Det skal være muligt for Brugeren at tilknytte enkle sager til samlesager.</v>
      </c>
    </row>
    <row r="23" spans="1:3" hidden="1">
      <c r="A23" s="3" t="str">
        <f>'Production Plan'!B23</f>
        <v>MK-21</v>
      </c>
      <c r="B23" s="3" t="str">
        <f>VLOOKUP(A23,'Production Plan'!B:S,15,FALSE)</f>
        <v>ADN: Im unsure what they mean with this requirement.  - is this "Træstrukturen"?</v>
      </c>
      <c r="C23" s="3" t="str">
        <f>VLOOKUP(A23,'Production Plan'!B:F,5,FALSE)</f>
        <v>ESDH-løsningen skal understøtte oprettelsesfunktion til organisering og hierarkisk visning af samling af relaterede sager.</v>
      </c>
    </row>
    <row r="24" spans="1:3" hidden="1">
      <c r="A24" s="3" t="str">
        <f>'Production Plan'!B24</f>
        <v>MK-22</v>
      </c>
      <c r="B24" s="3">
        <f>VLOOKUP(A24,'Production Plan'!B:S,15,FALSE)</f>
        <v>0</v>
      </c>
      <c r="C24" s="3" t="str">
        <f>VLOOKUP(A24,'Production Plan'!B:F,5,FALSE)</f>
        <v>ESDH-løsningen skal understøtte oprettelse af referencer mellem sager ved at etablere links mellem sager. Det skal fremgå tydeligt af den enkelte sag, at den er relateret til en anden.</v>
      </c>
    </row>
    <row r="25" spans="1:3" hidden="1">
      <c r="A25" s="3" t="str">
        <f>'Production Plan'!B25</f>
        <v>MK-23</v>
      </c>
      <c r="B25" s="3">
        <f>VLOOKUP(A25,'Production Plan'!B:S,15,FALSE)</f>
        <v>0</v>
      </c>
      <c r="C25" s="3" t="str">
        <f>VLOOKUP(A25,'Production Plan'!B:F,5,FALSE)</f>
        <v>ESDH-løsningen skal understøtte, at sagens parter kan vises enten i sagens overbliksbillede eller i en dedikeret fane.</v>
      </c>
    </row>
    <row r="26" spans="1:3" hidden="1">
      <c r="A26" s="3" t="str">
        <f>'Production Plan'!B26</f>
        <v>MK-24</v>
      </c>
      <c r="B26" s="3">
        <f>VLOOKUP(A26,'Production Plan'!B:S,15,FALSE)</f>
        <v>0</v>
      </c>
      <c r="C26" s="3" t="str">
        <f>VLOOKUP(A26,'Production Plan'!B:F,5,FALSE)</f>
        <v>ESDH-løsningen skal understøtte, at en kontakt kan tilknyttes til en sag og at kontakten kan have en konkret partsrolle på sagen.</v>
      </c>
    </row>
    <row r="27" spans="1:3" hidden="1">
      <c r="A27" s="3" t="str">
        <f>'Production Plan'!B27</f>
        <v>MK-25</v>
      </c>
      <c r="B27" s="3">
        <f>VLOOKUP(A27,'Production Plan'!B:S,15,FALSE)</f>
        <v>0</v>
      </c>
      <c r="C27" s="3" t="str">
        <f>VLOOKUP(A27,'Production Plan'!B:F,5,FALSE)</f>
        <v>ESDH-løsningen skal understøtte, at en sag kan overdrages/flyttes til en anden sagsbehandler eller et andet team i organisationen.</v>
      </c>
    </row>
    <row r="28" spans="1:3" hidden="1">
      <c r="A28" s="3" t="str">
        <f>'Production Plan'!B28</f>
        <v>MK-26</v>
      </c>
      <c r="B28" s="3" t="str">
        <f>VLOOKUP(A28,'Production Plan'!B:S,15,FALSE)</f>
        <v>ADN: Configure historic cases with closed Matrix</v>
      </c>
      <c r="C28" s="3" t="str">
        <f>VLOOKUP(A28,'Production Plan'!B:F,5,FALSE)</f>
        <v>ESDH-løsningen skal understøtte, at en formelt afsluttet og lukket sag kan genåbnes af en Bruger, hvis der er behov for at opdatere sagsdata. Sager afleveret til Rigsarkivet skal være undtaget, og skal ikke kunne genåbnes efter aflevering.</v>
      </c>
    </row>
    <row r="29" spans="1:3" hidden="1">
      <c r="A29" s="3" t="str">
        <f>'Production Plan'!B29</f>
        <v>MK-27</v>
      </c>
      <c r="B29" s="3" t="str">
        <f>VLOOKUP(A29,'Production Plan'!B:S,15,FALSE)</f>
        <v>ADN: copy documents is part of eDoc merger, so Yes</v>
      </c>
      <c r="C29" s="3" t="str">
        <f>VLOOKUP(A29,'Production Plan'!B:F,5,FALSE)</f>
        <v>ESDH-løsningen skal understøtte oprettelse af en sagskopi, hvor den oprindelige sags metadata overføres til sagskopien. I forbindelse med oprettelse af sagskopien skal Brugeren valgfrit kunne vælge om sagens parter, Dokumenter og øvrigt metadata skal overføres til sagskopien. Metadata på begge sager skal kunne redigeres efterfølgende.</v>
      </c>
    </row>
    <row r="30" spans="1:3" hidden="1">
      <c r="A30" s="3" t="str">
        <f>'Production Plan'!B30</f>
        <v>MK-28</v>
      </c>
      <c r="B30" s="3">
        <f>VLOOKUP(A30,'Production Plan'!B:S,15,FALSE)</f>
        <v>0</v>
      </c>
      <c r="C30" s="3" t="str">
        <f>VLOOKUP(A30,'Production Plan'!B:F,5,FALSE)</f>
        <v>ESDH-løsningen skal understøtte, at der kan oprettes noter på sager. Oplysninger om sagsbehandler, dato og klokkeslæt skal fremgå af noten. Alle Brugere med adgang til sagen skal kunne se agere på noten i sagsbehandlingen.</v>
      </c>
    </row>
    <row r="31" spans="1:3" hidden="1">
      <c r="A31" s="3" t="str">
        <f>'Production Plan'!B31</f>
        <v>MK-29</v>
      </c>
      <c r="B31" s="3">
        <f>VLOOKUP(A31,'Production Plan'!B:S,15,FALSE)</f>
        <v>0</v>
      </c>
      <c r="C31" s="3" t="str">
        <f>VLOOKUP(A31,'Production Plan'!B:F,5,FALSE)</f>
        <v>ESDH-løsningen skal understøtte, at Brugere manuelt kan journalisere og gemme Dokumenter, korrespondancer samt interne og eksterne beskeder på sager.</v>
      </c>
    </row>
    <row r="32" spans="1:3" hidden="1">
      <c r="A32" s="3" t="str">
        <f>'Production Plan'!B32</f>
        <v>MK-30</v>
      </c>
      <c r="B32" s="3" t="str">
        <f>VLOOKUP(A32,'Production Plan'!B:S,15,FALSE)</f>
        <v>ADN: Det er kludret formuleret - men jeg tolker det til, at de fra en søgning på et projekt, skal kunne se relaterede sager i resultatlisterne.. Det  er udfordrende</v>
      </c>
      <c r="C32" s="3" t="str">
        <f>VLOOKUP(A32,'Production Plan'!B:F,5,FALSE)</f>
        <v>ESDH-løsningen skal understøtte visning af hierarkiske samlinger af relaterede sager fra søgningslister og visningslister.</v>
      </c>
    </row>
    <row r="33" spans="1:3" hidden="1">
      <c r="A33" s="3" t="str">
        <f>'Production Plan'!B33</f>
        <v>MK-31</v>
      </c>
      <c r="B33" s="3">
        <f>VLOOKUP(A33,'Production Plan'!B:S,15,FALSE)</f>
        <v>0</v>
      </c>
      <c r="C33" s="3" t="str">
        <f>VLOOKUP(A33,'Production Plan'!B:F,5,FALSE)</f>
        <v>ESDH-løsningen skal understøtte, at en sag kan have flere frister tilknyttet. Fristerne skal vises på en logisk og overskuelig måde i brugergrænsefladen, så Brugeren nemt kan se fristtype, status og tidspunkt for kommende frister.</v>
      </c>
    </row>
    <row r="34" spans="1:3" hidden="1">
      <c r="A34" s="3" t="str">
        <f>'Production Plan'!B34</f>
        <v>MK-32</v>
      </c>
      <c r="B34" s="3" t="str">
        <f>VLOOKUP(A34,'Production Plan'!B:S,15,FALSE)</f>
        <v>ADN: Configure Case Note summary functionality</v>
      </c>
      <c r="C34" s="3" t="str">
        <f>VLOOKUP(A34,'Production Plan'!B:F,5,FALSE)</f>
        <v>ESDH-løsningen skal understøtte, at noter kan konverteres til et Dokument med en tilhørende Fil, som kan journaliseres på den tilknyttede sag.</v>
      </c>
    </row>
    <row r="35" spans="1:3" hidden="1">
      <c r="A35" s="3" t="str">
        <f>'Production Plan'!B35</f>
        <v>MK-33</v>
      </c>
      <c r="B35" s="3">
        <f>VLOOKUP(A35,'Production Plan'!B:S,15,FALSE)</f>
        <v>0</v>
      </c>
      <c r="C35" s="3" t="str">
        <f>VLOOKUP(A35,'Production Plan'!B:F,5,FALSE)</f>
        <v>ESDH-løsningen skal understøtte grundlæggende dokumenthåndtering, herunder oprettelse, redigering, versionsstyring og tilknytning af relevante metadata.</v>
      </c>
    </row>
    <row r="36" spans="1:3" hidden="1">
      <c r="A36" s="3" t="str">
        <f>'Production Plan'!B36</f>
        <v>MK-34</v>
      </c>
      <c r="B36" s="3">
        <f>VLOOKUP(A36,'Production Plan'!B:S,15,FALSE)</f>
        <v>0</v>
      </c>
      <c r="C36" s="3" t="str">
        <f>VLOOKUP(A36,'Production Plan'!B:F,5,FALSE)</f>
        <v>ESDH-løsningen skal understøtte, at felter kan oprettes og relateres til Dokumenter af Kunden.</v>
      </c>
    </row>
    <row r="37" spans="1:3" hidden="1">
      <c r="A37" s="3" t="str">
        <f>'Production Plan'!B37</f>
        <v>MK-35</v>
      </c>
      <c r="B37" s="3" t="str">
        <f>VLOOKUP(A37,'Production Plan'!B:S,15,FALSE)</f>
        <v>ADN: Hvornår er noget ”synligt i brugergrænsefladen”… vi har recno på filer, men de kræver ”vis egenskaber” for at være synlige.
Tjek definitionsbilag for ordet "brugergrænsefladen"
Maksimeret visning - ny visning</v>
      </c>
      <c r="C37" s="3" t="str">
        <f>VLOOKUP(A37,'Production Plan'!B:F,5,FALSE)</f>
        <v>ESDH-løsningen skal understøtte, at alle Dokumenter, Filer, Hoveddokumenter og Bilag har hver deres unikke ID, som skal være synligt i brugergrænsefladen.</v>
      </c>
    </row>
    <row r="38" spans="1:3" hidden="1">
      <c r="A38" s="3" t="str">
        <f>'Production Plan'!B38</f>
        <v>MK-36</v>
      </c>
      <c r="B38" s="3">
        <f>VLOOKUP(A38,'Production Plan'!B:S,15,FALSE)</f>
        <v>0</v>
      </c>
      <c r="C38" s="3" t="str">
        <f>VLOOKUP(A38,'Production Plan'!B:F,5,FALSE)</f>
        <v>ESDH-løsningen skal understøtte en obligatorisk relation mellem sag og Dokument.</v>
      </c>
    </row>
    <row r="39" spans="1:3" hidden="1">
      <c r="A39" s="3" t="str">
        <f>'Production Plan'!B39</f>
        <v>MK-37</v>
      </c>
      <c r="B39" s="3">
        <f>VLOOKUP(A39,'Production Plan'!B:S,15,FALSE)</f>
        <v>0</v>
      </c>
      <c r="C39" s="3" t="str">
        <f>VLOOKUP(A39,'Production Plan'!B:F,5,FALSE)</f>
        <v>ESDH-løsningen skal understøtte, at et Hoveddokument kan have et eller flere Bilag.</v>
      </c>
    </row>
    <row r="40" spans="1:3" hidden="1">
      <c r="A40" s="3" t="str">
        <f>'Production Plan'!B40</f>
        <v>MK-38</v>
      </c>
      <c r="B40" s="3">
        <f>VLOOKUP(A40,'Production Plan'!B:S,15,FALSE)</f>
        <v>0</v>
      </c>
      <c r="C40" s="3" t="str">
        <f>VLOOKUP(A40,'Production Plan'!B:F,5,FALSE)</f>
        <v>ESDH-løsningen skal understøtte, at Brugeren kan vælge, hvilken Fil der skal være Hoveddokument, og hvilke Filer der skal tilknyttes som Bilag.</v>
      </c>
    </row>
    <row r="41" spans="1:3" hidden="1">
      <c r="A41" s="3" t="str">
        <f>'Production Plan'!B41</f>
        <v>MK-39</v>
      </c>
      <c r="B41" s="3">
        <f>VLOOKUP(A41,'Production Plan'!B:S,15,FALSE)</f>
        <v>0</v>
      </c>
      <c r="C41" s="3" t="str">
        <f>VLOOKUP(A41,'Production Plan'!B:F,5,FALSE)</f>
        <v>ESDH-løsningen skal understøtte, at et indgående eller udgående Dokument kan tilknyttes en kontakt som henholdsvis afsender eller modtager på Dokumentet.</v>
      </c>
    </row>
    <row r="42" spans="1:3" hidden="1">
      <c r="A42" s="3" t="str">
        <f>'Production Plan'!B42</f>
        <v>MK-40</v>
      </c>
      <c r="B42" s="3">
        <f>VLOOKUP(A42,'Production Plan'!B:S,15,FALSE)</f>
        <v>0</v>
      </c>
      <c r="C42" s="3" t="str">
        <f>VLOOKUP(A42,'Production Plan'!B:F,5,FALSE)</f>
        <v>ESDH-løsningen skal understøtte versionsstyring af Filer, så hver version af en Fil kan identificeres. Det skal som udgangspunkt kun være den seneste version, der kan åbnes i redigerbar tilstand.</v>
      </c>
    </row>
    <row r="43" spans="1:3" hidden="1">
      <c r="A43" s="3" t="str">
        <f>'Production Plan'!B43</f>
        <v>MK-41</v>
      </c>
      <c r="B43" s="3">
        <f>VLOOKUP(A43,'Production Plan'!B:S,15,FALSE)</f>
        <v>0</v>
      </c>
      <c r="C43" s="3" t="str">
        <f>VLOOKUP(A43,'Production Plan'!B:F,5,FALSE)</f>
        <v>ESDH-løsningen skal understøtte, at Brugere kan genskabe en tidligere version af en Fil, så den overskriver den nyeste version. Begge versioner skal bevares i versionshistorikken.</v>
      </c>
    </row>
    <row r="44" spans="1:3" hidden="1">
      <c r="A44" s="3" t="str">
        <f>'Production Plan'!B44</f>
        <v>MK-42</v>
      </c>
      <c r="B44" s="3">
        <f>VLOOKUP(A44,'Production Plan'!B:S,15,FALSE)</f>
        <v>0</v>
      </c>
      <c r="C44" s="3" t="str">
        <f>VLOOKUP(A44,'Production Plan'!B:F,5,FALSE)</f>
        <v>ESDH-løsningen skal understøtte, at et journaliseret Dokuments tidligere filversioner er tilgængelige i Løsningen.</v>
      </c>
    </row>
    <row r="45" spans="1:3" hidden="1">
      <c r="A45" s="3" t="str">
        <f>'Production Plan'!B45</f>
        <v>MK-43</v>
      </c>
      <c r="B45" s="3">
        <f>VLOOKUP(A45,'Production Plan'!B:S,15,FALSE)</f>
        <v>0</v>
      </c>
      <c r="C45" s="3" t="str">
        <f>VLOOKUP(A45,'Production Plan'!B:F,5,FALSE)</f>
        <v>ESDH-løsningen skal understøtte, at der kan oprettes en kopi af et eksisterende Dokument. Dokumentets tilknyttede Filer, Bilag, metadata og tilknyttede parter skal overføres til det nye Dokument.</v>
      </c>
    </row>
    <row r="46" spans="1:3" hidden="1">
      <c r="A46" s="3" t="str">
        <f>'Production Plan'!B46</f>
        <v>MK-44</v>
      </c>
      <c r="B46" s="3">
        <f>VLOOKUP(A46,'Production Plan'!B:S,15,FALSE)</f>
        <v>0</v>
      </c>
      <c r="C46" s="3" t="str">
        <f>VLOOKUP(A46,'Production Plan'!B:F,5,FALSE)</f>
        <v>ESDH-løsningen skal understøtte, at Dokumenter med tilknyttede Filer kan omjournaliseres fra én sag til en anden, og at det fremgår af den oprindelige sag, hvilken sag Dokumentet er omjournaliseret til.</v>
      </c>
    </row>
    <row r="47" spans="1:3" hidden="1">
      <c r="A47" s="3" t="str">
        <f>'Production Plan'!B47</f>
        <v>MK-45</v>
      </c>
      <c r="B47" s="3">
        <f>VLOOKUP(A47,'Production Plan'!B:S,15,FALSE)</f>
        <v>0</v>
      </c>
      <c r="C47" s="3" t="str">
        <f>VLOOKUP(A47,'Production Plan'!B:F,5,FALSE)</f>
        <v>ESDH-løsningen skal understøtte, at journaliserede Dokumenter ikke kan slettes af Brugere uden rettigheder. De skal håndteres i overensstemmelse med Løsningens slette- og bevaringsregler.</v>
      </c>
    </row>
    <row r="48" spans="1:3" hidden="1">
      <c r="A48" s="3" t="str">
        <f>'Production Plan'!B48</f>
        <v>MK-46</v>
      </c>
      <c r="B48" s="3">
        <f>VLOOKUP(A48,'Production Plan'!B:S,15,FALSE)</f>
        <v>0</v>
      </c>
      <c r="C48" s="3" t="str">
        <f>VLOOKUP(A48,'Production Plan'!B:F,5,FALSE)</f>
        <v>ESDH-løsningen skal understøtte, at der kan oprettes noter på Dokumenter. Oplysninger om sagsbehandler, dato og klokkeslæt skal fremgå af noten. Alle Brugere med adgang til Dokumentet skal kunne se agere på noten i sagsbehandlingen.</v>
      </c>
    </row>
    <row r="49" spans="1:3" hidden="1">
      <c r="A49" s="3" t="str">
        <f>'Production Plan'!B49</f>
        <v>MK-47</v>
      </c>
      <c r="B49" s="3">
        <f>VLOOKUP(A49,'Production Plan'!B:S,15,FALSE)</f>
        <v>0</v>
      </c>
      <c r="C49" s="3" t="str">
        <f>VLOOKUP(A49,'Production Plan'!B:F,5,FALSE)</f>
        <v>ESDH-løsningen skal understøtte, at der kan indsættes, rettes og fjernes frister på Dokumenter. Fristen skal som minimum bestå af en fristtype, fristdato og fristansvarlig.</v>
      </c>
    </row>
    <row r="50" spans="1:3" hidden="1">
      <c r="A50" s="3" t="str">
        <f>'Production Plan'!B50</f>
        <v>MK-48</v>
      </c>
      <c r="B50" s="3">
        <f>VLOOKUP(A50,'Production Plan'!B:S,15,FALSE)</f>
        <v>0</v>
      </c>
      <c r="C50" s="3" t="str">
        <f>VLOOKUP(A50,'Production Plan'!B:F,5,FALSE)</f>
        <v>ESDH-løsningen skal understøtte, at Brugere kan indsætte, rette og fjerne én eller flere afdelingsspecifikke frister på Dokumenter.</v>
      </c>
    </row>
    <row r="51" spans="1:3" hidden="1">
      <c r="A51" s="3" t="str">
        <f>'Production Plan'!B51</f>
        <v>MK-49</v>
      </c>
      <c r="B51" s="3" t="str">
        <f>VLOOKUP(A51,'Production Plan'!B:S,15,FALSE)</f>
        <v>ADN: ”Direkte” er problematisk, hvis det forbyder os fra et nyt vindue.</v>
      </c>
      <c r="C51" s="3" t="str">
        <f>VLOOKUP(A51,'Production Plan'!B:F,5,FALSE)</f>
        <v>ESDH-løsningen skal understøtte en integreret dokumentviewer i brugergrænsefladen. Løsningen skal understøtte forhåndsvisning af Dokumenter fra sager, søgninger og listevisninger. ESDH-løsningen skal understøtte, at Brugeren får præsenteret Dokumentets tekst/indhold direkte i Løsningen.</v>
      </c>
    </row>
    <row r="52" spans="1:3" hidden="1">
      <c r="A52" s="3" t="str">
        <f>'Production Plan'!B52</f>
        <v>MK-50</v>
      </c>
      <c r="B52" s="3" t="str">
        <f>VLOOKUP(A52,'Production Plan'!B:S,15,FALSE)</f>
        <v>ADN Vores forhåndsvisning ”opdateres ikke automatisk”. Kræver aktivt klik på det dokument/fil der ønskes forhåndsvist.
"Navigeret til," kan det tolkes til at brugeren foretager et aktivt klik?
ADN: ask question
AOP: Discuss in status meeting. Vi kan læse det "dumt" og se det som at man skal kunne scolle og så navigere ved at trykke - dette kan vi - medfører risk.
AOP: Vi aftalte at tage risk.</v>
      </c>
      <c r="C52" s="3" t="str">
        <f>VLOOKUP(A52,'Production Plan'!B:F,5,FALSE)</f>
        <v>ESDH-løsningen skal understøtte, at Brugeren kan navigere og scrolle i dokument- og fillistevisninger, og at forhåndsvisningen automatisk opdateres og viser det Dokument/Fil, som Brugeren har navigeret til.</v>
      </c>
    </row>
    <row r="53" spans="1:3" hidden="1">
      <c r="A53" s="3" t="str">
        <f>'Production Plan'!B53</f>
        <v>MK-51</v>
      </c>
      <c r="B53" s="3" t="str">
        <f>VLOOKUP(A53,'Production Plan'!B:S,15,FALSE)</f>
        <v>ADN: "Kan blive" kræver ikke at vi faktisk gør det</v>
      </c>
      <c r="C53" s="3" t="str">
        <f>VLOOKUP(A53,'Production Plan'!B:F,5,FALSE)</f>
        <v>ESDH-løsningen skal understøtte, at alle Dokumenter automatisk kan blive konverteret til PDF-format, med undtagelse af medie- og eksekverbare filer.</v>
      </c>
    </row>
    <row r="54" spans="1:3" hidden="1">
      <c r="A54" s="3" t="str">
        <f>'Production Plan'!B54</f>
        <v>MK-52</v>
      </c>
      <c r="B54" s="3">
        <f>VLOOKUP(A54,'Production Plan'!B:S,15,FALSE)</f>
        <v>0</v>
      </c>
      <c r="C54" s="3" t="str">
        <f>VLOOKUP(A54,'Production Plan'!B:F,5,FALSE)</f>
        <v>ESDH-løsningen skal understøtte, at alle filtyper må gemmes i ESDH-løsningen.</v>
      </c>
    </row>
    <row r="55" spans="1:3" hidden="1">
      <c r="A55" s="3" t="str">
        <f>'Production Plan'!B55</f>
        <v>K-2</v>
      </c>
      <c r="B55" s="3">
        <f>VLOOKUP(A55,'Production Plan'!B:S,15,FALSE)</f>
        <v>0</v>
      </c>
      <c r="C55" s="3" t="str">
        <f>VLOOKUP(A55,'Production Plan'!B:F,5,FALSE)</f>
        <v>ESDH-løsningen skal understøtte, at Brugere kan trække og slippe Dokumenter direkte fra e-mailklienter og stifinder til relevante sager.</v>
      </c>
    </row>
    <row r="56" spans="1:3" hidden="1">
      <c r="A56" s="3" t="str">
        <f>'Production Plan'!B56</f>
        <v>K-3</v>
      </c>
      <c r="B56" s="3">
        <f>VLOOKUP(A56,'Production Plan'!B:S,15,FALSE)</f>
        <v>0</v>
      </c>
      <c r="C56" s="3" t="str">
        <f>VLOOKUP(A56,'Production Plan'!B:F,5,FALSE)</f>
        <v>ESDH-løsningen skal understøtte, at der i ESDH-løsningen kan præsenteres en standardliste over alle Dokumenter, hvor konverteringen til PDF-format er mislykket.</v>
      </c>
    </row>
    <row r="57" spans="1:3" hidden="1">
      <c r="A57" s="3" t="str">
        <f>'Production Plan'!B57</f>
        <v>MK-53</v>
      </c>
      <c r="B57" s="3">
        <f>VLOOKUP(A57,'Production Plan'!B:S,15,FALSE)</f>
        <v>0</v>
      </c>
      <c r="C57" s="3" t="str">
        <f>VLOOKUP(A57,'Production Plan'!B:F,5,FALSE)</f>
        <v>ESDH-løsningen skal understøtte oprettelse af kontakter med metadata i et kontaktregister.</v>
      </c>
    </row>
    <row r="58" spans="1:3" hidden="1">
      <c r="A58" s="3" t="str">
        <f>'Production Plan'!B58</f>
        <v>MK-54</v>
      </c>
      <c r="B58" s="3" t="str">
        <f>VLOOKUP(A58,'Production Plan'!B:S,15,FALSE)</f>
        <v>ADN: In KUM - we said yes to this, with the idea that we configure a field on contacts called "Contact Type" to live up to this. Only thing with this approach, is we need to find a word for our enterprises, contact persons and private persons besides "Types" to sell this in a clarification phase. (We could call them contact-archives to align with document archive?)</v>
      </c>
      <c r="C58" s="3" t="str">
        <f>VLOOKUP(A58,'Production Plan'!B:F,5,FALSE)</f>
        <v>ESDH-løsningen skal understøtte oprettelse af nye kontakttyper.</v>
      </c>
    </row>
    <row r="59" spans="1:3" hidden="1">
      <c r="A59" s="3" t="str">
        <f>'Production Plan'!B59</f>
        <v>MK-55</v>
      </c>
      <c r="B59" s="3">
        <f>VLOOKUP(A59,'Production Plan'!B:S,15,FALSE)</f>
        <v>0</v>
      </c>
      <c r="C59" s="3" t="str">
        <f>VLOOKUP(A59,'Production Plan'!B:F,5,FALSE)</f>
        <v>ESDH-løsningen skal understøtte redigering af metadata på kontakter, såfremt at Brugeren har rettighed hertil.</v>
      </c>
    </row>
    <row r="60" spans="1:3" hidden="1">
      <c r="A60" s="3" t="str">
        <f>'Production Plan'!B60</f>
        <v>MK-56</v>
      </c>
      <c r="B60" s="3" t="str">
        <f>VLOOKUP(A60,'Production Plan'!B:S,15,FALSE)</f>
        <v>ADN: Vi advarer, men vi forbyder ikke. CPR/CVR er ikke så unikt at det ikke kan duplikeres.
ADN: Enten med udvidet duplikat-kontrol eller BRE der forbyder det.</v>
      </c>
      <c r="C60" s="3" t="str">
        <f>VLOOKUP(A60,'Production Plan'!B:F,5,FALSE)</f>
        <v>ESDH-løsningen skal understøtte, at en Bruger ikke kan oprette en kontakt, hvis kontaktens unikke ID allerede findes i kontaktregisteret.</v>
      </c>
    </row>
    <row r="61" spans="1:3" hidden="1">
      <c r="A61" s="3" t="str">
        <f>'Production Plan'!B61</f>
        <v>MK-57</v>
      </c>
      <c r="B61" s="3">
        <f>VLOOKUP(A61,'Production Plan'!B:S,15,FALSE)</f>
        <v>0</v>
      </c>
      <c r="C61" s="3" t="str">
        <f>VLOOKUP(A61,'Production Plan'!B:F,5,FALSE)</f>
        <v>ESDH-løsningen skal understøtte, at kontakter kan fremsøges via relevante metadata.</v>
      </c>
    </row>
    <row r="62" spans="1:3" hidden="1">
      <c r="A62" s="3" t="str">
        <f>'Production Plan'!B62</f>
        <v>MK-58</v>
      </c>
      <c r="B62" s="3">
        <f>VLOOKUP(A62,'Production Plan'!B:S,15,FALSE)</f>
        <v>0</v>
      </c>
      <c r="C62" s="3" t="str">
        <f>VLOOKUP(A62,'Production Plan'!B:F,5,FALSE)</f>
        <v>ESDH-løsningen skal understøtte, at en Bruger kan oprette en ny kontakt eller søge efter en eksisterende kontakt med henblik på at tilknytte kontakten til alle Entiteter i Løsningen, herunder sager, Dokumenter og Kundeoprettede Entiteter.</v>
      </c>
    </row>
    <row r="63" spans="1:3" hidden="1">
      <c r="A63" s="3" t="str">
        <f>'Production Plan'!B63</f>
        <v>MK-59</v>
      </c>
      <c r="B63" s="3">
        <f>VLOOKUP(A63,'Production Plan'!B:S,15,FALSE)</f>
        <v>0</v>
      </c>
      <c r="C63" s="3" t="str">
        <f>VLOOKUP(A63,'Production Plan'!B:F,5,FALSE)</f>
        <v>ESDH-løsningen skal understøtte, at kontakter automatisk kan opdateres via f.eks. integration til CPR, CVR eller lignende register på relevante metadata.  Det skal ske som automatiske batch-kørsler, der med faste intervaller sikrer, at eksisterende metadata i systemet altid er ajourførte.</v>
      </c>
    </row>
    <row r="64" spans="1:3" hidden="1">
      <c r="A64" s="3" t="str">
        <f>'Production Plan'!B64</f>
        <v>MK-60</v>
      </c>
      <c r="B64" s="3">
        <f>VLOOKUP(A64,'Production Plan'!B:S,15,FALSE)</f>
        <v>0</v>
      </c>
      <c r="C64" s="3" t="str">
        <f>VLOOKUP(A64,'Production Plan'!B:F,5,FALSE)</f>
        <v>ESDH-løsningen skal understøtte, at Brugeren kan foretage onlineopslag på et specifikt CPR-nr. via ESDH-løsningen og importere dennes stamdata til ESDH-løsningen. Personen skal oprettes eller opdateres i Løsningens kontaktregister.</v>
      </c>
    </row>
    <row r="65" spans="1:3" hidden="1">
      <c r="A65" s="3" t="str">
        <f>'Production Plan'!B65</f>
        <v>MK-61</v>
      </c>
      <c r="B65" s="3">
        <f>VLOOKUP(A65,'Production Plan'!B:S,15,FALSE)</f>
        <v>0</v>
      </c>
      <c r="C65" s="3" t="str">
        <f>VLOOKUP(A65,'Production Plan'!B:F,5,FALSE)</f>
        <v>ESDH-løsningen skal understøtte, at Brugeren kan foretage onlineopslag på et specifikt CVR-nr. via ESDH-løsningen og importere virksomhedens stamdata til ESDH-løsningen. Virksomheden skal oprettes eller opdateres i Løsningens kontaktregister.</v>
      </c>
    </row>
    <row r="66" spans="1:3" hidden="1">
      <c r="A66" s="3" t="str">
        <f>'Production Plan'!B66</f>
        <v>MK-62</v>
      </c>
      <c r="B66" s="3">
        <f>VLOOKUP(A66,'Production Plan'!B:S,15,FALSE)</f>
        <v>0</v>
      </c>
      <c r="C66" s="3" t="str">
        <f>VLOOKUP(A66,'Production Plan'!B:F,5,FALSE)</f>
        <v>ESDH-løsningen skal understøtte sletning af kontakter. Den udførende Bruger skal adviseres, hvis kontakten er tilknyttet sager, Dokumenter eller har reference til anden kontakt.</v>
      </c>
    </row>
    <row r="67" spans="1:3" hidden="1">
      <c r="A67" s="3" t="str">
        <f>'Production Plan'!B67</f>
        <v>MK-63</v>
      </c>
      <c r="B67" s="3">
        <f>VLOOKUP(A67,'Production Plan'!B:S,15,FALSE)</f>
        <v>0</v>
      </c>
      <c r="C67" s="3" t="str">
        <f>VLOOKUP(A67,'Production Plan'!B:F,5,FALSE)</f>
        <v>ESDH-løsningen skal understøtte, at en kontakt kan deaktiveres samt, at deaktiveret kontakt ikke kan tilknyttes Entiteter.</v>
      </c>
    </row>
    <row r="68" spans="1:3" hidden="1">
      <c r="A68" s="3" t="str">
        <f>'Production Plan'!B68</f>
        <v>MK-64</v>
      </c>
      <c r="B68" s="3">
        <f>VLOOKUP(A68,'Production Plan'!B:S,15,FALSE)</f>
        <v>0</v>
      </c>
      <c r="C68" s="3" t="str">
        <f>VLOOKUP(A68,'Production Plan'!B:F,5,FALSE)</f>
        <v>ESDH-løsningen skal understøtte, at deaktiverede kontakter kan fremsøges i Løsningen.</v>
      </c>
    </row>
    <row r="69" spans="1:3" hidden="1">
      <c r="A69" s="3" t="str">
        <f>'Production Plan'!B69</f>
        <v>EK-1</v>
      </c>
      <c r="B69" s="3">
        <f>VLOOKUP(A69,'Production Plan'!B:S,15,FALSE)</f>
        <v>0</v>
      </c>
      <c r="C69" s="3" t="str">
        <f>VLOOKUP(A69,'Production Plan'!B:F,5,FALSE)</f>
        <v>Kunden har behov for at udstille en udlændinges stamdata i Løsningen. Kunden betragter en udlænding som en kontakttype, som kan tilknyttes til Entiteter i Løsningen. 
ESDH-løsningen skal understøtte, at Administrator kan konfigurere en Udlændingekontakt via no code administratormodul, der sikrer et fuldt overblik over Udlændingekontakten. Administratoren skal dertil kunne opsætte og konfigurere udlændingeoverblikket i brugergrænsefladen. 
Overblikket over udlændingen skal indeholde følgende:
Sager, hvor udlændingen indgår som part samt hvilken rolle udlændingen har på sagen
Afgørelser, som er tilknyttet udlændingen med følgende metadata: 
Sagsnr. 
Afgørelsesdato
Afgørelsestype
Sagsområde f.eks. familiesammenføring
Ansvarligt team
Ansvarlig sagsbehandler
Stamdata på udlændingen herunder: 
Cpr.nr. 
Udlændinge nr. 
Fornavn og efternavn
Adresse, postnr. og by
Telefon og e-mailadresse
Nationalitet
Køn
Familierelationer (f.eks. barn, forældre, værge)
Datoer for ind- og udrejse til/fra Danmark
Rejsedokumenter (f.eks. pas og nationalt ID-kort)
Dokumenter som udlændingen er tilknyttet, samt hvilken partsrolle udlændingen har på Dokumentet
Sager i anden Myndighed herunder: 
Sagsnr. 
Sagsområde f.eks. asyl
Ansvarligt team
Ansvarlig sagsbehandler
Afgørelser i anden Myndighed herunder: 
Sagsnr. 
Afgørelsesdato
Afgørelsestype
Sagsområde f.eks. familiesammenføring
Ansvarligt team
Ansvarlig sagsbehandler
Leverandøren skal beskrive, hvordan den tilbudte ESDH-løsning understøtter, at Administrator kan konfigurere en Udlændingekontakt via no code administratormodul.
Leverandøren skal gennem konkrete skærmbilleder demonstrere om og hvordan ESDH-løsningen understøtter de stillede krav og møder Kundens behov.
Leverandøren skal redegøre for: 
Hvordan ESDH-løsningen understøtter et udlændingeoverblik
Hvordan Brugeren kan navigere i oplysningerne på udlændingeoverblikket
Hvordan Administratoren kan oprette og vedligeholde udlændingeoverblikket
Evalueringskriterier:
Det vægtes positivt, i hvor høj grad Brugeren på en let og intuitiv måde kan navigere i udlændingeoverblikkets data.
Det vægtes positivt, i hvor høj grad Administrator kan oprette og vedligeholde udlændingeoverblikket via et administratormodul uden involvering af Leverandør. 
Det vægtes positivt, i hvor høj grad udlændingeoverblikket indeholder et samlet overblik over udlændingens sager og Afgørelser i egen Myndighed samt overblik over sager og Afgørelser i øvrige Myndigheders sager.
Det vægtes positivt, i hvor høj grad Dokumenter udstilles på en let og overskuelig måde på udlændingeoverblikket f.eks. via filtrering.
Det vægtes positivt, i hvor høj grad der på udlændingeoverblikket kan noteres flere oplysninger af samme type f.eks. datoer for ind- og udrejse. 
Det vægtes positivt, i hvor høj grad udlændingeoverblikket opdateres i realtid, når der f.eks. tilføjes nye sager og Afgørelser eller stamdata opdateres i eksterne registre. 
Det vægtes positivt, i hvor høj grad felter på udlændingeoverblikket kan gøres skrivebeskyttet, så opdatering af felter kun kan ske via eksterne registre.</v>
      </c>
    </row>
    <row r="70" spans="1:3" hidden="1">
      <c r="A70" s="3" t="str">
        <f>'Production Plan'!B70</f>
        <v>MK-65</v>
      </c>
      <c r="B70" s="3" t="str">
        <f>VLOOKUP(A70,'Production Plan'!B:S,15,FALSE)</f>
        <v>ADN: Search "in all fields" comes with a risc, especially if any external consultant is still involved from the customer side.
CHM: Reporting API understøtter søgning i alle felter. Hvis søgningen skal foregå "inde i løsningen", så skal vi have et commitment fra Products. Identisk med MK-66.</v>
      </c>
      <c r="C70" s="3" t="str">
        <f>VLOOKUP(A70,'Production Plan'!B:F,5,FALSE)</f>
        <v>ESDH-løsningen skal understøtte, at der kan søges i alle standard- og Kundeoprettede felter.</v>
      </c>
    </row>
    <row r="71" spans="1:3" hidden="1">
      <c r="A71" s="3" t="str">
        <f>'Production Plan'!B71</f>
        <v>MK-66</v>
      </c>
      <c r="B71" s="3" t="str">
        <f>VLOOKUP(A71,'Production Plan'!B:S,15,FALSE)</f>
        <v>ADN: Det her krav er formuleret uden logiske begræsninger mellem entiteter, hvilke tikke giver mening. Det kan vi ikke understøtte.
Does this require you should be able to search for all case and document, and contact-related fields, in 1 joint search??
CHM: Requirement doesnt say where it should be performed. Could it be solved by management reporting api?
Querry builder might also be a way to look - but we havent decided on a specific solution yet.</v>
      </c>
      <c r="C71" s="3" t="str">
        <f>VLOOKUP(A71,'Production Plan'!B:F,5,FALSE)</f>
        <v>ESDH-løsningen skal understøtte, at der kan søges på alle standard- og Kundeoprettede felter på samme tid i ESDH-løsningen.</v>
      </c>
    </row>
    <row r="72" spans="1:3" hidden="1">
      <c r="A72" s="3" t="str">
        <f>'Production Plan'!B72</f>
        <v>MK-67</v>
      </c>
      <c r="B72" s="3">
        <f>VLOOKUP(A72,'Production Plan'!B:S,15,FALSE)</f>
        <v>0</v>
      </c>
      <c r="C72" s="3" t="str">
        <f>VLOOKUP(A72,'Production Plan'!B:F,5,FALSE)</f>
        <v>ESDH-løsningen skal understøtte søgning i indholdet af Filer.</v>
      </c>
    </row>
    <row r="73" spans="1:3" hidden="1">
      <c r="A73" s="3" t="str">
        <f>'Production Plan'!B73</f>
        <v>MK-68</v>
      </c>
      <c r="B73" s="3" t="str">
        <f>VLOOKUP(A73,'Production Plan'!B:S,15,FALSE)</f>
        <v>ADN Det her lugter af at være målrettet os givet titlen, fordi de ved vi ikke kan i den avancerede søgning - men kravteksten indeholder det ikke, "Avanceret søg" og derfor bør vi være OK med kravet.</v>
      </c>
      <c r="C73" s="3" t="str">
        <f>VLOOKUP(A73,'Production Plan'!B:F,5,FALSE)</f>
        <v>ESDH-løsningen skal understøtte, at Brugeren kan anvende trunkering, hvis der ønskes søgning på begyndelsen eller slutningen af et ord.</v>
      </c>
    </row>
    <row r="74" spans="1:3" hidden="1">
      <c r="A74" s="3" t="str">
        <f>'Production Plan'!B74</f>
        <v>MK-69</v>
      </c>
      <c r="B74" s="3" t="str">
        <f>VLOOKUP(A74,'Production Plan'!B:S,15,FALSE)</f>
        <v>ADN: Configure Share saved search Toggle</v>
      </c>
      <c r="C74" s="3" t="str">
        <f>VLOOKUP(A74,'Production Plan'!B:F,5,FALSE)</f>
        <v>ESDH-løsningen skal understøtte, at søgninger kan gemmes i Løsningen og deles af Brugere.</v>
      </c>
    </row>
    <row r="75" spans="1:3" hidden="1">
      <c r="A75" s="3" t="str">
        <f>'Production Plan'!B75</f>
        <v>MK-70</v>
      </c>
      <c r="B75" s="3" t="str">
        <f>VLOOKUP(A75,'Production Plan'!B:S,15,FALSE)</f>
        <v>ADN: ”Alle felter” - godt nok afgrænset til søgeresultater, men stadig en stor risc, fra en ondsindet kunde.
Vi må spørge willy
CHM: Dette kræver et commitment, at "View selector" implementeres på lister ligesom i resultatlisten på søgning.</v>
      </c>
      <c r="C75" s="3" t="str">
        <f>VLOOKUP(A75,'Production Plan'!B:F,5,FALSE)</f>
        <v>ESDH-løsningen skal understøtte, at alle felter kan vises i søgeresultaternes visningslister.</v>
      </c>
    </row>
    <row r="76" spans="1:3" hidden="1">
      <c r="A76" s="3" t="str">
        <f>'Production Plan'!B76</f>
        <v>MK-71</v>
      </c>
      <c r="B76" s="3" t="str">
        <f>VLOOKUP(A76,'Production Plan'!B:S,15,FALSE)</f>
        <v>ADN: Requirement contains the word "All" but i cant come up with anywhere, where we dont support this.</v>
      </c>
      <c r="C76" s="3" t="str">
        <f>VLOOKUP(A76,'Production Plan'!B:F,5,FALSE)</f>
        <v>ESDH-løsningen skal understøtte, at der kan søges på værdier i alle dropdown-felter.</v>
      </c>
    </row>
    <row r="77" spans="1:3" hidden="1">
      <c r="A77" s="3" t="str">
        <f>'Production Plan'!B77</f>
        <v>MK-72</v>
      </c>
      <c r="B77" s="3" t="str">
        <f>VLOOKUP(A77,'Production Plan'!B:S,15,FALSE)</f>
        <v>ADN: We got the commitment on KUM</v>
      </c>
      <c r="C77" s="3" t="str">
        <f>VLOOKUP(A77,'Production Plan'!B:F,5,FALSE)</f>
        <v>ESDH-løsningen skal understøtte, at der kan søges på alle niveauer i journalplanen.</v>
      </c>
    </row>
    <row r="78" spans="1:3" hidden="1">
      <c r="A78" s="3" t="str">
        <f>'Production Plan'!B78</f>
        <v>MK-73</v>
      </c>
      <c r="B78" s="3" t="str">
        <f>VLOOKUP(A78,'Production Plan'!B:S,15,FALSE)</f>
        <v xml:space="preserve">MJ: Den optimale løsning er, at bygge en ny søgeoplevelse gennem query builderen I search assistant. Torben kan lave et eksperiement med at eksponerere hele viewmeta I search assistanmt </v>
      </c>
      <c r="C78" s="3" t="str">
        <f>VLOOKUP(A78,'Production Plan'!B:F,5,FALSE)</f>
        <v>ESDH-løsningen skal understøtte, at der kan søges på tværs af Entiteter.</v>
      </c>
    </row>
    <row r="79" spans="1:3" hidden="1">
      <c r="A79" s="3" t="str">
        <f>'Production Plan'!B79</f>
        <v>MK-74</v>
      </c>
      <c r="B79" s="3" t="str">
        <f>VLOOKUP(A79,'Production Plan'!B:S,15,FALSE)</f>
        <v>ADN: Det understøtter vi ikke.
COuld we argue, that it doesnt state it should remember these configurations, and therefore we live up to it?
CHM: Kriteriet er gemt i databasen, så det "burde" ikke være en stor udviklingsopgave at udtrække feltet inkl. værdi, og vise det i redigerings-mode.</v>
      </c>
      <c r="C79" s="3" t="str">
        <f>VLOOKUP(A79,'Production Plan'!B:F,5,FALSE)</f>
        <v>ESDH-løsningen skal understøtte, at Kunden kan opsætte og konfigurere søgebilleder for alle Løsningens standard- og Kundeoprettede Entiteter.</v>
      </c>
    </row>
    <row r="80" spans="1:3" hidden="1">
      <c r="A80" s="3" t="str">
        <f>'Production Plan'!B80</f>
        <v>MK-75</v>
      </c>
      <c r="B80" s="3" t="str">
        <f>VLOOKUP(A80,'Production Plan'!B:S,15,FALSE)</f>
        <v>ADN: Det understøtter vi ikke.
COuld we argue, that it doesnt state it should remember these configurations, and therefore we live up to it?
CHM: Kriteriet er gemt i databasen, så det "burde" ikke være en stor udviklingsopgave at udtrække feltet inkl. værdi, og vise det i redigerings-mode.
MJ: Minimumsløsningen må være man laver en property på customfelter kaldet "Show in advanced search"</v>
      </c>
      <c r="C80" s="3" t="str">
        <f>VLOOKUP(A80,'Production Plan'!B:F,5,FALSE)</f>
        <v>ESDH-løsningen skal understøtte, at Kunden selv kan definere og konfigurere, hvilke standard- og Kundeoprettede felter søgebilledet skal indeholde.</v>
      </c>
    </row>
    <row r="81" spans="1:3" hidden="1">
      <c r="A81" s="3" t="str">
        <f>'Production Plan'!B81</f>
        <v>K-4</v>
      </c>
      <c r="B81" s="3" t="str">
        <f>VLOOKUP(A81,'Production Plan'!B:S,15,FALSE)</f>
        <v>ADN: We support this in a combination of global search and advanced search - it isnt specified to be in 1 place.</v>
      </c>
      <c r="C81" s="3" t="str">
        <f>VLOOKUP(A81,'Production Plan'!B:F,5,FALSE)</f>
        <v>ESDH-løsningen skal understøtte, at Brugere kan anvende følgende søgeoperatorer ved fritekstsøgning og søgning i strukturerede felter:
”Og”, ”Eller” og ”Ikke”-søgning
Større end / mindre end (f.eks. ved dato- eller talfelter)
Indeholder 
Lig med (præcis match)</v>
      </c>
    </row>
    <row r="82" spans="1:3" hidden="1">
      <c r="A82" s="3" t="str">
        <f>'Production Plan'!B82</f>
        <v>K-5</v>
      </c>
      <c r="B82" s="3">
        <f>VLOOKUP(A82,'Production Plan'!B:S,15,FALSE)</f>
        <v>0</v>
      </c>
      <c r="C82" s="3" t="str">
        <f>VLOOKUP(A82,'Production Plan'!B:F,5,FALSE)</f>
        <v>ESDH-løsningen skal understøtte, at Brugere kan abonnere på søgninger.</v>
      </c>
    </row>
    <row r="83" spans="1:3" hidden="1">
      <c r="A83" s="3" t="str">
        <f>'Production Plan'!B83</f>
        <v>K-6</v>
      </c>
      <c r="B83" s="3" t="str">
        <f>VLOOKUP(A83,'Production Plan'!B:S,15,FALSE)</f>
        <v xml:space="preserve">ADN: This means we must support pretty much "unlimited export to Excel"
 løsningen
CHM: Vi understøtter eksport til Excel/regneark inden for konfigurerede systemgrænser (default 3000). Store udtræk kan håndteres asynkront/batch-orienteret eller via rapport-/dataudtræksfunktion. Kan vi implementere "eDoc Big Search" som udtrækker store søgninger i "off-peak hours"?
</v>
      </c>
      <c r="C83" s="3" t="str">
        <f>VLOOKUP(A83,'Production Plan'!B:F,5,FALSE)</f>
        <v>ESDH-løsningen skal understøtte eksport af det komplette søgeresultat fra brugergrænsefladen til regnearksprogram anvendt af Kundens, men må dog ikke overstige regnearksprogrammets maksimum rækkekapacitet.</v>
      </c>
    </row>
    <row r="84" spans="1:3" hidden="1">
      <c r="A84" s="3" t="str">
        <f>'Production Plan'!B84</f>
        <v>EK-2</v>
      </c>
      <c r="B84" s="3">
        <f>VLOOKUP(A84,'Production Plan'!B:S,15,FALSE)</f>
        <v>0</v>
      </c>
      <c r="C84" s="3" t="str">
        <f>VLOOKUP(A84,'Production Plan'!B:F,5,FALSE)</f>
        <v>ESDH-løsningen skal understøtte realtidsbaserede dashboards, der giver Kundens Brugere et hurtigt og overskueligt overblik over relevante data i ESDH-løsningen. Dashboard i ESDH-løsningen skal understøtte visualiseringer og udtræk af statistiske data til brug for konkret sagsbehandling, Myndighedsarbejde, ledelsestilsyn og politiske beslutninger. 
Leverandøren skal beskrive, hvordan den tilbudte ESDH-løsning understøtter realtidsbaserede dashboards. 
Leverandøren skal gennem konkrete skærmbilleder demonstrere om og hvordan ESDH-løsningen understøtter de stillede krav og møder Kundens behov.
Leverandøren skal redegøre for: 
Hvordan ESDH-løsningen understøtter, at Administrator og Bruger kan oprette egne realtidsbaserede dashboards til sags- og driftsstyring
Hvordan ESDH-løsningen understøtter visning af både individuelle og afdelingsspecifikke frister med farver eller ikoner, når en frist for eksempel nærmer sig udløb
Hvilke visualiseringer som ESDH-løsningen understøtter
Hvordan ESDH-løsningen understøtter effektiv og brugervenlig navigation til underliggende detaljer fra dashboards
Hvordan ESDH-løsningen understøtter dashboards på Dokument og kontaktniveau
Hvordan dashboards på en let og intuitiv måde kan oprettes og vedligeholdes af Administrator
Hvordan dashboards på en let og intuitiv måde kan deles på organisatorisk niveau samt brugerniveau
Evalueringskriterier:
Det vægtes positivt, i hvor høj grad Brugere og Administratorer kan personalisere og konfigurere dashboards efter individuelle og organisatoriske behov, samt at disse kan deles på en intuitiv og brugervenlig måde. 
Det vægtes positivt, i hvor høj grad dashboard-visninger kan tilpasses forskellige brugerroller, medarbejderniveauer og organisatorisk opdeling.
Det vægtes positivt, i hvor høj grad dashboards kan udstilles på forskellige visuelle måder herunder, at der er mulighed for at konfigurere kolonner i visningen samt, at data kan eksporteres i relevante formater. 
Det vægtes positivt, i hvor høj grad ESDH-løsningens dashboards kan udstille resultater i dashboard-widgets.
Det vægtes positivt, i hvor høj grad dashboards kan tilpasses med en grafisk udstilling, der indeholder: 
Listevisninger
Søjlediagrammer 
Cirkeldiagrammer 
Tællere
Det vægtes positivt, i hvor høj grad data og søgeresultater, der udstilles på dashboards, opdateres automatisk i realtid uden behov for manuel opdatering (refresh). 
Det vægtes positivt, i hvor høj grad en Administrator kan udrulle dashboads til organisationen, afdelinger, teams og Brugere, som styres centralt.</v>
      </c>
    </row>
    <row r="85" spans="1:3" hidden="1">
      <c r="A85" s="3" t="str">
        <f>'Production Plan'!B85</f>
        <v>MK-76</v>
      </c>
      <c r="B85" s="3" t="str">
        <f>VLOOKUP(A85,'Production Plan'!B:S,15,FALSE)</f>
        <v>ADN: Påvirker ikke os - men det her krav er et godt eksempel på en Kunde der beskriver en løsning frem for et behov. Hvorfor skal det være browserbaseret?
AOP: Meget standard i udbud. Baggrunden er, at det anses som værende fremtiden og lettere for kunden at administrere selv.</v>
      </c>
      <c r="C85" s="3" t="str">
        <f>VLOOKUP(A85,'Production Plan'!B:F,5,FALSE)</f>
        <v>ESDH-løsningen skal understøtte afvikling i en af nedenstående standardbrowsere uden løsnings-specifikt plugin: 
Microsoft Edge
Google Chrome</v>
      </c>
    </row>
    <row r="86" spans="1:3" hidden="1">
      <c r="A86" s="3" t="str">
        <f>'Production Plan'!B86</f>
        <v>MK-77</v>
      </c>
      <c r="B86" s="3" t="str">
        <f>VLOOKUP(A86,'Production Plan'!B:S,15,FALSE)</f>
        <v>ADN: Issue - ”Alle”  og ”ingen begrænsning” i samme sætning..
CHM: I princippet kan vi vel sætte "Max query rows" til 1 mio., selvom konsekvensen vil være en SQL timeout. De fleste lister i GUI har allerede implementeret pagination.</v>
      </c>
      <c r="C86" s="3" t="str">
        <f>VLOOKUP(A86,'Production Plan'!B:F,5,FALSE)</f>
        <v>ESDH-løsningen skal understøtte, at alle listevisninger fra standard og Kundeoprettede Entiteter eller i søgningsresultater ikke har begrænsning i antal resultater. Resultaterne kan opdeles på flere sider jf. arkitekturmønsteret pagination (processen med at opdele store mængder indhold, data eller søgeresultater i mindre, overskuelige bidder).</v>
      </c>
    </row>
    <row r="87" spans="1:3" hidden="1">
      <c r="A87" s="3" t="str">
        <f>'Production Plan'!B87</f>
        <v>MK-78</v>
      </c>
      <c r="B87" s="3" t="str">
        <f>VLOOKUP(A87,'Production Plan'!B:S,15,FALSE)</f>
        <v>ADN: Det her bevæger vi os væk fra, fordi det ikke er særligt WCAG-compliant. MEN - vi skal bemærke de ikke definere det skal gælde alt, eller hvad man skal kunne, så hvis vi har en genvejstast ét sted i løsningen, kan vi principielt sige ja til dette krav.
Vi understøtter brugen af "Tab" og "Enter" - vi skal bare sikre os det står i onlinehjælpen.
Tjek op med Core UI - de har commitment på løsning til edoc kunderne.</v>
      </c>
      <c r="C87" s="3" t="str">
        <f>VLOOKUP(A87,'Production Plan'!B:F,5,FALSE)</f>
        <v>ESDH-løsningen skal understøtte brugen af genvejstaster, funktionstaster eller tastekombinationer. Genvejstaster skal være dokumenteret i hjælpefunktionen.</v>
      </c>
    </row>
    <row r="88" spans="1:3" hidden="1">
      <c r="A88" s="3" t="str">
        <f>'Production Plan'!B88</f>
        <v>MK-79</v>
      </c>
      <c r="B88" s="3">
        <f>VLOOKUP(A88,'Production Plan'!B:S,15,FALSE)</f>
        <v>0</v>
      </c>
      <c r="C88" s="3" t="str">
        <f>VLOOKUP(A88,'Production Plan'!B:F,5,FALSE)</f>
        <v>ESDH-løsningen skal understøtte en tydelig marker af obligatoriske felter i forbindelse med oprettelse eller redigering af Entiteter.</v>
      </c>
    </row>
    <row r="89" spans="1:3" hidden="1">
      <c r="A89" s="3" t="str">
        <f>'Production Plan'!B89</f>
        <v>MK-80</v>
      </c>
      <c r="B89" s="3" t="str">
        <f>VLOOKUP(A89,'Production Plan'!B:S,15,FALSE)</f>
        <v>ADN: Vi skal bemærke de ikke bruger ordet ”Alle” i denne sætning - meeeen.. Vi har det slet ikke for Kontakter, projekter, ejendomme og aktiviteter, og vi har det ingen steder for kundeoprettede felter. (De specificere heller ikke at det skal være på alle kundeoprettede entiteter) Måske vi kan bruge det til noget.</v>
      </c>
      <c r="C89" s="3" t="str">
        <f>VLOOKUP(A89,'Production Plan'!B:F,5,FALSE)</f>
        <v>ESDH-løsningen skal understøtte, at en Bruger via brugergrænsefladen kan foretage masseændringer af tilknyttede standard- og Kundeoprettede felter på sager, Dokumenter, kontakter og Kundeoprettede Entiteter.</v>
      </c>
    </row>
    <row r="90" spans="1:3" hidden="1">
      <c r="A90" s="3" t="str">
        <f>'Production Plan'!B90</f>
        <v>MK-81</v>
      </c>
      <c r="B90" s="3" t="str">
        <f>VLOOKUP(A90,'Production Plan'!B:S,15,FALSE)</f>
        <v>ADN: Hvornår er noget ”Visuelt adskilt”? - er det nok at der står ”Indgående” og/eller ”Udgående”?
hos os står der "Dokument ind", eller "dokument ud" - det er vel visuelt adskildt.. Jeg kan se at der ikke står det samme?</v>
      </c>
      <c r="C90" s="3" t="str">
        <f>VLOOKUP(A90,'Production Plan'!B:F,5,FALSE)</f>
        <v>ESDH-løsningen skal understøtte en visuel adskillelse af indgående og udgående Dokumenter, f.eks. via opmærkning.</v>
      </c>
    </row>
    <row r="91" spans="1:3" hidden="1">
      <c r="A91" s="3" t="str">
        <f>'Production Plan'!B91</f>
        <v>MK-82</v>
      </c>
      <c r="B91" s="3">
        <f>VLOOKUP(A91,'Production Plan'!B:S,15,FALSE)</f>
        <v>0</v>
      </c>
      <c r="C91" s="3" t="str">
        <f>VLOOKUP(A91,'Production Plan'!B:F,5,FALSE)</f>
        <v>ESDH-løsningen skal understøtte en tydelig markering af, om felter er obligatoriske. Det skal være gældende for Løsningens standard- og Kundeoprettede felter.</v>
      </c>
    </row>
    <row r="92" spans="1:3" hidden="1">
      <c r="A92" s="3" t="str">
        <f>'Production Plan'!B92</f>
        <v>MK-83</v>
      </c>
      <c r="B92" s="3" t="str">
        <f>VLOOKUP(A92,'Production Plan'!B:S,15,FALSE)</f>
        <v xml:space="preserve">ADN Det understøtter vi ikke - jeg tænker de mener kolonner inde i webparts på vores overbliksbilleder.
"quick-and-dirty" fix er at tilføje visningslisten, så kuden kan vælge visning ligesom de kan i maksimeret visning for dokumenter </v>
      </c>
      <c r="C92" s="3" t="str">
        <f>VLOOKUP(A92,'Production Plan'!B:F,5,FALSE)</f>
        <v>ESDH-løsningen skal understøtte at Kunden kan tilvælge og fravælge kolonnevisninger på sager, Dokumenter, kontakt-billeder.</v>
      </c>
    </row>
    <row r="93" spans="1:3" hidden="1">
      <c r="A93" s="3" t="str">
        <f>'Production Plan'!B93</f>
        <v>MK-84</v>
      </c>
      <c r="B93" s="3" t="str">
        <f>VLOOKUP(A93,'Production Plan'!B:S,15,FALSE)</f>
        <v xml:space="preserve">ADN: Det understøtter vi ikke - jeg tænker de mener kolonner inde i webparts på vores overbliksbilleder.
"quick-and-dirty" fix er at tilføje visningslisten, så kuden kan vælge visning ligesom de kan i maksimeret visning for dokumenter </v>
      </c>
      <c r="C93" s="3" t="str">
        <f>VLOOKUP(A93,'Production Plan'!B:F,5,FALSE)</f>
        <v>ESDH-løsningen skal understøtte, at Kunden kan tilvælge og fravælge kolonnevisninger på Kundeoprettede Entiteter.</v>
      </c>
    </row>
    <row r="94" spans="1:3" hidden="1">
      <c r="A94" s="3" t="str">
        <f>'Production Plan'!B94</f>
        <v>MK-85</v>
      </c>
      <c r="B94" s="3" t="str">
        <f>VLOOKUP(A94,'Production Plan'!B:S,15,FALSE)</f>
        <v xml:space="preserve">ADN: Det understøtter vi ikke - jeg tænker de mener kolonner inde i webparts på vores overbliksbilleder.Vi gemmer ikke sorteringer og filtreringer
"quick-and-dirty" fix er at tilføje visningslisten, så kuden kan vælge visning ligesom de kan i maksimeret visning for dokumenter </v>
      </c>
      <c r="C94" s="3" t="str">
        <f>VLOOKUP(A94,'Production Plan'!B:F,5,FALSE)</f>
        <v>ESDH-løsningen skal understøtte, at Kundeoprettede felter skal kunne anvendes i kolonnevisningerne på standard Entiteter og Kundeoprettede Entiteter.</v>
      </c>
    </row>
    <row r="95" spans="1:3" hidden="1">
      <c r="A95" s="3" t="str">
        <f>'Production Plan'!B95</f>
        <v>MK-86</v>
      </c>
      <c r="B95" s="3" t="str">
        <f>VLOOKUP(A95,'Production Plan'!B:S,15,FALSE)</f>
        <v>ADN: Det understøtter vi ikke - jeg tænker de mener kolonner inde i webparts på vores overbliksbilleder.Vi gemmer ikke sorteringer og filtreringer
MJ: mulige løsninger kunne være cookies eller "gem" lignende funktionalitet af mine opsætninger
Torben tester noget..</v>
      </c>
      <c r="C95" s="3" t="str">
        <f>VLOOKUP(A95,'Production Plan'!B:F,5,FALSE)</f>
        <v>ESDH-løsningen skal understøtte filtrering og sortering på kolonnevisninger. Brugerens valgte indstillinger skal kunne gemmes som standardvisning for Brugeren.</v>
      </c>
    </row>
    <row r="96" spans="1:3" hidden="1">
      <c r="A96" s="3" t="str">
        <f>'Production Plan'!B96</f>
        <v>MK-87</v>
      </c>
      <c r="B96" s="3" t="str">
        <f>VLOOKUP(A96,'Production Plan'!B:S,15,FALSE)</f>
        <v>ADN:  ”kundeoprettede faner” på overbliksbilleder kræver en voldsomt udvidelse af FFUI Overbliksbilleder
Widgets kan tolkes som webparts, men kunden skal selv kunne opsætte dem.
Vi mangler et konfig interface for en "iframe" hvor kunden kan vælge hvad der skal vises</v>
      </c>
      <c r="C96" s="3" t="str">
        <f>VLOOKUP(A96,'Production Plan'!B:F,5,FALSE)</f>
        <v>ESDH-løsningen skal understøtte, at Kunden kan opsætte Kundeoprettede faner/widgets på både standard- og Kundeoprettede Entiteter.</v>
      </c>
    </row>
    <row r="97" spans="1:3" hidden="1">
      <c r="A97" s="3" t="str">
        <f>'Production Plan'!B97</f>
        <v>MK-88</v>
      </c>
      <c r="B97" s="3" t="str">
        <f>VLOOKUP(A97,'Production Plan'!B:S,15,FALSE)</f>
        <v>ADN: Hvis vi nu tolker det her til webparten "brugerdefinerede felter" og webparten: "Ejendomme", "Projekter" og "Aktiviteter" - så kan kunden jo godt på sags- og dokumentoversigter  bestemme hvor disse vises. Vi har det dog ikke på kontaktoverblik.</v>
      </c>
      <c r="C97" s="3" t="str">
        <f>VLOOKUP(A97,'Production Plan'!B:F,5,FALSE)</f>
        <v>ESDH-løsningen skal understøtte, at Kunden har fuld fleksibilitet til vælge, hvor Kundeoprettede Entiteter og Kundeoprettede felter vises i brugergrænsefladen.</v>
      </c>
    </row>
    <row r="98" spans="1:3" hidden="1">
      <c r="A98" s="3" t="str">
        <f>'Production Plan'!B98</f>
        <v>K-7</v>
      </c>
      <c r="B98" s="3">
        <f>VLOOKUP(A98,'Production Plan'!B:S,15,FALSE)</f>
        <v>0</v>
      </c>
      <c r="C98" s="3" t="str">
        <f>VLOOKUP(A98,'Production Plan'!B:F,5,FALSE)</f>
        <v>Løsningen skal understøtte, at relationer mellem standardentiteter og Kundens egne oprettede Entiteter er aktive og navigerbare i brugergrænsefladen. 
Det skal være muligt for Brugeren at klikke på en reference til en relateret Entitet og blive ledt direkte til den pågældende Entitets indhold, metadata og tilknyttede relationer. 
Eksempelvis skal en Bruger, der står på en sag, kunne vælge et relateret Dokument og blive ledt direkte til Dokumentet og dets metadata. Hvis Dokumentet er tilknyttet en kontakt, f.eks. en Udlænding, skal Brugeren tilsvarende kunne klikke på kontakten og blive ledt til kontaktens stamdata, metadata og relaterede sager, Dokumenter eller øvrige relevante Entiteter.</v>
      </c>
    </row>
    <row r="99" spans="1:3" hidden="1">
      <c r="A99" s="3" t="str">
        <f>'Production Plan'!B99</f>
        <v>EK-3</v>
      </c>
      <c r="B99" s="3">
        <f>VLOOKUP(A99,'Production Plan'!B:S,15,FALSE)</f>
        <v>0</v>
      </c>
      <c r="C99" s="3" t="str">
        <f>VLOOKUP(A99,'Production Plan'!B:F,5,FALSE)</f>
        <v>I forbindelse med Kundens daglige anvendelse af ESDH-løsningen er det væsentligt, at brugergrænsefladen kan tilpasses den enkelte Brugers og organisationens behov, herunder ved tilpasning, filtrering og sortering af faner/widgets, felter og kolonner.
Leverandøren skal beskrive, hvordan den tilbudte ESDH-løsning understøtter tilpasning af brugergrænsefladen. 
Leverandøren skal gennem konkrete skærmbilleder demonstrere om og hvordan ESDH-løsningen understøtter de stillede krav og møder Kundens behov.
Leverandøren skal redegøre for: 
Hvordan ESDH-løsningen giver Brugeren hurtig og overskuelig adgang til relevante oplysninger i forbindelse med sagsbehandling
Hvordan Brugeren kan personalisere brugergrænsefladen f.eks. via tilpasning af kolonner på alle Entiteter og søgebilleder
Hvordan Brugeren kan personalisere visningsbilleder via filtrering og sortering
Hvilke muligheder Administratoren har for at tilpasse udstillingen af data på sager, Dokumenter og kontakter
Hvordan Administratoren kan tilpasse søgebilleder og resultatlister
Hvordan Administratoren kan konfigurere og udrulle opsætning til hele organisationen samt udvalgte teams og medarbejdere
Evalueringskriterier:
Det vægtes positivt, i hvor høj grad Brugeren kan personalisere brugergrænsefladen til egne behov f.eks. tilpasning af kolonner i alle visningsbilleder.
Det vægtes positivt, i hvor høj grad Administratoren kan tilpasse brugergrænsefladen på alle Entiteter, visningsbilleder, resultatlister og søgebilleder f.eks. tilpasning af kolonner, filtreringer og placering af felter.
Det vægtes positivt, i hvor høj grad Administratoren kan udrulle opsætninger og tilpasninger på flere organisatoriske niveauer samt at Administratoren kan begrænse muligheden for bruger-personalisering af den udrullede opsætning. 
Det vægtes positivt, i hvor høj grad Administratoren kan tilføje og fjerne både standardfelter og Kundeoprettede felter fra alle Entiteters visnings- og søgebilleder.</v>
      </c>
    </row>
    <row r="100" spans="1:3" hidden="1">
      <c r="A100" s="3" t="str">
        <f>'Production Plan'!B100</f>
        <v>MK-89</v>
      </c>
      <c r="B100" s="3">
        <f>VLOOKUP(A100,'Production Plan'!B:S,15,FALSE)</f>
        <v>0</v>
      </c>
      <c r="C100" s="3" t="str">
        <f>VLOOKUP(A100,'Production Plan'!B:F,5,FALSE)</f>
        <v>ESDH-løsningen skal understøtte oprettelse og behandling af aktindsigter som sagstyper i ESDH-løsningen i henhold til både Forvaltningsloven og Offentlighedsloven.</v>
      </c>
    </row>
    <row r="101" spans="1:3" hidden="1">
      <c r="A101" s="3" t="str">
        <f>'Production Plan'!B101</f>
        <v>EK-4</v>
      </c>
      <c r="B101" s="3">
        <f>VLOOKUP(A101,'Production Plan'!B:S,15,FALSE)</f>
        <v>0</v>
      </c>
      <c r="C101" s="3" t="str">
        <f>VLOOKUP(A101,'Production Plan'!B:F,5,FALSE)</f>
        <v>I forbindelse med Kundens sagsbehandling og håndtering af aktindsigtssager er det væsentligt, at ESDH-løsningen understøtter en effektiv og overskuelig proces for udvælgelse, behandling og samling af Dokumenter til aktindsigt. 
Leverandøren skal beskrive, hvordan den tilbudte ESDH-løsning understøtter behandling af aktindsigtssager.
Leverandøren skal gennem konkrete skærmbilleder demonstrere om og hvordan ESDH-løsningen understøtter de stillede krav og møder Kundens behov.
Leverandøren skal redegøre for: 
Hvordan ESDH-løsningen understøtter fremsøgning, udvælgelse, pakning og dokumentation af relevante dagsdata til brug i aktindsigt
Hvilke muligheder der findes i ESDH-løsningen for at samle udvalgte Dokumenter i en samlet PDF-pakke, herunder manuel prioritering af dokumentrækkefølge og automatisk generering af indholdsfortegnelse
Hvordan ESDH-løsningen understøtter godkendelse af dokument-pakke til aktindsigt
Hvordan ESDH-løsningen understøtter en nem og enkel overstregning af oplysninger i Dokumenter, der skal udleveres i forbindelse med aktindsigt
Evalueringskriterier:
Det vægtes positivt, i hvor høj grad Brugeren kan samle udvalgte Filer i en enkelt PDF-Fil og vælge rækkefølgen på Filer f.eks. via drag and drop funktionalitet.
Det vægtes positivt, i hvor høj grad ESDH-løsningen automatisk generer en indholdsfortegnelse ved oprettelse af samlede PDF-pakker.
Det vægtes positivt, i hvor høj grad Brugeren intuitivt kan markere Dokumenter som imødekommet, delvist imødekommet eller ikke taget med.
Det vægtes positivt, at ESDH-løsningen understøtter muligheden for at opdele PDF-generering i flere Filer med maksimumstørrelse pr. Fil.</v>
      </c>
    </row>
    <row r="102" spans="1:3" hidden="1">
      <c r="A102" s="3" t="str">
        <f>'Production Plan'!B102</f>
        <v>MK-90</v>
      </c>
      <c r="B102" s="3">
        <f>VLOOKUP(A102,'Production Plan'!B:S,15,FALSE)</f>
        <v>0</v>
      </c>
      <c r="C102" s="3" t="str">
        <f>VLOOKUP(A102,'Production Plan'!B:F,5,FALSE)</f>
        <v>ESDH-løsningen skal understøtte, at der kan sendes en eller flere Filer i godkendelsesflows til en eller flere modtagere, enten sekventielt, parallelt eller som en kombination af begge.</v>
      </c>
    </row>
    <row r="103" spans="1:3" hidden="1">
      <c r="A103" s="3" t="str">
        <f>'Production Plan'!B103</f>
        <v>MK-91</v>
      </c>
      <c r="B103" s="3">
        <f>VLOOKUP(A103,'Production Plan'!B:S,15,FALSE)</f>
        <v>0</v>
      </c>
      <c r="C103" s="3" t="str">
        <f>VLOOKUP(A103,'Production Plan'!B:F,5,FALSE)</f>
        <v>ESDH-løsningen skal understøtte forskellige statusser i godkendelsesflowet.</v>
      </c>
    </row>
    <row r="104" spans="1:3" hidden="1">
      <c r="A104" s="3" t="str">
        <f>'Production Plan'!B104</f>
        <v>MK-92</v>
      </c>
      <c r="B104" s="3">
        <f>VLOOKUP(A104,'Production Plan'!B:S,15,FALSE)</f>
        <v>0</v>
      </c>
      <c r="C104" s="3" t="str">
        <f>VLOOKUP(A104,'Production Plan'!B:F,5,FALSE)</f>
        <v>ESDH-løsningen skal understøtte, at Brugeren, der har initieret godkendelsen eller det aktive godkendelsesled, kan tilføje flere godkendelsesled. Tilføjelse af godkendelsesled må ikke medføre, at de øvrige godkendelsesled bliver ændret.</v>
      </c>
    </row>
    <row r="105" spans="1:3" hidden="1">
      <c r="A105" s="3" t="str">
        <f>'Production Plan'!B105</f>
        <v>MK-93</v>
      </c>
      <c r="B105" s="3">
        <f>VLOOKUP(A105,'Production Plan'!B:S,15,FALSE)</f>
        <v>0</v>
      </c>
      <c r="C105" s="3" t="str">
        <f>VLOOKUP(A105,'Production Plan'!B:F,5,FALSE)</f>
        <v>ESDH-løsningen skal understøtte, at det aktive godkendelsesled modtager en mailadvisering med et klikbart link til de relevante Filer i ESDH-løsningen.</v>
      </c>
    </row>
    <row r="106" spans="1:3" hidden="1">
      <c r="A106" s="3" t="str">
        <f>'Production Plan'!B106</f>
        <v>MK-94</v>
      </c>
      <c r="B106" s="3">
        <f>VLOOKUP(A106,'Production Plan'!B:S,15,FALSE)</f>
        <v>0</v>
      </c>
      <c r="C106" s="3" t="str">
        <f>VLOOKUP(A106,'Production Plan'!B:F,5,FALSE)</f>
        <v>ESDH-løsningen skal understøtte logning af alle handlinger relateret til godkendelsesflowet, f.eks. ændringer, godkendelser, tilbagesendelser og tilføjelser.</v>
      </c>
    </row>
    <row r="107" spans="1:3" hidden="1">
      <c r="A107" s="3" t="str">
        <f>'Production Plan'!B107</f>
        <v>MK-95</v>
      </c>
      <c r="B107" s="3">
        <f>VLOOKUP(A107,'Production Plan'!B:S,15,FALSE)</f>
        <v>0</v>
      </c>
      <c r="C107" s="3" t="str">
        <f>VLOOKUP(A107,'Production Plan'!B:F,5,FALSE)</f>
        <v>ESDH-løsningen skal understøtte, at der kan sendes en eller flere Filer i høringsflow til en eller flere modtagere parallelt.</v>
      </c>
    </row>
    <row r="108" spans="1:3" hidden="1">
      <c r="A108" s="3" t="str">
        <f>'Production Plan'!B108</f>
        <v>MK-96</v>
      </c>
      <c r="B108" s="3">
        <f>VLOOKUP(A108,'Production Plan'!B:S,15,FALSE)</f>
        <v>0</v>
      </c>
      <c r="C108" s="3" t="str">
        <f>VLOOKUP(A108,'Production Plan'!B:F,5,FALSE)</f>
        <v>ESDH-løsningen skal understøtte forskellige statusser i høringsflowet.</v>
      </c>
    </row>
    <row r="109" spans="1:3" hidden="1">
      <c r="A109" s="3" t="str">
        <f>'Production Plan'!B109</f>
        <v>MK-97</v>
      </c>
      <c r="B109" s="3">
        <f>VLOOKUP(A109,'Production Plan'!B:S,15,FALSE)</f>
        <v>0</v>
      </c>
      <c r="C109" s="3" t="str">
        <f>VLOOKUP(A109,'Production Plan'!B:F,5,FALSE)</f>
        <v>ESDH-løsningen skal understøtte, at de aktive høringsdeltagere modtager en mailadvisering med et klikbart link til relevante Filer i ESDH-løsningen.</v>
      </c>
    </row>
    <row r="110" spans="1:3" hidden="1">
      <c r="A110" s="3" t="str">
        <f>'Production Plan'!B110</f>
        <v>MK-98</v>
      </c>
      <c r="B110" s="3">
        <f>VLOOKUP(A110,'Production Plan'!B:S,15,FALSE)</f>
        <v>0</v>
      </c>
      <c r="C110" s="3" t="str">
        <f>VLOOKUP(A110,'Production Plan'!B:F,5,FALSE)</f>
        <v>ESDH-løsningen skal understøtte logning af alle handlinger relateret til høringsflowet.</v>
      </c>
    </row>
    <row r="111" spans="1:3" hidden="1">
      <c r="A111" s="3" t="str">
        <f>'Production Plan'!B111</f>
        <v>MK-99</v>
      </c>
      <c r="B111" s="3" t="str">
        <f>VLOOKUP(A111,'Production Plan'!B:S,15,FALSE)</f>
        <v>ADN ”automatisk dannes” sker ikke. vi har muligheden for manuelt at gøre dette. - Vores workflowrapport løser måske behovet, men produceres ikke automatisk.
Risk</v>
      </c>
      <c r="C111" s="3" t="str">
        <f>VLOOKUP(A111,'Production Plan'!B:F,5,FALSE)</f>
        <v>ESDH-løsningen skal understøtte, at der automatisk dannes et Dokument med en tilknyttet Fil, hvortil historikken af godkendelsesflowet er dokumenteret.</v>
      </c>
    </row>
    <row r="112" spans="1:3" hidden="1">
      <c r="A112" s="3" t="str">
        <f>'Production Plan'!B112</f>
        <v>MK-100</v>
      </c>
      <c r="B112" s="3" t="str">
        <f>VLOOKUP(A112,'Production Plan'!B:S,15,FALSE)</f>
        <v>ADN ”automatisk dannes” sker ikke. vi har muligheden for manuelt at gøre dette. - Vores workflowrapport løser måske behovet, men produceres ikke automatisk.
RISK</v>
      </c>
      <c r="C112" s="3" t="str">
        <f>VLOOKUP(A112,'Production Plan'!B:F,5,FALSE)</f>
        <v>ESDH-løsningen skal understøtte, at der automatisk dannes et Dokument med en tilknyttet Fil, hvortil historikken af høringsflowet er dokumenteret.</v>
      </c>
    </row>
    <row r="113" spans="1:3" hidden="1">
      <c r="A113" s="3" t="str">
        <f>'Production Plan'!B113</f>
        <v>MK-101</v>
      </c>
      <c r="B113" s="3">
        <f>VLOOKUP(A113,'Production Plan'!B:S,15,FALSE)</f>
        <v>0</v>
      </c>
      <c r="C113" s="3" t="str">
        <f>VLOOKUP(A113,'Production Plan'!B:F,5,FALSE)</f>
        <v>ESDH-løsningen skal understøtte et fuldstændigt overblik over alle igangværende og planlagte opgaver, som er tildelt en specifik Bruger eller afdeling/team eller er knyttet til en specifik sag.</v>
      </c>
    </row>
    <row r="114" spans="1:3" hidden="1">
      <c r="A114" s="3" t="str">
        <f>'Production Plan'!B114</f>
        <v>MK-102</v>
      </c>
      <c r="B114" s="3" t="str">
        <f>VLOOKUP(A114,'Production Plan'!B:S,15,FALSE)</f>
        <v xml:space="preserve">ADN: Jeg bryder mig ikke om denne formulering - er bekymret for at den kan bruges imod os i en implementering
Hvad vil det sige at "konfigurere notifikation fleksibelt ift. deadline og status"?
Hvis vi nu tolker "Frister" Hårdt, til kun at gælde vores aktivitetstype "Frist" så kan vi vel faktisk overholde det her, og næste krav? Argumentet er at alle andre i løsningen er "Forfaldsdatoer, men ikke frister"... </v>
      </c>
      <c r="C114" s="3" t="str">
        <f>VLOOKUP(A114,'Production Plan'!B:F,5,FALSE)</f>
        <v>ESDH-løsningen skal understøtte friststyring, hvor den ansvarlige Bruger for en opgave kan opsætte individuelle frister. Det skal være muligt at konfigurere notifikationerne fleksibelt i forhold til både opgavens deadline og status.</v>
      </c>
    </row>
    <row r="115" spans="1:3" hidden="1">
      <c r="A115" s="3" t="str">
        <f>'Production Plan'!B115</f>
        <v>MK-103</v>
      </c>
      <c r="B115" s="3" t="str">
        <f>VLOOKUP(A115,'Production Plan'!B:S,15,FALSE)</f>
        <v>ADN Jeg bryder mig ikke om denne formulering - er bekymret for at den kan bruges imod os i en implementering
Hvad vil det sige at "konfigurere notifikation fleksibelt ift. deadline og status"?
HFR: Mindre udvikling - Product first</v>
      </c>
      <c r="C115" s="3" t="str">
        <f>VLOOKUP(A115,'Production Plan'!B:F,5,FALSE)</f>
        <v>ESDH-løsningen skal understøtte, at enhver opgave i ESDH-løsningen altid skal have en angivet ansvarlig, og at denne ansvarlige Bruger skal kunne opsætte individuelle notifikationer for hver opgave. Det skal være muligt at konfigurere notifikationer fleksibelt i forhold til opgavens deadline og status.</v>
      </c>
    </row>
    <row r="116" spans="1:3" hidden="1">
      <c r="A116" s="3" t="str">
        <f>'Production Plan'!B116</f>
        <v>MK-104</v>
      </c>
      <c r="B116" s="3">
        <f>VLOOKUP(A116,'Production Plan'!B:S,15,FALSE)</f>
        <v>0</v>
      </c>
      <c r="C116" s="3" t="str">
        <f>VLOOKUP(A116,'Production Plan'!B:F,5,FALSE)</f>
        <v>ESDH-løsningen skal understøtte notifikationer, når en frist nærmer sig eller overskrides.</v>
      </c>
    </row>
    <row r="117" spans="1:3" hidden="1">
      <c r="A117" s="3" t="str">
        <f>'Production Plan'!B117</f>
        <v>K-8</v>
      </c>
      <c r="B117" s="3">
        <f>VLOOKUP(A117,'Production Plan'!B:S,15,FALSE)</f>
        <v>0</v>
      </c>
      <c r="C117" s="3" t="str">
        <f>VLOOKUP(A117,'Production Plan'!B:F,5,FALSE)</f>
        <v>ESDH-løsningen skal understøtte, at Brugere kan vælge at modtage notifikationer om handlinger, godkendelser, anmodninger om akter, frister og ændringer på relevante sager. Den enkelte Bruger skal selv kunne vælge notifikationskanal, eksempelvis systemnotifikationer eller e-mail.</v>
      </c>
    </row>
    <row r="118" spans="1:3" hidden="1">
      <c r="A118" s="3" t="str">
        <f>'Production Plan'!B118</f>
        <v>MK-105</v>
      </c>
      <c r="B118" s="3" t="str">
        <f>VLOOKUP(A118,'Production Plan'!B:S,15,FALSE)</f>
        <v>"Hele løsningen" - men nu når processer ikke er en del af det her udbud, så er det jo ligegyldigt at dele af processerne stadig vedligeholdes i Visual Studio</v>
      </c>
      <c r="C118" s="3" t="str">
        <f>VLOOKUP(A118,'Production Plan'!B:F,5,FALSE)</f>
        <v>ESDH-løsningen skal understøtte et administratormodul, hvor hele ESDH-løsningen kan administreres.</v>
      </c>
    </row>
    <row r="119" spans="1:3" hidden="1">
      <c r="A119" s="3" t="str">
        <f>'Production Plan'!B119</f>
        <v>MK-106</v>
      </c>
      <c r="B119" s="3">
        <f>VLOOKUP(A119,'Production Plan'!B:S,15,FALSE)</f>
        <v>0</v>
      </c>
      <c r="C119" s="3" t="str">
        <f>VLOOKUP(A119,'Production Plan'!B:F,5,FALSE)</f>
        <v>ESDH-løsningen skal understøtte, at følgende metadatafelter kan konfigureres i administratormodulet:
Kodetabelfelter. 
Datofelter
Tekstfelter
Talfelter
Typer</v>
      </c>
    </row>
    <row r="120" spans="1:3" hidden="1">
      <c r="A120" s="3" t="str">
        <f>'Production Plan'!B120</f>
        <v>MK-107</v>
      </c>
      <c r="B120" s="3" t="str">
        <f>VLOOKUP(A120,'Production Plan'!B:S,15,FALSE)</f>
        <v>ADN: Kunden har ikke defineret hvad "Administratormodulet" er - så vi kan tolke det bredt til "Administratorrettigheder" og dermed opfylde kravet.</v>
      </c>
      <c r="C120" s="3" t="str">
        <f>VLOOKUP(A120,'Production Plan'!B:F,5,FALSE)</f>
        <v>ESDH-løsningen skal understøtte, at Kunden via administratormodulet kan oprette, ændre og deaktivere organisationshierarkiet i ESDH-løsningen.</v>
      </c>
    </row>
    <row r="121" spans="1:3" hidden="1">
      <c r="A121" s="3" t="str">
        <f>'Production Plan'!B121</f>
        <v>MK-108</v>
      </c>
      <c r="B121" s="3">
        <f>VLOOKUP(A121,'Production Plan'!B:S,15,FALSE)</f>
        <v>0</v>
      </c>
      <c r="C121" s="3" t="str">
        <f>VLOOKUP(A121,'Production Plan'!B:F,5,FALSE)</f>
        <v>ESDH-løsningen skal understøtte, at Kunden via administratormodulet kan konfigurere, hvilke filformater der må gemmes i ESDH-løsningen, så uønskede formater afvises ved forsøg på upload.</v>
      </c>
    </row>
    <row r="122" spans="1:3" hidden="1">
      <c r="A122" s="3" t="str">
        <f>'Production Plan'!B122</f>
        <v>MK-109</v>
      </c>
      <c r="B122" s="3">
        <f>VLOOKUP(A122,'Production Plan'!B:S,15,FALSE)</f>
        <v>0</v>
      </c>
      <c r="C122" s="3" t="str">
        <f>VLOOKUP(A122,'Production Plan'!B:F,5,FALSE)</f>
        <v>ESDH-løsningen skal understøtte, at Administrator via no-code kan oprette og vedligeholde Kundeoprettede felter på både standard- og Kundeoprettede Entiteter.</v>
      </c>
    </row>
    <row r="123" spans="1:3" hidden="1">
      <c r="A123" s="3" t="str">
        <f>'Production Plan'!B123</f>
        <v>MK-110</v>
      </c>
      <c r="B123" s="3">
        <f>VLOOKUP(A123,'Production Plan'!B:S,15,FALSE)</f>
        <v>0</v>
      </c>
      <c r="C123" s="3" t="str">
        <f>VLOOKUP(A123,'Production Plan'!B:F,5,FALSE)</f>
        <v>ESDH-løsningen skal understøtte Konfiguration via en fuldskærmsbaseret brugergrænseflade.</v>
      </c>
    </row>
    <row r="124" spans="1:3" hidden="1">
      <c r="A124" s="3" t="str">
        <f>'Production Plan'!B124</f>
        <v>MK-111</v>
      </c>
      <c r="B124" s="3" t="str">
        <f>VLOOKUP(A124,'Production Plan'!B:S,15,FALSE)</f>
        <v>ADN: Det her har historisk givet problemer hvis kunden konfigurerede videre på standard-elementer.</v>
      </c>
      <c r="C124" s="3" t="str">
        <f>VLOOKUP(A124,'Production Plan'!B:F,5,FALSE)</f>
        <v>ESDH-løsningen skal understøtte, at alle Konfigurationer bevares ved systemopdateringer eller opgraderinger.</v>
      </c>
    </row>
    <row r="125" spans="1:3" hidden="1">
      <c r="A125" s="3" t="str">
        <f>'Production Plan'!B125</f>
        <v>MK-112</v>
      </c>
      <c r="B125" s="3">
        <f>VLOOKUP(A125,'Production Plan'!B:S,15,FALSE)</f>
        <v>0</v>
      </c>
      <c r="C125" s="3" t="str">
        <f>VLOOKUP(A125,'Production Plan'!B:F,5,FALSE)</f>
        <v>ESDH-løsningens administratormodul skal understøtte fuld no-code funktionalitet.</v>
      </c>
    </row>
    <row r="126" spans="1:3" hidden="1">
      <c r="A126" s="3" t="str">
        <f>'Production Plan'!B126</f>
        <v>MK-113</v>
      </c>
      <c r="B126" s="3" t="str">
        <f>VLOOKUP(A126,'Production Plan'!B:S,15,FALSE)</f>
        <v>ADN: "Alle tekstfelter" hvilket betyder alle felter i løsningen skal kunne indeholde 3500 anslag.
RISK - Kontakt Willy Koch</v>
      </c>
      <c r="C126" s="3" t="str">
        <f>VLOOKUP(A126,'Production Plan'!B:F,5,FALSE)</f>
        <v>ESDH-løsningen skal understøtte, at tekstfelters længde som minimum kan indeholde 3500 karakterer for indtastningen af den fulde tekst f.eks. kommentarfelter og øvrige fritekst-felter i Løsningen.</v>
      </c>
    </row>
    <row r="127" spans="1:3" hidden="1">
      <c r="A127" s="3" t="str">
        <f>'Production Plan'!B127</f>
        <v>MK-114</v>
      </c>
      <c r="B127" s="3">
        <f>VLOOKUP(A127,'Production Plan'!B:S,15,FALSE)</f>
        <v>0</v>
      </c>
      <c r="C127" s="3" t="str">
        <f>VLOOKUP(A127,'Production Plan'!B:F,5,FALSE)</f>
        <v>ESDH-løsningen skal understøtte, at Administrator kan oprette, ændre og administrere partsroller.</v>
      </c>
    </row>
    <row r="128" spans="1:3" hidden="1">
      <c r="A128" s="3" t="str">
        <f>'Production Plan'!B128</f>
        <v>MK-115</v>
      </c>
      <c r="B128" s="3">
        <f>VLOOKUP(A128,'Production Plan'!B:S,15,FALSE)</f>
        <v>0</v>
      </c>
      <c r="C128" s="3" t="str">
        <f>VLOOKUP(A128,'Production Plan'!B:F,5,FALSE)</f>
        <v>ESDH-løsningen skal understøtte, at Administrator kan oprette og vedligeholde journalplanen, handlingsfacetter og emneordslister.</v>
      </c>
    </row>
    <row r="129" spans="1:3" hidden="1">
      <c r="A129" s="3" t="str">
        <f>'Production Plan'!B129</f>
        <v>MK-116</v>
      </c>
      <c r="B129" s="3">
        <f>VLOOKUP(A129,'Production Plan'!B:S,15,FALSE)</f>
        <v>0</v>
      </c>
      <c r="C129" s="3" t="str">
        <f>VLOOKUP(A129,'Production Plan'!B:F,5,FALSE)</f>
        <v>ESDH-løsningen skal understøtte, at Administrator kan konfigurere journalplanen med færre end tre niveauer.</v>
      </c>
    </row>
    <row r="130" spans="1:3" hidden="1">
      <c r="A130" s="3" t="str">
        <f>'Production Plan'!B130</f>
        <v>MK-117</v>
      </c>
      <c r="B130" s="3">
        <f>VLOOKUP(A130,'Production Plan'!B:S,15,FALSE)</f>
        <v>0</v>
      </c>
      <c r="C130" s="3" t="str">
        <f>VLOOKUP(A130,'Production Plan'!B:F,5,FALSE)</f>
        <v>ESDH-løsningen skal understøtte, at Administrator kan konfigurere slettepolitikker, bevaringskoder og klassifikationskoder.</v>
      </c>
    </row>
    <row r="131" spans="1:3" hidden="1">
      <c r="A131" s="3" t="str">
        <f>'Production Plan'!B131</f>
        <v>MK-118</v>
      </c>
      <c r="B131" s="3" t="str">
        <f>VLOOKUP(A131,'Production Plan'!B:S,15,FALSE)</f>
        <v>ADN: Insane requirement without limits and for eternal enterpretation.. "Brugergrænseflade" is not defined in the deffinitions.
HFR: NO GO for bud</v>
      </c>
      <c r="C131" s="3" t="str">
        <f>VLOOKUP(A131,'Production Plan'!B:F,5,FALSE)</f>
        <v>ESDH-løsningen skal understøtte, at Administrator kan konfigurere hele ESDH-løsningens brugergrænseflade.</v>
      </c>
    </row>
    <row r="132" spans="1:3" hidden="1">
      <c r="A132" s="3" t="str">
        <f>'Production Plan'!B132</f>
        <v>MK-119</v>
      </c>
      <c r="B132" s="3" t="str">
        <f>VLOOKUP(A132,'Production Plan'!B:S,15,FALSE)</f>
        <v>MJ: kontakt kategori  Alternativ er object type</v>
      </c>
      <c r="C132" s="3" t="str">
        <f>VLOOKUP(A132,'Production Plan'!B:F,5,FALSE)</f>
        <v>ESDH-løsningen skal understøtte, at Administrator kan konfigurere og vedligeholde alle sags- og kontakttyper.</v>
      </c>
    </row>
    <row r="133" spans="1:3" hidden="1">
      <c r="A133" s="3" t="str">
        <f>'Production Plan'!B133</f>
        <v>MK-120</v>
      </c>
      <c r="B133" s="3" t="str">
        <f>VLOOKUP(A133,'Production Plan'!B:S,15,FALSE)</f>
        <v>MJ: Kan vi gøre dette I admin? Ligner comm</v>
      </c>
      <c r="C133" s="3" t="str">
        <f>VLOOKUP(A133,'Production Plan'!B:F,5,FALSE)</f>
        <v>ESDH-løsningen skal understøtte, at Administrator kan konfigurere sagsnummerformatet.</v>
      </c>
    </row>
    <row r="134" spans="1:3" hidden="1">
      <c r="A134" s="3" t="str">
        <f>'Production Plan'!B134</f>
        <v>MK-121</v>
      </c>
      <c r="B134" s="3" t="str">
        <f>VLOOKUP(A134,'Production Plan'!B:S,15,FALSE)</f>
        <v>Adn: We got commitment for FFUI contacts in KUM tender</v>
      </c>
      <c r="C134" s="3" t="str">
        <f>VLOOKUP(A134,'Production Plan'!B:F,5,FALSE)</f>
        <v>ESDH-løsningen skal understøtte, at Administrator kan oprette, konfigurere og vedligeholde egne sags- og kontakttyper.</v>
      </c>
    </row>
    <row r="135" spans="1:3" hidden="1">
      <c r="A135" s="3" t="str">
        <f>'Production Plan'!B135</f>
        <v>MK-122</v>
      </c>
      <c r="B135" s="3" t="str">
        <f>VLOOKUP(A135,'Production Plan'!B:S,15,FALSE)</f>
        <v>ADN: Configure custom field og "frist" called fristtype 
MJ: Måske holde fast I at frister er tiljnyttede aktiviteter. Det er også det som anvendes I Flowl.</v>
      </c>
      <c r="C135" s="3" t="str">
        <f>VLOOKUP(A135,'Production Plan'!B:F,5,FALSE)</f>
        <v>ESDH-løsningen skal understøtte, at Administrator kan oprette og vedligeholde fristtyper på sager.</v>
      </c>
    </row>
    <row r="136" spans="1:3" hidden="1">
      <c r="A136" s="3" t="str">
        <f>'Production Plan'!B136</f>
        <v>MK-123</v>
      </c>
      <c r="B136" s="3">
        <f>VLOOKUP(A136,'Production Plan'!B:S,15,FALSE)</f>
        <v>0</v>
      </c>
      <c r="C136" s="3" t="str">
        <f>VLOOKUP(A136,'Production Plan'!B:F,5,FALSE)</f>
        <v>ESDH-løsningen skal understøtte, at Administrator kan generere rapporter over Brugeres adgangsrettigheder.</v>
      </c>
    </row>
    <row r="137" spans="1:3" hidden="1">
      <c r="A137" s="3" t="str">
        <f>'Production Plan'!B137</f>
        <v>MK-124</v>
      </c>
      <c r="B137" s="3" t="str">
        <f>VLOOKUP(A137,'Production Plan'!B:S,15,FALSE)</f>
        <v>ADN: Could a unique ID be the title?
HFR: Systemet understøtter at felter automatisk får et unikt ID. (RISK)</v>
      </c>
      <c r="C137" s="3" t="str">
        <f>VLOOKUP(A137,'Production Plan'!B:F,5,FALSE)</f>
        <v>ESDH-løsningen skal understøtte, at Administrator kan definere unikke ID'er til Kundeoprettede felter, værdilister, tabeller og Entiteter.</v>
      </c>
    </row>
    <row r="138" spans="1:3" hidden="1">
      <c r="A138" s="3" t="str">
        <f>'Production Plan'!B138</f>
        <v>K-9</v>
      </c>
      <c r="B138" s="3" t="str">
        <f>VLOOKUP(A138,'Production Plan'!B:S,15,FALSE)</f>
        <v xml:space="preserve">ADN: Could a unique ID be the title?
TAO:Jeg læser blot at man skal kunne angive id og værdi i samme billede, ikke samme felt. Så ok for kodetabeller osv.
HFR: Spørgsmål til Ordregiver ift. Hvad behovet er. </v>
      </c>
      <c r="C138" s="3" t="str">
        <f>VLOOKUP(A138,'Production Plan'!B:F,5,FALSE)</f>
        <v>ESDH-løsningen skal understøtte, at Kunden ved oprettelse af egne Kundeoprettede felter, værdilister og tabeller kan angive ID og navngivning i ét og samme oprettelsesbillede.</v>
      </c>
    </row>
    <row r="139" spans="1:3" hidden="1">
      <c r="A139" s="3" t="str">
        <f>'Production Plan'!B139</f>
        <v>K-10</v>
      </c>
      <c r="B139" s="3" t="str">
        <f>VLOOKUP(A139,'Production Plan'!B:S,15,FALSE)</f>
        <v xml:space="preserve">ADN: with FFUI on cases - i can based on the archive (part of the journalplan) set an accessgroup and thereby control access. Is that enough to say yes?
HFR: Process based classification. Undersøg om adgangsgrupper kan bruges i journalplan - product first request. </v>
      </c>
      <c r="C139" s="3" t="str">
        <f>VLOOKUP(A139,'Production Plan'!B:F,5,FALSE)</f>
        <v>ESDH-løsningen skal understøtte, at en Administrator kan tilknytte fast metadata til journalplanen i form af adgangsgrupper og adgangsbegrænsning, når der vælges en foruddefineret journalplansværdi.</v>
      </c>
    </row>
    <row r="140" spans="1:3" hidden="1">
      <c r="A140" s="3" t="str">
        <f>'Production Plan'!B140</f>
        <v>K-11</v>
      </c>
      <c r="B140" s="3" t="str">
        <f>VLOOKUP(A140,'Production Plan'!B:S,15,FALSE)</f>
        <v xml:space="preserve">ADN: We dont have that. "Import/Eksort UI".
HFR: Der findes et commitment needed på denne på denne. Verificér DEV-OPS: https://dev.azure.com/tieto-si/360/_workitems/edit/408184 
Verificeres af Villy Koch
</v>
      </c>
      <c r="C140" s="3" t="str">
        <f>VLOOKUP(A140,'Production Plan'!B:F,5,FALSE)</f>
        <v>ESDH-løsningen skal understøtte, at Kundens Konfiguration af brugergrænsefladen kan eksporteres og importeres på tværs af Kundens it-miljøer (f.eks. fra et test- eller udviklingsmiljø til pre-produktions- og produktionsmiljøet).</v>
      </c>
    </row>
    <row r="141" spans="1:3" hidden="1">
      <c r="A141" s="3" t="str">
        <f>'Production Plan'!B141</f>
        <v>K-12</v>
      </c>
      <c r="B141" s="3" t="str">
        <f>VLOOKUP(A141,'Production Plan'!B:S,15,FALSE)</f>
        <v>ADN: We dont have that "Import/Export webadmin".
HFR: Der findes et commitment needed på denne på denne. Verificér DEV-OPS: https://dev.azure.com/tieto-si/360/_workitems/edit/408184</v>
      </c>
      <c r="C141" s="3" t="str">
        <f>VLOOKUP(A141,'Production Plan'!B:F,5,FALSE)</f>
        <v>ESDH-løsningen skal understøtte, at Kundens Konfiguration fra administratormodulet kan eksporteres og importeres på tværs af Kundens it-miljøer (f.eks. fra et test- eller udviklingsmiljø til pre-produktions- og produktionsmiljøet).</v>
      </c>
    </row>
    <row r="142" spans="1:3" hidden="1">
      <c r="A142" s="3" t="str">
        <f>'Production Plan'!B142</f>
        <v>K-13</v>
      </c>
      <c r="B142" s="3">
        <f>VLOOKUP(A142,'Production Plan'!B:S,15,FALSE)</f>
        <v>0</v>
      </c>
      <c r="C142" s="3" t="str">
        <f>VLOOKUP(A142,'Production Plan'!B:F,5,FALSE)</f>
        <v>ESDH-løsningen skal understøtte, at Løsningens tilknyttede moduler kan administreres i Løsningens administratormodul i form af opsætning og vedligeholdelse.</v>
      </c>
    </row>
    <row r="143" spans="1:3" hidden="1">
      <c r="A143" s="3" t="str">
        <f>'Production Plan'!B143</f>
        <v>K-14</v>
      </c>
      <c r="B143" s="3" t="str">
        <f>VLOOKUP(A143,'Production Plan'!B:S,15,FALSE)</f>
        <v>ADN: We dont have that. - i dont understand why they want it.
HFR: Spørgsmål</v>
      </c>
      <c r="C143" s="3" t="str">
        <f>VLOOKUP(A143,'Production Plan'!B:F,5,FALSE)</f>
        <v>ESDH-løsningen skal understøtte, at en Administrator kan opsætte visning af datoformatet i Løsningen.</v>
      </c>
    </row>
    <row r="144" spans="1:3" hidden="1">
      <c r="A144" s="3" t="str">
        <f>'Production Plan'!B144</f>
        <v>EK-5</v>
      </c>
      <c r="B144" s="3">
        <f>VLOOKUP(A144,'Production Plan'!B:S,15,FALSE)</f>
        <v>0</v>
      </c>
      <c r="C144" s="3" t="str">
        <f>VLOOKUP(A144,'Production Plan'!B:F,5,FALSE)</f>
        <v>For at understøtte Kundens administration af ESDH-løsningen er det væsentligt, at Administrator kan administrere ESDH-løsningens standardfunktionalitet samt Kundeoprettede Entiteter via no-code.
Leverandøren skal beskrive, hvordan den tilbudte ESDH-løsning understøtter administration via administratormodul.
Leverandøren skal gennem konkrete skærmbilleder demonstrere om og hvordan ESDH-løsningen understøtter de stillede krav og møder Kundens behov.
Leverandøren skal redegøre for: 
Opbygningen af administratormodulet
Hvilke muligheder Administratoren har for at angive navngivning og unik kode i forbindelse med oprettelsen af f.eks. et metadatafelt 
Hvordan Administratorer kan vedligeholde og foretage ændringer samt tilføjelser i alle tabeller og værdilister
Hvordan Administratorer kan opsætte regler og valideringer
Hvordan Administratorer kan opsætte ikoner i ESDH-løsningen til brug i Konfiguration i ESDH-løsningens brugergrænseflade
Hvordan Administratorer kan oprette og vedligeholde Brugere og deres adgange via administratormodulet
Hvordan ESDH-løsningen administratormodul understøtter systembeskeder, der kan vises i brugergrænsefladen
Hvilke datafelter en Administrator kan oprette via administratormodulet
Hvordan Administrator kan oprette og vedligeholde journalplan via administratormodul
Hvordan Administrator kan lave nye sagstyper, dokumenttyper og kontakttyper i administratormodulet
Hvordan Administrator kan lave nye sagsparter, dokumentparter i administratormodulet
Hvordan en Administrator kan oprette egne krydsreferencer
Hvordan Administrator kan oprette og vedligeholde partsroller på sags- og dokumentniveau
Hvordan Administrator kan oprette og vedligeholde både standard noter og nye notetyper på sags-, dokument- og kontaktniveau
Evalueringskriterier:
Det vægtes positivt, i hvor høj grad administratormodulet er opbygget på en intuitiv og brugervenlig måde, hvor Administrator på en let, nem og ensartet måde kan udføre sine opgaver. 
Det vægtes positivt, i hvor høj grad Administratoren kan oprette, vedligeholde og foretage ændringer til alle Entiteter, tabeller og værdilister. 
Det vægtes positivt, i hvor høj grad der i administratormodulet kan oprettes flere datafelter f.eks. kodetabelfelter, datofelter, tekstfelter, talfelter og fritekstfelter.
Det vægtes positivt, i hvor høj grad der i administratormodulet kan oprettes nye sagstyper, dokumenttyper og kontakttyper samt egne Entiteter. 
Det vægtes positivt, i hvor høj grad der i administratormodulet kan oprettes nye sagsparter, dokumentparter samt, i hvor høj grad Administratoren kan omdøbe standardparter eller slette/deaktivere standardparter som ikke skal benyttes af Kunden. 
Det vægtes positivt, i hvor høj grad Administrator kan administrere opsætning af f.eks. journalplan/facetplan, valideringsregler, opsætning af forsendelseskanaler og krav hertil, godkendelsesprocesser samt general opsætning af ESDH-løsningen og dens moduler/funktioner.
Det vægtes positivt, i hvor høj grad Administrator kan oprette og administrere egne kontakthenvisninger og krydsreferencer mellem kontakter. 
Det vægtes positivt, i hvor høj grad ESDH-løsningen har standard-ikoner tilgængelig i administratormodulet.
Det vægtes positivt, i hvor høj grad ESDH-løsningen understøtter oprettelse og vedligeholdelse af standard-ikoner og Kundeoprettet ikoner.
Det vægtes positivt, i hvor høj grad ESDH-løsningen understøtter, at ikoner kan benyttes til validering, således at ikoner kan ændre sig ud fra metadata.
Det vægtes positivt, i hvor høj grad Administrator kan opsætte valideringsregler for, hvilke ikoner som skal benyttes for en sag, og at ikoner på sagen ændres ud fra sagens tilstand.</v>
      </c>
    </row>
    <row r="145" spans="1:3" hidden="1">
      <c r="A145" s="3" t="str">
        <f>'Production Plan'!B145</f>
        <v>EK-6</v>
      </c>
      <c r="B145" s="3">
        <f>VLOOKUP(A145,'Production Plan'!B:S,15,FALSE)</f>
        <v>0</v>
      </c>
      <c r="C145" s="3" t="str">
        <f>VLOOKUP(A145,'Production Plan'!B:F,5,FALSE)</f>
        <v>Leverandøren skal beskrive, om og hvordan den tilbudte ESDH-løsning understøtter Konfiguration og udvidelse af Løsningens Datamodel/objektmodel via en administrativ brugergrænseflade.
Leverandøren skal redegøre for: 
Hvordan Administratorer kan tilføje og vedligeholde metadata på Løsningens standardentiteter, herunder Dokument, sag og kontakt
Hvordan Administratorer kan oprette nye Entiteter/objekttyper med tilhørende metadatafelter, felttyper, valideringsregler, klassifikationer og eventuelle statusmodeller
Hvordan der kan oprettes og vedligeholdes relationer mellem både standardentiteter og nye Entiteter
Hvordan nye Entiteter og metadata kan gøres tilgængelige i sagsbehandlerens brugergrænseflade gennem Konfiguration af skærmbilleder, formularer, visninger, søgning, lister og rettighedsstyring
Hvordan nye Entiteter, metadata og relationer eksponeres gennem Løsningens standard ESDH-integrations-API, herunder om API’et automatisk afspejler konfigurerede udvidelser, eller om dette kræver særskilt udvikling, tilpasning eller leverandørbistand
Hvordan ændringer i Datamodellen håndteres over tid, herunder versionering, migrering af eksisterende data, audit/logning, test og publicering mellem miljøer
Evalueringskriterier:
Det vægtes positivt, i hvor høj grad Løsningen understøtter, at en Administrator kan konfigurere og udvide Datamodel, metadata, relationer, brugergrænseflade og API-tilgængelighed uden kodeændringer, databaseændringer eller leverandørspecifik udvikling.
Det vægtes positivt, i hvor høj grad nye Entiteter, metadata og relationer indgår konsistent på tværs af sagsbehandlergrænseflade, søgninger, rettighedsstyring, audit, rapportering og standard ESDH-integrations-API.
Det vægtes positivt, i hvor høj grad udvidelser af Datamodellen ikke kræver specialudvikling herunder direkte databaseændringer, særskilte integrationskomponenter eller væsentlig leverandørbistand.</v>
      </c>
    </row>
    <row r="146" spans="1:3" hidden="1">
      <c r="A146" s="3" t="str">
        <f>'Production Plan'!B146</f>
        <v>EK-7</v>
      </c>
      <c r="B146" s="3">
        <f>VLOOKUP(A146,'Production Plan'!B:S,15,FALSE)</f>
        <v>0</v>
      </c>
      <c r="C146" s="3" t="str">
        <f>VLOOKUP(A146,'Production Plan'!B:F,5,FALSE)</f>
        <v>Leverandøren skal beskrive, hvordan den tilbudte ESDH-løsning understøtter Konfiguration af brugergrænsefladen. 
Leverandøren skal gennem konkrete skærmbilleder demonstrere om og hvordan ESDH-løsningen understøtter de stillede krav og møder Kundens behov.
Leverandøren skal redegøre for: 
Hvordan Administrator kan konfigurere data på sager, Dokumenter og kontakter f.eks. metadata og faner. 
Hvordan Administrator kan navngive ESDH-løsningen standardfelter og egne konfigurerede faner på sager, Dokumenter, kontakter og kolonner 
Hvordan Brugeren kan konfigurere sine egne visninger f.eks. ved at påsætte kolonner og filtre
Hvordan en Administrator kan definere, hvilke metadata, både standardfelter og egne konfigurerede felter, som bliver vist på visningsbilleder, faner, kolonner og lister. 
Evalueringskriterier:
Det vægtes positivt, i hvor høj grad Administrator kan definere, hvilke data som bliver vist på visningsbilleder på ESDH-løsningens Entiteter og på faner, kolonner og lister.
Det vægtes positivt, i hvor høj grad Brugeren selv har mulighed for at tilpasse og opsætte egen visning i brugergrænsefladen.</v>
      </c>
    </row>
    <row r="147" spans="1:3" hidden="1">
      <c r="A147" s="3" t="str">
        <f>'Production Plan'!B147</f>
        <v>EK-8</v>
      </c>
      <c r="B147" s="3">
        <f>VLOOKUP(A147,'Production Plan'!B:S,15,FALSE)</f>
        <v>0</v>
      </c>
      <c r="C147" s="3" t="str">
        <f>VLOOKUP(A147,'Production Plan'!B:F,5,FALSE)</f>
        <v>Kunden har behov for at registrere Afgørelser på sager i forbindelse med en ansøgning f.eks. familiesammenføring. 
Leverandøren skal beskrive, hvordan den tilbudte ESDH-løsning understøtter Konfiguration af Afgørelser. 
Leverandøren skal gennem konkrete skærmbilleder demonstrere om og hvordan ESDH-løsningen understøtter de stillede krav og møder Kundens behov.
Leverandøren skal redegøre for: 
Hvordan en Administrator kan oprette en Afgørelse som en Entitet i administratormodulet
Hvordan en Administrator opretter Kundeoprettede felter til afgørelsesentiteten med følgende metadata og relationer:
Metadata
Sagsnr.
Afgørelsesdato
Afgørelsesudfald 
Afgørelsesbegrundelse
Sagsområde f.eks. familiesammenføring
Ansvarligt team
Ansvarlig sagsbehandler 
Relationer til:
Afgørelsesdokument
Kontakt (ansøger)
Hvordan en Afgørelse skal registreres på en sag i brugergrænsefladen
Hvordan en Afgørelse som er registreret på en sag automatisk vises og relateres til kontakten i brugergrænsefladen
Hvordan en Afgørelse som er registreret på en sag automatisk vises og relateres til afgørelsesdokumentet
Evalueringskriterier:
Det vægtes positivt, i hvor høj grad metadata og relationer i afgørelsesmodulet kan oprettes i administratormodulet af Administrator.
Det vægtes positivt, i hvor høj grad en Afgørelse kan registreres og vises på en overskuelig måde for Brugeren på en sag i brugergrænsefladen.
Det vægtes positivt, i hvor høj grad en Afgørelse kan vises og udstilles på flere Entiteter i brugergrænsefladen. 
Det vægtes positivt, i hvor høj grad en Afgørelses relationer vises i brugergrænsefladen.
Det vægtes positivt, i hvor høj grad Brugeren kan se alle oplysninger om en Afgørelse i brugergrænsefladen ved mindst mulige klik.</v>
      </c>
    </row>
    <row r="148" spans="1:3" hidden="1">
      <c r="A148" s="3" t="str">
        <f>'Production Plan'!B148</f>
        <v>MK-125</v>
      </c>
      <c r="B148" s="3">
        <f>VLOOKUP(A148,'Production Plan'!B:S,15,FALSE)</f>
        <v>0</v>
      </c>
      <c r="C148" s="3" t="str">
        <f>VLOOKUP(A148,'Production Plan'!B:F,5,FALSE)</f>
        <v>ESDH-løsningen skal understøtte, at der kan sættes adgangsrettigheder på sager, Dokumenter og kontakter.</v>
      </c>
    </row>
    <row r="149" spans="1:3" hidden="1">
      <c r="A149" s="3" t="str">
        <f>'Production Plan'!B149</f>
        <v>MK-126</v>
      </c>
      <c r="B149" s="3" t="str">
        <f>VLOOKUP(A149,'Production Plan'!B:S,15,FALSE)</f>
        <v>ADN: Case_Accessgroup could be used - or just "Inherit accessgroup"</v>
      </c>
      <c r="C149" s="3" t="str">
        <f>VLOOKUP(A149,'Production Plan'!B:F,5,FALSE)</f>
        <v>ESDH-løsningen skal understøtte, at rettigheder fra en sag kan nedarves til sagens tilknyttede Dokumenter og Filer.</v>
      </c>
    </row>
    <row r="150" spans="1:3" hidden="1">
      <c r="A150" s="3" t="str">
        <f>'Production Plan'!B150</f>
        <v>MK-127</v>
      </c>
      <c r="B150" s="3">
        <f>VLOOKUP(A150,'Production Plan'!B:S,15,FALSE)</f>
        <v>0</v>
      </c>
      <c r="C150" s="3" t="str">
        <f>VLOOKUP(A150,'Production Plan'!B:F,5,FALSE)</f>
        <v>ESDH-løsningen skal understøtte, at adgangsrettigheden til Entiteter kan begrænses eller gøres fortrolig ad hoc af en Bruger, direkte i brugergrænsefladen.</v>
      </c>
    </row>
    <row r="151" spans="1:3" hidden="1">
      <c r="A151" s="3" t="str">
        <f>'Production Plan'!B151</f>
        <v>MK-128</v>
      </c>
      <c r="B151" s="3">
        <f>VLOOKUP(A151,'Production Plan'!B:S,15,FALSE)</f>
        <v>0</v>
      </c>
      <c r="C151" s="3" t="str">
        <f>VLOOKUP(A151,'Production Plan'!B:F,5,FALSE)</f>
        <v>ESDH-løsningen skal understøtte differentierede adgangsrettigheder på alle standard og Kundeoprettede Entiteter, så der kan tildeles rettigheder til at: 
Læse
Skrive</v>
      </c>
    </row>
    <row r="152" spans="1:3" hidden="1">
      <c r="A152" s="3" t="str">
        <f>'Production Plan'!B152</f>
        <v>MK-129</v>
      </c>
      <c r="B152" s="3">
        <f>VLOOKUP(A152,'Production Plan'!B:S,15,FALSE)</f>
        <v>0</v>
      </c>
      <c r="C152" s="3" t="str">
        <f>VLOOKUP(A152,'Production Plan'!B:F,5,FALSE)</f>
        <v>ESDH-løsningen skal understøtte, at det i brugergrænsefladen kan ses, hvilke Brugere eller adgangsgrupper, der har adgang til den konkrete sag, Dokument eller kontakt.</v>
      </c>
    </row>
    <row r="153" spans="1:3" hidden="1">
      <c r="A153" s="3" t="str">
        <f>'Production Plan'!B153</f>
        <v>MK-130</v>
      </c>
      <c r="B153" s="3">
        <f>VLOOKUP(A153,'Production Plan'!B:S,15,FALSE)</f>
        <v>0</v>
      </c>
      <c r="C153" s="3" t="str">
        <f>VLOOKUP(A153,'Production Plan'!B:F,5,FALSE)</f>
        <v>ESDH-løsningen skal understøtte, at adgangen til kontakter kan begrænses, således at udvalgte kontakter kun kan tilgås af Brugere med de nødvendige adgangsrettigheder.</v>
      </c>
    </row>
    <row r="154" spans="1:3" hidden="1">
      <c r="A154" s="3" t="str">
        <f>'Production Plan'!B154</f>
        <v>MK-131</v>
      </c>
      <c r="B154" s="3" t="str">
        <f>VLOOKUP(A154,'Production Plan'!B:S,15,FALSE)</f>
        <v xml:space="preserve">HFR: Spørgsmål vedr.om adgang til entiteter skal udvides til flere myndigheder kan tilgå disse. </v>
      </c>
      <c r="C154" s="3" t="str">
        <f>VLOOKUP(A154,'Production Plan'!B:F,5,FALSE)</f>
        <v>ESDH-løsningen skal understøtte, at sager, Dokumenter og kontakter kan oprettes med en organisatorisk adgang, så Brugere fra flere Myndigheder kan tilgå disse.</v>
      </c>
    </row>
    <row r="155" spans="1:3" hidden="1">
      <c r="A155" s="3" t="str">
        <f>'Production Plan'!B155</f>
        <v>MK-132</v>
      </c>
      <c r="B155" s="3" t="str">
        <f>VLOOKUP(A155,'Production Plan'!B:S,15,FALSE)</f>
        <v>ADN: Configure contact matrixes with ADMIN-lines</v>
      </c>
      <c r="C155" s="3" t="str">
        <f>VLOOKUP(A155,'Production Plan'!B:F,5,FALSE)</f>
        <v>ESDH-løsningen skal understøtte, at Administratoren eller en anden udvalgt Bruger har adgang til alle Entiteter oprettet i databasen uagtet påsatte adgangsrettigheder.</v>
      </c>
    </row>
    <row r="156" spans="1:3" hidden="1">
      <c r="A156" s="3" t="str">
        <f>'Production Plan'!B156</f>
        <v>MK-133</v>
      </c>
      <c r="B156" s="3" t="str">
        <f>VLOOKUP(A156,'Production Plan'!B:S,15,FALSE)</f>
        <v xml:space="preserve">ADN: We dont have that. Could we extract this information with Management Reporting API?
HFR: Product first commitment på dette. </v>
      </c>
      <c r="C156" s="3" t="str">
        <f>VLOOKUP(A156,'Production Plan'!B:F,5,FALSE)</f>
        <v>ESDH-løsningen skal understøtte udstilling af sager, Dokumenter, kontakter, der tidligere er blevet adgangsbegrænset, men hvor ingen Aktive brugere længere har adgang til Entiteten. De adgangsbegrænsede Entiteter skal udstilles på en liste til Administratoren eller anden udvalgt Bruger.</v>
      </c>
    </row>
    <row r="157" spans="1:3" hidden="1">
      <c r="A157" s="3" t="str">
        <f>'Production Plan'!B157</f>
        <v>MK-134</v>
      </c>
      <c r="B157" s="3">
        <f>VLOOKUP(A157,'Production Plan'!B:S,15,FALSE)</f>
        <v>0</v>
      </c>
      <c r="C157" s="3" t="str">
        <f>VLOOKUP(A157,'Production Plan'!B:F,5,FALSE)</f>
        <v>ESDH-løsningen skal understøtte, at der kan tildeles adgangsrettigheder til Kundeoprettede Entiteter.</v>
      </c>
    </row>
    <row r="158" spans="1:3" hidden="1">
      <c r="A158" s="3" t="str">
        <f>'Production Plan'!B158</f>
        <v>MK-135</v>
      </c>
      <c r="B158" s="3">
        <f>VLOOKUP(A158,'Production Plan'!B:S,15,FALSE)</f>
        <v>0</v>
      </c>
      <c r="C158" s="3" t="str">
        <f>VLOOKUP(A158,'Production Plan'!B:F,5,FALSE)</f>
        <v>ESDH-løsningen skal understøtte, at en Bruger direkte i brugergrænsefladen kan begrænse adgangen til Kundeoprettede Entiteter ad hoc.</v>
      </c>
    </row>
    <row r="159" spans="1:3" hidden="1">
      <c r="A159" s="3" t="str">
        <f>'Production Plan'!B159</f>
        <v>K-15</v>
      </c>
      <c r="B159" s="3" t="str">
        <f>VLOOKUP(A159,'Production Plan'!B:S,15,FALSE)</f>
        <v>ADN: If we use Grant on Document level, we support this</v>
      </c>
      <c r="C159" s="3" t="str">
        <f>VLOOKUP(A159,'Production Plan'!B:F,5,FALSE)</f>
        <v>ESDH-løsningen skal understøtte, at adgang til Dokumenter og Bilag kan tildeles uafhængigt af adgang til den tilhørende sag. Brugere med adgang til et Dokument eller Bilag, men uden adgang til sagen, må ikke kunne tilgå eller se oplysninger om sagens øvrige indhold.</v>
      </c>
    </row>
    <row r="160" spans="1:3" hidden="1">
      <c r="A160" s="3" t="str">
        <f>'Production Plan'!B160</f>
        <v>EK-9</v>
      </c>
      <c r="B160" s="3">
        <f>VLOOKUP(A160,'Production Plan'!B:S,15,FALSE)</f>
        <v>0</v>
      </c>
      <c r="C160" s="3" t="str">
        <f>VLOOKUP(A160,'Production Plan'!B:F,5,FALSE)</f>
        <v>ESDH-løsningen skal understøtte, at Brugere tildeles roller og rettigheder via AD-rettighedsgrupper. Rolle/rettighedsstrukturen skal sikre, at Brugeren kan udføre relevante og nødvendige opgaver, og at Brugeren har adgang til nødvendige Entiteter. 
Leverandøren skal beskrive, hvordan den tilbudte ESDH-løsning understøtter organisatoriske rolle/rettigheder. 
Leverandøren skal gennem konkrete skærmbilleder demonstrere om og hvordan ESDH-løsningen understøtter de stillede krav og møder Kundens behov.
Leverandøren skal redegøre for: 
Hvordan ESDH-løsningen understøtter flere Myndigheder i samme database
Hvordan ESDH-løsningen understøtter, at udvalgte Entiteter og tilhørende data kan deles på tværs af Myndigheder helt eller delvist
Hvordan ESDH-løsningen understøtter samarbejde på tværs af Myndigheder i samme database
Rolle/rettighedsstruktur i ESDH-løsningen og implementeringen af disse ved Brugerne
Evalueringskriterier:
Det vægtes positivt, i hvor høj grad ESDH-løsningen kan understøtte flere Myndigheder i samme database ved opsætning af organisatoriske niveauer.
Det vægtes positivt, i hvor høj grad ESDH-løsningen kan udstille og dele data fra Entiteter f.eks. at udvalgt metadata fra sagen (f.eks. sagsbehandler, status, team) kan ses på tværs af Myndigheder, selvom Brugeren ikke har adgang til at se den konkrete sags indhold. 
Det vægtes positivt, i hvor høj grad ESDH-løsningen på en let og intuitiv måde understøtter samarbejde på tværs af Myndigheder uden behov for ændringer i rolle/rettighedsstruktur.
Det vægtes positivt i hvor høj grad ESDH-løsningen understøtter Brugerens muligheder for at varetage opgaver uden manuelt skift af rolle.</v>
      </c>
    </row>
    <row r="161" spans="1:3" hidden="1">
      <c r="A161" s="3" t="str">
        <f>'Production Plan'!B161</f>
        <v>EK-10</v>
      </c>
      <c r="B161" s="3">
        <f>VLOOKUP(A161,'Production Plan'!B:S,15,FALSE)</f>
        <v>0</v>
      </c>
      <c r="C161" s="3" t="str">
        <f>VLOOKUP(A161,'Production Plan'!B:F,5,FALSE)</f>
        <v>Da ESDH-løsningen automatisk skal logge brugerhandlinger i brugergrænsefladen, skal ESDH-løsningen understøtte en visuel udstilling af logningen i brugergrænsefladen. 
ESDH-løsningen skal understøtte en visuel udstilling af logningen, så det er synligt for sagsbehandlerne, hvem der har arbejdet på sagen, hvilke ændringer der er foretaget, og hvornår. Visningen skal dække proceshandlinger – eksempelvis når godkendelsesflow afsluttes, eller når en sag tildeles en specifik person eller lægges tilbage i en fælles pulje m.fl. – og skal for hver logget hændelse som minimum indeholde:
Præcis tidsstempling for tilføjelse, visning, ændring eller sletning.
Entydig identifikation af den Bruger, der har udført handlingen.
Det specifikke felt (inklusive Kundeoprettede felter) eller Dokument, handlingen vedrører.
Leverandøren skal beskrive, hvordan den tilbudte ESDH-løsning visuelt udstiller logning på sagsgang i brugergrænsefladen.
Leverandøren skal gennem konkrete skærmbilleder demonstrere om og hvordan ESDH-løsningen understøtter de stillede krav og møder Kundens behov.
Leverandøren skal redegøre for:
Hvordan ESDH-løsningen automatisk logger og visuelt udstiller sagsgangen og proceshandlinger direkte i brugergrænsefladen
Hvordan sagsbehandleren får et klart overblik over, hvem der har arbejdet på sagen, hvilke ændringer der er foretaget, og hvornår
Hvordan Løsningen sikrer visning af de krævede minimumsoplysninger for hver logget hændelse: præcis tidsstempling (ved tilføjelse, visning, ændring eller sletning), entydig brugeridentifikation og det specifikke felt (inklusive Kundeoprettede felter) eller Dokument
Hvordan Løsningen logger og viser specifikke proceshandlinger, herunder når et godkendelsesflow afsluttes, når en sag tildeles en specifik person, eller når en sag lægges tilbage i en fælles pulje
Evalueringskriterier:
Det vægtes positivt, i hvor høj grad logningen af brugerhandlinger præsenteres intuitivt og grafisk (f.eks. som en tidslinje) i brugergrænsefladen, så sagsbehandleren hurtigt kan afkode sagens historik uden tung tekstlæsning.
Det vægtes positivt, at den filtrerede eller fulde loghistorik nemt kan eksporteres direkte fra brugergrænsefladen til standardformater (f.eks. Excel eller PDF) til brug ved aktindsigter eller ledelsestilsyn.
Det vægtes positivt, i hvor høj grad logning af noter fremgår i brugergrænsefladen med følgende oplysninger: oprettelsesdato, forfatter, redigeringsdato og hvilken Bruger, der har redigeret noten.</v>
      </c>
    </row>
    <row r="162" spans="1:3" hidden="1">
      <c r="A162" s="3" t="str">
        <f>'Production Plan'!B162</f>
        <v>MK-136</v>
      </c>
      <c r="B162" s="3" t="str">
        <f>VLOOKUP(A162,'Production Plan'!B:S,15,FALSE)</f>
        <v>ADN:  Kan det lade sig gøre at trække data ud uden Leverandørspecifikke værktøjer?</v>
      </c>
      <c r="C162" s="3" t="str">
        <f>VLOOKUP(A162,'Production Plan'!B:F,5,FALSE)</f>
        <v>ESDH-løsningen skal understøtte, at data skal kunne tilgås og udtrækkes udenom leverandørspecifikke værktøjer, således at fremtidig migrering til en anden platform kan gennemføres med begrænset kompleksitet og uden tab af data.</v>
      </c>
    </row>
    <row r="163" spans="1:3" hidden="1">
      <c r="A163" s="3" t="str">
        <f>'Production Plan'!B163</f>
        <v>MK-137</v>
      </c>
      <c r="B163" s="3">
        <f>VLOOKUP(A163,'Production Plan'!B:S,15,FALSE)</f>
        <v>0</v>
      </c>
      <c r="C163" s="3" t="str">
        <f>VLOOKUP(A163,'Production Plan'!B:F,5,FALSE)</f>
        <v>Leverandøren skal have integration til Microsoft Office applikationerne: Word, Excel og PowerPoint.</v>
      </c>
    </row>
    <row r="164" spans="1:3" hidden="1">
      <c r="A164" s="3" t="str">
        <f>'Production Plan'!B164</f>
        <v>MK-138</v>
      </c>
      <c r="B164" s="3">
        <f>VLOOKUP(A164,'Production Plan'!B:S,15,FALSE)</f>
        <v>0</v>
      </c>
      <c r="C164" s="3" t="str">
        <f>VLOOKUP(A164,'Production Plan'!B:F,5,FALSE)</f>
        <v>ESDH-løsningen skal understøtte Standardintegration til Microsoft PowerPoint, Word og Excel, så Filer kan oprettes, redigeres og journaliseres direkte fra Microsoft PowerPoint, Word og Excel.</v>
      </c>
    </row>
    <row r="165" spans="1:3" hidden="1">
      <c r="A165" s="3" t="str">
        <f>'Production Plan'!B165</f>
        <v>MK-139</v>
      </c>
      <c r="B165" s="3">
        <f>VLOOKUP(A165,'Production Plan'!B:S,15,FALSE)</f>
        <v>0</v>
      </c>
      <c r="C165" s="3" t="str">
        <f>VLOOKUP(A165,'Production Plan'!B:F,5,FALSE)</f>
        <v>ESDH-løsningen skal understøtte, at en Fil kan journaliseres på en ny eller eksisterende sag direkte fra Word, Excel og PowerPoint.</v>
      </c>
    </row>
    <row r="166" spans="1:3" hidden="1">
      <c r="A166" s="3" t="str">
        <f>'Production Plan'!B166</f>
        <v>MK-140</v>
      </c>
      <c r="B166" s="3">
        <f>VLOOKUP(A166,'Production Plan'!B:S,15,FALSE)</f>
        <v>0</v>
      </c>
      <c r="C166" s="3" t="str">
        <f>VLOOKUP(A166,'Production Plan'!B:F,5,FALSE)</f>
        <v>ESDH-løsningen skal understøtte, at Filer kan oprettes baseret på dokumentskabeloner i ESDH-løsningen med brug af flettefelter fra ESDH-løsningen.</v>
      </c>
    </row>
    <row r="167" spans="1:3" hidden="1">
      <c r="A167" s="3" t="str">
        <f>'Production Plan'!B167</f>
        <v>MK-141</v>
      </c>
      <c r="B167" s="3">
        <f>VLOOKUP(A167,'Production Plan'!B:S,15,FALSE)</f>
        <v>0</v>
      </c>
      <c r="C167" s="3" t="str">
        <f>VLOOKUP(A167,'Production Plan'!B:F,5,FALSE)</f>
        <v>ESDH-løsningen skal understøtte, at dokumentskabeloner kan vedligeholdes af Kunden.</v>
      </c>
    </row>
    <row r="168" spans="1:3" hidden="1">
      <c r="A168" s="3" t="str">
        <f>'Production Plan'!B168</f>
        <v>MK-142</v>
      </c>
      <c r="B168" s="3">
        <f>VLOOKUP(A168,'Production Plan'!B:S,15,FALSE)</f>
        <v>0</v>
      </c>
      <c r="C168" s="3" t="str">
        <f>VLOOKUP(A168,'Production Plan'!B:F,5,FALSE)</f>
        <v>Integrationen skal understøtte, at Brugere har mulighed for, at registrere Kundeoprettede felter i forbindelse med journalisering i Word, Excel og PowerPoint.</v>
      </c>
    </row>
    <row r="169" spans="1:3" hidden="1">
      <c r="A169" s="3" t="str">
        <f>'Production Plan'!B169</f>
        <v>K-16</v>
      </c>
      <c r="B169" s="3" t="str">
        <f>VLOOKUP(A169,'Production Plan'!B:S,15,FALSE)</f>
        <v>ADN: We dont have this Yet.
HFR: Product first commitment</v>
      </c>
      <c r="C169" s="3" t="str">
        <f>VLOOKUP(A169,'Production Plan'!B:F,5,FALSE)</f>
        <v>ESDH-løsningen skal understøtte integration til andre leverandører af office-pakker end Microsoft Office, som tilbyder samme services som kravstillet til standardsoftware, f.eks. opensource office pakken LibreOffice, som kan afvikles på Statens IT’s SIA pc.</v>
      </c>
    </row>
    <row r="170" spans="1:3" hidden="1">
      <c r="A170" s="3" t="str">
        <f>'Production Plan'!B170</f>
        <v>MK-143</v>
      </c>
      <c r="B170" s="3">
        <f>VLOOKUP(A170,'Production Plan'!B:S,15,FALSE)</f>
        <v>0</v>
      </c>
      <c r="C170" s="3" t="str">
        <f>VLOOKUP(A170,'Production Plan'!B:F,5,FALSE)</f>
        <v>ESDH-løsningen skal have integration til Outlook via et plugin, som muliggør, at e-mails kan journaliseres direkte i ESDH-løsningen fra Outlook.</v>
      </c>
    </row>
    <row r="171" spans="1:3" hidden="1">
      <c r="A171" s="3" t="str">
        <f>'Production Plan'!B171</f>
        <v>MK-144</v>
      </c>
      <c r="B171" s="3">
        <f>VLOOKUP(A171,'Production Plan'!B:S,15,FALSE)</f>
        <v>0</v>
      </c>
      <c r="C171" s="3" t="str">
        <f>VLOOKUP(A171,'Production Plan'!B:F,5,FALSE)</f>
        <v>ESDH-løsningen skal understøtte, at en e-mail samt dens afsendelseshistorik, herunder modtagere og afsendelsesdato kan journaliseres fra Outlook.</v>
      </c>
    </row>
    <row r="172" spans="1:3" hidden="1">
      <c r="A172" s="3" t="str">
        <f>'Production Plan'!B172</f>
        <v>MK-145</v>
      </c>
      <c r="B172" s="3" t="str">
        <f>VLOOKUP(A172,'Production Plan'!B:S,15,FALSE)</f>
        <v>ADN: We allmost support this with office Webapps integration - we dont show "When" yet, but Willy stated it could be added.
HFR: Commitment needed</v>
      </c>
      <c r="C172" s="3" t="str">
        <f>VLOOKUP(A172,'Production Plan'!B:F,5,FALSE)</f>
        <v>ESDH-løsningen skal understøtte, at det fremgår visuelt i Outlook-mapper, på hvilken sag og hvornår en e-mail er blevet journaliseret i ESDH-løsningen.</v>
      </c>
    </row>
    <row r="173" spans="1:3" hidden="1">
      <c r="A173" s="3" t="str">
        <f>'Production Plan'!B173</f>
        <v>MK-146</v>
      </c>
      <c r="B173" s="3" t="str">
        <f>VLOOKUP(A173,'Production Plan'!B:S,15,FALSE)</f>
        <v>HFR: Potentiel risk</v>
      </c>
      <c r="C173" s="3" t="str">
        <f>VLOOKUP(A173,'Production Plan'!B:F,5,FALSE)</f>
        <v>ESDH-løsningen skal understøtte, at en e-mail, der initieres fra ESDH-løsningen, automatisk kan journaliseres på den tilknyttede sag ved afsendelse.</v>
      </c>
    </row>
    <row r="174" spans="1:3" hidden="1">
      <c r="A174" s="3" t="str">
        <f>'Production Plan'!B174</f>
        <v>MK-147</v>
      </c>
      <c r="B174" s="3">
        <f>VLOOKUP(A174,'Production Plan'!B:S,15,FALSE)</f>
        <v>0</v>
      </c>
      <c r="C174" s="3" t="str">
        <f>VLOOKUP(A174,'Production Plan'!B:F,5,FALSE)</f>
        <v>ESDH-løsningen skal understøtte, at Brugeren ved journalisering af en e-mail kan fravælge enten selve Hoveddokumentet eller flere af de vedhæftede Bilag.</v>
      </c>
    </row>
    <row r="175" spans="1:3" hidden="1">
      <c r="A175" s="3" t="str">
        <f>'Production Plan'!B175</f>
        <v>MK-148</v>
      </c>
      <c r="B175" s="3" t="str">
        <f>VLOOKUP(A175,'Production Plan'!B:S,15,FALSE)</f>
        <v>Anton: Understøtter vi ikke endnu</v>
      </c>
      <c r="C175" s="3" t="str">
        <f>VLOOKUP(A175,'Production Plan'!B:F,5,FALSE)</f>
        <v>ESDH-løsningen skal understøtte en indbakkesag, som afspejler Kundens funktionspostkasser fra Outlook. Brugeren skal kunne anvende indbakkesagen til at journalisere fra til relevante sager.</v>
      </c>
    </row>
    <row r="176" spans="1:3" hidden="1">
      <c r="A176" s="3" t="str">
        <f>'Production Plan'!B176</f>
        <v>K-17</v>
      </c>
      <c r="B176" s="3" t="str">
        <f>VLOOKUP(A176,'Production Plan'!B:S,15,FALSE)</f>
        <v>ADN: We dont have this Yet.
HFR: Product first commitment.
HFR: Spørgsmål omkring servere på mailklienten</v>
      </c>
      <c r="C176" s="3" t="str">
        <f>VLOOKUP(A176,'Production Plan'!B:F,5,FALSE)</f>
        <v>ESDH-løsningen skal understøtte integration til andre leverandører af e-mail klienter, som tilbyder samme services som kravstillet til standardsoftware, f.eks. Evolution mailklient, som kan afvikles på Statens IT’s SIA pc.</v>
      </c>
    </row>
    <row r="177" spans="1:3" hidden="1">
      <c r="A177" s="3" t="str">
        <f>'Production Plan'!B177</f>
        <v>EK-11</v>
      </c>
      <c r="B177" s="3">
        <f>VLOOKUP(A177,'Production Plan'!B:S,15,FALSE)</f>
        <v>0</v>
      </c>
      <c r="C177" s="3" t="str">
        <f>VLOOKUP(A177,'Production Plan'!B:F,5,FALSE)</f>
        <v>ESDH-løsningen skal understøtte en effektiv og brugervenlig integration med Outlook, som understøtter sammenhængende arbejdsgange og nem journalisering af e-mails og Dokumenter.
Leverandøren skal beskrive, hvordan den tilbudte ESDH-løsning integrerer med Outlook. 
Leverandøren skal gennem konkrete skærmbilleder demonstrere om og hvordan ESDH-løsningen understøtter de stillede krav og møder Kundens behov.
Leverandøren skal redegøre for: 
Hvordan integrationen mellem ESDH-løsningen og Outlook understøtter en effektiv opgavehåndtering, herunder håndtering af e-mails, Dokumenter og journalisering direkte fra Outlook.
Evalueringskriterier:
Det vægtes positivt, i hvor høj grad Outlook integrationen understøtter, at Brugere direkte fra e-mailklienten kan oprette en ny sag og journalisere den modtagne eller afsendte e-mail samt tilhørende Bilag på sagen i én sammenhængende arbejdsgang.
Det vægtes positivt, hvor nemt og effektivt det er for Brugeren at vælge, om e-mail og tilhørende Bilag kan journaliseres som selvstændige Filer i Løsningen eller kan fravælge e-mail eller konkrete tilhørende Bilag.
Det vægtes positivt, at Løsningen understøtter en nem og effektiv journalisering fra fællespostkasser i Outlook.
Det vægtes positivt, i hvor høj grad Løsningen understøtter brugervenlig og intuitiv journalisering af e-mails på sager, f.eks. mulighed for søgning på relevante sager eller navigation direkte til sagen ved journalisering af e-mails.
Det vægter positivt, i hvor høj grad Løsningen understøtter journalisering af afsendte e-mails, der initieres direkte fra ESDH-løsningen, med færrest mulige kommandoer og uden behov for manuel metadataregistrering.
Det vægter positivt, i hvor høj grad Løsningen understøtter hurtig og nem afsendelse af en eller flere Filer direkte via Outlook, hvor Brugeren kan vælge imellem afsendelse i original version eller som PDF-version.
Det vægtes positivt, at ESDH-løsningen understøtter, at en e-mail fra en sag i ESDH-løsningen kan åbnes i Outlook uden download af e-mailen til Brugerens pc. 
Det vægtes positivt, i hvor høj grad registreringsmetoden og dataregistreringen er ens, uanset om en e-mail journaliseres direkte i ESDH-løsningens browsergrænseflade eller via Outlook-plugin.</v>
      </c>
    </row>
    <row r="178" spans="1:3" hidden="1">
      <c r="A178" s="3" t="str">
        <f>'Production Plan'!B178</f>
        <v>MK-149</v>
      </c>
      <c r="B178" s="3" t="str">
        <f>VLOOKUP(A178,'Production Plan'!B:S,15,FALSE)</f>
        <v>ADN: I would asume we could solve this with Autosaver or SIF? - but i would like a second opinion</v>
      </c>
      <c r="C178" s="3" t="str">
        <f>VLOOKUP(A178,'Production Plan'!B:F,5,FALSE)</f>
        <v>ESDH-løsningen skal understøtte modtagelse og tilknytning af Filer, der er digitaliseret fra papirformat via en f.eks. Tungsten Automation eller en tilsvarende løsning.
Det skal være muligt automatisk eller manuelt at knytte de indscannede Filer til relevante Entiteter med tilhørende metadata om oprindelse, modtagelsestidspunkt og eventuelle klassifikationsoplysninger.</v>
      </c>
    </row>
    <row r="179" spans="1:3" hidden="1">
      <c r="A179" s="3" t="str">
        <f>'Production Plan'!B179</f>
        <v>MK-150</v>
      </c>
      <c r="B179" s="3" t="str">
        <f>VLOOKUP(A179,'Production Plan'!B:S,15,FALSE)</f>
        <v xml:space="preserve">ADN: No clue
TAO: Kan vi slippe ud af at understøtte faktisk skanning, vi hænger på regningen fra Scansolutions i den eksisterende kontrakt. De fleste andre entreer selv med Scansolitions og kofax licenser.
HFR: Spørgsmål til Ordregiver jf. målarkitektur, at Ordregiver selv har en skanningsløsning. </v>
      </c>
      <c r="C179" s="3" t="str">
        <f>VLOOKUP(A179,'Production Plan'!B:F,5,FALSE)</f>
        <v>Scanningsløsningen skal kunne benyttes på følgende fysiske skannere: 
Kodak Legal Size Flatbed Accessory 
KODAK I4650
RICOH fi-7600</v>
      </c>
    </row>
    <row r="180" spans="1:3" hidden="1">
      <c r="A180" s="3" t="str">
        <f>'Production Plan'!B180</f>
        <v>MK-151</v>
      </c>
      <c r="B180" s="3" t="str">
        <f>VLOOKUP(A180,'Production Plan'!B:S,15,FALSE)</f>
        <v>ADN: Unsure if we can scan to individuals?
TAO: Der er QR koder til individer, det er værre med teams, er de beskrevet andet steds? hvis team = orgenhed så ok</v>
      </c>
      <c r="C180" s="3" t="str">
        <f>VLOOKUP(A180,'Production Plan'!B:F,5,FALSE)</f>
        <v>De skannede Dokumenter skal ende i en ”skanningsindbakke” i ESDH-løsningen, hvor man kan modtage skannede Dokumenter til en afdeling, team eller til enkeltpersoner. Scannede Dokumenter til enkeltpersoner skal også kunne ses af afdelingen/teamet.</v>
      </c>
    </row>
    <row r="181" spans="1:3" hidden="1">
      <c r="A181" s="3" t="str">
        <f>'Production Plan'!B181</f>
        <v>MK-152</v>
      </c>
      <c r="B181" s="3" t="str">
        <f>VLOOKUP(A181,'Production Plan'!B:S,15,FALSE)</f>
        <v>ADN: This must be solved by scanning solution to unregistered documents
TAO: Vi har ikke en fungrende standard import for Dansk skanning, må få commitment på import ud fra det format scansolutions leverer.</v>
      </c>
      <c r="C181" s="3" t="str">
        <f>VLOOKUP(A181,'Production Plan'!B:F,5,FALSE)</f>
        <v>Det skal være muligt at præjournalisere skannet post i ESDH-løsningen. Løsningen skal understøtte, at en Bruger kan angive en afsender og dokumenttitel i den præjournaliserede post.</v>
      </c>
    </row>
    <row r="182" spans="1:3" hidden="1">
      <c r="A182" s="3" t="str">
        <f>'Production Plan'!B182</f>
        <v>MK-153</v>
      </c>
      <c r="B182" s="3" t="str">
        <f>VLOOKUP(A182,'Production Plan'!B:S,15,FALSE)</f>
        <v xml:space="preserve">ADN: Unsure if we can scan to individuals?
HFR: Forudsætning at Teams er en organisatorisk enhed. </v>
      </c>
      <c r="C182" s="3" t="str">
        <f>VLOOKUP(A182,'Production Plan'!B:F,5,FALSE)</f>
        <v>Dokumenterne skal sorteres og skannes med eksempelvis skilleark eller lignende løsning, som sikrer at Dokumenterne ender hos den rigtige person/afdeling/team i ESDH-løsningen.</v>
      </c>
    </row>
    <row r="183" spans="1:3" hidden="1">
      <c r="A183" s="3" t="str">
        <f>'Production Plan'!B183</f>
        <v>MK-154</v>
      </c>
      <c r="B183" s="3">
        <f>VLOOKUP(A183,'Production Plan'!B:S,15,FALSE)</f>
        <v>0</v>
      </c>
      <c r="C183" s="3" t="str">
        <f>VLOOKUP(A183,'Production Plan'!B:F,5,FALSE)</f>
        <v>ESDH-løsningen skal understøtte, at en Bruger kan videresende/omfordele indscannet post til en anden afdeling eller en anden person.</v>
      </c>
    </row>
    <row r="184" spans="1:3" hidden="1">
      <c r="A184" s="3" t="str">
        <f>'Production Plan'!B184</f>
        <v>MK-155</v>
      </c>
      <c r="B184" s="3">
        <f>VLOOKUP(A184,'Production Plan'!B:S,15,FALSE)</f>
        <v>0</v>
      </c>
      <c r="C184" s="3" t="str">
        <f>VLOOKUP(A184,'Production Plan'!B:F,5,FALSE)</f>
        <v>ESDH-løsningen skal understøtte oprettelse af Filer med flettefelter, således at relevante oplysninger fra en sag automatisk kan indsættes i en Fil.</v>
      </c>
    </row>
    <row r="185" spans="1:3" hidden="1">
      <c r="A185" s="3" t="str">
        <f>'Production Plan'!B185</f>
        <v>MK-156</v>
      </c>
      <c r="B185" s="3">
        <f>VLOOKUP(A185,'Production Plan'!B:S,15,FALSE)</f>
        <v>0</v>
      </c>
      <c r="C185" s="3" t="str">
        <f>VLOOKUP(A185,'Production Plan'!B:F,5,FALSE)</f>
        <v>ESDH-løsningen skal understøtte, at Filer kan tilknyttes et Dokument med relevante metadata: dokumenttitel, dokumenttype, dokumentdato, dokumentstatus, dokumentkategori, modtager, klassifikation, oprettelsestidspunkt, sagsnummer, relation til sag, ansvarlig sagsbehandler og ansvarlig enhed.</v>
      </c>
    </row>
    <row r="186" spans="1:3" hidden="1">
      <c r="A186" s="3" t="str">
        <f>'Production Plan'!B186</f>
        <v>MK-157</v>
      </c>
      <c r="B186" s="3" t="str">
        <f>VLOOKUP(A186,'Production Plan'!B:S,15,FALSE)</f>
        <v xml:space="preserve">ADN: We support everything besides "Complete parameter setup" - we support what is needed, but not "Complete". Saying Yes comes with a Risc according to Tajinder.
HFR: dialog med Olga og Tajinder ift. Hvor risk er. </v>
      </c>
      <c r="C186" s="3" t="str">
        <f>VLOOKUP(A186,'Production Plan'!B:F,5,FALSE)</f>
        <v>ESDH-løsningen skal have integration til Digital Post, herunder komplet parameteropsætning af afsendersystem, Myndighedsprofil, afsendertype og postkasser med mulighed for at konfigurere én eller flere forsendelseskanaler pr. organisatorisk enhed. Integrationen skal være tovejs. 
Løsningen skal muliggøre afsendelse af Digital Post direkte fra Løsningen, og indgående besvarelser skal automatisk kunne journaliseres på den sag, som henvendelsen oprindeligt blev modtaget på. Både udgående og indgående forsendelser skal journaliseres automatisk på sagen som en fuldt integreret del af arbejdsprocessen.</v>
      </c>
    </row>
    <row r="187" spans="1:3" hidden="1">
      <c r="A187" s="3" t="str">
        <f>'Production Plan'!B187</f>
        <v>MK-158</v>
      </c>
      <c r="B187" s="3">
        <f>VLOOKUP(A187,'Production Plan'!B:S,15,FALSE)</f>
        <v>0</v>
      </c>
      <c r="C187" s="3" t="str">
        <f>VLOOKUP(A187,'Production Plan'!B:F,5,FALSE)</f>
        <v>ESDH-løsningen skal have integration til CPR-registeret, for at sikre import af CPR-kontakter via onlineopslag og batchkørsler.</v>
      </c>
    </row>
    <row r="188" spans="1:3" hidden="1">
      <c r="A188" s="3" t="str">
        <f>'Production Plan'!B188</f>
        <v>MK-159</v>
      </c>
      <c r="B188" s="3">
        <f>VLOOKUP(A188,'Production Plan'!B:S,15,FALSE)</f>
        <v>0</v>
      </c>
      <c r="C188" s="3" t="str">
        <f>VLOOKUP(A188,'Production Plan'!B:F,5,FALSE)</f>
        <v>ESDH-løsningen skal have integration til CVR, for at sikre import af CVR-kontakter via onlineopslag og batchkørsler.</v>
      </c>
    </row>
    <row r="189" spans="1:3" hidden="1">
      <c r="A189" s="3" t="str">
        <f>'Production Plan'!B189</f>
        <v>MK-160</v>
      </c>
      <c r="B189" s="3" t="str">
        <f>VLOOKUP(A189,'Production Plan'!B:S,15,FALSE)</f>
        <v>TAO: Hvordan kan vi levere dokumentation på et mindstekrav?
HFR: RISK
AOP: VI laver spørgsmål</v>
      </c>
      <c r="C189" s="3" t="str">
        <f>VLOOKUP(A189,'Production Plan'!B:F,5,FALSE)</f>
        <v>Løsningen skal understøtte udlæsning af data, logs og metadata til analytiske formål, herunder til Kundens analyse-, rapporterings- og dataplatforme. Løsningen skal understøtte både fulde og inkrementelle udtræk baseret på ændrede eller nyoprettede data. Det skal være muligt at identificere nye, ændrede og slettede data siden sidste udtræk.
Dataadgangen skal være baseret på åben arkitektur og anvende dokumenterede, standardiserede og ikke-proprietærer grænseflader, så Kunden kan foretage udtræk uden afhængighed til leverandørspecifikke værktøjer, lukkede formater eller operationelle integrationskomponenter.
Leverandøren skal dokumentere de understøttede udtræksmetoder, Datamodeller, relevante metadata samt eventuelle begrænsninger i forhold til anvendelse af data til analytiske formål.</v>
      </c>
    </row>
    <row r="190" spans="1:3" hidden="1">
      <c r="A190" s="3" t="str">
        <f>'Production Plan'!B190</f>
        <v>MK-161</v>
      </c>
      <c r="B190" s="3">
        <f>VLOOKUP(A190,'Production Plan'!B:S,15,FALSE)</f>
        <v>0</v>
      </c>
      <c r="C190" s="3" t="str">
        <f>VLOOKUP(A190,'Production Plan'!B:F,5,FALSE)</f>
        <v>ESDH-løsningen skal have integration til Dynamics Template fra Omnidocs.</v>
      </c>
    </row>
    <row r="191" spans="1:3" hidden="1">
      <c r="A191" s="3" t="str">
        <f>'Production Plan'!B191</f>
        <v>EK-12</v>
      </c>
      <c r="B191" s="3">
        <f>VLOOKUP(A191,'Production Plan'!B:S,15,FALSE)</f>
        <v>0</v>
      </c>
      <c r="C191" s="3" t="str">
        <f>VLOOKUP(A191,'Production Plan'!B:F,5,FALSE)</f>
        <v>ESDH-løsningen skal, i forbindelse med Kundens behov for integration, automatisering og genbrug af ESDH-løsningens funktionalitet i det samlede systemlandskab, understøtte at Løsningen centrale funktioner kan tilgås via standardiserede API’er både envejs- og tovejsintegrationer.
Leverandøren skal beskrive, hvordan 3
Hvordan og i hvilket omfang ESDH-løsningens funktionalitet kan tilgås, anvendes og automatiseres via Løsningens standard API’er
Hvordan Leverandørens API-dækningsmatrix illustrerer sammenhængen mellem Løsningens centrale brugerfunktioner, standardentiteter, Kundeoprettede Entiteter og de tilhørende API-operationer
Hvilke standardentiteter der kan oprettes, læses, opdateres, slettes og fremsøges via standard API.
Hvordan metadatafelter på standardentiteter kan læses, valideres og opdateres via standard API.
Hvordan API’et er dokumenteret, versionsstyret og supporteret
Hvordan Kundeoprettede Entiteter, metadata og relationer eksponeres via standard API.
I hvilket omfang API’et understøtter de samme forretningsfunktioner, arbejdsgange, statusskift, dokumenthåndtering, 
Standardintegrationer, adgangsstyring og valideringer som Løsningens brugergrænseflade
Om API’et anvender samme forretningsregler, valideringer, rettighedsmodel, auditlogning og sikkerhedsmodel som brugergrænsefladen
Om der findes standardmekanismer til hændelser/events, notifikationer, webhooks eller lignende, så integrationer kan reagere på ændringer i sager, Dokumenter, kontakter, metadata og øvrige Entiteter
Evalueringskriterier:
Det vægtes positivt, i hvor høj grad Løsningen udstiller et veldokumenteret, versionsstyret og supporteret standard API, der giver mulighed for at automatisere de samme forretningsfunktioner, som kan udføres via Løsningens brugergrænseflade og standardfunktionalitet.
Det vægtes positivt, i hvor høj grad standard API’et understøtter fuld CRUD-funktionalitet for Løsningens centrale standardentiteter, herunder: 
Sager
Dokumenter
Kontakter/parter
Opgaver/aktiviteter, hvis disse indgår som standardentiteter i Løsningen
Metadatafelter på ovenstående Entiteter
Relationer mellem standardentiteter
Det vægtes positivt, i hvor høj grad API’et også understøtter Kundens Kundeoprettede Entiteter, metadatafelter, relationer, regler og funktioner, således at Entiteter og funktioner, der oprettes eller konfigureres i Løsningen, automatisk eller konfigurationsbaseret kan anvendes via standard API uden særskilt specialudvikling.</v>
      </c>
    </row>
    <row r="192" spans="1:3" hidden="1">
      <c r="A192" s="3" t="str">
        <f>'Production Plan'!B192</f>
        <v>MK-162</v>
      </c>
      <c r="B192" s="3" t="str">
        <f>VLOOKUP(A192,'Production Plan'!B:S,15,FALSE)</f>
        <v>TAO: Deaktivering ja, men hvad menes så med nedlæggelse. Man sletter jo ikke brugere af historik hensyn.</v>
      </c>
      <c r="C192" s="3" t="str">
        <f>VLOOKUP(A192,'Production Plan'!B:F,5,FALSE)</f>
        <v>ESDH-løsningen skal have integration til Active Directory, som er Kundens identitets- og adgangsstyring driftet hos Kundens driftsleverandør, herunder Active Directory og/eller Entra ID, med henblik på Single Sign-On (SSO) via standardprotokoller som SAML 2.0 og/eller OpenID Connect/OAuth 2.0.
AD er placeret i Kundens ressourcedomæne hos driftsleverandøren jf. figur 8 i Bilag 1. d Kundens målarkitektur for fremtidige ESDH-løsning.
ESDH-løsningen skal understøtte automatisk eller regelbaseret oprettelse, opdatering, deaktivering og nedlæggelse af Brugere på baggrund af oplysninger fra Kundens identitetsplatform.</v>
      </c>
    </row>
    <row r="193" spans="1:3" hidden="1">
      <c r="A193" s="3" t="str">
        <f>'Production Plan'!B193</f>
        <v>MK-163</v>
      </c>
      <c r="B193" s="3">
        <f>VLOOKUP(A193,'Production Plan'!B:S,15,FALSE)</f>
        <v>0</v>
      </c>
      <c r="C193" s="3" t="str">
        <f>VLOOKUP(A193,'Production Plan'!B:F,5,FALSE)</f>
        <v>ESDH-løsningen skal understøtte, at Kunden via administratormodulet har mulighed for at administrere rettigheder, som ligger udover Active Directorys sikkerhed- og rettighedsstyring.</v>
      </c>
    </row>
    <row r="194" spans="1:3" hidden="1">
      <c r="A194" s="3" t="str">
        <f>'Production Plan'!B194</f>
        <v>MK-164</v>
      </c>
      <c r="B194" s="3" t="str">
        <f>VLOOKUP(A194,'Production Plan'!B:S,15,FALSE)</f>
        <v>TAO: Ok standard</v>
      </c>
      <c r="C194" s="3" t="str">
        <f>VLOOKUP(A194,'Production Plan'!B:F,5,FALSE)</f>
        <v>ESDH-løsningen skal understøtte, at alle nødvendige parametre kan anvendes til opsætning og Konfiguration af Digital Post, f.eks. afsendersystem, Myndighedsprofil og afsendertype.</v>
      </c>
    </row>
    <row r="195" spans="1:3" hidden="1">
      <c r="A195" s="3" t="str">
        <f>'Production Plan'!B195</f>
        <v>MK-165</v>
      </c>
      <c r="B195" s="3" t="str">
        <f>VLOOKUP(A195,'Production Plan'!B:S,15,FALSE)</f>
        <v>Anton: Ikke sikker - kender ikke nogen kunder der har det, men mon ikke vi kan understøtte det
Tao: Strålfors, blev det standard med AST?
Adn: Tajinder sagde Ja, strålfors blev std. med AST.
HFR: Spørgsmål til fjernprint</v>
      </c>
      <c r="C195" s="3" t="str">
        <f>VLOOKUP(A195,'Production Plan'!B:F,5,FALSE)</f>
        <v>ESDH-løsningen skal understøtte, at alle nødvendige parametre kan anvendes til opsætning og Konfiguration af fjernprint.</v>
      </c>
    </row>
    <row r="196" spans="1:3" hidden="1">
      <c r="A196" s="3" t="str">
        <f>'Production Plan'!B196</f>
        <v>MK-166</v>
      </c>
      <c r="B196" s="3">
        <f>VLOOKUP(A196,'Production Plan'!B:S,15,FALSE)</f>
        <v>0</v>
      </c>
      <c r="C196" s="3" t="str">
        <f>VLOOKUP(A196,'Production Plan'!B:F,5,FALSE)</f>
        <v>ESDH-løsningen skal understøtte afsendelse af Digital Post direkte fra ESDH-løsningens brugergrænseflade, og at afsendelsen journaliseres som en del af samme proces.</v>
      </c>
    </row>
    <row r="197" spans="1:3" hidden="1">
      <c r="A197" s="3" t="str">
        <f>'Production Plan'!B197</f>
        <v>MK-167</v>
      </c>
      <c r="B197" s="3" t="str">
        <f>VLOOKUP(A197,'Production Plan'!B:S,15,FALSE)</f>
        <v>Adn: This can be solved with Strålfors.
HFR: Spørgsmål til fjernprint løsning</v>
      </c>
      <c r="C197" s="3" t="str">
        <f>VLOOKUP(A197,'Production Plan'!B:F,5,FALSE)</f>
        <v>ESDH-løsningen skal understøtte afsendelse af fysisk post direkte fra ESDH-løsningen, og at afsendelsen journaliseres som en del af samme proces.</v>
      </c>
    </row>
    <row r="198" spans="1:3" hidden="1">
      <c r="A198" s="3" t="str">
        <f>'Production Plan'!B198</f>
        <v>MK-168</v>
      </c>
      <c r="B198" s="3" t="str">
        <f>VLOOKUP(A198,'Production Plan'!B:S,15,FALSE)</f>
        <v>Anton: Understøtter vi ikke - vi skifter ikke automatisk til næste forsendelseskanal hvis den første fejler.
HFR: Gennemgået på møde d. 8. juli, fællesskab siger, at det kan vi godt.</v>
      </c>
      <c r="C198" s="3" t="str">
        <f>VLOOKUP(A198,'Production Plan'!B:F,5,FALSE)</f>
        <v>ESDH-løsningen skal understøtte en automatiseret forsendelsesproces, hvor forsendelsen går videre til næste forsendelseskanal, hvis den første forsendelseskanal fejler f.eks. en forsendelse er sendt til Digital Post, men borger er ikke tilmeldt digital post. Her skal ESDH-løsningen automatisk sikre forsendelsen sendes til fjernprint i stedet.</v>
      </c>
    </row>
    <row r="199" spans="1:3" hidden="1">
      <c r="A199" s="3" t="str">
        <f>'Production Plan'!B199</f>
        <v>MK-169</v>
      </c>
      <c r="B199" s="3" t="str">
        <f>VLOOKUP(A199,'Production Plan'!B:S,15,FALSE)</f>
        <v>ADN: Har vi ikke
Kan mad advokere for, at en advisering også kan være noget visuelt på sagen? og dermed leve op til kravet?
HFR: Product first commitment</v>
      </c>
      <c r="C199" s="3" t="str">
        <f>VLOOKUP(A199,'Production Plan'!B:F,5,FALSE)</f>
        <v>ESDH-løsningen skal understøtte, at hvis en forsendelse fejler skal Brugeren adviseres om dette.</v>
      </c>
    </row>
    <row r="200" spans="1:3" hidden="1">
      <c r="A200" s="3" t="str">
        <f>'Production Plan'!B200</f>
        <v>K-18</v>
      </c>
      <c r="B200" s="3" t="str">
        <f>VLOOKUP(A200,'Production Plan'!B:S,15,FALSE)</f>
        <v>TAO: Vi har offentlig link i Online men er ikke adgang on-prem (og er det sikkert nok jf andre krav). Vi kan ikke dele forsendelsen op til mit kendskab.
HFR: Der skal kigges på "large file dispatch". Product first commitment</v>
      </c>
      <c r="C200" s="3" t="str">
        <f>VLOOKUP(A200,'Production Plan'!B:F,5,FALSE)</f>
        <v>ESDH-løsningen skal understøtte en forsendelsesproces, hvor forsendelsen er større end, hvad der kan sendes i Digital Post. 
ESDH-løsningen skal sikre, at forsendelsen bliver sendt afsted f.eks. i flere mindre forsendelser uden manuel håndtering ved sagsbehandler.</v>
      </c>
    </row>
    <row r="201" spans="1:3" hidden="1">
      <c r="A201" s="3" t="str">
        <f>'Production Plan'!B201</f>
        <v>MK-170</v>
      </c>
      <c r="B201" s="3" t="str">
        <f>VLOOKUP(A201,'Production Plan'!B:S,15,FALSE)</f>
        <v>ADN: bemærk! vi skal "Understøtte" ikke udfører. Vi skal dog stille "importmekanisme" til rådighed.
HFR:  RISK
KL: Vi plejer ikke ligefrem at stille vores DMF datamigreringsværktøj til rådighed for Kunder, men det er svært at vide hvad der reelt menes.</v>
      </c>
      <c r="C201" s="3" t="str">
        <f>VLOOKUP(A201,'Production Plan'!B:F,5,FALSE)</f>
        <v>Leverandøren skal understøtte Kundens datamigrering fra den eksisterende løsning Public 360 til den af Leverandøren tilbudte løsning. Leverandøren skal stille den nødvendige importmekanisme til rådighed og i samarbejde med Kunden og driftsleverandøren migrere data ind i den nye løsning.</v>
      </c>
    </row>
    <row r="202" spans="1:3" hidden="1">
      <c r="A202" s="3" t="str">
        <f>'Production Plan'!B202</f>
        <v>MK-171</v>
      </c>
      <c r="B202" s="3" t="str">
        <f>VLOOKUP(A202,'Production Plan'!B:S,15,FALSE)</f>
        <v>ADN: Could this be interpretated so, that customer and hosting partner will do the migration?</v>
      </c>
      <c r="C202" s="3" t="str">
        <f>VLOOKUP(A202,'Production Plan'!B:F,5,FALSE)</f>
        <v>Leverandøren skal stille den nødvendige dokumentation, herunder Datamodel, datadefinitioner, metadata, valideringsregler og øvrig tekniske specifikationer, der er nødvendige for planlægning og gennemførelse af migreringen.</v>
      </c>
    </row>
    <row r="203" spans="1:3" hidden="1">
      <c r="A203" s="3" t="str">
        <f>'Production Plan'!B203</f>
        <v>MK-172</v>
      </c>
      <c r="B203" s="3">
        <f>VLOOKUP(A203,'Production Plan'!B:S,15,FALSE)</f>
        <v>0</v>
      </c>
      <c r="C203" s="3" t="str">
        <f>VLOOKUP(A203,'Production Plan'!B:F,5,FALSE)</f>
        <v>Leverandøren skal bistå med afklaring af kortlægning mellem eksisterende og ny Datamodel, specifikation af indlæsningsformater samt deltage i relevante workshops, planlægning, prøvemigreringer og valideringsaktiviteter. Kunden skal godkende mapningsreglerne.</v>
      </c>
    </row>
    <row r="204" spans="1:3" hidden="1">
      <c r="A204" s="3" t="str">
        <f>'Production Plan'!B204</f>
        <v>MK-173</v>
      </c>
      <c r="B204" s="3">
        <f>VLOOKUP(A204,'Production Plan'!B:S,15,FALSE)</f>
        <v>0</v>
      </c>
      <c r="C204" s="3" t="str">
        <f>VLOOKUP(A204,'Production Plan'!B:F,5,FALSE)</f>
        <v>Leverandøren skal dokumentere eventuelle begrænsninger ved import af data, herunder krav til datakvalitet, referentiel integritet og rækkefølge for indlæsning af dataentiteter.</v>
      </c>
    </row>
    <row r="205" spans="1:3" hidden="1">
      <c r="A205" s="3" t="str">
        <f>'Production Plan'!B205</f>
        <v>MK-174</v>
      </c>
      <c r="B205" s="3" t="str">
        <f>VLOOKUP(A205,'Production Plan'!B:S,15,FALSE)</f>
        <v>ADN: Kan vi som leverandør stille et konverteringsmiljø til rådighed hos SIT?
KL: Nej, men UIM administrerer selv deres miljø hos SIT. Så vi skal reelt kun lave opsætningen af servere.</v>
      </c>
      <c r="C205" s="3" t="str">
        <f>VLOOKUP(A205,'Production Plan'!B:F,5,FALSE)</f>
        <v>Leverandøren skal stille et konverteringsmiljø til rådighed hos SIT, hvor Kunden kan gennemføre og validere konverteringen.</v>
      </c>
    </row>
    <row r="206" spans="1:3" hidden="1">
      <c r="A206" s="3" t="str">
        <f>'Production Plan'!B206</f>
        <v>MK-175</v>
      </c>
      <c r="B206" s="3" t="str">
        <f>VLOOKUP(A206,'Production Plan'!B:S,15,FALSE)</f>
        <v>Anton: Leverandøren kan vel ikke sikre etablering af miljøer når SIT er driftsleverandør?
MJ: Stil spørgsmål. Som kravet er, er dette et no-go</v>
      </c>
      <c r="C206" s="3" t="str">
        <f>VLOOKUP(A206,'Production Plan'!B:F,5,FALSE)</f>
        <v>Leverandøren skal sikre etablering, Konfiguration og stabil drift af to sikkerhedsmæssigt adskilte miljøer:
NON-PROD: 
Udviklings- og testmiljø: Dette miljø anvendes til udvikling af nye løsninger, hvor Kundens øvrige løsninger skal kunne integrere med ESDH-løsningen. Miljøet anvendes også til udrulning af nye releases, hot fixes m.fl., samt til Kundens interne kvalitetssikring. Miljøet afspejler produktionsmiljøets arkitektur for at sikre retvisende testresultater før udrulning.
PRE-PROD: Dette miljø anvendes til den endelige verifikation før udrulning i PROD. Her gennemføres User Acceptance Test (UAT) samt performance- og release-test i et fuldt spejlet miljø.
Kunden overvejer på sigt at etablerer yderligere non-prod-miljøer hvor ESDH-løsningen ligeledes skal kunne anvendes. 
Produktion:
Produktionsmiljø: Dette miljø udgør det stabile og driftskritiske driftsmiljø, hvor det anvendes til den daglige sagsbehandling. Miljøet er underlagt maksimale krav til oppetid, performance, backup og logning.</v>
      </c>
    </row>
    <row r="207" spans="1:3" hidden="1">
      <c r="A207" s="3" t="str">
        <f>'Production Plan'!B207</f>
        <v>MK-176</v>
      </c>
      <c r="B207" s="3" t="str">
        <f>VLOOKUP(A207,'Production Plan'!B:S,15,FALSE)</f>
        <v>Er dette cloud ops eller tech platform? Tjek med Geir Are</v>
      </c>
      <c r="C207" s="3" t="str">
        <f>VLOOKUP(A207,'Production Plan'!B:F,5,FALSE)</f>
        <v>Leverandøren skal sikre, at den tilbudte ESDH-løsning fuldt ud kan etableres, konfigureres og driftes på hos SIT på deres virtualiseringsplatform, med henblik på at opnå maksimal tilgængelighed og oppetid.</v>
      </c>
    </row>
    <row r="208" spans="1:3" hidden="1">
      <c r="A208" s="3" t="str">
        <f>'Production Plan'!B208</f>
        <v>MK-177</v>
      </c>
      <c r="B208" s="3">
        <f>VLOOKUP(A208,'Production Plan'!B:S,15,FALSE)</f>
        <v>0</v>
      </c>
      <c r="C208" s="3" t="str">
        <f>VLOOKUP(A208,'Production Plan'!B:F,5,FALSE)</f>
        <v>Leverandøren skal sikre, at ESDH-løsning kan driftes på Driftsmodel 3 (DM3 - Infrastrukturservice) hos Statens IT. Det betyder, at Statens IT har drift og vedligeholdelse for de første fire lag samt ansvar for Kundeoprettelse og pc-klienter i SIT AD. Kunden har ansvar for middleware og applikationsdrift.</v>
      </c>
    </row>
    <row r="209" spans="1:3" hidden="1">
      <c r="A209" s="3" t="str">
        <f>'Production Plan'!B209</f>
        <v>MK-178</v>
      </c>
      <c r="B209" s="3">
        <f>VLOOKUP(A209,'Production Plan'!B:S,15,FALSE)</f>
        <v>0</v>
      </c>
      <c r="C209" s="3" t="str">
        <f>VLOOKUP(A209,'Production Plan'!B:F,5,FALSE)</f>
        <v>Leverandøren skal levere præcise procedurer og dokumentation for, hvordan en eventuel applikationsnær restore udføres. Da den generelle infrastruktur-backup varetages på SIT’s virtualiseringsplatform, skal Leverandøren sikre de nødvendige tekniske vejledninger og anvisninger, så applikationsdata, databaser og Konfigurationer kan genskabes fejlfrit og bringes i stabil drift efter et eventuelt nedbrud.</v>
      </c>
    </row>
    <row r="210" spans="1:3" hidden="1">
      <c r="A210" s="3" t="str">
        <f>'Production Plan'!B210</f>
        <v>MK-179</v>
      </c>
      <c r="B210" s="3" t="str">
        <f>VLOOKUP(A210,'Production Plan'!B:S,15,FALSE)</f>
        <v>Adn: Onlinehjælp</v>
      </c>
      <c r="C210" s="3" t="str">
        <f>VLOOKUP(A210,'Production Plan'!B:F,5,FALSE)</f>
        <v>ESDH-løsningen skal understøtte danske brugervejledninger. Brugervejledningerne skal automatisk opdateres af Leverandøren i forbindelse med nye versioner af Løsningen.</v>
      </c>
    </row>
    <row r="211" spans="1:3" hidden="1">
      <c r="A211" s="3" t="str">
        <f>'Production Plan'!B211</f>
        <v>MK-180</v>
      </c>
      <c r="B211" s="3" t="str">
        <f>VLOOKUP(A211,'Production Plan'!B:S,15,FALSE)</f>
        <v>Adn: Onlinehjælp</v>
      </c>
      <c r="C211" s="3" t="str">
        <f>VLOOKUP(A211,'Production Plan'!B:F,5,FALSE)</f>
        <v>ESDH-løsningen skal understøtte, at Brugeren kan tilgå brugervejledningen direkte fra brugergrænsefladen.</v>
      </c>
    </row>
    <row r="212" spans="1:3" hidden="1">
      <c r="A212" s="3" t="str">
        <f>'Production Plan'!B212</f>
        <v>MK-181</v>
      </c>
      <c r="B212" s="3" t="str">
        <f>VLOOKUP(A212,'Production Plan'!B:S,15,FALSE)</f>
        <v>Adn: Kan vi argumentere for, at admin-hjælpen er teknisk? - hvis vi kan, kan vi sige fuldt opfyldt.</v>
      </c>
      <c r="C212" s="3" t="str">
        <f>VLOOKUP(A212,'Production Plan'!B:F,5,FALSE)</f>
        <v>ESDH-løsningen skal understøtte alt dokumentationen på dansk, foruden den tekniske dokumentation, medmindre andet aftales.</v>
      </c>
    </row>
    <row r="213" spans="1:3" hidden="1">
      <c r="A213" s="3" t="str">
        <f>'Production Plan'!B213</f>
        <v>MK-182</v>
      </c>
      <c r="B213" s="3">
        <f>VLOOKUP(A213,'Production Plan'!B:S,15,FALSE)</f>
        <v>0</v>
      </c>
      <c r="C213" s="3" t="str">
        <f>VLOOKUP(A213,'Production Plan'!B:F,5,FALSE)</f>
        <v>ESDH-løsningen skal understøtte, at brugervejledningerne præsenteres som step by step vejledninger.</v>
      </c>
    </row>
    <row r="214" spans="1:3" hidden="1">
      <c r="A214" s="3" t="str">
        <f>'Production Plan'!B214</f>
        <v>MK-183</v>
      </c>
      <c r="B214" s="3">
        <f>VLOOKUP(A214,'Production Plan'!B:S,15,FALSE)</f>
        <v>0</v>
      </c>
      <c r="C214" s="3" t="str">
        <f>VLOOKUP(A214,'Production Plan'!B:F,5,FALSE)</f>
        <v>ESDH-løsningen skal understøtte opdateret dokumentation, herunder releasenotes, forud for installation af en opgradering af ESDH-løsningen i testmiljøet.</v>
      </c>
    </row>
    <row r="215" spans="1:3" hidden="1">
      <c r="A215" s="3" t="str">
        <f>'Production Plan'!B215</f>
        <v>MK-184</v>
      </c>
      <c r="B215" s="3">
        <f>VLOOKUP(A215,'Production Plan'!B:S,15,FALSE)</f>
        <v>0</v>
      </c>
      <c r="C215" s="3" t="str">
        <f>VLOOKUP(A215,'Production Plan'!B:F,5,FALSE)</f>
        <v>ESDH-løsningen skal understøtte en administratorvejledning, der på en brugervenlig måde beskriver, hvordan ESDH-løsningen administreres. Vejledningen skal give Administratoren den nødvendige viden til at kunne administrere og konfigurere Løsningen.</v>
      </c>
    </row>
    <row r="216" spans="1:3" hidden="1">
      <c r="A216" s="3" t="str">
        <f>'Production Plan'!B216</f>
        <v>MK-185</v>
      </c>
      <c r="B216" s="3">
        <f>VLOOKUP(A216,'Production Plan'!B:S,15,FALSE)</f>
        <v>0</v>
      </c>
      <c r="C216" s="3" t="str">
        <f>VLOOKUP(A216,'Production Plan'!B:F,5,FALSE)</f>
        <v>ESDH-løsningen skal understøtte dokumentation af ESDH-løsningens API. Det indebærer, at der foreligger dokumentation for API’ets funktionalitet, tilgængelige endepunkter, autorisationskrav, datatyper og fejlmeddelelser, så Kunden kan lave egne integrationer uden involvering af Leverandøren.</v>
      </c>
    </row>
    <row r="217" spans="1:3" hidden="1">
      <c r="A217" s="3" t="str">
        <f>'Production Plan'!B217</f>
        <v>MK-186</v>
      </c>
      <c r="B217" s="3" t="str">
        <f>VLOOKUP(A217,'Production Plan'!B:S,15,FALSE)</f>
        <v>Hypercare</v>
      </c>
      <c r="C217" s="3" t="str">
        <f>VLOOKUP(A217,'Production Plan'!B:F,5,FALSE)</f>
        <v>Leverandøren skal yde hypercare i forbindelse med Overtagelsesdagen for Løsningen. Hypercare skal bestå af et dedikeret supportteam, der står til rådighed i Arbejdstiden (kl. 08.00-16.00) til at håndtere og løse fejl af både funktionel og teknisk karakter.</v>
      </c>
    </row>
    <row r="218" spans="1:3" hidden="1">
      <c r="A218" s="3" t="str">
        <f>'Production Plan'!B218</f>
        <v>MK-187</v>
      </c>
      <c r="B218" s="3" t="str">
        <f>VLOOKUP(A218,'Production Plan'!B:S,15,FALSE)</f>
        <v>Hypercare</v>
      </c>
      <c r="C218" s="3" t="str">
        <f>VLOOKUP(A218,'Production Plan'!B:F,5,FALSE)</f>
        <v>Leverandøren skal yde hypercare i en periode på 10 Arbejdsdage startende på Overtagelsesdagen for Løsningen.</v>
      </c>
    </row>
    <row r="219" spans="1:3" hidden="1">
      <c r="A219" s="3" t="str">
        <f>'Production Plan'!B219</f>
        <v>MK-188</v>
      </c>
      <c r="B219" s="3" t="str">
        <f>VLOOKUP(A219,'Production Plan'!B:S,15,FALSE)</f>
        <v>Hypercare</v>
      </c>
      <c r="C219" s="3" t="str">
        <f>VLOOKUP(A219,'Production Plan'!B:F,5,FALSE)</f>
        <v>Leverandøren skal forlænge hypercare-perioden, hvis der ved udløb af de 5 Dage fortsat er uafsluttede kritiske og alvorlige incidents, jf. Bilag 1.h - Servicemål. Hypercare-perioden skal opretholdes, indtil disse fejl er udbedret og godkendt af Kunden.</v>
      </c>
    </row>
    <row r="220" spans="1:3" hidden="1">
      <c r="A220" s="3" t="str">
        <f>'Production Plan'!B220</f>
        <v>MK-189</v>
      </c>
      <c r="B220" s="3" t="str">
        <f>VLOOKUP(A220,'Production Plan'!B:S,15,FALSE)</f>
        <v>ADN: Kravet er selvmodsigende. Tilføjet i QA fanen. Det kan ikke tidsmæssigt lade sig gøre først at starte når den er overstået, og aflevere inden den er afsluttet.</v>
      </c>
      <c r="C220" s="3" t="str">
        <f>VLOOKUP(A220,'Production Plan'!B:F,5,FALSE)</f>
        <v>Ved afslutningen af hypercare-perioden skal Leverandøren udarbejde en rapport, der beskriver status og håndtering af samtlige registrerede fejl. Rapporten skal senest overleveres til Kunden ved afslutning af hypercare.</v>
      </c>
    </row>
    <row r="221" spans="1:3" hidden="1">
      <c r="A221" s="3" t="str">
        <f>'Production Plan'!B221</f>
        <v>MK-190</v>
      </c>
      <c r="B221" s="3" t="str">
        <f>VLOOKUP(A221,'Production Plan'!B:S,15,FALSE)</f>
        <v>Hypercare</v>
      </c>
      <c r="C221" s="3" t="str">
        <f>VLOOKUP(A221,'Production Plan'!B:F,5,FALSE)</f>
        <v>I hypercare-perioden skal Leverandøren og Kunden afholde daglige statusmøder vedrørende overtagelse af Løsningen og eventuelle fejl, der er meldt ind.</v>
      </c>
    </row>
    <row r="222" spans="1:3" hidden="1">
      <c r="A222" s="3" t="str">
        <f>'Production Plan'!B222</f>
        <v>MK-1</v>
      </c>
      <c r="B222" s="3">
        <f>VLOOKUP(A222,'Production Plan'!B:S,15,FALSE)</f>
        <v>0</v>
      </c>
      <c r="C222" s="3" t="str">
        <f>VLOOKUP(A222,'Production Plan'!B:F,5,FALSE)</f>
        <v>ESDH-løsningen skal understøtte Rigsarkivets gældende retningslinjer for anmeldelse og godkendelse af it-systemer fra statslige Myndigheder, jf. Cirkulære om anmeldelse og godkendelse af it-systemer på Retsinformation og gældende regler for generel aflevering af statslige it-systemer, jf. Bekendtgørelse om arkiveringsversioner på Retsinformation.</v>
      </c>
    </row>
    <row r="223" spans="1:3" hidden="1">
      <c r="A223" s="3" t="str">
        <f>'Production Plan'!B223</f>
        <v>MK-2</v>
      </c>
      <c r="B223" s="3">
        <f>VLOOKUP(A223,'Production Plan'!B:S,15,FALSE)</f>
        <v>0</v>
      </c>
      <c r="C223" s="3" t="str">
        <f>VLOOKUP(A223,'Production Plan'!B:F,5,FALSE)</f>
        <v>ESDH-løsningen skal understøtte dansk og engelsk.</v>
      </c>
    </row>
    <row r="224" spans="1:3" hidden="1">
      <c r="A224" s="3" t="str">
        <f>'Production Plan'!B224</f>
        <v>MK-3</v>
      </c>
      <c r="B224" s="3">
        <f>VLOOKUP(A224,'Production Plan'!B:S,15,FALSE)</f>
        <v>0</v>
      </c>
      <c r="C224" s="3" t="str">
        <f>VLOOKUP(A224,'Production Plan'!B:F,5,FALSE)</f>
        <v>ESDH-løsningen skal understøtte en Datamodel med en klar og tydelig beskrivelse af felterne i både frontend og backend.</v>
      </c>
    </row>
    <row r="225" spans="1:3" hidden="1">
      <c r="A225" s="3" t="str">
        <f>'Production Plan'!B225</f>
        <v>MK-4</v>
      </c>
      <c r="B225" s="3">
        <f>VLOOKUP(A225,'Production Plan'!B:S,15,FALSE)</f>
        <v>0</v>
      </c>
      <c r="C225" s="3" t="str">
        <f>VLOOKUP(A225,'Production Plan'!B:F,5,FALSE)</f>
        <v>ESDH-løsningen skal understøtte fremsøgning, sammenstilling og udlevering af personoplysninger om den registrerede i overensstemmelse med GDPR-artikel 15. ESDH-løsningen skal ligeledes understøtte behandling af anmodninger fremsat af en lovlig repræsentant for den registrerede, herunder forældremyndighed eller værgemål. Udleveringen skal kunne leveres i et almindelig læsbart format og skal kunne fremsendes til den registrerede via Digital Post, sikker e-mail og fjernprint.</v>
      </c>
    </row>
    <row r="226" spans="1:3" hidden="1">
      <c r="A226" s="3" t="str">
        <f>'Production Plan'!B226</f>
        <v>MK-5</v>
      </c>
      <c r="B226" s="3">
        <f>VLOOKUP(A226,'Production Plan'!B:S,15,FALSE)</f>
        <v>0</v>
      </c>
      <c r="C226" s="3" t="str">
        <f>VLOOKUP(A226,'Production Plan'!B:F,5,FALSE)</f>
        <v>ESDH-løsningen skal understøtte håndtering af indsigts-, slette- og berigtigelsesanmodninger fra de registrerede i Løsningen.</v>
      </c>
    </row>
    <row r="227" spans="1:3" hidden="1">
      <c r="A227" s="3" t="str">
        <f>'Production Plan'!B227</f>
        <v>MK-6</v>
      </c>
      <c r="B227" s="3" t="str">
        <f>VLOOKUP(A227,'Production Plan'!B:S,15,FALSE)</f>
        <v>ADN: "Sletteregler for alle entiteter", kan vi sige at vi har det på kontakter?</v>
      </c>
      <c r="C227" s="3" t="str">
        <f>VLOOKUP(A227,'Production Plan'!B:F,5,FALSE)</f>
        <v>ESDH-løsningen skal understøtte håndtering af sletteregler, herunder bevaringskoder, for både midlertidig og permanent sletning. ESDH-løsningen skal understøtte, at sletning alene kan foretages af Brugere med de nødvendige rettigheder, herunder at rettigheder til permanent sletning og midlertidig sletning kan adskilles. Sletteregler skal kunne anvendes på alle Entiteter i Løsningen.</v>
      </c>
    </row>
    <row r="228" spans="1:3" hidden="1">
      <c r="A228" s="3" t="str">
        <f>'Production Plan'!B228</f>
        <v>K-1</v>
      </c>
      <c r="B228" s="3" t="str">
        <f>VLOOKUP(A228,'Production Plan'!B:S,15,FALSE)</f>
        <v>ADN: We tend to say yes to this requirement - but it comes with a risc, especially if customer uses same External partner in the implementation project</v>
      </c>
      <c r="C228" s="3" t="str">
        <f>VLOOKUP(A228,'Production Plan'!B:F,5,FALSE)</f>
        <v>ESDH-løsningen skal understøtte, at fejlmeddelelser i ESDH-løsningen inkluderer handlingsanvisning.</v>
      </c>
    </row>
    <row r="229" spans="1:3" hidden="1">
      <c r="A229" s="3" t="str">
        <f>'Production Plan'!B229</f>
        <v>K-2</v>
      </c>
      <c r="B229" s="3">
        <f>VLOOKUP(A229,'Production Plan'!B:S,15,FALSE)</f>
        <v>0</v>
      </c>
      <c r="C229" s="3" t="str">
        <f>VLOOKUP(A229,'Production Plan'!B:F,5,FALSE)</f>
        <v>ESDH-løsningen skal understøtte, at Brugere kan trække og slippe Dokumenter direkte fra e-mailklienter og stifinder til relevante sager.</v>
      </c>
    </row>
    <row r="230" spans="1:3" hidden="1">
      <c r="A230" s="3" t="str">
        <f>'Production Plan'!B230</f>
        <v>K-3</v>
      </c>
      <c r="B230" s="3">
        <f>VLOOKUP(A230,'Production Plan'!B:S,15,FALSE)</f>
        <v>0</v>
      </c>
      <c r="C230" s="3" t="str">
        <f>VLOOKUP(A230,'Production Plan'!B:F,5,FALSE)</f>
        <v>ESDH-løsningen skal understøtte, at der i ESDH-løsningen kan præsenteres en standardliste over alle Dokumenter, hvor konverteringen til PDF-format er mislykket.</v>
      </c>
    </row>
    <row r="231" spans="1:3" hidden="1">
      <c r="A231" s="3" t="str">
        <f>'Production Plan'!B231</f>
        <v>K-4</v>
      </c>
      <c r="B231" s="3" t="str">
        <f>VLOOKUP(A231,'Production Plan'!B:S,15,FALSE)</f>
        <v>ADN: We support this in a combination of global search and advanced search - it isnt specified to be in 1 place.</v>
      </c>
      <c r="C231" s="3" t="str">
        <f>VLOOKUP(A231,'Production Plan'!B:F,5,FALSE)</f>
        <v>ESDH-løsningen skal understøtte, at Brugere kan anvende følgende søgeoperatorer ved fritekstsøgning og søgning i strukturerede felter:
”Og”, ”Eller” og ”Ikke”-søgning
Større end / mindre end (f.eks. ved dato- eller talfelter)
Indeholder 
Lig med (præcis match)</v>
      </c>
    </row>
    <row r="232" spans="1:3" hidden="1">
      <c r="A232" s="3" t="str">
        <f>'Production Plan'!B232</f>
        <v>K-5</v>
      </c>
      <c r="B232" s="3">
        <f>VLOOKUP(A232,'Production Plan'!B:S,15,FALSE)</f>
        <v>0</v>
      </c>
      <c r="C232" s="3" t="str">
        <f>VLOOKUP(A232,'Production Plan'!B:F,5,FALSE)</f>
        <v>ESDH-løsningen skal understøtte, at Brugere kan abonnere på søgninger.</v>
      </c>
    </row>
    <row r="233" spans="1:3" hidden="1">
      <c r="A233" s="3" t="str">
        <f>'Production Plan'!B233</f>
        <v>MK-7</v>
      </c>
      <c r="B233" s="3">
        <f>VLOOKUP(A233,'Production Plan'!B:S,15,FALSE)</f>
        <v>0</v>
      </c>
      <c r="C233" s="3" t="str">
        <f>VLOOKUP(A233,'Production Plan'!B:F,5,FALSE)</f>
        <v>ESDH-løsningen skal understøtte, at Kunden selv uden Leverdørens involvering kan konfigurere slettepolitikker i Løsningens administrationsmodul.</v>
      </c>
    </row>
    <row r="234" spans="1:3" hidden="1">
      <c r="A234" s="3" t="str">
        <f>'Production Plan'!B234</f>
        <v>MK-8</v>
      </c>
      <c r="B234" s="3">
        <f>VLOOKUP(A234,'Production Plan'!B:S,15,FALSE)</f>
        <v>0</v>
      </c>
      <c r="C234" s="3" t="str">
        <f>VLOOKUP(A234,'Production Plan'!B:F,5,FALSE)</f>
        <v>ESDH-løsningen skal understøtte, at klassifikationskoder kan oprettes af Administrator, hvortil Kunden valgfrit kan bestemme hvilke klassifikationskoder Løsningen skal indeholde.</v>
      </c>
    </row>
    <row r="235" spans="1:3" hidden="1">
      <c r="A235" s="3" t="str">
        <f>'Production Plan'!B235</f>
        <v>MK-9</v>
      </c>
      <c r="B235" s="3">
        <f>VLOOKUP(A235,'Production Plan'!B:S,15,FALSE)</f>
        <v>0</v>
      </c>
      <c r="C235" s="3" t="str">
        <f>VLOOKUP(A235,'Production Plan'!B:F,5,FALSE)</f>
        <v>ESDH-løsningen skal understøtte, at Entiteter kan deles mellem Brugere, såfremt adgangene tillader dette.</v>
      </c>
    </row>
    <row r="236" spans="1:3" hidden="1">
      <c r="A236" s="3" t="str">
        <f>'Production Plan'!B236</f>
        <v>MK-10</v>
      </c>
      <c r="B236" s="3">
        <f>VLOOKUP(A236,'Production Plan'!B:S,15,FALSE)</f>
        <v>0</v>
      </c>
      <c r="C236" s="3" t="str">
        <f>VLOOKUP(A236,'Production Plan'!B:F,5,FALSE)</f>
        <v>ESDH-løsningen skal understøtte en klassisk journalplan eller facetteret journalplan i minimum tre niveauer og emneordsfelter.</v>
      </c>
    </row>
    <row r="237" spans="1:3" hidden="1">
      <c r="A237" s="3" t="str">
        <f>'Production Plan'!B237</f>
        <v>MK-11</v>
      </c>
      <c r="B237" s="3">
        <f>VLOOKUP(A237,'Production Plan'!B:S,15,FALSE)</f>
        <v>0</v>
      </c>
      <c r="C237" s="3" t="str">
        <f>VLOOKUP(A237,'Production Plan'!B:F,5,FALSE)</f>
        <v>ESDH-løsningen skal understøtte oprettelse af breve baseret på Kundens brevskabeloner i Dynamic Template.</v>
      </c>
    </row>
    <row r="238" spans="1:3" hidden="1">
      <c r="A238" s="3" t="str">
        <f>'Production Plan'!B238</f>
        <v>MK-12</v>
      </c>
      <c r="B238" s="3">
        <f>VLOOKUP(A238,'Production Plan'!B:S,15,FALSE)</f>
        <v>0</v>
      </c>
      <c r="C238" s="3" t="str">
        <f>VLOOKUP(A238,'Production Plan'!B:F,5,FALSE)</f>
        <v>ESDH-løsningen skal understøtte oprettelse og registrering af sager.</v>
      </c>
    </row>
    <row r="239" spans="1:3" hidden="1">
      <c r="A239" s="3" t="str">
        <f>'Production Plan'!B239</f>
        <v>MK-13</v>
      </c>
      <c r="B239" s="3">
        <f>VLOOKUP(A239,'Production Plan'!B:S,15,FALSE)</f>
        <v>0</v>
      </c>
      <c r="C239" s="3" t="str">
        <f>VLOOKUP(A239,'Production Plan'!B:F,5,FALSE)</f>
        <v>ESDH-løsningen skal understøtte ændring af sagens metadata.</v>
      </c>
    </row>
    <row r="240" spans="1:3" hidden="1">
      <c r="A240" s="3" t="str">
        <f>'Production Plan'!B240</f>
        <v>MK-14</v>
      </c>
      <c r="B240" s="3">
        <f>VLOOKUP(A240,'Production Plan'!B:S,15,FALSE)</f>
        <v>0</v>
      </c>
      <c r="C240" s="3" t="str">
        <f>VLOOKUP(A240,'Production Plan'!B:F,5,FALSE)</f>
        <v>ESDH-løsningen skal understøtte både midlertidig og permanent sletning af sager.</v>
      </c>
    </row>
    <row r="241" spans="1:3" hidden="1">
      <c r="A241" s="3" t="str">
        <f>'Production Plan'!B241</f>
        <v>MK-15</v>
      </c>
      <c r="B241" s="3">
        <f>VLOOKUP(A241,'Production Plan'!B:S,15,FALSE)</f>
        <v>0</v>
      </c>
      <c r="C241" s="3" t="str">
        <f>VLOOKUP(A241,'Production Plan'!B:F,5,FALSE)</f>
        <v>ESDH-løsningen skal understøtte arbejdet med statusser på en sag, f.eks. 'Passiv', 'Under behandling' og 'Lukket' / 'Afsluttet'. ESDH-løsningen skal understøtte, at Kunden selv kan oprette og vedligeholde statuskoder.</v>
      </c>
    </row>
    <row r="242" spans="1:3" hidden="1">
      <c r="A242" s="3" t="str">
        <f>'Production Plan'!B242</f>
        <v>MK-16</v>
      </c>
      <c r="B242" s="3">
        <f>VLOOKUP(A242,'Production Plan'!B:S,15,FALSE)</f>
        <v>0</v>
      </c>
      <c r="C242" s="3" t="str">
        <f>VLOOKUP(A242,'Production Plan'!B:F,5,FALSE)</f>
        <v>ESDH-løsningen skal understøtte, at hver sag tildeles et unikt sagsnummer automatisk ved oprettelse.</v>
      </c>
    </row>
    <row r="243" spans="1:3" hidden="1">
      <c r="A243" s="3" t="str">
        <f>'Production Plan'!B243</f>
        <v>K-6</v>
      </c>
      <c r="B243" s="3" t="str">
        <f>VLOOKUP(A243,'Production Plan'!B:S,15,FALSE)</f>
        <v xml:space="preserve">ADN: This means we must support pretty much "unlimited export to Excel"
 løsningen
CHM: Vi understøtter eksport til Excel/regneark inden for konfigurerede systemgrænser (default 3000). Store udtræk kan håndteres asynkront/batch-orienteret eller via rapport-/dataudtræksfunktion. Kan vi implementere "eDoc Big Search" som udtrækker store søgninger i "off-peak hours"?
</v>
      </c>
      <c r="C243" s="3" t="str">
        <f>VLOOKUP(A243,'Production Plan'!B:F,5,FALSE)</f>
        <v>ESDH-løsningen skal understøtte eksport af det komplette søgeresultat fra brugergrænsefladen til regnearksprogram anvendt af Kundens, men må dog ikke overstige regnearksprogrammets maksimum rækkekapacitet.</v>
      </c>
    </row>
    <row r="244" spans="1:3" hidden="1">
      <c r="A244" s="3" t="str">
        <f>'Production Plan'!B244</f>
        <v>K-7</v>
      </c>
      <c r="B244" s="3">
        <f>VLOOKUP(A244,'Production Plan'!B:S,15,FALSE)</f>
        <v>0</v>
      </c>
      <c r="C244" s="3" t="str">
        <f>VLOOKUP(A244,'Production Plan'!B:F,5,FALSE)</f>
        <v>Løsningen skal understøtte, at relationer mellem standardentiteter og Kundens egne oprettede Entiteter er aktive og navigerbare i brugergrænsefladen. 
Det skal være muligt for Brugeren at klikke på en reference til en relateret Entitet og blive ledt direkte til den pågældende Entitets indhold, metadata og tilknyttede relationer. 
Eksempelvis skal en Bruger, der står på en sag, kunne vælge et relateret Dokument og blive ledt direkte til Dokumentet og dets metadata. Hvis Dokumentet er tilknyttet en kontakt, f.eks. en Udlænding, skal Brugeren tilsvarende kunne klikke på kontakten og blive ledt til kontaktens stamdata, metadata og relaterede sager, Dokumenter eller øvrige relevante Entiteter.</v>
      </c>
    </row>
    <row r="245" spans="1:3" hidden="1">
      <c r="A245" s="3" t="str">
        <f>'Production Plan'!B245</f>
        <v>K-8</v>
      </c>
      <c r="B245" s="3">
        <f>VLOOKUP(A245,'Production Plan'!B:S,15,FALSE)</f>
        <v>0</v>
      </c>
      <c r="C245" s="3" t="str">
        <f>VLOOKUP(A245,'Production Plan'!B:F,5,FALSE)</f>
        <v>ESDH-løsningen skal understøtte, at Brugere kan vælge at modtage notifikationer om handlinger, godkendelser, anmodninger om akter, frister og ændringer på relevante sager. Den enkelte Bruger skal selv kunne vælge notifikationskanal, eksempelvis systemnotifikationer eller e-mail.</v>
      </c>
    </row>
    <row r="246" spans="1:3" hidden="1">
      <c r="A246" s="3" t="str">
        <f>'Production Plan'!B246</f>
        <v>MK-17</v>
      </c>
      <c r="B246" s="3">
        <f>VLOOKUP(A246,'Production Plan'!B:S,15,FALSE)</f>
        <v>0</v>
      </c>
      <c r="C246" s="3" t="str">
        <f>VLOOKUP(A246,'Production Plan'!B:F,5,FALSE)</f>
        <v>ESDH-løsningen skal understøtte, at en Bruger kan ændre sagstype på sager.</v>
      </c>
    </row>
    <row r="247" spans="1:3" hidden="1">
      <c r="A247" s="3" t="str">
        <f>'Production Plan'!B247</f>
        <v>MK-18</v>
      </c>
      <c r="B247" s="3" t="str">
        <f>VLOOKUP(A247,'Production Plan'!B:S,15,FALSE)</f>
        <v>ADN:Configure field called "Fristtype"</v>
      </c>
      <c r="C247" s="3" t="str">
        <f>VLOOKUP(A247,'Production Plan'!B:F,5,FALSE)</f>
        <v>ESDH-løsningen skal understøtte, at der kan indsættes, rettes og fjernes frister på alle sagstyper. Fristen skal som minimum bestå af en fristtype, fristdato og fristansvarlig.</v>
      </c>
    </row>
    <row r="248" spans="1:3" hidden="1">
      <c r="A248" s="3" t="str">
        <f>'Production Plan'!B248</f>
        <v>MK-19</v>
      </c>
      <c r="B248" s="3">
        <f>VLOOKUP(A248,'Production Plan'!B:S,15,FALSE)</f>
        <v>0</v>
      </c>
      <c r="C248" s="3" t="str">
        <f>VLOOKUP(A248,'Production Plan'!B:F,5,FALSE)</f>
        <v>ESDH-løsningen skal understøtte, at Brugere kan indsætte, rette og fjerne én eller flere afdelingsspecifikke frister på sager.</v>
      </c>
    </row>
    <row r="249" spans="1:3" hidden="1">
      <c r="A249" s="3" t="str">
        <f>'Production Plan'!B249</f>
        <v>MK-20</v>
      </c>
      <c r="B249" s="3">
        <f>VLOOKUP(A249,'Production Plan'!B:S,15,FALSE)</f>
        <v>0</v>
      </c>
      <c r="C249" s="3" t="str">
        <f>VLOOKUP(A249,'Production Plan'!B:F,5,FALSE)</f>
        <v>ESDH-løsningen skal understøtte oprettelse af samlesager. Det skal være muligt for Brugeren at tilknytte enkle sager til samlesager.</v>
      </c>
    </row>
    <row r="250" spans="1:3" hidden="1">
      <c r="A250" s="3" t="str">
        <f>'Production Plan'!B250</f>
        <v>MK-21</v>
      </c>
      <c r="B250" s="3" t="str">
        <f>VLOOKUP(A250,'Production Plan'!B:S,15,FALSE)</f>
        <v>ADN: Im unsure what they mean with this requirement.  - is this "Træstrukturen"?</v>
      </c>
      <c r="C250" s="3" t="str">
        <f>VLOOKUP(A250,'Production Plan'!B:F,5,FALSE)</f>
        <v>ESDH-løsningen skal understøtte oprettelsesfunktion til organisering og hierarkisk visning af samling af relaterede sager.</v>
      </c>
    </row>
    <row r="251" spans="1:3" hidden="1">
      <c r="A251" s="3" t="str">
        <f>'Production Plan'!B251</f>
        <v>MK-22</v>
      </c>
      <c r="B251" s="3">
        <f>VLOOKUP(A251,'Production Plan'!B:S,15,FALSE)</f>
        <v>0</v>
      </c>
      <c r="C251" s="3" t="str">
        <f>VLOOKUP(A251,'Production Plan'!B:F,5,FALSE)</f>
        <v>ESDH-løsningen skal understøtte oprettelse af referencer mellem sager ved at etablere links mellem sager. Det skal fremgå tydeligt af den enkelte sag, at den er relateret til en anden.</v>
      </c>
    </row>
    <row r="252" spans="1:3" hidden="1">
      <c r="A252" s="3" t="str">
        <f>'Production Plan'!B252</f>
        <v>MK-23</v>
      </c>
      <c r="B252" s="3">
        <f>VLOOKUP(A252,'Production Plan'!B:S,15,FALSE)</f>
        <v>0</v>
      </c>
      <c r="C252" s="3" t="str">
        <f>VLOOKUP(A252,'Production Plan'!B:F,5,FALSE)</f>
        <v>ESDH-løsningen skal understøtte, at sagens parter kan vises enten i sagens overbliksbillede eller i en dedikeret fane.</v>
      </c>
    </row>
    <row r="253" spans="1:3" hidden="1">
      <c r="A253" s="3" t="str">
        <f>'Production Plan'!B253</f>
        <v>MK-24</v>
      </c>
      <c r="B253" s="3">
        <f>VLOOKUP(A253,'Production Plan'!B:S,15,FALSE)</f>
        <v>0</v>
      </c>
      <c r="C253" s="3" t="str">
        <f>VLOOKUP(A253,'Production Plan'!B:F,5,FALSE)</f>
        <v>ESDH-løsningen skal understøtte, at en kontakt kan tilknyttes til en sag og at kontakten kan have en konkret partsrolle på sagen.</v>
      </c>
    </row>
    <row r="254" spans="1:3" hidden="1">
      <c r="A254" s="3" t="str">
        <f>'Production Plan'!B254</f>
        <v>K-9</v>
      </c>
      <c r="B254" s="3" t="str">
        <f>VLOOKUP(A254,'Production Plan'!B:S,15,FALSE)</f>
        <v xml:space="preserve">ADN: Could a unique ID be the title?
TAO:Jeg læser blot at man skal kunne angive id og værdi i samme billede, ikke samme felt. Så ok for kodetabeller osv.
HFR: Spørgsmål til Ordregiver ift. Hvad behovet er. </v>
      </c>
      <c r="C254" s="3" t="str">
        <f>VLOOKUP(A254,'Production Plan'!B:F,5,FALSE)</f>
        <v>ESDH-løsningen skal understøtte, at Kunden ved oprettelse af egne Kundeoprettede felter, værdilister og tabeller kan angive ID og navngivning i ét og samme oprettelsesbillede.</v>
      </c>
    </row>
    <row r="255" spans="1:3" hidden="1">
      <c r="A255" s="3" t="str">
        <f>'Production Plan'!B255</f>
        <v>MK-25</v>
      </c>
      <c r="B255" s="3">
        <f>VLOOKUP(A255,'Production Plan'!B:S,15,FALSE)</f>
        <v>0</v>
      </c>
      <c r="C255" s="3" t="str">
        <f>VLOOKUP(A255,'Production Plan'!B:F,5,FALSE)</f>
        <v>ESDH-løsningen skal understøtte, at en sag kan overdrages/flyttes til en anden sagsbehandler eller et andet team i organisationen.</v>
      </c>
    </row>
    <row r="256" spans="1:3" hidden="1">
      <c r="A256" s="3" t="str">
        <f>'Production Plan'!B256</f>
        <v>MK-26</v>
      </c>
      <c r="B256" s="3" t="str">
        <f>VLOOKUP(A256,'Production Plan'!B:S,15,FALSE)</f>
        <v>ADN: Configure historic cases with closed Matrix</v>
      </c>
      <c r="C256" s="3" t="str">
        <f>VLOOKUP(A256,'Production Plan'!B:F,5,FALSE)</f>
        <v>ESDH-løsningen skal understøtte, at en formelt afsluttet og lukket sag kan genåbnes af en Bruger, hvis der er behov for at opdatere sagsdata. Sager afleveret til Rigsarkivet skal være undtaget, og skal ikke kunne genåbnes efter aflevering.</v>
      </c>
    </row>
    <row r="257" spans="1:3" hidden="1">
      <c r="A257" s="3" t="str">
        <f>'Production Plan'!B257</f>
        <v>MK-27</v>
      </c>
      <c r="B257" s="3" t="str">
        <f>VLOOKUP(A257,'Production Plan'!B:S,15,FALSE)</f>
        <v>ADN: copy documents is part of eDoc merger, so Yes</v>
      </c>
      <c r="C257" s="3" t="str">
        <f>VLOOKUP(A257,'Production Plan'!B:F,5,FALSE)</f>
        <v>ESDH-løsningen skal understøtte oprettelse af en sagskopi, hvor den oprindelige sags metadata overføres til sagskopien. I forbindelse med oprettelse af sagskopien skal Brugeren valgfrit kunne vælge om sagens parter, Dokumenter og øvrigt metadata skal overføres til sagskopien. Metadata på begge sager skal kunne redigeres efterfølgende.</v>
      </c>
    </row>
    <row r="258" spans="1:3" hidden="1">
      <c r="A258" s="3" t="str">
        <f>'Production Plan'!B258</f>
        <v>K-10</v>
      </c>
      <c r="B258" s="3" t="str">
        <f>VLOOKUP(A258,'Production Plan'!B:S,15,FALSE)</f>
        <v xml:space="preserve">ADN: with FFUI on cases - i can based on the archive (part of the journalplan) set an accessgroup and thereby control access. Is that enough to say yes?
HFR: Process based classification. Undersøg om adgangsgrupper kan bruges i journalplan - product first request. </v>
      </c>
      <c r="C258" s="3" t="str">
        <f>VLOOKUP(A258,'Production Plan'!B:F,5,FALSE)</f>
        <v>ESDH-løsningen skal understøtte, at en Administrator kan tilknytte fast metadata til journalplanen i form af adgangsgrupper og adgangsbegrænsning, når der vælges en foruddefineret journalplansværdi.</v>
      </c>
    </row>
    <row r="259" spans="1:3" hidden="1">
      <c r="A259" s="3" t="str">
        <f>'Production Plan'!B259</f>
        <v>K-11</v>
      </c>
      <c r="B259" s="3" t="str">
        <f>VLOOKUP(A259,'Production Plan'!B:S,15,FALSE)</f>
        <v xml:space="preserve">ADN: We dont have that. "Import/Eksort UI".
HFR: Der findes et commitment needed på denne på denne. Verificér DEV-OPS: https://dev.azure.com/tieto-si/360/_workitems/edit/408184 
Verificeres af Villy Koch
</v>
      </c>
      <c r="C259" s="3" t="str">
        <f>VLOOKUP(A259,'Production Plan'!B:F,5,FALSE)</f>
        <v>ESDH-løsningen skal understøtte, at Kundens Konfiguration af brugergrænsefladen kan eksporteres og importeres på tværs af Kundens it-miljøer (f.eks. fra et test- eller udviklingsmiljø til pre-produktions- og produktionsmiljøet).</v>
      </c>
    </row>
    <row r="260" spans="1:3" hidden="1">
      <c r="A260" s="3" t="str">
        <f>'Production Plan'!B260</f>
        <v>K-12</v>
      </c>
      <c r="B260" s="3" t="str">
        <f>VLOOKUP(A260,'Production Plan'!B:S,15,FALSE)</f>
        <v>ADN: We dont have that "Import/Export webadmin".
HFR: Der findes et commitment needed på denne på denne. Verificér DEV-OPS: https://dev.azure.com/tieto-si/360/_workitems/edit/408184</v>
      </c>
      <c r="C260" s="3" t="str">
        <f>VLOOKUP(A260,'Production Plan'!B:F,5,FALSE)</f>
        <v>ESDH-løsningen skal understøtte, at Kundens Konfiguration fra administratormodulet kan eksporteres og importeres på tværs af Kundens it-miljøer (f.eks. fra et test- eller udviklingsmiljø til pre-produktions- og produktionsmiljøet).</v>
      </c>
    </row>
    <row r="261" spans="1:3" hidden="1">
      <c r="A261" s="3" t="str">
        <f>'Production Plan'!B261</f>
        <v>K-13</v>
      </c>
      <c r="B261" s="3">
        <f>VLOOKUP(A261,'Production Plan'!B:S,15,FALSE)</f>
        <v>0</v>
      </c>
      <c r="C261" s="3" t="str">
        <f>VLOOKUP(A261,'Production Plan'!B:F,5,FALSE)</f>
        <v>ESDH-løsningen skal understøtte, at Løsningens tilknyttede moduler kan administreres i Løsningens administratormodul i form af opsætning og vedligeholdelse.</v>
      </c>
    </row>
    <row r="262" spans="1:3" hidden="1">
      <c r="A262" s="3" t="str">
        <f>'Production Plan'!B262</f>
        <v>K-14</v>
      </c>
      <c r="B262" s="3" t="str">
        <f>VLOOKUP(A262,'Production Plan'!B:S,15,FALSE)</f>
        <v>ADN: We dont have that. - i dont understand why they want it.
HFR: Spørgsmål</v>
      </c>
      <c r="C262" s="3" t="str">
        <f>VLOOKUP(A262,'Production Plan'!B:F,5,FALSE)</f>
        <v>ESDH-løsningen skal understøtte, at en Administrator kan opsætte visning af datoformatet i Løsningen.</v>
      </c>
    </row>
    <row r="263" spans="1:3" hidden="1">
      <c r="A263" s="3" t="str">
        <f>'Production Plan'!B263</f>
        <v>K-15</v>
      </c>
      <c r="B263" s="3" t="str">
        <f>VLOOKUP(A263,'Production Plan'!B:S,15,FALSE)</f>
        <v>ADN: If we use Grant on Document level, we support this</v>
      </c>
      <c r="C263" s="3" t="str">
        <f>VLOOKUP(A263,'Production Plan'!B:F,5,FALSE)</f>
        <v>ESDH-løsningen skal understøtte, at adgang til Dokumenter og Bilag kan tildeles uafhængigt af adgang til den tilhørende sag. Brugere med adgang til et Dokument eller Bilag, men uden adgang til sagen, må ikke kunne tilgå eller se oplysninger om sagens øvrige indhold.</v>
      </c>
    </row>
    <row r="264" spans="1:3" hidden="1">
      <c r="A264" s="3" t="str">
        <f>'Production Plan'!B264</f>
        <v>Tilbudsbrev</v>
      </c>
      <c r="B264" s="3">
        <f>VLOOKUP(A264,'Production Plan'!B:S,15,FALSE)</f>
        <v>0</v>
      </c>
      <c r="C264" s="3" t="str">
        <f>VLOOKUP(A264,'Production Plan'!B:F,5,FALSE)</f>
        <v>Tilbudsbrev</v>
      </c>
    </row>
    <row r="265" spans="1:3" hidden="1">
      <c r="A265" s="3" t="str">
        <f>'Production Plan'!B265</f>
        <v>Bilag 2 Producentens standardvilkår</v>
      </c>
      <c r="B265" s="3">
        <f>VLOOKUP(A265,'Production Plan'!B:S,15,FALSE)</f>
        <v>0</v>
      </c>
      <c r="C265" s="3" t="str">
        <f>VLOOKUP(A265,'Production Plan'!B:F,5,FALSE)</f>
        <v>Bilag 2 Producentens standardvilkår</v>
      </c>
    </row>
    <row r="266" spans="1:3" hidden="1">
      <c r="A266" s="3" t="str">
        <f>'Production Plan'!B266</f>
        <v>Bilag 3 Leverandørens priser</v>
      </c>
      <c r="B266" s="3" t="str">
        <f>VLOOKUP(A266,'Production Plan'!B:S,15,FALSE)</f>
        <v xml:space="preserve">Der er aspekter af Bilag 1a, der er relevante for prissætningen - bla. Hvordan licenser/brug kan afregnes. </v>
      </c>
      <c r="C266" s="3" t="str">
        <f>VLOOKUP(A266,'Production Plan'!B:F,5,FALSE)</f>
        <v>Bilag 3 Leverandørens priser</v>
      </c>
    </row>
    <row r="267" spans="1:3" hidden="1">
      <c r="A267" s="3" t="str">
        <f>'Production Plan'!B267</f>
        <v>ESPD</v>
      </c>
      <c r="B267" s="3">
        <f>VLOOKUP(A267,'Production Plan'!B:S,15,FALSE)</f>
        <v>0</v>
      </c>
      <c r="C267" s="3" t="str">
        <f>VLOOKUP(A267,'Production Plan'!B:F,5,FALSE)</f>
        <v>ESPD</v>
      </c>
    </row>
    <row r="268" spans="1:3" hidden="1">
      <c r="A268" s="3" t="str">
        <f>'Production Plan'!B268</f>
        <v>Bilag 1 - tidsplan og implementering</v>
      </c>
      <c r="B268" s="3">
        <f>VLOOKUP(A268,'Production Plan'!B:S,15,FALSE)</f>
        <v>0</v>
      </c>
      <c r="C268" s="3" t="str">
        <f>VLOOKUP(A268,'Production Plan'!B:F,5,FALSE)</f>
        <v>Bilag 1's krav til tidsplanen inkl. Go-live dato d. 1. oktober 2027</v>
      </c>
    </row>
    <row r="269" spans="1:3" hidden="1">
      <c r="A269" s="3" t="str">
        <f>'Production Plan'!B269</f>
        <v>Bilag 1 - Optioner</v>
      </c>
      <c r="B269" s="3" t="str">
        <f>VLOOKUP(A269,'Production Plan'!B:S,15,FALSE)</f>
        <v xml:space="preserve">OBS: Vi kan stå for ansvaret for deres drift med 20 DAGES varsel.
Option 7 lugter af at vi/KMD evt skal uddanne Deloitte til at håndtere driften for dem.
Vi kan ikke give gå-væk-priser på nogle af disse. De indgår i den evalueringstekniske pris. </v>
      </c>
      <c r="C269" s="3" t="str">
        <f>VLOOKUP(A269,'Production Plan'!B:F,5,FALSE)</f>
        <v xml:space="preserve">Bilag 1's krav om optioner - skal besvares i prisbilaget.
1. 500 timers rådgivning.
2. Superbrugerundervisning.
3. Ekstra Non-prod produkter i samme database.
4. Redundant setup.
5. Databasedrift hos SIT (de overdrager ansvaret til leverandøren).
6. Sandkassemiljø.
7. Undervisning af kundens driftpersionale i drift af applikationen. </v>
      </c>
    </row>
    <row r="270" spans="1:3" hidden="1">
      <c r="A270" s="3" t="str">
        <f>'Production Plan'!B270</f>
        <v>Bilag 1 - Sikkerhed</v>
      </c>
      <c r="B270" s="3">
        <f>VLOOKUP(A270,'Production Plan'!B:S,15,FALSE)</f>
        <v>0</v>
      </c>
      <c r="C270" s="3" t="str">
        <f>VLOOKUP(A270,'Production Plan'!B:F,5,FALSE)</f>
        <v>Verificering af sikkerhedskrav, inkl.:
Leverandørens medarbejdere, der skal understøtte Kunden i Leveringskontraktens levetid, skal sikkerhedsgodkendes jf. Leveringskontrakten pkt. 11.</v>
      </c>
    </row>
    <row r="271" spans="1:3" hidden="1">
      <c r="A271" s="3" t="str">
        <f>'Production Plan'!B271</f>
        <v>B1.A-1</v>
      </c>
      <c r="B271" s="3">
        <f>VLOOKUP(A271,'Production Plan'!B:S,15,FALSE)</f>
        <v>0</v>
      </c>
      <c r="C271" s="3" t="str">
        <f>VLOOKUP(A271,'Production Plan'!B:F,5,FALSE)</f>
        <v>Leverandøren kan ikke ændre optællingsmetoden af anvendte og installerede produkter anskaffet under Leveringskontrakten. Optællingsmetoden henviser til at der for de i Leverandørens tilbud anførte produkter ikke kan ændres på afregningsformen i antal navngivne Brugere, devices, processorer etc.</v>
      </c>
    </row>
    <row r="272" spans="1:3" hidden="1">
      <c r="A272" s="3" t="str">
        <f>'Production Plan'!B272</f>
        <v>B1.A-2</v>
      </c>
      <c r="B272" s="3">
        <f>VLOOKUP(A272,'Production Plan'!B:S,15,FALSE)</f>
        <v>0</v>
      </c>
      <c r="C272" s="3" t="str">
        <f>VLOOKUP(A272,'Production Plan'!B:F,5,FALSE)</f>
        <v>Der afregnes efter Kundens brug af programmellet. Afregningsformen kan ikke ændres på allerede erhvervede licenser. Dette kan være optalt i enten antallet af f.eks. Brugere, processorer eller devices. Leverandøren er ikke berettiget til at lade kundespecifikke forhold af demografisk eller geografisk karakter have direkte eller indirekte indflydelse på afregningsformen, med mindre andet eksplicit er aftalt.</v>
      </c>
    </row>
    <row r="273" spans="1:3" hidden="1">
      <c r="A273" s="3" t="str">
        <f>'Production Plan'!B273</f>
        <v>B1.A-3</v>
      </c>
      <c r="B273" s="3" t="str">
        <f>VLOOKUP(A273,'Production Plan'!B:S,15,FALSE)</f>
        <v xml:space="preserve">Dette betyder, at de kan udvide brugen til hele koncernen, hvis de ønsker. </v>
      </c>
      <c r="C273" s="3" t="str">
        <f>VLOOKUP(A273,'Production Plan'!B:F,5,FALSE)</f>
        <v>Under de vilkår der er angivet i Leveringskontraktens bestemmelser om ændringer, står det Kunden frit for at anvende det indkøbte programmel indenfor Kundens koncern og nye eller ændrede myndigheder/koncerner etableret eller ændret f.eks. pga. omstruktureringer/ressortomlægninger, idet Kunden meddeler dette til Leverandøren og underskriver sædvanlige standardiserede navneændring/overdragelsesdokumenter overfor Leverandøren. Kunder som køber ind via Det dynamiske indkøbssystem på vegne af øvrige statslige Myndigheder kan uhindret og vederlagsfrit flytte licenser mellem statslige Myndigheder. Tilsvarende gælder imellem kommuner, regioner og lignende. Den organisatoriske anvendelsesret omfatter både tidsubegrænsede og tidsbegrænsede licenser / on-premise og cloud.</v>
      </c>
    </row>
    <row r="274" spans="1:3" hidden="1">
      <c r="A274" s="3" t="str">
        <f>'Production Plan'!B274</f>
        <v>B1.A-4</v>
      </c>
      <c r="B274" s="3">
        <f>VLOOKUP(A274,'Production Plan'!B:S,15,FALSE)</f>
        <v>0</v>
      </c>
      <c r="C274" s="3" t="str">
        <f>VLOOKUP(A274,'Production Plan'!B:F,5,FALSE)</f>
        <v>Kunden har ret til at installere og drifte det indkøbte programmel på alle fysiske lokationer, der er knyttet til Myndigheden/koncernen og dennes ressortområder/datterselskaber. Denne ret er ikke begrænset til afvikling af softwaren i Danmark, men gælder i alle lande hvor Myndigheden/koncernen opererer.</v>
      </c>
    </row>
    <row r="275" spans="1:3" hidden="1">
      <c r="A275" s="3" t="str">
        <f>'Production Plan'!B275</f>
        <v>B1.A-5</v>
      </c>
      <c r="B275" s="3" t="str">
        <f>VLOOKUP(A275,'Production Plan'!B:S,15,FALSE)</f>
        <v>Vi plejer ikke at skulle advisere dem, men vi kan bare udmelde i begyndelsen af året, hvornår vi gør det.</v>
      </c>
      <c r="C275" s="3" t="str">
        <f>VLOOKUP(A275,'Production Plan'!B:F,5,FALSE)</f>
        <v>Såfremt Producenten/Leverandøren ønsker at gennemføre et audit af Kundens licensbeholdning gælder et almindeligt varsel på 60 kalenderdage inden audit må gennemføres. Leverandøren betaler auditomkostningerne (internt tidsforbrug hos henholdsvis Kunden og Leverandøren/Producenten, kan ikke opkræves), hvis omfanget af non-compliance ikke overstiger 15% af organisationens samlede licens- og supportomkostninger for Leveringskontraktens foregående år. I tilfælde af audit, hvor audit gennemføres af tredjepart (f.eks. et revisionsfirma) har Kunden ret til at afvise Leverandørens auditør, hvis Kunden kan sandsynliggøre at der er forhold, der gør auditøren inhabil. I særlige tilfælde f.eks. i forbindelse med organisationsændringer eller fusioner har Kunden ret til udsættelse på 60 kalenderdage udover det almindelige varsel Leverandøren er pålagt.</v>
      </c>
    </row>
    <row r="276" spans="1:3" hidden="1">
      <c r="A276" s="3" t="str">
        <f>'Production Plan'!B276</f>
        <v>B1.A-6</v>
      </c>
      <c r="B276" s="3" t="str">
        <f>VLOOKUP(A276,'Production Plan'!B:S,15,FALSE)</f>
        <v>Som det er for de fleste kunder i dag.</v>
      </c>
      <c r="C276" s="3" t="str">
        <f>VLOOKUP(A276,'Production Plan'!B:F,5,FALSE)</f>
        <v>I tilfælde af at Leverandøren/Producenten gennemfører et audit, og der anvendes flere licenser/services, end der er indkøbt, er Kunden forpligtet til at betale for de manglende licenser/services og eventuel support. Det er de i Leveringskontrakten allerede angivne priser som skal anvendes.</v>
      </c>
    </row>
    <row r="277" spans="1:3" hidden="1">
      <c r="A277" s="3" t="str">
        <f>'Production Plan'!B277</f>
        <v>B1.A-7</v>
      </c>
      <c r="B277" s="3" t="str">
        <f>VLOOKUP(A277,'Production Plan'!B:S,15,FALSE)</f>
        <v xml:space="preserve">Prispåvirkning - dette kan være dyrt.
AOP: hvorfor skriver de om drift til os? Læs kontekst i dokument og stil evt. spørgsmål. </v>
      </c>
      <c r="C277" s="3" t="str">
        <f>VLOOKUP(A277,'Production Plan'!B:F,5,FALSE)</f>
        <v>Ved migrering af drift fra et system til et andet eller ved skift af driftsleverandør, har Kunden ret til vederlagsfrit at dobbeltdrifte i en periode på op til 4 måneder, hvor systemet migreres fra et driftsmiljø til et andet.</v>
      </c>
    </row>
    <row r="278" spans="1:3" hidden="1">
      <c r="A278" s="3" t="str">
        <f>'Production Plan'!B278</f>
        <v>B1.A-8</v>
      </c>
      <c r="B278" s="3" t="str">
        <f>VLOOKUP(A278,'Production Plan'!B:S,15,FALSE)</f>
        <v>Maybe Viktoria?</v>
      </c>
      <c r="C278" s="3" t="str">
        <f>VLOOKUP(A278,'Production Plan'!B:F,5,FALSE)</f>
        <v>Kunden ejer alt genereret data som selvstændigt er skabt af Kunden ved hjælp af det installerede standardsoftware, tidsubegrænset og vederlagsfrit. Kunden kan frit bruge og distribuere data, såfremt dette ikke strider mod tredjemands rettigheder. Med data forstås for eksempel borgerdata, rapporter, tekster eller regneeksempler, der risikerer at gå tabt ved skift af platform. Såfremt Leveringskontrakten ophører, skal Leverandøren vederlagsfrit sikre at Kunden kan få adgang til data og dataoverflytning i 90 Dage.</v>
      </c>
    </row>
    <row r="279" spans="1:3" hidden="1">
      <c r="A279" s="3" t="str">
        <f>'Production Plan'!B279</f>
        <v>B1.A-9</v>
      </c>
      <c r="B279" s="3" t="str">
        <f>VLOOKUP(A279,'Production Plan'!B:S,15,FALSE)</f>
        <v>Betyder dette, at de kan få adgang til vores kildekode? At de vil kopiere vores kildekode og gøre med det, hvad de vil? Dette kan vi IKKE leve med.</v>
      </c>
      <c r="C279" s="3" t="str">
        <f>VLOOKUP(A279,'Production Plan'!B:F,5,FALSE)</f>
        <v>Kunden har ret til at: - Fremstille et sikkerhedseksemplar af standardsoftwaren, for så vidt det er nødvendigt for benyttelsen af Standardsoftwaren - Besigtige, undersøge eller afprøve standardsoftwaren for at fastslå, hvilke ideer og principper der ligger til grund for de enkelte elementer i programmet, hvis dette sker i forbindelse med sådan indlæsning, visning på skærm, kørsel, overførsel, lagring eller lignende af programmet, som vedkommende er berettiget til at udføre. Kunder der har ret til at benytte en database, må desuden foretage sådanne handlinger, som er nødvendige for, at den pågældende kan få adgang til databasens indhold og gøre normal brug af dette.</v>
      </c>
    </row>
    <row r="280" spans="1:3" hidden="1">
      <c r="A280" s="3" t="str">
        <f>'Production Plan'!B280</f>
        <v>B1.A-10</v>
      </c>
      <c r="B280" s="3" t="str">
        <f>VLOOKUP(A280,'Production Plan'!B:S,15,FALSE)</f>
        <v xml:space="preserve">Dette er nok skrevet ind for at Deloitte kan arbejde for dem. </v>
      </c>
      <c r="C280" s="3" t="str">
        <f>VLOOKUP(A280,'Production Plan'!B:F,5,FALSE)</f>
        <v>Kunden må frit benytte tredjemands bistand til forvaltning og drift af det leverede standardsoftware. Leverandøren kan stille krav til indgåelse af en skriftlig aftale imellem Kunden, Leverandøren og den pågældende tredjemand vedrørende vilkårene for tredjemands drift af det leverede programmel, forudsat at en sådan aftale ikke indeholder en særskilt pris herfor.</v>
      </c>
    </row>
    <row r="281" spans="1:3" hidden="1">
      <c r="A281" s="3" t="str">
        <f>'Production Plan'!B281</f>
        <v>B1.A-11</v>
      </c>
      <c r="B281" s="3" t="str">
        <f>VLOOKUP(A281,'Production Plan'!B:S,15,FALSE)</f>
        <v>AOP: Indregn SIF i prisen</v>
      </c>
      <c r="C281" s="3" t="str">
        <f>VLOOKUP(A281,'Production Plan'!B:F,5,FALSE)</f>
        <v>Kunden skal stilles det fulde ESDH Standard API til rådighed for Kundens systemer. Al Kundens adgang, integration og forbrug af API'et er inkluderet uden yderligere omkostninger, og Leverandøren kan ikke opkræve yderligere gebyrer, uanset mængden af integrationer eller datatransaktioner, således at der ikke opkræves licensudgift pr. applikation.</v>
      </c>
    </row>
    <row r="282" spans="1:3" hidden="1">
      <c r="A282" s="3" t="str">
        <f>'Production Plan'!B282</f>
        <v>B1.F-1</v>
      </c>
      <c r="B282" s="3">
        <f>VLOOKUP(A282,'Production Plan'!B:S,15,FALSE)</f>
        <v>0</v>
      </c>
      <c r="C282" s="3" t="str">
        <f>VLOOKUP(A282,'Production Plan'!B:F,5,FALSE)</f>
        <v>Oversigt over prøver, prøveudførende og miljø Dette afsnit beskriver de prøver, der skal gennemføres ved etableringen af ESDH-løsningen. Kundens pre-produktionsmiljø vil blive anvendt i alle prøver på nær konverteringsprøven og Driftsprøven. Tabel 1 – Oversigt over prøver, prøveudførende og ansvarlig samt miljø. Prøve Prøveudførende og ansvarlig Leverandør Leverandør Leverandøren sammen med SIT og Kunden Miljø Separat miljø til migreringstest – etableres af Kunden men ESDH-løsning leveres af leverandør Kundens pre-produktionsmiljø Kundens pre-produktionsmiljø Kundens produktionsmiljø 1. 2. 3. Installationsprøve Performanceprøve Sikkerhedsprøve inkl. Disaster Recovery 4. Konverteringsprøve Leverandør i samarbejde med Kunden 5. 6. 7. Accepttest - UAT Overtagelsesprøve Driftsprøve Kunden Leverandør Kunden Kundens pre-produktionsmiljø Kundens pre-produktionsmiljø Kundens pre-produktionsmiljø Bemærkning Leverandøren skal dokumentere, at sikkerhedskravene er opfyldt gennem en sikkerhedsprøve 3</v>
      </c>
    </row>
    <row r="283" spans="1:3" hidden="1">
      <c r="A283" s="3" t="str">
        <f>'Production Plan'!B283</f>
        <v>B1.F-2</v>
      </c>
      <c r="B283" s="3">
        <f>VLOOKUP(A283,'Production Plan'!B:S,15,FALSE)</f>
        <v>0</v>
      </c>
      <c r="C283" s="3" t="str">
        <f>VLOOKUP(A283,'Production Plan'!B:F,5,FALSE)</f>
        <v>Testdokumentation Leverandøren skal planlægge, dokumentere, gennemføre og rapportere alle prøver i overensstemmelse med de relevante dele af IEEE 29119-serien, herunder særligt testprocesser, testdokumentation og testteknikker. Testterminologi, definitioner og begreber skal følge den til enhver tid gældende ISTQB glossary på dansk. Leverandøren kan anvende egne metoder og værktøjer, forudsat at disse dokumenter understøtter kravene i dette prøvebilag. Leverandøren skal som en del af testprocesserne bl.a. udarbejde følgende dokumentation i forbindelse med prøverne: • • • Testplan. Testcases. Prøverapport.</v>
      </c>
    </row>
    <row r="284" spans="1:3" hidden="1">
      <c r="A284" s="3" t="str">
        <f>'Production Plan'!B284</f>
        <v>B1.F-3</v>
      </c>
      <c r="B284" s="3">
        <f>VLOOKUP(A284,'Production Plan'!B:S,15,FALSE)</f>
        <v>0</v>
      </c>
      <c r="C284" s="3" t="str">
        <f>VLOOKUP(A284,'Production Plan'!B:F,5,FALSE)</f>
        <v>Testplan Leverandøren er ansvarlig for testplaner for alle prøver. Testplaner skal godkendes af Kunden. Leverandøren instrueres i til at fremsende den endelige testplan for en prøve til Kunden senest 20 Arbejdsdage inden prøvens påbegyndelse, jf. den for prøven gældende testtidsplan. Den endelige testplan for en prøve skal godkendes af Kunden forud for gennemførelse af den pågældende prøve. Eventuelle ændringsforslag fra Kunden skal fremsendes til Leverandøren. Herefter indarbejder Leverandøren Kundens ændringer i den endelige testplan, der skal foreligge 10 Arbejdsdage før prøvens start. Såfremt Kunden ikke fremsender skriftlige indsigelser til Leverandøren inden for 5 Arbejdsdage efter modtagelse, betragtes testplanen for prøven som godkendt. Testplanen skal tilpasses den konkrete prøve. Testplanen skal som minimum indeholde følgende: • • • • • • • • Indledning med begrundelse for valgt prøve- og testtilgang. Prøvens formål, omfang og kontekst: Hvad der skal afprøves. Testcases: Hvilke der indgår, og hvornår de skal afprøves. Omfanget af prøven udtrykt ved antallet af konkrete testcases, der planlægges gennemført. Oversigt over testcases, dækningsgrad for testen op mod krav, herunder en redegørelse for dækningsgradens tilstrækkelighed. Testdata: Hvordan de dannes eller genereres, og hvordan det sikres, at de dækker tilstrækkeligt for en grundig afprøvning. Kundens deltagelse: Roller, ansvar, omfang og tidspunkt, herunder levering af data. Leverandørens proces skal tilrettelægges, så Kundens indsats minimeres. Testressourcer, der kræves for at gennemføre prøven. 4 • • • Ansvarsfordeling, så det fremgår hvilke testressourcer, der skal gennemføre hvilke testaktiviteter. Tidsplan for prøvegennemførelsen. Anvendelse af specifikke metoder, teknikker og værktøjer herunder automatisering.</v>
      </c>
    </row>
    <row r="285" spans="1:3" hidden="1">
      <c r="A285" s="3" t="str">
        <f>'Production Plan'!B285</f>
        <v>B1.F-4</v>
      </c>
      <c r="B285" s="3">
        <f>VLOOKUP(A285,'Production Plan'!B:S,15,FALSE)</f>
        <v>0</v>
      </c>
      <c r="C285" s="3" t="str">
        <f>VLOOKUP(A285,'Production Plan'!B:F,5,FALSE)</f>
        <v>Testcases Leverandøren er ansvarlig for at udarbejde og tilrettelægge testcases for de prøver, der er defineret i de respektive prøveplaner. Testcases skal godkendes af Kunden. Kunden overtager testcases udarbejdet af Leverandøren som del af en prøve. De enkelte testcase skal som minimum indeholde: 1. Entydig identifikation af testcasen. 2. Sporbarhed til det krav, som testcasen vedrører. 3. Betingelser for påbegyndelse, f.eks. testdata, testværktøjer, relationer til andre test og evt. forudsætninger for gennemførelse. 4. Input data. 5. Handling (aktioner). 6. Forventet resultat. 7. Betingelser for afslutning.</v>
      </c>
    </row>
    <row r="286" spans="1:3" hidden="1">
      <c r="A286" s="3" t="str">
        <f>'Production Plan'!B286</f>
        <v>B1.F-5</v>
      </c>
      <c r="B286" s="3">
        <f>VLOOKUP(A286,'Production Plan'!B:S,15,FALSE)</f>
        <v>0</v>
      </c>
      <c r="C286" s="3" t="str">
        <f>VLOOKUP(A286,'Production Plan'!B:F,5,FALSE)</f>
        <v>Prøverapport Når en prøve er gennemført, skal Leverandøren straks, og senest 5 Arbejdsdage efter prøvens gennemførelse, udarbejde en prøverapport for prøven. Prøverapporten skal dokumentere prøveforløbet og skal som minimum indeholde følgende: • • • • • • • • • Resume med hovedkonklusioner af den prøve der har været udført. Prøvekontekst. Det vil sige hvad der er prøvet og ikke prøvet, prøvens omfang, antagelser og begrænsninger samt hvilke testdata, der er anvendt. Eventuelle afvigelser fra prøveplanen, herunder begrundelser og angivelse af, hvilke krav og testcases, der ikke er testet. Oversigt over testcases, der er afprøvet, samt resultaterne. Evaluering af de i prøveplanen aftalte godkendelseskriterier. Faktorer der evt. blokerede fremdrift i prøven. Test-metrikker: o antal testcases udført, ▪ antal testcases gennemført med succes, ▪ antal testcases der resulterer i fejl, ▪ antal testcases ikke fuldført. o antal fejl med prioritet 1, 2, 3 og 4. o opnået dækningsgrad målt fra kravene op mod testcases. Fejlliste med eventuelt konstaterede fejl. Fejllisten skal angive: o Hvilke fejl der er fundet under prøven. o I hvilken testcase fejlen er konstateret. o Leverandørens forslag til fejlkategori. Status på og Leverandørens foreslåede plan for afhjælpning af de identificerede fejl. 5 • • Tilbageværende risici, som ikke er blevet berørt i prøven. Samlet resultatet af den gennemførte prøve med anbefaling til Kunden på baggrund af resultatet. Kunden skal godkende Leverandørens forslag til kategoriseringen af udestående fejl, som fremgår af Prøverapporten. Af prøverapporten skal der desuden fremgå en handlingsplan, der beskriver, hvordan og hvornår fejl udbedres, såfremt Kunden bestiller dette iværksat.</v>
      </c>
    </row>
    <row r="287" spans="1:3" hidden="1">
      <c r="A287" s="3" t="str">
        <f>'Production Plan'!B287</f>
        <v>B1.F-6</v>
      </c>
      <c r="B287" s="3">
        <f>VLOOKUP(A287,'Production Plan'!B:S,15,FALSE)</f>
        <v>0</v>
      </c>
      <c r="C287" s="3" t="str">
        <f>VLOOKUP(A287,'Production Plan'!B:F,5,FALSE)</f>
        <v>Testmiljøer Det fremtidige systemlandskab skal bestå af to separate miljøer (NON-PROD og Produktion) til håndtering af Kundens ESDH-instanser, hvor Leverandøren skal installere ESDH-løsningen. Leverandøren skal desuden stille deres ESDH-løsning til rådighed hos SIT i et konverteringsmiljø, hvor leverandøren kan gennemføre og verificere konverteringen. Det aftales forud for gennemførelse af en testaktivitet, som del af en prøve, i hvilket miljø testaktiviteten gennemføres i.</v>
      </c>
    </row>
    <row r="288" spans="1:3" hidden="1">
      <c r="A288" s="3" t="str">
        <f>'Production Plan'!B288</f>
        <v>B1.F-7</v>
      </c>
      <c r="B288" s="3">
        <f>VLOOKUP(A288,'Production Plan'!B:S,15,FALSE)</f>
        <v>0</v>
      </c>
      <c r="C288" s="3" t="str">
        <f>VLOOKUP(A288,'Production Plan'!B:F,5,FALSE)</f>
        <v>Testdata Leverandøren skal sikre, at der er de nødvendige testdata til rådighed til brug for de prøver, som Leverandøren under Kundens instruktionsbeføjelse bliver ansvarlig for afholdelsen af. Prøver skal, så vidt muligt, gennemføres med kundenært data. Hvis en Prøve kræver særlige testdata, skal Leverandøren udarbejde og stille de nødvendige data til rådighed for Kunden. Testdata skal være af en sådan kvalitet, omfang, variation og relevans, at de prøver, de skal anvendes i forbindelse med, får en så høj grad af realisme som muligt. Testdata i relation til performanceprøven kræver, at der findes mindst 8.000.000 Dokumenter i Løsningen på 2.000.000 sager med samlet 7 terabyte data. De 8.000.000 Dokumenter skal være fordelt i små, almindelige og store dokumentstørrelser som vist i Tabel 2. Der skal også være nogle Dokumenter med maksimum størrelse. Tabel 2 -- Dokumentstørrelser. Dokumenter er delt i tre niveauer Små Almindelige Store Maksimum Størrelse</v>
      </c>
    </row>
    <row r="289" spans="1:3" hidden="1">
      <c r="A289" s="3" t="str">
        <f>'Production Plan'!B289</f>
        <v>B1.F-8</v>
      </c>
      <c r="B289" s="3">
        <f>VLOOKUP(A289,'Production Plan'!B:S,15,FALSE)</f>
        <v>0</v>
      </c>
      <c r="C289" s="3" t="str">
        <f>VLOOKUP(A289,'Production Plan'!B:F,5,FALSE)</f>
        <v>Roller og ansvar Leverandøren har under Kundens instruktionsbeføjelse det overordnede ansvar for al planlægning og udførsel af alle tests og prøver, dog undtaget de dele af testen, som Kunden påtager sig ansvaret for. Leverandøren skal levere de nødvendige ressourcer, som har viden om og forståelse for de nødvendige testaktiviteter.</v>
      </c>
    </row>
    <row r="290" spans="1:3" hidden="1">
      <c r="A290" s="3" t="str">
        <f>'Production Plan'!B290</f>
        <v>B1.F-9</v>
      </c>
      <c r="B290" s="3">
        <f>VLOOKUP(A290,'Production Plan'!B:S,15,FALSE)</f>
        <v>0</v>
      </c>
      <c r="C290" s="3" t="str">
        <f>VLOOKUP(A290,'Production Plan'!B:F,5,FALSE)</f>
        <v>Kriterier for påbegyndelse af prøver De enkelte prøver kan påbegyndes når følgende kriterier er opfyldt: • • • Når Leverandøren har installeret ESDH-løsningen i Kundens miljø. Kunden har godkendt Leverandørens prøveplan for den konkrete prøve. Kunden har godkendt Leverandørens testcases, der er relevante for den konkrete prøve. For Installationsprøven er der yderligere kriterier, før prøven kan påbegyndes: • Leverandøren skal have udført egne interne test og der ikke er åbne fejl af prioritet 1 og 2 som følge af denne test. For konverteringsprøven er der yderligere kriterier, før prøven kan påbegyndes: • Kunden har godkendt Leverandørens testcases, hvor alle mapningsregler er dækket.</v>
      </c>
    </row>
    <row r="291" spans="1:3" hidden="1">
      <c r="A291" s="3" t="str">
        <f>'Production Plan'!B291</f>
        <v>B1.F-10</v>
      </c>
      <c r="B291" s="3">
        <f>VLOOKUP(A291,'Production Plan'!B:S,15,FALSE)</f>
        <v>0</v>
      </c>
      <c r="C291" s="3" t="str">
        <f>VLOOKUP(A291,'Production Plan'!B:F,5,FALSE)</f>
        <v>Prøvens afvikling Leverandøren skal gennemføre den konkrete prøve som en del af Leverandørens Leverance. Den konkrete prøve skal være bestået senest 5 Arbejdsdage efter igangsættelse med mindre andet aftales. Leverandøren skal i den konkrete prøve indeholde udvalgte testaktiviteter, som Leverandøren foreslår. Omfanget af den konkrete prøve, herunder hvilke testaktiviteter, der inkluderes, fastlægges endeligt sammen med Kunden ved Kundens godkendelse af prøveplanen for den konkrete prøve. Ved afslutningen af den konkrete prøve udarbejder og fremsender Leverandøren senest 5 Arbejdsdage efter udførsel prøverapport til Kunden med indhold som beskrevet i afsnit 2.4 inkl. angivelse af resultatet, herunder eventuelle konstaterede fejl.</v>
      </c>
    </row>
    <row r="292" spans="1:3" hidden="1">
      <c r="A292" s="3" t="str">
        <f>'Production Plan'!B292</f>
        <v>B1.F-11</v>
      </c>
      <c r="B292" s="3">
        <f>VLOOKUP(A292,'Production Plan'!B:S,15,FALSE)</f>
        <v>0</v>
      </c>
      <c r="C292" s="3" t="str">
        <f>VLOOKUP(A292,'Production Plan'!B:F,5,FALSE)</f>
        <v>Generelle godkendelseskriterier for prøver For hver prøve gælder som godkendelseskriterium, at test/prøve-rapporten for testen/prøven dokumenterer, at testplanen er fulgt, og at resultaterne af den pågældende test/prøve dokumenteret at godkendelses-kriterier for testen/prøven er opnået. De enkelte test/prøver anses for godkendt, når følgende kriterier er opfyldt: • • • • Der er sporbarhed fra alle krav relevante for den konkrete test/prøve til testcases, så det sikres, at alle krav er teste for den konkrete test/prøve. Alle planlagte testcases er gennemført. Der forekommer ingen åbne fejl med prioritet 1 eller prioritet 2. Der forekommer højst 10 åbne fejl med prioritet 3 og samlet højst 20 åbne fejl med prioritet 4. Leverandøren skal endvidere have udarbejdet en plan for levering af rettelser for udstående fejl ved testen/prøvens afslutning. Kunden skal som del af godkendelsen af en prøve, godkende planen for rettelser af fejl, hvorefter planerne indgår i Leverancen i det videre forløb. En test/prøve kan kun godkendes, hvis der ikke findes fejl med prioritet 1 og 2, jf. fejlkategorier i afsnit 5. Kunden godkender i udgangspunktet ikke en prøve, såfremt der foreligger mere end 30 prioritet 3 og 4 fejl tilsammen medmindre andet er aftalt i testplan godkendt af Kunden, jf. fejlkategorier i afsnit 5.</v>
      </c>
    </row>
    <row r="293" spans="1:3" hidden="1">
      <c r="A293" s="3" t="str">
        <f>'Production Plan'!B293</f>
        <v>B1.F-12</v>
      </c>
      <c r="B293" s="3">
        <f>VLOOKUP(A293,'Production Plan'!B:S,15,FALSE)</f>
        <v>0</v>
      </c>
      <c r="C293" s="3" t="str">
        <f>VLOOKUP(A293,'Production Plan'!B:F,5,FALSE)</f>
        <v>Ikke godkendt prøve Hvis godkendelseskriterierne for en prøve ikke er opfyldt, eller prøvens testplan ikke er fulgt, har Kunden mulighed for ikke at godkende prøven, hvorefter Kunden vil instruere Leverandøren ift. at gentage prøven. 8</v>
      </c>
    </row>
    <row r="294" spans="1:3" hidden="1">
      <c r="A294" s="3" t="str">
        <f>'Production Plan'!B294</f>
        <v>B1.F-13</v>
      </c>
      <c r="B294" s="3">
        <f>VLOOKUP(A294,'Production Plan'!B:S,15,FALSE)</f>
        <v>0</v>
      </c>
      <c r="C294" s="3" t="str">
        <f>VLOOKUP(A294,'Production Plan'!B:F,5,FALSE)</f>
        <v>Fejlrapporteringsværktøj Kunden stiller værktøjet Jira til rådighed, hvori fejl fundet som del af prøver rapporteres. Fejl dokumenteres i Jira, med reference til hvilken testcase, der har afsløret fejlen. Dette sikrer en god proces for gentest ved fejlrettelser.</v>
      </c>
    </row>
    <row r="295" spans="1:3" hidden="1">
      <c r="A295" s="3" t="str">
        <f>'Production Plan'!B295</f>
        <v>B1.F-14</v>
      </c>
      <c r="B295" s="3">
        <f>VLOOKUP(A295,'Production Plan'!B:S,15,FALSE)</f>
        <v>0</v>
      </c>
      <c r="C295" s="3" t="str">
        <f>VLOOKUP(A295,'Production Plan'!B:F,5,FALSE)</f>
        <v>Teststyringsværktøj Kunden stiller teststyringsværktøjet Xray til rådighed. Xray er et plugin til Atlassian Jira hvori testcases skal oprettes/dokumenteres, testforløb skal planlægges og testresultater skal dokumenteres. Testcases kan importeres via en CSV-fil, hvis Leverandøren har testcases i et andet værktøj i dag. Det er muligt at læse mere om Xray Enterprise - Test Management for Jira via Atlassian Marketplace. Sporbarheden skal dokumenteres fra testcase til det unik krav som testcases dækker.</v>
      </c>
    </row>
    <row r="296" spans="1:3" hidden="1">
      <c r="A296" s="3" t="str">
        <f>'Production Plan'!B296</f>
        <v>B1.F-15</v>
      </c>
      <c r="B296" s="3">
        <f>VLOOKUP(A296,'Production Plan'!B:S,15,FALSE)</f>
        <v>0</v>
      </c>
      <c r="C296" s="3" t="str">
        <f>VLOOKUP(A296,'Production Plan'!B:F,5,FALSE)</f>
        <v>Testautomatisering Kunden overtager testautomatiseringsscripts udarbejdet af Leverandøren som del af en prøve, hvis testautomatisering er anvendt.</v>
      </c>
    </row>
    <row r="297" spans="1:3" hidden="1">
      <c r="A297" s="3" t="str">
        <f>'Production Plan'!B297</f>
        <v>B1.F-16</v>
      </c>
      <c r="B297" s="3">
        <f>VLOOKUP(A297,'Production Plan'!B:S,15,FALSE)</f>
        <v>0</v>
      </c>
      <c r="C297" s="3" t="str">
        <f>VLOOKUP(A297,'Production Plan'!B:F,5,FALSE)</f>
        <v>Tværgående testscenarier, testdata, testkonfiguration og testfunktionalitet Leverandøren skal forud for gennemførelse af prøverne sikre, at testscenarier, testdata, testkonfiguration og testfunktionalitet er udarbejdet i overensstemmelse med nedenstående.</v>
      </c>
    </row>
    <row r="298" spans="1:3" hidden="1">
      <c r="A298" s="3" t="str">
        <f>'Production Plan'!B298</f>
        <v>B1.F-17</v>
      </c>
      <c r="B298" s="3">
        <f>VLOOKUP(A298,'Production Plan'!B:S,15,FALSE)</f>
        <v>0</v>
      </c>
      <c r="C298" s="3" t="str">
        <f>VLOOKUP(A298,'Production Plan'!B:F,5,FALSE)</f>
        <v>Testkonfiguration Leverandøren skal efter behov udarbejde en testkonfiguration af ESDH-løsningen. Ved testkonfiguration forstås en konfiguration af ESDH-løsningen, der skal etableres forud for påbegyndelsen af en prøve, således at det er muligt at gennemføre en prøve på ESDH-løsningen. Dette kan inkludere anvendelse og aktivering af testdata og testfunktionalitet.</v>
      </c>
    </row>
    <row r="299" spans="1:3" hidden="1">
      <c r="A299" s="3" t="str">
        <f>'Production Plan'!B299</f>
        <v>B1.F-18</v>
      </c>
      <c r="B299" s="3">
        <f>VLOOKUP(A299,'Production Plan'!B:S,15,FALSE)</f>
        <v>0</v>
      </c>
      <c r="C299" s="3" t="str">
        <f>VLOOKUP(A299,'Production Plan'!B:F,5,FALSE)</f>
        <v>Testfunktionalitet Leverandøren skal sikre, at der er den nødvendige testfunktionalitet til rådighed til brug for prøver. Ved testfunktionalitet forstås funktionalitet, der udelukkende anvendes til testformål, og som etableres forud for påbegyndelsen af en prøve. Dette kan eksempelvis være en teststub, der simulerer ekstern service, API´er eller anden form for automatiseret test.</v>
      </c>
    </row>
    <row r="300" spans="1:3" hidden="1">
      <c r="A300" s="3" t="str">
        <f>'Production Plan'!B300</f>
        <v>B1.F-19</v>
      </c>
      <c r="B300" s="3">
        <f>VLOOKUP(A300,'Production Plan'!B:S,15,FALSE)</f>
        <v>0</v>
      </c>
      <c r="C300" s="3" t="str">
        <f>VLOOKUP(A300,'Production Plan'!B:F,5,FALSE)</f>
        <v>Installationsprøvens indhold Installationsprøven skal omfatte: 10 • • • • • • • Kontrol af, at installationen kan gennemføres uden fejl og i overensstemmelse med den godkendte installationsvejledning. Verifikation af, at alle services og evt. moduler er installeret og aktive. Kontrol af, at ESDH-løsningen kan tilgås af Brugere og Administratorer. Test af grundlæggende funktioner, herunder oprettelse af sager og Dokumenter, søgning og journalisering. Bekræftelse af, at API´er fungerer efter hensigten. Kontrol af, at logning, sikkerhedsindstillinger og backupfunktionalitet er konfigureret korrekt. Gennemgang af installationsvejledninger med Kundens driftsleverandør.</v>
      </c>
    </row>
    <row r="301" spans="1:3" hidden="1">
      <c r="A301" s="3" t="str">
        <f>'Production Plan'!B301</f>
        <v>B1.F-20</v>
      </c>
      <c r="B301" s="3">
        <f>VLOOKUP(A301,'Production Plan'!B:S,15,FALSE)</f>
        <v>0</v>
      </c>
      <c r="C301" s="3" t="str">
        <f>VLOOKUP(A301,'Production Plan'!B:F,5,FALSE)</f>
        <v>Performanceprøven indhold Performanceprøven skal omfatte: • • • Belastning af ESDH-løsning med 1.000 Brugere, der arbejder samtidig med testen, der udføres. Datagrundlag ESDH-løsningen er tilgængelig i et pre-produktionsmiljø og der findes mindst</v>
      </c>
    </row>
    <row r="302" spans="1:3" hidden="1">
      <c r="A302" s="3" t="str">
        <f>'Production Plan'!B302</f>
        <v>B1.F-21</v>
      </c>
      <c r="B302" s="3">
        <f>VLOOKUP(A302,'Production Plan'!B:S,15,FALSE)</f>
        <v>0</v>
      </c>
      <c r="C302" s="3" t="str">
        <f>VLOOKUP(A302,'Production Plan'!B:F,5,FALSE)</f>
        <v>Dokumenter i ESDH-løsningen på 2.000.000 sager med samlet 7 terabyte data. Test af test i de tre transaktionskategorier, simple, middel og kompleks fra Bilag 1.h Servicemål afsnit 3.4.</v>
      </c>
    </row>
    <row r="303" spans="1:3" hidden="1">
      <c r="A303" s="3" t="str">
        <f>'Production Plan'!B303</f>
        <v>B1.F-22</v>
      </c>
      <c r="B303" s="3">
        <f>VLOOKUP(A303,'Production Plan'!B:S,15,FALSE)</f>
        <v>0</v>
      </c>
      <c r="C303" s="3" t="str">
        <f>VLOOKUP(A303,'Production Plan'!B:F,5,FALSE)</f>
        <v>Sikkerhedsprøven indhold Sikkerhedsprøven skal omfatte: 11 • • • • • • • • • Test af Adgangsstyring og rettigheder. Single Sign-On og integration til Kundens identitetsplatform. Logning og sporbarhed. API- og integrationssikkerhed. Konfiguration af sikkerhedsindstillinger. Sårbarheder og sikkerhedstest. Backup, restore og beredskab. Håndtering af sikkerhedsafvigelser. Gennemgang af beredskabsplan med Kundens og Kundens driftsleverandør. Dokumentation som verificering af test. • Leverandøren kan anvende dokumentation, erklæringer, revisionsrapporter, certificeringer, testprotokoller, konfigurationsudtræk og skærmbilleder indgå som testbevis, hvor egentlig teknisk test ikke er mulig eller hensigtsmæssig. Leverandøren skal på Kundens anmodning medvirke til at gennemgå dokumentationen som led i godkendelsesforløbet.</v>
      </c>
    </row>
    <row r="304" spans="1:3" hidden="1">
      <c r="A304" s="3" t="str">
        <f>'Production Plan'!B304</f>
        <v>B1.F-23</v>
      </c>
      <c r="B304" s="3">
        <f>VLOOKUP(A304,'Production Plan'!B:S,15,FALSE)</f>
        <v>0</v>
      </c>
      <c r="C304" s="3" t="str">
        <f>VLOOKUP(A304,'Production Plan'!B:F,5,FALSE)</f>
        <v>Konverteringsprøven indhold Konverteringsprøven skal omfatte: • • • • Kontrol af, at konverteringen kan gennemføres uden fejl og i overensstemmelse med den godkendte testplan. Udførelse af alle testcases. Verifikation af, at alle data er korrekt konverteret over i den nye ESDH-løsning jf. datamapningsregler. Test af grundlæggende funktioner, herunder oprettelse og opdatering af sager og Dokumenter, søgning og journalisering fungerer på de konverterede data.</v>
      </c>
    </row>
    <row r="305" spans="1:3" hidden="1">
      <c r="A305" s="3" t="str">
        <f>'Production Plan'!B305</f>
        <v>B1.F-24</v>
      </c>
      <c r="B305" s="3">
        <f>VLOOKUP(A305,'Production Plan'!B:S,15,FALSE)</f>
        <v>0</v>
      </c>
      <c r="C305" s="3" t="str">
        <f>VLOOKUP(A305,'Production Plan'!B:F,5,FALSE)</f>
        <v>Kriterier for påbegyndelse Overtagelsesprøven kan påbegyndes, når følgende kriterier er opfyldt: 1. Installationsprøven er gennemført og godkendt. 2. Performanceprøven er gennemført og godkendt. 3. Sikkerhedsprøven er gennemført og godkendt. 4. Konverteringsprøven er gennemført og godkendt. 5. Accepttest – UAT er gennemført og godkendt. 6. ESDH-løsningen har ingen åbne prioritet 1 og prioritet 2 fejl. 7. Kunden har godkendt Leverandørens prøveplan for Overtagelsesprøven. 8. Kunden har godkendt Leverandørens testcases, der Overtagelsesprøven. 9. ESDH-løsningen er installeret i Kundens pre-produktionsmiljø. 10. ESDH-løsningen er konfiguration i Kundens pre-produktionsmiljøer.</v>
      </c>
    </row>
    <row r="306" spans="1:3" hidden="1">
      <c r="A306" s="3" t="str">
        <f>'Production Plan'!B306</f>
        <v>B1.F-25</v>
      </c>
      <c r="B306" s="3">
        <f>VLOOKUP(A306,'Production Plan'!B:S,15,FALSE)</f>
        <v>0</v>
      </c>
      <c r="C306" s="3" t="str">
        <f>VLOOKUP(A306,'Production Plan'!B:F,5,FALSE)</f>
        <v>Overtagelsesprøvens indhold Overtagelsesprøven skal omfatte: 13 1. Test af alle funktionelle og ikke-funktionelle krav i Bilag 1.b Krav til standardsoftware. 2. Verifikation af, at Leverandørens dokumentation, jf. Bilag 1.b Krav til standardsoftware er fuldstændige. 3. Bekræftelse af, at servicedesk og supportorganisation er etableret og fungerer i henhold til aftalte processer. 4. Test af drifts- og sikkerhedsopsætning, herunder backup, logning, overvågning og hændelseshåndtering i pre-produktionsmiljøet. 5. En handlingsplan, der beskriver, hvordan og hvornår fejl udbedres, såfremt Kunden bestiller dette iværksat.</v>
      </c>
    </row>
    <row r="307" spans="1:3" hidden="1">
      <c r="A307" s="3" t="str">
        <f>'Production Plan'!B307</f>
        <v>B1.F-26</v>
      </c>
      <c r="B307" s="3">
        <f>VLOOKUP(A307,'Production Plan'!B:S,15,FALSE)</f>
        <v>0</v>
      </c>
      <c r="C307" s="3" t="str">
        <f>VLOOKUP(A307,'Production Plan'!B:F,5,FALSE)</f>
        <v>Godkendelseskriterier Overtagelsesprøven anses for godkendt, når følgende kriterier er opfyldt: 1. Der er sporbarhed fra alle krav relevante for den konkrete test/prøve til testcases, så det sikres, at alle krav er teste for den konkrete test/prøve. 2. Alle planlagte testcases er gennemført. 3. Der forekommer ingen åbne fejl med prioritet 1 eller prioritet 2. 4. Der forekommer højst 10 åbne fejl med prioritet 3 fejl og samlet højst 20 åbne fejl med prioritet 4. 5. Alle integrationer til eksterne systemer er etableret i det omfang det er muligt, f.eks. ved teststubbe. 6. Kunden har godkendt Leverandørens dokumentation. 7. At der er udarbejdet en afhjælpningsplan for konstaterede fejl i Overtagelsesprøven.</v>
      </c>
    </row>
    <row r="308" spans="1:3" hidden="1">
      <c r="A308" s="3" t="str">
        <f>'Production Plan'!B308</f>
        <v>B1.F-27</v>
      </c>
      <c r="B308" s="3">
        <f>VLOOKUP(A308,'Production Plan'!B:S,15,FALSE)</f>
        <v>0</v>
      </c>
      <c r="C308" s="3" t="str">
        <f>VLOOKUP(A308,'Production Plan'!B:F,5,FALSE)</f>
        <v>Tidspunkt og periode for gennemførelse Driftsprøven startes på krav fra Kunden, forventeligt i oktober 2027, når den fulde Løsning er klar. Den fulde løsning inkluderer Proces- og regelstyring samt Integrationsplatformen, sammen med ESDHløsningen, som beskrevet i Bilag 1.d Kundens målarkitektur for fremtidens ESDH-løsning. Driftsprøven skal vare mindst 30 sammenhængende Arbejdsdage, dog højst 60 Dage.</v>
      </c>
    </row>
    <row r="309" spans="1:3" hidden="1">
      <c r="A309" s="3" t="str">
        <f>'Production Plan'!B309</f>
        <v>B1.F-28</v>
      </c>
      <c r="B309" s="3">
        <f>VLOOKUP(A309,'Production Plan'!B:S,15,FALSE)</f>
        <v>0</v>
      </c>
      <c r="C309" s="3" t="str">
        <f>VLOOKUP(A309,'Production Plan'!B:F,5,FALSE)</f>
        <v>Kriterier for påbegyndelse Følgende kriterier skal være opfyldt, før Driftsprøven kan påbegyndes: • • • • Overtagelsesprøven er godkendt af Kunden, og eventuelle fejl, som godkendelsen måtte være betinget af, er afhjulpet, medmindre andet aftales. Overtagelsesprøven for Proces- og regelstyring er gennemført og godkendt. Overtagelsesprøven for Integrationsplatformen er gennemført og godkendt. Leverandøren har udarbejdet en prøveplan for Driftsprøven, som Kunden har godkendt.</v>
      </c>
    </row>
    <row r="310" spans="1:3" hidden="1">
      <c r="A310" s="3" t="str">
        <f>'Production Plan'!B310</f>
        <v>B1.F-29</v>
      </c>
      <c r="B310" s="3">
        <f>VLOOKUP(A310,'Production Plan'!B:S,15,FALSE)</f>
        <v>0</v>
      </c>
      <c r="C310" s="3" t="str">
        <f>VLOOKUP(A310,'Production Plan'!B:F,5,FALSE)</f>
        <v>Godkendelseskriterier Driftsprøven anses for godkendt, når følgende kriterier er opfyldt: • • • Servicemålene, jf. Bilag 1.h Servicemål, er opfyldt i perioden for Driftsprøven. Ingen åbne prioritet 1 eller prioritet 2 fejl, jf. afsnit 5 i nærværende bilag, og med en angivelse af eventuelle fejl i en fejlliste med en afhjælpningsplan. Dokumentation, jf. Bilag 1.b Krav til standardsoftware.</v>
      </c>
    </row>
    <row r="311" spans="1:3" hidden="1">
      <c r="A311" s="3" t="str">
        <f>'Production Plan'!B311</f>
        <v>B1.F-30</v>
      </c>
      <c r="B311" s="3">
        <f>VLOOKUP(A311,'Production Plan'!B:S,15,FALSE)</f>
        <v>0</v>
      </c>
      <c r="C311" s="3" t="str">
        <f>VLOOKUP(A311,'Production Plan'!B:F,5,FALSE)</f>
        <v>Samlet afslutning Prøveforløbet for ESDH-løsningen betragtes først som afsluttet, når den fulde Løsning har bestået sin Driftsprøve i henhold til godkendelseskriterierne. 15</v>
      </c>
    </row>
    <row r="312" spans="1:3" hidden="1">
      <c r="A312" s="3" t="str">
        <f>'Production Plan'!B312</f>
        <v>B1.G-1</v>
      </c>
      <c r="B312" s="3">
        <f>VLOOKUP(A312,'Production Plan'!B:S,15,FALSE)</f>
        <v>0</v>
      </c>
      <c r="C312" s="3" t="str">
        <f>VLOOKUP(A312,'Production Plan'!B:F,5,FALSE)</f>
        <v>Sprog Leverandøren skal sikre, at medarbejderne, der indgår i samarbejdsorganisationen, kan kommunikere mundtligt og skriftligt på dansk. Såfremt Kunden forud giver tilladelse til det, kan dele af kommunikationen i enkelte tilfælde foregå på engelsk.</v>
      </c>
    </row>
    <row r="313" spans="1:3" hidden="1">
      <c r="A313" s="3" t="str">
        <f>'Production Plan'!B313</f>
        <v>B1.G-2</v>
      </c>
      <c r="B313" s="3">
        <f>VLOOKUP(A313,'Production Plan'!B:S,15,FALSE)</f>
        <v>0</v>
      </c>
      <c r="C313" s="3" t="str">
        <f>VLOOKUP(A313,'Production Plan'!B:F,5,FALSE)</f>
        <v>Sikkerhedsgodkendelse Alle medarbejdere fra Leverandøren, der tilknyttes Kunden, og har adgang til Kundens oplysninger i form af fejlindmeldinger, ændringsanmodninger og lignende, skal kunne sikkerhedstjekkes og sikkerhedsgodkendes samt opretholde denne gennem Leveringskontraktens levetid jf. Bilag 1 Kundens opgavebeskrivelse pkt. 8 og Leveringskontraktens pkt. 11.</v>
      </c>
    </row>
    <row r="314" spans="1:3" hidden="1">
      <c r="A314" s="3" t="str">
        <f>'Production Plan'!B314</f>
        <v>B1.G-3</v>
      </c>
      <c r="B314" s="3">
        <f>VLOOKUP(A314,'Production Plan'!B:S,15,FALSE)</f>
        <v>0</v>
      </c>
      <c r="C314" s="3" t="str">
        <f>VLOOKUP(A314,'Production Plan'!B:F,5,FALSE)</f>
        <v>Styregruppe Styregruppen er Kunden og Leverandørens øverste styringsorgan, og har ansvar for den overordnede ledelse og beslutningstagning i implementeringsfasen. Da Kunden opererer efter et multi-leverandør setup, vil implementeringsfasens styregruppe bestå af Kunden, Leverandøren samt andre relevante leverandører, der har betydning for og indflydelse på Kundens ESDH-implementering. Organiseringen af projektet kan se i nedenstående organisationsdiagram. 2 Figur 1 - Organisationsdiagram Styregruppen etableres på opstartsmøde. Styregruppens ansvarsområde/opgave er: • • • • • • • • • Løbende opfølgning på fremdrift og tidsplan Godkende opfyldelse af aftalte milepæle i implementeringsfasen Efterlevelse af Leveringskontrakten og opfølgning på Leverandørens leverancer Afklaring af forhold hos Kunden som måtte forhindre eller forsinke Leverandørens leverancer Godkende ændringslog og større ændringsønsker til Leveringskontrakten Være eskalationspunkt for såvel Leverandørens som Kundens projektleder Afklaring af tvister af enhver art Samarbejde på tværs af multi-leverandør setup, herunder afklaring af tvister og håndtering af udfordringer Godkende Overtagelsesprøve, afrapportering af Overtagelsesprøve samt Driftsprøve og afrapportering heraf Møder i styregruppen afholdes som udgangspunkt hos Kunden. Det forventes at styregruppen afholder møde hver 14. Dag gennem hele implementeringsfasen. Kunden og Leverandøren kan aftale hyppigere mødeaktivitet efter behov.</v>
      </c>
    </row>
    <row r="315" spans="1:3" hidden="1">
      <c r="A315" s="3" t="str">
        <f>'Production Plan'!B315</f>
        <v>B1.G-4</v>
      </c>
      <c r="B315" s="3">
        <f>VLOOKUP(A315,'Production Plan'!B:S,15,FALSE)</f>
        <v>0</v>
      </c>
      <c r="C315" s="3" t="str">
        <f>VLOOKUP(A315,'Production Plan'!B:F,5,FALSE)</f>
        <v>Sammensætning Kunden skal være repræsenteret i Styregruppen med 4 repræsentanter, herunder styregruppeformanden. Leverandøren skal være repræsenteret i Styregruppen med den leveranceansvarlige og Leverandørens projektleder. I Styregruppen vil der også indgå repræsentanter fra Kundens øvrige leverandører, der har indflydelse på Kundens ESDH-implementering. 3</v>
      </c>
    </row>
    <row r="316" spans="1:3" hidden="1">
      <c r="A316" s="3" t="str">
        <f>'Production Plan'!B316</f>
        <v>B1.G-5</v>
      </c>
      <c r="B316" s="3">
        <f>VLOOKUP(A316,'Production Plan'!B:S,15,FALSE)</f>
        <v>0</v>
      </c>
      <c r="C316" s="3" t="str">
        <f>VLOOKUP(A316,'Production Plan'!B:F,5,FALSE)</f>
        <v>Udskiftning Parterne kan udskifte deres respektive repræsentanter i Styregruppen. Dog skal mindst én af Leverandørens repræsentanter som udgangspunkt forblive fast medlem i hele implementeringsfasen. Leverandøren skal skriftligt underrette styregruppeformanden om enhver udskiftning af et medlem. Underretningen skal indeholde navn på det udtrædende og det nye medlem. Parterne kan efter behov midlertidigt udvide deltagerkredsen til enkelte møder.</v>
      </c>
    </row>
    <row r="317" spans="1:3" hidden="1">
      <c r="A317" s="3" t="str">
        <f>'Production Plan'!B317</f>
        <v>B1.G-6</v>
      </c>
      <c r="B317" s="3">
        <f>VLOOKUP(A317,'Production Plan'!B:S,15,FALSE)</f>
        <v>0</v>
      </c>
      <c r="C317" s="3" t="str">
        <f>VLOOKUP(A317,'Production Plan'!B:F,5,FALSE)</f>
        <v>Referat af styregruppemøder Kunden udarbejder referat fra styregruppemøder og sender det til Leverandøren senest 5 Arbejdsdage efter mødet. Referatet skal indeholde en beslutningslog. Leverandøren sender eventuelle kommentarer til Kunden senest 5 Arbejdsdage efter modtagelsen. Hvis Kunden ikke modtager kommentarer inden fristen, betragtes referatet som godkendt.</v>
      </c>
    </row>
    <row r="318" spans="1:3" hidden="1">
      <c r="A318" s="3" t="str">
        <f>'Production Plan'!B318</f>
        <v>B1.G-7</v>
      </c>
      <c r="B318" s="3">
        <f>VLOOKUP(A318,'Production Plan'!B:S,15,FALSE)</f>
        <v>0</v>
      </c>
      <c r="C318" s="3" t="str">
        <f>VLOOKUP(A318,'Production Plan'!B:F,5,FALSE)</f>
        <v>Projektledelse Kundens projektledelse varetager projektledelsen af Kundens samlede implementeringsprojekt. Kundens projektleder står sammen med Leverandørens projektleder for tilrettelæggelsen af aktiviteter i projektet, koordinering af tidsplaner, ændringsønsker mm. Kundens projektleder har følgende opgaver/ansvarsområder: • • • • • • Følge op på Leverandørens aktiviteter og leverancer i henhold til Leveringskontrakten. Følge op på Kundens medvirken i forhold til tidsplaner og aftalte forudsætninger. Sikre detaljeret planlægning, tilrettelæggelse og opfølgning på aktiviteter Risikostyring af projektets aktiviteter Udarbejdelse af statusrapporter m.m., så de er klargjort til styregruppemøde Samarbejde med Leverandørens projektleder Leverandørens projektleder har følgende opgaver/ansvarsområder: • • • • • Sikre detaljeret planlægning af Leverandørens leverancer i samarbejde med Kundens projektleder Opfølgning på Leverandørens igangværende aktiviteter Leverandørens ressourcer og leverancer Sikre håndtering af ændringsanmodninger Samarbejde med Kundens projektleder De 2 projektledere kan i fællesskab beslutte, om der skal anvendes ad hoc arbejdsgrupper med deltagere fra Leverandøren og Kunden.</v>
      </c>
    </row>
    <row r="319" spans="1:3" hidden="1">
      <c r="A319" s="3" t="str">
        <f>'Production Plan'!B319</f>
        <v>B1.G-8</v>
      </c>
      <c r="B319" s="3">
        <f>VLOOKUP(A319,'Production Plan'!B:S,15,FALSE)</f>
        <v>0</v>
      </c>
      <c r="C319" s="3" t="str">
        <f>VLOOKUP(A319,'Production Plan'!B:F,5,FALSE)</f>
        <v>Personer og roller Det daglige samarbejde i driftsfasen varetages af Kundens systemforvaltning, som har ansvaret for den daglige administration af ESDH-løsningen, og Leverandørens servicemanagement herunder Leverandørens kundeansvarlige, service delivery manager og Leverandørens team med ansvar for ESDH-løsningen.</v>
      </c>
    </row>
    <row r="320" spans="1:3" hidden="1">
      <c r="A320" s="3" t="str">
        <f>'Production Plan'!B320</f>
        <v>B1.G-9</v>
      </c>
      <c r="B320" s="3">
        <f>VLOOKUP(A320,'Production Plan'!B:S,15,FALSE)</f>
        <v>0</v>
      </c>
      <c r="C320" s="3" t="str">
        <f>VLOOKUP(A320,'Production Plan'!B:F,5,FALSE)</f>
        <v>Centrale roller ved Kunden Som leveringskontraktholder er Kunden ansvarlig for: • • Eskalation i forbindelse med incident-håndtering og i forbindelse med håndtering af tvister, juridiske og/eller kommercielle. Afregning med Leverandøren.</v>
      </c>
    </row>
    <row r="321" spans="1:3" hidden="1">
      <c r="A321" s="3" t="str">
        <f>'Production Plan'!B321</f>
        <v>B1.G-10</v>
      </c>
      <c r="B321" s="3">
        <f>VLOOKUP(A321,'Production Plan'!B:S,15,FALSE)</f>
        <v>0</v>
      </c>
      <c r="C321" s="3" t="str">
        <f>VLOOKUP(A321,'Production Plan'!B:F,5,FALSE)</f>
        <v>Leveringskontraktansvarlig hos Kunden Den leveringskontraktansvarlige repræsenterer Kundens ledelse. Opgaver og ansvar: • • • Kompetence til at træffe bindende beslutninger i forhold til Leveringskontrakten – også af kommerciel karakter. Sikre overholdelse af Leveringskontrakt både før og efter implementering, herunder afklare Leveringskontraktuelle spørgsmål i relation til Leveringskontrakten. Kvalitetssikre udformning af ændringer til Leveringskontrakten.</v>
      </c>
    </row>
    <row r="322" spans="1:3" hidden="1">
      <c r="A322" s="3" t="str">
        <f>'Production Plan'!B322</f>
        <v>B1.G-11</v>
      </c>
      <c r="B322" s="3">
        <f>VLOOKUP(A322,'Production Plan'!B:S,15,FALSE)</f>
        <v>0</v>
      </c>
      <c r="C322" s="3" t="str">
        <f>VLOOKUP(A322,'Production Plan'!B:F,5,FALSE)</f>
        <v>Systemforvalter Systemforvalter er, efter implementering af ESDH-løsningen, Kundens kontakt til Leverandøren, og har således ansvaret for opfølgning på Leverandørens leverancer og for fakturering vedr. disse. Systemforvalter er tillige Kundens ESDH-Administrator, og er ansvarlig for den løbende forvaltning af ESDH-løsningen hos Kunden. Kundens systemforvaltning er ligeledes eskalationspunktet for Kundens Administratorer og Brugere ved fejl eller udfordringer med ESDH-løsningen. Opgaver og ansvar: • • • • • • • Beskrivelse og klargøring af potentielle ændringsanmodninger, herunder ajourføring af ændringslog. Leveringskontraktopdatering ift. ændringsanmodninger (denne opgave kan videredelegeres internt ved Kunden) Opfølgning på incidents og Service request rekvireret af Kunden hos Leverandøren Rekvirerer og kvalitetssikrer drifts- og systemdokumentation, som Leverandøren er forpligtet til at levere og vedligeholde. Rekvirerer opsætningen af leverandørens Standardintegrationer, som Leverandøren er forpligtet til at levere og vedligeholde. Kommunikation til Kundens ambassadører og slutbrugere, fx information om planlagt nedetid, ændringer i opsætning og ny funktionalitet. Medvirken i fejlfinding og opfølgning på supportsager, der er initieret af Kunden eller Leverandøren. 5 • • • Bestilling af ad hoc projekter hos Leverandøren, samt godkendelse af Leverandørens løsningsbeskrivelse i relation til disse. Opfølgning på overholdelse af Leveringskontraktens servicemål og øvrige krav Modtager og håndterer faktura</v>
      </c>
    </row>
    <row r="323" spans="1:3" hidden="1">
      <c r="A323" s="3" t="e">
        <f>'Production Plan'!#REF!</f>
        <v>#REF!</v>
      </c>
      <c r="B323" s="3" t="e">
        <f>VLOOKUP(A323,'Production Plan'!B:S,15,FALSE)</f>
        <v>#REF!</v>
      </c>
      <c r="C323" s="3" t="e">
        <f>VLOOKUP(A323,'Production Plan'!B:F,5,FALSE)</f>
        <v>#REF!</v>
      </c>
    </row>
    <row r="324" spans="1:3" hidden="1">
      <c r="A324" s="3" t="str">
        <f>'Production Plan'!B323</f>
        <v>B1.G-13</v>
      </c>
      <c r="B324" s="3">
        <f>VLOOKUP(A324,'Production Plan'!B:S,15,FALSE)</f>
        <v>0</v>
      </c>
      <c r="C324" s="3" t="str">
        <f>VLOOKUP(A324,'Production Plan'!B:F,5,FALSE)</f>
        <v>Leveringskontraktansvarlige hos Leverandøren Den leveringskontraktansvarlige repræsenterer Leverandørens ledelse og vedkommende skal sammen med Kundens leveringskontraktansvarlige sikre et smidigt samarbejde på alle niveauer. Opgaver og ansvar: • • • • • • Efterlevelse af Leveringskontrakten og opfølgning på Leverandørens Leverancer, herunder ansvarlig for løbende opfølgning (rapportering, servicemål mv.) Eskalationspunkt for Leverandørens Service Delivery Manager, jf. nedenstående. Kundens Systemforvalter er kontaktpunkt for den leveringskontraktansvarlige hos Kunden Kundens eskalationspunkt ved alle henvendelser, der handler om Leveringskontrakten Sikre leveranceorganisation med de rette kompetencer Deltager i samarbejdsorganisation. Kompetence til at træffe bindende beslutninger i forhold til Leveringskontrakten, også af kommerciel karakter.</v>
      </c>
    </row>
    <row r="325" spans="1:3" hidden="1">
      <c r="A325" s="3" t="str">
        <f>'Production Plan'!B324</f>
        <v>B1.G-14</v>
      </c>
      <c r="B325" s="3">
        <f>VLOOKUP(A325,'Production Plan'!B:S,15,FALSE)</f>
        <v>0</v>
      </c>
      <c r="C325" s="3" t="str">
        <f>VLOOKUP(A325,'Production Plan'!B:F,5,FALSE)</f>
        <v>Service Delivery Manager Service Delivery Manager er ansvarlig for det løbende samarbejde med Kunden, herunder samarbejdet med Kundens Systemforvalter. Opgaver og ansvar: • • • • • • Mødeafholdelse og -deltagelse i henhold til nærværende bilag samt efter behov. Service Delivery Manager varetager mødeledelsen efter afslutning af implementeringsfasen (medmindre andet er aftalt), og forestår mødebooking, udarbejdelse af dagsorden og udarbejdelse af referat. Løbende rapportering i medfør af Leveringskontrakten, herunder rapportering på servicemål. Kontaktpunkt for Kunden i forhold til fakturering Kontaktpunkt for Kunden ved behov for leveringskontraktændringer Deltager samarbejdsorganisation</v>
      </c>
    </row>
    <row r="326" spans="1:3" hidden="1">
      <c r="A326" s="3" t="str">
        <f>'Production Plan'!B325</f>
        <v>B1.G-15</v>
      </c>
      <c r="B326" s="3">
        <f>VLOOKUP(A326,'Production Plan'!B:S,15,FALSE)</f>
        <v>0</v>
      </c>
      <c r="C326" s="3" t="str">
        <f>VLOOKUP(A326,'Production Plan'!B:F,5,FALSE)</f>
        <v>Support organisation hos Leverandøren Kunden understøttes af Leverandørens support organisation for henholdsvis applikationssupport og for driftssupport for Kunden jf. Bilag 1.h Servicemål.</v>
      </c>
    </row>
    <row r="327" spans="1:3" hidden="1">
      <c r="A327" s="3" t="str">
        <f>'Production Plan'!B326</f>
        <v>B1.G-16</v>
      </c>
      <c r="B327" s="3">
        <f>VLOOKUP(A327,'Production Plan'!B:S,15,FALSE)</f>
        <v>0</v>
      </c>
      <c r="C327" s="3" t="str">
        <f>VLOOKUP(A327,'Production Plan'!B:F,5,FALSE)</f>
        <v>Organisation og mødefora i driftsfasen I forbindelse med driftsfasen skal Leverandøren deltage i nedenstående mødefora og -sekvenser. 6 4.4.1 • • Møder i driftsfasen: ESDH styregruppemøder – kvartalsmøder eller efter behov ESDH driftsmøder – ugentlige møder eller efter behov</v>
      </c>
    </row>
    <row r="328" spans="1:3" hidden="1">
      <c r="A328" s="3" t="str">
        <f>'Production Plan'!B327</f>
        <v>B1.G-17</v>
      </c>
      <c r="B328" s="3">
        <f>VLOOKUP(A328,'Production Plan'!B:S,15,FALSE)</f>
        <v>0</v>
      </c>
      <c r="C328" s="3" t="str">
        <f>VLOOKUP(A328,'Production Plan'!B:F,5,FALSE)</f>
        <v>ESDH-styregruppe og møder under driftsfasen Kundens og Leverandøren opretter en ESDH-styregruppe, der består under driftsfasen og frem til Leveringskontraktens ophør. ESDH-styregruppen er det øverste organ i driftsfasen, og derfor skal denne bestå af beslutningsdygtige og tegningsberettigede medarbejdere, der er i stand til at træffe afgørende beslutninger på møderne indenfor følgende områder: Formål og ansvar: • • • • Godkendelse af større ændringsønsker til Leveringskontrakten. Ledelsesmæssig opfølgning på samarbejde. Behandling af leveringskontraktlige og kommercielle problematikker af generel karakter. Behandling af problematikker, der eskaleres fra ESDH driftsforum. Bemanding: • • • • Leverandørens leveringskontraktansvarlige. Leverandørens service delivery manager. Kundens leveringskontraktansvarlige. Kundens enhedschef for Kundens systemforvaltning. Mødefrekvens: • • • Kvartalsmøder eller efter behov. Mødedato fastlægges minimum 1 måned før mødet. Både Kunden og Leverandøren kan forlange et ekstraordinært Styregruppemøde afholdt med 5 Arbejdsdages varsel. Styregruppemøderne afholdes ved Kunden medmindre der træffes beslutning om andet. Øvrige forhold: • • • • • Leverandørens leveringskontraktansvarlige varetager formandskabet for styregruppen. Leverandøren udarbejder dagsorden for styregruppemøderne. Leverandøren er ansvarlig for indkaldelse til styregruppemøderne og for udsendelse af dagsorden til styregruppens medlemmer. Kunden har ret til at ændre styregruppens sammensætning og at udvide denne, hvis det vurderes hensigtsmæssigt. Dette skal ske i gensidig enighed med Leverandøren. Leverandøren udfærdiger beslutningsreferat. 7</v>
      </c>
    </row>
    <row r="329" spans="1:3" hidden="1">
      <c r="A329" s="3" t="str">
        <f>'Production Plan'!B328</f>
        <v>B1.G-18</v>
      </c>
      <c r="B329" s="3">
        <f>VLOOKUP(A329,'Production Plan'!B:S,15,FALSE)</f>
        <v>0</v>
      </c>
      <c r="C329" s="3" t="str">
        <f>VLOOKUP(A329,'Production Plan'!B:F,5,FALSE)</f>
        <v>ESDH driftsgruppe og møder under driftsfasen Driftsgruppen starter op med det samme efter godkendt Driftsprøve og eksisterer frem til Leveringskontraktens ophør. Driftsgruppen skal ugentligt deltage på driftsmøder til opfølgning og drøftelser vedr. ressourcer, drift, support, fremtidigt miljø og Konfiguration af ESDH-løsningen. Formål og ansvar: • • • • • Samarbejde og drøftelse vedr. ressourcer, drift, support, fremtidigt miljø og Konfiguration af ESDHløsningen. Ledelse og koordinering herunder behandling af eskalerede problemområder fra det daglige driftssamarbejde. Opfølgning på servicemål. Beslutte nødvendige ændringer, godkende beslutningslog samt afklare evt. driftsmæssige udfordringer. Eskalere til ESDH-styregruppen. Bemanding: • • • Kundens Systemforvalter. Leverandøren. Kundens driftsmedarbejdere – efter behov. Mødesekvens: • Ugentligt, eller efter behov. Mødet afholdes digitalt, medmindre andet aftales. Mødesekvens kan tilpasses løbende gennem driftsfasen efter aftale med Kundens systemforvaltning. Øvrige forhold: • • • Leverandøren er ansvarlig for, at der udsendes indkaldelse, dagsorden samt at der udfærdiges beslutningsreferat. Eksterne parter kan inviteres efter behov. Leverandøren udarbejder oversigt over opfyldelse af servicemål, så de er klargjort til Kunden.</v>
      </c>
    </row>
    <row r="330" spans="1:3" hidden="1">
      <c r="A330" s="3" t="str">
        <f>'Production Plan'!B329</f>
        <v>B1.G-19</v>
      </c>
      <c r="B330" s="3">
        <f>VLOOKUP(A330,'Production Plan'!B:S,15,FALSE)</f>
        <v>0</v>
      </c>
      <c r="C330" s="3" t="str">
        <f>VLOOKUP(A330,'Production Plan'!B:F,5,FALSE)</f>
        <v>Proces for håndtering af incidents – roller og ansvar Incident management skal sikre, at hændelser håndteres, således driften kan varetages optimalt og som minimum i overensstemmelse med de definerede servicemål jf. Bilag 1.h Servicemål. Leverandøren har det overordnet ansvar for styring og gennemførelse af incident management for incidents, der ligger inden for Leverandørens ansvarsområde. Processen for håndtering af incidents er central og kan opsummeres som følger: • • Incident konstateres Systemforvalter kontakter Leverandørens Service desk via telefon, alternativt opretter en sag på incident i Kundens eget servicemanagement system jf. Bilag 1.h Servicemål pkt. 2.6. 8 • Leverandøren er ansvarlig for løsning af incident om nødvendigt med inddragelse af Kunden og Kundens driftsleverandør. Der kommunikeres til Kunden, når fejlen er udbedret. 9</v>
      </c>
    </row>
    <row r="331" spans="1:3" hidden="1">
      <c r="A331" s="3" t="str">
        <f>'Production Plan'!B330</f>
        <v>B1.H-1</v>
      </c>
      <c r="B331" s="3">
        <f>VLOOKUP(A331,'Production Plan'!B:S,15,FALSE)</f>
        <v>0</v>
      </c>
      <c r="C331" s="3" t="str">
        <f>VLOOKUP(A331,'Production Plan'!B:F,5,FALSE)</f>
        <v>Måling og rapportering Leverandøren skal forestå afrapportering af servicemålene med en frekvens, der er koordineret med mødefrekvensen i samarbejdsorganisationen, dog mindst én gang månedligt. Leverandøren skal sikre afrapportering om sine aktiviteter og resultater knyttet til vedligeholdelsen, herunder afrapportering i forhold til aftalte servicemål samt specifikt i relation til eventuelle overtrædelser, således at Kunden er velinformeret om ESDH-løsningens drifts-stabilitet og aktiviteter knyttet hertil.</v>
      </c>
    </row>
    <row r="332" spans="1:3" hidden="1">
      <c r="A332" s="3" t="str">
        <f>'Production Plan'!B331</f>
        <v>B1.H-2</v>
      </c>
      <c r="B332" s="3" t="str">
        <f>VLOOKUP(A332,'Production Plan'!B:S,15,FALSE)</f>
        <v>This "task" will be undertaken by the DK Customer Team so I would like a sign off from them (Cristina) to this requirement. See requirement 2.1 above on row #330. Any cost needs to be added to pricing?</v>
      </c>
      <c r="C332" s="3" t="str">
        <f>VLOOKUP(A332,'Production Plan'!B:F,5,FALSE)</f>
        <v>Rapportering om servicemål Leverandøren skal forestå afrapportering af servicemålene med en frekvens, der er koordineret med mødefrekvensen i samarbejdsorganisationen, dog mindst én gang månedlig. Rapporteringen skal være til rådighed senest kl. 16.00 10 Arbejdsdage efter månedens afslutning. Rapporteringens indhold skal som minimum bestå af: • • • • • • • Beregning af servicemål Overblik over statistik og status for rettelse af incidents Overblik over statistik og status for ændringer Overblik over statisk og status over tilgængelighed En oversigt over alle incidents herunder kritiske incidents og gentagne incidents (Se Tabel 3) En oversigt over Leverandørens reaktionstider i perioden. Incidents og problemer skal være angivet med id, titel, dato og emne. Leverandøren skal aflevere alle rapporter i ukodet, printbart PDF-format, der kan læses i sort/hvidt print. Leverandøren skal udarbejde alle rapporter på dansk.</v>
      </c>
    </row>
    <row r="333" spans="1:3" hidden="1">
      <c r="A333" s="3" t="str">
        <f>'Production Plan'!B332</f>
        <v>B1.H-3</v>
      </c>
      <c r="B333" s="3">
        <f>VLOOKUP(A333,'Production Plan'!B:S,15,FALSE)</f>
        <v>0</v>
      </c>
      <c r="C333" s="3" t="str">
        <f>VLOOKUP(A333,'Production Plan'!B:F,5,FALSE)</f>
        <v>Driftstid Normal driftstid for ESDH-løsningen er kl. 08.00 – 16.00 på alle hverdage, men ESDH-løsningen skal være tilgængelig hele døgnet og alle kalenderdage i året. Leverandørens support kan træffes i organisationens faste driftstid, som er er kl. 08.00 – 16.00 på alle hverdage, (2. level support). 2</v>
      </c>
    </row>
    <row r="334" spans="1:3" hidden="1">
      <c r="A334" s="3" t="str">
        <f>'Production Plan'!B333</f>
        <v>B1.H-4</v>
      </c>
      <c r="B334" s="3" t="str">
        <f>VLOOKUP(A334,'Production Plan'!B:S,15,FALSE)</f>
        <v>This planlagt vedligehold "task" will be undertaken by the DK Customer Team so I would like a sign off from them (Cristina) to this requirement. If any cost needs to be added to pricing?</v>
      </c>
      <c r="C334" s="3" t="str">
        <f>VLOOKUP(A334,'Production Plan'!B:F,5,FALSE)</f>
        <v>Planlagt vedligehold Nedetid kan accepteres i servicevinduer aftalt med Kunden og Kundens driftsleverandør. Leverandøren er forpligtet til at placere servicevinduer, der påvirker Kundens produktionsmiljø, udenfor den aftalte driftstid +2 timer, så altså uden for perioden kl. 08.00 – 18.00 på alle hverdage, medmindre andet er aftalt skriftligt med Kunden. Varsling skal ske skriftligt senest 14 Arbejdsdage forinden, og Løsningen skal under servicevinduet spærres for påbegyndelse af nye brugeroperationer. Der skal ved alle ændringer i Løsningen foreligge en godkendt deployplan som følger Kundens standard, hvor Leverandøren skal anvende en skabelon, der skal udfyldes inden deployment i samarbejde med Kunden. Der skal i forbindelse med deployplan også være en rollback plan i tilfælde af, at deploy går galt. Det forventes at der vil være planlagte kvartalsvise servicevinduer i hverdage i tidsrummet kl. 18.00-00.00. Herudover er der mulighed for at aftale ad hoc servicevinduer efter behov. Leverandøren skal sikre, at vedligeholdelse af ESDH-løsningen er flytbart, således at vedligeholdelsesopgaven principielt ville kunne overdrages til anden leverandør eller til Kunden selv.</v>
      </c>
    </row>
    <row r="335" spans="1:3" hidden="1">
      <c r="A335" s="3" t="str">
        <f>'Production Plan'!B334</f>
        <v>B1.H-5</v>
      </c>
      <c r="B335" s="3" t="str">
        <f>VLOOKUP(A335,'Production Plan'!B:S,15,FALSE)</f>
        <v>Nødservicevindue "task" will be undertaken by the DK Customer Team so I would like a sign off from them (Cristina) to this requirement. If any cost needs to be added to pricing?</v>
      </c>
      <c r="C335" s="3" t="str">
        <f>VLOOKUP(A335,'Production Plan'!B:F,5,FALSE)</f>
        <v>Nødservicevindue – større og kritiske opdateringer Større eller kritiske opdateringer omfatter enhver ændring til ESDH-løsningen, der kan påvirke løsningens kernefunktionalitet, dataintegritet, sikkerhed, adgangsstyring, integrationer, performance, driftssikkerhed, brugeradgange eller overholdelse af lovgivningsmæssige og kontraktuelle krav. Frekvens: 0 – 4 gange pr. måned i tidsrummet lørdag kl. 00:00 – mandag kl. 05:00 med maksimum 16 timers varighed og en varsling på 2 Arbejdsdage.</v>
      </c>
    </row>
    <row r="336" spans="1:3" hidden="1">
      <c r="A336" s="3" t="str">
        <f>'Production Plan'!B335</f>
        <v>B1.H-6</v>
      </c>
      <c r="B336" s="3" t="str">
        <f>VLOOKUP(A336,'Production Plan'!B:S,15,FALSE)</f>
        <v>Servicevindue  "task" will be undertaken by the DK Customer Team so I would like a sign off from them (Cristina) to this requirement. If any cost needs to be added to pricing?</v>
      </c>
      <c r="C336" s="3" t="str">
        <f>VLOOKUP(A336,'Production Plan'!B:F,5,FALSE)</f>
        <v>Servicevindue – omlægninger af miljøer, arkitekturer eller ESDH-løsningen Omlægning af miljøer, arkitektur eller ESDH-løsningen omfatter enhver ændring til ESDH-løsningen tekniske platform, systemarkitektur, driftsmiljø, integrationsarkitektur eller applikationsarkitektur, som kan påvirke løsningens funktionalitet, sikkerhed, performance, stabilitet, dataintegritet eller integrationer. Frekvens: 1 gang pr. 6 måneder i tidsrummet lørdag kl. 00:00 – mandag kl. 05:00 med maksimum 24 timers varighed og en varsling på 14 Arbejdsdage.</v>
      </c>
    </row>
    <row r="337" spans="1:3" hidden="1">
      <c r="A337" s="3" t="str">
        <f>'Production Plan'!B336</f>
        <v>B1.H-7</v>
      </c>
      <c r="B337" s="3">
        <f>VLOOKUP(A337,'Production Plan'!B:S,15,FALSE)</f>
        <v>0</v>
      </c>
      <c r="C337" s="3" t="str">
        <f>VLOOKUP(A337,'Production Plan'!B:F,5,FALSE)</f>
        <v>Tilgængelighed</v>
      </c>
    </row>
    <row r="338" spans="1:3" hidden="1">
      <c r="A338" s="3" t="str">
        <f>'Production Plan'!B337</f>
        <v>B1.H-8</v>
      </c>
      <c r="B338" s="3" t="str">
        <f>VLOOKUP(A338,'Production Plan'!B:S,15,FALSE)</f>
        <v>QA: Awaiting clarification related to question in order to change to "Fully met" and status to "Done"</v>
      </c>
      <c r="C338" s="3" t="str">
        <f>VLOOKUP(A338,'Production Plan'!B:F,5,FALSE)</f>
        <v>Servicemål for tilgængelighed Leverandøren skal måle og opfylde følgende krav til tilgængelighed: • • Produktionsmiljø: 99,8 % oppetid. Øvrige miljøer: 98% oppetid. Leverandørens servicemål for tilgængelighed (T%) måles på følgende måde pr. måned pr. miljø: 3 Aftalt driftstid og målt tid for utilgængelighed opgøres i minutter. Utilgængelighed beregnes fra det tidspunkt utilgængeligheden opstår, dvs. når den er registreret af Leverandøren (evt. på baggrund af henvendelse fra Kunden – telefonisk eller skriftligt via Kundens servicemanagementsystem) til normal drift er reetableret, og Kundens produktionsmiljø igen er tilgængeligt. Utilgængelighed, som skyldes faktorer, der ligger uden for Leverandørens ansvarsområde, medtages ikke i beregningen. Leverandørens forpligtelser vedrørende tilgængelighed gælder ikke ved et på forhånd aftalt og planlagt servicevindue.</v>
      </c>
    </row>
    <row r="339" spans="1:3" hidden="1">
      <c r="A339" s="3" t="str">
        <f>'Production Plan'!B338</f>
        <v>B1.H-9</v>
      </c>
      <c r="B339" s="3" t="str">
        <f>VLOOKUP(A339,'Production Plan'!B:S,15,FALSE)</f>
        <v>CloudOps need to review and sign off to this requirement</v>
      </c>
      <c r="C339" s="3" t="str">
        <f>VLOOKUP(A339,'Production Plan'!B:F,5,FALSE)</f>
        <v>Svartider Kunden forstår ved svartid for en transaktion: tidsintervallet fra Brugeren sender sin kommando til resultatet er synligt for Brugeren, og Brugeren har mulighed for angivelse af ny kommando. Ved kommando forstås den meddelelse, der sendes til ESDH-løsningen, når Enter/Return-tast, funktionstast eller tilsvarende tast/ikon aktiveres. Såfremt en transaktion består af flere requests, er det svartiden fra starten af det første request til svaret fra det sidste request er returneret, der tæller. Det er Kundens krav til svartider i andre miljøer fx test, at de ikke er mere end maksimum 25% langsommere end svartider i produktionsmiljøet. Leverandøren skal sikre, at ESDH-løsningen overholder nedenfor angivne krav til svartider. Opgaverne er beskrevet således, at de ikke omfatter aktivitet udenfor ESDH-løsningen. Leverandøren bliver målt på svartider men også på at systemet bruger så få ressourcer som muligt til at opfylde svartider.</v>
      </c>
    </row>
    <row r="340" spans="1:3" hidden="1">
      <c r="A340" s="3" t="str">
        <f>'Production Plan'!B339</f>
        <v>B1.H-10</v>
      </c>
      <c r="B340" s="3" t="str">
        <f>VLOOKUP(A340,'Production Plan'!B:S,15,FALSE)</f>
        <v>CloudOps need to review and sign off to this requirement</v>
      </c>
      <c r="C340" s="3" t="str">
        <f>VLOOKUP(A340,'Production Plan'!B:F,5,FALSE)</f>
        <v>Forudsætning i relation til performance og antal samtidige Brugere ESDH-løsningen skal være tilgængeligt i et produktionsmiljø eller et produktionslignede miljø til brug for performancetesten. Ved performancetesten skal Leverandøren sikre, at der i miljøet findes mindst</v>
      </c>
    </row>
    <row r="341" spans="1:3" hidden="1">
      <c r="A341" s="3" t="str">
        <f>'Production Plan'!B340</f>
        <v>B1.H-11</v>
      </c>
      <c r="B341" s="3" t="str">
        <f>VLOOKUP(A341,'Production Plan'!B:S,15,FALSE)</f>
        <v>CloudOps need to review and sign off to this requirement</v>
      </c>
      <c r="C341" s="3" t="str">
        <f>VLOOKUP(A341,'Production Plan'!B:F,5,FALSE)</f>
        <v>dokumenter i løsningen på 2.000.000 sager med samlet 7 terabyte data. De 8.000.000 dokumenter skal være fordelt i små, almindelige og store dokumentstørrelser som vist i Tabel 1. Der skal også være nogle dokumenter med maksimum størrelse. Tabel 1 – Dokumentstørrelser. Dokumenter er delt i tre niveauer Små Almindelige Store Maksimum Størrelse</v>
      </c>
    </row>
    <row r="342" spans="1:3" hidden="1">
      <c r="A342" s="3" t="str">
        <f>'Production Plan'!B341</f>
        <v>B1.H-12</v>
      </c>
      <c r="B342" s="3" t="str">
        <f>VLOOKUP(A342,'Production Plan'!B:S,15,FALSE)</f>
        <v>CloudOps need to review and sign off to this requirement</v>
      </c>
      <c r="C342" s="3" t="str">
        <f>VLOOKUP(A342,'Production Plan'!B:F,5,FALSE)</f>
        <v>Måling af svartider Formålet med målingerne er at verificere, at ESDH-løsningen opfylder de fastsatte svartider, stabilitet og kapacitet, inden ESDH-løsningen sættes i produktion, og efter idriftsættelse løbende følge op på svartiderne, som beskrevet i afsnit 3.4.4. Svartidstesten gennemføres ved hjælp af et performanceværktøj, som Leverandøren skal stille til rådighed. Performanceværktøj skal kunne genere samtidige Brugere, måle svartider og registrere fejl under testen. Testen skal udføres af leverandøren i Kundens miljø med de belastninger, der er nævnt i afsnit 3.4.1. Opsætning af målepunkter skal (i samarbejde med Kunden) opsættes af Leverandøren, målepunkter af interesse er, men ikke begrænset til: a) b) c) d) e) f) g) Gennemsnitlige svartider. 95% svartid. 99% svartid. Antal fejl. CPU-forbrug. Hukommelsesforbrug. Databasebelastning.</v>
      </c>
    </row>
    <row r="343" spans="1:3" hidden="1">
      <c r="A343" s="3" t="str">
        <f>'Production Plan'!B342</f>
        <v>B1.H-13</v>
      </c>
      <c r="B343" s="3" t="str">
        <f>VLOOKUP(A343,'Production Plan'!B:S,15,FALSE)</f>
        <v>CloudOps need to review and sign off to this requirement</v>
      </c>
      <c r="C343" s="3" t="str">
        <f>VLOOKUP(A343,'Production Plan'!B:F,5,FALSE)</f>
        <v>Håndtering af mangelfulde svartider Leverandøren er forpligtet til, sammen med driftsleverandøren, at deltage aktivt i fejlsøgning og udbedring, hvis svartiderne ikke overholder kravene i Tabel 2 - Svartider. 6</v>
      </c>
    </row>
    <row r="344" spans="1:3" hidden="1">
      <c r="A344" s="3" t="str">
        <f>'Production Plan'!B343</f>
        <v>B1.H-14</v>
      </c>
      <c r="B344" s="3" t="str">
        <f>VLOOKUP(A344,'Production Plan'!B:S,15,FALSE)</f>
        <v>CloudOps need to review and sign off to this requirement</v>
      </c>
      <c r="C344" s="3" t="str">
        <f>VLOOKUP(A344,'Production Plan'!B:F,5,FALSE)</f>
        <v>Proaktiv ESDH-løsningsovervågning Leverandøren skal, i samarbejde med Kundens driftsleverandør, sikre, at Løsningen muliggør en proaktiv ESDH-løsningsovervågning, som kontinuerligt overvåger Løsningens helbred, performance og svartider. Værktøjerne skal automatisk identificere ESDH-løsningsfejl og tekniske flaskehalse samt udstille data i tekniske dashboards og tilstandsrapporter, der giver Kunden fuld indsigt i løsningens aktuelle driftstilstand.</v>
      </c>
    </row>
    <row r="345" spans="1:3" hidden="1">
      <c r="A345" s="3" t="str">
        <f>'Production Plan'!B344</f>
        <v>B1.H-15</v>
      </c>
      <c r="B345" s="3" t="str">
        <f>VLOOKUP(A345,'Production Plan'!B:S,15,FALSE)</f>
        <v>CloudOps need to review and sign off to this requirement</v>
      </c>
      <c r="C345" s="3" t="str">
        <f>VLOOKUP(A345,'Production Plan'!B:F,5,FALSE)</f>
        <v>Svartider til og fra ESDH via API Løsningen skal sikre, at ESDH-løsningen implementerer OIO API-standarden, således at der kan kommunikeres med andre offentlige systemer, herunder svartider for anvendelse af: • • API´er til opslag af sager og dokumentmetadata skal kunne besvare mindst 95% af alle forespørgsler indenfor 1 sekund og 99% af alle forespørgsler indenfor 2 sekunder under normal belastning med mindre end 0,5% fejlrate. API´er til journalisering Dokumenter skal kunne gennemføre mindst 95% af alle transaktioner indenfor</v>
      </c>
    </row>
    <row r="346" spans="1:3" hidden="1">
      <c r="A346" s="3" t="str">
        <f>'Production Plan'!B345</f>
        <v>B1.H-16</v>
      </c>
      <c r="B346" s="3" t="str">
        <f>VLOOKUP(A346,'Production Plan'!B:S,15,FALSE)</f>
        <v>QA: Awaiting clarification related to question in order to change to "Fully met" and status to "Done"</v>
      </c>
      <c r="C346" s="3" t="str">
        <f>VLOOKUP(A346,'Production Plan'!B:F,5,FALSE)</f>
        <v>Servicemål for support ved incidents i ESDH-løsningen Leverandøren skal tage imod henvendelser fra Kunden, når der opstår incidents, og forpligtiger sig til at anvende og oprette dem i Kundens interne servicemanagementsystem. Uanset om årsagen til et givet incident entydigt kan henføres til Leverandøren eller ej, skal Leverandøren bistå ved afhjælpning af incidentet. Leverandøren er ligeledes forpligtet til at bistå Kundens driftsleverandør i relevant arbejde med analyse af incidentet i forhold til ESDH-løsningen. Kategorisering af incidents sker som udgangspunkt af Kunden enten ved en mundtlig eller skriftlig indrapportering. Kategoriseringen af et incident afhænger særligt af, om incidentet er kritisk for løsning af Kundens opgaver, og om incidentet kan løses ved en omgåelse. Såfremt der er uenighed om kategoriseringen skal uenigheden løses efter princippet om ”udbedr først – afklar senere”. Princippet ”udbedr først – afklar senere” indebærer, at Leverandøren altid har en forpligtelse til at levere Ydelserne uanset Parternes uoverensstemmelse. Indtil Kunden og Leverandøren har afgjort spørgsmålet om kategoriseringen af det indrapporterede incident, skal Leverandøren foretage den fornødne afhjælpning i forhold til Kundens kategorisering. Reaktionstiden måles frem til det tidspunkt, hvor Leverandøren enten har løst incidenten eller har udført sådan afhjælpning, at incidenten kun er af typen ”betydende incident” eller ”ubetydeligt incident”, hvorefter et nyt interval begynder. Såfremt Kunden har indrapporteret incidentet udenfor den aftalte Servicetid, måles reaktionstiden fra det tidligste tidspunkt efter indrapporteringen, der er omfattet af den aftalte Servicetid. 7 Reaktionstiden er den tid, indenfor hvilken Leverandøren senest skal have igangsat en udbedring af incidenten. Incidentet skal være løst indenfor den tidsramme, som angives i kolonnen ”Servicemål” i Tabel 4 nedenfor.</v>
      </c>
    </row>
    <row r="347" spans="1:3" hidden="1">
      <c r="A347" s="3" t="str">
        <f>'Production Plan'!B346</f>
        <v>B1.H-17</v>
      </c>
      <c r="B347" s="3">
        <f>VLOOKUP(A347,'Production Plan'!B:S,15,FALSE)</f>
        <v>0</v>
      </c>
      <c r="C347" s="3" t="str">
        <f>VLOOKUP(A347,'Production Plan'!B:F,5,FALSE)</f>
        <v>Incidentkategorier Nedenfor beskrives de fire kategorier, som incidents skal kategoriseres i henhold til, og som skal anvendes af Leverandøren i forbindelse med indberetninger af incidents fra produktion i Kundens servicemanagementsystem. Incidentkategorierne skal tillige anvendes i den løbende rapportering. Tabel 3 - Incidentkategorier Incidentkategori Kritisk incidents (Prioritet 1) Beskrivelse Det er et kritisk incident, hvis omgåelse ikke er mulig, dvs. at sagsbehandlingen (eller dele heraf) ikke kan gennemføres, som Løsningen er designet. Konsekvenserne heraf er væsentlige for f.eks. faglig korrekthed, omdømme, sagsbehandlingstider, trivsel hos medarbejdere, forringet servicekvalitet for borgere m.m. Alvorligt incident (Prioritet 2) Det er et kritisk incident, hvis incidenten udgør en væsentlig risiko for persondatasikkerhed. Det er et alvorligt incident, hvis rimelig omgåelse ikke er mulig, dvs. at ansøgningsprocessen og sagsbehandlingen (eller dele heraf) kun kan gennemføres med markant længere behandlingstid eller svartid pr. sag, eller at omgåelsen af incidenten medfører forhøjet risiko for sagsbehandlingsfejl. Konsekvenserne heraf er væsentlige for f.eks. faglig korrekthed, omdømme, sagsbehandlingstider, trivsel hos medarbejdere, forringet servicekvalitet for borgere m.m. Betydende incident (Prioritet 3) Ubetydeligt incident (Prioritet 4) Det er et alvorligt incident, hvis incidenten udgør en risiko for persondatasikkerhed. Det er et betydende incident, hvis rimelig omgåelse er mulig, dvs. at sagsbehandlingen kan gennemføres, evt. med marginal forringelse af sagsbehandlingstider eller marginalt forringet servicekvalitet for borgere. Det er et ubetydeligt incident, hvis den ikke har nogen eller blot bagatelagtig betydning for sagsbehandling eller for borgerens service.</v>
      </c>
    </row>
    <row r="348" spans="1:3" hidden="1">
      <c r="A348" s="3" t="str">
        <f>'Production Plan'!B347</f>
        <v>B1.H-18</v>
      </c>
      <c r="B348" s="3" t="str">
        <f>VLOOKUP(A348,'Production Plan'!B:S,15,FALSE)</f>
        <v>QA: Awaiting clarification related to question in order to change to "Fully met" and status to "Done"</v>
      </c>
      <c r="C348" s="3" t="str">
        <f>VLOOKUP(A348,'Production Plan'!B:F,5,FALSE)</f>
        <v>Servicemål Leverandøren skal tage imod henvendelser fra Kunden i aftalt driftstid. I tilfælde af kritiske incidents (prioritet 1) skal det desuden være muligt for Kunden at kontakte Leverandøren uden for normal driftstid med henblik på afhjælpning af kritiske incidents. Servicemål for Leverandørens afhjælpning, herunder for Leverandørens reaktions, løsningsindsats og statusrapportering, fremgår af nedenstående tabel: 8 Tabel 4 – Servicemål KPI Reaktionstiden ved sikkerhedsnedbrud angiver tiden fra IT sikkerhedsbrud til Leverandørens SPOC indgår i Kundens sikkerhedsorganisation og evt. Kundens taskforce. Reaktionstiden angiver tiden fra henvendelsen om incidents er modtaget, ved registrering i servicemanagement-systemet, til løsning eller afhjælpning påbegyndes hos Leverandøren. Løsningsindsats hos Leverandøren indtil incidenten er løst. Statusrapportering i relation til indrapporterede incidents. Statusrapportering initieres af Leverandørens registrering af henvendelsen. Servicemål (Måles af leverandøren) Leverandøren skal påbegynde afhjælpning omgående, og senest inden for 30 minutter fra det tidspunkt, hvor Leverandøren selv bliver bekendt med sikkerhedsnedbruddet eller Kunden giver Leverandøren besked herom. &gt;90 % har Leverandøren påbegyndt afhjælpning af incidents indenfor: 1. Prioritet 1: Umiddelbart og mindre end 2 timer 2. Prioritet 2: Inden for2 timer (inden for aftalt driftstid). 3. Prioritet 3: Inden 5 Arbejdsdage. 4. Prioritet 4: Inden 20 Arbejdsdage. 1. Prioritet 1: Leverandøren skal arbejde uhindret på løsning af incidenten også uden for aftalt driftstid indtil incidenten er løst. 2. Prioritet 2: Leverandøren skal arbejde uhindret på løsning af incidenten inden for aftalt driftstid. 3. Prioritet 3: Leverandøren skal arbejde på løsningen af incidenten inden for aftalt driftstid efter prioritering med Kunden ift. øvrige opgaver. 4. Prioritet 4: Leverandøren skal arbejde på løsning af incidenten inden for aftalt driftstid uden, det hindrer fremdriften på Leverandørens øvrige opgaver for Kunden. 1. Prioritet 1: Leverandørens statusrapportering til Kunden skal ske minimum hver anden time indenfor normal driftstid, indtil incidenten er løst. 2. Prioritet 2: Leverandørens statusrapportering til Kunden skal ske mindst én gang hver Arbejdsdag, indtil incidenten er løst. 3. Prioritet 3: Statusrapportering gives i forbindelse med Leverandørens månedlige statusrapportering til Kunden. 4. Prioritet 4: Statusrapportering gives i forbindelse med Leverandørens månedlige statusrapportering til Kunden.</v>
      </c>
    </row>
    <row r="349" spans="1:3" hidden="1">
      <c r="A349" s="3" t="str">
        <f>'Production Plan'!B349</f>
        <v>B1.J-1</v>
      </c>
      <c r="B349" s="3">
        <f>VLOOKUP(A349,'Production Plan'!B:S,15,FALSE)</f>
        <v>0</v>
      </c>
      <c r="C349" s="3" t="str">
        <f>VLOOKUP(A349,'Production Plan'!B:F,5,FALSE)</f>
        <v>Formål Formålet med dette bilag er at angive procedurer og regler for ændringshåndtering, der kan finde anvendelse ved Leveringskontraktens opfyldelse. Leverandøren skal i henhold til Leveringskontrakten levere en række Ydelser, der f.eks. kan føre til ændringer af Løsningen. Tilpasning af eksisterende funktionalitet i Løsningen som følger af Leverandørens forpligtelser under Leveringskontrakten, f.eks. som følge af lovvedligehold, fejrettelser, nødvendige release ændringer ift. Løsningens afvikling eller andet, skal gennemføres af Leverandøren jf. Leveringskontrakten. Omkostninger hertil er Kunden uvedkommende, også uanset en sådan tilpasning håndteres via ændringsproceduren i nærværende bilag for sådanne ændringer.</v>
      </c>
    </row>
    <row r="350" spans="1:3" hidden="1">
      <c r="A350" s="3" t="str">
        <f>'Production Plan'!B350</f>
        <v>B1.J-2</v>
      </c>
      <c r="B350" s="3">
        <f>VLOOKUP(A350,'Production Plan'!B:S,15,FALSE)</f>
        <v>0</v>
      </c>
      <c r="C350" s="3" t="str">
        <f>VLOOKUP(A350,'Production Plan'!B:F,5,FALSE)</f>
        <v>Løsningsforslag Leverandøren skal udarbejde et løsningsforslag, der som minimum indeholder oplysninger: a) Leverandørens beskrivelse af løsningsforslaget, herunder en detaljeret beskrivelse af hvordan ændringsanmodningen opfyldes samt ressourceforbruget forbundet med implementeringen af ændringen med forsat opretholdelse af de fastsatte servicemål efter gennemførelse af ændringen. b) Tidsplan for ændringen samt eventuelle konsekvenser for en eksisterende tidsplan. c) Vederlagsmæssige konsekvenser af Løsningen, herunder eventuelle konsekvenser for løbende vederlag for løsninger og tilknyttede Ydelser. d) Antallet af konsulenttimer til gennemførelse af ændringen. e) Konsekvenser for Løsningen og eksekvering af løsningen. f) Konsekvenser for funktionelle tillægsydelser og integrationer. g) Konsekvenser for Leverandørens øvrige Ydelser. h) Konsekvenser for servicemål. i) Konsekvenser for dokumentation. j) Konsekvenser for Brugernes anvendelse af Løsningen. k) Konsekvenser for Kundens medvirken og ressourcer. l) Konsekvenser for Kundens øvrige It-systemer og løsninger, såfremt Leverandøren har den fornødne indsigt i forhold hertil. m) Konsekvenser for arkitektur, sikkerhed og drift. n) Tidspunkt for eventuel afprøvning af gennemførte ændringer og konsekvenser for afprøvning af øvrige dele af løsningen, herunder Kundens deltagelse. o) Konsekvenser for uddannelse. p) Konsekvenser for andre leverandører og deres leverancer, hvis Leverandøren har den fornødne indsigt i forhold hertil. q) Konsekvenser for exit og exitprocessen. r) Leverandørens angivelse af hvilke bilag, som Leverandørens har udarbejdet korrektioner til som følge af ændringen. s) Konsekvenser såfremt ændringen ikke gennemføres. t) Eventuelle andre relevante forhold. Såfremt løsningsforslaget ikke indeholder en angivelse af konsekvenser i forhold til ovenstående, anses ændringen og løsningsforslaget for ikke at påvirke, ændre eller i øvrigt at have konsekvenser for de pågældende forhold.</v>
      </c>
    </row>
    <row r="351" spans="1:3" hidden="1">
      <c r="A351" s="3" t="str">
        <f>'Production Plan'!B351</f>
        <v>B1.J-3</v>
      </c>
      <c r="B351" s="3">
        <f>VLOOKUP(A351,'Production Plan'!B:S,15,FALSE)</f>
        <v>0</v>
      </c>
      <c r="C351" s="3" t="str">
        <f>VLOOKUP(A351,'Production Plan'!B:F,5,FALSE)</f>
        <v>Godkendelse og levering Leverandøren skal fremsende løsningsforslaget til Kunden med henblik på Kundens godkendelse. Kunden bekræfter herefter skriftligt overfor Leverandøren, hvorvidt et givent løsningsforslag kan godkendes. Kunden kan vælge enten: a) Afvise løsningsforslaget. 3 b) Godkende løsningsforslaget på betingelse af ændringer af løsningsforslaget, som Kunden specificerer. c) Godkende løsningsforslaget. Ved anmodning om en væsentlig ændring af et løsningsforslag, anses det som en afvisning af det foreliggende løsningsforslag. Leverandøren skal, hvis Kunden fremsætter anmodning om ændring af et løsningsforslag, bekræfte skriftligt overfor Kunden, om ændringerne til løsningsforslaget kan accepteres. Når Kunden har godkendt et løsningsforslag, implementeres den pågældende ændring i Leveringskontrakten. Leverandøren skal herefter påbegynde arbejde forbundet med løsningsforslaget i relation til Løsningen i overensstemmelse dermed samt i overensstemmelse med Leveringskontrakten i øvrigt.</v>
      </c>
    </row>
    <row r="352" spans="1:3" hidden="1">
      <c r="A352" s="3" t="str">
        <f>'Production Plan'!B352</f>
        <v>B1.J-4</v>
      </c>
      <c r="B352" s="3">
        <f>VLOOKUP(A352,'Production Plan'!B:S,15,FALSE)</f>
        <v>0</v>
      </c>
      <c r="C352" s="3" t="str">
        <f>VLOOKUP(A352,'Production Plan'!B:F,5,FALSE)</f>
        <v>Ændringsstyring Leverandøren skal føre en ændringslog, som skal indeholde følgende oplysninger: a) b) c) d) e) Daterede ændringsanmodninger. Daterede løsningsforslag. Godkendte løsningsforslag. Opdaterede tidsplaner (hvor relevant). Øvrige relevante dokumenter. Det påhviler Leverandøren løbende at ajourføre Leveringskontrakten, inklusive bilag, eventuelle tillæg og andet, såfremt der foretages ændringer. Sporbarhed og versionering ved ændringer skal være tydeligt versioneret i ændringsloggen, hvorfor tidligere versioner af dokumentationen skal bevares, så det også er dokumenteret, hvordan Løsningen blev driftsunderstøttet på et givent tidspunkt. Leverandøren skal udlevere en ajourført Leveringskontrakt til Kunden inden for 10 Arbejdsdage efter Kundens accept af et løsningsforslag. Leverandørens udlevering skal ske elektronisk og begrænser sig til de kontraktdokumenter, hvori der er foretaget ændringer, medmindre Kunden anmoder Leverandøren om andet. Leverandøren skal ajourføre dokumentation, som berøres af en ændring.</v>
      </c>
    </row>
    <row r="353" spans="1:3" hidden="1">
      <c r="A353" s="3" t="str">
        <f>'Production Plan'!B353</f>
        <v>B1.J-5</v>
      </c>
      <c r="B353" s="3">
        <f>VLOOKUP(A353,'Production Plan'!B:S,15,FALSE)</f>
        <v>0</v>
      </c>
      <c r="C353" s="3" t="str">
        <f>VLOOKUP(A353,'Production Plan'!B:F,5,FALSE)</f>
        <v>Øvrige krav til Leverandørens medvirken Leverandøren skal proaktivt medvirke i ændringshåndteringsprocessen, uanset om ændringsanmodningen vedrører ændringer, som kun måtte være i Kundens interesse. Leverandøren skal give Kunden alle relevante oplysninger, som Leverandøren besidder, med henblik på Kundens bedømmelse af og stillingtagen til konsekvenserne af en ændring og det foreliggende løsningsforslag. I den forbindelse skal Leverandøren orientere Kunden, såfremt Leverandøren bliver opmærksom på, at Kundens behov bedre opfyldes på en anden måde. 4</v>
      </c>
    </row>
    <row r="354" spans="1:3" hidden="1">
      <c r="A354" s="3" t="str">
        <f>'Production Plan'!B354</f>
        <v>B1.J-6</v>
      </c>
      <c r="B354" s="3">
        <f>VLOOKUP(A354,'Production Plan'!B:S,15,FALSE)</f>
        <v>0</v>
      </c>
      <c r="C354" s="3" t="str">
        <f>VLOOKUP(A354,'Production Plan'!B:F,5,FALSE)</f>
        <v>Ændringshåndteringsskabelon Bestilling af en ændring skal initieres gennem nedenstående skabelon. Titel: [indsæt titel på ændring] Identifikationsnummer: [Indsæt nummer] Dato: [Indsæt data for anmodningen] Anmodningen udarbejdet af: [Kunden / Leverandøren] Tidsmæssig ramme: [Indsæt hvornår ændringen ønsker gennemført] Beskrivelse: [Indsæt beskrivelse af den ønskede ændring samt en begrundelse herfor. Ændringsanmodningen skal være tilstrækkelig detaljeret til, at Leverandøren kan udarbejde et estimat over det vederlag, som vil være forbundet med udarbejdelse af et ændringsforslag.] Forventede konsekvenser: [Indsæt beskrivelse af de forventede konsekvenser, som ændringen medfører, herunder i forhold til Leveringskontrakten, bilag eller andre dokumenter, som skal opdateres.] Øvrige oplysninger: [Andre relevante oplysninger om den ønskede ændring indsættes her.] 5</v>
      </c>
    </row>
    <row r="355" spans="1:3" hidden="1">
      <c r="A355" s="3" t="str">
        <f>'Production Plan'!B355</f>
        <v>B1.K-1</v>
      </c>
      <c r="B355" s="3">
        <f>VLOOKUP(A355,'Production Plan'!B:S,15,FALSE)</f>
        <v>0</v>
      </c>
      <c r="C355" s="3" t="str">
        <f>VLOOKUP(A355,'Production Plan'!B:F,5,FALSE)</f>
        <v>Aflevering af information til Kunden Leverandøren skal i forbindelse med Leveringskontraktens hele eller delvise ophør, og inden for 20 arbejdsdage efter Kunden har anmodet herom, som minimum udlevere følgende beskrivelser af ESDHløsningen til Kunden: • • Kundens data i ESDH-løsningen Datastruktur og datafelter herunder: o Databasemodel og formatbeskrivelse af Datamodellens indhold o Registreringssystematikker, herunder journalplan/er o Rettighedsmatricer, dvs. systematik for sammensætning af brugerrettigheder o Adgangsgrupper, dvs. gruppering af brugerrettigheder Al ovenfor nævnt information skal afleveres i et elektronisk standardformat, som kan læses og redigeres af Kunden.</v>
      </c>
    </row>
    <row r="356" spans="1:3" hidden="1">
      <c r="A356" s="3" t="str">
        <f>'Production Plan'!B356</f>
        <v>B1.K-2</v>
      </c>
      <c r="B356" s="3">
        <f>VLOOKUP(A356,'Production Plan'!B:S,15,FALSE)</f>
        <v>0</v>
      </c>
      <c r="C356" s="3" t="str">
        <f>VLOOKUP(A356,'Production Plan'!B:F,5,FALSE)</f>
        <v>Afvikling Leverandøren skal i forbindelse med Leveringskontraktens ophør, og inden for 20 Arbejdsdage efter Kunden har anmodet herom: • • • • Tilbagelevere evt. hardware, f.eks. SIA pc’er som Leverandøren måtte have modtaget af Kunden eller SIT Sikre sletning af alle Kundens data (herunder personoplysninger), back-up af data og logfiler. Afinstallere softwarelicenser, som Kunden eller SIT har stillet til rådighed Lukke alle Leverandørens adgange til Kundens ESDH-løsning. Sletning af Kundens data mv. må først gennemføres efter Kundens eksplicitte anmodning herom. Leverandøren skal dokumentere alle afviklingsaktiviteter, eventuelt i form af en erklæring.</v>
      </c>
    </row>
    <row r="357" spans="1:3" hidden="1">
      <c r="A357" s="3" t="str">
        <f>'Production Plan'!B357</f>
        <v>B1.K-3</v>
      </c>
      <c r="B357" s="3">
        <f>VLOOKUP(A357,'Production Plan'!B:S,15,FALSE)</f>
        <v>0</v>
      </c>
      <c r="C357" s="3" t="str">
        <f>VLOOKUP(A357,'Production Plan'!B:F,5,FALSE)</f>
        <v>Bistand til data-relaterede aktiviteter Leverandøren skal yde bistand til data-relaterede aktiviteter i forbindelse med Kundens overgang til ny ESDH-løsning, herunder bistand til: • • Periodeaflevering til Statens Arkiver Konvertering af data fra nuværende ESDH-løsning til ny ESDH-løsning</v>
      </c>
    </row>
    <row r="358" spans="1:3" hidden="1">
      <c r="A358" s="3" t="str">
        <f>'Production Plan'!B358</f>
        <v>B1.K-4</v>
      </c>
      <c r="B358" s="3">
        <f>VLOOKUP(A358,'Production Plan'!B:S,15,FALSE)</f>
        <v>0</v>
      </c>
      <c r="C358" s="3" t="str">
        <f>VLOOKUP(A358,'Production Plan'!B:F,5,FALSE)</f>
        <v>Bistand til overgang til ny ESDH-løsning Leverandøren skal yde bistand til Kunden og den nye Leverandør i forbindelse med overgang til ny ESDHløsning herunder: • • • • • Udarbejde overgangsplan i samarbejde med Kunden og den nye Leverandør Yde bistand til overflytning af aktiviteter til Kunden eller den nye Leverandør Deltage i overleveringsmøder og eventuelle workshops med Kunden og den ny Leverandør Assistere med rådgivning i en overgangsperiode til Kunden eller den nye Leverandør Udarbejde eventuel supplerende dokumentation. 3</v>
      </c>
    </row>
    <row r="359" spans="1:3" hidden="1">
      <c r="A359" s="3" t="e">
        <f>'Production Plan'!#REF!</f>
        <v>#REF!</v>
      </c>
      <c r="B359" s="3" t="e">
        <f>VLOOKUP(A359,'Production Plan'!B:S,15,FALSE)</f>
        <v>#REF!</v>
      </c>
      <c r="C359" s="3" t="e">
        <f>VLOOKUP(A359,'Production Plan'!B:F,5,FALSE)</f>
        <v>#REF!</v>
      </c>
    </row>
    <row r="360" spans="1:3" hidden="1">
      <c r="A360" s="3" t="e">
        <f>'Production Plan'!#REF!</f>
        <v>#REF!</v>
      </c>
      <c r="B360" s="3" t="e">
        <f>VLOOKUP(A360,'Production Plan'!B:S,15,FALSE)</f>
        <v>#REF!</v>
      </c>
      <c r="C360" s="3" t="e">
        <f>VLOOKUP(A360,'Production Plan'!B:F,5,FALSE)</f>
        <v>#REF!</v>
      </c>
    </row>
    <row r="361" spans="1:3" hidden="1">
      <c r="A361" s="3" t="e">
        <f>'Production Plan'!#REF!</f>
        <v>#REF!</v>
      </c>
      <c r="B361" s="3" t="e">
        <f>VLOOKUP(A361,'Production Plan'!B:S,15,FALSE)</f>
        <v>#REF!</v>
      </c>
      <c r="C361" s="3" t="e">
        <f>VLOOKUP(A361,'Production Plan'!B:F,5,FALSE)</f>
        <v>#REF!</v>
      </c>
    </row>
    <row r="362" spans="1:3" hidden="1">
      <c r="A362" s="3" t="e">
        <f>'Production Plan'!#REF!</f>
        <v>#REF!</v>
      </c>
      <c r="B362" s="3" t="e">
        <f>VLOOKUP(A362,'Production Plan'!B:S,15,FALSE)</f>
        <v>#REF!</v>
      </c>
      <c r="C362" s="3" t="e">
        <f>VLOOKUP(A362,'Production Plan'!B:F,5,FALSE)</f>
        <v>#REF!</v>
      </c>
    </row>
    <row r="363" spans="1:3" hidden="1">
      <c r="A363" s="3" t="e">
        <f>'Production Plan'!#REF!</f>
        <v>#REF!</v>
      </c>
      <c r="B363" s="3" t="e">
        <f>VLOOKUP(A363,'Production Plan'!B:S,15,FALSE)</f>
        <v>#REF!</v>
      </c>
      <c r="C363" s="3" t="e">
        <f>VLOOKUP(A363,'Production Plan'!B:F,5,FALSE)</f>
        <v>#REF!</v>
      </c>
    </row>
    <row r="364" spans="1:3" hidden="1">
      <c r="A364" s="3" t="e">
        <f>'Production Plan'!#REF!</f>
        <v>#REF!</v>
      </c>
      <c r="B364" s="3" t="e">
        <f>VLOOKUP(A364,'Production Plan'!B:S,15,FALSE)</f>
        <v>#REF!</v>
      </c>
      <c r="C364" s="3" t="e">
        <f>VLOOKUP(A364,'Production Plan'!B:F,5,FALSE)</f>
        <v>#REF!</v>
      </c>
    </row>
    <row r="365" spans="1:3" hidden="1">
      <c r="A365" s="3" t="e">
        <f>'Production Plan'!#REF!</f>
        <v>#REF!</v>
      </c>
      <c r="B365" s="3" t="e">
        <f>VLOOKUP(A365,'Production Plan'!B:S,15,FALSE)</f>
        <v>#REF!</v>
      </c>
      <c r="C365" s="3" t="e">
        <f>VLOOKUP(A365,'Production Plan'!B:F,5,FALSE)</f>
        <v>#REF!</v>
      </c>
    </row>
    <row r="366" spans="1:3" hidden="1">
      <c r="A366" s="3" t="e">
        <f>'Production Plan'!#REF!</f>
        <v>#REF!</v>
      </c>
      <c r="B366" s="3" t="e">
        <f>VLOOKUP(A366,'Production Plan'!B:S,15,FALSE)</f>
        <v>#REF!</v>
      </c>
      <c r="C366" s="3" t="e">
        <f>VLOOKUP(A366,'Production Plan'!B:F,5,FALSE)</f>
        <v>#REF!</v>
      </c>
    </row>
    <row r="367" spans="1:3" hidden="1">
      <c r="A367" s="3" t="e">
        <f>'Production Plan'!#REF!</f>
        <v>#REF!</v>
      </c>
      <c r="B367" s="3" t="e">
        <f>VLOOKUP(A367,'Production Plan'!B:S,15,FALSE)</f>
        <v>#REF!</v>
      </c>
      <c r="C367" s="3" t="e">
        <f>VLOOKUP(A367,'Production Plan'!B:F,5,FALSE)</f>
        <v>#REF!</v>
      </c>
    </row>
    <row r="368" spans="1:3" hidden="1">
      <c r="A368" s="3" t="e">
        <f>'Production Plan'!#REF!</f>
        <v>#REF!</v>
      </c>
      <c r="B368" s="3" t="e">
        <f>VLOOKUP(A368,'Production Plan'!B:S,15,FALSE)</f>
        <v>#REF!</v>
      </c>
      <c r="C368" s="3" t="e">
        <f>VLOOKUP(A368,'Production Plan'!B:F,5,FALSE)</f>
        <v>#REF!</v>
      </c>
    </row>
    <row r="369" spans="1:3" hidden="1">
      <c r="A369" s="3" t="e">
        <f>'Production Plan'!#REF!</f>
        <v>#REF!</v>
      </c>
      <c r="B369" s="3" t="e">
        <f>VLOOKUP(A369,'Production Plan'!B:S,15,FALSE)</f>
        <v>#REF!</v>
      </c>
      <c r="C369" s="3" t="e">
        <f>VLOOKUP(A369,'Production Plan'!B:F,5,FALSE)</f>
        <v>#REF!</v>
      </c>
    </row>
    <row r="370" spans="1:3" hidden="1">
      <c r="A370" s="3">
        <f>'Production Plan'!B359</f>
        <v>0</v>
      </c>
      <c r="B370" s="3" t="e">
        <f>VLOOKUP(A370,'Production Plan'!B:S,15,FALSE)</f>
        <v>#N/A</v>
      </c>
      <c r="C370" s="3" t="e">
        <f>VLOOKUP(A370,'Production Plan'!B:F,5,FALSE)</f>
        <v>#N/A</v>
      </c>
    </row>
    <row r="371" spans="1:3" hidden="1">
      <c r="A371" s="3">
        <f>'Production Plan'!B360</f>
        <v>0</v>
      </c>
      <c r="B371" s="3" t="e">
        <f>VLOOKUP(A371,'Production Plan'!B:S,15,FALSE)</f>
        <v>#N/A</v>
      </c>
      <c r="C371" s="3" t="e">
        <f>VLOOKUP(A371,'Production Plan'!B:F,5,FALSE)</f>
        <v>#N/A</v>
      </c>
    </row>
    <row r="372" spans="1:3" hidden="1">
      <c r="A372" s="3">
        <f>'Production Plan'!B361</f>
        <v>0</v>
      </c>
      <c r="B372" s="3" t="e">
        <f>VLOOKUP(A372,'Production Plan'!B:S,15,FALSE)</f>
        <v>#N/A</v>
      </c>
      <c r="C372" s="3" t="e">
        <f>VLOOKUP(A372,'Production Plan'!B:F,5,FALSE)</f>
        <v>#N/A</v>
      </c>
    </row>
    <row r="373" spans="1:3" hidden="1">
      <c r="A373" s="3">
        <f>'Production Plan'!B362</f>
        <v>0</v>
      </c>
      <c r="B373" s="3" t="e">
        <f>VLOOKUP(A373,'Production Plan'!B:S,15,FALSE)</f>
        <v>#N/A</v>
      </c>
      <c r="C373" s="3" t="e">
        <f>VLOOKUP(A373,'Production Plan'!B:F,5,FALSE)</f>
        <v>#N/A</v>
      </c>
    </row>
    <row r="374" spans="1:3" hidden="1">
      <c r="A374" s="3">
        <f>'Production Plan'!B363</f>
        <v>0</v>
      </c>
      <c r="B374" s="3" t="e">
        <f>VLOOKUP(A374,'Production Plan'!B:S,15,FALSE)</f>
        <v>#N/A</v>
      </c>
      <c r="C374" s="3" t="e">
        <f>VLOOKUP(A374,'Production Plan'!B:F,5,FALSE)</f>
        <v>#N/A</v>
      </c>
    </row>
    <row r="375" spans="1:3" hidden="1">
      <c r="A375" s="3">
        <f>'Production Plan'!B364</f>
        <v>0</v>
      </c>
      <c r="B375" s="3" t="e">
        <f>VLOOKUP(A375,'Production Plan'!B:S,15,FALSE)</f>
        <v>#N/A</v>
      </c>
      <c r="C375" s="3" t="e">
        <f>VLOOKUP(A375,'Production Plan'!B:F,5,FALSE)</f>
        <v>#N/A</v>
      </c>
    </row>
    <row r="376" spans="1:3" hidden="1">
      <c r="A376" s="3">
        <f>'Production Plan'!B365</f>
        <v>0</v>
      </c>
      <c r="B376" s="3" t="e">
        <f>VLOOKUP(A376,'Production Plan'!B:S,15,FALSE)</f>
        <v>#N/A</v>
      </c>
      <c r="C376" s="3" t="e">
        <f>VLOOKUP(A376,'Production Plan'!B:F,5,FALSE)</f>
        <v>#N/A</v>
      </c>
    </row>
    <row r="377" spans="1:3" hidden="1">
      <c r="A377" s="3">
        <f>'Production Plan'!B366</f>
        <v>0</v>
      </c>
      <c r="B377" s="3" t="e">
        <f>VLOOKUP(A377,'Production Plan'!B:S,15,FALSE)</f>
        <v>#N/A</v>
      </c>
      <c r="C377" s="3" t="e">
        <f>VLOOKUP(A377,'Production Plan'!B:F,5,FALSE)</f>
        <v>#N/A</v>
      </c>
    </row>
    <row r="378" spans="1:3" hidden="1">
      <c r="A378" s="3">
        <f>'Production Plan'!B367</f>
        <v>0</v>
      </c>
      <c r="B378" s="3" t="e">
        <f>VLOOKUP(A378,'Production Plan'!B:S,15,FALSE)</f>
        <v>#N/A</v>
      </c>
      <c r="C378" s="3" t="e">
        <f>VLOOKUP(A378,'Production Plan'!B:F,5,FALSE)</f>
        <v>#N/A</v>
      </c>
    </row>
    <row r="379" spans="1:3" hidden="1">
      <c r="A379" s="3">
        <f>'Production Plan'!B368</f>
        <v>0</v>
      </c>
      <c r="B379" s="3" t="e">
        <f>VLOOKUP(A379,'Production Plan'!B:S,15,FALSE)</f>
        <v>#N/A</v>
      </c>
      <c r="C379" s="3" t="e">
        <f>VLOOKUP(A379,'Production Plan'!B:F,5,FALSE)</f>
        <v>#N/A</v>
      </c>
    </row>
    <row r="380" spans="1:3" hidden="1">
      <c r="A380" s="3">
        <f>'Production Plan'!B369</f>
        <v>0</v>
      </c>
      <c r="B380" s="3" t="e">
        <f>VLOOKUP(A380,'Production Plan'!B:S,15,FALSE)</f>
        <v>#N/A</v>
      </c>
      <c r="C380" s="3" t="e">
        <f>VLOOKUP(A380,'Production Plan'!B:F,5,FALSE)</f>
        <v>#N/A</v>
      </c>
    </row>
    <row r="381" spans="1:3" hidden="1">
      <c r="A381" s="3">
        <f>'Production Plan'!B370</f>
        <v>0</v>
      </c>
      <c r="B381" s="3" t="e">
        <f>VLOOKUP(A381,'Production Plan'!B:S,15,FALSE)</f>
        <v>#N/A</v>
      </c>
      <c r="C381" s="3" t="e">
        <f>VLOOKUP(A381,'Production Plan'!B:F,5,FALSE)</f>
        <v>#N/A</v>
      </c>
    </row>
    <row r="382" spans="1:3" hidden="1">
      <c r="A382" s="3">
        <f>'Production Plan'!B371</f>
        <v>0</v>
      </c>
      <c r="B382" s="3" t="e">
        <f>VLOOKUP(A382,'Production Plan'!B:S,15,FALSE)</f>
        <v>#N/A</v>
      </c>
      <c r="C382" s="3" t="e">
        <f>VLOOKUP(A382,'Production Plan'!B:F,5,FALSE)</f>
        <v>#N/A</v>
      </c>
    </row>
    <row r="383" spans="1:3" hidden="1">
      <c r="A383" s="3">
        <f>'Production Plan'!B372</f>
        <v>0</v>
      </c>
      <c r="B383" s="3" t="e">
        <f>VLOOKUP(A383,'Production Plan'!B:S,15,FALSE)</f>
        <v>#N/A</v>
      </c>
      <c r="C383" s="3" t="e">
        <f>VLOOKUP(A383,'Production Plan'!B:F,5,FALSE)</f>
        <v>#N/A</v>
      </c>
    </row>
    <row r="384" spans="1:3" hidden="1">
      <c r="A384" s="3">
        <f>'Production Plan'!B373</f>
        <v>0</v>
      </c>
      <c r="B384" s="3" t="e">
        <f>VLOOKUP(A384,'Production Plan'!B:S,15,FALSE)</f>
        <v>#N/A</v>
      </c>
      <c r="C384" s="3" t="e">
        <f>VLOOKUP(A384,'Production Plan'!B:F,5,FALSE)</f>
        <v>#N/A</v>
      </c>
    </row>
    <row r="385" spans="1:3" hidden="1">
      <c r="A385" s="3">
        <f>'Production Plan'!B374</f>
        <v>0</v>
      </c>
      <c r="B385" s="3" t="e">
        <f>VLOOKUP(A385,'Production Plan'!B:S,15,FALSE)</f>
        <v>#N/A</v>
      </c>
      <c r="C385" s="3" t="e">
        <f>VLOOKUP(A385,'Production Plan'!B:F,5,FALSE)</f>
        <v>#N/A</v>
      </c>
    </row>
    <row r="386" spans="1:3" hidden="1">
      <c r="A386" s="3">
        <f>'Production Plan'!B375</f>
        <v>0</v>
      </c>
      <c r="B386" s="3" t="e">
        <f>VLOOKUP(A386,'Production Plan'!B:S,15,FALSE)</f>
        <v>#N/A</v>
      </c>
      <c r="C386" s="3" t="e">
        <f>VLOOKUP(A386,'Production Plan'!B:F,5,FALSE)</f>
        <v>#N/A</v>
      </c>
    </row>
    <row r="387" spans="1:3" hidden="1">
      <c r="A387" s="3">
        <f>'Production Plan'!B376</f>
        <v>0</v>
      </c>
      <c r="B387" s="3" t="e">
        <f>VLOOKUP(A387,'Production Plan'!B:S,15,FALSE)</f>
        <v>#N/A</v>
      </c>
      <c r="C387" s="3" t="e">
        <f>VLOOKUP(A387,'Production Plan'!B:F,5,FALSE)</f>
        <v>#N/A</v>
      </c>
    </row>
    <row r="388" spans="1:3" hidden="1">
      <c r="A388" s="3">
        <f>'Production Plan'!B377</f>
        <v>0</v>
      </c>
      <c r="B388" s="3" t="e">
        <f>VLOOKUP(A388,'Production Plan'!B:S,15,FALSE)</f>
        <v>#N/A</v>
      </c>
      <c r="C388" s="3" t="e">
        <f>VLOOKUP(A388,'Production Plan'!B:F,5,FALSE)</f>
        <v>#N/A</v>
      </c>
    </row>
    <row r="389" spans="1:3" hidden="1">
      <c r="A389" s="3">
        <f>'Production Plan'!B378</f>
        <v>0</v>
      </c>
      <c r="B389" s="3" t="e">
        <f>VLOOKUP(A389,'Production Plan'!B:S,15,FALSE)</f>
        <v>#N/A</v>
      </c>
      <c r="C389" s="3" t="e">
        <f>VLOOKUP(A389,'Production Plan'!B:F,5,FALSE)</f>
        <v>#N/A</v>
      </c>
    </row>
    <row r="390" spans="1:3" hidden="1">
      <c r="A390" s="3">
        <f>'Production Plan'!B379</f>
        <v>0</v>
      </c>
      <c r="B390" s="3" t="e">
        <f>VLOOKUP(A390,'Production Plan'!B:S,15,FALSE)</f>
        <v>#N/A</v>
      </c>
      <c r="C390" s="3" t="e">
        <f>VLOOKUP(A390,'Production Plan'!B:F,5,FALSE)</f>
        <v>#N/A</v>
      </c>
    </row>
    <row r="391" spans="1:3" hidden="1">
      <c r="A391" s="3">
        <f>'Production Plan'!B380</f>
        <v>0</v>
      </c>
      <c r="B391" s="3" t="e">
        <f>VLOOKUP(A391,'Production Plan'!B:S,15,FALSE)</f>
        <v>#N/A</v>
      </c>
      <c r="C391" s="3" t="e">
        <f>VLOOKUP(A391,'Production Plan'!B:F,5,FALSE)</f>
        <v>#N/A</v>
      </c>
    </row>
    <row r="392" spans="1:3" hidden="1">
      <c r="A392" s="3">
        <f>'Production Plan'!B381</f>
        <v>0</v>
      </c>
      <c r="B392" s="3" t="e">
        <f>VLOOKUP(A392,'Production Plan'!B:S,15,FALSE)</f>
        <v>#N/A</v>
      </c>
      <c r="C392" s="3" t="e">
        <f>VLOOKUP(A392,'Production Plan'!B:F,5,FALSE)</f>
        <v>#N/A</v>
      </c>
    </row>
    <row r="393" spans="1:3" hidden="1">
      <c r="A393" s="3">
        <f>'Production Plan'!B382</f>
        <v>0</v>
      </c>
      <c r="B393" s="3" t="e">
        <f>VLOOKUP(A393,'Production Plan'!B:S,15,FALSE)</f>
        <v>#N/A</v>
      </c>
      <c r="C393" s="3" t="e">
        <f>VLOOKUP(A393,'Production Plan'!B:F,5,FALSE)</f>
        <v>#N/A</v>
      </c>
    </row>
    <row r="394" spans="1:3" hidden="1">
      <c r="A394" s="3">
        <f>'Production Plan'!B383</f>
        <v>0</v>
      </c>
      <c r="B394" s="3" t="e">
        <f>VLOOKUP(A394,'Production Plan'!B:S,15,FALSE)</f>
        <v>#N/A</v>
      </c>
      <c r="C394" s="3" t="e">
        <f>VLOOKUP(A394,'Production Plan'!B:F,5,FALSE)</f>
        <v>#N/A</v>
      </c>
    </row>
    <row r="395" spans="1:3" hidden="1">
      <c r="A395" s="3">
        <f>'Production Plan'!B384</f>
        <v>0</v>
      </c>
      <c r="B395" s="3" t="e">
        <f>VLOOKUP(A395,'Production Plan'!B:S,15,FALSE)</f>
        <v>#N/A</v>
      </c>
      <c r="C395" s="3" t="e">
        <f>VLOOKUP(A395,'Production Plan'!B:F,5,FALSE)</f>
        <v>#N/A</v>
      </c>
    </row>
    <row r="396" spans="1:3" hidden="1">
      <c r="A396" s="3">
        <f>'Production Plan'!B385</f>
        <v>0</v>
      </c>
      <c r="B396" s="3" t="e">
        <f>VLOOKUP(A396,'Production Plan'!B:S,15,FALSE)</f>
        <v>#N/A</v>
      </c>
      <c r="C396" s="3" t="e">
        <f>VLOOKUP(A396,'Production Plan'!B:F,5,FALSE)</f>
        <v>#N/A</v>
      </c>
    </row>
    <row r="397" spans="1:3" hidden="1">
      <c r="A397" s="3">
        <f>'Production Plan'!B386</f>
        <v>0</v>
      </c>
      <c r="B397" s="3" t="e">
        <f>VLOOKUP(A397,'Production Plan'!B:S,15,FALSE)</f>
        <v>#N/A</v>
      </c>
      <c r="C397" s="3" t="e">
        <f>VLOOKUP(A397,'Production Plan'!B:F,5,FALSE)</f>
        <v>#N/A</v>
      </c>
    </row>
    <row r="398" spans="1:3" hidden="1">
      <c r="A398" s="3">
        <f>'Production Plan'!B387</f>
        <v>0</v>
      </c>
      <c r="B398" s="3" t="e">
        <f>VLOOKUP(A398,'Production Plan'!B:S,15,FALSE)</f>
        <v>#N/A</v>
      </c>
      <c r="C398" s="3" t="e">
        <f>VLOOKUP(A398,'Production Plan'!B:F,5,FALSE)</f>
        <v>#N/A</v>
      </c>
    </row>
    <row r="399" spans="1:3" hidden="1">
      <c r="A399" s="3">
        <f>'Production Plan'!B388</f>
        <v>0</v>
      </c>
      <c r="B399" s="3" t="e">
        <f>VLOOKUP(A399,'Production Plan'!B:S,15,FALSE)</f>
        <v>#N/A</v>
      </c>
      <c r="C399" s="3" t="e">
        <f>VLOOKUP(A399,'Production Plan'!B:F,5,FALSE)</f>
        <v>#N/A</v>
      </c>
    </row>
    <row r="400" spans="1:3" hidden="1">
      <c r="A400" s="3">
        <f>'Production Plan'!B389</f>
        <v>0</v>
      </c>
      <c r="B400" s="3" t="e">
        <f>VLOOKUP(A400,'Production Plan'!B:S,15,FALSE)</f>
        <v>#N/A</v>
      </c>
      <c r="C400" s="3" t="e">
        <f>VLOOKUP(A400,'Production Plan'!B:F,5,FALSE)</f>
        <v>#N/A</v>
      </c>
    </row>
    <row r="401" spans="1:3" hidden="1">
      <c r="A401" s="3">
        <f>'Production Plan'!B390</f>
        <v>0</v>
      </c>
      <c r="B401" s="3" t="e">
        <f>VLOOKUP(A401,'Production Plan'!B:S,15,FALSE)</f>
        <v>#N/A</v>
      </c>
      <c r="C401" s="3" t="e">
        <f>VLOOKUP(A401,'Production Plan'!B:F,5,FALSE)</f>
        <v>#N/A</v>
      </c>
    </row>
    <row r="402" spans="1:3" hidden="1">
      <c r="A402" s="3">
        <f>'Production Plan'!B391</f>
        <v>0</v>
      </c>
      <c r="B402" s="3" t="e">
        <f>VLOOKUP(A402,'Production Plan'!B:S,15,FALSE)</f>
        <v>#N/A</v>
      </c>
      <c r="C402" s="3" t="e">
        <f>VLOOKUP(A402,'Production Plan'!B:F,5,FALSE)</f>
        <v>#N/A</v>
      </c>
    </row>
    <row r="403" spans="1:3" hidden="1">
      <c r="A403" s="3">
        <f>'Production Plan'!B392</f>
        <v>0</v>
      </c>
      <c r="B403" s="3" t="e">
        <f>VLOOKUP(A403,'Production Plan'!B:S,15,FALSE)</f>
        <v>#N/A</v>
      </c>
      <c r="C403" s="3" t="e">
        <f>VLOOKUP(A403,'Production Plan'!B:F,5,FALSE)</f>
        <v>#N/A</v>
      </c>
    </row>
    <row r="404" spans="1:3" hidden="1">
      <c r="A404" s="3">
        <f>'Production Plan'!B393</f>
        <v>0</v>
      </c>
      <c r="B404" s="3" t="e">
        <f>VLOOKUP(A404,'Production Plan'!B:S,15,FALSE)</f>
        <v>#N/A</v>
      </c>
      <c r="C404" s="3" t="e">
        <f>VLOOKUP(A404,'Production Plan'!B:F,5,FALSE)</f>
        <v>#N/A</v>
      </c>
    </row>
    <row r="405" spans="1:3" hidden="1">
      <c r="A405" s="3">
        <f>'Production Plan'!B394</f>
        <v>0</v>
      </c>
      <c r="B405" s="3" t="e">
        <f>VLOOKUP(A405,'Production Plan'!B:S,15,FALSE)</f>
        <v>#N/A</v>
      </c>
      <c r="C405" s="3" t="e">
        <f>VLOOKUP(A405,'Production Plan'!B:F,5,FALSE)</f>
        <v>#N/A</v>
      </c>
    </row>
    <row r="406" spans="1:3" hidden="1">
      <c r="A406" s="3">
        <f>'Production Plan'!B395</f>
        <v>0</v>
      </c>
      <c r="B406" s="3" t="e">
        <f>VLOOKUP(A406,'Production Plan'!B:S,15,FALSE)</f>
        <v>#N/A</v>
      </c>
      <c r="C406" s="3" t="e">
        <f>VLOOKUP(A406,'Production Plan'!B:F,5,FALSE)</f>
        <v>#N/A</v>
      </c>
    </row>
    <row r="407" spans="1:3" hidden="1">
      <c r="A407" s="3">
        <f>'Production Plan'!B396</f>
        <v>0</v>
      </c>
      <c r="B407" s="3" t="e">
        <f>VLOOKUP(A407,'Production Plan'!B:S,15,FALSE)</f>
        <v>#N/A</v>
      </c>
      <c r="C407" s="3" t="e">
        <f>VLOOKUP(A407,'Production Plan'!B:F,5,FALSE)</f>
        <v>#N/A</v>
      </c>
    </row>
    <row r="408" spans="1:3" hidden="1">
      <c r="A408" s="3">
        <f>'Production Plan'!B397</f>
        <v>0</v>
      </c>
      <c r="B408" s="3" t="e">
        <f>VLOOKUP(A408,'Production Plan'!B:S,15,FALSE)</f>
        <v>#N/A</v>
      </c>
      <c r="C408" s="3" t="e">
        <f>VLOOKUP(A408,'Production Plan'!B:F,5,FALSE)</f>
        <v>#N/A</v>
      </c>
    </row>
    <row r="409" spans="1:3" hidden="1">
      <c r="A409" s="3">
        <f>'Production Plan'!B398</f>
        <v>0</v>
      </c>
      <c r="B409" s="3" t="e">
        <f>VLOOKUP(A409,'Production Plan'!B:S,15,FALSE)</f>
        <v>#N/A</v>
      </c>
      <c r="C409" s="3" t="e">
        <f>VLOOKUP(A409,'Production Plan'!B:F,5,FALSE)</f>
        <v>#N/A</v>
      </c>
    </row>
    <row r="410" spans="1:3" hidden="1">
      <c r="A410" s="3">
        <f>'Production Plan'!B399</f>
        <v>0</v>
      </c>
      <c r="B410" s="3" t="e">
        <f>VLOOKUP(A410,'Production Plan'!B:S,15,FALSE)</f>
        <v>#N/A</v>
      </c>
      <c r="C410" s="3" t="e">
        <f>VLOOKUP(A410,'Production Plan'!B:F,5,FALSE)</f>
        <v>#N/A</v>
      </c>
    </row>
    <row r="411" spans="1:3" hidden="1">
      <c r="A411" s="3">
        <f>'Production Plan'!B400</f>
        <v>0</v>
      </c>
      <c r="B411" s="3" t="e">
        <f>VLOOKUP(A411,'Production Plan'!B:S,15,FALSE)</f>
        <v>#N/A</v>
      </c>
      <c r="C411" s="3" t="e">
        <f>VLOOKUP(A411,'Production Plan'!B:F,5,FALSE)</f>
        <v>#N/A</v>
      </c>
    </row>
    <row r="412" spans="1:3" hidden="1">
      <c r="A412" s="3">
        <f>'Production Plan'!B401</f>
        <v>0</v>
      </c>
      <c r="B412" s="3" t="e">
        <f>VLOOKUP(A412,'Production Plan'!B:S,15,FALSE)</f>
        <v>#N/A</v>
      </c>
      <c r="C412" s="3" t="e">
        <f>VLOOKUP(A412,'Production Plan'!B:F,5,FALSE)</f>
        <v>#N/A</v>
      </c>
    </row>
    <row r="413" spans="1:3" hidden="1">
      <c r="A413" s="3">
        <f>'Production Plan'!B402</f>
        <v>0</v>
      </c>
      <c r="B413" s="3" t="e">
        <f>VLOOKUP(A413,'Production Plan'!B:S,15,FALSE)</f>
        <v>#N/A</v>
      </c>
      <c r="C413" s="3" t="e">
        <f>VLOOKUP(A413,'Production Plan'!B:F,5,FALSE)</f>
        <v>#N/A</v>
      </c>
    </row>
    <row r="414" spans="1:3" hidden="1">
      <c r="A414" s="3">
        <f>'Production Plan'!B403</f>
        <v>0</v>
      </c>
      <c r="B414" s="3" t="e">
        <f>VLOOKUP(A414,'Production Plan'!B:S,15,FALSE)</f>
        <v>#N/A</v>
      </c>
      <c r="C414" s="3" t="e">
        <f>VLOOKUP(A414,'Production Plan'!B:F,5,FALSE)</f>
        <v>#N/A</v>
      </c>
    </row>
    <row r="415" spans="1:3" hidden="1">
      <c r="A415" s="3">
        <f>'Production Plan'!B404</f>
        <v>0</v>
      </c>
      <c r="B415" s="3" t="e">
        <f>VLOOKUP(A415,'Production Plan'!B:S,15,FALSE)</f>
        <v>#N/A</v>
      </c>
      <c r="C415" s="3" t="e">
        <f>VLOOKUP(A415,'Production Plan'!B:F,5,FALSE)</f>
        <v>#N/A</v>
      </c>
    </row>
    <row r="416" spans="1:3" hidden="1">
      <c r="A416" s="3">
        <f>'Production Plan'!B405</f>
        <v>0</v>
      </c>
      <c r="B416" s="3" t="e">
        <f>VLOOKUP(A416,'Production Plan'!B:S,15,FALSE)</f>
        <v>#N/A</v>
      </c>
      <c r="C416" s="3" t="e">
        <f>VLOOKUP(A416,'Production Plan'!B:F,5,FALSE)</f>
        <v>#N/A</v>
      </c>
    </row>
    <row r="417" spans="1:3" hidden="1">
      <c r="A417" s="3">
        <f>'Production Plan'!B406</f>
        <v>0</v>
      </c>
      <c r="B417" s="3" t="e">
        <f>VLOOKUP(A417,'Production Plan'!B:S,15,FALSE)</f>
        <v>#N/A</v>
      </c>
      <c r="C417" s="3" t="e">
        <f>VLOOKUP(A417,'Production Plan'!B:F,5,FALSE)</f>
        <v>#N/A</v>
      </c>
    </row>
    <row r="418" spans="1:3" hidden="1">
      <c r="A418" s="3">
        <f>'Production Plan'!B407</f>
        <v>0</v>
      </c>
      <c r="B418" s="3" t="e">
        <f>VLOOKUP(A418,'Production Plan'!B:S,15,FALSE)</f>
        <v>#N/A</v>
      </c>
      <c r="C418" s="3" t="e">
        <f>VLOOKUP(A418,'Production Plan'!B:F,5,FALSE)</f>
        <v>#N/A</v>
      </c>
    </row>
    <row r="419" spans="1:3" hidden="1">
      <c r="A419" s="3">
        <f>'Production Plan'!B408</f>
        <v>0</v>
      </c>
      <c r="B419" s="3" t="e">
        <f>VLOOKUP(A419,'Production Plan'!B:S,15,FALSE)</f>
        <v>#N/A</v>
      </c>
      <c r="C419" s="3" t="e">
        <f>VLOOKUP(A419,'Production Plan'!B:F,5,FALSE)</f>
        <v>#N/A</v>
      </c>
    </row>
    <row r="420" spans="1:3" hidden="1">
      <c r="A420" s="3">
        <f>'Production Plan'!B409</f>
        <v>0</v>
      </c>
      <c r="B420" s="3" t="e">
        <f>VLOOKUP(A420,'Production Plan'!B:S,15,FALSE)</f>
        <v>#N/A</v>
      </c>
      <c r="C420" s="3" t="e">
        <f>VLOOKUP(A420,'Production Plan'!B:F,5,FALSE)</f>
        <v>#N/A</v>
      </c>
    </row>
    <row r="421" spans="1:3" hidden="1">
      <c r="A421" s="3">
        <f>'Production Plan'!B410</f>
        <v>0</v>
      </c>
      <c r="B421" s="3" t="e">
        <f>VLOOKUP(A421,'Production Plan'!B:S,15,FALSE)</f>
        <v>#N/A</v>
      </c>
      <c r="C421" s="3" t="e">
        <f>VLOOKUP(A421,'Production Plan'!B:F,5,FALSE)</f>
        <v>#N/A</v>
      </c>
    </row>
    <row r="422" spans="1:3" hidden="1">
      <c r="A422" s="3">
        <f>'Production Plan'!B411</f>
        <v>0</v>
      </c>
      <c r="B422" s="3" t="e">
        <f>VLOOKUP(A422,'Production Plan'!B:S,15,FALSE)</f>
        <v>#N/A</v>
      </c>
      <c r="C422" s="3" t="e">
        <f>VLOOKUP(A422,'Production Plan'!B:F,5,FALSE)</f>
        <v>#N/A</v>
      </c>
    </row>
    <row r="423" spans="1:3" hidden="1">
      <c r="A423" s="3">
        <f>'Production Plan'!B412</f>
        <v>0</v>
      </c>
      <c r="B423" s="3" t="e">
        <f>VLOOKUP(A423,'Production Plan'!B:S,15,FALSE)</f>
        <v>#N/A</v>
      </c>
      <c r="C423" s="3" t="e">
        <f>VLOOKUP(A423,'Production Plan'!B:F,5,FALSE)</f>
        <v>#N/A</v>
      </c>
    </row>
    <row r="424" spans="1:3" hidden="1">
      <c r="A424" s="3">
        <f>'Production Plan'!B413</f>
        <v>0</v>
      </c>
      <c r="B424" s="3" t="e">
        <f>VLOOKUP(A424,'Production Plan'!B:S,15,FALSE)</f>
        <v>#N/A</v>
      </c>
      <c r="C424" s="3" t="e">
        <f>VLOOKUP(A424,'Production Plan'!B:F,5,FALSE)</f>
        <v>#N/A</v>
      </c>
    </row>
    <row r="425" spans="1:3" hidden="1">
      <c r="A425" s="3">
        <f>'Production Plan'!B414</f>
        <v>0</v>
      </c>
      <c r="B425" s="3" t="e">
        <f>VLOOKUP(A425,'Production Plan'!B:S,15,FALSE)</f>
        <v>#N/A</v>
      </c>
      <c r="C425" s="3" t="e">
        <f>VLOOKUP(A425,'Production Plan'!B:F,5,FALSE)</f>
        <v>#N/A</v>
      </c>
    </row>
    <row r="426" spans="1:3" hidden="1">
      <c r="A426" s="3">
        <f>'Production Plan'!B415</f>
        <v>0</v>
      </c>
      <c r="B426" s="3" t="e">
        <f>VLOOKUP(A426,'Production Plan'!B:S,15,FALSE)</f>
        <v>#N/A</v>
      </c>
      <c r="C426" s="3" t="e">
        <f>VLOOKUP(A426,'Production Plan'!B:F,5,FALSE)</f>
        <v>#N/A</v>
      </c>
    </row>
    <row r="427" spans="1:3" hidden="1">
      <c r="A427" s="3">
        <f>'Production Plan'!B416</f>
        <v>0</v>
      </c>
      <c r="B427" s="3" t="e">
        <f>VLOOKUP(A427,'Production Plan'!B:S,15,FALSE)</f>
        <v>#N/A</v>
      </c>
      <c r="C427" s="3" t="e">
        <f>VLOOKUP(A427,'Production Plan'!B:F,5,FALSE)</f>
        <v>#N/A</v>
      </c>
    </row>
    <row r="428" spans="1:3" hidden="1">
      <c r="A428" s="3">
        <f>'Production Plan'!B417</f>
        <v>0</v>
      </c>
      <c r="B428" s="3" t="e">
        <f>VLOOKUP(A428,'Production Plan'!B:S,15,FALSE)</f>
        <v>#N/A</v>
      </c>
      <c r="C428" s="3" t="e">
        <f>VLOOKUP(A428,'Production Plan'!B:F,5,FALSE)</f>
        <v>#N/A</v>
      </c>
    </row>
    <row r="429" spans="1:3" hidden="1">
      <c r="A429" s="3">
        <f>'Production Plan'!B418</f>
        <v>0</v>
      </c>
      <c r="B429" s="3" t="e">
        <f>VLOOKUP(A429,'Production Plan'!B:S,15,FALSE)</f>
        <v>#N/A</v>
      </c>
      <c r="C429" s="3" t="e">
        <f>VLOOKUP(A429,'Production Plan'!B:F,5,FALSE)</f>
        <v>#N/A</v>
      </c>
    </row>
    <row r="430" spans="1:3" hidden="1">
      <c r="A430" s="3">
        <f>'Production Plan'!B419</f>
        <v>0</v>
      </c>
      <c r="B430" s="3" t="e">
        <f>VLOOKUP(A430,'Production Plan'!B:S,15,FALSE)</f>
        <v>#N/A</v>
      </c>
      <c r="C430" s="3" t="e">
        <f>VLOOKUP(A430,'Production Plan'!B:F,5,FALSE)</f>
        <v>#N/A</v>
      </c>
    </row>
    <row r="431" spans="1:3" hidden="1">
      <c r="A431" s="3">
        <f>'Production Plan'!B420</f>
        <v>0</v>
      </c>
      <c r="B431" s="3" t="e">
        <f>VLOOKUP(A431,'Production Plan'!B:S,15,FALSE)</f>
        <v>#N/A</v>
      </c>
      <c r="C431" s="3" t="e">
        <f>VLOOKUP(A431,'Production Plan'!B:F,5,FALSE)</f>
        <v>#N/A</v>
      </c>
    </row>
    <row r="432" spans="1:3" hidden="1">
      <c r="A432" s="3">
        <f>'Production Plan'!B421</f>
        <v>0</v>
      </c>
      <c r="B432" s="3" t="e">
        <f>VLOOKUP(A432,'Production Plan'!B:S,15,FALSE)</f>
        <v>#N/A</v>
      </c>
      <c r="C432" s="3" t="e">
        <f>VLOOKUP(A432,'Production Plan'!B:F,5,FALSE)</f>
        <v>#N/A</v>
      </c>
    </row>
    <row r="433" spans="1:3" hidden="1">
      <c r="A433" s="3">
        <f>'Production Plan'!B422</f>
        <v>0</v>
      </c>
      <c r="B433" s="3" t="e">
        <f>VLOOKUP(A433,'Production Plan'!B:S,15,FALSE)</f>
        <v>#N/A</v>
      </c>
      <c r="C433" s="3" t="e">
        <f>VLOOKUP(A433,'Production Plan'!B:F,5,FALSE)</f>
        <v>#N/A</v>
      </c>
    </row>
    <row r="434" spans="1:3" hidden="1">
      <c r="A434" s="3">
        <f>'Production Plan'!B423</f>
        <v>0</v>
      </c>
      <c r="B434" s="3" t="e">
        <f>VLOOKUP(A434,'Production Plan'!B:S,15,FALSE)</f>
        <v>#N/A</v>
      </c>
      <c r="C434" s="3" t="e">
        <f>VLOOKUP(A434,'Production Plan'!B:F,5,FALSE)</f>
        <v>#N/A</v>
      </c>
    </row>
    <row r="435" spans="1:3" hidden="1">
      <c r="A435" s="3">
        <f>'Production Plan'!B424</f>
        <v>0</v>
      </c>
      <c r="B435" s="3" t="e">
        <f>VLOOKUP(A435,'Production Plan'!B:S,15,FALSE)</f>
        <v>#N/A</v>
      </c>
      <c r="C435" s="3" t="e">
        <f>VLOOKUP(A435,'Production Plan'!B:F,5,FALSE)</f>
        <v>#N/A</v>
      </c>
    </row>
    <row r="436" spans="1:3" hidden="1">
      <c r="A436" s="3">
        <f>'Production Plan'!B425</f>
        <v>0</v>
      </c>
      <c r="B436" s="3" t="e">
        <f>VLOOKUP(A436,'Production Plan'!B:S,15,FALSE)</f>
        <v>#N/A</v>
      </c>
      <c r="C436" s="3" t="e">
        <f>VLOOKUP(A436,'Production Plan'!B:F,5,FALSE)</f>
        <v>#N/A</v>
      </c>
    </row>
    <row r="437" spans="1:3" hidden="1">
      <c r="A437" s="3">
        <f>'Production Plan'!B426</f>
        <v>0</v>
      </c>
      <c r="B437" s="3" t="e">
        <f>VLOOKUP(A437,'Production Plan'!B:S,15,FALSE)</f>
        <v>#N/A</v>
      </c>
      <c r="C437" s="3" t="e">
        <f>VLOOKUP(A437,'Production Plan'!B:F,5,FALSE)</f>
        <v>#N/A</v>
      </c>
    </row>
    <row r="438" spans="1:3" hidden="1">
      <c r="A438" s="3">
        <f>'Production Plan'!B427</f>
        <v>0</v>
      </c>
      <c r="B438" s="3" t="e">
        <f>VLOOKUP(A438,'Production Plan'!B:S,15,FALSE)</f>
        <v>#N/A</v>
      </c>
      <c r="C438" s="3" t="e">
        <f>VLOOKUP(A438,'Production Plan'!B:F,5,FALSE)</f>
        <v>#N/A</v>
      </c>
    </row>
    <row r="439" spans="1:3" hidden="1">
      <c r="A439" s="3">
        <f>'Production Plan'!B428</f>
        <v>0</v>
      </c>
      <c r="B439" s="3" t="e">
        <f>VLOOKUP(A439,'Production Plan'!B:S,15,FALSE)</f>
        <v>#N/A</v>
      </c>
      <c r="C439" s="3" t="e">
        <f>VLOOKUP(A439,'Production Plan'!B:F,5,FALSE)</f>
        <v>#N/A</v>
      </c>
    </row>
    <row r="440" spans="1:3" hidden="1">
      <c r="A440" s="3">
        <f>'Production Plan'!B429</f>
        <v>0</v>
      </c>
      <c r="B440" s="3" t="e">
        <f>VLOOKUP(A440,'Production Plan'!B:S,15,FALSE)</f>
        <v>#N/A</v>
      </c>
      <c r="C440" s="3" t="e">
        <f>VLOOKUP(A440,'Production Plan'!B:F,5,FALSE)</f>
        <v>#N/A</v>
      </c>
    </row>
    <row r="441" spans="1:3" hidden="1">
      <c r="A441" s="3">
        <f>'Production Plan'!B430</f>
        <v>0</v>
      </c>
      <c r="B441" s="3" t="e">
        <f>VLOOKUP(A441,'Production Plan'!B:S,15,FALSE)</f>
        <v>#N/A</v>
      </c>
      <c r="C441" s="3" t="e">
        <f>VLOOKUP(A441,'Production Plan'!B:F,5,FALSE)</f>
        <v>#N/A</v>
      </c>
    </row>
    <row r="442" spans="1:3" hidden="1">
      <c r="A442" s="3">
        <f>'Production Plan'!B431</f>
        <v>0</v>
      </c>
      <c r="B442" s="3" t="e">
        <f>VLOOKUP(A442,'Production Plan'!B:S,15,FALSE)</f>
        <v>#N/A</v>
      </c>
      <c r="C442" s="3" t="e">
        <f>VLOOKUP(A442,'Production Plan'!B:F,5,FALSE)</f>
        <v>#N/A</v>
      </c>
    </row>
    <row r="443" spans="1:3" hidden="1">
      <c r="A443" s="3">
        <f>'Production Plan'!B432</f>
        <v>0</v>
      </c>
      <c r="B443" s="3" t="e">
        <f>VLOOKUP(A443,'Production Plan'!B:S,15,FALSE)</f>
        <v>#N/A</v>
      </c>
      <c r="C443" s="3" t="e">
        <f>VLOOKUP(A443,'Production Plan'!B:F,5,FALSE)</f>
        <v>#N/A</v>
      </c>
    </row>
    <row r="444" spans="1:3" hidden="1">
      <c r="A444" s="3">
        <f>'Production Plan'!B433</f>
        <v>0</v>
      </c>
      <c r="B444" s="3" t="e">
        <f>VLOOKUP(A444,'Production Plan'!B:S,15,FALSE)</f>
        <v>#N/A</v>
      </c>
      <c r="C444" s="3" t="e">
        <f>VLOOKUP(A444,'Production Plan'!B:F,5,FALSE)</f>
        <v>#N/A</v>
      </c>
    </row>
    <row r="445" spans="1:3" hidden="1">
      <c r="A445" s="3">
        <f>'Production Plan'!B434</f>
        <v>0</v>
      </c>
      <c r="B445" s="3" t="e">
        <f>VLOOKUP(A445,'Production Plan'!B:S,15,FALSE)</f>
        <v>#N/A</v>
      </c>
      <c r="C445" s="3" t="e">
        <f>VLOOKUP(A445,'Production Plan'!B:F,5,FALSE)</f>
        <v>#N/A</v>
      </c>
    </row>
    <row r="446" spans="1:3" hidden="1">
      <c r="A446" s="3">
        <f>'Production Plan'!B435</f>
        <v>0</v>
      </c>
      <c r="B446" s="3" t="e">
        <f>VLOOKUP(A446,'Production Plan'!B:S,15,FALSE)</f>
        <v>#N/A</v>
      </c>
      <c r="C446" s="3" t="e">
        <f>VLOOKUP(A446,'Production Plan'!B:F,5,FALSE)</f>
        <v>#N/A</v>
      </c>
    </row>
    <row r="447" spans="1:3" hidden="1">
      <c r="A447" s="3">
        <f>'Production Plan'!B436</f>
        <v>0</v>
      </c>
      <c r="B447" s="3" t="e">
        <f>VLOOKUP(A447,'Production Plan'!B:S,15,FALSE)</f>
        <v>#N/A</v>
      </c>
      <c r="C447" s="3" t="e">
        <f>VLOOKUP(A447,'Production Plan'!B:F,5,FALSE)</f>
        <v>#N/A</v>
      </c>
    </row>
    <row r="448" spans="1:3" hidden="1">
      <c r="A448" s="3">
        <f>'Production Plan'!B437</f>
        <v>0</v>
      </c>
      <c r="B448" s="3" t="e">
        <f>VLOOKUP(A448,'Production Plan'!B:S,15,FALSE)</f>
        <v>#N/A</v>
      </c>
      <c r="C448" s="3" t="e">
        <f>VLOOKUP(A448,'Production Plan'!B:F,5,FALSE)</f>
        <v>#N/A</v>
      </c>
    </row>
    <row r="449" spans="1:3" hidden="1">
      <c r="A449" s="3">
        <f>'Production Plan'!B438</f>
        <v>0</v>
      </c>
      <c r="B449" s="3" t="e">
        <f>VLOOKUP(A449,'Production Plan'!B:S,15,FALSE)</f>
        <v>#N/A</v>
      </c>
      <c r="C449" s="3" t="e">
        <f>VLOOKUP(A449,'Production Plan'!B:F,5,FALSE)</f>
        <v>#N/A</v>
      </c>
    </row>
    <row r="450" spans="1:3" hidden="1">
      <c r="A450" s="3">
        <f>'Production Plan'!B439</f>
        <v>0</v>
      </c>
      <c r="B450" s="3" t="e">
        <f>VLOOKUP(A450,'Production Plan'!B:S,15,FALSE)</f>
        <v>#N/A</v>
      </c>
      <c r="C450" s="3" t="e">
        <f>VLOOKUP(A450,'Production Plan'!B:F,5,FALSE)</f>
        <v>#N/A</v>
      </c>
    </row>
    <row r="451" spans="1:3" hidden="1">
      <c r="A451" s="3">
        <f>'Production Plan'!B440</f>
        <v>0</v>
      </c>
      <c r="B451" s="3" t="e">
        <f>VLOOKUP(A451,'Production Plan'!B:S,15,FALSE)</f>
        <v>#N/A</v>
      </c>
      <c r="C451" s="3" t="e">
        <f>VLOOKUP(A451,'Production Plan'!B:F,5,FALSE)</f>
        <v>#N/A</v>
      </c>
    </row>
    <row r="452" spans="1:3" hidden="1">
      <c r="A452" s="3">
        <f>'Production Plan'!B441</f>
        <v>0</v>
      </c>
      <c r="B452" s="3" t="e">
        <f>VLOOKUP(A452,'Production Plan'!B:S,15,FALSE)</f>
        <v>#N/A</v>
      </c>
      <c r="C452" s="3" t="e">
        <f>VLOOKUP(A452,'Production Plan'!B:F,5,FALSE)</f>
        <v>#N/A</v>
      </c>
    </row>
    <row r="453" spans="1:3" hidden="1">
      <c r="A453" s="3">
        <f>'Production Plan'!B442</f>
        <v>0</v>
      </c>
      <c r="B453" s="3" t="e">
        <f>VLOOKUP(A453,'Production Plan'!B:S,15,FALSE)</f>
        <v>#N/A</v>
      </c>
      <c r="C453" s="3" t="e">
        <f>VLOOKUP(A453,'Production Plan'!B:F,5,FALSE)</f>
        <v>#N/A</v>
      </c>
    </row>
  </sheetData>
  <autoFilter ref="A1:N453" xr:uid="{A338DFA9-9E70-486E-9EFA-7B1D2508D3E5}">
    <filterColumn colId="1">
      <filters>
        <filter val="Yes"/>
      </filters>
    </filterColumn>
  </autoFilter>
  <conditionalFormatting sqref="E2:E1048576">
    <cfRule type="expression" dxfId="8" priority="1">
      <formula>E2="Low"</formula>
    </cfRule>
    <cfRule type="expression" dxfId="7" priority="2">
      <formula>E2="Medium"</formula>
    </cfRule>
    <cfRule type="expression" dxfId="6" priority="3">
      <formula>E2="High"</formula>
    </cfRule>
  </conditionalFormatting>
  <dataValidations count="2">
    <dataValidation type="list" allowBlank="1" showInputMessage="1" showErrorMessage="1" sqref="E2:E1048576" xr:uid="{79BEA3FD-CE8B-4F4D-841A-6CE9C95A2E9D}">
      <formula1>"High,Medium,Low"</formula1>
    </dataValidation>
    <dataValidation type="list" allowBlank="1" showInputMessage="1" showErrorMessage="1" sqref="I5:I1048576 I2:I3" xr:uid="{9493E191-1BB6-4B42-80BA-68D922AF7224}">
      <formula1>"Go ahead - disregard risk,Go ahead - attempt to mitigate,Go-ahead - dependent upon mitigation,No bid"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B0167-6294-4836-A0CF-A590D3431A37}">
  <sheetPr filterMode="1"/>
  <dimension ref="A1:I1078"/>
  <sheetViews>
    <sheetView workbookViewId="0">
      <selection activeCell="H7" sqref="H7"/>
    </sheetView>
  </sheetViews>
  <sheetFormatPr defaultRowHeight="16"/>
  <cols>
    <col min="3" max="3" width="44.765625" customWidth="1"/>
    <col min="4" max="4" width="42.69140625" customWidth="1"/>
    <col min="6" max="6" width="34.84375" style="33" customWidth="1"/>
    <col min="8" max="8" width="14.3046875" style="7" bestFit="1" customWidth="1"/>
    <col min="9" max="9" width="16.3046875" bestFit="1" customWidth="1"/>
  </cols>
  <sheetData>
    <row r="1" spans="1:9">
      <c r="A1" s="4" t="s">
        <v>2161</v>
      </c>
      <c r="B1" s="4" t="s">
        <v>2162</v>
      </c>
      <c r="C1" s="4" t="s">
        <v>5</v>
      </c>
      <c r="D1" s="4" t="s">
        <v>2202</v>
      </c>
      <c r="E1" s="4" t="s">
        <v>2175</v>
      </c>
      <c r="F1" s="34" t="s">
        <v>2203</v>
      </c>
      <c r="G1" s="4" t="s">
        <v>2204</v>
      </c>
      <c r="H1" s="4" t="s">
        <v>2205</v>
      </c>
      <c r="I1" s="4" t="s">
        <v>2206</v>
      </c>
    </row>
    <row r="2" spans="1:9" ht="32">
      <c r="A2" s="3" t="str">
        <f>'Production Plan'!B2</f>
        <v>MK-1</v>
      </c>
      <c r="B2" s="3">
        <f>VLOOKUP(A2,'Production Plan'!B:T,16,FALSE)</f>
        <v>0</v>
      </c>
      <c r="C2" s="3" t="str">
        <f>VLOOKUP(A2,'Production Plan'!B:F,5,FALSE)</f>
        <v>ESDH-løsningen skal understøtte Rigsarkivets gældende retningslinjer for anmeldelse og godkendelse af it-systemer fra statslige Myndigheder, jf. Cirkulære om anmeldelse og godkendelse af it-systemer på Retsinformation og gældende regler for generel aflevering af statslige it-systemer, jf. Bekendtgørelse om arkiveringsversioner på Retsinformation.</v>
      </c>
      <c r="D2" s="3" t="s">
        <v>2169</v>
      </c>
      <c r="E2" s="3" t="s">
        <v>2192</v>
      </c>
      <c r="F2" s="35" t="s">
        <v>2207</v>
      </c>
      <c r="G2" s="3" t="s">
        <v>2172</v>
      </c>
      <c r="H2" s="8">
        <v>46023</v>
      </c>
      <c r="I2" s="3" t="s">
        <v>78</v>
      </c>
    </row>
    <row r="3" spans="1:9" ht="32">
      <c r="A3" s="3" t="str">
        <f>'Production Plan'!B3</f>
        <v>MK-2</v>
      </c>
      <c r="B3" s="3">
        <f>VLOOKUP(A3,'Production Plan'!B:T,16,FALSE)</f>
        <v>0</v>
      </c>
      <c r="C3" s="3" t="str">
        <f>VLOOKUP(A3,'Production Plan'!B:F,5,FALSE)</f>
        <v>ESDH-løsningen skal understøtte dansk og engelsk.</v>
      </c>
      <c r="D3" s="3" t="s">
        <v>2169</v>
      </c>
      <c r="E3" s="3" t="s">
        <v>2187</v>
      </c>
      <c r="F3" s="35" t="s">
        <v>2207</v>
      </c>
      <c r="G3" s="3" t="s">
        <v>2172</v>
      </c>
      <c r="H3" s="8">
        <v>46023</v>
      </c>
      <c r="I3" s="3" t="s">
        <v>78</v>
      </c>
    </row>
    <row r="4" spans="1:9" hidden="1">
      <c r="A4" s="3" t="str">
        <f>'Production Plan'!B4</f>
        <v>MK-3</v>
      </c>
      <c r="B4" s="3">
        <f>VLOOKUP(A4,'Production Plan'!B:T,16,FALSE)</f>
        <v>0</v>
      </c>
      <c r="C4" s="3" t="str">
        <f>VLOOKUP(A4,'Production Plan'!B:F,5,FALSE)</f>
        <v>ESDH-løsningen skal understøtte en Datamodel med en klar og tydelig beskrivelse af felterne i både frontend og backend.</v>
      </c>
      <c r="D4" s="3"/>
      <c r="E4" s="3"/>
      <c r="F4" s="3"/>
      <c r="G4" s="3"/>
      <c r="H4" s="8"/>
      <c r="I4" s="3"/>
    </row>
    <row r="5" spans="1:9" hidden="1">
      <c r="A5" s="3" t="str">
        <f>'Production Plan'!B5</f>
        <v>MK-4</v>
      </c>
      <c r="B5" s="3">
        <f>VLOOKUP(A5,'Production Plan'!B:T,16,FALSE)</f>
        <v>0</v>
      </c>
      <c r="C5" s="3" t="str">
        <f>VLOOKUP(A5,'Production Plan'!B:F,5,FALSE)</f>
        <v>ESDH-løsningen skal understøtte fremsøgning, sammenstilling og udlevering af personoplysninger om den registrerede i overensstemmelse med GDPR-artikel 15. ESDH-løsningen skal ligeledes understøtte behandling af anmodninger fremsat af en lovlig repræsentant for den registrerede, herunder forældremyndighed eller værgemål. Udleveringen skal kunne leveres i et almindelig læsbart format og skal kunne fremsendes til den registrerede via Digital Post, sikker e-mail og fjernprint.</v>
      </c>
      <c r="D5" s="3"/>
      <c r="E5" s="3"/>
      <c r="F5" s="3"/>
      <c r="G5" s="3"/>
      <c r="H5" s="8"/>
      <c r="I5" s="3"/>
    </row>
    <row r="6" spans="1:9" hidden="1">
      <c r="A6" s="3" t="str">
        <f>'Production Plan'!B6</f>
        <v>MK-5</v>
      </c>
      <c r="B6" s="3">
        <f>VLOOKUP(A6,'Production Plan'!B:T,16,FALSE)</f>
        <v>0</v>
      </c>
      <c r="C6" s="3" t="str">
        <f>VLOOKUP(A6,'Production Plan'!B:F,5,FALSE)</f>
        <v>ESDH-løsningen skal understøtte håndtering af indsigts-, slette- og berigtigelsesanmodninger fra de registrerede i Løsningen.</v>
      </c>
      <c r="D6" s="3"/>
      <c r="E6" s="3"/>
      <c r="F6" s="3"/>
      <c r="G6" s="3"/>
      <c r="H6" s="8"/>
      <c r="I6" s="3"/>
    </row>
    <row r="7" spans="1:9" ht="32">
      <c r="A7" s="3" t="str">
        <f>'Production Plan'!B7</f>
        <v>MK-6</v>
      </c>
      <c r="B7" s="3">
        <f>VLOOKUP(A7,'Production Plan'!B:T,16,FALSE)</f>
        <v>433881</v>
      </c>
      <c r="C7" s="3" t="str">
        <f>VLOOKUP(A7,'Production Plan'!B:F,5,FALSE)</f>
        <v>ESDH-løsningen skal understøtte håndtering af sletteregler, herunder bevaringskoder, for både midlertidig og permanent sletning. ESDH-løsningen skal understøtte, at sletning alene kan foretages af Brugere med de nødvendige rettigheder, herunder at rettigheder til permanent sletning og midlertidig sletning kan adskilles. Sletteregler skal kunne anvendes på alle Entiteter i Løsningen.</v>
      </c>
      <c r="D7" s="3" t="s">
        <v>2169</v>
      </c>
      <c r="E7" s="3" t="s">
        <v>2182</v>
      </c>
      <c r="F7" s="35" t="s">
        <v>2207</v>
      </c>
      <c r="G7" s="3" t="s">
        <v>2172</v>
      </c>
      <c r="H7" s="8">
        <v>46023</v>
      </c>
      <c r="I7" s="3" t="s">
        <v>78</v>
      </c>
    </row>
    <row r="8" spans="1:9" hidden="1">
      <c r="A8" s="3" t="str">
        <f>'Production Plan'!B8</f>
        <v>MK-7</v>
      </c>
      <c r="B8" s="3">
        <f>VLOOKUP(A8,'Production Plan'!B:T,16,FALSE)</f>
        <v>0</v>
      </c>
      <c r="C8" s="3" t="str">
        <f>VLOOKUP(A8,'Production Plan'!B:F,5,FALSE)</f>
        <v>ESDH-løsningen skal understøtte, at Kunden selv uden Leverdørens involvering kan konfigurere slettepolitikker i Løsningens administrationsmodul.</v>
      </c>
      <c r="D8" s="3"/>
      <c r="E8" s="3"/>
      <c r="F8" s="3"/>
      <c r="G8" s="3"/>
      <c r="H8" s="8"/>
      <c r="I8" s="3"/>
    </row>
    <row r="9" spans="1:9" hidden="1">
      <c r="A9" s="3" t="str">
        <f>'Production Plan'!B9</f>
        <v>MK-8</v>
      </c>
      <c r="B9" s="3">
        <f>VLOOKUP(A9,'Production Plan'!B:T,16,FALSE)</f>
        <v>0</v>
      </c>
      <c r="C9" s="3" t="str">
        <f>VLOOKUP(A9,'Production Plan'!B:F,5,FALSE)</f>
        <v>ESDH-løsningen skal understøtte, at klassifikationskoder kan oprettes af Administrator, hvortil Kunden valgfrit kan bestemme hvilke klassifikationskoder Løsningen skal indeholde.</v>
      </c>
      <c r="D9" s="3"/>
      <c r="E9" s="3"/>
      <c r="F9" s="3"/>
      <c r="G9" s="3"/>
      <c r="H9" s="8"/>
      <c r="I9" s="3"/>
    </row>
    <row r="10" spans="1:9" hidden="1">
      <c r="A10" s="3" t="str">
        <f>'Production Plan'!B10</f>
        <v>MK-9</v>
      </c>
      <c r="B10" s="3">
        <f>VLOOKUP(A10,'Production Plan'!B:T,16,FALSE)</f>
        <v>0</v>
      </c>
      <c r="C10" s="3" t="str">
        <f>VLOOKUP(A10,'Production Plan'!B:F,5,FALSE)</f>
        <v>ESDH-løsningen skal understøtte, at Entiteter kan deles mellem Brugere, såfremt adgangene tillader dette.</v>
      </c>
      <c r="D10" s="3"/>
      <c r="E10" s="3"/>
      <c r="F10" s="3"/>
      <c r="G10" s="3"/>
      <c r="H10" s="8"/>
      <c r="I10" s="3"/>
    </row>
    <row r="11" spans="1:9" hidden="1">
      <c r="A11" s="3" t="str">
        <f>'Production Plan'!B11</f>
        <v>MK-10</v>
      </c>
      <c r="B11" s="3">
        <f>VLOOKUP(A11,'Production Plan'!B:T,16,FALSE)</f>
        <v>0</v>
      </c>
      <c r="C11" s="3" t="str">
        <f>VLOOKUP(A11,'Production Plan'!B:F,5,FALSE)</f>
        <v>ESDH-løsningen skal understøtte en klassisk journalplan eller facetteret journalplan i minimum tre niveauer og emneordsfelter.</v>
      </c>
      <c r="D11" s="3"/>
      <c r="E11" s="3"/>
      <c r="F11" s="3"/>
      <c r="G11" s="3"/>
      <c r="H11" s="8"/>
      <c r="I11" s="3"/>
    </row>
    <row r="12" spans="1:9" hidden="1">
      <c r="A12" s="3" t="str">
        <f>'Production Plan'!B12</f>
        <v>MK-11</v>
      </c>
      <c r="B12" s="3">
        <f>VLOOKUP(A12,'Production Plan'!B:T,16,FALSE)</f>
        <v>0</v>
      </c>
      <c r="C12" s="3" t="str">
        <f>VLOOKUP(A12,'Production Plan'!B:F,5,FALSE)</f>
        <v>ESDH-løsningen skal understøtte oprettelse af breve baseret på Kundens brevskabeloner i Dynamic Template.</v>
      </c>
      <c r="D12" s="3"/>
      <c r="E12" s="3"/>
      <c r="F12" s="3"/>
      <c r="G12" s="3"/>
      <c r="H12" s="8"/>
      <c r="I12" s="3"/>
    </row>
    <row r="13" spans="1:9" hidden="1">
      <c r="A13" s="3" t="str">
        <f>'Production Plan'!B13</f>
        <v>K-1</v>
      </c>
      <c r="B13" s="3">
        <f>VLOOKUP(A13,'Production Plan'!B:T,16,FALSE)</f>
        <v>0</v>
      </c>
      <c r="C13" s="3" t="str">
        <f>VLOOKUP(A13,'Production Plan'!B:F,5,FALSE)</f>
        <v>ESDH-løsningen skal understøtte, at fejlmeddelelser i ESDH-løsningen inkluderer handlingsanvisning.</v>
      </c>
      <c r="D13" s="3"/>
      <c r="E13" s="3"/>
      <c r="F13" s="3"/>
      <c r="G13" s="3"/>
      <c r="H13" s="8"/>
      <c r="I13" s="3"/>
    </row>
    <row r="14" spans="1:9" hidden="1">
      <c r="A14" s="3" t="str">
        <f>'Production Plan'!B14</f>
        <v>MK-12</v>
      </c>
      <c r="B14" s="3">
        <f>VLOOKUP(A14,'Production Plan'!B:T,16,FALSE)</f>
        <v>0</v>
      </c>
      <c r="C14" s="3" t="str">
        <f>VLOOKUP(A14,'Production Plan'!B:F,5,FALSE)</f>
        <v>ESDH-løsningen skal understøtte oprettelse og registrering af sager.</v>
      </c>
      <c r="D14" s="3"/>
      <c r="E14" s="3"/>
      <c r="F14" s="3"/>
      <c r="G14" s="3"/>
      <c r="H14" s="8"/>
      <c r="I14" s="3"/>
    </row>
    <row r="15" spans="1:9" hidden="1">
      <c r="A15" s="3" t="str">
        <f>'Production Plan'!B15</f>
        <v>MK-13</v>
      </c>
      <c r="B15" s="3">
        <f>VLOOKUP(A15,'Production Plan'!B:T,16,FALSE)</f>
        <v>0</v>
      </c>
      <c r="C15" s="3" t="str">
        <f>VLOOKUP(A15,'Production Plan'!B:F,5,FALSE)</f>
        <v>ESDH-løsningen skal understøtte ændring af sagens metadata.</v>
      </c>
      <c r="D15" s="3"/>
      <c r="E15" s="3"/>
      <c r="F15" s="3"/>
      <c r="G15" s="3"/>
      <c r="H15" s="8"/>
      <c r="I15" s="3"/>
    </row>
    <row r="16" spans="1:9" hidden="1">
      <c r="A16" s="3" t="str">
        <f>'Production Plan'!B16</f>
        <v>MK-14</v>
      </c>
      <c r="B16" s="3">
        <f>VLOOKUP(A16,'Production Plan'!B:T,16,FALSE)</f>
        <v>0</v>
      </c>
      <c r="C16" s="3" t="str">
        <f>VLOOKUP(A16,'Production Plan'!B:F,5,FALSE)</f>
        <v>ESDH-løsningen skal understøtte både midlertidig og permanent sletning af sager.</v>
      </c>
      <c r="D16" s="3"/>
      <c r="E16" s="3"/>
      <c r="F16" s="3"/>
      <c r="G16" s="3"/>
      <c r="H16" s="8"/>
      <c r="I16" s="3"/>
    </row>
    <row r="17" spans="1:9" hidden="1">
      <c r="A17" s="3" t="str">
        <f>'Production Plan'!B17</f>
        <v>MK-15</v>
      </c>
      <c r="B17" s="3">
        <f>VLOOKUP(A17,'Production Plan'!B:T,16,FALSE)</f>
        <v>0</v>
      </c>
      <c r="C17" s="3" t="str">
        <f>VLOOKUP(A17,'Production Plan'!B:F,5,FALSE)</f>
        <v>ESDH-løsningen skal understøtte arbejdet med statusser på en sag, f.eks. 'Passiv', 'Under behandling' og 'Lukket' / 'Afsluttet'. ESDH-løsningen skal understøtte, at Kunden selv kan oprette og vedligeholde statuskoder.</v>
      </c>
      <c r="D17" s="3"/>
      <c r="E17" s="3"/>
      <c r="F17" s="3"/>
      <c r="G17" s="3"/>
      <c r="H17" s="8"/>
      <c r="I17" s="3"/>
    </row>
    <row r="18" spans="1:9" hidden="1">
      <c r="A18" s="3" t="str">
        <f>'Production Plan'!B18</f>
        <v>MK-16</v>
      </c>
      <c r="B18" s="3">
        <f>VLOOKUP(A18,'Production Plan'!B:T,16,FALSE)</f>
        <v>0</v>
      </c>
      <c r="C18" s="3" t="str">
        <f>VLOOKUP(A18,'Production Plan'!B:F,5,FALSE)</f>
        <v>ESDH-løsningen skal understøtte, at hver sag tildeles et unikt sagsnummer automatisk ved oprettelse.</v>
      </c>
      <c r="D18" s="3"/>
      <c r="E18" s="3"/>
      <c r="F18" s="3"/>
      <c r="G18" s="3"/>
      <c r="H18" s="8"/>
      <c r="I18" s="3"/>
    </row>
    <row r="19" spans="1:9" hidden="1">
      <c r="A19" s="3" t="str">
        <f>'Production Plan'!B19</f>
        <v>MK-17</v>
      </c>
      <c r="B19" s="3">
        <f>VLOOKUP(A19,'Production Plan'!B:T,16,FALSE)</f>
        <v>0</v>
      </c>
      <c r="C19" s="3" t="str">
        <f>VLOOKUP(A19,'Production Plan'!B:F,5,FALSE)</f>
        <v>ESDH-løsningen skal understøtte, at en Bruger kan ændre sagstype på sager.</v>
      </c>
      <c r="D19" s="3"/>
      <c r="E19" s="3"/>
      <c r="F19" s="3"/>
      <c r="G19" s="3"/>
      <c r="H19" s="8"/>
      <c r="I19" s="3"/>
    </row>
    <row r="20" spans="1:9" hidden="1">
      <c r="A20" s="3" t="str">
        <f>'Production Plan'!B20</f>
        <v>MK-18</v>
      </c>
      <c r="B20" s="3">
        <f>VLOOKUP(A20,'Production Plan'!B:T,16,FALSE)</f>
        <v>0</v>
      </c>
      <c r="C20" s="3" t="str">
        <f>VLOOKUP(A20,'Production Plan'!B:F,5,FALSE)</f>
        <v>ESDH-løsningen skal understøtte, at der kan indsættes, rettes og fjernes frister på alle sagstyper. Fristen skal som minimum bestå af en fristtype, fristdato og fristansvarlig.</v>
      </c>
      <c r="D20" s="3"/>
      <c r="E20" s="3"/>
      <c r="F20" s="3"/>
      <c r="G20" s="3"/>
      <c r="H20" s="8"/>
      <c r="I20" s="3"/>
    </row>
    <row r="21" spans="1:9" hidden="1">
      <c r="A21" s="3" t="str">
        <f>'Production Plan'!B21</f>
        <v>MK-19</v>
      </c>
      <c r="B21" s="3">
        <f>VLOOKUP(A21,'Production Plan'!B:T,16,FALSE)</f>
        <v>0</v>
      </c>
      <c r="C21" s="3" t="str">
        <f>VLOOKUP(A21,'Production Plan'!B:F,5,FALSE)</f>
        <v>ESDH-løsningen skal understøtte, at Brugere kan indsætte, rette og fjerne én eller flere afdelingsspecifikke frister på sager.</v>
      </c>
      <c r="D21" s="3"/>
      <c r="E21" s="3"/>
      <c r="F21" s="3"/>
      <c r="G21" s="3"/>
      <c r="H21" s="8"/>
      <c r="I21" s="3"/>
    </row>
    <row r="22" spans="1:9" hidden="1">
      <c r="A22" s="3" t="str">
        <f>'Production Plan'!B22</f>
        <v>MK-20</v>
      </c>
      <c r="B22" s="3">
        <f>VLOOKUP(A22,'Production Plan'!B:T,16,FALSE)</f>
        <v>0</v>
      </c>
      <c r="C22" s="3" t="str">
        <f>VLOOKUP(A22,'Production Plan'!B:F,5,FALSE)</f>
        <v>ESDH-løsningen skal understøtte oprettelse af samlesager. Det skal være muligt for Brugeren at tilknytte enkle sager til samlesager.</v>
      </c>
      <c r="D22" s="3"/>
      <c r="E22" s="3"/>
      <c r="F22" s="3"/>
      <c r="G22" s="3"/>
      <c r="H22" s="8"/>
      <c r="I22" s="3"/>
    </row>
    <row r="23" spans="1:9" hidden="1">
      <c r="A23" s="3" t="str">
        <f>'Production Plan'!B23</f>
        <v>MK-21</v>
      </c>
      <c r="B23" s="3">
        <f>VLOOKUP(A23,'Production Plan'!B:T,16,FALSE)</f>
        <v>0</v>
      </c>
      <c r="C23" s="3" t="str">
        <f>VLOOKUP(A23,'Production Plan'!B:F,5,FALSE)</f>
        <v>ESDH-løsningen skal understøtte oprettelsesfunktion til organisering og hierarkisk visning af samling af relaterede sager.</v>
      </c>
      <c r="D23" s="3"/>
      <c r="E23" s="3"/>
      <c r="F23" s="3"/>
      <c r="G23" s="3"/>
      <c r="H23" s="8"/>
      <c r="I23" s="3"/>
    </row>
    <row r="24" spans="1:9" hidden="1">
      <c r="A24" s="3" t="str">
        <f>'Production Plan'!B24</f>
        <v>MK-22</v>
      </c>
      <c r="B24" s="3">
        <f>VLOOKUP(A24,'Production Plan'!B:T,16,FALSE)</f>
        <v>0</v>
      </c>
      <c r="C24" s="3" t="str">
        <f>VLOOKUP(A24,'Production Plan'!B:F,5,FALSE)</f>
        <v>ESDH-løsningen skal understøtte oprettelse af referencer mellem sager ved at etablere links mellem sager. Det skal fremgå tydeligt af den enkelte sag, at den er relateret til en anden.</v>
      </c>
      <c r="D24" s="3"/>
      <c r="E24" s="3"/>
      <c r="F24" s="3"/>
      <c r="G24" s="3"/>
      <c r="H24" s="8"/>
      <c r="I24" s="3"/>
    </row>
    <row r="25" spans="1:9" hidden="1">
      <c r="A25" s="3" t="str">
        <f>'Production Plan'!B25</f>
        <v>MK-23</v>
      </c>
      <c r="B25" s="3">
        <f>VLOOKUP(A25,'Production Plan'!B:T,16,FALSE)</f>
        <v>0</v>
      </c>
      <c r="C25" s="3" t="str">
        <f>VLOOKUP(A25,'Production Plan'!B:F,5,FALSE)</f>
        <v>ESDH-løsningen skal understøtte, at sagens parter kan vises enten i sagens overbliksbillede eller i en dedikeret fane.</v>
      </c>
      <c r="D25" s="3"/>
      <c r="E25" s="3"/>
      <c r="F25" s="3"/>
      <c r="G25" s="3"/>
      <c r="H25" s="8"/>
      <c r="I25" s="3"/>
    </row>
    <row r="26" spans="1:9" hidden="1">
      <c r="A26" s="3" t="str">
        <f>'Production Plan'!B26</f>
        <v>MK-24</v>
      </c>
      <c r="B26" s="3">
        <f>VLOOKUP(A26,'Production Plan'!B:T,16,FALSE)</f>
        <v>0</v>
      </c>
      <c r="C26" s="3" t="str">
        <f>VLOOKUP(A26,'Production Plan'!B:F,5,FALSE)</f>
        <v>ESDH-løsningen skal understøtte, at en kontakt kan tilknyttes til en sag og at kontakten kan have en konkret partsrolle på sagen.</v>
      </c>
      <c r="D26" s="3"/>
      <c r="E26" s="3"/>
      <c r="F26" s="3"/>
      <c r="G26" s="3"/>
      <c r="H26" s="8"/>
      <c r="I26" s="3"/>
    </row>
    <row r="27" spans="1:9" hidden="1">
      <c r="A27" s="3" t="str">
        <f>'Production Plan'!B27</f>
        <v>MK-25</v>
      </c>
      <c r="B27" s="3">
        <f>VLOOKUP(A27,'Production Plan'!B:T,16,FALSE)</f>
        <v>0</v>
      </c>
      <c r="C27" s="3" t="str">
        <f>VLOOKUP(A27,'Production Plan'!B:F,5,FALSE)</f>
        <v>ESDH-løsningen skal understøtte, at en sag kan overdrages/flyttes til en anden sagsbehandler eller et andet team i organisationen.</v>
      </c>
      <c r="D27" s="3"/>
      <c r="E27" s="3"/>
      <c r="F27" s="3"/>
      <c r="G27" s="3"/>
      <c r="H27" s="8"/>
      <c r="I27" s="3"/>
    </row>
    <row r="28" spans="1:9" hidden="1">
      <c r="A28" s="3" t="str">
        <f>'Production Plan'!B28</f>
        <v>MK-26</v>
      </c>
      <c r="B28" s="3">
        <f>VLOOKUP(A28,'Production Plan'!B:T,16,FALSE)</f>
        <v>0</v>
      </c>
      <c r="C28" s="3" t="str">
        <f>VLOOKUP(A28,'Production Plan'!B:F,5,FALSE)</f>
        <v>ESDH-løsningen skal understøtte, at en formelt afsluttet og lukket sag kan genåbnes af en Bruger, hvis der er behov for at opdatere sagsdata. Sager afleveret til Rigsarkivet skal være undtaget, og skal ikke kunne genåbnes efter aflevering.</v>
      </c>
      <c r="D28" s="3"/>
      <c r="E28" s="3"/>
      <c r="F28" s="3"/>
      <c r="G28" s="3"/>
      <c r="H28" s="8"/>
      <c r="I28" s="3"/>
    </row>
    <row r="29" spans="1:9" hidden="1">
      <c r="A29" s="3" t="str">
        <f>'Production Plan'!B29</f>
        <v>MK-27</v>
      </c>
      <c r="B29" s="3">
        <f>VLOOKUP(A29,'Production Plan'!B:T,16,FALSE)</f>
        <v>0</v>
      </c>
      <c r="C29" s="3" t="str">
        <f>VLOOKUP(A29,'Production Plan'!B:F,5,FALSE)</f>
        <v>ESDH-løsningen skal understøtte oprettelse af en sagskopi, hvor den oprindelige sags metadata overføres til sagskopien. I forbindelse med oprettelse af sagskopien skal Brugeren valgfrit kunne vælge om sagens parter, Dokumenter og øvrigt metadata skal overføres til sagskopien. Metadata på begge sager skal kunne redigeres efterfølgende.</v>
      </c>
      <c r="D29" s="3"/>
      <c r="E29" s="3"/>
      <c r="F29" s="3"/>
      <c r="G29" s="3"/>
      <c r="H29" s="8"/>
      <c r="I29" s="3"/>
    </row>
    <row r="30" spans="1:9" hidden="1">
      <c r="A30" s="3" t="str">
        <f>'Production Plan'!B30</f>
        <v>MK-28</v>
      </c>
      <c r="B30" s="3">
        <f>VLOOKUP(A30,'Production Plan'!B:T,16,FALSE)</f>
        <v>0</v>
      </c>
      <c r="C30" s="3" t="str">
        <f>VLOOKUP(A30,'Production Plan'!B:F,5,FALSE)</f>
        <v>ESDH-løsningen skal understøtte, at der kan oprettes noter på sager. Oplysninger om sagsbehandler, dato og klokkeslæt skal fremgå af noten. Alle Brugere med adgang til sagen skal kunne se agere på noten i sagsbehandlingen.</v>
      </c>
      <c r="D30" s="3"/>
      <c r="E30" s="3"/>
      <c r="F30" s="3"/>
      <c r="G30" s="3"/>
      <c r="H30" s="8"/>
      <c r="I30" s="3"/>
    </row>
    <row r="31" spans="1:9" hidden="1">
      <c r="A31" s="3" t="str">
        <f>'Production Plan'!B31</f>
        <v>MK-29</v>
      </c>
      <c r="B31" s="3">
        <f>VLOOKUP(A31,'Production Plan'!B:T,16,FALSE)</f>
        <v>0</v>
      </c>
      <c r="C31" s="3" t="str">
        <f>VLOOKUP(A31,'Production Plan'!B:F,5,FALSE)</f>
        <v>ESDH-løsningen skal understøtte, at Brugere manuelt kan journalisere og gemme Dokumenter, korrespondancer samt interne og eksterne beskeder på sager.</v>
      </c>
      <c r="D31" s="3"/>
      <c r="E31" s="3"/>
      <c r="F31" s="3"/>
      <c r="G31" s="3"/>
      <c r="H31" s="8"/>
      <c r="I31" s="3"/>
    </row>
    <row r="32" spans="1:9" hidden="1">
      <c r="A32" s="3" t="str">
        <f>'Production Plan'!B32</f>
        <v>MK-30</v>
      </c>
      <c r="B32" s="3">
        <f>VLOOKUP(A32,'Production Plan'!B:T,16,FALSE)</f>
        <v>433877</v>
      </c>
      <c r="C32" s="3" t="str">
        <f>VLOOKUP(A32,'Production Plan'!B:F,5,FALSE)</f>
        <v>ESDH-løsningen skal understøtte visning af hierarkiske samlinger af relaterede sager fra søgningslister og visningslister.</v>
      </c>
      <c r="D32" s="3"/>
      <c r="E32" s="3"/>
      <c r="F32" s="3"/>
      <c r="G32" s="3"/>
      <c r="H32" s="8"/>
      <c r="I32" s="3"/>
    </row>
    <row r="33" spans="1:9" hidden="1">
      <c r="A33" s="3" t="str">
        <f>'Production Plan'!B33</f>
        <v>MK-31</v>
      </c>
      <c r="B33" s="3">
        <f>VLOOKUP(A33,'Production Plan'!B:T,16,FALSE)</f>
        <v>0</v>
      </c>
      <c r="C33" s="3" t="str">
        <f>VLOOKUP(A33,'Production Plan'!B:F,5,FALSE)</f>
        <v>ESDH-løsningen skal understøtte, at en sag kan have flere frister tilknyttet. Fristerne skal vises på en logisk og overskuelig måde i brugergrænsefladen, så Brugeren nemt kan se fristtype, status og tidspunkt for kommende frister.</v>
      </c>
      <c r="D33" s="3"/>
      <c r="E33" s="3"/>
      <c r="F33" s="3"/>
      <c r="G33" s="3"/>
      <c r="H33" s="8"/>
      <c r="I33" s="3"/>
    </row>
    <row r="34" spans="1:9" hidden="1">
      <c r="A34" s="3" t="str">
        <f>'Production Plan'!B34</f>
        <v>MK-32</v>
      </c>
      <c r="B34" s="3">
        <f>VLOOKUP(A34,'Production Plan'!B:T,16,FALSE)</f>
        <v>0</v>
      </c>
      <c r="C34" s="3" t="str">
        <f>VLOOKUP(A34,'Production Plan'!B:F,5,FALSE)</f>
        <v>ESDH-løsningen skal understøtte, at noter kan konverteres til et Dokument med en tilhørende Fil, som kan journaliseres på den tilknyttede sag.</v>
      </c>
      <c r="D34" s="3"/>
      <c r="E34" s="3"/>
      <c r="F34" s="3"/>
      <c r="G34" s="3"/>
      <c r="H34" s="8"/>
      <c r="I34" s="3"/>
    </row>
    <row r="35" spans="1:9" hidden="1">
      <c r="A35" s="3" t="str">
        <f>'Production Plan'!B35</f>
        <v>MK-33</v>
      </c>
      <c r="B35" s="3">
        <f>VLOOKUP(A35,'Production Plan'!B:T,16,FALSE)</f>
        <v>0</v>
      </c>
      <c r="C35" s="3" t="str">
        <f>VLOOKUP(A35,'Production Plan'!B:F,5,FALSE)</f>
        <v>ESDH-løsningen skal understøtte grundlæggende dokumenthåndtering, herunder oprettelse, redigering, versionsstyring og tilknytning af relevante metadata.</v>
      </c>
      <c r="D35" s="3"/>
      <c r="E35" s="3"/>
      <c r="F35" s="3"/>
      <c r="G35" s="3"/>
      <c r="H35" s="8"/>
      <c r="I35" s="3"/>
    </row>
    <row r="36" spans="1:9" hidden="1">
      <c r="A36" s="3" t="str">
        <f>'Production Plan'!B36</f>
        <v>MK-34</v>
      </c>
      <c r="B36" s="3">
        <f>VLOOKUP(A36,'Production Plan'!B:T,16,FALSE)</f>
        <v>0</v>
      </c>
      <c r="C36" s="3" t="str">
        <f>VLOOKUP(A36,'Production Plan'!B:F,5,FALSE)</f>
        <v>ESDH-løsningen skal understøtte, at felter kan oprettes og relateres til Dokumenter af Kunden.</v>
      </c>
      <c r="D36" s="3"/>
      <c r="E36" s="3"/>
      <c r="F36" s="3"/>
      <c r="G36" s="3"/>
      <c r="H36" s="8"/>
      <c r="I36" s="3"/>
    </row>
    <row r="37" spans="1:9" hidden="1">
      <c r="A37" s="3" t="str">
        <f>'Production Plan'!B37</f>
        <v>MK-35</v>
      </c>
      <c r="B37" s="3">
        <f>VLOOKUP(A37,'Production Plan'!B:T,16,FALSE)</f>
        <v>0</v>
      </c>
      <c r="C37" s="3" t="str">
        <f>VLOOKUP(A37,'Production Plan'!B:F,5,FALSE)</f>
        <v>ESDH-løsningen skal understøtte, at alle Dokumenter, Filer, Hoveddokumenter og Bilag har hver deres unikke ID, som skal være synligt i brugergrænsefladen.</v>
      </c>
      <c r="D37" s="3"/>
      <c r="E37" s="3"/>
      <c r="F37" s="3"/>
      <c r="G37" s="3"/>
      <c r="H37" s="8"/>
      <c r="I37" s="3"/>
    </row>
    <row r="38" spans="1:9" hidden="1">
      <c r="A38" s="3" t="str">
        <f>'Production Plan'!B38</f>
        <v>MK-36</v>
      </c>
      <c r="B38" s="3">
        <f>VLOOKUP(A38,'Production Plan'!B:T,16,FALSE)</f>
        <v>0</v>
      </c>
      <c r="C38" s="3" t="str">
        <f>VLOOKUP(A38,'Production Plan'!B:F,5,FALSE)</f>
        <v>ESDH-løsningen skal understøtte en obligatorisk relation mellem sag og Dokument.</v>
      </c>
      <c r="D38" s="3"/>
      <c r="E38" s="3"/>
      <c r="F38" s="3"/>
      <c r="G38" s="3"/>
      <c r="H38" s="8"/>
      <c r="I38" s="3"/>
    </row>
    <row r="39" spans="1:9" hidden="1">
      <c r="A39" s="3" t="str">
        <f>'Production Plan'!B39</f>
        <v>MK-37</v>
      </c>
      <c r="B39" s="3">
        <f>VLOOKUP(A39,'Production Plan'!B:T,16,FALSE)</f>
        <v>0</v>
      </c>
      <c r="C39" s="3" t="str">
        <f>VLOOKUP(A39,'Production Plan'!B:F,5,FALSE)</f>
        <v>ESDH-løsningen skal understøtte, at et Hoveddokument kan have et eller flere Bilag.</v>
      </c>
      <c r="D39" s="3"/>
      <c r="E39" s="3"/>
      <c r="F39" s="3"/>
      <c r="G39" s="3"/>
      <c r="H39" s="8"/>
      <c r="I39" s="3"/>
    </row>
    <row r="40" spans="1:9" hidden="1">
      <c r="A40" s="3" t="str">
        <f>'Production Plan'!B40</f>
        <v>MK-38</v>
      </c>
      <c r="B40" s="3">
        <f>VLOOKUP(A40,'Production Plan'!B:T,16,FALSE)</f>
        <v>0</v>
      </c>
      <c r="C40" s="3" t="str">
        <f>VLOOKUP(A40,'Production Plan'!B:F,5,FALSE)</f>
        <v>ESDH-løsningen skal understøtte, at Brugeren kan vælge, hvilken Fil der skal være Hoveddokument, og hvilke Filer der skal tilknyttes som Bilag.</v>
      </c>
      <c r="D40" s="3"/>
      <c r="E40" s="3"/>
      <c r="F40" s="3"/>
      <c r="G40" s="3"/>
      <c r="H40" s="8"/>
      <c r="I40" s="3"/>
    </row>
    <row r="41" spans="1:9" hidden="1">
      <c r="A41" s="3" t="str">
        <f>'Production Plan'!B41</f>
        <v>MK-39</v>
      </c>
      <c r="B41" s="3">
        <f>VLOOKUP(A41,'Production Plan'!B:T,16,FALSE)</f>
        <v>0</v>
      </c>
      <c r="C41" s="3" t="str">
        <f>VLOOKUP(A41,'Production Plan'!B:F,5,FALSE)</f>
        <v>ESDH-løsningen skal understøtte, at et indgående eller udgående Dokument kan tilknyttes en kontakt som henholdsvis afsender eller modtager på Dokumentet.</v>
      </c>
      <c r="D41" s="3"/>
      <c r="E41" s="3"/>
      <c r="F41" s="3"/>
      <c r="G41" s="3"/>
      <c r="H41" s="8"/>
      <c r="I41" s="3"/>
    </row>
    <row r="42" spans="1:9" hidden="1">
      <c r="A42" t="str">
        <f>'Production Plan'!B42</f>
        <v>MK-40</v>
      </c>
      <c r="B42">
        <f>VLOOKUP(A42,'Production Plan'!B:T,16,FALSE)</f>
        <v>0</v>
      </c>
      <c r="C42" t="str">
        <f>VLOOKUP(A42,'Production Plan'!B:F,5,FALSE)</f>
        <v>ESDH-løsningen skal understøtte versionsstyring af Filer, så hver version af en Fil kan identificeres. Det skal som udgangspunkt kun være den seneste version, der kan åbnes i redigerbar tilstand.</v>
      </c>
      <c r="F42"/>
    </row>
    <row r="43" spans="1:9" hidden="1">
      <c r="A43" t="str">
        <f>'Production Plan'!B43</f>
        <v>MK-41</v>
      </c>
      <c r="B43">
        <f>VLOOKUP(A43,'Production Plan'!B:T,16,FALSE)</f>
        <v>0</v>
      </c>
      <c r="C43" t="str">
        <f>VLOOKUP(A43,'Production Plan'!B:F,5,FALSE)</f>
        <v>ESDH-løsningen skal understøtte, at Brugere kan genskabe en tidligere version af en Fil, så den overskriver den nyeste version. Begge versioner skal bevares i versionshistorikken.</v>
      </c>
      <c r="F43"/>
    </row>
    <row r="44" spans="1:9" hidden="1">
      <c r="A44" t="str">
        <f>'Production Plan'!B44</f>
        <v>MK-42</v>
      </c>
      <c r="B44">
        <f>VLOOKUP(A44,'Production Plan'!B:T,16,FALSE)</f>
        <v>0</v>
      </c>
      <c r="C44" t="str">
        <f>VLOOKUP(A44,'Production Plan'!B:F,5,FALSE)</f>
        <v>ESDH-løsningen skal understøtte, at et journaliseret Dokuments tidligere filversioner er tilgængelige i Løsningen.</v>
      </c>
      <c r="F44"/>
    </row>
    <row r="45" spans="1:9" hidden="1">
      <c r="A45" t="str">
        <f>'Production Plan'!B45</f>
        <v>MK-43</v>
      </c>
      <c r="B45">
        <f>VLOOKUP(A45,'Production Plan'!B:T,16,FALSE)</f>
        <v>0</v>
      </c>
      <c r="C45" t="str">
        <f>VLOOKUP(A45,'Production Plan'!B:F,5,FALSE)</f>
        <v>ESDH-løsningen skal understøtte, at der kan oprettes en kopi af et eksisterende Dokument. Dokumentets tilknyttede Filer, Bilag, metadata og tilknyttede parter skal overføres til det nye Dokument.</v>
      </c>
      <c r="F45"/>
    </row>
    <row r="46" spans="1:9" hidden="1">
      <c r="A46" t="str">
        <f>'Production Plan'!B46</f>
        <v>MK-44</v>
      </c>
      <c r="B46">
        <f>VLOOKUP(A46,'Production Plan'!B:T,16,FALSE)</f>
        <v>0</v>
      </c>
      <c r="C46" t="str">
        <f>VLOOKUP(A46,'Production Plan'!B:F,5,FALSE)</f>
        <v>ESDH-løsningen skal understøtte, at Dokumenter med tilknyttede Filer kan omjournaliseres fra én sag til en anden, og at det fremgår af den oprindelige sag, hvilken sag Dokumentet er omjournaliseret til.</v>
      </c>
      <c r="F46"/>
    </row>
    <row r="47" spans="1:9" hidden="1">
      <c r="A47" t="str">
        <f>'Production Plan'!B47</f>
        <v>MK-45</v>
      </c>
      <c r="B47">
        <f>VLOOKUP(A47,'Production Plan'!B:T,16,FALSE)</f>
        <v>0</v>
      </c>
      <c r="C47" t="str">
        <f>VLOOKUP(A47,'Production Plan'!B:F,5,FALSE)</f>
        <v>ESDH-løsningen skal understøtte, at journaliserede Dokumenter ikke kan slettes af Brugere uden rettigheder. De skal håndteres i overensstemmelse med Løsningens slette- og bevaringsregler.</v>
      </c>
      <c r="F47"/>
    </row>
    <row r="48" spans="1:9" hidden="1">
      <c r="A48" t="str">
        <f>'Production Plan'!B48</f>
        <v>MK-46</v>
      </c>
      <c r="B48">
        <f>VLOOKUP(A48,'Production Plan'!B:T,16,FALSE)</f>
        <v>0</v>
      </c>
      <c r="C48" t="str">
        <f>VLOOKUP(A48,'Production Plan'!B:F,5,FALSE)</f>
        <v>ESDH-løsningen skal understøtte, at der kan oprettes noter på Dokumenter. Oplysninger om sagsbehandler, dato og klokkeslæt skal fremgå af noten. Alle Brugere med adgang til Dokumentet skal kunne se agere på noten i sagsbehandlingen.</v>
      </c>
      <c r="F48"/>
    </row>
    <row r="49" spans="1:6" hidden="1">
      <c r="A49" t="str">
        <f>'Production Plan'!B49</f>
        <v>MK-47</v>
      </c>
      <c r="B49">
        <f>VLOOKUP(A49,'Production Plan'!B:T,16,FALSE)</f>
        <v>0</v>
      </c>
      <c r="C49" t="str">
        <f>VLOOKUP(A49,'Production Plan'!B:F,5,FALSE)</f>
        <v>ESDH-løsningen skal understøtte, at der kan indsættes, rettes og fjernes frister på Dokumenter. Fristen skal som minimum bestå af en fristtype, fristdato og fristansvarlig.</v>
      </c>
      <c r="F49"/>
    </row>
    <row r="50" spans="1:6" hidden="1">
      <c r="A50" t="str">
        <f>'Production Plan'!B50</f>
        <v>MK-48</v>
      </c>
      <c r="B50">
        <f>VLOOKUP(A50,'Production Plan'!B:T,16,FALSE)</f>
        <v>0</v>
      </c>
      <c r="C50" t="str">
        <f>VLOOKUP(A50,'Production Plan'!B:F,5,FALSE)</f>
        <v>ESDH-løsningen skal understøtte, at Brugere kan indsætte, rette og fjerne én eller flere afdelingsspecifikke frister på Dokumenter.</v>
      </c>
      <c r="F50"/>
    </row>
    <row r="51" spans="1:6" hidden="1">
      <c r="A51" t="str">
        <f>'Production Plan'!B51</f>
        <v>MK-49</v>
      </c>
      <c r="B51">
        <f>VLOOKUP(A51,'Production Plan'!B:T,16,FALSE)</f>
        <v>0</v>
      </c>
      <c r="C51" t="str">
        <f>VLOOKUP(A51,'Production Plan'!B:F,5,FALSE)</f>
        <v>ESDH-løsningen skal understøtte en integreret dokumentviewer i brugergrænsefladen. Løsningen skal understøtte forhåndsvisning af Dokumenter fra sager, søgninger og listevisninger. ESDH-løsningen skal understøtte, at Brugeren får præsenteret Dokumentets tekst/indhold direkte i Løsningen.</v>
      </c>
      <c r="F51"/>
    </row>
    <row r="52" spans="1:6" hidden="1">
      <c r="A52" t="str">
        <f>'Production Plan'!B52</f>
        <v>MK-50</v>
      </c>
      <c r="B52">
        <f>VLOOKUP(A52,'Production Plan'!B:T,16,FALSE)</f>
        <v>0</v>
      </c>
      <c r="C52" t="str">
        <f>VLOOKUP(A52,'Production Plan'!B:F,5,FALSE)</f>
        <v>ESDH-løsningen skal understøtte, at Brugeren kan navigere og scrolle i dokument- og fillistevisninger, og at forhåndsvisningen automatisk opdateres og viser det Dokument/Fil, som Brugeren har navigeret til.</v>
      </c>
      <c r="F52"/>
    </row>
    <row r="53" spans="1:6" hidden="1">
      <c r="A53" t="str">
        <f>'Production Plan'!B53</f>
        <v>MK-51</v>
      </c>
      <c r="B53">
        <f>VLOOKUP(A53,'Production Plan'!B:T,16,FALSE)</f>
        <v>0</v>
      </c>
      <c r="C53" t="str">
        <f>VLOOKUP(A53,'Production Plan'!B:F,5,FALSE)</f>
        <v>ESDH-løsningen skal understøtte, at alle Dokumenter automatisk kan blive konverteret til PDF-format, med undtagelse af medie- og eksekverbare filer.</v>
      </c>
      <c r="F53"/>
    </row>
    <row r="54" spans="1:6" hidden="1">
      <c r="A54" t="str">
        <f>'Production Plan'!B54</f>
        <v>MK-52</v>
      </c>
      <c r="B54">
        <f>VLOOKUP(A54,'Production Plan'!B:T,16,FALSE)</f>
        <v>0</v>
      </c>
      <c r="C54" t="str">
        <f>VLOOKUP(A54,'Production Plan'!B:F,5,FALSE)</f>
        <v>ESDH-løsningen skal understøtte, at alle filtyper må gemmes i ESDH-løsningen.</v>
      </c>
      <c r="F54"/>
    </row>
    <row r="55" spans="1:6" hidden="1">
      <c r="A55" t="str">
        <f>'Production Plan'!B55</f>
        <v>K-2</v>
      </c>
      <c r="B55">
        <f>VLOOKUP(A55,'Production Plan'!B:T,16,FALSE)</f>
        <v>0</v>
      </c>
      <c r="C55" t="str">
        <f>VLOOKUP(A55,'Production Plan'!B:F,5,FALSE)</f>
        <v>ESDH-løsningen skal understøtte, at Brugere kan trække og slippe Dokumenter direkte fra e-mailklienter og stifinder til relevante sager.</v>
      </c>
      <c r="F55"/>
    </row>
    <row r="56" spans="1:6" hidden="1">
      <c r="A56" t="str">
        <f>'Production Plan'!B56</f>
        <v>K-3</v>
      </c>
      <c r="B56">
        <f>VLOOKUP(A56,'Production Plan'!B:T,16,FALSE)</f>
        <v>0</v>
      </c>
      <c r="C56" t="str">
        <f>VLOOKUP(A56,'Production Plan'!B:F,5,FALSE)</f>
        <v>ESDH-løsningen skal understøtte, at der i ESDH-løsningen kan præsenteres en standardliste over alle Dokumenter, hvor konverteringen til PDF-format er mislykket.</v>
      </c>
      <c r="F56"/>
    </row>
    <row r="57" spans="1:6" hidden="1">
      <c r="A57" t="str">
        <f>'Production Plan'!B57</f>
        <v>MK-53</v>
      </c>
      <c r="B57">
        <f>VLOOKUP(A57,'Production Plan'!B:T,16,FALSE)</f>
        <v>0</v>
      </c>
      <c r="C57" t="str">
        <f>VLOOKUP(A57,'Production Plan'!B:F,5,FALSE)</f>
        <v>ESDH-løsningen skal understøtte oprettelse af kontakter med metadata i et kontaktregister.</v>
      </c>
      <c r="F57"/>
    </row>
    <row r="58" spans="1:6" hidden="1">
      <c r="A58" t="str">
        <f>'Production Plan'!B58</f>
        <v>MK-54</v>
      </c>
      <c r="B58">
        <f>VLOOKUP(A58,'Production Plan'!B:T,16,FALSE)</f>
        <v>0</v>
      </c>
      <c r="C58" t="str">
        <f>VLOOKUP(A58,'Production Plan'!B:F,5,FALSE)</f>
        <v>ESDH-løsningen skal understøtte oprettelse af nye kontakttyper.</v>
      </c>
      <c r="F58"/>
    </row>
    <row r="59" spans="1:6" hidden="1">
      <c r="A59" t="str">
        <f>'Production Plan'!B59</f>
        <v>MK-55</v>
      </c>
      <c r="B59">
        <f>VLOOKUP(A59,'Production Plan'!B:T,16,FALSE)</f>
        <v>0</v>
      </c>
      <c r="C59" t="str">
        <f>VLOOKUP(A59,'Production Plan'!B:F,5,FALSE)</f>
        <v>ESDH-løsningen skal understøtte redigering af metadata på kontakter, såfremt at Brugeren har rettighed hertil.</v>
      </c>
      <c r="F59"/>
    </row>
    <row r="60" spans="1:6" hidden="1">
      <c r="A60" t="str">
        <f>'Production Plan'!B60</f>
        <v>MK-56</v>
      </c>
      <c r="B60">
        <f>VLOOKUP(A60,'Production Plan'!B:T,16,FALSE)</f>
        <v>433880</v>
      </c>
      <c r="C60" t="str">
        <f>VLOOKUP(A60,'Production Plan'!B:F,5,FALSE)</f>
        <v>ESDH-løsningen skal understøtte, at en Bruger ikke kan oprette en kontakt, hvis kontaktens unikke ID allerede findes i kontaktregisteret.</v>
      </c>
      <c r="F60"/>
    </row>
    <row r="61" spans="1:6" hidden="1">
      <c r="A61" t="str">
        <f>'Production Plan'!B61</f>
        <v>MK-57</v>
      </c>
      <c r="B61">
        <f>VLOOKUP(A61,'Production Plan'!B:T,16,FALSE)</f>
        <v>0</v>
      </c>
      <c r="C61" t="str">
        <f>VLOOKUP(A61,'Production Plan'!B:F,5,FALSE)</f>
        <v>ESDH-løsningen skal understøtte, at kontakter kan fremsøges via relevante metadata.</v>
      </c>
      <c r="F61"/>
    </row>
    <row r="62" spans="1:6" hidden="1">
      <c r="A62" t="str">
        <f>'Production Plan'!B62</f>
        <v>MK-58</v>
      </c>
      <c r="B62">
        <f>VLOOKUP(A62,'Production Plan'!B:T,16,FALSE)</f>
        <v>0</v>
      </c>
      <c r="C62" t="str">
        <f>VLOOKUP(A62,'Production Plan'!B:F,5,FALSE)</f>
        <v>ESDH-løsningen skal understøtte, at en Bruger kan oprette en ny kontakt eller søge efter en eksisterende kontakt med henblik på at tilknytte kontakten til alle Entiteter i Løsningen, herunder sager, Dokumenter og Kundeoprettede Entiteter.</v>
      </c>
      <c r="F62"/>
    </row>
    <row r="63" spans="1:6" hidden="1">
      <c r="A63" t="str">
        <f>'Production Plan'!B63</f>
        <v>MK-59</v>
      </c>
      <c r="B63">
        <f>VLOOKUP(A63,'Production Plan'!B:T,16,FALSE)</f>
        <v>0</v>
      </c>
      <c r="C63" t="str">
        <f>VLOOKUP(A63,'Production Plan'!B:F,5,FALSE)</f>
        <v>ESDH-løsningen skal understøtte, at kontakter automatisk kan opdateres via f.eks. integration til CPR, CVR eller lignende register på relevante metadata.  Det skal ske som automatiske batch-kørsler, der med faste intervaller sikrer, at eksisterende metadata i systemet altid er ajourførte.</v>
      </c>
      <c r="F63"/>
    </row>
    <row r="64" spans="1:6" hidden="1">
      <c r="A64" t="str">
        <f>'Production Plan'!B64</f>
        <v>MK-60</v>
      </c>
      <c r="B64">
        <f>VLOOKUP(A64,'Production Plan'!B:T,16,FALSE)</f>
        <v>0</v>
      </c>
      <c r="C64" t="str">
        <f>VLOOKUP(A64,'Production Plan'!B:F,5,FALSE)</f>
        <v>ESDH-løsningen skal understøtte, at Brugeren kan foretage onlineopslag på et specifikt CPR-nr. via ESDH-løsningen og importere dennes stamdata til ESDH-løsningen. Personen skal oprettes eller opdateres i Løsningens kontaktregister.</v>
      </c>
      <c r="F64"/>
    </row>
    <row r="65" spans="1:6" hidden="1">
      <c r="A65" t="str">
        <f>'Production Plan'!B65</f>
        <v>MK-61</v>
      </c>
      <c r="B65">
        <f>VLOOKUP(A65,'Production Plan'!B:T,16,FALSE)</f>
        <v>0</v>
      </c>
      <c r="C65" t="str">
        <f>VLOOKUP(A65,'Production Plan'!B:F,5,FALSE)</f>
        <v>ESDH-løsningen skal understøtte, at Brugeren kan foretage onlineopslag på et specifikt CVR-nr. via ESDH-løsningen og importere virksomhedens stamdata til ESDH-løsningen. Virksomheden skal oprettes eller opdateres i Løsningens kontaktregister.</v>
      </c>
      <c r="F65"/>
    </row>
    <row r="66" spans="1:6" hidden="1">
      <c r="A66" t="str">
        <f>'Production Plan'!B66</f>
        <v>MK-62</v>
      </c>
      <c r="B66">
        <f>VLOOKUP(A66,'Production Plan'!B:T,16,FALSE)</f>
        <v>0</v>
      </c>
      <c r="C66" t="str">
        <f>VLOOKUP(A66,'Production Plan'!B:F,5,FALSE)</f>
        <v>ESDH-løsningen skal understøtte sletning af kontakter. Den udførende Bruger skal adviseres, hvis kontakten er tilknyttet sager, Dokumenter eller har reference til anden kontakt.</v>
      </c>
      <c r="F66"/>
    </row>
    <row r="67" spans="1:6" hidden="1">
      <c r="A67" t="str">
        <f>'Production Plan'!B67</f>
        <v>MK-63</v>
      </c>
      <c r="B67">
        <f>VLOOKUP(A67,'Production Plan'!B:T,16,FALSE)</f>
        <v>0</v>
      </c>
      <c r="C67" t="str">
        <f>VLOOKUP(A67,'Production Plan'!B:F,5,FALSE)</f>
        <v>ESDH-løsningen skal understøtte, at en kontakt kan deaktiveres samt, at deaktiveret kontakt ikke kan tilknyttes Entiteter.</v>
      </c>
      <c r="F67"/>
    </row>
    <row r="68" spans="1:6" hidden="1">
      <c r="A68" t="str">
        <f>'Production Plan'!B68</f>
        <v>MK-64</v>
      </c>
      <c r="B68">
        <f>VLOOKUP(A68,'Production Plan'!B:T,16,FALSE)</f>
        <v>0</v>
      </c>
      <c r="C68" t="str">
        <f>VLOOKUP(A68,'Production Plan'!B:F,5,FALSE)</f>
        <v>ESDH-løsningen skal understøtte, at deaktiverede kontakter kan fremsøges i Løsningen.</v>
      </c>
      <c r="F68"/>
    </row>
    <row r="69" spans="1:6" hidden="1">
      <c r="A69" t="str">
        <f>'Production Plan'!B69</f>
        <v>EK-1</v>
      </c>
      <c r="B69">
        <f>VLOOKUP(A69,'Production Plan'!B:T,16,FALSE)</f>
        <v>433895</v>
      </c>
      <c r="C69" t="str">
        <f>VLOOKUP(A69,'Production Plan'!B:F,5,FALSE)</f>
        <v>Kunden har behov for at udstille en udlændinges stamdata i Løsningen. Kunden betragter en udlænding som en kontakttype, som kan tilknyttes til Entiteter i Løsningen. 
ESDH-løsningen skal understøtte, at Administrator kan konfigurere en Udlændingekontakt via no code administratormodul, der sikrer et fuldt overblik over Udlændingekontakten. Administratoren skal dertil kunne opsætte og konfigurere udlændingeoverblikket i brugergrænsefladen. 
Overblikket over udlændingen skal indeholde følgende:
Sager, hvor udlændingen indgår som part samt hvilken rolle udlændingen har på sagen
Afgørelser, som er tilknyttet udlændingen med følgende metadata: 
Sagsnr. 
Afgørelsesdato
Afgørelsestype
Sagsområde f.eks. familiesammenføring
Ansvarligt team
Ansvarlig sagsbehandler
Stamdata på udlændingen herunder: 
Cpr.nr. 
Udlændinge nr. 
Fornavn og efternavn
Adresse, postnr. og by
Telefon og e-mailadresse
Nationalitet
Køn
Familierelationer (f.eks. barn, forældre, værge)
Datoer for ind- og udrejse til/fra Danmark
Rejsedokumenter (f.eks. pas og nationalt ID-kort)
Dokumenter som udlændingen er tilknyttet, samt hvilken partsrolle udlændingen har på Dokumentet
Sager i anden Myndighed herunder: 
Sagsnr. 
Sagsområde f.eks. asyl
Ansvarligt team
Ansvarlig sagsbehandler
Afgørelser i anden Myndighed herunder: 
Sagsnr. 
Afgørelsesdato
Afgørelsestype
Sagsområde f.eks. familiesammenføring
Ansvarligt team
Ansvarlig sagsbehandler
Leverandøren skal beskrive, hvordan den tilbudte ESDH-løsning understøtter, at Administrator kan konfigurere en Udlændingekontakt via no code administratormodul.
Leverandøren skal gennem konkrete skærmbilleder demonstrere om og hvordan ESDH-løsningen understøtter de stillede krav og møder Kundens behov.
Leverandøren skal redegøre for: 
Hvordan ESDH-løsningen understøtter et udlændingeoverblik
Hvordan Brugeren kan navigere i oplysningerne på udlændingeoverblikket
Hvordan Administratoren kan oprette og vedligeholde udlændingeoverblikket
Evalueringskriterier:
Det vægtes positivt, i hvor høj grad Brugeren på en let og intuitiv måde kan navigere i udlændingeoverblikkets data.
Det vægtes positivt, i hvor høj grad Administrator kan oprette og vedligeholde udlændingeoverblikket via et administratormodul uden involvering af Leverandør. 
Det vægtes positivt, i hvor høj grad udlændingeoverblikket indeholder et samlet overblik over udlændingens sager og Afgørelser i egen Myndighed samt overblik over sager og Afgørelser i øvrige Myndigheders sager.
Det vægtes positivt, i hvor høj grad Dokumenter udstilles på en let og overskuelig måde på udlændingeoverblikket f.eks. via filtrering.
Det vægtes positivt, i hvor høj grad der på udlændingeoverblikket kan noteres flere oplysninger af samme type f.eks. datoer for ind- og udrejse. 
Det vægtes positivt, i hvor høj grad udlændingeoverblikket opdateres i realtid, når der f.eks. tilføjes nye sager og Afgørelser eller stamdata opdateres i eksterne registre. 
Det vægtes positivt, i hvor høj grad felter på udlændingeoverblikket kan gøres skrivebeskyttet, så opdatering af felter kun kan ske via eksterne registre.</v>
      </c>
      <c r="F69"/>
    </row>
    <row r="70" spans="1:6" hidden="1">
      <c r="A70" t="str">
        <f>'Production Plan'!B70</f>
        <v>MK-65</v>
      </c>
      <c r="B70">
        <f>VLOOKUP(A70,'Production Plan'!B:T,16,FALSE)</f>
        <v>0</v>
      </c>
      <c r="C70" t="str">
        <f>VLOOKUP(A70,'Production Plan'!B:F,5,FALSE)</f>
        <v>ESDH-løsningen skal understøtte, at der kan søges i alle standard- og Kundeoprettede felter.</v>
      </c>
      <c r="F70"/>
    </row>
    <row r="71" spans="1:6" hidden="1">
      <c r="A71" t="str">
        <f>'Production Plan'!B71</f>
        <v>MK-66</v>
      </c>
      <c r="B71">
        <f>VLOOKUP(A71,'Production Plan'!B:T,16,FALSE)</f>
        <v>433882</v>
      </c>
      <c r="C71" t="str">
        <f>VLOOKUP(A71,'Production Plan'!B:F,5,FALSE)</f>
        <v>ESDH-løsningen skal understøtte, at der kan søges på alle standard- og Kundeoprettede felter på samme tid i ESDH-løsningen.</v>
      </c>
      <c r="F71"/>
    </row>
    <row r="72" spans="1:6" hidden="1">
      <c r="A72" t="str">
        <f>'Production Plan'!B72</f>
        <v>MK-67</v>
      </c>
      <c r="B72">
        <f>VLOOKUP(A72,'Production Plan'!B:T,16,FALSE)</f>
        <v>0</v>
      </c>
      <c r="C72" t="str">
        <f>VLOOKUP(A72,'Production Plan'!B:F,5,FALSE)</f>
        <v>ESDH-løsningen skal understøtte søgning i indholdet af Filer.</v>
      </c>
      <c r="F72"/>
    </row>
    <row r="73" spans="1:6" hidden="1">
      <c r="A73" t="str">
        <f>'Production Plan'!B73</f>
        <v>MK-68</v>
      </c>
      <c r="B73">
        <f>VLOOKUP(A73,'Production Plan'!B:T,16,FALSE)</f>
        <v>0</v>
      </c>
      <c r="C73" t="str">
        <f>VLOOKUP(A73,'Production Plan'!B:F,5,FALSE)</f>
        <v>ESDH-løsningen skal understøtte, at Brugeren kan anvende trunkering, hvis der ønskes søgning på begyndelsen eller slutningen af et ord.</v>
      </c>
      <c r="F73"/>
    </row>
    <row r="74" spans="1:6" hidden="1">
      <c r="A74" t="str">
        <f>'Production Plan'!B74</f>
        <v>MK-69</v>
      </c>
      <c r="B74">
        <f>VLOOKUP(A74,'Production Plan'!B:T,16,FALSE)</f>
        <v>0</v>
      </c>
      <c r="C74" t="str">
        <f>VLOOKUP(A74,'Production Plan'!B:F,5,FALSE)</f>
        <v>ESDH-løsningen skal understøtte, at søgninger kan gemmes i Løsningen og deles af Brugere.</v>
      </c>
      <c r="F74"/>
    </row>
    <row r="75" spans="1:6" hidden="1">
      <c r="A75" t="str">
        <f>'Production Plan'!B75</f>
        <v>MK-70</v>
      </c>
      <c r="B75">
        <f>VLOOKUP(A75,'Production Plan'!B:T,16,FALSE)</f>
        <v>433882</v>
      </c>
      <c r="C75" t="str">
        <f>VLOOKUP(A75,'Production Plan'!B:F,5,FALSE)</f>
        <v>ESDH-løsningen skal understøtte, at alle felter kan vises i søgeresultaternes visningslister.</v>
      </c>
      <c r="F75"/>
    </row>
    <row r="76" spans="1:6" hidden="1">
      <c r="A76" t="str">
        <f>'Production Plan'!B76</f>
        <v>MK-71</v>
      </c>
      <c r="B76">
        <f>VLOOKUP(A76,'Production Plan'!B:T,16,FALSE)</f>
        <v>0</v>
      </c>
      <c r="C76" t="str">
        <f>VLOOKUP(A76,'Production Plan'!B:F,5,FALSE)</f>
        <v>ESDH-løsningen skal understøtte, at der kan søges på værdier i alle dropdown-felter.</v>
      </c>
      <c r="F76"/>
    </row>
    <row r="77" spans="1:6" hidden="1">
      <c r="A77" t="str">
        <f>'Production Plan'!B77</f>
        <v>MK-72</v>
      </c>
      <c r="B77">
        <f>VLOOKUP(A77,'Production Plan'!B:T,16,FALSE)</f>
        <v>0</v>
      </c>
      <c r="C77" t="str">
        <f>VLOOKUP(A77,'Production Plan'!B:F,5,FALSE)</f>
        <v>ESDH-løsningen skal understøtte, at der kan søges på alle niveauer i journalplanen.</v>
      </c>
      <c r="F77"/>
    </row>
    <row r="78" spans="1:6" hidden="1">
      <c r="A78" t="str">
        <f>'Production Plan'!B78</f>
        <v>MK-73</v>
      </c>
      <c r="B78">
        <f>VLOOKUP(A78,'Production Plan'!B:T,16,FALSE)</f>
        <v>0</v>
      </c>
      <c r="C78" t="str">
        <f>VLOOKUP(A78,'Production Plan'!B:F,5,FALSE)</f>
        <v>ESDH-løsningen skal understøtte, at der kan søges på tværs af Entiteter.</v>
      </c>
      <c r="F78"/>
    </row>
    <row r="79" spans="1:6" hidden="1">
      <c r="A79" t="str">
        <f>'Production Plan'!B79</f>
        <v>MK-74</v>
      </c>
      <c r="B79">
        <f>VLOOKUP(A79,'Production Plan'!B:T,16,FALSE)</f>
        <v>433882</v>
      </c>
      <c r="C79" t="str">
        <f>VLOOKUP(A79,'Production Plan'!B:F,5,FALSE)</f>
        <v>ESDH-løsningen skal understøtte, at Kunden kan opsætte og konfigurere søgebilleder for alle Løsningens standard- og Kundeoprettede Entiteter.</v>
      </c>
      <c r="F79"/>
    </row>
    <row r="80" spans="1:6" hidden="1">
      <c r="A80" t="str">
        <f>'Production Plan'!B80</f>
        <v>MK-75</v>
      </c>
      <c r="B80">
        <f>VLOOKUP(A80,'Production Plan'!B:T,16,FALSE)</f>
        <v>433882</v>
      </c>
      <c r="C80" t="str">
        <f>VLOOKUP(A80,'Production Plan'!B:F,5,FALSE)</f>
        <v>ESDH-løsningen skal understøtte, at Kunden selv kan definere og konfigurere, hvilke standard- og Kundeoprettede felter søgebilledet skal indeholde.</v>
      </c>
      <c r="F80"/>
    </row>
    <row r="81" spans="1:6" hidden="1">
      <c r="A81" t="str">
        <f>'Production Plan'!B81</f>
        <v>K-4</v>
      </c>
      <c r="B81">
        <f>VLOOKUP(A81,'Production Plan'!B:T,16,FALSE)</f>
        <v>0</v>
      </c>
      <c r="C81" t="str">
        <f>VLOOKUP(A81,'Production Plan'!B:F,5,FALSE)</f>
        <v>ESDH-løsningen skal understøtte, at Brugere kan anvende følgende søgeoperatorer ved fritekstsøgning og søgning i strukturerede felter:
”Og”, ”Eller” og ”Ikke”-søgning
Større end / mindre end (f.eks. ved dato- eller talfelter)
Indeholder 
Lig med (præcis match)</v>
      </c>
      <c r="F81"/>
    </row>
    <row r="82" spans="1:6" hidden="1">
      <c r="A82" t="str">
        <f>'Production Plan'!B82</f>
        <v>K-5</v>
      </c>
      <c r="B82">
        <f>VLOOKUP(A82,'Production Plan'!B:T,16,FALSE)</f>
        <v>0</v>
      </c>
      <c r="C82" t="str">
        <f>VLOOKUP(A82,'Production Plan'!B:F,5,FALSE)</f>
        <v>ESDH-løsningen skal understøtte, at Brugere kan abonnere på søgninger.</v>
      </c>
      <c r="F82"/>
    </row>
    <row r="83" spans="1:6" hidden="1">
      <c r="A83" t="str">
        <f>'Production Plan'!B83</f>
        <v>K-6</v>
      </c>
      <c r="B83">
        <f>VLOOKUP(A83,'Production Plan'!B:T,16,FALSE)</f>
        <v>0</v>
      </c>
      <c r="C83" t="str">
        <f>VLOOKUP(A83,'Production Plan'!B:F,5,FALSE)</f>
        <v>ESDH-løsningen skal understøtte eksport af det komplette søgeresultat fra brugergrænsefladen til regnearksprogram anvendt af Kundens, men må dog ikke overstige regnearksprogrammets maksimum rækkekapacitet.</v>
      </c>
      <c r="F83"/>
    </row>
    <row r="84" spans="1:6" hidden="1">
      <c r="A84" t="str">
        <f>'Production Plan'!B84</f>
        <v>EK-2</v>
      </c>
      <c r="B84">
        <f>VLOOKUP(A84,'Production Plan'!B:T,16,FALSE)</f>
        <v>0</v>
      </c>
      <c r="C84" t="str">
        <f>VLOOKUP(A84,'Production Plan'!B:F,5,FALSE)</f>
        <v>ESDH-løsningen skal understøtte realtidsbaserede dashboards, der giver Kundens Brugere et hurtigt og overskueligt overblik over relevante data i ESDH-løsningen. Dashboard i ESDH-løsningen skal understøtte visualiseringer og udtræk af statistiske data til brug for konkret sagsbehandling, Myndighedsarbejde, ledelsestilsyn og politiske beslutninger. 
Leverandøren skal beskrive, hvordan den tilbudte ESDH-løsning understøtter realtidsbaserede dashboards. 
Leverandøren skal gennem konkrete skærmbilleder demonstrere om og hvordan ESDH-løsningen understøtter de stillede krav og møder Kundens behov.
Leverandøren skal redegøre for: 
Hvordan ESDH-løsningen understøtter, at Administrator og Bruger kan oprette egne realtidsbaserede dashboards til sags- og driftsstyring
Hvordan ESDH-løsningen understøtter visning af både individuelle og afdelingsspecifikke frister med farver eller ikoner, når en frist for eksempel nærmer sig udløb
Hvilke visualiseringer som ESDH-løsningen understøtter
Hvordan ESDH-løsningen understøtter effektiv og brugervenlig navigation til underliggende detaljer fra dashboards
Hvordan ESDH-løsningen understøtter dashboards på Dokument og kontaktniveau
Hvordan dashboards på en let og intuitiv måde kan oprettes og vedligeholdes af Administrator
Hvordan dashboards på en let og intuitiv måde kan deles på organisatorisk niveau samt brugerniveau
Evalueringskriterier:
Det vægtes positivt, i hvor høj grad Brugere og Administratorer kan personalisere og konfigurere dashboards efter individuelle og organisatoriske behov, samt at disse kan deles på en intuitiv og brugervenlig måde. 
Det vægtes positivt, i hvor høj grad dashboard-visninger kan tilpasses forskellige brugerroller, medarbejderniveauer og organisatorisk opdeling.
Det vægtes positivt, i hvor høj grad dashboards kan udstilles på forskellige visuelle måder herunder, at der er mulighed for at konfigurere kolonner i visningen samt, at data kan eksporteres i relevante formater. 
Det vægtes positivt, i hvor høj grad ESDH-løsningens dashboards kan udstille resultater i dashboard-widgets.
Det vægtes positivt, i hvor høj grad dashboards kan tilpasses med en grafisk udstilling, der indeholder: 
Listevisninger
Søjlediagrammer 
Cirkeldiagrammer 
Tællere
Det vægtes positivt, i hvor høj grad data og søgeresultater, der udstilles på dashboards, opdateres automatisk i realtid uden behov for manuel opdatering (refresh). 
Det vægtes positivt, i hvor høj grad en Administrator kan udrulle dashboads til organisationen, afdelinger, teams og Brugere, som styres centralt.</v>
      </c>
      <c r="F84"/>
    </row>
    <row r="85" spans="1:6" hidden="1">
      <c r="A85" t="str">
        <f>'Production Plan'!B85</f>
        <v>MK-76</v>
      </c>
      <c r="B85">
        <f>VLOOKUP(A85,'Production Plan'!B:T,16,FALSE)</f>
        <v>0</v>
      </c>
      <c r="C85" t="str">
        <f>VLOOKUP(A85,'Production Plan'!B:F,5,FALSE)</f>
        <v>ESDH-løsningen skal understøtte afvikling i en af nedenstående standardbrowsere uden løsnings-specifikt plugin: 
Microsoft Edge
Google Chrome</v>
      </c>
      <c r="F85"/>
    </row>
    <row r="86" spans="1:6" hidden="1">
      <c r="A86" t="str">
        <f>'Production Plan'!B86</f>
        <v>MK-77</v>
      </c>
      <c r="B86">
        <f>VLOOKUP(A86,'Production Plan'!B:T,16,FALSE)</f>
        <v>435257</v>
      </c>
      <c r="C86" t="str">
        <f>VLOOKUP(A86,'Production Plan'!B:F,5,FALSE)</f>
        <v>ESDH-løsningen skal understøtte, at alle listevisninger fra standard og Kundeoprettede Entiteter eller i søgningsresultater ikke har begrænsning i antal resultater. Resultaterne kan opdeles på flere sider jf. arkitekturmønsteret pagination (processen med at opdele store mængder indhold, data eller søgeresultater i mindre, overskuelige bidder).</v>
      </c>
      <c r="F86"/>
    </row>
    <row r="87" spans="1:6" hidden="1">
      <c r="A87" t="str">
        <f>'Production Plan'!B87</f>
        <v>MK-78</v>
      </c>
      <c r="B87">
        <f>VLOOKUP(A87,'Production Plan'!B:T,16,FALSE)</f>
        <v>0</v>
      </c>
      <c r="C87" t="str">
        <f>VLOOKUP(A87,'Production Plan'!B:F,5,FALSE)</f>
        <v>ESDH-løsningen skal understøtte brugen af genvejstaster, funktionstaster eller tastekombinationer. Genvejstaster skal være dokumenteret i hjælpefunktionen.</v>
      </c>
      <c r="F87"/>
    </row>
    <row r="88" spans="1:6" hidden="1">
      <c r="A88" t="str">
        <f>'Production Plan'!B88</f>
        <v>MK-79</v>
      </c>
      <c r="B88">
        <f>VLOOKUP(A88,'Production Plan'!B:T,16,FALSE)</f>
        <v>0</v>
      </c>
      <c r="C88" t="str">
        <f>VLOOKUP(A88,'Production Plan'!B:F,5,FALSE)</f>
        <v>ESDH-løsningen skal understøtte en tydelig marker af obligatoriske felter i forbindelse med oprettelse eller redigering af Entiteter.</v>
      </c>
      <c r="F88"/>
    </row>
    <row r="89" spans="1:6" hidden="1">
      <c r="A89" t="str">
        <f>'Production Plan'!B89</f>
        <v>MK-80</v>
      </c>
      <c r="B89">
        <f>VLOOKUP(A89,'Production Plan'!B:T,16,FALSE)</f>
        <v>433883</v>
      </c>
      <c r="C89" t="str">
        <f>VLOOKUP(A89,'Production Plan'!B:F,5,FALSE)</f>
        <v>ESDH-løsningen skal understøtte, at en Bruger via brugergrænsefladen kan foretage masseændringer af tilknyttede standard- og Kundeoprettede felter på sager, Dokumenter, kontakter og Kundeoprettede Entiteter.</v>
      </c>
      <c r="F89"/>
    </row>
    <row r="90" spans="1:6" hidden="1">
      <c r="A90" t="str">
        <f>'Production Plan'!B90</f>
        <v>MK-81</v>
      </c>
      <c r="B90">
        <f>VLOOKUP(A90,'Production Plan'!B:T,16,FALSE)</f>
        <v>0</v>
      </c>
      <c r="C90" t="str">
        <f>VLOOKUP(A90,'Production Plan'!B:F,5,FALSE)</f>
        <v>ESDH-løsningen skal understøtte en visuel adskillelse af indgående og udgående Dokumenter, f.eks. via opmærkning.</v>
      </c>
      <c r="F90"/>
    </row>
    <row r="91" spans="1:6" hidden="1">
      <c r="A91" t="str">
        <f>'Production Plan'!B91</f>
        <v>MK-82</v>
      </c>
      <c r="B91">
        <f>VLOOKUP(A91,'Production Plan'!B:T,16,FALSE)</f>
        <v>0</v>
      </c>
      <c r="C91" t="str">
        <f>VLOOKUP(A91,'Production Plan'!B:F,5,FALSE)</f>
        <v>ESDH-løsningen skal understøtte en tydelig markering af, om felter er obligatoriske. Det skal være gældende for Løsningens standard- og Kundeoprettede felter.</v>
      </c>
      <c r="F91"/>
    </row>
    <row r="92" spans="1:6" hidden="1">
      <c r="A92" t="str">
        <f>'Production Plan'!B92</f>
        <v>MK-83</v>
      </c>
      <c r="B92">
        <f>VLOOKUP(A92,'Production Plan'!B:T,16,FALSE)</f>
        <v>433884</v>
      </c>
      <c r="C92" t="str">
        <f>VLOOKUP(A92,'Production Plan'!B:F,5,FALSE)</f>
        <v>ESDH-løsningen skal understøtte at Kunden kan tilvælge og fravælge kolonnevisninger på sager, Dokumenter, kontakt-billeder.</v>
      </c>
      <c r="F92"/>
    </row>
    <row r="93" spans="1:6" hidden="1">
      <c r="A93" t="str">
        <f>'Production Plan'!B93</f>
        <v>MK-84</v>
      </c>
      <c r="B93">
        <f>VLOOKUP(A93,'Production Plan'!B:T,16,FALSE)</f>
        <v>433884</v>
      </c>
      <c r="C93" t="str">
        <f>VLOOKUP(A93,'Production Plan'!B:F,5,FALSE)</f>
        <v>ESDH-løsningen skal understøtte, at Kunden kan tilvælge og fravælge kolonnevisninger på Kundeoprettede Entiteter.</v>
      </c>
      <c r="F93"/>
    </row>
    <row r="94" spans="1:6" hidden="1">
      <c r="A94" t="str">
        <f>'Production Plan'!B94</f>
        <v>MK-85</v>
      </c>
      <c r="B94">
        <f>VLOOKUP(A94,'Production Plan'!B:T,16,FALSE)</f>
        <v>433884</v>
      </c>
      <c r="C94" t="str">
        <f>VLOOKUP(A94,'Production Plan'!B:F,5,FALSE)</f>
        <v>ESDH-løsningen skal understøtte, at Kundeoprettede felter skal kunne anvendes i kolonnevisningerne på standard Entiteter og Kundeoprettede Entiteter.</v>
      </c>
      <c r="F94"/>
    </row>
    <row r="95" spans="1:6" hidden="1">
      <c r="A95" t="str">
        <f>'Production Plan'!B95</f>
        <v>MK-86</v>
      </c>
      <c r="B95">
        <f>VLOOKUP(A95,'Production Plan'!B:T,16,FALSE)</f>
        <v>433884</v>
      </c>
      <c r="C95" t="str">
        <f>VLOOKUP(A95,'Production Plan'!B:F,5,FALSE)</f>
        <v>ESDH-løsningen skal understøtte filtrering og sortering på kolonnevisninger. Brugerens valgte indstillinger skal kunne gemmes som standardvisning for Brugeren.</v>
      </c>
      <c r="F95"/>
    </row>
    <row r="96" spans="1:6" hidden="1">
      <c r="A96" t="str">
        <f>'Production Plan'!B96</f>
        <v>MK-87</v>
      </c>
      <c r="B96">
        <f>VLOOKUP(A96,'Production Plan'!B:T,16,FALSE)</f>
        <v>433884</v>
      </c>
      <c r="C96" t="str">
        <f>VLOOKUP(A96,'Production Plan'!B:F,5,FALSE)</f>
        <v>ESDH-løsningen skal understøtte, at Kunden kan opsætte Kundeoprettede faner/widgets på både standard- og Kundeoprettede Entiteter.</v>
      </c>
      <c r="F96"/>
    </row>
    <row r="97" spans="1:6" hidden="1">
      <c r="A97" t="str">
        <f>'Production Plan'!B97</f>
        <v>MK-88</v>
      </c>
      <c r="B97">
        <f>VLOOKUP(A97,'Production Plan'!B:T,16,FALSE)</f>
        <v>433884</v>
      </c>
      <c r="C97" t="str">
        <f>VLOOKUP(A97,'Production Plan'!B:F,5,FALSE)</f>
        <v>ESDH-løsningen skal understøtte, at Kunden har fuld fleksibilitet til vælge, hvor Kundeoprettede Entiteter og Kundeoprettede felter vises i brugergrænsefladen.</v>
      </c>
      <c r="F97"/>
    </row>
    <row r="98" spans="1:6" hidden="1">
      <c r="A98" t="str">
        <f>'Production Plan'!B98</f>
        <v>K-7</v>
      </c>
      <c r="B98">
        <f>VLOOKUP(A98,'Production Plan'!B:T,16,FALSE)</f>
        <v>0</v>
      </c>
      <c r="C98" t="str">
        <f>VLOOKUP(A98,'Production Plan'!B:F,5,FALSE)</f>
        <v>Løsningen skal understøtte, at relationer mellem standardentiteter og Kundens egne oprettede Entiteter er aktive og navigerbare i brugergrænsefladen. 
Det skal være muligt for Brugeren at klikke på en reference til en relateret Entitet og blive ledt direkte til den pågældende Entitets indhold, metadata og tilknyttede relationer. 
Eksempelvis skal en Bruger, der står på en sag, kunne vælge et relateret Dokument og blive ledt direkte til Dokumentet og dets metadata. Hvis Dokumentet er tilknyttet en kontakt, f.eks. en Udlænding, skal Brugeren tilsvarende kunne klikke på kontakten og blive ledt til kontaktens stamdata, metadata og relaterede sager, Dokumenter eller øvrige relevante Entiteter.</v>
      </c>
      <c r="F98"/>
    </row>
    <row r="99" spans="1:6" hidden="1">
      <c r="A99" t="str">
        <f>'Production Plan'!B99</f>
        <v>EK-3</v>
      </c>
      <c r="B99">
        <f>VLOOKUP(A99,'Production Plan'!B:T,16,FALSE)</f>
        <v>435253</v>
      </c>
      <c r="C99" t="str">
        <f>VLOOKUP(A99,'Production Plan'!B:F,5,FALSE)</f>
        <v>I forbindelse med Kundens daglige anvendelse af ESDH-løsningen er det væsentligt, at brugergrænsefladen kan tilpasses den enkelte Brugers og organisationens behov, herunder ved tilpasning, filtrering og sortering af faner/widgets, felter og kolonner.
Leverandøren skal beskrive, hvordan den tilbudte ESDH-løsning understøtter tilpasning af brugergrænsefladen. 
Leverandøren skal gennem konkrete skærmbilleder demonstrere om og hvordan ESDH-løsningen understøtter de stillede krav og møder Kundens behov.
Leverandøren skal redegøre for: 
Hvordan ESDH-løsningen giver Brugeren hurtig og overskuelig adgang til relevante oplysninger i forbindelse med sagsbehandling
Hvordan Brugeren kan personalisere brugergrænsefladen f.eks. via tilpasning af kolonner på alle Entiteter og søgebilleder
Hvordan Brugeren kan personalisere visningsbilleder via filtrering og sortering
Hvilke muligheder Administratoren har for at tilpasse udstillingen af data på sager, Dokumenter og kontakter
Hvordan Administratoren kan tilpasse søgebilleder og resultatlister
Hvordan Administratoren kan konfigurere og udrulle opsætning til hele organisationen samt udvalgte teams og medarbejdere
Evalueringskriterier:
Det vægtes positivt, i hvor høj grad Brugeren kan personalisere brugergrænsefladen til egne behov f.eks. tilpasning af kolonner i alle visningsbilleder.
Det vægtes positivt, i hvor høj grad Administratoren kan tilpasse brugergrænsefladen på alle Entiteter, visningsbilleder, resultatlister og søgebilleder f.eks. tilpasning af kolonner, filtreringer og placering af felter.
Det vægtes positivt, i hvor høj grad Administratoren kan udrulle opsætninger og tilpasninger på flere organisatoriske niveauer samt at Administratoren kan begrænse muligheden for bruger-personalisering af den udrullede opsætning. 
Det vægtes positivt, i hvor høj grad Administratoren kan tilføje og fjerne både standardfelter og Kundeoprettede felter fra alle Entiteters visnings- og søgebilleder.</v>
      </c>
      <c r="F99"/>
    </row>
    <row r="100" spans="1:6" hidden="1">
      <c r="A100" t="str">
        <f>'Production Plan'!B100</f>
        <v>MK-89</v>
      </c>
      <c r="B100">
        <f>VLOOKUP(A100,'Production Plan'!B:T,16,FALSE)</f>
        <v>0</v>
      </c>
      <c r="C100" t="str">
        <f>VLOOKUP(A100,'Production Plan'!B:F,5,FALSE)</f>
        <v>ESDH-løsningen skal understøtte oprettelse og behandling af aktindsigter som sagstyper i ESDH-løsningen i henhold til både Forvaltningsloven og Offentlighedsloven.</v>
      </c>
      <c r="F100"/>
    </row>
    <row r="101" spans="1:6" hidden="1">
      <c r="A101" t="str">
        <f>'Production Plan'!B101</f>
        <v>EK-4</v>
      </c>
      <c r="B101">
        <f>VLOOKUP(A101,'Production Plan'!B:T,16,FALSE)</f>
        <v>0</v>
      </c>
      <c r="C101" t="str">
        <f>VLOOKUP(A101,'Production Plan'!B:F,5,FALSE)</f>
        <v>I forbindelse med Kundens sagsbehandling og håndtering af aktindsigtssager er det væsentligt, at ESDH-løsningen understøtter en effektiv og overskuelig proces for udvælgelse, behandling og samling af Dokumenter til aktindsigt. 
Leverandøren skal beskrive, hvordan den tilbudte ESDH-løsning understøtter behandling af aktindsigtssager.
Leverandøren skal gennem konkrete skærmbilleder demonstrere om og hvordan ESDH-løsningen understøtter de stillede krav og møder Kundens behov.
Leverandøren skal redegøre for: 
Hvordan ESDH-løsningen understøtter fremsøgning, udvælgelse, pakning og dokumentation af relevante dagsdata til brug i aktindsigt
Hvilke muligheder der findes i ESDH-løsningen for at samle udvalgte Dokumenter i en samlet PDF-pakke, herunder manuel prioritering af dokumentrækkefølge og automatisk generering af indholdsfortegnelse
Hvordan ESDH-løsningen understøtter godkendelse af dokument-pakke til aktindsigt
Hvordan ESDH-løsningen understøtter en nem og enkel overstregning af oplysninger i Dokumenter, der skal udleveres i forbindelse med aktindsigt
Evalueringskriterier:
Det vægtes positivt, i hvor høj grad Brugeren kan samle udvalgte Filer i en enkelt PDF-Fil og vælge rækkefølgen på Filer f.eks. via drag and drop funktionalitet.
Det vægtes positivt, i hvor høj grad ESDH-løsningen automatisk generer en indholdsfortegnelse ved oprettelse af samlede PDF-pakker.
Det vægtes positivt, i hvor høj grad Brugeren intuitivt kan markere Dokumenter som imødekommet, delvist imødekommet eller ikke taget med.
Det vægtes positivt, at ESDH-løsningen understøtter muligheden for at opdele PDF-generering i flere Filer med maksimumstørrelse pr. Fil.</v>
      </c>
      <c r="F101"/>
    </row>
    <row r="102" spans="1:6" hidden="1">
      <c r="A102" t="str">
        <f>'Production Plan'!B102</f>
        <v>MK-90</v>
      </c>
      <c r="B102">
        <f>VLOOKUP(A102,'Production Plan'!B:T,16,FALSE)</f>
        <v>0</v>
      </c>
      <c r="C102" t="str">
        <f>VLOOKUP(A102,'Production Plan'!B:F,5,FALSE)</f>
        <v>ESDH-løsningen skal understøtte, at der kan sendes en eller flere Filer i godkendelsesflows til en eller flere modtagere, enten sekventielt, parallelt eller som en kombination af begge.</v>
      </c>
      <c r="F102"/>
    </row>
    <row r="103" spans="1:6" hidden="1">
      <c r="A103" t="str">
        <f>'Production Plan'!B103</f>
        <v>MK-91</v>
      </c>
      <c r="B103">
        <f>VLOOKUP(A103,'Production Plan'!B:T,16,FALSE)</f>
        <v>0</v>
      </c>
      <c r="C103" t="str">
        <f>VLOOKUP(A103,'Production Plan'!B:F,5,FALSE)</f>
        <v>ESDH-løsningen skal understøtte forskellige statusser i godkendelsesflowet.</v>
      </c>
      <c r="F103"/>
    </row>
    <row r="104" spans="1:6" hidden="1">
      <c r="A104" t="str">
        <f>'Production Plan'!B104</f>
        <v>MK-92</v>
      </c>
      <c r="B104">
        <f>VLOOKUP(A104,'Production Plan'!B:T,16,FALSE)</f>
        <v>0</v>
      </c>
      <c r="C104" t="str">
        <f>VLOOKUP(A104,'Production Plan'!B:F,5,FALSE)</f>
        <v>ESDH-løsningen skal understøtte, at Brugeren, der har initieret godkendelsen eller det aktive godkendelsesled, kan tilføje flere godkendelsesled. Tilføjelse af godkendelsesled må ikke medføre, at de øvrige godkendelsesled bliver ændret.</v>
      </c>
      <c r="F104"/>
    </row>
    <row r="105" spans="1:6" hidden="1">
      <c r="A105" t="str">
        <f>'Production Plan'!B105</f>
        <v>MK-93</v>
      </c>
      <c r="B105">
        <f>VLOOKUP(A105,'Production Plan'!B:T,16,FALSE)</f>
        <v>0</v>
      </c>
      <c r="C105" t="str">
        <f>VLOOKUP(A105,'Production Plan'!B:F,5,FALSE)</f>
        <v>ESDH-løsningen skal understøtte, at det aktive godkendelsesled modtager en mailadvisering med et klikbart link til de relevante Filer i ESDH-løsningen.</v>
      </c>
      <c r="F105"/>
    </row>
    <row r="106" spans="1:6" hidden="1">
      <c r="A106" t="str">
        <f>'Production Plan'!B106</f>
        <v>MK-94</v>
      </c>
      <c r="B106">
        <f>VLOOKUP(A106,'Production Plan'!B:T,16,FALSE)</f>
        <v>0</v>
      </c>
      <c r="C106" t="str">
        <f>VLOOKUP(A106,'Production Plan'!B:F,5,FALSE)</f>
        <v>ESDH-løsningen skal understøtte logning af alle handlinger relateret til godkendelsesflowet, f.eks. ændringer, godkendelser, tilbagesendelser og tilføjelser.</v>
      </c>
      <c r="F106"/>
    </row>
    <row r="107" spans="1:6" hidden="1">
      <c r="A107" t="str">
        <f>'Production Plan'!B107</f>
        <v>MK-95</v>
      </c>
      <c r="B107">
        <f>VLOOKUP(A107,'Production Plan'!B:T,16,FALSE)</f>
        <v>0</v>
      </c>
      <c r="C107" t="str">
        <f>VLOOKUP(A107,'Production Plan'!B:F,5,FALSE)</f>
        <v>ESDH-løsningen skal understøtte, at der kan sendes en eller flere Filer i høringsflow til en eller flere modtagere parallelt.</v>
      </c>
      <c r="F107"/>
    </row>
    <row r="108" spans="1:6" hidden="1">
      <c r="A108" t="str">
        <f>'Production Plan'!B108</f>
        <v>MK-96</v>
      </c>
      <c r="B108">
        <f>VLOOKUP(A108,'Production Plan'!B:T,16,FALSE)</f>
        <v>0</v>
      </c>
      <c r="C108" t="str">
        <f>VLOOKUP(A108,'Production Plan'!B:F,5,FALSE)</f>
        <v>ESDH-løsningen skal understøtte forskellige statusser i høringsflowet.</v>
      </c>
      <c r="F108"/>
    </row>
    <row r="109" spans="1:6" hidden="1">
      <c r="A109" t="str">
        <f>'Production Plan'!B109</f>
        <v>MK-97</v>
      </c>
      <c r="B109">
        <f>VLOOKUP(A109,'Production Plan'!B:T,16,FALSE)</f>
        <v>0</v>
      </c>
      <c r="C109" t="str">
        <f>VLOOKUP(A109,'Production Plan'!B:F,5,FALSE)</f>
        <v>ESDH-løsningen skal understøtte, at de aktive høringsdeltagere modtager en mailadvisering med et klikbart link til relevante Filer i ESDH-løsningen.</v>
      </c>
      <c r="F109"/>
    </row>
    <row r="110" spans="1:6" hidden="1">
      <c r="A110" t="str">
        <f>'Production Plan'!B110</f>
        <v>MK-98</v>
      </c>
      <c r="B110">
        <f>VLOOKUP(A110,'Production Plan'!B:T,16,FALSE)</f>
        <v>0</v>
      </c>
      <c r="C110" t="str">
        <f>VLOOKUP(A110,'Production Plan'!B:F,5,FALSE)</f>
        <v>ESDH-løsningen skal understøtte logning af alle handlinger relateret til høringsflowet.</v>
      </c>
      <c r="F110"/>
    </row>
    <row r="111" spans="1:6" hidden="1">
      <c r="A111" t="str">
        <f>'Production Plan'!B111</f>
        <v>MK-99</v>
      </c>
      <c r="B111">
        <f>VLOOKUP(A111,'Production Plan'!B:T,16,FALSE)</f>
        <v>433885</v>
      </c>
      <c r="C111" t="str">
        <f>VLOOKUP(A111,'Production Plan'!B:F,5,FALSE)</f>
        <v>ESDH-løsningen skal understøtte, at der automatisk dannes et Dokument med en tilknyttet Fil, hvortil historikken af godkendelsesflowet er dokumenteret.</v>
      </c>
      <c r="F111"/>
    </row>
    <row r="112" spans="1:6" hidden="1">
      <c r="A112" t="str">
        <f>'Production Plan'!B112</f>
        <v>MK-100</v>
      </c>
      <c r="B112">
        <f>VLOOKUP(A112,'Production Plan'!B:T,16,FALSE)</f>
        <v>0</v>
      </c>
      <c r="C112" t="str">
        <f>VLOOKUP(A112,'Production Plan'!B:F,5,FALSE)</f>
        <v>ESDH-løsningen skal understøtte, at der automatisk dannes et Dokument med en tilknyttet Fil, hvortil historikken af høringsflowet er dokumenteret.</v>
      </c>
      <c r="F112"/>
    </row>
    <row r="113" spans="1:6" hidden="1">
      <c r="A113" t="str">
        <f>'Production Plan'!B113</f>
        <v>MK-101</v>
      </c>
      <c r="B113">
        <f>VLOOKUP(A113,'Production Plan'!B:T,16,FALSE)</f>
        <v>0</v>
      </c>
      <c r="C113" t="str">
        <f>VLOOKUP(A113,'Production Plan'!B:F,5,FALSE)</f>
        <v>ESDH-løsningen skal understøtte et fuldstændigt overblik over alle igangværende og planlagte opgaver, som er tildelt en specifik Bruger eller afdeling/team eller er knyttet til en specifik sag.</v>
      </c>
      <c r="F113"/>
    </row>
    <row r="114" spans="1:6" hidden="1">
      <c r="A114" t="str">
        <f>'Production Plan'!B114</f>
        <v>MK-102</v>
      </c>
      <c r="B114">
        <f>VLOOKUP(A114,'Production Plan'!B:T,16,FALSE)</f>
        <v>0</v>
      </c>
      <c r="C114" t="str">
        <f>VLOOKUP(A114,'Production Plan'!B:F,5,FALSE)</f>
        <v>ESDH-løsningen skal understøtte friststyring, hvor den ansvarlige Bruger for en opgave kan opsætte individuelle frister. Det skal være muligt at konfigurere notifikationerne fleksibelt i forhold til både opgavens deadline og status.</v>
      </c>
      <c r="F114"/>
    </row>
    <row r="115" spans="1:6" hidden="1">
      <c r="A115" t="str">
        <f>'Production Plan'!B115</f>
        <v>MK-103</v>
      </c>
      <c r="B115">
        <f>VLOOKUP(A115,'Production Plan'!B:T,16,FALSE)</f>
        <v>0</v>
      </c>
      <c r="C115" t="str">
        <f>VLOOKUP(A115,'Production Plan'!B:F,5,FALSE)</f>
        <v>ESDH-løsningen skal understøtte, at enhver opgave i ESDH-løsningen altid skal have en angivet ansvarlig, og at denne ansvarlige Bruger skal kunne opsætte individuelle notifikationer for hver opgave. Det skal være muligt at konfigurere notifikationer fleksibelt i forhold til opgavens deadline og status.</v>
      </c>
      <c r="F115"/>
    </row>
    <row r="116" spans="1:6" hidden="1">
      <c r="A116" t="str">
        <f>'Production Plan'!B116</f>
        <v>MK-104</v>
      </c>
      <c r="B116">
        <f>VLOOKUP(A116,'Production Plan'!B:T,16,FALSE)</f>
        <v>0</v>
      </c>
      <c r="C116" t="str">
        <f>VLOOKUP(A116,'Production Plan'!B:F,5,FALSE)</f>
        <v>ESDH-løsningen skal understøtte notifikationer, når en frist nærmer sig eller overskrides.</v>
      </c>
      <c r="F116"/>
    </row>
    <row r="117" spans="1:6" hidden="1">
      <c r="A117" t="str">
        <f>'Production Plan'!B117</f>
        <v>K-8</v>
      </c>
      <c r="B117">
        <f>VLOOKUP(A117,'Production Plan'!B:T,16,FALSE)</f>
        <v>0</v>
      </c>
      <c r="C117" t="str">
        <f>VLOOKUP(A117,'Production Plan'!B:F,5,FALSE)</f>
        <v>ESDH-løsningen skal understøtte, at Brugere kan vælge at modtage notifikationer om handlinger, godkendelser, anmodninger om akter, frister og ændringer på relevante sager. Den enkelte Bruger skal selv kunne vælge notifikationskanal, eksempelvis systemnotifikationer eller e-mail.</v>
      </c>
      <c r="F117"/>
    </row>
    <row r="118" spans="1:6" hidden="1">
      <c r="A118" t="str">
        <f>'Production Plan'!B118</f>
        <v>MK-105</v>
      </c>
      <c r="B118">
        <f>VLOOKUP(A118,'Production Plan'!B:T,16,FALSE)</f>
        <v>0</v>
      </c>
      <c r="C118" t="str">
        <f>VLOOKUP(A118,'Production Plan'!B:F,5,FALSE)</f>
        <v>ESDH-løsningen skal understøtte et administratormodul, hvor hele ESDH-løsningen kan administreres.</v>
      </c>
      <c r="F118"/>
    </row>
    <row r="119" spans="1:6" hidden="1">
      <c r="A119" t="str">
        <f>'Production Plan'!B119</f>
        <v>MK-106</v>
      </c>
      <c r="B119">
        <f>VLOOKUP(A119,'Production Plan'!B:T,16,FALSE)</f>
        <v>0</v>
      </c>
      <c r="C119" t="str">
        <f>VLOOKUP(A119,'Production Plan'!B:F,5,FALSE)</f>
        <v>ESDH-løsningen skal understøtte, at følgende metadatafelter kan konfigureres i administratormodulet:
Kodetabelfelter. 
Datofelter
Tekstfelter
Talfelter
Typer</v>
      </c>
      <c r="F119"/>
    </row>
    <row r="120" spans="1:6" hidden="1">
      <c r="A120" t="str">
        <f>'Production Plan'!B120</f>
        <v>MK-107</v>
      </c>
      <c r="B120">
        <f>VLOOKUP(A120,'Production Plan'!B:T,16,FALSE)</f>
        <v>0</v>
      </c>
      <c r="C120" t="str">
        <f>VLOOKUP(A120,'Production Plan'!B:F,5,FALSE)</f>
        <v>ESDH-løsningen skal understøtte, at Kunden via administratormodulet kan oprette, ændre og deaktivere organisationshierarkiet i ESDH-løsningen.</v>
      </c>
      <c r="F120"/>
    </row>
    <row r="121" spans="1:6" hidden="1">
      <c r="A121" t="str">
        <f>'Production Plan'!B121</f>
        <v>MK-108</v>
      </c>
      <c r="B121">
        <f>VLOOKUP(A121,'Production Plan'!B:T,16,FALSE)</f>
        <v>0</v>
      </c>
      <c r="C121" t="str">
        <f>VLOOKUP(A121,'Production Plan'!B:F,5,FALSE)</f>
        <v>ESDH-løsningen skal understøtte, at Kunden via administratormodulet kan konfigurere, hvilke filformater der må gemmes i ESDH-løsningen, så uønskede formater afvises ved forsøg på upload.</v>
      </c>
      <c r="F121"/>
    </row>
    <row r="122" spans="1:6" hidden="1">
      <c r="A122" t="str">
        <f>'Production Plan'!B122</f>
        <v>MK-109</v>
      </c>
      <c r="B122">
        <f>VLOOKUP(A122,'Production Plan'!B:T,16,FALSE)</f>
        <v>0</v>
      </c>
      <c r="C122" t="str">
        <f>VLOOKUP(A122,'Production Plan'!B:F,5,FALSE)</f>
        <v>ESDH-løsningen skal understøtte, at Administrator via no-code kan oprette og vedligeholde Kundeoprettede felter på både standard- og Kundeoprettede Entiteter.</v>
      </c>
      <c r="F122"/>
    </row>
    <row r="123" spans="1:6" hidden="1">
      <c r="A123" t="str">
        <f>'Production Plan'!B123</f>
        <v>MK-110</v>
      </c>
      <c r="B123">
        <f>VLOOKUP(A123,'Production Plan'!B:T,16,FALSE)</f>
        <v>0</v>
      </c>
      <c r="C123" t="str">
        <f>VLOOKUP(A123,'Production Plan'!B:F,5,FALSE)</f>
        <v>ESDH-løsningen skal understøtte Konfiguration via en fuldskærmsbaseret brugergrænseflade.</v>
      </c>
      <c r="F123"/>
    </row>
    <row r="124" spans="1:6" hidden="1">
      <c r="A124" t="str">
        <f>'Production Plan'!B124</f>
        <v>MK-111</v>
      </c>
      <c r="B124">
        <f>VLOOKUP(A124,'Production Plan'!B:T,16,FALSE)</f>
        <v>0</v>
      </c>
      <c r="C124" t="str">
        <f>VLOOKUP(A124,'Production Plan'!B:F,5,FALSE)</f>
        <v>ESDH-løsningen skal understøtte, at alle Konfigurationer bevares ved systemopdateringer eller opgraderinger.</v>
      </c>
      <c r="F124"/>
    </row>
    <row r="125" spans="1:6" hidden="1">
      <c r="A125" t="str">
        <f>'Production Plan'!B125</f>
        <v>MK-112</v>
      </c>
      <c r="B125">
        <f>VLOOKUP(A125,'Production Plan'!B:T,16,FALSE)</f>
        <v>0</v>
      </c>
      <c r="C125" t="str">
        <f>VLOOKUP(A125,'Production Plan'!B:F,5,FALSE)</f>
        <v>ESDH-løsningens administratormodul skal understøtte fuld no-code funktionalitet.</v>
      </c>
      <c r="F125"/>
    </row>
    <row r="126" spans="1:6" hidden="1">
      <c r="A126" t="str">
        <f>'Production Plan'!B126</f>
        <v>MK-113</v>
      </c>
      <c r="B126">
        <f>VLOOKUP(A126,'Production Plan'!B:T,16,FALSE)</f>
        <v>0</v>
      </c>
      <c r="C126" t="str">
        <f>VLOOKUP(A126,'Production Plan'!B:F,5,FALSE)</f>
        <v>ESDH-løsningen skal understøtte, at tekstfelters længde som minimum kan indeholde 3500 karakterer for indtastningen af den fulde tekst f.eks. kommentarfelter og øvrige fritekst-felter i Løsningen.</v>
      </c>
      <c r="F126"/>
    </row>
    <row r="127" spans="1:6" hidden="1">
      <c r="A127" t="str">
        <f>'Production Plan'!B127</f>
        <v>MK-114</v>
      </c>
      <c r="B127">
        <f>VLOOKUP(A127,'Production Plan'!B:T,16,FALSE)</f>
        <v>0</v>
      </c>
      <c r="C127" t="str">
        <f>VLOOKUP(A127,'Production Plan'!B:F,5,FALSE)</f>
        <v>ESDH-løsningen skal understøtte, at Administrator kan oprette, ændre og administrere partsroller.</v>
      </c>
      <c r="F127"/>
    </row>
    <row r="128" spans="1:6" hidden="1">
      <c r="A128" t="str">
        <f>'Production Plan'!B128</f>
        <v>MK-115</v>
      </c>
      <c r="B128">
        <f>VLOOKUP(A128,'Production Plan'!B:T,16,FALSE)</f>
        <v>0</v>
      </c>
      <c r="C128" t="str">
        <f>VLOOKUP(A128,'Production Plan'!B:F,5,FALSE)</f>
        <v>ESDH-løsningen skal understøtte, at Administrator kan oprette og vedligeholde journalplanen, handlingsfacetter og emneordslister.</v>
      </c>
      <c r="F128"/>
    </row>
    <row r="129" spans="1:6" hidden="1">
      <c r="A129" t="str">
        <f>'Production Plan'!B129</f>
        <v>MK-116</v>
      </c>
      <c r="B129">
        <f>VLOOKUP(A129,'Production Plan'!B:T,16,FALSE)</f>
        <v>0</v>
      </c>
      <c r="C129" t="str">
        <f>VLOOKUP(A129,'Production Plan'!B:F,5,FALSE)</f>
        <v>ESDH-løsningen skal understøtte, at Administrator kan konfigurere journalplanen med færre end tre niveauer.</v>
      </c>
      <c r="F129"/>
    </row>
    <row r="130" spans="1:6" hidden="1">
      <c r="A130" t="str">
        <f>'Production Plan'!B130</f>
        <v>MK-117</v>
      </c>
      <c r="B130">
        <f>VLOOKUP(A130,'Production Plan'!B:T,16,FALSE)</f>
        <v>0</v>
      </c>
      <c r="C130" t="str">
        <f>VLOOKUP(A130,'Production Plan'!B:F,5,FALSE)</f>
        <v>ESDH-løsningen skal understøtte, at Administrator kan konfigurere slettepolitikker, bevaringskoder og klassifikationskoder.</v>
      </c>
      <c r="F130"/>
    </row>
    <row r="131" spans="1:6" hidden="1">
      <c r="A131" t="str">
        <f>'Production Plan'!B131</f>
        <v>MK-118</v>
      </c>
      <c r="B131">
        <f>VLOOKUP(A131,'Production Plan'!B:T,16,FALSE)</f>
        <v>0</v>
      </c>
      <c r="C131" t="str">
        <f>VLOOKUP(A131,'Production Plan'!B:F,5,FALSE)</f>
        <v>ESDH-løsningen skal understøtte, at Administrator kan konfigurere hele ESDH-løsningens brugergrænseflade.</v>
      </c>
      <c r="F131"/>
    </row>
    <row r="132" spans="1:6" hidden="1">
      <c r="A132" t="str">
        <f>'Production Plan'!B132</f>
        <v>MK-119</v>
      </c>
      <c r="B132">
        <f>VLOOKUP(A132,'Production Plan'!B:T,16,FALSE)</f>
        <v>0</v>
      </c>
      <c r="C132" t="str">
        <f>VLOOKUP(A132,'Production Plan'!B:F,5,FALSE)</f>
        <v>ESDH-løsningen skal understøtte, at Administrator kan konfigurere og vedligeholde alle sags- og kontakttyper.</v>
      </c>
      <c r="F132"/>
    </row>
    <row r="133" spans="1:6" hidden="1">
      <c r="A133" t="str">
        <f>'Production Plan'!B133</f>
        <v>MK-120</v>
      </c>
      <c r="B133">
        <f>VLOOKUP(A133,'Production Plan'!B:T,16,FALSE)</f>
        <v>0</v>
      </c>
      <c r="C133" t="str">
        <f>VLOOKUP(A133,'Production Plan'!B:F,5,FALSE)</f>
        <v>ESDH-løsningen skal understøtte, at Administrator kan konfigurere sagsnummerformatet.</v>
      </c>
      <c r="F133"/>
    </row>
    <row r="134" spans="1:6" hidden="1">
      <c r="A134" t="str">
        <f>'Production Plan'!B134</f>
        <v>MK-121</v>
      </c>
      <c r="B134">
        <f>VLOOKUP(A134,'Production Plan'!B:T,16,FALSE)</f>
        <v>0</v>
      </c>
      <c r="C134" t="str">
        <f>VLOOKUP(A134,'Production Plan'!B:F,5,FALSE)</f>
        <v>ESDH-løsningen skal understøtte, at Administrator kan oprette, konfigurere og vedligeholde egne sags- og kontakttyper.</v>
      </c>
      <c r="F134"/>
    </row>
    <row r="135" spans="1:6" hidden="1">
      <c r="A135" t="str">
        <f>'Production Plan'!B135</f>
        <v>MK-122</v>
      </c>
      <c r="B135">
        <f>VLOOKUP(A135,'Production Plan'!B:T,16,FALSE)</f>
        <v>0</v>
      </c>
      <c r="C135" t="str">
        <f>VLOOKUP(A135,'Production Plan'!B:F,5,FALSE)</f>
        <v>ESDH-løsningen skal understøtte, at Administrator kan oprette og vedligeholde fristtyper på sager.</v>
      </c>
      <c r="F135"/>
    </row>
    <row r="136" spans="1:6" hidden="1">
      <c r="A136" t="str">
        <f>'Production Plan'!B136</f>
        <v>MK-123</v>
      </c>
      <c r="B136">
        <f>VLOOKUP(A136,'Production Plan'!B:T,16,FALSE)</f>
        <v>0</v>
      </c>
      <c r="C136" t="str">
        <f>VLOOKUP(A136,'Production Plan'!B:F,5,FALSE)</f>
        <v>ESDH-løsningen skal understøtte, at Administrator kan generere rapporter over Brugeres adgangsrettigheder.</v>
      </c>
      <c r="F136"/>
    </row>
    <row r="137" spans="1:6" hidden="1">
      <c r="A137" t="str">
        <f>'Production Plan'!B137</f>
        <v>MK-124</v>
      </c>
      <c r="B137">
        <f>VLOOKUP(A137,'Production Plan'!B:T,16,FALSE)</f>
        <v>0</v>
      </c>
      <c r="C137" t="str">
        <f>VLOOKUP(A137,'Production Plan'!B:F,5,FALSE)</f>
        <v>ESDH-løsningen skal understøtte, at Administrator kan definere unikke ID'er til Kundeoprettede felter, værdilister, tabeller og Entiteter.</v>
      </c>
      <c r="F137"/>
    </row>
    <row r="138" spans="1:6" hidden="1">
      <c r="A138" t="str">
        <f>'Production Plan'!B138</f>
        <v>K-9</v>
      </c>
      <c r="B138">
        <f>VLOOKUP(A138,'Production Plan'!B:T,16,FALSE)</f>
        <v>0</v>
      </c>
      <c r="C138" t="str">
        <f>VLOOKUP(A138,'Production Plan'!B:F,5,FALSE)</f>
        <v>ESDH-løsningen skal understøtte, at Kunden ved oprettelse af egne Kundeoprettede felter, værdilister og tabeller kan angive ID og navngivning i ét og samme oprettelsesbillede.</v>
      </c>
      <c r="F138"/>
    </row>
    <row r="139" spans="1:6" hidden="1">
      <c r="A139" t="str">
        <f>'Production Plan'!B139</f>
        <v>K-10</v>
      </c>
      <c r="B139">
        <f>VLOOKUP(A139,'Production Plan'!B:T,16,FALSE)</f>
        <v>0</v>
      </c>
      <c r="C139" t="str">
        <f>VLOOKUP(A139,'Production Plan'!B:F,5,FALSE)</f>
        <v>ESDH-løsningen skal understøtte, at en Administrator kan tilknytte fast metadata til journalplanen i form af adgangsgrupper og adgangsbegrænsning, når der vælges en foruddefineret journalplansværdi.</v>
      </c>
      <c r="F139"/>
    </row>
    <row r="140" spans="1:6" hidden="1">
      <c r="A140" t="str">
        <f>'Production Plan'!B140</f>
        <v>K-11</v>
      </c>
      <c r="B140">
        <f>VLOOKUP(A140,'Production Plan'!B:T,16,FALSE)</f>
        <v>0</v>
      </c>
      <c r="C140" t="str">
        <f>VLOOKUP(A140,'Production Plan'!B:F,5,FALSE)</f>
        <v>ESDH-løsningen skal understøtte, at Kundens Konfiguration af brugergrænsefladen kan eksporteres og importeres på tværs af Kundens it-miljøer (f.eks. fra et test- eller udviklingsmiljø til pre-produktions- og produktionsmiljøet).</v>
      </c>
      <c r="F140"/>
    </row>
    <row r="141" spans="1:6" hidden="1">
      <c r="A141" t="str">
        <f>'Production Plan'!B141</f>
        <v>K-12</v>
      </c>
      <c r="B141">
        <f>VLOOKUP(A141,'Production Plan'!B:T,16,FALSE)</f>
        <v>0</v>
      </c>
      <c r="C141" t="str">
        <f>VLOOKUP(A141,'Production Plan'!B:F,5,FALSE)</f>
        <v>ESDH-løsningen skal understøtte, at Kundens Konfiguration fra administratormodulet kan eksporteres og importeres på tværs af Kundens it-miljøer (f.eks. fra et test- eller udviklingsmiljø til pre-produktions- og produktionsmiljøet).</v>
      </c>
      <c r="F141"/>
    </row>
    <row r="142" spans="1:6" hidden="1">
      <c r="A142" t="str">
        <f>'Production Plan'!B142</f>
        <v>K-13</v>
      </c>
      <c r="B142">
        <f>VLOOKUP(A142,'Production Plan'!B:T,16,FALSE)</f>
        <v>0</v>
      </c>
      <c r="C142" t="str">
        <f>VLOOKUP(A142,'Production Plan'!B:F,5,FALSE)</f>
        <v>ESDH-løsningen skal understøtte, at Løsningens tilknyttede moduler kan administreres i Løsningens administratormodul i form af opsætning og vedligeholdelse.</v>
      </c>
      <c r="F142"/>
    </row>
    <row r="143" spans="1:6" hidden="1">
      <c r="A143" t="str">
        <f>'Production Plan'!B143</f>
        <v>K-14</v>
      </c>
      <c r="B143">
        <f>VLOOKUP(A143,'Production Plan'!B:T,16,FALSE)</f>
        <v>0</v>
      </c>
      <c r="C143" t="str">
        <f>VLOOKUP(A143,'Production Plan'!B:F,5,FALSE)</f>
        <v>ESDH-løsningen skal understøtte, at en Administrator kan opsætte visning af datoformatet i Løsningen.</v>
      </c>
      <c r="F143"/>
    </row>
    <row r="144" spans="1:6" hidden="1">
      <c r="A144" t="str">
        <f>'Production Plan'!B144</f>
        <v>EK-5</v>
      </c>
      <c r="B144">
        <f>VLOOKUP(A144,'Production Plan'!B:T,16,FALSE)</f>
        <v>0</v>
      </c>
      <c r="C144" t="str">
        <f>VLOOKUP(A144,'Production Plan'!B:F,5,FALSE)</f>
        <v>For at understøtte Kundens administration af ESDH-løsningen er det væsentligt, at Administrator kan administrere ESDH-løsningens standardfunktionalitet samt Kundeoprettede Entiteter via no-code.
Leverandøren skal beskrive, hvordan den tilbudte ESDH-løsning understøtter administration via administratormodul.
Leverandøren skal gennem konkrete skærmbilleder demonstrere om og hvordan ESDH-løsningen understøtter de stillede krav og møder Kundens behov.
Leverandøren skal redegøre for: 
Opbygningen af administratormodulet
Hvilke muligheder Administratoren har for at angive navngivning og unik kode i forbindelse med oprettelsen af f.eks. et metadatafelt 
Hvordan Administratorer kan vedligeholde og foretage ændringer samt tilføjelser i alle tabeller og værdilister
Hvordan Administratorer kan opsætte regler og valideringer
Hvordan Administratorer kan opsætte ikoner i ESDH-løsningen til brug i Konfiguration i ESDH-løsningens brugergrænseflade
Hvordan Administratorer kan oprette og vedligeholde Brugere og deres adgange via administratormodulet
Hvordan ESDH-løsningen administratormodul understøtter systembeskeder, der kan vises i brugergrænsefladen
Hvilke datafelter en Administrator kan oprette via administratormodulet
Hvordan Administrator kan oprette og vedligeholde journalplan via administratormodul
Hvordan Administrator kan lave nye sagstyper, dokumenttyper og kontakttyper i administratormodulet
Hvordan Administrator kan lave nye sagsparter, dokumentparter i administratormodulet
Hvordan en Administrator kan oprette egne krydsreferencer
Hvordan Administrator kan oprette og vedligeholde partsroller på sags- og dokumentniveau
Hvordan Administrator kan oprette og vedligeholde både standard noter og nye notetyper på sags-, dokument- og kontaktniveau
Evalueringskriterier:
Det vægtes positivt, i hvor høj grad administratormodulet er opbygget på en intuitiv og brugervenlig måde, hvor Administrator på en let, nem og ensartet måde kan udføre sine opgaver. 
Det vægtes positivt, i hvor høj grad Administratoren kan oprette, vedligeholde og foretage ændringer til alle Entiteter, tabeller og værdilister. 
Det vægtes positivt, i hvor høj grad der i administratormodulet kan oprettes flere datafelter f.eks. kodetabelfelter, datofelter, tekstfelter, talfelter og fritekstfelter.
Det vægtes positivt, i hvor høj grad der i administratormodulet kan oprettes nye sagstyper, dokumenttyper og kontakttyper samt egne Entiteter. 
Det vægtes positivt, i hvor høj grad der i administratormodulet kan oprettes nye sagsparter, dokumentparter samt, i hvor høj grad Administratoren kan omdøbe standardparter eller slette/deaktivere standardparter som ikke skal benyttes af Kunden. 
Det vægtes positivt, i hvor høj grad Administrator kan administrere opsætning af f.eks. journalplan/facetplan, valideringsregler, opsætning af forsendelseskanaler og krav hertil, godkendelsesprocesser samt general opsætning af ESDH-løsningen og dens moduler/funktioner.
Det vægtes positivt, i hvor høj grad Administrator kan oprette og administrere egne kontakthenvisninger og krydsreferencer mellem kontakter. 
Det vægtes positivt, i hvor høj grad ESDH-løsningen har standard-ikoner tilgængelig i administratormodulet.
Det vægtes positivt, i hvor høj grad ESDH-løsningen understøtter oprettelse og vedligeholdelse af standard-ikoner og Kundeoprettet ikoner.
Det vægtes positivt, i hvor høj grad ESDH-løsningen understøtter, at ikoner kan benyttes til validering, således at ikoner kan ændre sig ud fra metadata.
Det vægtes positivt, i hvor høj grad Administrator kan opsætte valideringsregler for, hvilke ikoner som skal benyttes for en sag, og at ikoner på sagen ændres ud fra sagens tilstand.</v>
      </c>
      <c r="F144"/>
    </row>
    <row r="145" spans="1:6" hidden="1">
      <c r="A145" t="str">
        <f>'Production Plan'!B145</f>
        <v>EK-6</v>
      </c>
      <c r="B145">
        <f>VLOOKUP(A145,'Production Plan'!B:T,16,FALSE)</f>
        <v>0</v>
      </c>
      <c r="C145" t="str">
        <f>VLOOKUP(A145,'Production Plan'!B:F,5,FALSE)</f>
        <v>Leverandøren skal beskrive, om og hvordan den tilbudte ESDH-løsning understøtter Konfiguration og udvidelse af Løsningens Datamodel/objektmodel via en administrativ brugergrænseflade.
Leverandøren skal redegøre for: 
Hvordan Administratorer kan tilføje og vedligeholde metadata på Løsningens standardentiteter, herunder Dokument, sag og kontakt
Hvordan Administratorer kan oprette nye Entiteter/objekttyper med tilhørende metadatafelter, felttyper, valideringsregler, klassifikationer og eventuelle statusmodeller
Hvordan der kan oprettes og vedligeholdes relationer mellem både standardentiteter og nye Entiteter
Hvordan nye Entiteter og metadata kan gøres tilgængelige i sagsbehandlerens brugergrænseflade gennem Konfiguration af skærmbilleder, formularer, visninger, søgning, lister og rettighedsstyring
Hvordan nye Entiteter, metadata og relationer eksponeres gennem Løsningens standard ESDH-integrations-API, herunder om API’et automatisk afspejler konfigurerede udvidelser, eller om dette kræver særskilt udvikling, tilpasning eller leverandørbistand
Hvordan ændringer i Datamodellen håndteres over tid, herunder versionering, migrering af eksisterende data, audit/logning, test og publicering mellem miljøer
Evalueringskriterier:
Det vægtes positivt, i hvor høj grad Løsningen understøtter, at en Administrator kan konfigurere og udvide Datamodel, metadata, relationer, brugergrænseflade og API-tilgængelighed uden kodeændringer, databaseændringer eller leverandørspecifik udvikling.
Det vægtes positivt, i hvor høj grad nye Entiteter, metadata og relationer indgår konsistent på tværs af sagsbehandlergrænseflade, søgninger, rettighedsstyring, audit, rapportering og standard ESDH-integrations-API.
Det vægtes positivt, i hvor høj grad udvidelser af Datamodellen ikke kræver specialudvikling herunder direkte databaseændringer, særskilte integrationskomponenter eller væsentlig leverandørbistand.</v>
      </c>
      <c r="F145"/>
    </row>
    <row r="146" spans="1:6" hidden="1">
      <c r="A146" t="str">
        <f>'Production Plan'!B146</f>
        <v>EK-7</v>
      </c>
      <c r="B146">
        <f>VLOOKUP(A146,'Production Plan'!B:T,16,FALSE)</f>
        <v>0</v>
      </c>
      <c r="C146" t="str">
        <f>VLOOKUP(A146,'Production Plan'!B:F,5,FALSE)</f>
        <v>Leverandøren skal beskrive, hvordan den tilbudte ESDH-løsning understøtter Konfiguration af brugergrænsefladen. 
Leverandøren skal gennem konkrete skærmbilleder demonstrere om og hvordan ESDH-løsningen understøtter de stillede krav og møder Kundens behov.
Leverandøren skal redegøre for: 
Hvordan Administrator kan konfigurere data på sager, Dokumenter og kontakter f.eks. metadata og faner. 
Hvordan Administrator kan navngive ESDH-løsningen standardfelter og egne konfigurerede faner på sager, Dokumenter, kontakter og kolonner 
Hvordan Brugeren kan konfigurere sine egne visninger f.eks. ved at påsætte kolonner og filtre
Hvordan en Administrator kan definere, hvilke metadata, både standardfelter og egne konfigurerede felter, som bliver vist på visningsbilleder, faner, kolonner og lister. 
Evalueringskriterier:
Det vægtes positivt, i hvor høj grad Administrator kan definere, hvilke data som bliver vist på visningsbilleder på ESDH-løsningens Entiteter og på faner, kolonner og lister.
Det vægtes positivt, i hvor høj grad Brugeren selv har mulighed for at tilpasse og opsætte egen visning i brugergrænsefladen.</v>
      </c>
      <c r="F146"/>
    </row>
    <row r="147" spans="1:6" hidden="1">
      <c r="A147" t="str">
        <f>'Production Plan'!B147</f>
        <v>EK-8</v>
      </c>
      <c r="B147">
        <f>VLOOKUP(A147,'Production Plan'!B:T,16,FALSE)</f>
        <v>0</v>
      </c>
      <c r="C147" t="str">
        <f>VLOOKUP(A147,'Production Plan'!B:F,5,FALSE)</f>
        <v>Kunden har behov for at registrere Afgørelser på sager i forbindelse med en ansøgning f.eks. familiesammenføring. 
Leverandøren skal beskrive, hvordan den tilbudte ESDH-løsning understøtter Konfiguration af Afgørelser. 
Leverandøren skal gennem konkrete skærmbilleder demonstrere om og hvordan ESDH-løsningen understøtter de stillede krav og møder Kundens behov.
Leverandøren skal redegøre for: 
Hvordan en Administrator kan oprette en Afgørelse som en Entitet i administratormodulet
Hvordan en Administrator opretter Kundeoprettede felter til afgørelsesentiteten med følgende metadata og relationer:
Metadata
Sagsnr.
Afgørelsesdato
Afgørelsesudfald 
Afgørelsesbegrundelse
Sagsområde f.eks. familiesammenføring
Ansvarligt team
Ansvarlig sagsbehandler 
Relationer til:
Afgørelsesdokument
Kontakt (ansøger)
Hvordan en Afgørelse skal registreres på en sag i brugergrænsefladen
Hvordan en Afgørelse som er registreret på en sag automatisk vises og relateres til kontakten i brugergrænsefladen
Hvordan en Afgørelse som er registreret på en sag automatisk vises og relateres til afgørelsesdokumentet
Evalueringskriterier:
Det vægtes positivt, i hvor høj grad metadata og relationer i afgørelsesmodulet kan oprettes i administratormodulet af Administrator.
Det vægtes positivt, i hvor høj grad en Afgørelse kan registreres og vises på en overskuelig måde for Brugeren på en sag i brugergrænsefladen.
Det vægtes positivt, i hvor høj grad en Afgørelse kan vises og udstilles på flere Entiteter i brugergrænsefladen. 
Det vægtes positivt, i hvor høj grad en Afgørelses relationer vises i brugergrænsefladen.
Det vægtes positivt, i hvor høj grad Brugeren kan se alle oplysninger om en Afgørelse i brugergrænsefladen ved mindst mulige klik.</v>
      </c>
      <c r="F147"/>
    </row>
    <row r="148" spans="1:6" hidden="1">
      <c r="A148" t="str">
        <f>'Production Plan'!B148</f>
        <v>MK-125</v>
      </c>
      <c r="B148">
        <f>VLOOKUP(A148,'Production Plan'!B:T,16,FALSE)</f>
        <v>0</v>
      </c>
      <c r="C148" t="str">
        <f>VLOOKUP(A148,'Production Plan'!B:F,5,FALSE)</f>
        <v>ESDH-løsningen skal understøtte, at der kan sættes adgangsrettigheder på sager, Dokumenter og kontakter.</v>
      </c>
      <c r="F148"/>
    </row>
    <row r="149" spans="1:6" hidden="1">
      <c r="A149" t="str">
        <f>'Production Plan'!B149</f>
        <v>MK-126</v>
      </c>
      <c r="B149">
        <f>VLOOKUP(A149,'Production Plan'!B:T,16,FALSE)</f>
        <v>0</v>
      </c>
      <c r="C149" t="str">
        <f>VLOOKUP(A149,'Production Plan'!B:F,5,FALSE)</f>
        <v>ESDH-løsningen skal understøtte, at rettigheder fra en sag kan nedarves til sagens tilknyttede Dokumenter og Filer.</v>
      </c>
      <c r="F149"/>
    </row>
    <row r="150" spans="1:6" hidden="1">
      <c r="A150" t="str">
        <f>'Production Plan'!B150</f>
        <v>MK-127</v>
      </c>
      <c r="B150">
        <f>VLOOKUP(A150,'Production Plan'!B:T,16,FALSE)</f>
        <v>0</v>
      </c>
      <c r="C150" t="str">
        <f>VLOOKUP(A150,'Production Plan'!B:F,5,FALSE)</f>
        <v>ESDH-løsningen skal understøtte, at adgangsrettigheden til Entiteter kan begrænses eller gøres fortrolig ad hoc af en Bruger, direkte i brugergrænsefladen.</v>
      </c>
      <c r="F150"/>
    </row>
    <row r="151" spans="1:6" hidden="1">
      <c r="A151" t="str">
        <f>'Production Plan'!B151</f>
        <v>MK-128</v>
      </c>
      <c r="B151">
        <f>VLOOKUP(A151,'Production Plan'!B:T,16,FALSE)</f>
        <v>0</v>
      </c>
      <c r="C151" t="str">
        <f>VLOOKUP(A151,'Production Plan'!B:F,5,FALSE)</f>
        <v>ESDH-løsningen skal understøtte differentierede adgangsrettigheder på alle standard og Kundeoprettede Entiteter, så der kan tildeles rettigheder til at: 
Læse
Skrive</v>
      </c>
      <c r="F151"/>
    </row>
    <row r="152" spans="1:6" hidden="1">
      <c r="A152" t="str">
        <f>'Production Plan'!B152</f>
        <v>MK-129</v>
      </c>
      <c r="B152">
        <f>VLOOKUP(A152,'Production Plan'!B:T,16,FALSE)</f>
        <v>0</v>
      </c>
      <c r="C152" t="str">
        <f>VLOOKUP(A152,'Production Plan'!B:F,5,FALSE)</f>
        <v>ESDH-løsningen skal understøtte, at det i brugergrænsefladen kan ses, hvilke Brugere eller adgangsgrupper, der har adgang til den konkrete sag, Dokument eller kontakt.</v>
      </c>
      <c r="F152"/>
    </row>
    <row r="153" spans="1:6" hidden="1">
      <c r="A153" t="str">
        <f>'Production Plan'!B153</f>
        <v>MK-130</v>
      </c>
      <c r="B153">
        <f>VLOOKUP(A153,'Production Plan'!B:T,16,FALSE)</f>
        <v>0</v>
      </c>
      <c r="C153" t="str">
        <f>VLOOKUP(A153,'Production Plan'!B:F,5,FALSE)</f>
        <v>ESDH-løsningen skal understøtte, at adgangen til kontakter kan begrænses, således at udvalgte kontakter kun kan tilgås af Brugere med de nødvendige adgangsrettigheder.</v>
      </c>
      <c r="F153"/>
    </row>
    <row r="154" spans="1:6" hidden="1">
      <c r="A154" t="str">
        <f>'Production Plan'!B154</f>
        <v>MK-131</v>
      </c>
      <c r="B154">
        <f>VLOOKUP(A154,'Production Plan'!B:T,16,FALSE)</f>
        <v>0</v>
      </c>
      <c r="C154" t="str">
        <f>VLOOKUP(A154,'Production Plan'!B:F,5,FALSE)</f>
        <v>ESDH-løsningen skal understøtte, at sager, Dokumenter og kontakter kan oprettes med en organisatorisk adgang, så Brugere fra flere Myndigheder kan tilgå disse.</v>
      </c>
      <c r="F154"/>
    </row>
    <row r="155" spans="1:6" hidden="1">
      <c r="A155" t="str">
        <f>'Production Plan'!B155</f>
        <v>MK-132</v>
      </c>
      <c r="B155">
        <f>VLOOKUP(A155,'Production Plan'!B:T,16,FALSE)</f>
        <v>0</v>
      </c>
      <c r="C155" t="str">
        <f>VLOOKUP(A155,'Production Plan'!B:F,5,FALSE)</f>
        <v>ESDH-løsningen skal understøtte, at Administratoren eller en anden udvalgt Bruger har adgang til alle Entiteter oprettet i databasen uagtet påsatte adgangsrettigheder.</v>
      </c>
      <c r="F155"/>
    </row>
    <row r="156" spans="1:6" hidden="1">
      <c r="A156" t="str">
        <f>'Production Plan'!B156</f>
        <v>MK-133</v>
      </c>
      <c r="B156">
        <f>VLOOKUP(A156,'Production Plan'!B:T,16,FALSE)</f>
        <v>433888</v>
      </c>
      <c r="C156" t="str">
        <f>VLOOKUP(A156,'Production Plan'!B:F,5,FALSE)</f>
        <v>ESDH-løsningen skal understøtte udstilling af sager, Dokumenter, kontakter, der tidligere er blevet adgangsbegrænset, men hvor ingen Aktive brugere længere har adgang til Entiteten. De adgangsbegrænsede Entiteter skal udstilles på en liste til Administratoren eller anden udvalgt Bruger.</v>
      </c>
      <c r="F156"/>
    </row>
    <row r="157" spans="1:6" hidden="1">
      <c r="A157" t="str">
        <f>'Production Plan'!B157</f>
        <v>MK-134</v>
      </c>
      <c r="B157">
        <f>VLOOKUP(A157,'Production Plan'!B:T,16,FALSE)</f>
        <v>0</v>
      </c>
      <c r="C157" t="str">
        <f>VLOOKUP(A157,'Production Plan'!B:F,5,FALSE)</f>
        <v>ESDH-løsningen skal understøtte, at der kan tildeles adgangsrettigheder til Kundeoprettede Entiteter.</v>
      </c>
      <c r="F157"/>
    </row>
    <row r="158" spans="1:6" hidden="1">
      <c r="A158" t="str">
        <f>'Production Plan'!B158</f>
        <v>MK-135</v>
      </c>
      <c r="B158">
        <f>VLOOKUP(A158,'Production Plan'!B:T,16,FALSE)</f>
        <v>0</v>
      </c>
      <c r="C158" t="str">
        <f>VLOOKUP(A158,'Production Plan'!B:F,5,FALSE)</f>
        <v>ESDH-løsningen skal understøtte, at en Bruger direkte i brugergrænsefladen kan begrænse adgangen til Kundeoprettede Entiteter ad hoc.</v>
      </c>
      <c r="F158"/>
    </row>
    <row r="159" spans="1:6" hidden="1">
      <c r="A159" t="str">
        <f>'Production Plan'!B159</f>
        <v>K-15</v>
      </c>
      <c r="B159">
        <f>VLOOKUP(A159,'Production Plan'!B:T,16,FALSE)</f>
        <v>0</v>
      </c>
      <c r="C159" t="str">
        <f>VLOOKUP(A159,'Production Plan'!B:F,5,FALSE)</f>
        <v>ESDH-løsningen skal understøtte, at adgang til Dokumenter og Bilag kan tildeles uafhængigt af adgang til den tilhørende sag. Brugere med adgang til et Dokument eller Bilag, men uden adgang til sagen, må ikke kunne tilgå eller se oplysninger om sagens øvrige indhold.</v>
      </c>
      <c r="F159"/>
    </row>
    <row r="160" spans="1:6" hidden="1">
      <c r="A160" t="str">
        <f>'Production Plan'!B160</f>
        <v>EK-9</v>
      </c>
      <c r="B160">
        <f>VLOOKUP(A160,'Production Plan'!B:T,16,FALSE)</f>
        <v>0</v>
      </c>
      <c r="C160" t="str">
        <f>VLOOKUP(A160,'Production Plan'!B:F,5,FALSE)</f>
        <v>ESDH-løsningen skal understøtte, at Brugere tildeles roller og rettigheder via AD-rettighedsgrupper. Rolle/rettighedsstrukturen skal sikre, at Brugeren kan udføre relevante og nødvendige opgaver, og at Brugeren har adgang til nødvendige Entiteter. 
Leverandøren skal beskrive, hvordan den tilbudte ESDH-løsning understøtter organisatoriske rolle/rettigheder. 
Leverandøren skal gennem konkrete skærmbilleder demonstrere om og hvordan ESDH-løsningen understøtter de stillede krav og møder Kundens behov.
Leverandøren skal redegøre for: 
Hvordan ESDH-løsningen understøtter flere Myndigheder i samme database
Hvordan ESDH-løsningen understøtter, at udvalgte Entiteter og tilhørende data kan deles på tværs af Myndigheder helt eller delvist
Hvordan ESDH-løsningen understøtter samarbejde på tværs af Myndigheder i samme database
Rolle/rettighedsstruktur i ESDH-løsningen og implementeringen af disse ved Brugerne
Evalueringskriterier:
Det vægtes positivt, i hvor høj grad ESDH-løsningen kan understøtte flere Myndigheder i samme database ved opsætning af organisatoriske niveauer.
Det vægtes positivt, i hvor høj grad ESDH-løsningen kan udstille og dele data fra Entiteter f.eks. at udvalgt metadata fra sagen (f.eks. sagsbehandler, status, team) kan ses på tværs af Myndigheder, selvom Brugeren ikke har adgang til at se den konkrete sags indhold. 
Det vægtes positivt, i hvor høj grad ESDH-løsningen på en let og intuitiv måde understøtter samarbejde på tværs af Myndigheder uden behov for ændringer i rolle/rettighedsstruktur.
Det vægtes positivt i hvor høj grad ESDH-løsningen understøtter Brugerens muligheder for at varetage opgaver uden manuelt skift af rolle.</v>
      </c>
      <c r="F160"/>
    </row>
    <row r="161" spans="1:6" hidden="1">
      <c r="A161" t="str">
        <f>'Production Plan'!B161</f>
        <v>EK-10</v>
      </c>
      <c r="B161">
        <f>VLOOKUP(A161,'Production Plan'!B:T,16,FALSE)</f>
        <v>0</v>
      </c>
      <c r="C161" t="str">
        <f>VLOOKUP(A161,'Production Plan'!B:F,5,FALSE)</f>
        <v>Da ESDH-løsningen automatisk skal logge brugerhandlinger i brugergrænsefladen, skal ESDH-løsningen understøtte en visuel udstilling af logningen i brugergrænsefladen. 
ESDH-løsningen skal understøtte en visuel udstilling af logningen, så det er synligt for sagsbehandlerne, hvem der har arbejdet på sagen, hvilke ændringer der er foretaget, og hvornår. Visningen skal dække proceshandlinger – eksempelvis når godkendelsesflow afsluttes, eller når en sag tildeles en specifik person eller lægges tilbage i en fælles pulje m.fl. – og skal for hver logget hændelse som minimum indeholde:
Præcis tidsstempling for tilføjelse, visning, ændring eller sletning.
Entydig identifikation af den Bruger, der har udført handlingen.
Det specifikke felt (inklusive Kundeoprettede felter) eller Dokument, handlingen vedrører.
Leverandøren skal beskrive, hvordan den tilbudte ESDH-løsning visuelt udstiller logning på sagsgang i brugergrænsefladen.
Leverandøren skal gennem konkrete skærmbilleder demonstrere om og hvordan ESDH-løsningen understøtter de stillede krav og møder Kundens behov.
Leverandøren skal redegøre for:
Hvordan ESDH-løsningen automatisk logger og visuelt udstiller sagsgangen og proceshandlinger direkte i brugergrænsefladen
Hvordan sagsbehandleren får et klart overblik over, hvem der har arbejdet på sagen, hvilke ændringer der er foretaget, og hvornår
Hvordan Løsningen sikrer visning af de krævede minimumsoplysninger for hver logget hændelse: præcis tidsstempling (ved tilføjelse, visning, ændring eller sletning), entydig brugeridentifikation og det specifikke felt (inklusive Kundeoprettede felter) eller Dokument
Hvordan Løsningen logger og viser specifikke proceshandlinger, herunder når et godkendelsesflow afsluttes, når en sag tildeles en specifik person, eller når en sag lægges tilbage i en fælles pulje
Evalueringskriterier:
Det vægtes positivt, i hvor høj grad logningen af brugerhandlinger præsenteres intuitivt og grafisk (f.eks. som en tidslinje) i brugergrænsefladen, så sagsbehandleren hurtigt kan afkode sagens historik uden tung tekstlæsning.
Det vægtes positivt, at den filtrerede eller fulde loghistorik nemt kan eksporteres direkte fra brugergrænsefladen til standardformater (f.eks. Excel eller PDF) til brug ved aktindsigter eller ledelsestilsyn.
Det vægtes positivt, i hvor høj grad logning af noter fremgår i brugergrænsefladen med følgende oplysninger: oprettelsesdato, forfatter, redigeringsdato og hvilken Bruger, der har redigeret noten.</v>
      </c>
      <c r="F161"/>
    </row>
    <row r="162" spans="1:6" hidden="1">
      <c r="A162" t="str">
        <f>'Production Plan'!B162</f>
        <v>MK-136</v>
      </c>
      <c r="B162">
        <f>VLOOKUP(A162,'Production Plan'!B:T,16,FALSE)</f>
        <v>0</v>
      </c>
      <c r="C162" t="str">
        <f>VLOOKUP(A162,'Production Plan'!B:F,5,FALSE)</f>
        <v>ESDH-løsningen skal understøtte, at data skal kunne tilgås og udtrækkes udenom leverandørspecifikke værktøjer, således at fremtidig migrering til en anden platform kan gennemføres med begrænset kompleksitet og uden tab af data.</v>
      </c>
      <c r="F162"/>
    </row>
    <row r="163" spans="1:6" hidden="1">
      <c r="A163" t="str">
        <f>'Production Plan'!B163</f>
        <v>MK-137</v>
      </c>
      <c r="B163">
        <f>VLOOKUP(A163,'Production Plan'!B:T,16,FALSE)</f>
        <v>0</v>
      </c>
      <c r="C163" t="str">
        <f>VLOOKUP(A163,'Production Plan'!B:F,5,FALSE)</f>
        <v>Leverandøren skal have integration til Microsoft Office applikationerne: Word, Excel og PowerPoint.</v>
      </c>
      <c r="F163"/>
    </row>
    <row r="164" spans="1:6" hidden="1">
      <c r="A164" t="str">
        <f>'Production Plan'!B164</f>
        <v>MK-138</v>
      </c>
      <c r="B164">
        <f>VLOOKUP(A164,'Production Plan'!B:T,16,FALSE)</f>
        <v>0</v>
      </c>
      <c r="C164" t="str">
        <f>VLOOKUP(A164,'Production Plan'!B:F,5,FALSE)</f>
        <v>ESDH-løsningen skal understøtte Standardintegration til Microsoft PowerPoint, Word og Excel, så Filer kan oprettes, redigeres og journaliseres direkte fra Microsoft PowerPoint, Word og Excel.</v>
      </c>
      <c r="F164"/>
    </row>
    <row r="165" spans="1:6" hidden="1">
      <c r="A165" t="str">
        <f>'Production Plan'!B165</f>
        <v>MK-139</v>
      </c>
      <c r="B165">
        <f>VLOOKUP(A165,'Production Plan'!B:T,16,FALSE)</f>
        <v>0</v>
      </c>
      <c r="C165" t="str">
        <f>VLOOKUP(A165,'Production Plan'!B:F,5,FALSE)</f>
        <v>ESDH-løsningen skal understøtte, at en Fil kan journaliseres på en ny eller eksisterende sag direkte fra Word, Excel og PowerPoint.</v>
      </c>
      <c r="F165"/>
    </row>
    <row r="166" spans="1:6" hidden="1">
      <c r="A166" t="str">
        <f>'Production Plan'!B166</f>
        <v>MK-140</v>
      </c>
      <c r="B166">
        <f>VLOOKUP(A166,'Production Plan'!B:T,16,FALSE)</f>
        <v>0</v>
      </c>
      <c r="C166" t="str">
        <f>VLOOKUP(A166,'Production Plan'!B:F,5,FALSE)</f>
        <v>ESDH-løsningen skal understøtte, at Filer kan oprettes baseret på dokumentskabeloner i ESDH-løsningen med brug af flettefelter fra ESDH-løsningen.</v>
      </c>
      <c r="F166"/>
    </row>
    <row r="167" spans="1:6" hidden="1">
      <c r="A167" t="str">
        <f>'Production Plan'!B167</f>
        <v>MK-141</v>
      </c>
      <c r="B167">
        <f>VLOOKUP(A167,'Production Plan'!B:T,16,FALSE)</f>
        <v>0</v>
      </c>
      <c r="C167" t="str">
        <f>VLOOKUP(A167,'Production Plan'!B:F,5,FALSE)</f>
        <v>ESDH-løsningen skal understøtte, at dokumentskabeloner kan vedligeholdes af Kunden.</v>
      </c>
      <c r="F167"/>
    </row>
    <row r="168" spans="1:6" hidden="1">
      <c r="A168" t="str">
        <f>'Production Plan'!B168</f>
        <v>MK-142</v>
      </c>
      <c r="B168">
        <f>VLOOKUP(A168,'Production Plan'!B:T,16,FALSE)</f>
        <v>0</v>
      </c>
      <c r="C168" t="str">
        <f>VLOOKUP(A168,'Production Plan'!B:F,5,FALSE)</f>
        <v>Integrationen skal understøtte, at Brugere har mulighed for, at registrere Kundeoprettede felter i forbindelse med journalisering i Word, Excel og PowerPoint.</v>
      </c>
      <c r="F168"/>
    </row>
    <row r="169" spans="1:6" hidden="1">
      <c r="A169" t="str">
        <f>'Production Plan'!B169</f>
        <v>K-16</v>
      </c>
      <c r="B169">
        <f>VLOOKUP(A169,'Production Plan'!B:T,16,FALSE)</f>
        <v>433889</v>
      </c>
      <c r="C169" t="str">
        <f>VLOOKUP(A169,'Production Plan'!B:F,5,FALSE)</f>
        <v>ESDH-løsningen skal understøtte integration til andre leverandører af office-pakker end Microsoft Office, som tilbyder samme services som kravstillet til standardsoftware, f.eks. opensource office pakken LibreOffice, som kan afvikles på Statens IT’s SIA pc.</v>
      </c>
      <c r="F169"/>
    </row>
    <row r="170" spans="1:6" hidden="1">
      <c r="A170" t="str">
        <f>'Production Plan'!B170</f>
        <v>MK-143</v>
      </c>
      <c r="B170">
        <f>VLOOKUP(A170,'Production Plan'!B:T,16,FALSE)</f>
        <v>0</v>
      </c>
      <c r="C170" t="str">
        <f>VLOOKUP(A170,'Production Plan'!B:F,5,FALSE)</f>
        <v>ESDH-løsningen skal have integration til Outlook via et plugin, som muliggør, at e-mails kan journaliseres direkte i ESDH-løsningen fra Outlook.</v>
      </c>
      <c r="F170"/>
    </row>
    <row r="171" spans="1:6" hidden="1">
      <c r="A171" t="str">
        <f>'Production Plan'!B171</f>
        <v>MK-144</v>
      </c>
      <c r="B171">
        <f>VLOOKUP(A171,'Production Plan'!B:T,16,FALSE)</f>
        <v>0</v>
      </c>
      <c r="C171" t="str">
        <f>VLOOKUP(A171,'Production Plan'!B:F,5,FALSE)</f>
        <v>ESDH-løsningen skal understøtte, at en e-mail samt dens afsendelseshistorik, herunder modtagere og afsendelsesdato kan journaliseres fra Outlook.</v>
      </c>
      <c r="F171"/>
    </row>
    <row r="172" spans="1:6" hidden="1">
      <c r="A172" t="str">
        <f>'Production Plan'!B172</f>
        <v>MK-145</v>
      </c>
      <c r="B172">
        <f>VLOOKUP(A172,'Production Plan'!B:T,16,FALSE)</f>
        <v>433890</v>
      </c>
      <c r="C172" t="str">
        <f>VLOOKUP(A172,'Production Plan'!B:F,5,FALSE)</f>
        <v>ESDH-løsningen skal understøtte, at det fremgår visuelt i Outlook-mapper, på hvilken sag og hvornår en e-mail er blevet journaliseret i ESDH-løsningen.</v>
      </c>
      <c r="F172"/>
    </row>
    <row r="173" spans="1:6" hidden="1">
      <c r="A173" t="str">
        <f>'Production Plan'!B173</f>
        <v>MK-146</v>
      </c>
      <c r="B173">
        <f>VLOOKUP(A173,'Production Plan'!B:T,16,FALSE)</f>
        <v>0</v>
      </c>
      <c r="C173" t="str">
        <f>VLOOKUP(A173,'Production Plan'!B:F,5,FALSE)</f>
        <v>ESDH-løsningen skal understøtte, at en e-mail, der initieres fra ESDH-løsningen, automatisk kan journaliseres på den tilknyttede sag ved afsendelse.</v>
      </c>
      <c r="F173"/>
    </row>
    <row r="174" spans="1:6" hidden="1">
      <c r="A174" t="str">
        <f>'Production Plan'!B174</f>
        <v>MK-147</v>
      </c>
      <c r="B174">
        <f>VLOOKUP(A174,'Production Plan'!B:T,16,FALSE)</f>
        <v>0</v>
      </c>
      <c r="C174" t="str">
        <f>VLOOKUP(A174,'Production Plan'!B:F,5,FALSE)</f>
        <v>ESDH-løsningen skal understøtte, at Brugeren ved journalisering af en e-mail kan fravælge enten selve Hoveddokumentet eller flere af de vedhæftede Bilag.</v>
      </c>
      <c r="F174"/>
    </row>
    <row r="175" spans="1:6" hidden="1">
      <c r="A175" t="str">
        <f>'Production Plan'!B175</f>
        <v>MK-148</v>
      </c>
      <c r="B175">
        <f>VLOOKUP(A175,'Production Plan'!B:T,16,FALSE)</f>
        <v>0</v>
      </c>
      <c r="C175" t="str">
        <f>VLOOKUP(A175,'Production Plan'!B:F,5,FALSE)</f>
        <v>ESDH-løsningen skal understøtte en indbakkesag, som afspejler Kundens funktionspostkasser fra Outlook. Brugeren skal kunne anvende indbakkesagen til at journalisere fra til relevante sager.</v>
      </c>
      <c r="F175"/>
    </row>
    <row r="176" spans="1:6" hidden="1">
      <c r="A176" t="str">
        <f>'Production Plan'!B176</f>
        <v>K-17</v>
      </c>
      <c r="B176">
        <f>VLOOKUP(A176,'Production Plan'!B:T,16,FALSE)</f>
        <v>433891</v>
      </c>
      <c r="C176" t="str">
        <f>VLOOKUP(A176,'Production Plan'!B:F,5,FALSE)</f>
        <v>ESDH-løsningen skal understøtte integration til andre leverandører af e-mail klienter, som tilbyder samme services som kravstillet til standardsoftware, f.eks. Evolution mailklient, som kan afvikles på Statens IT’s SIA pc.</v>
      </c>
      <c r="F176"/>
    </row>
    <row r="177" spans="1:6" hidden="1">
      <c r="A177" t="str">
        <f>'Production Plan'!B177</f>
        <v>EK-11</v>
      </c>
      <c r="B177">
        <f>VLOOKUP(A177,'Production Plan'!B:T,16,FALSE)</f>
        <v>0</v>
      </c>
      <c r="C177" t="str">
        <f>VLOOKUP(A177,'Production Plan'!B:F,5,FALSE)</f>
        <v>ESDH-løsningen skal understøtte en effektiv og brugervenlig integration med Outlook, som understøtter sammenhængende arbejdsgange og nem journalisering af e-mails og Dokumenter.
Leverandøren skal beskrive, hvordan den tilbudte ESDH-løsning integrerer med Outlook. 
Leverandøren skal gennem konkrete skærmbilleder demonstrere om og hvordan ESDH-løsningen understøtter de stillede krav og møder Kundens behov.
Leverandøren skal redegøre for: 
Hvordan integrationen mellem ESDH-løsningen og Outlook understøtter en effektiv opgavehåndtering, herunder håndtering af e-mails, Dokumenter og journalisering direkte fra Outlook.
Evalueringskriterier:
Det vægtes positivt, i hvor høj grad Outlook integrationen understøtter, at Brugere direkte fra e-mailklienten kan oprette en ny sag og journalisere den modtagne eller afsendte e-mail samt tilhørende Bilag på sagen i én sammenhængende arbejdsgang.
Det vægtes positivt, hvor nemt og effektivt det er for Brugeren at vælge, om e-mail og tilhørende Bilag kan journaliseres som selvstændige Filer i Løsningen eller kan fravælge e-mail eller konkrete tilhørende Bilag.
Det vægtes positivt, at Løsningen understøtter en nem og effektiv journalisering fra fællespostkasser i Outlook.
Det vægtes positivt, i hvor høj grad Løsningen understøtter brugervenlig og intuitiv journalisering af e-mails på sager, f.eks. mulighed for søgning på relevante sager eller navigation direkte til sagen ved journalisering af e-mails.
Det vægter positivt, i hvor høj grad Løsningen understøtter journalisering af afsendte e-mails, der initieres direkte fra ESDH-løsningen, med færrest mulige kommandoer og uden behov for manuel metadataregistrering.
Det vægter positivt, i hvor høj grad Løsningen understøtter hurtig og nem afsendelse af en eller flere Filer direkte via Outlook, hvor Brugeren kan vælge imellem afsendelse i original version eller som PDF-version.
Det vægtes positivt, at ESDH-løsningen understøtter, at en e-mail fra en sag i ESDH-løsningen kan åbnes i Outlook uden download af e-mailen til Brugerens pc. 
Det vægtes positivt, i hvor høj grad registreringsmetoden og dataregistreringen er ens, uanset om en e-mail journaliseres direkte i ESDH-løsningens browsergrænseflade eller via Outlook-plugin.</v>
      </c>
      <c r="F177"/>
    </row>
    <row r="178" spans="1:6" hidden="1">
      <c r="A178" t="str">
        <f>'Production Plan'!B178</f>
        <v>MK-149</v>
      </c>
      <c r="B178">
        <f>VLOOKUP(A178,'Production Plan'!B:T,16,FALSE)</f>
        <v>0</v>
      </c>
      <c r="C178" t="str">
        <f>VLOOKUP(A178,'Production Plan'!B:F,5,FALSE)</f>
        <v>ESDH-løsningen skal understøtte modtagelse og tilknytning af Filer, der er digitaliseret fra papirformat via en f.eks. Tungsten Automation eller en tilsvarende løsning.
Det skal være muligt automatisk eller manuelt at knytte de indscannede Filer til relevante Entiteter med tilhørende metadata om oprindelse, modtagelsestidspunkt og eventuelle klassifikationsoplysninger.</v>
      </c>
      <c r="F178"/>
    </row>
    <row r="179" spans="1:6" hidden="1">
      <c r="A179" t="str">
        <f>'Production Plan'!B179</f>
        <v>MK-150</v>
      </c>
      <c r="B179">
        <f>VLOOKUP(A179,'Production Plan'!B:T,16,FALSE)</f>
        <v>0</v>
      </c>
      <c r="C179" t="str">
        <f>VLOOKUP(A179,'Production Plan'!B:F,5,FALSE)</f>
        <v>Scanningsløsningen skal kunne benyttes på følgende fysiske skannere: 
Kodak Legal Size Flatbed Accessory 
KODAK I4650
RICOH fi-7600</v>
      </c>
      <c r="F179"/>
    </row>
    <row r="180" spans="1:6" hidden="1">
      <c r="A180" t="str">
        <f>'Production Plan'!B180</f>
        <v>MK-151</v>
      </c>
      <c r="B180">
        <f>VLOOKUP(A180,'Production Plan'!B:T,16,FALSE)</f>
        <v>0</v>
      </c>
      <c r="C180" t="str">
        <f>VLOOKUP(A180,'Production Plan'!B:F,5,FALSE)</f>
        <v>De skannede Dokumenter skal ende i en ”skanningsindbakke” i ESDH-løsningen, hvor man kan modtage skannede Dokumenter til en afdeling, team eller til enkeltpersoner. Scannede Dokumenter til enkeltpersoner skal også kunne ses af afdelingen/teamet.</v>
      </c>
      <c r="F180"/>
    </row>
    <row r="181" spans="1:6" hidden="1">
      <c r="A181" t="str">
        <f>'Production Plan'!B181</f>
        <v>MK-152</v>
      </c>
      <c r="B181">
        <f>VLOOKUP(A181,'Production Plan'!B:T,16,FALSE)</f>
        <v>0</v>
      </c>
      <c r="C181" t="str">
        <f>VLOOKUP(A181,'Production Plan'!B:F,5,FALSE)</f>
        <v>Det skal være muligt at præjournalisere skannet post i ESDH-løsningen. Løsningen skal understøtte, at en Bruger kan angive en afsender og dokumenttitel i den præjournaliserede post.</v>
      </c>
      <c r="F181"/>
    </row>
    <row r="182" spans="1:6" hidden="1">
      <c r="A182" t="str">
        <f>'Production Plan'!B182</f>
        <v>MK-153</v>
      </c>
      <c r="B182">
        <f>VLOOKUP(A182,'Production Plan'!B:T,16,FALSE)</f>
        <v>0</v>
      </c>
      <c r="C182" t="str">
        <f>VLOOKUP(A182,'Production Plan'!B:F,5,FALSE)</f>
        <v>Dokumenterne skal sorteres og skannes med eksempelvis skilleark eller lignende løsning, som sikrer at Dokumenterne ender hos den rigtige person/afdeling/team i ESDH-løsningen.</v>
      </c>
      <c r="F182"/>
    </row>
    <row r="183" spans="1:6" hidden="1">
      <c r="A183" t="str">
        <f>'Production Plan'!B183</f>
        <v>MK-154</v>
      </c>
      <c r="B183">
        <f>VLOOKUP(A183,'Production Plan'!B:T,16,FALSE)</f>
        <v>0</v>
      </c>
      <c r="C183" t="str">
        <f>VLOOKUP(A183,'Production Plan'!B:F,5,FALSE)</f>
        <v>ESDH-løsningen skal understøtte, at en Bruger kan videresende/omfordele indscannet post til en anden afdeling eller en anden person.</v>
      </c>
      <c r="F183"/>
    </row>
    <row r="184" spans="1:6" hidden="1">
      <c r="A184" t="str">
        <f>'Production Plan'!B184</f>
        <v>MK-155</v>
      </c>
      <c r="B184">
        <f>VLOOKUP(A184,'Production Plan'!B:T,16,FALSE)</f>
        <v>0</v>
      </c>
      <c r="C184" t="str">
        <f>VLOOKUP(A184,'Production Plan'!B:F,5,FALSE)</f>
        <v>ESDH-løsningen skal understøtte oprettelse af Filer med flettefelter, således at relevante oplysninger fra en sag automatisk kan indsættes i en Fil.</v>
      </c>
      <c r="F184"/>
    </row>
    <row r="185" spans="1:6" hidden="1">
      <c r="A185" t="str">
        <f>'Production Plan'!B185</f>
        <v>MK-156</v>
      </c>
      <c r="B185">
        <f>VLOOKUP(A185,'Production Plan'!B:T,16,FALSE)</f>
        <v>0</v>
      </c>
      <c r="C185" t="str">
        <f>VLOOKUP(A185,'Production Plan'!B:F,5,FALSE)</f>
        <v>ESDH-løsningen skal understøtte, at Filer kan tilknyttes et Dokument med relevante metadata: dokumenttitel, dokumenttype, dokumentdato, dokumentstatus, dokumentkategori, modtager, klassifikation, oprettelsestidspunkt, sagsnummer, relation til sag, ansvarlig sagsbehandler og ansvarlig enhed.</v>
      </c>
      <c r="F185"/>
    </row>
    <row r="186" spans="1:6" hidden="1">
      <c r="A186" t="str">
        <f>'Production Plan'!B186</f>
        <v>MK-157</v>
      </c>
      <c r="B186">
        <f>VLOOKUP(A186,'Production Plan'!B:T,16,FALSE)</f>
        <v>0</v>
      </c>
      <c r="C186" t="str">
        <f>VLOOKUP(A186,'Production Plan'!B:F,5,FALSE)</f>
        <v>ESDH-løsningen skal have integration til Digital Post, herunder komplet parameteropsætning af afsendersystem, Myndighedsprofil, afsendertype og postkasser med mulighed for at konfigurere én eller flere forsendelseskanaler pr. organisatorisk enhed. Integrationen skal være tovejs. 
Løsningen skal muliggøre afsendelse af Digital Post direkte fra Løsningen, og indgående besvarelser skal automatisk kunne journaliseres på den sag, som henvendelsen oprindeligt blev modtaget på. Både udgående og indgående forsendelser skal journaliseres automatisk på sagen som en fuldt integreret del af arbejdsprocessen.</v>
      </c>
      <c r="F186"/>
    </row>
    <row r="187" spans="1:6" hidden="1">
      <c r="A187" t="str">
        <f>'Production Plan'!B187</f>
        <v>MK-158</v>
      </c>
      <c r="B187">
        <f>VLOOKUP(A187,'Production Plan'!B:T,16,FALSE)</f>
        <v>0</v>
      </c>
      <c r="C187" t="str">
        <f>VLOOKUP(A187,'Production Plan'!B:F,5,FALSE)</f>
        <v>ESDH-løsningen skal have integration til CPR-registeret, for at sikre import af CPR-kontakter via onlineopslag og batchkørsler.</v>
      </c>
      <c r="F187"/>
    </row>
    <row r="188" spans="1:6" hidden="1">
      <c r="A188" t="str">
        <f>'Production Plan'!B188</f>
        <v>MK-159</v>
      </c>
      <c r="B188">
        <f>VLOOKUP(A188,'Production Plan'!B:T,16,FALSE)</f>
        <v>0</v>
      </c>
      <c r="C188" t="str">
        <f>VLOOKUP(A188,'Production Plan'!B:F,5,FALSE)</f>
        <v>ESDH-løsningen skal have integration til CVR, for at sikre import af CVR-kontakter via onlineopslag og batchkørsler.</v>
      </c>
      <c r="F188"/>
    </row>
    <row r="189" spans="1:6" hidden="1">
      <c r="A189" t="str">
        <f>'Production Plan'!B189</f>
        <v>MK-160</v>
      </c>
      <c r="B189">
        <f>VLOOKUP(A189,'Production Plan'!B:T,16,FALSE)</f>
        <v>0</v>
      </c>
      <c r="C189" t="str">
        <f>VLOOKUP(A189,'Production Plan'!B:F,5,FALSE)</f>
        <v>Løsningen skal understøtte udlæsning af data, logs og metadata til analytiske formål, herunder til Kundens analyse-, rapporterings- og dataplatforme. Løsningen skal understøtte både fulde og inkrementelle udtræk baseret på ændrede eller nyoprettede data. Det skal være muligt at identificere nye, ændrede og slettede data siden sidste udtræk.
Dataadgangen skal være baseret på åben arkitektur og anvende dokumenterede, standardiserede og ikke-proprietærer grænseflader, så Kunden kan foretage udtræk uden afhængighed til leverandørspecifikke værktøjer, lukkede formater eller operationelle integrationskomponenter.
Leverandøren skal dokumentere de understøttede udtræksmetoder, Datamodeller, relevante metadata samt eventuelle begrænsninger i forhold til anvendelse af data til analytiske formål.</v>
      </c>
      <c r="F189"/>
    </row>
    <row r="190" spans="1:6" hidden="1">
      <c r="A190" t="str">
        <f>'Production Plan'!B190</f>
        <v>MK-161</v>
      </c>
      <c r="B190">
        <f>VLOOKUP(A190,'Production Plan'!B:T,16,FALSE)</f>
        <v>0</v>
      </c>
      <c r="C190" t="str">
        <f>VLOOKUP(A190,'Production Plan'!B:F,5,FALSE)</f>
        <v>ESDH-løsningen skal have integration til Dynamics Template fra Omnidocs.</v>
      </c>
      <c r="F190"/>
    </row>
    <row r="191" spans="1:6" hidden="1">
      <c r="A191" t="str">
        <f>'Production Plan'!B191</f>
        <v>EK-12</v>
      </c>
      <c r="B191">
        <f>VLOOKUP(A191,'Production Plan'!B:T,16,FALSE)</f>
        <v>435258</v>
      </c>
      <c r="C191" t="str">
        <f>VLOOKUP(A191,'Production Plan'!B:F,5,FALSE)</f>
        <v>ESDH-løsningen skal, i forbindelse med Kundens behov for integration, automatisering og genbrug af ESDH-løsningens funktionalitet i det samlede systemlandskab, understøtte at Løsningen centrale funktioner kan tilgås via standardiserede API’er både envejs- og tovejsintegrationer.
Leverandøren skal beskrive, hvordan 3
Hvordan og i hvilket omfang ESDH-løsningens funktionalitet kan tilgås, anvendes og automatiseres via Løsningens standard API’er
Hvordan Leverandørens API-dækningsmatrix illustrerer sammenhængen mellem Løsningens centrale brugerfunktioner, standardentiteter, Kundeoprettede Entiteter og de tilhørende API-operationer
Hvilke standardentiteter der kan oprettes, læses, opdateres, slettes og fremsøges via standard API.
Hvordan metadatafelter på standardentiteter kan læses, valideres og opdateres via standard API.
Hvordan API’et er dokumenteret, versionsstyret og supporteret
Hvordan Kundeoprettede Entiteter, metadata og relationer eksponeres via standard API.
I hvilket omfang API’et understøtter de samme forretningsfunktioner, arbejdsgange, statusskift, dokumenthåndtering, 
Standardintegrationer, adgangsstyring og valideringer som Løsningens brugergrænseflade
Om API’et anvender samme forretningsregler, valideringer, rettighedsmodel, auditlogning og sikkerhedsmodel som brugergrænsefladen
Om der findes standardmekanismer til hændelser/events, notifikationer, webhooks eller lignende, så integrationer kan reagere på ændringer i sager, Dokumenter, kontakter, metadata og øvrige Entiteter
Evalueringskriterier:
Det vægtes positivt, i hvor høj grad Løsningen udstiller et veldokumenteret, versionsstyret og supporteret standard API, der giver mulighed for at automatisere de samme forretningsfunktioner, som kan udføres via Løsningens brugergrænseflade og standardfunktionalitet.
Det vægtes positivt, i hvor høj grad standard API’et understøtter fuld CRUD-funktionalitet for Løsningens centrale standardentiteter, herunder: 
Sager
Dokumenter
Kontakter/parter
Opgaver/aktiviteter, hvis disse indgår som standardentiteter i Løsningen
Metadatafelter på ovenstående Entiteter
Relationer mellem standardentiteter
Det vægtes positivt, i hvor høj grad API’et også understøtter Kundens Kundeoprettede Entiteter, metadatafelter, relationer, regler og funktioner, således at Entiteter og funktioner, der oprettes eller konfigureres i Løsningen, automatisk eller konfigurationsbaseret kan anvendes via standard API uden særskilt specialudvikling.</v>
      </c>
      <c r="F191"/>
    </row>
    <row r="192" spans="1:6" hidden="1">
      <c r="A192" t="str">
        <f>'Production Plan'!B192</f>
        <v>MK-162</v>
      </c>
      <c r="B192">
        <f>VLOOKUP(A192,'Production Plan'!B:T,16,FALSE)</f>
        <v>0</v>
      </c>
      <c r="C192" t="str">
        <f>VLOOKUP(A192,'Production Plan'!B:F,5,FALSE)</f>
        <v>ESDH-løsningen skal have integration til Active Directory, som er Kundens identitets- og adgangsstyring driftet hos Kundens driftsleverandør, herunder Active Directory og/eller Entra ID, med henblik på Single Sign-On (SSO) via standardprotokoller som SAML 2.0 og/eller OpenID Connect/OAuth 2.0.
AD er placeret i Kundens ressourcedomæne hos driftsleverandøren jf. figur 8 i Bilag 1. d Kundens målarkitektur for fremtidige ESDH-løsning.
ESDH-løsningen skal understøtte automatisk eller regelbaseret oprettelse, opdatering, deaktivering og nedlæggelse af Brugere på baggrund af oplysninger fra Kundens identitetsplatform.</v>
      </c>
      <c r="F192"/>
    </row>
    <row r="193" spans="1:6" hidden="1">
      <c r="A193" t="str">
        <f>'Production Plan'!B193</f>
        <v>MK-163</v>
      </c>
      <c r="B193">
        <f>VLOOKUP(A193,'Production Plan'!B:T,16,FALSE)</f>
        <v>0</v>
      </c>
      <c r="C193" t="str">
        <f>VLOOKUP(A193,'Production Plan'!B:F,5,FALSE)</f>
        <v>ESDH-løsningen skal understøtte, at Kunden via administratormodulet har mulighed for at administrere rettigheder, som ligger udover Active Directorys sikkerhed- og rettighedsstyring.</v>
      </c>
      <c r="F193"/>
    </row>
    <row r="194" spans="1:6" hidden="1">
      <c r="A194" t="str">
        <f>'Production Plan'!B194</f>
        <v>MK-164</v>
      </c>
      <c r="B194">
        <f>VLOOKUP(A194,'Production Plan'!B:T,16,FALSE)</f>
        <v>0</v>
      </c>
      <c r="C194" t="str">
        <f>VLOOKUP(A194,'Production Plan'!B:F,5,FALSE)</f>
        <v>ESDH-løsningen skal understøtte, at alle nødvendige parametre kan anvendes til opsætning og Konfiguration af Digital Post, f.eks. afsendersystem, Myndighedsprofil og afsendertype.</v>
      </c>
      <c r="F194"/>
    </row>
    <row r="195" spans="1:6" hidden="1">
      <c r="A195" t="str">
        <f>'Production Plan'!B195</f>
        <v>MK-165</v>
      </c>
      <c r="B195">
        <f>VLOOKUP(A195,'Production Plan'!B:T,16,FALSE)</f>
        <v>0</v>
      </c>
      <c r="C195" t="str">
        <f>VLOOKUP(A195,'Production Plan'!B:F,5,FALSE)</f>
        <v>ESDH-løsningen skal understøtte, at alle nødvendige parametre kan anvendes til opsætning og Konfiguration af fjernprint.</v>
      </c>
      <c r="F195"/>
    </row>
    <row r="196" spans="1:6" hidden="1">
      <c r="A196" t="str">
        <f>'Production Plan'!B196</f>
        <v>MK-166</v>
      </c>
      <c r="B196">
        <f>VLOOKUP(A196,'Production Plan'!B:T,16,FALSE)</f>
        <v>0</v>
      </c>
      <c r="C196" t="str">
        <f>VLOOKUP(A196,'Production Plan'!B:F,5,FALSE)</f>
        <v>ESDH-løsningen skal understøtte afsendelse af Digital Post direkte fra ESDH-løsningens brugergrænseflade, og at afsendelsen journaliseres som en del af samme proces.</v>
      </c>
      <c r="F196"/>
    </row>
    <row r="197" spans="1:6" hidden="1">
      <c r="A197" t="str">
        <f>'Production Plan'!B197</f>
        <v>MK-167</v>
      </c>
      <c r="B197">
        <f>VLOOKUP(A197,'Production Plan'!B:T,16,FALSE)</f>
        <v>0</v>
      </c>
      <c r="C197" t="str">
        <f>VLOOKUP(A197,'Production Plan'!B:F,5,FALSE)</f>
        <v>ESDH-løsningen skal understøtte afsendelse af fysisk post direkte fra ESDH-løsningen, og at afsendelsen journaliseres som en del af samme proces.</v>
      </c>
      <c r="F197"/>
    </row>
    <row r="198" spans="1:6" hidden="1">
      <c r="A198" t="str">
        <f>'Production Plan'!B198</f>
        <v>MK-168</v>
      </c>
      <c r="B198">
        <f>VLOOKUP(A198,'Production Plan'!B:T,16,FALSE)</f>
        <v>0</v>
      </c>
      <c r="C198" t="str">
        <f>VLOOKUP(A198,'Production Plan'!B:F,5,FALSE)</f>
        <v>ESDH-løsningen skal understøtte en automatiseret forsendelsesproces, hvor forsendelsen går videre til næste forsendelseskanal, hvis den første forsendelseskanal fejler f.eks. en forsendelse er sendt til Digital Post, men borger er ikke tilmeldt digital post. Her skal ESDH-løsningen automatisk sikre forsendelsen sendes til fjernprint i stedet.</v>
      </c>
      <c r="F198"/>
    </row>
    <row r="199" spans="1:6" hidden="1">
      <c r="A199" t="str">
        <f>'Production Plan'!B199</f>
        <v>MK-169</v>
      </c>
      <c r="B199">
        <f>VLOOKUP(A199,'Production Plan'!B:T,16,FALSE)</f>
        <v>433892</v>
      </c>
      <c r="C199" t="str">
        <f>VLOOKUP(A199,'Production Plan'!B:F,5,FALSE)</f>
        <v>ESDH-løsningen skal understøtte, at hvis en forsendelse fejler skal Brugeren adviseres om dette.</v>
      </c>
      <c r="F199"/>
    </row>
    <row r="200" spans="1:6" hidden="1">
      <c r="A200" t="str">
        <f>'Production Plan'!B200</f>
        <v>K-18</v>
      </c>
      <c r="B200">
        <f>VLOOKUP(A200,'Production Plan'!B:T,16,FALSE)</f>
        <v>433893</v>
      </c>
      <c r="C200" t="str">
        <f>VLOOKUP(A200,'Production Plan'!B:F,5,FALSE)</f>
        <v>ESDH-løsningen skal understøtte en forsendelsesproces, hvor forsendelsen er større end, hvad der kan sendes i Digital Post. 
ESDH-løsningen skal sikre, at forsendelsen bliver sendt afsted f.eks. i flere mindre forsendelser uden manuel håndtering ved sagsbehandler.</v>
      </c>
      <c r="F200"/>
    </row>
    <row r="201" spans="1:6" hidden="1">
      <c r="A201" t="str">
        <f>'Production Plan'!B201</f>
        <v>MK-170</v>
      </c>
      <c r="B201">
        <f>VLOOKUP(A201,'Production Plan'!B:T,16,FALSE)</f>
        <v>0</v>
      </c>
      <c r="C201" t="str">
        <f>VLOOKUP(A201,'Production Plan'!B:F,5,FALSE)</f>
        <v>Leverandøren skal understøtte Kundens datamigrering fra den eksisterende løsning Public 360 til den af Leverandøren tilbudte løsning. Leverandøren skal stille den nødvendige importmekanisme til rådighed og i samarbejde med Kunden og driftsleverandøren migrere data ind i den nye løsning.</v>
      </c>
      <c r="F201"/>
    </row>
    <row r="202" spans="1:6" hidden="1">
      <c r="A202" t="str">
        <f>'Production Plan'!B202</f>
        <v>MK-171</v>
      </c>
      <c r="B202">
        <f>VLOOKUP(A202,'Production Plan'!B:T,16,FALSE)</f>
        <v>0</v>
      </c>
      <c r="C202" t="str">
        <f>VLOOKUP(A202,'Production Plan'!B:F,5,FALSE)</f>
        <v>Leverandøren skal stille den nødvendige dokumentation, herunder Datamodel, datadefinitioner, metadata, valideringsregler og øvrig tekniske specifikationer, der er nødvendige for planlægning og gennemførelse af migreringen.</v>
      </c>
      <c r="F202"/>
    </row>
    <row r="203" spans="1:6" hidden="1">
      <c r="A203" t="str">
        <f>'Production Plan'!B203</f>
        <v>MK-172</v>
      </c>
      <c r="B203">
        <f>VLOOKUP(A203,'Production Plan'!B:T,16,FALSE)</f>
        <v>0</v>
      </c>
      <c r="C203" t="str">
        <f>VLOOKUP(A203,'Production Plan'!B:F,5,FALSE)</f>
        <v>Leverandøren skal bistå med afklaring af kortlægning mellem eksisterende og ny Datamodel, specifikation af indlæsningsformater samt deltage i relevante workshops, planlægning, prøvemigreringer og valideringsaktiviteter. Kunden skal godkende mapningsreglerne.</v>
      </c>
      <c r="F203"/>
    </row>
    <row r="204" spans="1:6" hidden="1">
      <c r="A204" t="str">
        <f>'Production Plan'!B204</f>
        <v>MK-173</v>
      </c>
      <c r="B204">
        <f>VLOOKUP(A204,'Production Plan'!B:T,16,FALSE)</f>
        <v>0</v>
      </c>
      <c r="C204" t="str">
        <f>VLOOKUP(A204,'Production Plan'!B:F,5,FALSE)</f>
        <v>Leverandøren skal dokumentere eventuelle begrænsninger ved import af data, herunder krav til datakvalitet, referentiel integritet og rækkefølge for indlæsning af dataentiteter.</v>
      </c>
      <c r="F204"/>
    </row>
    <row r="205" spans="1:6" hidden="1">
      <c r="A205" t="str">
        <f>'Production Plan'!B205</f>
        <v>MK-174</v>
      </c>
      <c r="B205">
        <f>VLOOKUP(A205,'Production Plan'!B:T,16,FALSE)</f>
        <v>0</v>
      </c>
      <c r="C205" t="str">
        <f>VLOOKUP(A205,'Production Plan'!B:F,5,FALSE)</f>
        <v>Leverandøren skal stille et konverteringsmiljø til rådighed hos SIT, hvor Kunden kan gennemføre og validere konverteringen.</v>
      </c>
      <c r="F205"/>
    </row>
    <row r="206" spans="1:6" hidden="1">
      <c r="A206" t="str">
        <f>'Production Plan'!B206</f>
        <v>MK-175</v>
      </c>
      <c r="B206">
        <f>VLOOKUP(A206,'Production Plan'!B:T,16,FALSE)</f>
        <v>0</v>
      </c>
      <c r="C206" t="str">
        <f>VLOOKUP(A206,'Production Plan'!B:F,5,FALSE)</f>
        <v>Leverandøren skal sikre etablering, Konfiguration og stabil drift af to sikkerhedsmæssigt adskilte miljøer:
NON-PROD: 
Udviklings- og testmiljø: Dette miljø anvendes til udvikling af nye løsninger, hvor Kundens øvrige løsninger skal kunne integrere med ESDH-løsningen. Miljøet anvendes også til udrulning af nye releases, hot fixes m.fl., samt til Kundens interne kvalitetssikring. Miljøet afspejler produktionsmiljøets arkitektur for at sikre retvisende testresultater før udrulning.
PRE-PROD: Dette miljø anvendes til den endelige verifikation før udrulning i PROD. Her gennemføres User Acceptance Test (UAT) samt performance- og release-test i et fuldt spejlet miljø.
Kunden overvejer på sigt at etablerer yderligere non-prod-miljøer hvor ESDH-løsningen ligeledes skal kunne anvendes. 
Produktion:
Produktionsmiljø: Dette miljø udgør det stabile og driftskritiske driftsmiljø, hvor det anvendes til den daglige sagsbehandling. Miljøet er underlagt maksimale krav til oppetid, performance, backup og logning.</v>
      </c>
      <c r="F206"/>
    </row>
    <row r="207" spans="1:6" hidden="1">
      <c r="A207" t="str">
        <f>'Production Plan'!B207</f>
        <v>MK-176</v>
      </c>
      <c r="B207">
        <f>VLOOKUP(A207,'Production Plan'!B:T,16,FALSE)</f>
        <v>0</v>
      </c>
      <c r="C207" t="str">
        <f>VLOOKUP(A207,'Production Plan'!B:F,5,FALSE)</f>
        <v>Leverandøren skal sikre, at den tilbudte ESDH-løsning fuldt ud kan etableres, konfigureres og driftes på hos SIT på deres virtualiseringsplatform, med henblik på at opnå maksimal tilgængelighed og oppetid.</v>
      </c>
      <c r="F207"/>
    </row>
    <row r="208" spans="1:6" hidden="1">
      <c r="A208" t="str">
        <f>'Production Plan'!B208</f>
        <v>MK-177</v>
      </c>
      <c r="B208">
        <f>VLOOKUP(A208,'Production Plan'!B:T,16,FALSE)</f>
        <v>0</v>
      </c>
      <c r="C208" t="str">
        <f>VLOOKUP(A208,'Production Plan'!B:F,5,FALSE)</f>
        <v>Leverandøren skal sikre, at ESDH-løsning kan driftes på Driftsmodel 3 (DM3 - Infrastrukturservice) hos Statens IT. Det betyder, at Statens IT har drift og vedligeholdelse for de første fire lag samt ansvar for Kundeoprettelse og pc-klienter i SIT AD. Kunden har ansvar for middleware og applikationsdrift.</v>
      </c>
      <c r="F208"/>
    </row>
    <row r="209" spans="1:6" hidden="1">
      <c r="A209" t="str">
        <f>'Production Plan'!B209</f>
        <v>MK-178</v>
      </c>
      <c r="B209">
        <f>VLOOKUP(A209,'Production Plan'!B:T,16,FALSE)</f>
        <v>0</v>
      </c>
      <c r="C209" t="str">
        <f>VLOOKUP(A209,'Production Plan'!B:F,5,FALSE)</f>
        <v>Leverandøren skal levere præcise procedurer og dokumentation for, hvordan en eventuel applikationsnær restore udføres. Da den generelle infrastruktur-backup varetages på SIT’s virtualiseringsplatform, skal Leverandøren sikre de nødvendige tekniske vejledninger og anvisninger, så applikationsdata, databaser og Konfigurationer kan genskabes fejlfrit og bringes i stabil drift efter et eventuelt nedbrud.</v>
      </c>
      <c r="F209"/>
    </row>
    <row r="210" spans="1:6" hidden="1">
      <c r="A210" t="str">
        <f>'Production Plan'!B210</f>
        <v>MK-179</v>
      </c>
      <c r="B210">
        <f>VLOOKUP(A210,'Production Plan'!B:T,16,FALSE)</f>
        <v>0</v>
      </c>
      <c r="C210" t="str">
        <f>VLOOKUP(A210,'Production Plan'!B:F,5,FALSE)</f>
        <v>ESDH-løsningen skal understøtte danske brugervejledninger. Brugervejledningerne skal automatisk opdateres af Leverandøren i forbindelse med nye versioner af Løsningen.</v>
      </c>
      <c r="F210"/>
    </row>
    <row r="211" spans="1:6" hidden="1">
      <c r="A211" t="str">
        <f>'Production Plan'!B211</f>
        <v>MK-180</v>
      </c>
      <c r="B211">
        <f>VLOOKUP(A211,'Production Plan'!B:T,16,FALSE)</f>
        <v>0</v>
      </c>
      <c r="C211" t="str">
        <f>VLOOKUP(A211,'Production Plan'!B:F,5,FALSE)</f>
        <v>ESDH-løsningen skal understøtte, at Brugeren kan tilgå brugervejledningen direkte fra brugergrænsefladen.</v>
      </c>
      <c r="F211"/>
    </row>
    <row r="212" spans="1:6" hidden="1">
      <c r="A212" t="str">
        <f>'Production Plan'!B212</f>
        <v>MK-181</v>
      </c>
      <c r="B212">
        <f>VLOOKUP(A212,'Production Plan'!B:T,16,FALSE)</f>
        <v>0</v>
      </c>
      <c r="C212" t="str">
        <f>VLOOKUP(A212,'Production Plan'!B:F,5,FALSE)</f>
        <v>ESDH-løsningen skal understøtte alt dokumentationen på dansk, foruden den tekniske dokumentation, medmindre andet aftales.</v>
      </c>
      <c r="F212"/>
    </row>
    <row r="213" spans="1:6" hidden="1">
      <c r="A213" t="str">
        <f>'Production Plan'!B213</f>
        <v>MK-182</v>
      </c>
      <c r="B213">
        <f>VLOOKUP(A213,'Production Plan'!B:T,16,FALSE)</f>
        <v>0</v>
      </c>
      <c r="C213" t="str">
        <f>VLOOKUP(A213,'Production Plan'!B:F,5,FALSE)</f>
        <v>ESDH-løsningen skal understøtte, at brugervejledningerne præsenteres som step by step vejledninger.</v>
      </c>
      <c r="F213"/>
    </row>
    <row r="214" spans="1:6" hidden="1">
      <c r="A214" t="str">
        <f>'Production Plan'!B214</f>
        <v>MK-183</v>
      </c>
      <c r="B214">
        <f>VLOOKUP(A214,'Production Plan'!B:T,16,FALSE)</f>
        <v>0</v>
      </c>
      <c r="C214" t="str">
        <f>VLOOKUP(A214,'Production Plan'!B:F,5,FALSE)</f>
        <v>ESDH-løsningen skal understøtte opdateret dokumentation, herunder releasenotes, forud for installation af en opgradering af ESDH-løsningen i testmiljøet.</v>
      </c>
      <c r="F214"/>
    </row>
    <row r="215" spans="1:6" hidden="1">
      <c r="A215" t="str">
        <f>'Production Plan'!B215</f>
        <v>MK-184</v>
      </c>
      <c r="B215">
        <f>VLOOKUP(A215,'Production Plan'!B:T,16,FALSE)</f>
        <v>0</v>
      </c>
      <c r="C215" t="str">
        <f>VLOOKUP(A215,'Production Plan'!B:F,5,FALSE)</f>
        <v>ESDH-løsningen skal understøtte en administratorvejledning, der på en brugervenlig måde beskriver, hvordan ESDH-løsningen administreres. Vejledningen skal give Administratoren den nødvendige viden til at kunne administrere og konfigurere Løsningen.</v>
      </c>
      <c r="F215"/>
    </row>
    <row r="216" spans="1:6" hidden="1">
      <c r="A216" t="str">
        <f>'Production Plan'!B216</f>
        <v>MK-185</v>
      </c>
      <c r="B216">
        <f>VLOOKUP(A216,'Production Plan'!B:T,16,FALSE)</f>
        <v>0</v>
      </c>
      <c r="C216" t="str">
        <f>VLOOKUP(A216,'Production Plan'!B:F,5,FALSE)</f>
        <v>ESDH-løsningen skal understøtte dokumentation af ESDH-løsningens API. Det indebærer, at der foreligger dokumentation for API’ets funktionalitet, tilgængelige endepunkter, autorisationskrav, datatyper og fejlmeddelelser, så Kunden kan lave egne integrationer uden involvering af Leverandøren.</v>
      </c>
      <c r="F216"/>
    </row>
    <row r="217" spans="1:6" hidden="1">
      <c r="A217" t="str">
        <f>'Production Plan'!B217</f>
        <v>MK-186</v>
      </c>
      <c r="B217">
        <f>VLOOKUP(A217,'Production Plan'!B:T,16,FALSE)</f>
        <v>0</v>
      </c>
      <c r="C217" t="str">
        <f>VLOOKUP(A217,'Production Plan'!B:F,5,FALSE)</f>
        <v>Leverandøren skal yde hypercare i forbindelse med Overtagelsesdagen for Løsningen. Hypercare skal bestå af et dedikeret supportteam, der står til rådighed i Arbejdstiden (kl. 08.00-16.00) til at håndtere og løse fejl af både funktionel og teknisk karakter.</v>
      </c>
      <c r="F217"/>
    </row>
    <row r="218" spans="1:6" hidden="1">
      <c r="A218" t="str">
        <f>'Production Plan'!B218</f>
        <v>MK-187</v>
      </c>
      <c r="B218">
        <f>VLOOKUP(A218,'Production Plan'!B:T,16,FALSE)</f>
        <v>0</v>
      </c>
      <c r="C218" t="str">
        <f>VLOOKUP(A218,'Production Plan'!B:F,5,FALSE)</f>
        <v>Leverandøren skal yde hypercare i en periode på 10 Arbejdsdage startende på Overtagelsesdagen for Løsningen.</v>
      </c>
      <c r="F218"/>
    </row>
    <row r="219" spans="1:6" hidden="1">
      <c r="A219" t="str">
        <f>'Production Plan'!B219</f>
        <v>MK-188</v>
      </c>
      <c r="B219">
        <f>VLOOKUP(A219,'Production Plan'!B:T,16,FALSE)</f>
        <v>0</v>
      </c>
      <c r="C219" t="str">
        <f>VLOOKUP(A219,'Production Plan'!B:F,5,FALSE)</f>
        <v>Leverandøren skal forlænge hypercare-perioden, hvis der ved udløb af de 5 Dage fortsat er uafsluttede kritiske og alvorlige incidents, jf. Bilag 1.h - Servicemål. Hypercare-perioden skal opretholdes, indtil disse fejl er udbedret og godkendt af Kunden.</v>
      </c>
      <c r="F219"/>
    </row>
    <row r="220" spans="1:6" hidden="1">
      <c r="A220" t="str">
        <f>'Production Plan'!B220</f>
        <v>MK-189</v>
      </c>
      <c r="B220">
        <f>VLOOKUP(A220,'Production Plan'!B:T,16,FALSE)</f>
        <v>0</v>
      </c>
      <c r="C220" t="str">
        <f>VLOOKUP(A220,'Production Plan'!B:F,5,FALSE)</f>
        <v>Ved afslutningen af hypercare-perioden skal Leverandøren udarbejde en rapport, der beskriver status og håndtering af samtlige registrerede fejl. Rapporten skal senest overleveres til Kunden ved afslutning af hypercare.</v>
      </c>
      <c r="F220"/>
    </row>
    <row r="221" spans="1:6" hidden="1">
      <c r="A221" t="str">
        <f>'Production Plan'!B221</f>
        <v>MK-190</v>
      </c>
      <c r="B221">
        <f>VLOOKUP(A221,'Production Plan'!B:T,16,FALSE)</f>
        <v>0</v>
      </c>
      <c r="C221" t="str">
        <f>VLOOKUP(A221,'Production Plan'!B:F,5,FALSE)</f>
        <v>I hypercare-perioden skal Leverandøren og Kunden afholde daglige statusmøder vedrørende overtagelse af Løsningen og eventuelle fejl, der er meldt ind.</v>
      </c>
      <c r="F221"/>
    </row>
    <row r="222" spans="1:6" hidden="1">
      <c r="A222" t="str">
        <f>'Production Plan'!B222</f>
        <v>MK-1</v>
      </c>
      <c r="B222">
        <f>VLOOKUP(A222,'Production Plan'!B:T,16,FALSE)</f>
        <v>0</v>
      </c>
      <c r="C222" t="str">
        <f>VLOOKUP(A222,'Production Plan'!B:F,5,FALSE)</f>
        <v>ESDH-løsningen skal understøtte Rigsarkivets gældende retningslinjer for anmeldelse og godkendelse af it-systemer fra statslige Myndigheder, jf. Cirkulære om anmeldelse og godkendelse af it-systemer på Retsinformation og gældende regler for generel aflevering af statslige it-systemer, jf. Bekendtgørelse om arkiveringsversioner på Retsinformation.</v>
      </c>
      <c r="F222"/>
    </row>
    <row r="223" spans="1:6" hidden="1">
      <c r="A223" t="str">
        <f>'Production Plan'!B223</f>
        <v>MK-2</v>
      </c>
      <c r="B223">
        <f>VLOOKUP(A223,'Production Plan'!B:T,16,FALSE)</f>
        <v>0</v>
      </c>
      <c r="C223" t="str">
        <f>VLOOKUP(A223,'Production Plan'!B:F,5,FALSE)</f>
        <v>ESDH-løsningen skal understøtte dansk og engelsk.</v>
      </c>
      <c r="F223"/>
    </row>
    <row r="224" spans="1:6" hidden="1">
      <c r="A224" t="str">
        <f>'Production Plan'!B224</f>
        <v>MK-3</v>
      </c>
      <c r="B224">
        <f>VLOOKUP(A224,'Production Plan'!B:T,16,FALSE)</f>
        <v>0</v>
      </c>
      <c r="C224" t="str">
        <f>VLOOKUP(A224,'Production Plan'!B:F,5,FALSE)</f>
        <v>ESDH-løsningen skal understøtte en Datamodel med en klar og tydelig beskrivelse af felterne i både frontend og backend.</v>
      </c>
      <c r="F224"/>
    </row>
    <row r="225" spans="1:6" hidden="1">
      <c r="A225" t="str">
        <f>'Production Plan'!B225</f>
        <v>MK-4</v>
      </c>
      <c r="B225">
        <f>VLOOKUP(A225,'Production Plan'!B:T,16,FALSE)</f>
        <v>0</v>
      </c>
      <c r="C225" t="str">
        <f>VLOOKUP(A225,'Production Plan'!B:F,5,FALSE)</f>
        <v>ESDH-løsningen skal understøtte fremsøgning, sammenstilling og udlevering af personoplysninger om den registrerede i overensstemmelse med GDPR-artikel 15. ESDH-løsningen skal ligeledes understøtte behandling af anmodninger fremsat af en lovlig repræsentant for den registrerede, herunder forældremyndighed eller værgemål. Udleveringen skal kunne leveres i et almindelig læsbart format og skal kunne fremsendes til den registrerede via Digital Post, sikker e-mail og fjernprint.</v>
      </c>
      <c r="F225"/>
    </row>
    <row r="226" spans="1:6" hidden="1">
      <c r="A226" t="str">
        <f>'Production Plan'!B226</f>
        <v>MK-5</v>
      </c>
      <c r="B226">
        <f>VLOOKUP(A226,'Production Plan'!B:T,16,FALSE)</f>
        <v>0</v>
      </c>
      <c r="C226" t="str">
        <f>VLOOKUP(A226,'Production Plan'!B:F,5,FALSE)</f>
        <v>ESDH-løsningen skal understøtte håndtering af indsigts-, slette- og berigtigelsesanmodninger fra de registrerede i Løsningen.</v>
      </c>
      <c r="F226"/>
    </row>
    <row r="227" spans="1:6" hidden="1">
      <c r="A227" t="str">
        <f>'Production Plan'!B227</f>
        <v>MK-6</v>
      </c>
      <c r="B227">
        <f>VLOOKUP(A227,'Production Plan'!B:T,16,FALSE)</f>
        <v>433881</v>
      </c>
      <c r="C227" t="str">
        <f>VLOOKUP(A227,'Production Plan'!B:F,5,FALSE)</f>
        <v>ESDH-løsningen skal understøtte håndtering af sletteregler, herunder bevaringskoder, for både midlertidig og permanent sletning. ESDH-løsningen skal understøtte, at sletning alene kan foretages af Brugere med de nødvendige rettigheder, herunder at rettigheder til permanent sletning og midlertidig sletning kan adskilles. Sletteregler skal kunne anvendes på alle Entiteter i Løsningen.</v>
      </c>
      <c r="F227"/>
    </row>
    <row r="228" spans="1:6" hidden="1">
      <c r="A228" t="str">
        <f>'Production Plan'!B228</f>
        <v>K-1</v>
      </c>
      <c r="B228">
        <f>VLOOKUP(A228,'Production Plan'!B:T,16,FALSE)</f>
        <v>0</v>
      </c>
      <c r="C228" t="str">
        <f>VLOOKUP(A228,'Production Plan'!B:F,5,FALSE)</f>
        <v>ESDH-løsningen skal understøtte, at fejlmeddelelser i ESDH-løsningen inkluderer handlingsanvisning.</v>
      </c>
      <c r="F228"/>
    </row>
    <row r="229" spans="1:6" hidden="1">
      <c r="A229" t="str">
        <f>'Production Plan'!B229</f>
        <v>K-2</v>
      </c>
      <c r="B229">
        <f>VLOOKUP(A229,'Production Plan'!B:T,16,FALSE)</f>
        <v>0</v>
      </c>
      <c r="C229" t="str">
        <f>VLOOKUP(A229,'Production Plan'!B:F,5,FALSE)</f>
        <v>ESDH-løsningen skal understøtte, at Brugere kan trække og slippe Dokumenter direkte fra e-mailklienter og stifinder til relevante sager.</v>
      </c>
      <c r="F229"/>
    </row>
    <row r="230" spans="1:6" hidden="1">
      <c r="A230" t="str">
        <f>'Production Plan'!B230</f>
        <v>K-3</v>
      </c>
      <c r="B230">
        <f>VLOOKUP(A230,'Production Plan'!B:T,16,FALSE)</f>
        <v>0</v>
      </c>
      <c r="C230" t="str">
        <f>VLOOKUP(A230,'Production Plan'!B:F,5,FALSE)</f>
        <v>ESDH-løsningen skal understøtte, at der i ESDH-løsningen kan præsenteres en standardliste over alle Dokumenter, hvor konverteringen til PDF-format er mislykket.</v>
      </c>
      <c r="F230"/>
    </row>
    <row r="231" spans="1:6" hidden="1">
      <c r="A231" t="str">
        <f>'Production Plan'!B231</f>
        <v>K-4</v>
      </c>
      <c r="B231">
        <f>VLOOKUP(A231,'Production Plan'!B:T,16,FALSE)</f>
        <v>0</v>
      </c>
      <c r="C231" t="str">
        <f>VLOOKUP(A231,'Production Plan'!B:F,5,FALSE)</f>
        <v>ESDH-løsningen skal understøtte, at Brugere kan anvende følgende søgeoperatorer ved fritekstsøgning og søgning i strukturerede felter:
”Og”, ”Eller” og ”Ikke”-søgning
Større end / mindre end (f.eks. ved dato- eller talfelter)
Indeholder 
Lig med (præcis match)</v>
      </c>
      <c r="F231"/>
    </row>
    <row r="232" spans="1:6" hidden="1">
      <c r="A232" t="str">
        <f>'Production Plan'!B232</f>
        <v>K-5</v>
      </c>
      <c r="B232">
        <f>VLOOKUP(A232,'Production Plan'!B:T,16,FALSE)</f>
        <v>0</v>
      </c>
      <c r="C232" t="str">
        <f>VLOOKUP(A232,'Production Plan'!B:F,5,FALSE)</f>
        <v>ESDH-løsningen skal understøtte, at Brugere kan abonnere på søgninger.</v>
      </c>
      <c r="F232"/>
    </row>
    <row r="233" spans="1:6" hidden="1">
      <c r="A233" t="str">
        <f>'Production Plan'!B233</f>
        <v>MK-7</v>
      </c>
      <c r="B233">
        <f>VLOOKUP(A233,'Production Plan'!B:T,16,FALSE)</f>
        <v>0</v>
      </c>
      <c r="C233" t="str">
        <f>VLOOKUP(A233,'Production Plan'!B:F,5,FALSE)</f>
        <v>ESDH-løsningen skal understøtte, at Kunden selv uden Leverdørens involvering kan konfigurere slettepolitikker i Løsningens administrationsmodul.</v>
      </c>
      <c r="F233"/>
    </row>
    <row r="234" spans="1:6" hidden="1">
      <c r="A234" t="str">
        <f>'Production Plan'!B234</f>
        <v>MK-8</v>
      </c>
      <c r="B234">
        <f>VLOOKUP(A234,'Production Plan'!B:T,16,FALSE)</f>
        <v>0</v>
      </c>
      <c r="C234" t="str">
        <f>VLOOKUP(A234,'Production Plan'!B:F,5,FALSE)</f>
        <v>ESDH-løsningen skal understøtte, at klassifikationskoder kan oprettes af Administrator, hvortil Kunden valgfrit kan bestemme hvilke klassifikationskoder Løsningen skal indeholde.</v>
      </c>
      <c r="F234"/>
    </row>
    <row r="235" spans="1:6" hidden="1">
      <c r="A235" t="str">
        <f>'Production Plan'!B235</f>
        <v>MK-9</v>
      </c>
      <c r="B235">
        <f>VLOOKUP(A235,'Production Plan'!B:T,16,FALSE)</f>
        <v>0</v>
      </c>
      <c r="C235" t="str">
        <f>VLOOKUP(A235,'Production Plan'!B:F,5,FALSE)</f>
        <v>ESDH-løsningen skal understøtte, at Entiteter kan deles mellem Brugere, såfremt adgangene tillader dette.</v>
      </c>
      <c r="F235"/>
    </row>
    <row r="236" spans="1:6" hidden="1">
      <c r="A236" t="str">
        <f>'Production Plan'!B236</f>
        <v>MK-10</v>
      </c>
      <c r="B236">
        <f>VLOOKUP(A236,'Production Plan'!B:T,16,FALSE)</f>
        <v>0</v>
      </c>
      <c r="C236" t="str">
        <f>VLOOKUP(A236,'Production Plan'!B:F,5,FALSE)</f>
        <v>ESDH-løsningen skal understøtte en klassisk journalplan eller facetteret journalplan i minimum tre niveauer og emneordsfelter.</v>
      </c>
      <c r="F236"/>
    </row>
    <row r="237" spans="1:6" hidden="1">
      <c r="A237" t="str">
        <f>'Production Plan'!B237</f>
        <v>MK-11</v>
      </c>
      <c r="B237">
        <f>VLOOKUP(A237,'Production Plan'!B:T,16,FALSE)</f>
        <v>0</v>
      </c>
      <c r="C237" t="str">
        <f>VLOOKUP(A237,'Production Plan'!B:F,5,FALSE)</f>
        <v>ESDH-løsningen skal understøtte oprettelse af breve baseret på Kundens brevskabeloner i Dynamic Template.</v>
      </c>
      <c r="F237"/>
    </row>
    <row r="238" spans="1:6" hidden="1">
      <c r="A238" t="str">
        <f>'Production Plan'!B238</f>
        <v>MK-12</v>
      </c>
      <c r="B238">
        <f>VLOOKUP(A238,'Production Plan'!B:T,16,FALSE)</f>
        <v>0</v>
      </c>
      <c r="C238" t="str">
        <f>VLOOKUP(A238,'Production Plan'!B:F,5,FALSE)</f>
        <v>ESDH-løsningen skal understøtte oprettelse og registrering af sager.</v>
      </c>
      <c r="F238"/>
    </row>
    <row r="239" spans="1:6" hidden="1">
      <c r="A239" t="str">
        <f>'Production Plan'!B239</f>
        <v>MK-13</v>
      </c>
      <c r="B239">
        <f>VLOOKUP(A239,'Production Plan'!B:T,16,FALSE)</f>
        <v>0</v>
      </c>
      <c r="C239" t="str">
        <f>VLOOKUP(A239,'Production Plan'!B:F,5,FALSE)</f>
        <v>ESDH-løsningen skal understøtte ændring af sagens metadata.</v>
      </c>
      <c r="F239"/>
    </row>
    <row r="240" spans="1:6" hidden="1">
      <c r="A240" t="str">
        <f>'Production Plan'!B240</f>
        <v>MK-14</v>
      </c>
      <c r="B240">
        <f>VLOOKUP(A240,'Production Plan'!B:T,16,FALSE)</f>
        <v>0</v>
      </c>
      <c r="C240" t="str">
        <f>VLOOKUP(A240,'Production Plan'!B:F,5,FALSE)</f>
        <v>ESDH-løsningen skal understøtte både midlertidig og permanent sletning af sager.</v>
      </c>
      <c r="F240"/>
    </row>
    <row r="241" spans="1:6" hidden="1">
      <c r="A241" t="str">
        <f>'Production Plan'!B241</f>
        <v>MK-15</v>
      </c>
      <c r="B241">
        <f>VLOOKUP(A241,'Production Plan'!B:T,16,FALSE)</f>
        <v>0</v>
      </c>
      <c r="C241" t="str">
        <f>VLOOKUP(A241,'Production Plan'!B:F,5,FALSE)</f>
        <v>ESDH-løsningen skal understøtte arbejdet med statusser på en sag, f.eks. 'Passiv', 'Under behandling' og 'Lukket' / 'Afsluttet'. ESDH-løsningen skal understøtte, at Kunden selv kan oprette og vedligeholde statuskoder.</v>
      </c>
      <c r="F241"/>
    </row>
    <row r="242" spans="1:6" hidden="1">
      <c r="A242" t="str">
        <f>'Production Plan'!B242</f>
        <v>MK-16</v>
      </c>
      <c r="B242">
        <f>VLOOKUP(A242,'Production Plan'!B:T,16,FALSE)</f>
        <v>0</v>
      </c>
      <c r="C242" t="str">
        <f>VLOOKUP(A242,'Production Plan'!B:F,5,FALSE)</f>
        <v>ESDH-løsningen skal understøtte, at hver sag tildeles et unikt sagsnummer automatisk ved oprettelse.</v>
      </c>
      <c r="F242"/>
    </row>
    <row r="243" spans="1:6" hidden="1">
      <c r="A243" t="str">
        <f>'Production Plan'!B243</f>
        <v>K-6</v>
      </c>
      <c r="B243">
        <f>VLOOKUP(A243,'Production Plan'!B:T,16,FALSE)</f>
        <v>0</v>
      </c>
      <c r="C243" t="str">
        <f>VLOOKUP(A243,'Production Plan'!B:F,5,FALSE)</f>
        <v>ESDH-løsningen skal understøtte eksport af det komplette søgeresultat fra brugergrænsefladen til regnearksprogram anvendt af Kundens, men må dog ikke overstige regnearksprogrammets maksimum rækkekapacitet.</v>
      </c>
      <c r="F243"/>
    </row>
    <row r="244" spans="1:6" hidden="1">
      <c r="A244" t="str">
        <f>'Production Plan'!B244</f>
        <v>K-7</v>
      </c>
      <c r="B244">
        <f>VLOOKUP(A244,'Production Plan'!B:T,16,FALSE)</f>
        <v>0</v>
      </c>
      <c r="C244" t="str">
        <f>VLOOKUP(A244,'Production Plan'!B:F,5,FALSE)</f>
        <v>Løsningen skal understøtte, at relationer mellem standardentiteter og Kundens egne oprettede Entiteter er aktive og navigerbare i brugergrænsefladen. 
Det skal være muligt for Brugeren at klikke på en reference til en relateret Entitet og blive ledt direkte til den pågældende Entitets indhold, metadata og tilknyttede relationer. 
Eksempelvis skal en Bruger, der står på en sag, kunne vælge et relateret Dokument og blive ledt direkte til Dokumentet og dets metadata. Hvis Dokumentet er tilknyttet en kontakt, f.eks. en Udlænding, skal Brugeren tilsvarende kunne klikke på kontakten og blive ledt til kontaktens stamdata, metadata og relaterede sager, Dokumenter eller øvrige relevante Entiteter.</v>
      </c>
      <c r="F244"/>
    </row>
    <row r="245" spans="1:6" hidden="1">
      <c r="A245" t="str">
        <f>'Production Plan'!B245</f>
        <v>K-8</v>
      </c>
      <c r="B245">
        <f>VLOOKUP(A245,'Production Plan'!B:T,16,FALSE)</f>
        <v>0</v>
      </c>
      <c r="C245" t="str">
        <f>VLOOKUP(A245,'Production Plan'!B:F,5,FALSE)</f>
        <v>ESDH-løsningen skal understøtte, at Brugere kan vælge at modtage notifikationer om handlinger, godkendelser, anmodninger om akter, frister og ændringer på relevante sager. Den enkelte Bruger skal selv kunne vælge notifikationskanal, eksempelvis systemnotifikationer eller e-mail.</v>
      </c>
      <c r="F245"/>
    </row>
    <row r="246" spans="1:6" hidden="1">
      <c r="A246" t="str">
        <f>'Production Plan'!B246</f>
        <v>MK-17</v>
      </c>
      <c r="B246">
        <f>VLOOKUP(A246,'Production Plan'!B:T,16,FALSE)</f>
        <v>0</v>
      </c>
      <c r="C246" t="str">
        <f>VLOOKUP(A246,'Production Plan'!B:F,5,FALSE)</f>
        <v>ESDH-løsningen skal understøtte, at en Bruger kan ændre sagstype på sager.</v>
      </c>
      <c r="F246"/>
    </row>
    <row r="247" spans="1:6" hidden="1">
      <c r="A247" t="str">
        <f>'Production Plan'!B247</f>
        <v>MK-18</v>
      </c>
      <c r="B247">
        <f>VLOOKUP(A247,'Production Plan'!B:T,16,FALSE)</f>
        <v>0</v>
      </c>
      <c r="C247" t="str">
        <f>VLOOKUP(A247,'Production Plan'!B:F,5,FALSE)</f>
        <v>ESDH-løsningen skal understøtte, at der kan indsættes, rettes og fjernes frister på alle sagstyper. Fristen skal som minimum bestå af en fristtype, fristdato og fristansvarlig.</v>
      </c>
      <c r="F247"/>
    </row>
    <row r="248" spans="1:6" hidden="1">
      <c r="A248" t="str">
        <f>'Production Plan'!B248</f>
        <v>MK-19</v>
      </c>
      <c r="B248">
        <f>VLOOKUP(A248,'Production Plan'!B:T,16,FALSE)</f>
        <v>0</v>
      </c>
      <c r="C248" t="str">
        <f>VLOOKUP(A248,'Production Plan'!B:F,5,FALSE)</f>
        <v>ESDH-løsningen skal understøtte, at Brugere kan indsætte, rette og fjerne én eller flere afdelingsspecifikke frister på sager.</v>
      </c>
      <c r="F248"/>
    </row>
    <row r="249" spans="1:6" hidden="1">
      <c r="A249" t="str">
        <f>'Production Plan'!B249</f>
        <v>MK-20</v>
      </c>
      <c r="B249">
        <f>VLOOKUP(A249,'Production Plan'!B:T,16,FALSE)</f>
        <v>0</v>
      </c>
      <c r="C249" t="str">
        <f>VLOOKUP(A249,'Production Plan'!B:F,5,FALSE)</f>
        <v>ESDH-løsningen skal understøtte oprettelse af samlesager. Det skal være muligt for Brugeren at tilknytte enkle sager til samlesager.</v>
      </c>
      <c r="F249"/>
    </row>
    <row r="250" spans="1:6" hidden="1">
      <c r="A250" t="str">
        <f>'Production Plan'!B250</f>
        <v>MK-21</v>
      </c>
      <c r="B250">
        <f>VLOOKUP(A250,'Production Plan'!B:T,16,FALSE)</f>
        <v>0</v>
      </c>
      <c r="C250" t="str">
        <f>VLOOKUP(A250,'Production Plan'!B:F,5,FALSE)</f>
        <v>ESDH-løsningen skal understøtte oprettelsesfunktion til organisering og hierarkisk visning af samling af relaterede sager.</v>
      </c>
      <c r="F250"/>
    </row>
    <row r="251" spans="1:6" hidden="1">
      <c r="A251" t="str">
        <f>'Production Plan'!B251</f>
        <v>MK-22</v>
      </c>
      <c r="B251">
        <f>VLOOKUP(A251,'Production Plan'!B:T,16,FALSE)</f>
        <v>0</v>
      </c>
      <c r="C251" t="str">
        <f>VLOOKUP(A251,'Production Plan'!B:F,5,FALSE)</f>
        <v>ESDH-løsningen skal understøtte oprettelse af referencer mellem sager ved at etablere links mellem sager. Det skal fremgå tydeligt af den enkelte sag, at den er relateret til en anden.</v>
      </c>
      <c r="F251"/>
    </row>
    <row r="252" spans="1:6" hidden="1">
      <c r="A252" t="str">
        <f>'Production Plan'!B252</f>
        <v>MK-23</v>
      </c>
      <c r="B252">
        <f>VLOOKUP(A252,'Production Plan'!B:T,16,FALSE)</f>
        <v>0</v>
      </c>
      <c r="C252" t="str">
        <f>VLOOKUP(A252,'Production Plan'!B:F,5,FALSE)</f>
        <v>ESDH-løsningen skal understøtte, at sagens parter kan vises enten i sagens overbliksbillede eller i en dedikeret fane.</v>
      </c>
      <c r="F252"/>
    </row>
    <row r="253" spans="1:6" hidden="1">
      <c r="A253" t="str">
        <f>'Production Plan'!B253</f>
        <v>MK-24</v>
      </c>
      <c r="B253">
        <f>VLOOKUP(A253,'Production Plan'!B:T,16,FALSE)</f>
        <v>0</v>
      </c>
      <c r="C253" t="str">
        <f>VLOOKUP(A253,'Production Plan'!B:F,5,FALSE)</f>
        <v>ESDH-løsningen skal understøtte, at en kontakt kan tilknyttes til en sag og at kontakten kan have en konkret partsrolle på sagen.</v>
      </c>
      <c r="F253"/>
    </row>
    <row r="254" spans="1:6" hidden="1">
      <c r="A254" t="str">
        <f>'Production Plan'!B254</f>
        <v>K-9</v>
      </c>
      <c r="B254">
        <f>VLOOKUP(A254,'Production Plan'!B:T,16,FALSE)</f>
        <v>0</v>
      </c>
      <c r="C254" t="str">
        <f>VLOOKUP(A254,'Production Plan'!B:F,5,FALSE)</f>
        <v>ESDH-løsningen skal understøtte, at Kunden ved oprettelse af egne Kundeoprettede felter, værdilister og tabeller kan angive ID og navngivning i ét og samme oprettelsesbillede.</v>
      </c>
      <c r="F254"/>
    </row>
    <row r="255" spans="1:6" hidden="1">
      <c r="A255" t="str">
        <f>'Production Plan'!B255</f>
        <v>MK-25</v>
      </c>
      <c r="B255">
        <f>VLOOKUP(A255,'Production Plan'!B:T,16,FALSE)</f>
        <v>0</v>
      </c>
      <c r="C255" t="str">
        <f>VLOOKUP(A255,'Production Plan'!B:F,5,FALSE)</f>
        <v>ESDH-løsningen skal understøtte, at en sag kan overdrages/flyttes til en anden sagsbehandler eller et andet team i organisationen.</v>
      </c>
      <c r="F255"/>
    </row>
    <row r="256" spans="1:6" hidden="1">
      <c r="A256" t="str">
        <f>'Production Plan'!B256</f>
        <v>MK-26</v>
      </c>
      <c r="B256">
        <f>VLOOKUP(A256,'Production Plan'!B:T,16,FALSE)</f>
        <v>0</v>
      </c>
      <c r="C256" t="str">
        <f>VLOOKUP(A256,'Production Plan'!B:F,5,FALSE)</f>
        <v>ESDH-løsningen skal understøtte, at en formelt afsluttet og lukket sag kan genåbnes af en Bruger, hvis der er behov for at opdatere sagsdata. Sager afleveret til Rigsarkivet skal være undtaget, og skal ikke kunne genåbnes efter aflevering.</v>
      </c>
      <c r="F256"/>
    </row>
    <row r="257" spans="1:6" hidden="1">
      <c r="A257" t="str">
        <f>'Production Plan'!B257</f>
        <v>MK-27</v>
      </c>
      <c r="B257">
        <f>VLOOKUP(A257,'Production Plan'!B:T,16,FALSE)</f>
        <v>0</v>
      </c>
      <c r="C257" t="str">
        <f>VLOOKUP(A257,'Production Plan'!B:F,5,FALSE)</f>
        <v>ESDH-løsningen skal understøtte oprettelse af en sagskopi, hvor den oprindelige sags metadata overføres til sagskopien. I forbindelse med oprettelse af sagskopien skal Brugeren valgfrit kunne vælge om sagens parter, Dokumenter og øvrigt metadata skal overføres til sagskopien. Metadata på begge sager skal kunne redigeres efterfølgende.</v>
      </c>
      <c r="F257"/>
    </row>
    <row r="258" spans="1:6" hidden="1">
      <c r="A258" t="str">
        <f>'Production Plan'!B258</f>
        <v>K-10</v>
      </c>
      <c r="B258">
        <f>VLOOKUP(A258,'Production Plan'!B:T,16,FALSE)</f>
        <v>0</v>
      </c>
      <c r="C258" t="str">
        <f>VLOOKUP(A258,'Production Plan'!B:F,5,FALSE)</f>
        <v>ESDH-løsningen skal understøtte, at en Administrator kan tilknytte fast metadata til journalplanen i form af adgangsgrupper og adgangsbegrænsning, når der vælges en foruddefineret journalplansværdi.</v>
      </c>
      <c r="F258"/>
    </row>
    <row r="259" spans="1:6" hidden="1">
      <c r="A259" t="str">
        <f>'Production Plan'!B259</f>
        <v>K-11</v>
      </c>
      <c r="B259">
        <f>VLOOKUP(A259,'Production Plan'!B:T,16,FALSE)</f>
        <v>0</v>
      </c>
      <c r="C259" t="str">
        <f>VLOOKUP(A259,'Production Plan'!B:F,5,FALSE)</f>
        <v>ESDH-løsningen skal understøtte, at Kundens Konfiguration af brugergrænsefladen kan eksporteres og importeres på tværs af Kundens it-miljøer (f.eks. fra et test- eller udviklingsmiljø til pre-produktions- og produktionsmiljøet).</v>
      </c>
      <c r="F259"/>
    </row>
    <row r="260" spans="1:6" hidden="1">
      <c r="A260" t="str">
        <f>'Production Plan'!B260</f>
        <v>K-12</v>
      </c>
      <c r="B260">
        <f>VLOOKUP(A260,'Production Plan'!B:T,16,FALSE)</f>
        <v>0</v>
      </c>
      <c r="C260" t="str">
        <f>VLOOKUP(A260,'Production Plan'!B:F,5,FALSE)</f>
        <v>ESDH-løsningen skal understøtte, at Kundens Konfiguration fra administratormodulet kan eksporteres og importeres på tværs af Kundens it-miljøer (f.eks. fra et test- eller udviklingsmiljø til pre-produktions- og produktionsmiljøet).</v>
      </c>
      <c r="F260"/>
    </row>
    <row r="261" spans="1:6" hidden="1">
      <c r="A261" t="str">
        <f>'Production Plan'!B261</f>
        <v>K-13</v>
      </c>
      <c r="B261">
        <f>VLOOKUP(A261,'Production Plan'!B:T,16,FALSE)</f>
        <v>0</v>
      </c>
      <c r="C261" t="str">
        <f>VLOOKUP(A261,'Production Plan'!B:F,5,FALSE)</f>
        <v>ESDH-løsningen skal understøtte, at Løsningens tilknyttede moduler kan administreres i Løsningens administratormodul i form af opsætning og vedligeholdelse.</v>
      </c>
      <c r="F261"/>
    </row>
    <row r="262" spans="1:6" hidden="1">
      <c r="A262" t="str">
        <f>'Production Plan'!B262</f>
        <v>K-14</v>
      </c>
      <c r="B262">
        <f>VLOOKUP(A262,'Production Plan'!B:T,16,FALSE)</f>
        <v>0</v>
      </c>
      <c r="C262" t="str">
        <f>VLOOKUP(A262,'Production Plan'!B:F,5,FALSE)</f>
        <v>ESDH-løsningen skal understøtte, at en Administrator kan opsætte visning af datoformatet i Løsningen.</v>
      </c>
      <c r="F262"/>
    </row>
    <row r="263" spans="1:6" hidden="1">
      <c r="A263" t="str">
        <f>'Production Plan'!B263</f>
        <v>K-15</v>
      </c>
      <c r="B263">
        <f>VLOOKUP(A263,'Production Plan'!B:T,16,FALSE)</f>
        <v>0</v>
      </c>
      <c r="C263" t="str">
        <f>VLOOKUP(A263,'Production Plan'!B:F,5,FALSE)</f>
        <v>ESDH-løsningen skal understøtte, at adgang til Dokumenter og Bilag kan tildeles uafhængigt af adgang til den tilhørende sag. Brugere med adgang til et Dokument eller Bilag, men uden adgang til sagen, må ikke kunne tilgå eller se oplysninger om sagens øvrige indhold.</v>
      </c>
      <c r="F263"/>
    </row>
    <row r="264" spans="1:6" hidden="1">
      <c r="A264" t="str">
        <f>'Production Plan'!B264</f>
        <v>Tilbudsbrev</v>
      </c>
      <c r="B264">
        <f>VLOOKUP(A264,'Production Plan'!B:T,16,FALSE)</f>
        <v>0</v>
      </c>
      <c r="C264" t="str">
        <f>VLOOKUP(A264,'Production Plan'!B:F,5,FALSE)</f>
        <v>Tilbudsbrev</v>
      </c>
      <c r="F264"/>
    </row>
    <row r="265" spans="1:6" hidden="1">
      <c r="A265" t="str">
        <f>'Production Plan'!B265</f>
        <v>Bilag 2 Producentens standardvilkår</v>
      </c>
      <c r="B265">
        <f>VLOOKUP(A265,'Production Plan'!B:T,16,FALSE)</f>
        <v>0</v>
      </c>
      <c r="C265" t="str">
        <f>VLOOKUP(A265,'Production Plan'!B:F,5,FALSE)</f>
        <v>Bilag 2 Producentens standardvilkår</v>
      </c>
      <c r="F265"/>
    </row>
    <row r="266" spans="1:6" hidden="1">
      <c r="A266" t="str">
        <f>'Production Plan'!B266</f>
        <v>Bilag 3 Leverandørens priser</v>
      </c>
      <c r="B266">
        <f>VLOOKUP(A266,'Production Plan'!B:T,16,FALSE)</f>
        <v>0</v>
      </c>
      <c r="C266" t="str">
        <f>VLOOKUP(A266,'Production Plan'!B:F,5,FALSE)</f>
        <v>Bilag 3 Leverandørens priser</v>
      </c>
      <c r="F266"/>
    </row>
    <row r="267" spans="1:6" hidden="1">
      <c r="A267" t="str">
        <f>'Production Plan'!B267</f>
        <v>ESPD</v>
      </c>
      <c r="B267">
        <f>VLOOKUP(A267,'Production Plan'!B:T,16,FALSE)</f>
        <v>0</v>
      </c>
      <c r="C267" t="str">
        <f>VLOOKUP(A267,'Production Plan'!B:F,5,FALSE)</f>
        <v>ESPD</v>
      </c>
      <c r="F267"/>
    </row>
    <row r="268" spans="1:6" hidden="1">
      <c r="A268" t="str">
        <f>'Production Plan'!B268</f>
        <v>Bilag 1 - tidsplan og implementering</v>
      </c>
      <c r="B268">
        <f>VLOOKUP(A268,'Production Plan'!B:T,16,FALSE)</f>
        <v>0</v>
      </c>
      <c r="C268" t="str">
        <f>VLOOKUP(A268,'Production Plan'!B:F,5,FALSE)</f>
        <v>Bilag 1's krav til tidsplanen inkl. Go-live dato d. 1. oktober 2027</v>
      </c>
      <c r="F268"/>
    </row>
    <row r="269" spans="1:6" hidden="1">
      <c r="A269" t="str">
        <f>'Production Plan'!B269</f>
        <v>Bilag 1 - Optioner</v>
      </c>
      <c r="B269">
        <f>VLOOKUP(A269,'Production Plan'!B:T,16,FALSE)</f>
        <v>0</v>
      </c>
      <c r="C269" t="str">
        <f>VLOOKUP(A269,'Production Plan'!B:F,5,FALSE)</f>
        <v xml:space="preserve">Bilag 1's krav om optioner - skal besvares i prisbilaget.
1. 500 timers rådgivning.
2. Superbrugerundervisning.
3. Ekstra Non-prod produkter i samme database.
4. Redundant setup.
5. Databasedrift hos SIT (de overdrager ansvaret til leverandøren).
6. Sandkassemiljø.
7. Undervisning af kundens driftpersionale i drift af applikationen. </v>
      </c>
      <c r="F269"/>
    </row>
    <row r="270" spans="1:6" hidden="1">
      <c r="A270" t="str">
        <f>'Production Plan'!B270</f>
        <v>Bilag 1 - Sikkerhed</v>
      </c>
      <c r="B270">
        <f>VLOOKUP(A270,'Production Plan'!B:T,16,FALSE)</f>
        <v>0</v>
      </c>
      <c r="C270" t="str">
        <f>VLOOKUP(A270,'Production Plan'!B:F,5,FALSE)</f>
        <v>Verificering af sikkerhedskrav, inkl.:
Leverandørens medarbejdere, der skal understøtte Kunden i Leveringskontraktens levetid, skal sikkerhedsgodkendes jf. Leveringskontrakten pkt. 11.</v>
      </c>
      <c r="F270"/>
    </row>
    <row r="271" spans="1:6" hidden="1">
      <c r="A271" t="str">
        <f>'Production Plan'!B271</f>
        <v>B1.A-1</v>
      </c>
      <c r="B271">
        <f>VLOOKUP(A271,'Production Plan'!B:T,16,FALSE)</f>
        <v>0</v>
      </c>
      <c r="C271" t="str">
        <f>VLOOKUP(A271,'Production Plan'!B:F,5,FALSE)</f>
        <v>Leverandøren kan ikke ændre optællingsmetoden af anvendte og installerede produkter anskaffet under Leveringskontrakten. Optællingsmetoden henviser til at der for de i Leverandørens tilbud anførte produkter ikke kan ændres på afregningsformen i antal navngivne Brugere, devices, processorer etc.</v>
      </c>
      <c r="F271"/>
    </row>
    <row r="272" spans="1:6" hidden="1">
      <c r="A272" t="str">
        <f>'Production Plan'!B272</f>
        <v>B1.A-2</v>
      </c>
      <c r="B272">
        <f>VLOOKUP(A272,'Production Plan'!B:T,16,FALSE)</f>
        <v>0</v>
      </c>
      <c r="C272" t="str">
        <f>VLOOKUP(A272,'Production Plan'!B:F,5,FALSE)</f>
        <v>Der afregnes efter Kundens brug af programmellet. Afregningsformen kan ikke ændres på allerede erhvervede licenser. Dette kan være optalt i enten antallet af f.eks. Brugere, processorer eller devices. Leverandøren er ikke berettiget til at lade kundespecifikke forhold af demografisk eller geografisk karakter have direkte eller indirekte indflydelse på afregningsformen, med mindre andet eksplicit er aftalt.</v>
      </c>
      <c r="F272"/>
    </row>
    <row r="273" spans="1:6" hidden="1">
      <c r="A273" t="str">
        <f>'Production Plan'!B273</f>
        <v>B1.A-3</v>
      </c>
      <c r="B273">
        <f>VLOOKUP(A273,'Production Plan'!B:T,16,FALSE)</f>
        <v>0</v>
      </c>
      <c r="C273" t="str">
        <f>VLOOKUP(A273,'Production Plan'!B:F,5,FALSE)</f>
        <v>Under de vilkår der er angivet i Leveringskontraktens bestemmelser om ændringer, står det Kunden frit for at anvende det indkøbte programmel indenfor Kundens koncern og nye eller ændrede myndigheder/koncerner etableret eller ændret f.eks. pga. omstruktureringer/ressortomlægninger, idet Kunden meddeler dette til Leverandøren og underskriver sædvanlige standardiserede navneændring/overdragelsesdokumenter overfor Leverandøren. Kunder som køber ind via Det dynamiske indkøbssystem på vegne af øvrige statslige Myndigheder kan uhindret og vederlagsfrit flytte licenser mellem statslige Myndigheder. Tilsvarende gælder imellem kommuner, regioner og lignende. Den organisatoriske anvendelsesret omfatter både tidsubegrænsede og tidsbegrænsede licenser / on-premise og cloud.</v>
      </c>
      <c r="F273"/>
    </row>
    <row r="274" spans="1:6" hidden="1">
      <c r="A274" t="str">
        <f>'Production Plan'!B274</f>
        <v>B1.A-4</v>
      </c>
      <c r="B274">
        <f>VLOOKUP(A274,'Production Plan'!B:T,16,FALSE)</f>
        <v>0</v>
      </c>
      <c r="C274" t="str">
        <f>VLOOKUP(A274,'Production Plan'!B:F,5,FALSE)</f>
        <v>Kunden har ret til at installere og drifte det indkøbte programmel på alle fysiske lokationer, der er knyttet til Myndigheden/koncernen og dennes ressortområder/datterselskaber. Denne ret er ikke begrænset til afvikling af softwaren i Danmark, men gælder i alle lande hvor Myndigheden/koncernen opererer.</v>
      </c>
      <c r="F274"/>
    </row>
    <row r="275" spans="1:6" hidden="1">
      <c r="A275" t="str">
        <f>'Production Plan'!B275</f>
        <v>B1.A-5</v>
      </c>
      <c r="B275">
        <f>VLOOKUP(A275,'Production Plan'!B:T,16,FALSE)</f>
        <v>0</v>
      </c>
      <c r="C275" t="str">
        <f>VLOOKUP(A275,'Production Plan'!B:F,5,FALSE)</f>
        <v>Såfremt Producenten/Leverandøren ønsker at gennemføre et audit af Kundens licensbeholdning gælder et almindeligt varsel på 60 kalenderdage inden audit må gennemføres. Leverandøren betaler auditomkostningerne (internt tidsforbrug hos henholdsvis Kunden og Leverandøren/Producenten, kan ikke opkræves), hvis omfanget af non-compliance ikke overstiger 15% af organisationens samlede licens- og supportomkostninger for Leveringskontraktens foregående år. I tilfælde af audit, hvor audit gennemføres af tredjepart (f.eks. et revisionsfirma) har Kunden ret til at afvise Leverandørens auditør, hvis Kunden kan sandsynliggøre at der er forhold, der gør auditøren inhabil. I særlige tilfælde f.eks. i forbindelse med organisationsændringer eller fusioner har Kunden ret til udsættelse på 60 kalenderdage udover det almindelige varsel Leverandøren er pålagt.</v>
      </c>
      <c r="F275"/>
    </row>
    <row r="276" spans="1:6" hidden="1">
      <c r="A276" t="str">
        <f>'Production Plan'!B276</f>
        <v>B1.A-6</v>
      </c>
      <c r="B276">
        <f>VLOOKUP(A276,'Production Plan'!B:T,16,FALSE)</f>
        <v>0</v>
      </c>
      <c r="C276" t="str">
        <f>VLOOKUP(A276,'Production Plan'!B:F,5,FALSE)</f>
        <v>I tilfælde af at Leverandøren/Producenten gennemfører et audit, og der anvendes flere licenser/services, end der er indkøbt, er Kunden forpligtet til at betale for de manglende licenser/services og eventuel support. Det er de i Leveringskontrakten allerede angivne priser som skal anvendes.</v>
      </c>
      <c r="F276"/>
    </row>
    <row r="277" spans="1:6" hidden="1">
      <c r="A277" t="str">
        <f>'Production Plan'!B277</f>
        <v>B1.A-7</v>
      </c>
      <c r="B277">
        <f>VLOOKUP(A277,'Production Plan'!B:T,16,FALSE)</f>
        <v>0</v>
      </c>
      <c r="C277" t="str">
        <f>VLOOKUP(A277,'Production Plan'!B:F,5,FALSE)</f>
        <v>Ved migrering af drift fra et system til et andet eller ved skift af driftsleverandør, har Kunden ret til vederlagsfrit at dobbeltdrifte i en periode på op til 4 måneder, hvor systemet migreres fra et driftsmiljø til et andet.</v>
      </c>
      <c r="F277"/>
    </row>
    <row r="278" spans="1:6" hidden="1">
      <c r="A278" t="str">
        <f>'Production Plan'!B278</f>
        <v>B1.A-8</v>
      </c>
      <c r="B278">
        <f>VLOOKUP(A278,'Production Plan'!B:T,16,FALSE)</f>
        <v>0</v>
      </c>
      <c r="C278" t="str">
        <f>VLOOKUP(A278,'Production Plan'!B:F,5,FALSE)</f>
        <v>Kunden ejer alt genereret data som selvstændigt er skabt af Kunden ved hjælp af det installerede standardsoftware, tidsubegrænset og vederlagsfrit. Kunden kan frit bruge og distribuere data, såfremt dette ikke strider mod tredjemands rettigheder. Med data forstås for eksempel borgerdata, rapporter, tekster eller regneeksempler, der risikerer at gå tabt ved skift af platform. Såfremt Leveringskontrakten ophører, skal Leverandøren vederlagsfrit sikre at Kunden kan få adgang til data og dataoverflytning i 90 Dage.</v>
      </c>
      <c r="F278"/>
    </row>
    <row r="279" spans="1:6" hidden="1">
      <c r="A279" t="str">
        <f>'Production Plan'!B279</f>
        <v>B1.A-9</v>
      </c>
      <c r="B279">
        <f>VLOOKUP(A279,'Production Plan'!B:T,16,FALSE)</f>
        <v>0</v>
      </c>
      <c r="C279" t="str">
        <f>VLOOKUP(A279,'Production Plan'!B:F,5,FALSE)</f>
        <v>Kunden har ret til at: - Fremstille et sikkerhedseksemplar af standardsoftwaren, for så vidt det er nødvendigt for benyttelsen af Standardsoftwaren - Besigtige, undersøge eller afprøve standardsoftwaren for at fastslå, hvilke ideer og principper der ligger til grund for de enkelte elementer i programmet, hvis dette sker i forbindelse med sådan indlæsning, visning på skærm, kørsel, overførsel, lagring eller lignende af programmet, som vedkommende er berettiget til at udføre. Kunder der har ret til at benytte en database, må desuden foretage sådanne handlinger, som er nødvendige for, at den pågældende kan få adgang til databasens indhold og gøre normal brug af dette.</v>
      </c>
      <c r="F279"/>
    </row>
    <row r="280" spans="1:6" hidden="1">
      <c r="A280" t="str">
        <f>'Production Plan'!B280</f>
        <v>B1.A-10</v>
      </c>
      <c r="B280">
        <f>VLOOKUP(A280,'Production Plan'!B:T,16,FALSE)</f>
        <v>0</v>
      </c>
      <c r="C280" t="str">
        <f>VLOOKUP(A280,'Production Plan'!B:F,5,FALSE)</f>
        <v>Kunden må frit benytte tredjemands bistand til forvaltning og drift af det leverede standardsoftware. Leverandøren kan stille krav til indgåelse af en skriftlig aftale imellem Kunden, Leverandøren og den pågældende tredjemand vedrørende vilkårene for tredjemands drift af det leverede programmel, forudsat at en sådan aftale ikke indeholder en særskilt pris herfor.</v>
      </c>
      <c r="F280"/>
    </row>
    <row r="281" spans="1:6" hidden="1">
      <c r="A281" t="str">
        <f>'Production Plan'!B281</f>
        <v>B1.A-11</v>
      </c>
      <c r="B281">
        <f>VLOOKUP(A281,'Production Plan'!B:T,16,FALSE)</f>
        <v>0</v>
      </c>
      <c r="C281" t="str">
        <f>VLOOKUP(A281,'Production Plan'!B:F,5,FALSE)</f>
        <v>Kunden skal stilles det fulde ESDH Standard API til rådighed for Kundens systemer. Al Kundens adgang, integration og forbrug af API'et er inkluderet uden yderligere omkostninger, og Leverandøren kan ikke opkræve yderligere gebyrer, uanset mængden af integrationer eller datatransaktioner, således at der ikke opkræves licensudgift pr. applikation.</v>
      </c>
      <c r="F281"/>
    </row>
    <row r="282" spans="1:6" hidden="1">
      <c r="A282" t="str">
        <f>'Production Plan'!B282</f>
        <v>B1.F-1</v>
      </c>
      <c r="B282">
        <f>VLOOKUP(A282,'Production Plan'!B:T,16,FALSE)</f>
        <v>0</v>
      </c>
      <c r="C282" t="str">
        <f>VLOOKUP(A282,'Production Plan'!B:F,5,FALSE)</f>
        <v>Oversigt over prøver, prøveudførende og miljø Dette afsnit beskriver de prøver, der skal gennemføres ved etableringen af ESDH-løsningen. Kundens pre-produktionsmiljø vil blive anvendt i alle prøver på nær konverteringsprøven og Driftsprøven. Tabel 1 – Oversigt over prøver, prøveudførende og ansvarlig samt miljø. Prøve Prøveudførende og ansvarlig Leverandør Leverandør Leverandøren sammen med SIT og Kunden Miljø Separat miljø til migreringstest – etableres af Kunden men ESDH-løsning leveres af leverandør Kundens pre-produktionsmiljø Kundens pre-produktionsmiljø Kundens produktionsmiljø 1. 2. 3. Installationsprøve Performanceprøve Sikkerhedsprøve inkl. Disaster Recovery 4. Konverteringsprøve Leverandør i samarbejde med Kunden 5. 6. 7. Accepttest - UAT Overtagelsesprøve Driftsprøve Kunden Leverandør Kunden Kundens pre-produktionsmiljø Kundens pre-produktionsmiljø Kundens pre-produktionsmiljø Bemærkning Leverandøren skal dokumentere, at sikkerhedskravene er opfyldt gennem en sikkerhedsprøve 3</v>
      </c>
      <c r="F282"/>
    </row>
    <row r="283" spans="1:6" hidden="1">
      <c r="A283" t="str">
        <f>'Production Plan'!B283</f>
        <v>B1.F-2</v>
      </c>
      <c r="B283">
        <f>VLOOKUP(A283,'Production Plan'!B:T,16,FALSE)</f>
        <v>0</v>
      </c>
      <c r="C283" t="str">
        <f>VLOOKUP(A283,'Production Plan'!B:F,5,FALSE)</f>
        <v>Testdokumentation Leverandøren skal planlægge, dokumentere, gennemføre og rapportere alle prøver i overensstemmelse med de relevante dele af IEEE 29119-serien, herunder særligt testprocesser, testdokumentation og testteknikker. Testterminologi, definitioner og begreber skal følge den til enhver tid gældende ISTQB glossary på dansk. Leverandøren kan anvende egne metoder og værktøjer, forudsat at disse dokumenter understøtter kravene i dette prøvebilag. Leverandøren skal som en del af testprocesserne bl.a. udarbejde følgende dokumentation i forbindelse med prøverne: • • • Testplan. Testcases. Prøverapport.</v>
      </c>
      <c r="F283"/>
    </row>
    <row r="284" spans="1:6" hidden="1">
      <c r="A284" t="str">
        <f>'Production Plan'!B284</f>
        <v>B1.F-3</v>
      </c>
      <c r="B284">
        <f>VLOOKUP(A284,'Production Plan'!B:T,16,FALSE)</f>
        <v>0</v>
      </c>
      <c r="C284" t="str">
        <f>VLOOKUP(A284,'Production Plan'!B:F,5,FALSE)</f>
        <v>Testplan Leverandøren er ansvarlig for testplaner for alle prøver. Testplaner skal godkendes af Kunden. Leverandøren instrueres i til at fremsende den endelige testplan for en prøve til Kunden senest 20 Arbejdsdage inden prøvens påbegyndelse, jf. den for prøven gældende testtidsplan. Den endelige testplan for en prøve skal godkendes af Kunden forud for gennemførelse af den pågældende prøve. Eventuelle ændringsforslag fra Kunden skal fremsendes til Leverandøren. Herefter indarbejder Leverandøren Kundens ændringer i den endelige testplan, der skal foreligge 10 Arbejdsdage før prøvens start. Såfremt Kunden ikke fremsender skriftlige indsigelser til Leverandøren inden for 5 Arbejdsdage efter modtagelse, betragtes testplanen for prøven som godkendt. Testplanen skal tilpasses den konkrete prøve. Testplanen skal som minimum indeholde følgende: • • • • • • • • Indledning med begrundelse for valgt prøve- og testtilgang. Prøvens formål, omfang og kontekst: Hvad der skal afprøves. Testcases: Hvilke der indgår, og hvornår de skal afprøves. Omfanget af prøven udtrykt ved antallet af konkrete testcases, der planlægges gennemført. Oversigt over testcases, dækningsgrad for testen op mod krav, herunder en redegørelse for dækningsgradens tilstrækkelighed. Testdata: Hvordan de dannes eller genereres, og hvordan det sikres, at de dækker tilstrækkeligt for en grundig afprøvning. Kundens deltagelse: Roller, ansvar, omfang og tidspunkt, herunder levering af data. Leverandørens proces skal tilrettelægges, så Kundens indsats minimeres. Testressourcer, der kræves for at gennemføre prøven. 4 • • • Ansvarsfordeling, så det fremgår hvilke testressourcer, der skal gennemføre hvilke testaktiviteter. Tidsplan for prøvegennemførelsen. Anvendelse af specifikke metoder, teknikker og værktøjer herunder automatisering.</v>
      </c>
      <c r="F284"/>
    </row>
    <row r="285" spans="1:6" hidden="1">
      <c r="A285" t="str">
        <f>'Production Plan'!B285</f>
        <v>B1.F-4</v>
      </c>
      <c r="B285">
        <f>VLOOKUP(A285,'Production Plan'!B:T,16,FALSE)</f>
        <v>0</v>
      </c>
      <c r="C285" t="str">
        <f>VLOOKUP(A285,'Production Plan'!B:F,5,FALSE)</f>
        <v>Testcases Leverandøren er ansvarlig for at udarbejde og tilrettelægge testcases for de prøver, der er defineret i de respektive prøveplaner. Testcases skal godkendes af Kunden. Kunden overtager testcases udarbejdet af Leverandøren som del af en prøve. De enkelte testcase skal som minimum indeholde: 1. Entydig identifikation af testcasen. 2. Sporbarhed til det krav, som testcasen vedrører. 3. Betingelser for påbegyndelse, f.eks. testdata, testværktøjer, relationer til andre test og evt. forudsætninger for gennemførelse. 4. Input data. 5. Handling (aktioner). 6. Forventet resultat. 7. Betingelser for afslutning.</v>
      </c>
      <c r="F285"/>
    </row>
    <row r="286" spans="1:6" hidden="1">
      <c r="A286" t="str">
        <f>'Production Plan'!B286</f>
        <v>B1.F-5</v>
      </c>
      <c r="B286">
        <f>VLOOKUP(A286,'Production Plan'!B:T,16,FALSE)</f>
        <v>0</v>
      </c>
      <c r="C286" t="str">
        <f>VLOOKUP(A286,'Production Plan'!B:F,5,FALSE)</f>
        <v>Prøverapport Når en prøve er gennemført, skal Leverandøren straks, og senest 5 Arbejdsdage efter prøvens gennemførelse, udarbejde en prøverapport for prøven. Prøverapporten skal dokumentere prøveforløbet og skal som minimum indeholde følgende: • • • • • • • • • Resume med hovedkonklusioner af den prøve der har været udført. Prøvekontekst. Det vil sige hvad der er prøvet og ikke prøvet, prøvens omfang, antagelser og begrænsninger samt hvilke testdata, der er anvendt. Eventuelle afvigelser fra prøveplanen, herunder begrundelser og angivelse af, hvilke krav og testcases, der ikke er testet. Oversigt over testcases, der er afprøvet, samt resultaterne. Evaluering af de i prøveplanen aftalte godkendelseskriterier. Faktorer der evt. blokerede fremdrift i prøven. Test-metrikker: o antal testcases udført, ▪ antal testcases gennemført med succes, ▪ antal testcases der resulterer i fejl, ▪ antal testcases ikke fuldført. o antal fejl med prioritet 1, 2, 3 og 4. o opnået dækningsgrad målt fra kravene op mod testcases. Fejlliste med eventuelt konstaterede fejl. Fejllisten skal angive: o Hvilke fejl der er fundet under prøven. o I hvilken testcase fejlen er konstateret. o Leverandørens forslag til fejlkategori. Status på og Leverandørens foreslåede plan for afhjælpning af de identificerede fejl. 5 • • Tilbageværende risici, som ikke er blevet berørt i prøven. Samlet resultatet af den gennemførte prøve med anbefaling til Kunden på baggrund af resultatet. Kunden skal godkende Leverandørens forslag til kategoriseringen af udestående fejl, som fremgår af Prøverapporten. Af prøverapporten skal der desuden fremgå en handlingsplan, der beskriver, hvordan og hvornår fejl udbedres, såfremt Kunden bestiller dette iværksat.</v>
      </c>
      <c r="F286"/>
    </row>
    <row r="287" spans="1:6" hidden="1">
      <c r="A287" t="str">
        <f>'Production Plan'!B287</f>
        <v>B1.F-6</v>
      </c>
      <c r="B287">
        <f>VLOOKUP(A287,'Production Plan'!B:T,16,FALSE)</f>
        <v>0</v>
      </c>
      <c r="C287" t="str">
        <f>VLOOKUP(A287,'Production Plan'!B:F,5,FALSE)</f>
        <v>Testmiljøer Det fremtidige systemlandskab skal bestå af to separate miljøer (NON-PROD og Produktion) til håndtering af Kundens ESDH-instanser, hvor Leverandøren skal installere ESDH-løsningen. Leverandøren skal desuden stille deres ESDH-løsning til rådighed hos SIT i et konverteringsmiljø, hvor leverandøren kan gennemføre og verificere konverteringen. Det aftales forud for gennemførelse af en testaktivitet, som del af en prøve, i hvilket miljø testaktiviteten gennemføres i.</v>
      </c>
      <c r="F287"/>
    </row>
    <row r="288" spans="1:6" hidden="1">
      <c r="A288" t="str">
        <f>'Production Plan'!B288</f>
        <v>B1.F-7</v>
      </c>
      <c r="B288">
        <f>VLOOKUP(A288,'Production Plan'!B:T,16,FALSE)</f>
        <v>0</v>
      </c>
      <c r="C288" t="str">
        <f>VLOOKUP(A288,'Production Plan'!B:F,5,FALSE)</f>
        <v>Testdata Leverandøren skal sikre, at der er de nødvendige testdata til rådighed til brug for de prøver, som Leverandøren under Kundens instruktionsbeføjelse bliver ansvarlig for afholdelsen af. Prøver skal, så vidt muligt, gennemføres med kundenært data. Hvis en Prøve kræver særlige testdata, skal Leverandøren udarbejde og stille de nødvendige data til rådighed for Kunden. Testdata skal være af en sådan kvalitet, omfang, variation og relevans, at de prøver, de skal anvendes i forbindelse med, får en så høj grad af realisme som muligt. Testdata i relation til performanceprøven kræver, at der findes mindst 8.000.000 Dokumenter i Løsningen på 2.000.000 sager med samlet 7 terabyte data. De 8.000.000 Dokumenter skal være fordelt i små, almindelige og store dokumentstørrelser som vist i Tabel 2. Der skal også være nogle Dokumenter med maksimum størrelse. Tabel 2 -- Dokumentstørrelser. Dokumenter er delt i tre niveauer Små Almindelige Store Maksimum Størrelse</v>
      </c>
      <c r="F288"/>
    </row>
    <row r="289" spans="1:6" hidden="1">
      <c r="A289" t="str">
        <f>'Production Plan'!B289</f>
        <v>B1.F-8</v>
      </c>
      <c r="B289">
        <f>VLOOKUP(A289,'Production Plan'!B:T,16,FALSE)</f>
        <v>0</v>
      </c>
      <c r="C289" t="str">
        <f>VLOOKUP(A289,'Production Plan'!B:F,5,FALSE)</f>
        <v>Roller og ansvar Leverandøren har under Kundens instruktionsbeføjelse det overordnede ansvar for al planlægning og udførsel af alle tests og prøver, dog undtaget de dele af testen, som Kunden påtager sig ansvaret for. Leverandøren skal levere de nødvendige ressourcer, som har viden om og forståelse for de nødvendige testaktiviteter.</v>
      </c>
      <c r="F289"/>
    </row>
    <row r="290" spans="1:6" hidden="1">
      <c r="A290" t="str">
        <f>'Production Plan'!B290</f>
        <v>B1.F-9</v>
      </c>
      <c r="B290">
        <f>VLOOKUP(A290,'Production Plan'!B:T,16,FALSE)</f>
        <v>0</v>
      </c>
      <c r="C290" t="str">
        <f>VLOOKUP(A290,'Production Plan'!B:F,5,FALSE)</f>
        <v>Kriterier for påbegyndelse af prøver De enkelte prøver kan påbegyndes når følgende kriterier er opfyldt: • • • Når Leverandøren har installeret ESDH-løsningen i Kundens miljø. Kunden har godkendt Leverandørens prøveplan for den konkrete prøve. Kunden har godkendt Leverandørens testcases, der er relevante for den konkrete prøve. For Installationsprøven er der yderligere kriterier, før prøven kan påbegyndes: • Leverandøren skal have udført egne interne test og der ikke er åbne fejl af prioritet 1 og 2 som følge af denne test. For konverteringsprøven er der yderligere kriterier, før prøven kan påbegyndes: • Kunden har godkendt Leverandørens testcases, hvor alle mapningsregler er dækket.</v>
      </c>
      <c r="F290"/>
    </row>
    <row r="291" spans="1:6" hidden="1">
      <c r="A291" t="str">
        <f>'Production Plan'!B291</f>
        <v>B1.F-10</v>
      </c>
      <c r="B291">
        <f>VLOOKUP(A291,'Production Plan'!B:T,16,FALSE)</f>
        <v>0</v>
      </c>
      <c r="C291" t="str">
        <f>VLOOKUP(A291,'Production Plan'!B:F,5,FALSE)</f>
        <v>Prøvens afvikling Leverandøren skal gennemføre den konkrete prøve som en del af Leverandørens Leverance. Den konkrete prøve skal være bestået senest 5 Arbejdsdage efter igangsættelse med mindre andet aftales. Leverandøren skal i den konkrete prøve indeholde udvalgte testaktiviteter, som Leverandøren foreslår. Omfanget af den konkrete prøve, herunder hvilke testaktiviteter, der inkluderes, fastlægges endeligt sammen med Kunden ved Kundens godkendelse af prøveplanen for den konkrete prøve. Ved afslutningen af den konkrete prøve udarbejder og fremsender Leverandøren senest 5 Arbejdsdage efter udførsel prøverapport til Kunden med indhold som beskrevet i afsnit 2.4 inkl. angivelse af resultatet, herunder eventuelle konstaterede fejl.</v>
      </c>
      <c r="F291"/>
    </row>
    <row r="292" spans="1:6" hidden="1">
      <c r="A292" t="str">
        <f>'Production Plan'!B292</f>
        <v>B1.F-11</v>
      </c>
      <c r="B292">
        <f>VLOOKUP(A292,'Production Plan'!B:T,16,FALSE)</f>
        <v>0</v>
      </c>
      <c r="C292" t="str">
        <f>VLOOKUP(A292,'Production Plan'!B:F,5,FALSE)</f>
        <v>Generelle godkendelseskriterier for prøver For hver prøve gælder som godkendelseskriterium, at test/prøve-rapporten for testen/prøven dokumenterer, at testplanen er fulgt, og at resultaterne af den pågældende test/prøve dokumenteret at godkendelses-kriterier for testen/prøven er opnået. De enkelte test/prøver anses for godkendt, når følgende kriterier er opfyldt: • • • • Der er sporbarhed fra alle krav relevante for den konkrete test/prøve til testcases, så det sikres, at alle krav er teste for den konkrete test/prøve. Alle planlagte testcases er gennemført. Der forekommer ingen åbne fejl med prioritet 1 eller prioritet 2. Der forekommer højst 10 åbne fejl med prioritet 3 og samlet højst 20 åbne fejl med prioritet 4. Leverandøren skal endvidere have udarbejdet en plan for levering af rettelser for udstående fejl ved testen/prøvens afslutning. Kunden skal som del af godkendelsen af en prøve, godkende planen for rettelser af fejl, hvorefter planerne indgår i Leverancen i det videre forløb. En test/prøve kan kun godkendes, hvis der ikke findes fejl med prioritet 1 og 2, jf. fejlkategorier i afsnit 5. Kunden godkender i udgangspunktet ikke en prøve, såfremt der foreligger mere end 30 prioritet 3 og 4 fejl tilsammen medmindre andet er aftalt i testplan godkendt af Kunden, jf. fejlkategorier i afsnit 5.</v>
      </c>
      <c r="F292"/>
    </row>
    <row r="293" spans="1:6" hidden="1">
      <c r="A293" t="str">
        <f>'Production Plan'!B293</f>
        <v>B1.F-12</v>
      </c>
      <c r="B293">
        <f>VLOOKUP(A293,'Production Plan'!B:T,16,FALSE)</f>
        <v>0</v>
      </c>
      <c r="C293" t="str">
        <f>VLOOKUP(A293,'Production Plan'!B:F,5,FALSE)</f>
        <v>Ikke godkendt prøve Hvis godkendelseskriterierne for en prøve ikke er opfyldt, eller prøvens testplan ikke er fulgt, har Kunden mulighed for ikke at godkende prøven, hvorefter Kunden vil instruere Leverandøren ift. at gentage prøven. 8</v>
      </c>
      <c r="F293"/>
    </row>
    <row r="294" spans="1:6" hidden="1">
      <c r="A294" t="str">
        <f>'Production Plan'!B294</f>
        <v>B1.F-13</v>
      </c>
      <c r="B294">
        <f>VLOOKUP(A294,'Production Plan'!B:T,16,FALSE)</f>
        <v>0</v>
      </c>
      <c r="C294" t="str">
        <f>VLOOKUP(A294,'Production Plan'!B:F,5,FALSE)</f>
        <v>Fejlrapporteringsværktøj Kunden stiller værktøjet Jira til rådighed, hvori fejl fundet som del af prøver rapporteres. Fejl dokumenteres i Jira, med reference til hvilken testcase, der har afsløret fejlen. Dette sikrer en god proces for gentest ved fejlrettelser.</v>
      </c>
      <c r="F294"/>
    </row>
    <row r="295" spans="1:6" hidden="1">
      <c r="A295" t="str">
        <f>'Production Plan'!B295</f>
        <v>B1.F-14</v>
      </c>
      <c r="B295">
        <f>VLOOKUP(A295,'Production Plan'!B:T,16,FALSE)</f>
        <v>0</v>
      </c>
      <c r="C295" t="str">
        <f>VLOOKUP(A295,'Production Plan'!B:F,5,FALSE)</f>
        <v>Teststyringsværktøj Kunden stiller teststyringsværktøjet Xray til rådighed. Xray er et plugin til Atlassian Jira hvori testcases skal oprettes/dokumenteres, testforløb skal planlægges og testresultater skal dokumenteres. Testcases kan importeres via en CSV-fil, hvis Leverandøren har testcases i et andet værktøj i dag. Det er muligt at læse mere om Xray Enterprise - Test Management for Jira via Atlassian Marketplace. Sporbarheden skal dokumenteres fra testcase til det unik krav som testcases dækker.</v>
      </c>
      <c r="F295"/>
    </row>
    <row r="296" spans="1:6" hidden="1">
      <c r="A296" t="str">
        <f>'Production Plan'!B296</f>
        <v>B1.F-15</v>
      </c>
      <c r="B296">
        <f>VLOOKUP(A296,'Production Plan'!B:T,16,FALSE)</f>
        <v>0</v>
      </c>
      <c r="C296" t="str">
        <f>VLOOKUP(A296,'Production Plan'!B:F,5,FALSE)</f>
        <v>Testautomatisering Kunden overtager testautomatiseringsscripts udarbejdet af Leverandøren som del af en prøve, hvis testautomatisering er anvendt.</v>
      </c>
      <c r="F296"/>
    </row>
    <row r="297" spans="1:6" hidden="1">
      <c r="A297" t="str">
        <f>'Production Plan'!B297</f>
        <v>B1.F-16</v>
      </c>
      <c r="B297">
        <f>VLOOKUP(A297,'Production Plan'!B:T,16,FALSE)</f>
        <v>0</v>
      </c>
      <c r="C297" t="str">
        <f>VLOOKUP(A297,'Production Plan'!B:F,5,FALSE)</f>
        <v>Tværgående testscenarier, testdata, testkonfiguration og testfunktionalitet Leverandøren skal forud for gennemførelse af prøverne sikre, at testscenarier, testdata, testkonfiguration og testfunktionalitet er udarbejdet i overensstemmelse med nedenstående.</v>
      </c>
      <c r="F297"/>
    </row>
    <row r="298" spans="1:6" hidden="1">
      <c r="A298" t="str">
        <f>'Production Plan'!B298</f>
        <v>B1.F-17</v>
      </c>
      <c r="B298">
        <f>VLOOKUP(A298,'Production Plan'!B:T,16,FALSE)</f>
        <v>0</v>
      </c>
      <c r="C298" t="str">
        <f>VLOOKUP(A298,'Production Plan'!B:F,5,FALSE)</f>
        <v>Testkonfiguration Leverandøren skal efter behov udarbejde en testkonfiguration af ESDH-løsningen. Ved testkonfiguration forstås en konfiguration af ESDH-løsningen, der skal etableres forud for påbegyndelsen af en prøve, således at det er muligt at gennemføre en prøve på ESDH-løsningen. Dette kan inkludere anvendelse og aktivering af testdata og testfunktionalitet.</v>
      </c>
      <c r="F298"/>
    </row>
    <row r="299" spans="1:6" hidden="1">
      <c r="A299" t="str">
        <f>'Production Plan'!B299</f>
        <v>B1.F-18</v>
      </c>
      <c r="B299">
        <f>VLOOKUP(A299,'Production Plan'!B:T,16,FALSE)</f>
        <v>0</v>
      </c>
      <c r="C299" t="str">
        <f>VLOOKUP(A299,'Production Plan'!B:F,5,FALSE)</f>
        <v>Testfunktionalitet Leverandøren skal sikre, at der er den nødvendige testfunktionalitet til rådighed til brug for prøver. Ved testfunktionalitet forstås funktionalitet, der udelukkende anvendes til testformål, og som etableres forud for påbegyndelsen af en prøve. Dette kan eksempelvis være en teststub, der simulerer ekstern service, API´er eller anden form for automatiseret test.</v>
      </c>
      <c r="F299"/>
    </row>
    <row r="300" spans="1:6" hidden="1">
      <c r="A300" t="str">
        <f>'Production Plan'!B300</f>
        <v>B1.F-19</v>
      </c>
      <c r="B300">
        <f>VLOOKUP(A300,'Production Plan'!B:T,16,FALSE)</f>
        <v>0</v>
      </c>
      <c r="C300" t="str">
        <f>VLOOKUP(A300,'Production Plan'!B:F,5,FALSE)</f>
        <v>Installationsprøvens indhold Installationsprøven skal omfatte: 10 • • • • • • • Kontrol af, at installationen kan gennemføres uden fejl og i overensstemmelse med den godkendte installationsvejledning. Verifikation af, at alle services og evt. moduler er installeret og aktive. Kontrol af, at ESDH-løsningen kan tilgås af Brugere og Administratorer. Test af grundlæggende funktioner, herunder oprettelse af sager og Dokumenter, søgning og journalisering. Bekræftelse af, at API´er fungerer efter hensigten. Kontrol af, at logning, sikkerhedsindstillinger og backupfunktionalitet er konfigureret korrekt. Gennemgang af installationsvejledninger med Kundens driftsleverandør.</v>
      </c>
      <c r="F300"/>
    </row>
    <row r="301" spans="1:6" hidden="1">
      <c r="A301" t="str">
        <f>'Production Plan'!B301</f>
        <v>B1.F-20</v>
      </c>
      <c r="B301">
        <f>VLOOKUP(A301,'Production Plan'!B:T,16,FALSE)</f>
        <v>0</v>
      </c>
      <c r="C301" t="str">
        <f>VLOOKUP(A301,'Production Plan'!B:F,5,FALSE)</f>
        <v>Performanceprøven indhold Performanceprøven skal omfatte: • • • Belastning af ESDH-løsning med 1.000 Brugere, der arbejder samtidig med testen, der udføres. Datagrundlag ESDH-løsningen er tilgængelig i et pre-produktionsmiljø og der findes mindst</v>
      </c>
      <c r="F301"/>
    </row>
    <row r="302" spans="1:6" hidden="1">
      <c r="A302" t="str">
        <f>'Production Plan'!B302</f>
        <v>B1.F-21</v>
      </c>
      <c r="B302">
        <f>VLOOKUP(A302,'Production Plan'!B:T,16,FALSE)</f>
        <v>0</v>
      </c>
      <c r="C302" t="str">
        <f>VLOOKUP(A302,'Production Plan'!B:F,5,FALSE)</f>
        <v>Dokumenter i ESDH-løsningen på 2.000.000 sager med samlet 7 terabyte data. Test af test i de tre transaktionskategorier, simple, middel og kompleks fra Bilag 1.h Servicemål afsnit 3.4.</v>
      </c>
      <c r="F302"/>
    </row>
    <row r="303" spans="1:6" hidden="1">
      <c r="A303" t="str">
        <f>'Production Plan'!B303</f>
        <v>B1.F-22</v>
      </c>
      <c r="B303">
        <f>VLOOKUP(A303,'Production Plan'!B:T,16,FALSE)</f>
        <v>0</v>
      </c>
      <c r="C303" t="str">
        <f>VLOOKUP(A303,'Production Plan'!B:F,5,FALSE)</f>
        <v>Sikkerhedsprøven indhold Sikkerhedsprøven skal omfatte: 11 • • • • • • • • • Test af Adgangsstyring og rettigheder. Single Sign-On og integration til Kundens identitetsplatform. Logning og sporbarhed. API- og integrationssikkerhed. Konfiguration af sikkerhedsindstillinger. Sårbarheder og sikkerhedstest. Backup, restore og beredskab. Håndtering af sikkerhedsafvigelser. Gennemgang af beredskabsplan med Kundens og Kundens driftsleverandør. Dokumentation som verificering af test. • Leverandøren kan anvende dokumentation, erklæringer, revisionsrapporter, certificeringer, testprotokoller, konfigurationsudtræk og skærmbilleder indgå som testbevis, hvor egentlig teknisk test ikke er mulig eller hensigtsmæssig. Leverandøren skal på Kundens anmodning medvirke til at gennemgå dokumentationen som led i godkendelsesforløbet.</v>
      </c>
      <c r="F303"/>
    </row>
    <row r="304" spans="1:6" hidden="1">
      <c r="A304" t="str">
        <f>'Production Plan'!B304</f>
        <v>B1.F-23</v>
      </c>
      <c r="B304">
        <f>VLOOKUP(A304,'Production Plan'!B:T,16,FALSE)</f>
        <v>0</v>
      </c>
      <c r="C304" t="str">
        <f>VLOOKUP(A304,'Production Plan'!B:F,5,FALSE)</f>
        <v>Konverteringsprøven indhold Konverteringsprøven skal omfatte: • • • • Kontrol af, at konverteringen kan gennemføres uden fejl og i overensstemmelse med den godkendte testplan. Udførelse af alle testcases. Verifikation af, at alle data er korrekt konverteret over i den nye ESDH-løsning jf. datamapningsregler. Test af grundlæggende funktioner, herunder oprettelse og opdatering af sager og Dokumenter, søgning og journalisering fungerer på de konverterede data.</v>
      </c>
      <c r="F304"/>
    </row>
    <row r="305" spans="1:6" hidden="1">
      <c r="A305" t="str">
        <f>'Production Plan'!B305</f>
        <v>B1.F-24</v>
      </c>
      <c r="B305">
        <f>VLOOKUP(A305,'Production Plan'!B:T,16,FALSE)</f>
        <v>0</v>
      </c>
      <c r="C305" t="str">
        <f>VLOOKUP(A305,'Production Plan'!B:F,5,FALSE)</f>
        <v>Kriterier for påbegyndelse Overtagelsesprøven kan påbegyndes, når følgende kriterier er opfyldt: 1. Installationsprøven er gennemført og godkendt. 2. Performanceprøven er gennemført og godkendt. 3. Sikkerhedsprøven er gennemført og godkendt. 4. Konverteringsprøven er gennemført og godkendt. 5. Accepttest – UAT er gennemført og godkendt. 6. ESDH-løsningen har ingen åbne prioritet 1 og prioritet 2 fejl. 7. Kunden har godkendt Leverandørens prøveplan for Overtagelsesprøven. 8. Kunden har godkendt Leverandørens testcases, der Overtagelsesprøven. 9. ESDH-løsningen er installeret i Kundens pre-produktionsmiljø. 10. ESDH-løsningen er konfiguration i Kundens pre-produktionsmiljøer.</v>
      </c>
      <c r="F305"/>
    </row>
    <row r="306" spans="1:6" hidden="1">
      <c r="A306" t="str">
        <f>'Production Plan'!B306</f>
        <v>B1.F-25</v>
      </c>
      <c r="B306">
        <f>VLOOKUP(A306,'Production Plan'!B:T,16,FALSE)</f>
        <v>0</v>
      </c>
      <c r="C306" t="str">
        <f>VLOOKUP(A306,'Production Plan'!B:F,5,FALSE)</f>
        <v>Overtagelsesprøvens indhold Overtagelsesprøven skal omfatte: 13 1. Test af alle funktionelle og ikke-funktionelle krav i Bilag 1.b Krav til standardsoftware. 2. Verifikation af, at Leverandørens dokumentation, jf. Bilag 1.b Krav til standardsoftware er fuldstændige. 3. Bekræftelse af, at servicedesk og supportorganisation er etableret og fungerer i henhold til aftalte processer. 4. Test af drifts- og sikkerhedsopsætning, herunder backup, logning, overvågning og hændelseshåndtering i pre-produktionsmiljøet. 5. En handlingsplan, der beskriver, hvordan og hvornår fejl udbedres, såfremt Kunden bestiller dette iværksat.</v>
      </c>
      <c r="F306"/>
    </row>
    <row r="307" spans="1:6" hidden="1">
      <c r="A307" t="str">
        <f>'Production Plan'!B307</f>
        <v>B1.F-26</v>
      </c>
      <c r="B307">
        <f>VLOOKUP(A307,'Production Plan'!B:T,16,FALSE)</f>
        <v>0</v>
      </c>
      <c r="C307" t="str">
        <f>VLOOKUP(A307,'Production Plan'!B:F,5,FALSE)</f>
        <v>Godkendelseskriterier Overtagelsesprøven anses for godkendt, når følgende kriterier er opfyldt: 1. Der er sporbarhed fra alle krav relevante for den konkrete test/prøve til testcases, så det sikres, at alle krav er teste for den konkrete test/prøve. 2. Alle planlagte testcases er gennemført. 3. Der forekommer ingen åbne fejl med prioritet 1 eller prioritet 2. 4. Der forekommer højst 10 åbne fejl med prioritet 3 fejl og samlet højst 20 åbne fejl med prioritet 4. 5. Alle integrationer til eksterne systemer er etableret i det omfang det er muligt, f.eks. ved teststubbe. 6. Kunden har godkendt Leverandørens dokumentation. 7. At der er udarbejdet en afhjælpningsplan for konstaterede fejl i Overtagelsesprøven.</v>
      </c>
      <c r="F307"/>
    </row>
    <row r="308" spans="1:6" hidden="1">
      <c r="A308" t="str">
        <f>'Production Plan'!B308</f>
        <v>B1.F-27</v>
      </c>
      <c r="B308">
        <f>VLOOKUP(A308,'Production Plan'!B:T,16,FALSE)</f>
        <v>0</v>
      </c>
      <c r="C308" t="str">
        <f>VLOOKUP(A308,'Production Plan'!B:F,5,FALSE)</f>
        <v>Tidspunkt og periode for gennemførelse Driftsprøven startes på krav fra Kunden, forventeligt i oktober 2027, når den fulde Løsning er klar. Den fulde løsning inkluderer Proces- og regelstyring samt Integrationsplatformen, sammen med ESDHløsningen, som beskrevet i Bilag 1.d Kundens målarkitektur for fremtidens ESDH-løsning. Driftsprøven skal vare mindst 30 sammenhængende Arbejdsdage, dog højst 60 Dage.</v>
      </c>
      <c r="F308"/>
    </row>
    <row r="309" spans="1:6" hidden="1">
      <c r="A309" t="str">
        <f>'Production Plan'!B309</f>
        <v>B1.F-28</v>
      </c>
      <c r="B309">
        <f>VLOOKUP(A309,'Production Plan'!B:T,16,FALSE)</f>
        <v>0</v>
      </c>
      <c r="C309" t="str">
        <f>VLOOKUP(A309,'Production Plan'!B:F,5,FALSE)</f>
        <v>Kriterier for påbegyndelse Følgende kriterier skal være opfyldt, før Driftsprøven kan påbegyndes: • • • • Overtagelsesprøven er godkendt af Kunden, og eventuelle fejl, som godkendelsen måtte være betinget af, er afhjulpet, medmindre andet aftales. Overtagelsesprøven for Proces- og regelstyring er gennemført og godkendt. Overtagelsesprøven for Integrationsplatformen er gennemført og godkendt. Leverandøren har udarbejdet en prøveplan for Driftsprøven, som Kunden har godkendt.</v>
      </c>
      <c r="F309"/>
    </row>
    <row r="310" spans="1:6" hidden="1">
      <c r="A310" t="str">
        <f>'Production Plan'!B310</f>
        <v>B1.F-29</v>
      </c>
      <c r="B310">
        <f>VLOOKUP(A310,'Production Plan'!B:T,16,FALSE)</f>
        <v>0</v>
      </c>
      <c r="C310" t="str">
        <f>VLOOKUP(A310,'Production Plan'!B:F,5,FALSE)</f>
        <v>Godkendelseskriterier Driftsprøven anses for godkendt, når følgende kriterier er opfyldt: • • • Servicemålene, jf. Bilag 1.h Servicemål, er opfyldt i perioden for Driftsprøven. Ingen åbne prioritet 1 eller prioritet 2 fejl, jf. afsnit 5 i nærværende bilag, og med en angivelse af eventuelle fejl i en fejlliste med en afhjælpningsplan. Dokumentation, jf. Bilag 1.b Krav til standardsoftware.</v>
      </c>
      <c r="F310"/>
    </row>
    <row r="311" spans="1:6" hidden="1">
      <c r="A311" t="str">
        <f>'Production Plan'!B311</f>
        <v>B1.F-30</v>
      </c>
      <c r="B311">
        <f>VLOOKUP(A311,'Production Plan'!B:T,16,FALSE)</f>
        <v>0</v>
      </c>
      <c r="C311" t="str">
        <f>VLOOKUP(A311,'Production Plan'!B:F,5,FALSE)</f>
        <v>Samlet afslutning Prøveforløbet for ESDH-løsningen betragtes først som afsluttet, når den fulde Løsning har bestået sin Driftsprøve i henhold til godkendelseskriterierne. 15</v>
      </c>
      <c r="F311"/>
    </row>
    <row r="312" spans="1:6" hidden="1">
      <c r="A312" t="str">
        <f>'Production Plan'!B312</f>
        <v>B1.G-1</v>
      </c>
      <c r="B312">
        <f>VLOOKUP(A312,'Production Plan'!B:T,16,FALSE)</f>
        <v>0</v>
      </c>
      <c r="C312" t="str">
        <f>VLOOKUP(A312,'Production Plan'!B:F,5,FALSE)</f>
        <v>Sprog Leverandøren skal sikre, at medarbejderne, der indgår i samarbejdsorganisationen, kan kommunikere mundtligt og skriftligt på dansk. Såfremt Kunden forud giver tilladelse til det, kan dele af kommunikationen i enkelte tilfælde foregå på engelsk.</v>
      </c>
      <c r="F312"/>
    </row>
    <row r="313" spans="1:6" hidden="1">
      <c r="A313" t="str">
        <f>'Production Plan'!B313</f>
        <v>B1.G-2</v>
      </c>
      <c r="B313">
        <f>VLOOKUP(A313,'Production Plan'!B:T,16,FALSE)</f>
        <v>0</v>
      </c>
      <c r="C313" t="str">
        <f>VLOOKUP(A313,'Production Plan'!B:F,5,FALSE)</f>
        <v>Sikkerhedsgodkendelse Alle medarbejdere fra Leverandøren, der tilknyttes Kunden, og har adgang til Kundens oplysninger i form af fejlindmeldinger, ændringsanmodninger og lignende, skal kunne sikkerhedstjekkes og sikkerhedsgodkendes samt opretholde denne gennem Leveringskontraktens levetid jf. Bilag 1 Kundens opgavebeskrivelse pkt. 8 og Leveringskontraktens pkt. 11.</v>
      </c>
      <c r="F313"/>
    </row>
    <row r="314" spans="1:6" hidden="1">
      <c r="A314" t="str">
        <f>'Production Plan'!B314</f>
        <v>B1.G-3</v>
      </c>
      <c r="B314">
        <f>VLOOKUP(A314,'Production Plan'!B:T,16,FALSE)</f>
        <v>0</v>
      </c>
      <c r="C314" t="str">
        <f>VLOOKUP(A314,'Production Plan'!B:F,5,FALSE)</f>
        <v>Styregruppe Styregruppen er Kunden og Leverandørens øverste styringsorgan, og har ansvar for den overordnede ledelse og beslutningstagning i implementeringsfasen. Da Kunden opererer efter et multi-leverandør setup, vil implementeringsfasens styregruppe bestå af Kunden, Leverandøren samt andre relevante leverandører, der har betydning for og indflydelse på Kundens ESDH-implementering. Organiseringen af projektet kan se i nedenstående organisationsdiagram. 2 Figur 1 - Organisationsdiagram Styregruppen etableres på opstartsmøde. Styregruppens ansvarsområde/opgave er: • • • • • • • • • Løbende opfølgning på fremdrift og tidsplan Godkende opfyldelse af aftalte milepæle i implementeringsfasen Efterlevelse af Leveringskontrakten og opfølgning på Leverandørens leverancer Afklaring af forhold hos Kunden som måtte forhindre eller forsinke Leverandørens leverancer Godkende ændringslog og større ændringsønsker til Leveringskontrakten Være eskalationspunkt for såvel Leverandørens som Kundens projektleder Afklaring af tvister af enhver art Samarbejde på tværs af multi-leverandør setup, herunder afklaring af tvister og håndtering af udfordringer Godkende Overtagelsesprøve, afrapportering af Overtagelsesprøve samt Driftsprøve og afrapportering heraf Møder i styregruppen afholdes som udgangspunkt hos Kunden. Det forventes at styregruppen afholder møde hver 14. Dag gennem hele implementeringsfasen. Kunden og Leverandøren kan aftale hyppigere mødeaktivitet efter behov.</v>
      </c>
      <c r="F314"/>
    </row>
    <row r="315" spans="1:6" hidden="1">
      <c r="A315" t="str">
        <f>'Production Plan'!B315</f>
        <v>B1.G-4</v>
      </c>
      <c r="B315">
        <f>VLOOKUP(A315,'Production Plan'!B:T,16,FALSE)</f>
        <v>0</v>
      </c>
      <c r="C315" t="str">
        <f>VLOOKUP(A315,'Production Plan'!B:F,5,FALSE)</f>
        <v>Sammensætning Kunden skal være repræsenteret i Styregruppen med 4 repræsentanter, herunder styregruppeformanden. Leverandøren skal være repræsenteret i Styregruppen med den leveranceansvarlige og Leverandørens projektleder. I Styregruppen vil der også indgå repræsentanter fra Kundens øvrige leverandører, der har indflydelse på Kundens ESDH-implementering. 3</v>
      </c>
      <c r="F315"/>
    </row>
    <row r="316" spans="1:6" hidden="1">
      <c r="A316" t="str">
        <f>'Production Plan'!B316</f>
        <v>B1.G-5</v>
      </c>
      <c r="B316">
        <f>VLOOKUP(A316,'Production Plan'!B:T,16,FALSE)</f>
        <v>0</v>
      </c>
      <c r="C316" t="str">
        <f>VLOOKUP(A316,'Production Plan'!B:F,5,FALSE)</f>
        <v>Udskiftning Parterne kan udskifte deres respektive repræsentanter i Styregruppen. Dog skal mindst én af Leverandørens repræsentanter som udgangspunkt forblive fast medlem i hele implementeringsfasen. Leverandøren skal skriftligt underrette styregruppeformanden om enhver udskiftning af et medlem. Underretningen skal indeholde navn på det udtrædende og det nye medlem. Parterne kan efter behov midlertidigt udvide deltagerkredsen til enkelte møder.</v>
      </c>
      <c r="F316"/>
    </row>
    <row r="317" spans="1:6" hidden="1">
      <c r="A317" t="str">
        <f>'Production Plan'!B317</f>
        <v>B1.G-6</v>
      </c>
      <c r="B317">
        <f>VLOOKUP(A317,'Production Plan'!B:T,16,FALSE)</f>
        <v>0</v>
      </c>
      <c r="C317" t="str">
        <f>VLOOKUP(A317,'Production Plan'!B:F,5,FALSE)</f>
        <v>Referat af styregruppemøder Kunden udarbejder referat fra styregruppemøder og sender det til Leverandøren senest 5 Arbejdsdage efter mødet. Referatet skal indeholde en beslutningslog. Leverandøren sender eventuelle kommentarer til Kunden senest 5 Arbejdsdage efter modtagelsen. Hvis Kunden ikke modtager kommentarer inden fristen, betragtes referatet som godkendt.</v>
      </c>
      <c r="F317"/>
    </row>
    <row r="318" spans="1:6" hidden="1">
      <c r="A318" t="str">
        <f>'Production Plan'!B318</f>
        <v>B1.G-7</v>
      </c>
      <c r="B318">
        <f>VLOOKUP(A318,'Production Plan'!B:T,16,FALSE)</f>
        <v>0</v>
      </c>
      <c r="C318" t="str">
        <f>VLOOKUP(A318,'Production Plan'!B:F,5,FALSE)</f>
        <v>Projektledelse Kundens projektledelse varetager projektledelsen af Kundens samlede implementeringsprojekt. Kundens projektleder står sammen med Leverandørens projektleder for tilrettelæggelsen af aktiviteter i projektet, koordinering af tidsplaner, ændringsønsker mm. Kundens projektleder har følgende opgaver/ansvarsområder: • • • • • • Følge op på Leverandørens aktiviteter og leverancer i henhold til Leveringskontrakten. Følge op på Kundens medvirken i forhold til tidsplaner og aftalte forudsætninger. Sikre detaljeret planlægning, tilrettelæggelse og opfølgning på aktiviteter Risikostyring af projektets aktiviteter Udarbejdelse af statusrapporter m.m., så de er klargjort til styregruppemøde Samarbejde med Leverandørens projektleder Leverandørens projektleder har følgende opgaver/ansvarsområder: • • • • • Sikre detaljeret planlægning af Leverandørens leverancer i samarbejde med Kundens projektleder Opfølgning på Leverandørens igangværende aktiviteter Leverandørens ressourcer og leverancer Sikre håndtering af ændringsanmodninger Samarbejde med Kundens projektleder De 2 projektledere kan i fællesskab beslutte, om der skal anvendes ad hoc arbejdsgrupper med deltagere fra Leverandøren og Kunden.</v>
      </c>
      <c r="F318"/>
    </row>
    <row r="319" spans="1:6" hidden="1">
      <c r="A319" t="str">
        <f>'Production Plan'!B319</f>
        <v>B1.G-8</v>
      </c>
      <c r="B319">
        <f>VLOOKUP(A319,'Production Plan'!B:T,16,FALSE)</f>
        <v>0</v>
      </c>
      <c r="C319" t="str">
        <f>VLOOKUP(A319,'Production Plan'!B:F,5,FALSE)</f>
        <v>Personer og roller Det daglige samarbejde i driftsfasen varetages af Kundens systemforvaltning, som har ansvaret for den daglige administration af ESDH-løsningen, og Leverandørens servicemanagement herunder Leverandørens kundeansvarlige, service delivery manager og Leverandørens team med ansvar for ESDH-løsningen.</v>
      </c>
      <c r="F319"/>
    </row>
    <row r="320" spans="1:6" hidden="1">
      <c r="A320" t="str">
        <f>'Production Plan'!B320</f>
        <v>B1.G-9</v>
      </c>
      <c r="B320">
        <f>VLOOKUP(A320,'Production Plan'!B:T,16,FALSE)</f>
        <v>0</v>
      </c>
      <c r="C320" t="str">
        <f>VLOOKUP(A320,'Production Plan'!B:F,5,FALSE)</f>
        <v>Centrale roller ved Kunden Som leveringskontraktholder er Kunden ansvarlig for: • • Eskalation i forbindelse med incident-håndtering og i forbindelse med håndtering af tvister, juridiske og/eller kommercielle. Afregning med Leverandøren.</v>
      </c>
      <c r="F320"/>
    </row>
    <row r="321" spans="1:6" hidden="1">
      <c r="A321" t="str">
        <f>'Production Plan'!B321</f>
        <v>B1.G-10</v>
      </c>
      <c r="B321">
        <f>VLOOKUP(A321,'Production Plan'!B:T,16,FALSE)</f>
        <v>0</v>
      </c>
      <c r="C321" t="str">
        <f>VLOOKUP(A321,'Production Plan'!B:F,5,FALSE)</f>
        <v>Leveringskontraktansvarlig hos Kunden Den leveringskontraktansvarlige repræsenterer Kundens ledelse. Opgaver og ansvar: • • • Kompetence til at træffe bindende beslutninger i forhold til Leveringskontrakten – også af kommerciel karakter. Sikre overholdelse af Leveringskontrakt både før og efter implementering, herunder afklare Leveringskontraktuelle spørgsmål i relation til Leveringskontrakten. Kvalitetssikre udformning af ændringer til Leveringskontrakten.</v>
      </c>
      <c r="F321"/>
    </row>
    <row r="322" spans="1:6" hidden="1">
      <c r="A322" t="str">
        <f>'Production Plan'!B322</f>
        <v>B1.G-11</v>
      </c>
      <c r="B322">
        <f>VLOOKUP(A322,'Production Plan'!B:T,16,FALSE)</f>
        <v>0</v>
      </c>
      <c r="C322" t="str">
        <f>VLOOKUP(A322,'Production Plan'!B:F,5,FALSE)</f>
        <v>Systemforvalter Systemforvalter er, efter implementering af ESDH-løsningen, Kundens kontakt til Leverandøren, og har således ansvaret for opfølgning på Leverandørens leverancer og for fakturering vedr. disse. Systemforvalter er tillige Kundens ESDH-Administrator, og er ansvarlig for den løbende forvaltning af ESDH-løsningen hos Kunden. Kundens systemforvaltning er ligeledes eskalationspunktet for Kundens Administratorer og Brugere ved fejl eller udfordringer med ESDH-løsningen. Opgaver og ansvar: • • • • • • • Beskrivelse og klargøring af potentielle ændringsanmodninger, herunder ajourføring af ændringslog. Leveringskontraktopdatering ift. ændringsanmodninger (denne opgave kan videredelegeres internt ved Kunden) Opfølgning på incidents og Service request rekvireret af Kunden hos Leverandøren Rekvirerer og kvalitetssikrer drifts- og systemdokumentation, som Leverandøren er forpligtet til at levere og vedligeholde. Rekvirerer opsætningen af leverandørens Standardintegrationer, som Leverandøren er forpligtet til at levere og vedligeholde. Kommunikation til Kundens ambassadører og slutbrugere, fx information om planlagt nedetid, ændringer i opsætning og ny funktionalitet. Medvirken i fejlfinding og opfølgning på supportsager, der er initieret af Kunden eller Leverandøren. 5 • • • Bestilling af ad hoc projekter hos Leverandøren, samt godkendelse af Leverandørens løsningsbeskrivelse i relation til disse. Opfølgning på overholdelse af Leveringskontraktens servicemål og øvrige krav Modtager og håndterer faktura</v>
      </c>
      <c r="F322"/>
    </row>
    <row r="323" spans="1:6" hidden="1">
      <c r="A323" t="e">
        <f>'Production Plan'!#REF!</f>
        <v>#REF!</v>
      </c>
      <c r="B323" t="e">
        <f>VLOOKUP(A323,'Production Plan'!B:T,16,FALSE)</f>
        <v>#REF!</v>
      </c>
      <c r="C323" t="e">
        <f>VLOOKUP(A323,'Production Plan'!B:F,5,FALSE)</f>
        <v>#REF!</v>
      </c>
      <c r="F323"/>
    </row>
    <row r="324" spans="1:6" hidden="1">
      <c r="A324" t="str">
        <f>'Production Plan'!B323</f>
        <v>B1.G-13</v>
      </c>
      <c r="B324">
        <f>VLOOKUP(A324,'Production Plan'!B:T,16,FALSE)</f>
        <v>0</v>
      </c>
      <c r="C324" t="str">
        <f>VLOOKUP(A324,'Production Plan'!B:F,5,FALSE)</f>
        <v>Leveringskontraktansvarlige hos Leverandøren Den leveringskontraktansvarlige repræsenterer Leverandørens ledelse og vedkommende skal sammen med Kundens leveringskontraktansvarlige sikre et smidigt samarbejde på alle niveauer. Opgaver og ansvar: • • • • • • Efterlevelse af Leveringskontrakten og opfølgning på Leverandørens Leverancer, herunder ansvarlig for løbende opfølgning (rapportering, servicemål mv.) Eskalationspunkt for Leverandørens Service Delivery Manager, jf. nedenstående. Kundens Systemforvalter er kontaktpunkt for den leveringskontraktansvarlige hos Kunden Kundens eskalationspunkt ved alle henvendelser, der handler om Leveringskontrakten Sikre leveranceorganisation med de rette kompetencer Deltager i samarbejdsorganisation. Kompetence til at træffe bindende beslutninger i forhold til Leveringskontrakten, også af kommerciel karakter.</v>
      </c>
      <c r="F324"/>
    </row>
    <row r="325" spans="1:6" hidden="1">
      <c r="A325" t="str">
        <f>'Production Plan'!B324</f>
        <v>B1.G-14</v>
      </c>
      <c r="B325">
        <f>VLOOKUP(A325,'Production Plan'!B:T,16,FALSE)</f>
        <v>0</v>
      </c>
      <c r="C325" t="str">
        <f>VLOOKUP(A325,'Production Plan'!B:F,5,FALSE)</f>
        <v>Service Delivery Manager Service Delivery Manager er ansvarlig for det løbende samarbejde med Kunden, herunder samarbejdet med Kundens Systemforvalter. Opgaver og ansvar: • • • • • • Mødeafholdelse og -deltagelse i henhold til nærværende bilag samt efter behov. Service Delivery Manager varetager mødeledelsen efter afslutning af implementeringsfasen (medmindre andet er aftalt), og forestår mødebooking, udarbejdelse af dagsorden og udarbejdelse af referat. Løbende rapportering i medfør af Leveringskontrakten, herunder rapportering på servicemål. Kontaktpunkt for Kunden i forhold til fakturering Kontaktpunkt for Kunden ved behov for leveringskontraktændringer Deltager samarbejdsorganisation</v>
      </c>
      <c r="F325"/>
    </row>
    <row r="326" spans="1:6" hidden="1">
      <c r="A326" t="str">
        <f>'Production Plan'!B325</f>
        <v>B1.G-15</v>
      </c>
      <c r="B326">
        <f>VLOOKUP(A326,'Production Plan'!B:T,16,FALSE)</f>
        <v>0</v>
      </c>
      <c r="C326" t="str">
        <f>VLOOKUP(A326,'Production Plan'!B:F,5,FALSE)</f>
        <v>Support organisation hos Leverandøren Kunden understøttes af Leverandørens support organisation for henholdsvis applikationssupport og for driftssupport for Kunden jf. Bilag 1.h Servicemål.</v>
      </c>
      <c r="F326"/>
    </row>
    <row r="327" spans="1:6" hidden="1">
      <c r="A327" t="str">
        <f>'Production Plan'!B326</f>
        <v>B1.G-16</v>
      </c>
      <c r="B327">
        <f>VLOOKUP(A327,'Production Plan'!B:T,16,FALSE)</f>
        <v>0</v>
      </c>
      <c r="C327" t="str">
        <f>VLOOKUP(A327,'Production Plan'!B:F,5,FALSE)</f>
        <v>Organisation og mødefora i driftsfasen I forbindelse med driftsfasen skal Leverandøren deltage i nedenstående mødefora og -sekvenser. 6 4.4.1 • • Møder i driftsfasen: ESDH styregruppemøder – kvartalsmøder eller efter behov ESDH driftsmøder – ugentlige møder eller efter behov</v>
      </c>
      <c r="F327"/>
    </row>
    <row r="328" spans="1:6" hidden="1">
      <c r="A328" t="str">
        <f>'Production Plan'!B327</f>
        <v>B1.G-17</v>
      </c>
      <c r="B328">
        <f>VLOOKUP(A328,'Production Plan'!B:T,16,FALSE)</f>
        <v>0</v>
      </c>
      <c r="C328" t="str">
        <f>VLOOKUP(A328,'Production Plan'!B:F,5,FALSE)</f>
        <v>ESDH-styregruppe og møder under driftsfasen Kundens og Leverandøren opretter en ESDH-styregruppe, der består under driftsfasen og frem til Leveringskontraktens ophør. ESDH-styregruppen er det øverste organ i driftsfasen, og derfor skal denne bestå af beslutningsdygtige og tegningsberettigede medarbejdere, der er i stand til at træffe afgørende beslutninger på møderne indenfor følgende områder: Formål og ansvar: • • • • Godkendelse af større ændringsønsker til Leveringskontrakten. Ledelsesmæssig opfølgning på samarbejde. Behandling af leveringskontraktlige og kommercielle problematikker af generel karakter. Behandling af problematikker, der eskaleres fra ESDH driftsforum. Bemanding: • • • • Leverandørens leveringskontraktansvarlige. Leverandørens service delivery manager. Kundens leveringskontraktansvarlige. Kundens enhedschef for Kundens systemforvaltning. Mødefrekvens: • • • Kvartalsmøder eller efter behov. Mødedato fastlægges minimum 1 måned før mødet. Både Kunden og Leverandøren kan forlange et ekstraordinært Styregruppemøde afholdt med 5 Arbejdsdages varsel. Styregruppemøderne afholdes ved Kunden medmindre der træffes beslutning om andet. Øvrige forhold: • • • • • Leverandørens leveringskontraktansvarlige varetager formandskabet for styregruppen. Leverandøren udarbejder dagsorden for styregruppemøderne. Leverandøren er ansvarlig for indkaldelse til styregruppemøderne og for udsendelse af dagsorden til styregruppens medlemmer. Kunden har ret til at ændre styregruppens sammensætning og at udvide denne, hvis det vurderes hensigtsmæssigt. Dette skal ske i gensidig enighed med Leverandøren. Leverandøren udfærdiger beslutningsreferat. 7</v>
      </c>
      <c r="F328"/>
    </row>
    <row r="329" spans="1:6" hidden="1">
      <c r="A329" t="str">
        <f>'Production Plan'!B328</f>
        <v>B1.G-18</v>
      </c>
      <c r="B329">
        <f>VLOOKUP(A329,'Production Plan'!B:T,16,FALSE)</f>
        <v>0</v>
      </c>
      <c r="C329" t="str">
        <f>VLOOKUP(A329,'Production Plan'!B:F,5,FALSE)</f>
        <v>ESDH driftsgruppe og møder under driftsfasen Driftsgruppen starter op med det samme efter godkendt Driftsprøve og eksisterer frem til Leveringskontraktens ophør. Driftsgruppen skal ugentligt deltage på driftsmøder til opfølgning og drøftelser vedr. ressourcer, drift, support, fremtidigt miljø og Konfiguration af ESDH-løsningen. Formål og ansvar: • • • • • Samarbejde og drøftelse vedr. ressourcer, drift, support, fremtidigt miljø og Konfiguration af ESDHløsningen. Ledelse og koordinering herunder behandling af eskalerede problemområder fra det daglige driftssamarbejde. Opfølgning på servicemål. Beslutte nødvendige ændringer, godkende beslutningslog samt afklare evt. driftsmæssige udfordringer. Eskalere til ESDH-styregruppen. Bemanding: • • • Kundens Systemforvalter. Leverandøren. Kundens driftsmedarbejdere – efter behov. Mødesekvens: • Ugentligt, eller efter behov. Mødet afholdes digitalt, medmindre andet aftales. Mødesekvens kan tilpasses løbende gennem driftsfasen efter aftale med Kundens systemforvaltning. Øvrige forhold: • • • Leverandøren er ansvarlig for, at der udsendes indkaldelse, dagsorden samt at der udfærdiges beslutningsreferat. Eksterne parter kan inviteres efter behov. Leverandøren udarbejder oversigt over opfyldelse af servicemål, så de er klargjort til Kunden.</v>
      </c>
      <c r="F329"/>
    </row>
    <row r="330" spans="1:6" hidden="1">
      <c r="A330" t="str">
        <f>'Production Plan'!B329</f>
        <v>B1.G-19</v>
      </c>
      <c r="B330">
        <f>VLOOKUP(A330,'Production Plan'!B:T,16,FALSE)</f>
        <v>0</v>
      </c>
      <c r="C330" t="str">
        <f>VLOOKUP(A330,'Production Plan'!B:F,5,FALSE)</f>
        <v>Proces for håndtering af incidents – roller og ansvar Incident management skal sikre, at hændelser håndteres, således driften kan varetages optimalt og som minimum i overensstemmelse med de definerede servicemål jf. Bilag 1.h Servicemål. Leverandøren har det overordnet ansvar for styring og gennemførelse af incident management for incidents, der ligger inden for Leverandørens ansvarsområde. Processen for håndtering af incidents er central og kan opsummeres som følger: • • Incident konstateres Systemforvalter kontakter Leverandørens Service desk via telefon, alternativt opretter en sag på incident i Kundens eget servicemanagement system jf. Bilag 1.h Servicemål pkt. 2.6. 8 • Leverandøren er ansvarlig for løsning af incident om nødvendigt med inddragelse af Kunden og Kundens driftsleverandør. Der kommunikeres til Kunden, når fejlen er udbedret. 9</v>
      </c>
      <c r="F330"/>
    </row>
    <row r="331" spans="1:6" hidden="1">
      <c r="A331" t="str">
        <f>'Production Plan'!B330</f>
        <v>B1.H-1</v>
      </c>
      <c r="B331">
        <f>VLOOKUP(A331,'Production Plan'!B:T,16,FALSE)</f>
        <v>0</v>
      </c>
      <c r="C331" t="str">
        <f>VLOOKUP(A331,'Production Plan'!B:F,5,FALSE)</f>
        <v>Måling og rapportering Leverandøren skal forestå afrapportering af servicemålene med en frekvens, der er koordineret med mødefrekvensen i samarbejdsorganisationen, dog mindst én gang månedligt. Leverandøren skal sikre afrapportering om sine aktiviteter og resultater knyttet til vedligeholdelsen, herunder afrapportering i forhold til aftalte servicemål samt specifikt i relation til eventuelle overtrædelser, således at Kunden er velinformeret om ESDH-løsningens drifts-stabilitet og aktiviteter knyttet hertil.</v>
      </c>
      <c r="F331"/>
    </row>
    <row r="332" spans="1:6" hidden="1">
      <c r="A332" t="str">
        <f>'Production Plan'!B331</f>
        <v>B1.H-2</v>
      </c>
      <c r="B332">
        <f>VLOOKUP(A332,'Production Plan'!B:T,16,FALSE)</f>
        <v>0</v>
      </c>
      <c r="C332" t="str">
        <f>VLOOKUP(A332,'Production Plan'!B:F,5,FALSE)</f>
        <v>Rapportering om servicemål Leverandøren skal forestå afrapportering af servicemålene med en frekvens, der er koordineret med mødefrekvensen i samarbejdsorganisationen, dog mindst én gang månedlig. Rapporteringen skal være til rådighed senest kl. 16.00 10 Arbejdsdage efter månedens afslutning. Rapporteringens indhold skal som minimum bestå af: • • • • • • • Beregning af servicemål Overblik over statistik og status for rettelse af incidents Overblik over statistik og status for ændringer Overblik over statisk og status over tilgængelighed En oversigt over alle incidents herunder kritiske incidents og gentagne incidents (Se Tabel 3) En oversigt over Leverandørens reaktionstider i perioden. Incidents og problemer skal være angivet med id, titel, dato og emne. Leverandøren skal aflevere alle rapporter i ukodet, printbart PDF-format, der kan læses i sort/hvidt print. Leverandøren skal udarbejde alle rapporter på dansk.</v>
      </c>
      <c r="F332"/>
    </row>
    <row r="333" spans="1:6" hidden="1">
      <c r="A333" t="str">
        <f>'Production Plan'!B332</f>
        <v>B1.H-3</v>
      </c>
      <c r="B333">
        <f>VLOOKUP(A333,'Production Plan'!B:T,16,FALSE)</f>
        <v>0</v>
      </c>
      <c r="C333" t="str">
        <f>VLOOKUP(A333,'Production Plan'!B:F,5,FALSE)</f>
        <v>Driftstid Normal driftstid for ESDH-løsningen er kl. 08.00 – 16.00 på alle hverdage, men ESDH-løsningen skal være tilgængelig hele døgnet og alle kalenderdage i året. Leverandørens support kan træffes i organisationens faste driftstid, som er er kl. 08.00 – 16.00 på alle hverdage, (2. level support). 2</v>
      </c>
      <c r="F333"/>
    </row>
    <row r="334" spans="1:6" hidden="1">
      <c r="A334" t="str">
        <f>'Production Plan'!B333</f>
        <v>B1.H-4</v>
      </c>
      <c r="B334">
        <f>VLOOKUP(A334,'Production Plan'!B:T,16,FALSE)</f>
        <v>0</v>
      </c>
      <c r="C334" t="str">
        <f>VLOOKUP(A334,'Production Plan'!B:F,5,FALSE)</f>
        <v>Planlagt vedligehold Nedetid kan accepteres i servicevinduer aftalt med Kunden og Kundens driftsleverandør. Leverandøren er forpligtet til at placere servicevinduer, der påvirker Kundens produktionsmiljø, udenfor den aftalte driftstid +2 timer, så altså uden for perioden kl. 08.00 – 18.00 på alle hverdage, medmindre andet er aftalt skriftligt med Kunden. Varsling skal ske skriftligt senest 14 Arbejdsdage forinden, og Løsningen skal under servicevinduet spærres for påbegyndelse af nye brugeroperationer. Der skal ved alle ændringer i Løsningen foreligge en godkendt deployplan som følger Kundens standard, hvor Leverandøren skal anvende en skabelon, der skal udfyldes inden deployment i samarbejde med Kunden. Der skal i forbindelse med deployplan også være en rollback plan i tilfælde af, at deploy går galt. Det forventes at der vil være planlagte kvartalsvise servicevinduer i hverdage i tidsrummet kl. 18.00-00.00. Herudover er der mulighed for at aftale ad hoc servicevinduer efter behov. Leverandøren skal sikre, at vedligeholdelse af ESDH-løsningen er flytbart, således at vedligeholdelsesopgaven principielt ville kunne overdrages til anden leverandør eller til Kunden selv.</v>
      </c>
      <c r="F334"/>
    </row>
    <row r="335" spans="1:6" hidden="1">
      <c r="A335" t="str">
        <f>'Production Plan'!B334</f>
        <v>B1.H-5</v>
      </c>
      <c r="B335">
        <f>VLOOKUP(A335,'Production Plan'!B:T,16,FALSE)</f>
        <v>0</v>
      </c>
      <c r="C335" t="str">
        <f>VLOOKUP(A335,'Production Plan'!B:F,5,FALSE)</f>
        <v>Nødservicevindue – større og kritiske opdateringer Større eller kritiske opdateringer omfatter enhver ændring til ESDH-løsningen, der kan påvirke løsningens kernefunktionalitet, dataintegritet, sikkerhed, adgangsstyring, integrationer, performance, driftssikkerhed, brugeradgange eller overholdelse af lovgivningsmæssige og kontraktuelle krav. Frekvens: 0 – 4 gange pr. måned i tidsrummet lørdag kl. 00:00 – mandag kl. 05:00 med maksimum 16 timers varighed og en varsling på 2 Arbejdsdage.</v>
      </c>
      <c r="F335"/>
    </row>
    <row r="336" spans="1:6" hidden="1">
      <c r="A336" t="str">
        <f>'Production Plan'!B335</f>
        <v>B1.H-6</v>
      </c>
      <c r="B336">
        <f>VLOOKUP(A336,'Production Plan'!B:T,16,FALSE)</f>
        <v>0</v>
      </c>
      <c r="C336" t="str">
        <f>VLOOKUP(A336,'Production Plan'!B:F,5,FALSE)</f>
        <v>Servicevindue – omlægninger af miljøer, arkitekturer eller ESDH-løsningen Omlægning af miljøer, arkitektur eller ESDH-løsningen omfatter enhver ændring til ESDH-løsningen tekniske platform, systemarkitektur, driftsmiljø, integrationsarkitektur eller applikationsarkitektur, som kan påvirke løsningens funktionalitet, sikkerhed, performance, stabilitet, dataintegritet eller integrationer. Frekvens: 1 gang pr. 6 måneder i tidsrummet lørdag kl. 00:00 – mandag kl. 05:00 med maksimum 24 timers varighed og en varsling på 14 Arbejdsdage.</v>
      </c>
      <c r="F336"/>
    </row>
    <row r="337" spans="1:6" hidden="1">
      <c r="A337" t="str">
        <f>'Production Plan'!B336</f>
        <v>B1.H-7</v>
      </c>
      <c r="B337">
        <f>VLOOKUP(A337,'Production Plan'!B:T,16,FALSE)</f>
        <v>0</v>
      </c>
      <c r="C337" t="str">
        <f>VLOOKUP(A337,'Production Plan'!B:F,5,FALSE)</f>
        <v>Tilgængelighed</v>
      </c>
      <c r="F337"/>
    </row>
    <row r="338" spans="1:6" hidden="1">
      <c r="A338" t="str">
        <f>'Production Plan'!B337</f>
        <v>B1.H-8</v>
      </c>
      <c r="B338">
        <f>VLOOKUP(A338,'Production Plan'!B:T,16,FALSE)</f>
        <v>0</v>
      </c>
      <c r="C338" t="str">
        <f>VLOOKUP(A338,'Production Plan'!B:F,5,FALSE)</f>
        <v>Servicemål for tilgængelighed Leverandøren skal måle og opfylde følgende krav til tilgængelighed: • • Produktionsmiljø: 99,8 % oppetid. Øvrige miljøer: 98% oppetid. Leverandørens servicemål for tilgængelighed (T%) måles på følgende måde pr. måned pr. miljø: 3 Aftalt driftstid og målt tid for utilgængelighed opgøres i minutter. Utilgængelighed beregnes fra det tidspunkt utilgængeligheden opstår, dvs. når den er registreret af Leverandøren (evt. på baggrund af henvendelse fra Kunden – telefonisk eller skriftligt via Kundens servicemanagementsystem) til normal drift er reetableret, og Kundens produktionsmiljø igen er tilgængeligt. Utilgængelighed, som skyldes faktorer, der ligger uden for Leverandørens ansvarsområde, medtages ikke i beregningen. Leverandørens forpligtelser vedrørende tilgængelighed gælder ikke ved et på forhånd aftalt og planlagt servicevindue.</v>
      </c>
      <c r="F338"/>
    </row>
    <row r="339" spans="1:6" hidden="1">
      <c r="A339" t="str">
        <f>'Production Plan'!B338</f>
        <v>B1.H-9</v>
      </c>
      <c r="B339">
        <f>VLOOKUP(A339,'Production Plan'!B:T,16,FALSE)</f>
        <v>0</v>
      </c>
      <c r="C339" t="str">
        <f>VLOOKUP(A339,'Production Plan'!B:F,5,FALSE)</f>
        <v>Svartider Kunden forstår ved svartid for en transaktion: tidsintervallet fra Brugeren sender sin kommando til resultatet er synligt for Brugeren, og Brugeren har mulighed for angivelse af ny kommando. Ved kommando forstås den meddelelse, der sendes til ESDH-løsningen, når Enter/Return-tast, funktionstast eller tilsvarende tast/ikon aktiveres. Såfremt en transaktion består af flere requests, er det svartiden fra starten af det første request til svaret fra det sidste request er returneret, der tæller. Det er Kundens krav til svartider i andre miljøer fx test, at de ikke er mere end maksimum 25% langsommere end svartider i produktionsmiljøet. Leverandøren skal sikre, at ESDH-løsningen overholder nedenfor angivne krav til svartider. Opgaverne er beskrevet således, at de ikke omfatter aktivitet udenfor ESDH-løsningen. Leverandøren bliver målt på svartider men også på at systemet bruger så få ressourcer som muligt til at opfylde svartider.</v>
      </c>
      <c r="F339"/>
    </row>
    <row r="340" spans="1:6" hidden="1">
      <c r="A340" t="str">
        <f>'Production Plan'!B339</f>
        <v>B1.H-10</v>
      </c>
      <c r="B340">
        <f>VLOOKUP(A340,'Production Plan'!B:T,16,FALSE)</f>
        <v>0</v>
      </c>
      <c r="C340" t="str">
        <f>VLOOKUP(A340,'Production Plan'!B:F,5,FALSE)</f>
        <v>Forudsætning i relation til performance og antal samtidige Brugere ESDH-løsningen skal være tilgængeligt i et produktionsmiljø eller et produktionslignede miljø til brug for performancetesten. Ved performancetesten skal Leverandøren sikre, at der i miljøet findes mindst</v>
      </c>
      <c r="F340"/>
    </row>
    <row r="341" spans="1:6" hidden="1">
      <c r="A341" t="str">
        <f>'Production Plan'!B340</f>
        <v>B1.H-11</v>
      </c>
      <c r="B341">
        <f>VLOOKUP(A341,'Production Plan'!B:T,16,FALSE)</f>
        <v>0</v>
      </c>
      <c r="C341" t="str">
        <f>VLOOKUP(A341,'Production Plan'!B:F,5,FALSE)</f>
        <v>dokumenter i løsningen på 2.000.000 sager med samlet 7 terabyte data. De 8.000.000 dokumenter skal være fordelt i små, almindelige og store dokumentstørrelser som vist i Tabel 1. Der skal også være nogle dokumenter med maksimum størrelse. Tabel 1 – Dokumentstørrelser. Dokumenter er delt i tre niveauer Små Almindelige Store Maksimum Størrelse</v>
      </c>
      <c r="F341"/>
    </row>
    <row r="342" spans="1:6" hidden="1">
      <c r="A342" t="str">
        <f>'Production Plan'!B341</f>
        <v>B1.H-12</v>
      </c>
      <c r="B342">
        <f>VLOOKUP(A342,'Production Plan'!B:T,16,FALSE)</f>
        <v>0</v>
      </c>
      <c r="C342" t="str">
        <f>VLOOKUP(A342,'Production Plan'!B:F,5,FALSE)</f>
        <v>Måling af svartider Formålet med målingerne er at verificere, at ESDH-løsningen opfylder de fastsatte svartider, stabilitet og kapacitet, inden ESDH-løsningen sættes i produktion, og efter idriftsættelse løbende følge op på svartiderne, som beskrevet i afsnit 3.4.4. Svartidstesten gennemføres ved hjælp af et performanceværktøj, som Leverandøren skal stille til rådighed. Performanceværktøj skal kunne genere samtidige Brugere, måle svartider og registrere fejl under testen. Testen skal udføres af leverandøren i Kundens miljø med de belastninger, der er nævnt i afsnit 3.4.1. Opsætning af målepunkter skal (i samarbejde med Kunden) opsættes af Leverandøren, målepunkter af interesse er, men ikke begrænset til: a) b) c) d) e) f) g) Gennemsnitlige svartider. 95% svartid. 99% svartid. Antal fejl. CPU-forbrug. Hukommelsesforbrug. Databasebelastning.</v>
      </c>
      <c r="F342"/>
    </row>
    <row r="343" spans="1:6" hidden="1">
      <c r="A343" t="str">
        <f>'Production Plan'!B342</f>
        <v>B1.H-13</v>
      </c>
      <c r="B343">
        <f>VLOOKUP(A343,'Production Plan'!B:T,16,FALSE)</f>
        <v>0</v>
      </c>
      <c r="C343" t="str">
        <f>VLOOKUP(A343,'Production Plan'!B:F,5,FALSE)</f>
        <v>Håndtering af mangelfulde svartider Leverandøren er forpligtet til, sammen med driftsleverandøren, at deltage aktivt i fejlsøgning og udbedring, hvis svartiderne ikke overholder kravene i Tabel 2 - Svartider. 6</v>
      </c>
      <c r="F343"/>
    </row>
    <row r="344" spans="1:6" hidden="1">
      <c r="A344" t="str">
        <f>'Production Plan'!B343</f>
        <v>B1.H-14</v>
      </c>
      <c r="B344">
        <f>VLOOKUP(A344,'Production Plan'!B:T,16,FALSE)</f>
        <v>0</v>
      </c>
      <c r="C344" t="str">
        <f>VLOOKUP(A344,'Production Plan'!B:F,5,FALSE)</f>
        <v>Proaktiv ESDH-løsningsovervågning Leverandøren skal, i samarbejde med Kundens driftsleverandør, sikre, at Løsningen muliggør en proaktiv ESDH-løsningsovervågning, som kontinuerligt overvåger Løsningens helbred, performance og svartider. Værktøjerne skal automatisk identificere ESDH-løsningsfejl og tekniske flaskehalse samt udstille data i tekniske dashboards og tilstandsrapporter, der giver Kunden fuld indsigt i løsningens aktuelle driftstilstand.</v>
      </c>
      <c r="F344"/>
    </row>
    <row r="345" spans="1:6" hidden="1">
      <c r="A345" t="str">
        <f>'Production Plan'!B344</f>
        <v>B1.H-15</v>
      </c>
      <c r="B345">
        <f>VLOOKUP(A345,'Production Plan'!B:T,16,FALSE)</f>
        <v>0</v>
      </c>
      <c r="C345" t="str">
        <f>VLOOKUP(A345,'Production Plan'!B:F,5,FALSE)</f>
        <v>Svartider til og fra ESDH via API Løsningen skal sikre, at ESDH-løsningen implementerer OIO API-standarden, således at der kan kommunikeres med andre offentlige systemer, herunder svartider for anvendelse af: • • API´er til opslag af sager og dokumentmetadata skal kunne besvare mindst 95% af alle forespørgsler indenfor 1 sekund og 99% af alle forespørgsler indenfor 2 sekunder under normal belastning med mindre end 0,5% fejlrate. API´er til journalisering Dokumenter skal kunne gennemføre mindst 95% af alle transaktioner indenfor</v>
      </c>
      <c r="F345"/>
    </row>
    <row r="346" spans="1:6" hidden="1">
      <c r="A346" t="str">
        <f>'Production Plan'!B345</f>
        <v>B1.H-16</v>
      </c>
      <c r="B346">
        <f>VLOOKUP(A346,'Production Plan'!B:T,16,FALSE)</f>
        <v>0</v>
      </c>
      <c r="C346" t="str">
        <f>VLOOKUP(A346,'Production Plan'!B:F,5,FALSE)</f>
        <v>Servicemål for support ved incidents i ESDH-løsningen Leverandøren skal tage imod henvendelser fra Kunden, når der opstår incidents, og forpligtiger sig til at anvende og oprette dem i Kundens interne servicemanagementsystem. Uanset om årsagen til et givet incident entydigt kan henføres til Leverandøren eller ej, skal Leverandøren bistå ved afhjælpning af incidentet. Leverandøren er ligeledes forpligtet til at bistå Kundens driftsleverandør i relevant arbejde med analyse af incidentet i forhold til ESDH-løsningen. Kategorisering af incidents sker som udgangspunkt af Kunden enten ved en mundtlig eller skriftlig indrapportering. Kategoriseringen af et incident afhænger særligt af, om incidentet er kritisk for løsning af Kundens opgaver, og om incidentet kan løses ved en omgåelse. Såfremt der er uenighed om kategoriseringen skal uenigheden løses efter princippet om ”udbedr først – afklar senere”. Princippet ”udbedr først – afklar senere” indebærer, at Leverandøren altid har en forpligtelse til at levere Ydelserne uanset Parternes uoverensstemmelse. Indtil Kunden og Leverandøren har afgjort spørgsmålet om kategoriseringen af det indrapporterede incident, skal Leverandøren foretage den fornødne afhjælpning i forhold til Kundens kategorisering. Reaktionstiden måles frem til det tidspunkt, hvor Leverandøren enten har løst incidenten eller har udført sådan afhjælpning, at incidenten kun er af typen ”betydende incident” eller ”ubetydeligt incident”, hvorefter et nyt interval begynder. Såfremt Kunden har indrapporteret incidentet udenfor den aftalte Servicetid, måles reaktionstiden fra det tidligste tidspunkt efter indrapporteringen, der er omfattet af den aftalte Servicetid. 7 Reaktionstiden er den tid, indenfor hvilken Leverandøren senest skal have igangsat en udbedring af incidenten. Incidentet skal være løst indenfor den tidsramme, som angives i kolonnen ”Servicemål” i Tabel 4 nedenfor.</v>
      </c>
      <c r="F346"/>
    </row>
    <row r="347" spans="1:6" hidden="1">
      <c r="A347" t="str">
        <f>'Production Plan'!B346</f>
        <v>B1.H-17</v>
      </c>
      <c r="B347">
        <f>VLOOKUP(A347,'Production Plan'!B:T,16,FALSE)</f>
        <v>0</v>
      </c>
      <c r="C347" t="str">
        <f>VLOOKUP(A347,'Production Plan'!B:F,5,FALSE)</f>
        <v>Incidentkategorier Nedenfor beskrives de fire kategorier, som incidents skal kategoriseres i henhold til, og som skal anvendes af Leverandøren i forbindelse med indberetninger af incidents fra produktion i Kundens servicemanagementsystem. Incidentkategorierne skal tillige anvendes i den løbende rapportering. Tabel 3 - Incidentkategorier Incidentkategori Kritisk incidents (Prioritet 1) Beskrivelse Det er et kritisk incident, hvis omgåelse ikke er mulig, dvs. at sagsbehandlingen (eller dele heraf) ikke kan gennemføres, som Løsningen er designet. Konsekvenserne heraf er væsentlige for f.eks. faglig korrekthed, omdømme, sagsbehandlingstider, trivsel hos medarbejdere, forringet servicekvalitet for borgere m.m. Alvorligt incident (Prioritet 2) Det er et kritisk incident, hvis incidenten udgør en væsentlig risiko for persondatasikkerhed. Det er et alvorligt incident, hvis rimelig omgåelse ikke er mulig, dvs. at ansøgningsprocessen og sagsbehandlingen (eller dele heraf) kun kan gennemføres med markant længere behandlingstid eller svartid pr. sag, eller at omgåelsen af incidenten medfører forhøjet risiko for sagsbehandlingsfejl. Konsekvenserne heraf er væsentlige for f.eks. faglig korrekthed, omdømme, sagsbehandlingstider, trivsel hos medarbejdere, forringet servicekvalitet for borgere m.m. Betydende incident (Prioritet 3) Ubetydeligt incident (Prioritet 4) Det er et alvorligt incident, hvis incidenten udgør en risiko for persondatasikkerhed. Det er et betydende incident, hvis rimelig omgåelse er mulig, dvs. at sagsbehandlingen kan gennemføres, evt. med marginal forringelse af sagsbehandlingstider eller marginalt forringet servicekvalitet for borgere. Det er et ubetydeligt incident, hvis den ikke har nogen eller blot bagatelagtig betydning for sagsbehandling eller for borgerens service.</v>
      </c>
      <c r="F347"/>
    </row>
    <row r="348" spans="1:6" hidden="1">
      <c r="A348" t="str">
        <f>'Production Plan'!B347</f>
        <v>B1.H-18</v>
      </c>
      <c r="B348">
        <f>VLOOKUP(A348,'Production Plan'!B:T,16,FALSE)</f>
        <v>0</v>
      </c>
      <c r="C348" t="str">
        <f>VLOOKUP(A348,'Production Plan'!B:F,5,FALSE)</f>
        <v>Servicemål Leverandøren skal tage imod henvendelser fra Kunden i aftalt driftstid. I tilfælde af kritiske incidents (prioritet 1) skal det desuden være muligt for Kunden at kontakte Leverandøren uden for normal driftstid med henblik på afhjælpning af kritiske incidents. Servicemål for Leverandørens afhjælpning, herunder for Leverandørens reaktions, løsningsindsats og statusrapportering, fremgår af nedenstående tabel: 8 Tabel 4 – Servicemål KPI Reaktionstiden ved sikkerhedsnedbrud angiver tiden fra IT sikkerhedsbrud til Leverandørens SPOC indgår i Kundens sikkerhedsorganisation og evt. Kundens taskforce. Reaktionstiden angiver tiden fra henvendelsen om incidents er modtaget, ved registrering i servicemanagement-systemet, til løsning eller afhjælpning påbegyndes hos Leverandøren. Løsningsindsats hos Leverandøren indtil incidenten er løst. Statusrapportering i relation til indrapporterede incidents. Statusrapportering initieres af Leverandørens registrering af henvendelsen. Servicemål (Måles af leverandøren) Leverandøren skal påbegynde afhjælpning omgående, og senest inden for 30 minutter fra det tidspunkt, hvor Leverandøren selv bliver bekendt med sikkerhedsnedbruddet eller Kunden giver Leverandøren besked herom. &gt;90 % har Leverandøren påbegyndt afhjælpning af incidents indenfor: 1. Prioritet 1: Umiddelbart og mindre end 2 timer 2. Prioritet 2: Inden for2 timer (inden for aftalt driftstid). 3. Prioritet 3: Inden 5 Arbejdsdage. 4. Prioritet 4: Inden 20 Arbejdsdage. 1. Prioritet 1: Leverandøren skal arbejde uhindret på løsning af incidenten også uden for aftalt driftstid indtil incidenten er løst. 2. Prioritet 2: Leverandøren skal arbejde uhindret på løsning af incidenten inden for aftalt driftstid. 3. Prioritet 3: Leverandøren skal arbejde på løsningen af incidenten inden for aftalt driftstid efter prioritering med Kunden ift. øvrige opgaver. 4. Prioritet 4: Leverandøren skal arbejde på løsning af incidenten inden for aftalt driftstid uden, det hindrer fremdriften på Leverandørens øvrige opgaver for Kunden. 1. Prioritet 1: Leverandørens statusrapportering til Kunden skal ske minimum hver anden time indenfor normal driftstid, indtil incidenten er løst. 2. Prioritet 2: Leverandørens statusrapportering til Kunden skal ske mindst én gang hver Arbejdsdag, indtil incidenten er løst. 3. Prioritet 3: Statusrapportering gives i forbindelse med Leverandørens månedlige statusrapportering til Kunden. 4. Prioritet 4: Statusrapportering gives i forbindelse med Leverandørens månedlige statusrapportering til Kunden.</v>
      </c>
      <c r="F348"/>
    </row>
    <row r="349" spans="1:6" hidden="1">
      <c r="A349" t="str">
        <f>'Production Plan'!B349</f>
        <v>B1.J-1</v>
      </c>
      <c r="B349">
        <f>VLOOKUP(A349,'Production Plan'!B:T,16,FALSE)</f>
        <v>0</v>
      </c>
      <c r="C349" t="str">
        <f>VLOOKUP(A349,'Production Plan'!B:F,5,FALSE)</f>
        <v>Formål Formålet med dette bilag er at angive procedurer og regler for ændringshåndtering, der kan finde anvendelse ved Leveringskontraktens opfyldelse. Leverandøren skal i henhold til Leveringskontrakten levere en række Ydelser, der f.eks. kan føre til ændringer af Løsningen. Tilpasning af eksisterende funktionalitet i Løsningen som følger af Leverandørens forpligtelser under Leveringskontrakten, f.eks. som følge af lovvedligehold, fejrettelser, nødvendige release ændringer ift. Løsningens afvikling eller andet, skal gennemføres af Leverandøren jf. Leveringskontrakten. Omkostninger hertil er Kunden uvedkommende, også uanset en sådan tilpasning håndteres via ændringsproceduren i nærværende bilag for sådanne ændringer.</v>
      </c>
      <c r="F349"/>
    </row>
    <row r="350" spans="1:6" hidden="1">
      <c r="A350" t="str">
        <f>'Production Plan'!B350</f>
        <v>B1.J-2</v>
      </c>
      <c r="B350">
        <f>VLOOKUP(A350,'Production Plan'!B:T,16,FALSE)</f>
        <v>0</v>
      </c>
      <c r="C350" t="str">
        <f>VLOOKUP(A350,'Production Plan'!B:F,5,FALSE)</f>
        <v>Løsningsforslag Leverandøren skal udarbejde et løsningsforslag, der som minimum indeholder oplysninger: a) Leverandørens beskrivelse af løsningsforslaget, herunder en detaljeret beskrivelse af hvordan ændringsanmodningen opfyldes samt ressourceforbruget forbundet med implementeringen af ændringen med forsat opretholdelse af de fastsatte servicemål efter gennemførelse af ændringen. b) Tidsplan for ændringen samt eventuelle konsekvenser for en eksisterende tidsplan. c) Vederlagsmæssige konsekvenser af Løsningen, herunder eventuelle konsekvenser for løbende vederlag for løsninger og tilknyttede Ydelser. d) Antallet af konsulenttimer til gennemførelse af ændringen. e) Konsekvenser for Løsningen og eksekvering af løsningen. f) Konsekvenser for funktionelle tillægsydelser og integrationer. g) Konsekvenser for Leverandørens øvrige Ydelser. h) Konsekvenser for servicemål. i) Konsekvenser for dokumentation. j) Konsekvenser for Brugernes anvendelse af Løsningen. k) Konsekvenser for Kundens medvirken og ressourcer. l) Konsekvenser for Kundens øvrige It-systemer og løsninger, såfremt Leverandøren har den fornødne indsigt i forhold hertil. m) Konsekvenser for arkitektur, sikkerhed og drift. n) Tidspunkt for eventuel afprøvning af gennemførte ændringer og konsekvenser for afprøvning af øvrige dele af løsningen, herunder Kundens deltagelse. o) Konsekvenser for uddannelse. p) Konsekvenser for andre leverandører og deres leverancer, hvis Leverandøren har den fornødne indsigt i forhold hertil. q) Konsekvenser for exit og exitprocessen. r) Leverandørens angivelse af hvilke bilag, som Leverandørens har udarbejdet korrektioner til som følge af ændringen. s) Konsekvenser såfremt ændringen ikke gennemføres. t) Eventuelle andre relevante forhold. Såfremt løsningsforslaget ikke indeholder en angivelse af konsekvenser i forhold til ovenstående, anses ændringen og løsningsforslaget for ikke at påvirke, ændre eller i øvrigt at have konsekvenser for de pågældende forhold.</v>
      </c>
      <c r="F350"/>
    </row>
    <row r="351" spans="1:6" hidden="1">
      <c r="A351" t="str">
        <f>'Production Plan'!B351</f>
        <v>B1.J-3</v>
      </c>
      <c r="B351">
        <f>VLOOKUP(A351,'Production Plan'!B:T,16,FALSE)</f>
        <v>0</v>
      </c>
      <c r="C351" t="str">
        <f>VLOOKUP(A351,'Production Plan'!B:F,5,FALSE)</f>
        <v>Godkendelse og levering Leverandøren skal fremsende løsningsforslaget til Kunden med henblik på Kundens godkendelse. Kunden bekræfter herefter skriftligt overfor Leverandøren, hvorvidt et givent løsningsforslag kan godkendes. Kunden kan vælge enten: a) Afvise løsningsforslaget. 3 b) Godkende løsningsforslaget på betingelse af ændringer af løsningsforslaget, som Kunden specificerer. c) Godkende løsningsforslaget. Ved anmodning om en væsentlig ændring af et løsningsforslag, anses det som en afvisning af det foreliggende løsningsforslag. Leverandøren skal, hvis Kunden fremsætter anmodning om ændring af et løsningsforslag, bekræfte skriftligt overfor Kunden, om ændringerne til løsningsforslaget kan accepteres. Når Kunden har godkendt et løsningsforslag, implementeres den pågældende ændring i Leveringskontrakten. Leverandøren skal herefter påbegynde arbejde forbundet med løsningsforslaget i relation til Løsningen i overensstemmelse dermed samt i overensstemmelse med Leveringskontrakten i øvrigt.</v>
      </c>
      <c r="F351"/>
    </row>
    <row r="352" spans="1:6" hidden="1">
      <c r="A352" t="str">
        <f>'Production Plan'!B352</f>
        <v>B1.J-4</v>
      </c>
      <c r="B352">
        <f>VLOOKUP(A352,'Production Plan'!B:T,16,FALSE)</f>
        <v>0</v>
      </c>
      <c r="C352" t="str">
        <f>VLOOKUP(A352,'Production Plan'!B:F,5,FALSE)</f>
        <v>Ændringsstyring Leverandøren skal føre en ændringslog, som skal indeholde følgende oplysninger: a) b) c) d) e) Daterede ændringsanmodninger. Daterede løsningsforslag. Godkendte løsningsforslag. Opdaterede tidsplaner (hvor relevant). Øvrige relevante dokumenter. Det påhviler Leverandøren løbende at ajourføre Leveringskontrakten, inklusive bilag, eventuelle tillæg og andet, såfremt der foretages ændringer. Sporbarhed og versionering ved ændringer skal være tydeligt versioneret i ændringsloggen, hvorfor tidligere versioner af dokumentationen skal bevares, så det også er dokumenteret, hvordan Løsningen blev driftsunderstøttet på et givent tidspunkt. Leverandøren skal udlevere en ajourført Leveringskontrakt til Kunden inden for 10 Arbejdsdage efter Kundens accept af et løsningsforslag. Leverandørens udlevering skal ske elektronisk og begrænser sig til de kontraktdokumenter, hvori der er foretaget ændringer, medmindre Kunden anmoder Leverandøren om andet. Leverandøren skal ajourføre dokumentation, som berøres af en ændring.</v>
      </c>
      <c r="F352"/>
    </row>
    <row r="353" spans="1:6" hidden="1">
      <c r="A353" t="str">
        <f>'Production Plan'!B353</f>
        <v>B1.J-5</v>
      </c>
      <c r="B353">
        <f>VLOOKUP(A353,'Production Plan'!B:T,16,FALSE)</f>
        <v>0</v>
      </c>
      <c r="C353" t="str">
        <f>VLOOKUP(A353,'Production Plan'!B:F,5,FALSE)</f>
        <v>Øvrige krav til Leverandørens medvirken Leverandøren skal proaktivt medvirke i ændringshåndteringsprocessen, uanset om ændringsanmodningen vedrører ændringer, som kun måtte være i Kundens interesse. Leverandøren skal give Kunden alle relevante oplysninger, som Leverandøren besidder, med henblik på Kundens bedømmelse af og stillingtagen til konsekvenserne af en ændring og det foreliggende løsningsforslag. I den forbindelse skal Leverandøren orientere Kunden, såfremt Leverandøren bliver opmærksom på, at Kundens behov bedre opfyldes på en anden måde. 4</v>
      </c>
      <c r="F353"/>
    </row>
    <row r="354" spans="1:6" hidden="1">
      <c r="A354" t="str">
        <f>'Production Plan'!B354</f>
        <v>B1.J-6</v>
      </c>
      <c r="B354">
        <f>VLOOKUP(A354,'Production Plan'!B:T,16,FALSE)</f>
        <v>0</v>
      </c>
      <c r="C354" t="str">
        <f>VLOOKUP(A354,'Production Plan'!B:F,5,FALSE)</f>
        <v>Ændringshåndteringsskabelon Bestilling af en ændring skal initieres gennem nedenstående skabelon. Titel: [indsæt titel på ændring] Identifikationsnummer: [Indsæt nummer] Dato: [Indsæt data for anmodningen] Anmodningen udarbejdet af: [Kunden / Leverandøren] Tidsmæssig ramme: [Indsæt hvornår ændringen ønsker gennemført] Beskrivelse: [Indsæt beskrivelse af den ønskede ændring samt en begrundelse herfor. Ændringsanmodningen skal være tilstrækkelig detaljeret til, at Leverandøren kan udarbejde et estimat over det vederlag, som vil være forbundet med udarbejdelse af et ændringsforslag.] Forventede konsekvenser: [Indsæt beskrivelse af de forventede konsekvenser, som ændringen medfører, herunder i forhold til Leveringskontrakten, bilag eller andre dokumenter, som skal opdateres.] Øvrige oplysninger: [Andre relevante oplysninger om den ønskede ændring indsættes her.] 5</v>
      </c>
      <c r="F354"/>
    </row>
    <row r="355" spans="1:6" hidden="1">
      <c r="A355" t="str">
        <f>'Production Plan'!B355</f>
        <v>B1.K-1</v>
      </c>
      <c r="B355">
        <f>VLOOKUP(A355,'Production Plan'!B:T,16,FALSE)</f>
        <v>0</v>
      </c>
      <c r="C355" t="str">
        <f>VLOOKUP(A355,'Production Plan'!B:F,5,FALSE)</f>
        <v>Aflevering af information til Kunden Leverandøren skal i forbindelse med Leveringskontraktens hele eller delvise ophør, og inden for 20 arbejdsdage efter Kunden har anmodet herom, som minimum udlevere følgende beskrivelser af ESDHløsningen til Kunden: • • Kundens data i ESDH-løsningen Datastruktur og datafelter herunder: o Databasemodel og formatbeskrivelse af Datamodellens indhold o Registreringssystematikker, herunder journalplan/er o Rettighedsmatricer, dvs. systematik for sammensætning af brugerrettigheder o Adgangsgrupper, dvs. gruppering af brugerrettigheder Al ovenfor nævnt information skal afleveres i et elektronisk standardformat, som kan læses og redigeres af Kunden.</v>
      </c>
      <c r="F355"/>
    </row>
    <row r="356" spans="1:6" hidden="1">
      <c r="A356" t="str">
        <f>'Production Plan'!B356</f>
        <v>B1.K-2</v>
      </c>
      <c r="B356">
        <f>VLOOKUP(A356,'Production Plan'!B:T,16,FALSE)</f>
        <v>0</v>
      </c>
      <c r="C356" t="str">
        <f>VLOOKUP(A356,'Production Plan'!B:F,5,FALSE)</f>
        <v>Afvikling Leverandøren skal i forbindelse med Leveringskontraktens ophør, og inden for 20 Arbejdsdage efter Kunden har anmodet herom: • • • • Tilbagelevere evt. hardware, f.eks. SIA pc’er som Leverandøren måtte have modtaget af Kunden eller SIT Sikre sletning af alle Kundens data (herunder personoplysninger), back-up af data og logfiler. Afinstallere softwarelicenser, som Kunden eller SIT har stillet til rådighed Lukke alle Leverandørens adgange til Kundens ESDH-løsning. Sletning af Kundens data mv. må først gennemføres efter Kundens eksplicitte anmodning herom. Leverandøren skal dokumentere alle afviklingsaktiviteter, eventuelt i form af en erklæring.</v>
      </c>
      <c r="F356"/>
    </row>
    <row r="357" spans="1:6" hidden="1">
      <c r="A357" t="str">
        <f>'Production Plan'!B357</f>
        <v>B1.K-3</v>
      </c>
      <c r="B357">
        <f>VLOOKUP(A357,'Production Plan'!B:T,16,FALSE)</f>
        <v>0</v>
      </c>
      <c r="C357" t="str">
        <f>VLOOKUP(A357,'Production Plan'!B:F,5,FALSE)</f>
        <v>Bistand til data-relaterede aktiviteter Leverandøren skal yde bistand til data-relaterede aktiviteter i forbindelse med Kundens overgang til ny ESDH-løsning, herunder bistand til: • • Periodeaflevering til Statens Arkiver Konvertering af data fra nuværende ESDH-løsning til ny ESDH-løsning</v>
      </c>
      <c r="F357"/>
    </row>
    <row r="358" spans="1:6" hidden="1">
      <c r="A358" t="str">
        <f>'Production Plan'!B358</f>
        <v>B1.K-4</v>
      </c>
      <c r="B358">
        <f>VLOOKUP(A358,'Production Plan'!B:T,16,FALSE)</f>
        <v>0</v>
      </c>
      <c r="C358" t="str">
        <f>VLOOKUP(A358,'Production Plan'!B:F,5,FALSE)</f>
        <v>Bistand til overgang til ny ESDH-løsning Leverandøren skal yde bistand til Kunden og den nye Leverandør i forbindelse med overgang til ny ESDHløsning herunder: • • • • • Udarbejde overgangsplan i samarbejde med Kunden og den nye Leverandør Yde bistand til overflytning af aktiviteter til Kunden eller den nye Leverandør Deltage i overleveringsmøder og eventuelle workshops med Kunden og den ny Leverandør Assistere med rådgivning i en overgangsperiode til Kunden eller den nye Leverandør Udarbejde eventuel supplerende dokumentation. 3</v>
      </c>
      <c r="F358"/>
    </row>
    <row r="359" spans="1:6" hidden="1">
      <c r="A359" t="e">
        <f>'Production Plan'!#REF!</f>
        <v>#REF!</v>
      </c>
      <c r="B359" t="e">
        <f>VLOOKUP(A359,'Production Plan'!B:T,16,FALSE)</f>
        <v>#REF!</v>
      </c>
      <c r="C359" t="e">
        <f>VLOOKUP(A359,'Production Plan'!B:F,5,FALSE)</f>
        <v>#REF!</v>
      </c>
      <c r="F359"/>
    </row>
    <row r="360" spans="1:6" hidden="1">
      <c r="A360" t="e">
        <f>'Production Plan'!#REF!</f>
        <v>#REF!</v>
      </c>
      <c r="B360" t="e">
        <f>VLOOKUP(A360,'Production Plan'!B:T,16,FALSE)</f>
        <v>#REF!</v>
      </c>
      <c r="C360" t="e">
        <f>VLOOKUP(A360,'Production Plan'!B:F,5,FALSE)</f>
        <v>#REF!</v>
      </c>
      <c r="F360"/>
    </row>
    <row r="361" spans="1:6" hidden="1">
      <c r="A361" t="e">
        <f>'Production Plan'!#REF!</f>
        <v>#REF!</v>
      </c>
      <c r="B361" t="e">
        <f>VLOOKUP(A361,'Production Plan'!B:T,16,FALSE)</f>
        <v>#REF!</v>
      </c>
      <c r="C361" t="e">
        <f>VLOOKUP(A361,'Production Plan'!B:F,5,FALSE)</f>
        <v>#REF!</v>
      </c>
      <c r="F361"/>
    </row>
    <row r="362" spans="1:6" hidden="1">
      <c r="A362" t="e">
        <f>'Production Plan'!#REF!</f>
        <v>#REF!</v>
      </c>
      <c r="B362" t="e">
        <f>VLOOKUP(A362,'Production Plan'!B:T,16,FALSE)</f>
        <v>#REF!</v>
      </c>
      <c r="C362" t="e">
        <f>VLOOKUP(A362,'Production Plan'!B:F,5,FALSE)</f>
        <v>#REF!</v>
      </c>
      <c r="F362"/>
    </row>
    <row r="363" spans="1:6" hidden="1">
      <c r="A363" t="e">
        <f>'Production Plan'!#REF!</f>
        <v>#REF!</v>
      </c>
      <c r="B363" t="e">
        <f>VLOOKUP(A363,'Production Plan'!B:T,16,FALSE)</f>
        <v>#REF!</v>
      </c>
      <c r="C363" t="e">
        <f>VLOOKUP(A363,'Production Plan'!B:F,5,FALSE)</f>
        <v>#REF!</v>
      </c>
      <c r="F363"/>
    </row>
    <row r="364" spans="1:6" hidden="1">
      <c r="A364" t="e">
        <f>'Production Plan'!#REF!</f>
        <v>#REF!</v>
      </c>
      <c r="B364" t="e">
        <f>VLOOKUP(A364,'Production Plan'!B:T,16,FALSE)</f>
        <v>#REF!</v>
      </c>
      <c r="C364" t="e">
        <f>VLOOKUP(A364,'Production Plan'!B:F,5,FALSE)</f>
        <v>#REF!</v>
      </c>
      <c r="F364"/>
    </row>
    <row r="365" spans="1:6" hidden="1">
      <c r="A365" t="e">
        <f>'Production Plan'!#REF!</f>
        <v>#REF!</v>
      </c>
      <c r="B365" t="e">
        <f>VLOOKUP(A365,'Production Plan'!B:T,16,FALSE)</f>
        <v>#REF!</v>
      </c>
      <c r="C365" t="e">
        <f>VLOOKUP(A365,'Production Plan'!B:F,5,FALSE)</f>
        <v>#REF!</v>
      </c>
      <c r="F365"/>
    </row>
    <row r="366" spans="1:6" hidden="1">
      <c r="A366" t="e">
        <f>'Production Plan'!#REF!</f>
        <v>#REF!</v>
      </c>
      <c r="B366" t="e">
        <f>VLOOKUP(A366,'Production Plan'!B:T,16,FALSE)</f>
        <v>#REF!</v>
      </c>
      <c r="C366" t="e">
        <f>VLOOKUP(A366,'Production Plan'!B:F,5,FALSE)</f>
        <v>#REF!</v>
      </c>
      <c r="F366"/>
    </row>
    <row r="367" spans="1:6" hidden="1">
      <c r="A367" t="e">
        <f>'Production Plan'!#REF!</f>
        <v>#REF!</v>
      </c>
      <c r="B367" t="e">
        <f>VLOOKUP(A367,'Production Plan'!B:T,16,FALSE)</f>
        <v>#REF!</v>
      </c>
      <c r="C367" t="e">
        <f>VLOOKUP(A367,'Production Plan'!B:F,5,FALSE)</f>
        <v>#REF!</v>
      </c>
      <c r="F367"/>
    </row>
    <row r="368" spans="1:6" hidden="1">
      <c r="A368" t="e">
        <f>'Production Plan'!#REF!</f>
        <v>#REF!</v>
      </c>
      <c r="B368" t="e">
        <f>VLOOKUP(A368,'Production Plan'!B:T,16,FALSE)</f>
        <v>#REF!</v>
      </c>
      <c r="C368" t="e">
        <f>VLOOKUP(A368,'Production Plan'!B:F,5,FALSE)</f>
        <v>#REF!</v>
      </c>
      <c r="F368"/>
    </row>
    <row r="369" spans="1:6" hidden="1">
      <c r="A369" t="e">
        <f>'Production Plan'!#REF!</f>
        <v>#REF!</v>
      </c>
      <c r="B369" t="e">
        <f>VLOOKUP(A369,'Production Plan'!B:T,16,FALSE)</f>
        <v>#REF!</v>
      </c>
      <c r="C369" t="e">
        <f>VLOOKUP(A369,'Production Plan'!B:F,5,FALSE)</f>
        <v>#REF!</v>
      </c>
      <c r="F369"/>
    </row>
    <row r="370" spans="1:6" hidden="1">
      <c r="A370">
        <f>'Production Plan'!B359</f>
        <v>0</v>
      </c>
      <c r="B370" t="e">
        <f>VLOOKUP(A370,'Production Plan'!B:T,16,FALSE)</f>
        <v>#N/A</v>
      </c>
      <c r="C370" t="e">
        <f>VLOOKUP(A370,'Production Plan'!B:F,5,FALSE)</f>
        <v>#N/A</v>
      </c>
      <c r="F370"/>
    </row>
    <row r="371" spans="1:6" hidden="1">
      <c r="A371">
        <f>'Production Plan'!B360</f>
        <v>0</v>
      </c>
      <c r="B371" t="e">
        <f>VLOOKUP(A371,'Production Plan'!B:T,16,FALSE)</f>
        <v>#N/A</v>
      </c>
      <c r="C371" t="e">
        <f>VLOOKUP(A371,'Production Plan'!B:F,5,FALSE)</f>
        <v>#N/A</v>
      </c>
      <c r="F371"/>
    </row>
    <row r="372" spans="1:6" hidden="1">
      <c r="A372">
        <f>'Production Plan'!B361</f>
        <v>0</v>
      </c>
      <c r="B372" t="e">
        <f>VLOOKUP(A372,'Production Plan'!B:T,16,FALSE)</f>
        <v>#N/A</v>
      </c>
      <c r="C372" t="e">
        <f>VLOOKUP(A372,'Production Plan'!B:F,5,FALSE)</f>
        <v>#N/A</v>
      </c>
      <c r="F372"/>
    </row>
    <row r="373" spans="1:6" hidden="1">
      <c r="A373">
        <f>'Production Plan'!B362</f>
        <v>0</v>
      </c>
      <c r="B373" t="e">
        <f>VLOOKUP(A373,'Production Plan'!B:T,16,FALSE)</f>
        <v>#N/A</v>
      </c>
      <c r="C373" t="e">
        <f>VLOOKUP(A373,'Production Plan'!B:F,5,FALSE)</f>
        <v>#N/A</v>
      </c>
      <c r="F373"/>
    </row>
    <row r="374" spans="1:6" hidden="1">
      <c r="A374">
        <f>'Production Plan'!B363</f>
        <v>0</v>
      </c>
      <c r="B374" t="e">
        <f>VLOOKUP(A374,'Production Plan'!B:T,16,FALSE)</f>
        <v>#N/A</v>
      </c>
      <c r="C374" t="e">
        <f>VLOOKUP(A374,'Production Plan'!B:F,5,FALSE)</f>
        <v>#N/A</v>
      </c>
      <c r="F374"/>
    </row>
    <row r="375" spans="1:6" hidden="1">
      <c r="A375">
        <f>'Production Plan'!B364</f>
        <v>0</v>
      </c>
      <c r="B375" t="e">
        <f>VLOOKUP(A375,'Production Plan'!B:T,16,FALSE)</f>
        <v>#N/A</v>
      </c>
      <c r="C375" t="e">
        <f>VLOOKUP(A375,'Production Plan'!B:F,5,FALSE)</f>
        <v>#N/A</v>
      </c>
      <c r="F375"/>
    </row>
    <row r="376" spans="1:6" hidden="1">
      <c r="A376">
        <f>'Production Plan'!B365</f>
        <v>0</v>
      </c>
      <c r="B376" t="e">
        <f>VLOOKUP(A376,'Production Plan'!B:T,16,FALSE)</f>
        <v>#N/A</v>
      </c>
      <c r="C376" t="e">
        <f>VLOOKUP(A376,'Production Plan'!B:F,5,FALSE)</f>
        <v>#N/A</v>
      </c>
      <c r="F376"/>
    </row>
    <row r="377" spans="1:6" hidden="1">
      <c r="A377">
        <f>'Production Plan'!B366</f>
        <v>0</v>
      </c>
      <c r="B377" t="e">
        <f>VLOOKUP(A377,'Production Plan'!B:T,16,FALSE)</f>
        <v>#N/A</v>
      </c>
      <c r="C377" t="e">
        <f>VLOOKUP(A377,'Production Plan'!B:F,5,FALSE)</f>
        <v>#N/A</v>
      </c>
      <c r="F377"/>
    </row>
    <row r="378" spans="1:6" hidden="1">
      <c r="A378">
        <f>'Production Plan'!B367</f>
        <v>0</v>
      </c>
      <c r="B378" t="e">
        <f>VLOOKUP(A378,'Production Plan'!B:T,16,FALSE)</f>
        <v>#N/A</v>
      </c>
      <c r="C378" t="e">
        <f>VLOOKUP(A378,'Production Plan'!B:F,5,FALSE)</f>
        <v>#N/A</v>
      </c>
      <c r="F378"/>
    </row>
    <row r="379" spans="1:6" hidden="1">
      <c r="A379">
        <f>'Production Plan'!B368</f>
        <v>0</v>
      </c>
      <c r="B379" t="e">
        <f>VLOOKUP(A379,'Production Plan'!B:T,16,FALSE)</f>
        <v>#N/A</v>
      </c>
      <c r="C379" t="e">
        <f>VLOOKUP(A379,'Production Plan'!B:F,5,FALSE)</f>
        <v>#N/A</v>
      </c>
      <c r="F379"/>
    </row>
    <row r="380" spans="1:6" hidden="1">
      <c r="A380">
        <f>'Production Plan'!B369</f>
        <v>0</v>
      </c>
      <c r="B380" t="e">
        <f>VLOOKUP(A380,'Production Plan'!B:T,16,FALSE)</f>
        <v>#N/A</v>
      </c>
      <c r="C380" t="e">
        <f>VLOOKUP(A380,'Production Plan'!B:F,5,FALSE)</f>
        <v>#N/A</v>
      </c>
      <c r="F380"/>
    </row>
    <row r="381" spans="1:6" hidden="1">
      <c r="A381">
        <f>'Production Plan'!B370</f>
        <v>0</v>
      </c>
      <c r="B381" t="e">
        <f>VLOOKUP(A381,'Production Plan'!B:T,16,FALSE)</f>
        <v>#N/A</v>
      </c>
      <c r="C381" t="e">
        <f>VLOOKUP(A381,'Production Plan'!B:F,5,FALSE)</f>
        <v>#N/A</v>
      </c>
      <c r="F381"/>
    </row>
    <row r="382" spans="1:6" hidden="1">
      <c r="A382">
        <f>'Production Plan'!B371</f>
        <v>0</v>
      </c>
      <c r="B382" t="e">
        <f>VLOOKUP(A382,'Production Plan'!B:T,16,FALSE)</f>
        <v>#N/A</v>
      </c>
      <c r="C382" t="e">
        <f>VLOOKUP(A382,'Production Plan'!B:F,5,FALSE)</f>
        <v>#N/A</v>
      </c>
      <c r="F382"/>
    </row>
    <row r="383" spans="1:6" hidden="1">
      <c r="A383">
        <f>'Production Plan'!B372</f>
        <v>0</v>
      </c>
      <c r="B383" t="e">
        <f>VLOOKUP(A383,'Production Plan'!B:T,16,FALSE)</f>
        <v>#N/A</v>
      </c>
      <c r="C383" t="e">
        <f>VLOOKUP(A383,'Production Plan'!B:F,5,FALSE)</f>
        <v>#N/A</v>
      </c>
      <c r="F383"/>
    </row>
    <row r="384" spans="1:6" hidden="1">
      <c r="A384">
        <f>'Production Plan'!B373</f>
        <v>0</v>
      </c>
      <c r="B384" t="e">
        <f>VLOOKUP(A384,'Production Plan'!B:T,16,FALSE)</f>
        <v>#N/A</v>
      </c>
      <c r="C384" t="e">
        <f>VLOOKUP(A384,'Production Plan'!B:F,5,FALSE)</f>
        <v>#N/A</v>
      </c>
      <c r="F384"/>
    </row>
    <row r="385" spans="1:6" hidden="1">
      <c r="A385">
        <f>'Production Plan'!B374</f>
        <v>0</v>
      </c>
      <c r="B385" t="e">
        <f>VLOOKUP(A385,'Production Plan'!B:T,16,FALSE)</f>
        <v>#N/A</v>
      </c>
      <c r="C385" t="e">
        <f>VLOOKUP(A385,'Production Plan'!B:F,5,FALSE)</f>
        <v>#N/A</v>
      </c>
      <c r="F385"/>
    </row>
    <row r="386" spans="1:6" hidden="1">
      <c r="A386">
        <f>'Production Plan'!B375</f>
        <v>0</v>
      </c>
      <c r="B386" t="e">
        <f>VLOOKUP(A386,'Production Plan'!B:T,16,FALSE)</f>
        <v>#N/A</v>
      </c>
      <c r="C386" t="e">
        <f>VLOOKUP(A386,'Production Plan'!B:F,5,FALSE)</f>
        <v>#N/A</v>
      </c>
      <c r="F386"/>
    </row>
    <row r="387" spans="1:6" hidden="1">
      <c r="A387">
        <f>'Production Plan'!B376</f>
        <v>0</v>
      </c>
      <c r="B387" t="e">
        <f>VLOOKUP(A387,'Production Plan'!B:T,16,FALSE)</f>
        <v>#N/A</v>
      </c>
      <c r="C387" t="e">
        <f>VLOOKUP(A387,'Production Plan'!B:F,5,FALSE)</f>
        <v>#N/A</v>
      </c>
      <c r="F387"/>
    </row>
    <row r="388" spans="1:6" hidden="1">
      <c r="A388">
        <f>'Production Plan'!B377</f>
        <v>0</v>
      </c>
      <c r="B388" t="e">
        <f>VLOOKUP(A388,'Production Plan'!B:T,16,FALSE)</f>
        <v>#N/A</v>
      </c>
      <c r="C388" t="e">
        <f>VLOOKUP(A388,'Production Plan'!B:F,5,FALSE)</f>
        <v>#N/A</v>
      </c>
      <c r="F388"/>
    </row>
    <row r="389" spans="1:6" hidden="1">
      <c r="A389">
        <f>'Production Plan'!B378</f>
        <v>0</v>
      </c>
      <c r="B389" t="e">
        <f>VLOOKUP(A389,'Production Plan'!B:T,16,FALSE)</f>
        <v>#N/A</v>
      </c>
      <c r="C389" t="e">
        <f>VLOOKUP(A389,'Production Plan'!B:F,5,FALSE)</f>
        <v>#N/A</v>
      </c>
      <c r="F389"/>
    </row>
    <row r="390" spans="1:6" hidden="1">
      <c r="A390">
        <f>'Production Plan'!B379</f>
        <v>0</v>
      </c>
      <c r="B390" t="e">
        <f>VLOOKUP(A390,'Production Plan'!B:T,16,FALSE)</f>
        <v>#N/A</v>
      </c>
      <c r="C390" t="e">
        <f>VLOOKUP(A390,'Production Plan'!B:F,5,FALSE)</f>
        <v>#N/A</v>
      </c>
      <c r="F390"/>
    </row>
    <row r="391" spans="1:6" hidden="1">
      <c r="A391">
        <f>'Production Plan'!B380</f>
        <v>0</v>
      </c>
      <c r="B391" t="e">
        <f>VLOOKUP(A391,'Production Plan'!B:T,16,FALSE)</f>
        <v>#N/A</v>
      </c>
      <c r="C391" t="e">
        <f>VLOOKUP(A391,'Production Plan'!B:F,5,FALSE)</f>
        <v>#N/A</v>
      </c>
      <c r="F391"/>
    </row>
    <row r="392" spans="1:6" hidden="1">
      <c r="A392">
        <f>'Production Plan'!B381</f>
        <v>0</v>
      </c>
      <c r="B392" t="e">
        <f>VLOOKUP(A392,'Production Plan'!B:T,16,FALSE)</f>
        <v>#N/A</v>
      </c>
      <c r="C392" t="e">
        <f>VLOOKUP(A392,'Production Plan'!B:F,5,FALSE)</f>
        <v>#N/A</v>
      </c>
      <c r="F392"/>
    </row>
    <row r="393" spans="1:6" hidden="1">
      <c r="A393">
        <f>'Production Plan'!B382</f>
        <v>0</v>
      </c>
      <c r="B393" t="e">
        <f>VLOOKUP(A393,'Production Plan'!B:T,16,FALSE)</f>
        <v>#N/A</v>
      </c>
      <c r="C393" t="e">
        <f>VLOOKUP(A393,'Production Plan'!B:F,5,FALSE)</f>
        <v>#N/A</v>
      </c>
      <c r="F393"/>
    </row>
    <row r="394" spans="1:6" hidden="1">
      <c r="A394">
        <f>'Production Plan'!B383</f>
        <v>0</v>
      </c>
      <c r="B394" t="e">
        <f>VLOOKUP(A394,'Production Plan'!B:T,16,FALSE)</f>
        <v>#N/A</v>
      </c>
      <c r="C394" t="e">
        <f>VLOOKUP(A394,'Production Plan'!B:F,5,FALSE)</f>
        <v>#N/A</v>
      </c>
      <c r="F394"/>
    </row>
    <row r="395" spans="1:6" hidden="1">
      <c r="A395">
        <f>'Production Plan'!B384</f>
        <v>0</v>
      </c>
      <c r="B395" t="e">
        <f>VLOOKUP(A395,'Production Plan'!B:T,16,FALSE)</f>
        <v>#N/A</v>
      </c>
      <c r="C395" t="e">
        <f>VLOOKUP(A395,'Production Plan'!B:F,5,FALSE)</f>
        <v>#N/A</v>
      </c>
      <c r="F395"/>
    </row>
    <row r="396" spans="1:6" hidden="1">
      <c r="A396">
        <f>'Production Plan'!B385</f>
        <v>0</v>
      </c>
      <c r="B396" t="e">
        <f>VLOOKUP(A396,'Production Plan'!B:T,16,FALSE)</f>
        <v>#N/A</v>
      </c>
      <c r="C396" t="e">
        <f>VLOOKUP(A396,'Production Plan'!B:F,5,FALSE)</f>
        <v>#N/A</v>
      </c>
      <c r="F396"/>
    </row>
    <row r="397" spans="1:6" hidden="1">
      <c r="A397">
        <f>'Production Plan'!B386</f>
        <v>0</v>
      </c>
      <c r="B397" t="e">
        <f>VLOOKUP(A397,'Production Plan'!B:T,16,FALSE)</f>
        <v>#N/A</v>
      </c>
      <c r="C397" t="e">
        <f>VLOOKUP(A397,'Production Plan'!B:F,5,FALSE)</f>
        <v>#N/A</v>
      </c>
      <c r="F397"/>
    </row>
    <row r="398" spans="1:6" hidden="1">
      <c r="A398">
        <f>'Production Plan'!B387</f>
        <v>0</v>
      </c>
      <c r="B398" t="e">
        <f>VLOOKUP(A398,'Production Plan'!B:T,16,FALSE)</f>
        <v>#N/A</v>
      </c>
      <c r="C398" t="e">
        <f>VLOOKUP(A398,'Production Plan'!B:F,5,FALSE)</f>
        <v>#N/A</v>
      </c>
      <c r="F398"/>
    </row>
    <row r="399" spans="1:6" hidden="1">
      <c r="A399">
        <f>'Production Plan'!B388</f>
        <v>0</v>
      </c>
      <c r="B399" t="e">
        <f>VLOOKUP(A399,'Production Plan'!B:T,16,FALSE)</f>
        <v>#N/A</v>
      </c>
      <c r="C399" t="e">
        <f>VLOOKUP(A399,'Production Plan'!B:F,5,FALSE)</f>
        <v>#N/A</v>
      </c>
      <c r="F399"/>
    </row>
    <row r="400" spans="1:6" hidden="1">
      <c r="A400">
        <f>'Production Plan'!B389</f>
        <v>0</v>
      </c>
      <c r="B400" t="e">
        <f>VLOOKUP(A400,'Production Plan'!B:T,16,FALSE)</f>
        <v>#N/A</v>
      </c>
      <c r="C400" t="e">
        <f>VLOOKUP(A400,'Production Plan'!B:F,5,FALSE)</f>
        <v>#N/A</v>
      </c>
      <c r="F400"/>
    </row>
    <row r="401" spans="1:6" hidden="1">
      <c r="A401">
        <f>'Production Plan'!B390</f>
        <v>0</v>
      </c>
      <c r="B401" t="e">
        <f>VLOOKUP(A401,'Production Plan'!B:T,16,FALSE)</f>
        <v>#N/A</v>
      </c>
      <c r="C401" t="e">
        <f>VLOOKUP(A401,'Production Plan'!B:F,5,FALSE)</f>
        <v>#N/A</v>
      </c>
      <c r="F401"/>
    </row>
    <row r="402" spans="1:6" hidden="1">
      <c r="A402">
        <f>'Production Plan'!B391</f>
        <v>0</v>
      </c>
      <c r="B402" t="e">
        <f>VLOOKUP(A402,'Production Plan'!B:T,16,FALSE)</f>
        <v>#N/A</v>
      </c>
      <c r="C402" t="e">
        <f>VLOOKUP(A402,'Production Plan'!B:F,5,FALSE)</f>
        <v>#N/A</v>
      </c>
      <c r="F402"/>
    </row>
    <row r="403" spans="1:6" hidden="1">
      <c r="A403">
        <f>'Production Plan'!B392</f>
        <v>0</v>
      </c>
      <c r="B403" t="e">
        <f>VLOOKUP(A403,'Production Plan'!B:T,16,FALSE)</f>
        <v>#N/A</v>
      </c>
      <c r="C403" t="e">
        <f>VLOOKUP(A403,'Production Plan'!B:F,5,FALSE)</f>
        <v>#N/A</v>
      </c>
      <c r="F403"/>
    </row>
    <row r="404" spans="1:6" hidden="1">
      <c r="A404">
        <f>'Production Plan'!B393</f>
        <v>0</v>
      </c>
      <c r="B404" t="e">
        <f>VLOOKUP(A404,'Production Plan'!B:T,16,FALSE)</f>
        <v>#N/A</v>
      </c>
      <c r="C404" t="e">
        <f>VLOOKUP(A404,'Production Plan'!B:F,5,FALSE)</f>
        <v>#N/A</v>
      </c>
      <c r="F404"/>
    </row>
    <row r="405" spans="1:6" hidden="1">
      <c r="A405">
        <f>'Production Plan'!B394</f>
        <v>0</v>
      </c>
      <c r="B405" t="e">
        <f>VLOOKUP(A405,'Production Plan'!B:T,16,FALSE)</f>
        <v>#N/A</v>
      </c>
      <c r="C405" t="e">
        <f>VLOOKUP(A405,'Production Plan'!B:F,5,FALSE)</f>
        <v>#N/A</v>
      </c>
      <c r="F405"/>
    </row>
    <row r="406" spans="1:6" hidden="1">
      <c r="A406">
        <f>'Production Plan'!B395</f>
        <v>0</v>
      </c>
      <c r="B406" t="e">
        <f>VLOOKUP(A406,'Production Plan'!B:T,16,FALSE)</f>
        <v>#N/A</v>
      </c>
      <c r="C406" t="e">
        <f>VLOOKUP(A406,'Production Plan'!B:F,5,FALSE)</f>
        <v>#N/A</v>
      </c>
      <c r="F406"/>
    </row>
    <row r="407" spans="1:6" hidden="1">
      <c r="A407">
        <f>'Production Plan'!B396</f>
        <v>0</v>
      </c>
      <c r="B407" t="e">
        <f>VLOOKUP(A407,'Production Plan'!B:T,16,FALSE)</f>
        <v>#N/A</v>
      </c>
      <c r="C407" t="e">
        <f>VLOOKUP(A407,'Production Plan'!B:F,5,FALSE)</f>
        <v>#N/A</v>
      </c>
      <c r="F407"/>
    </row>
    <row r="408" spans="1:6" hidden="1">
      <c r="A408">
        <f>'Production Plan'!B397</f>
        <v>0</v>
      </c>
      <c r="B408" t="e">
        <f>VLOOKUP(A408,'Production Plan'!B:T,16,FALSE)</f>
        <v>#N/A</v>
      </c>
      <c r="C408" t="e">
        <f>VLOOKUP(A408,'Production Plan'!B:F,5,FALSE)</f>
        <v>#N/A</v>
      </c>
      <c r="F408"/>
    </row>
    <row r="409" spans="1:6" hidden="1">
      <c r="A409">
        <f>'Production Plan'!B398</f>
        <v>0</v>
      </c>
      <c r="B409" t="e">
        <f>VLOOKUP(A409,'Production Plan'!B:T,16,FALSE)</f>
        <v>#N/A</v>
      </c>
      <c r="C409" t="e">
        <f>VLOOKUP(A409,'Production Plan'!B:F,5,FALSE)</f>
        <v>#N/A</v>
      </c>
      <c r="F409"/>
    </row>
    <row r="410" spans="1:6" hidden="1">
      <c r="A410">
        <f>'Production Plan'!B399</f>
        <v>0</v>
      </c>
      <c r="B410" t="e">
        <f>VLOOKUP(A410,'Production Plan'!B:T,16,FALSE)</f>
        <v>#N/A</v>
      </c>
      <c r="C410" t="e">
        <f>VLOOKUP(A410,'Production Plan'!B:F,5,FALSE)</f>
        <v>#N/A</v>
      </c>
      <c r="F410"/>
    </row>
    <row r="411" spans="1:6" hidden="1">
      <c r="A411">
        <f>'Production Plan'!B400</f>
        <v>0</v>
      </c>
      <c r="B411" t="e">
        <f>VLOOKUP(A411,'Production Plan'!B:T,16,FALSE)</f>
        <v>#N/A</v>
      </c>
      <c r="C411" t="e">
        <f>VLOOKUP(A411,'Production Plan'!B:F,5,FALSE)</f>
        <v>#N/A</v>
      </c>
      <c r="F411"/>
    </row>
    <row r="412" spans="1:6" hidden="1">
      <c r="A412">
        <f>'Production Plan'!B401</f>
        <v>0</v>
      </c>
      <c r="B412" t="e">
        <f>VLOOKUP(A412,'Production Plan'!B:T,16,FALSE)</f>
        <v>#N/A</v>
      </c>
      <c r="C412" t="e">
        <f>VLOOKUP(A412,'Production Plan'!B:F,5,FALSE)</f>
        <v>#N/A</v>
      </c>
      <c r="F412"/>
    </row>
    <row r="413" spans="1:6" hidden="1">
      <c r="A413">
        <f>'Production Plan'!B402</f>
        <v>0</v>
      </c>
      <c r="B413" t="e">
        <f>VLOOKUP(A413,'Production Plan'!B:T,16,FALSE)</f>
        <v>#N/A</v>
      </c>
      <c r="C413" t="e">
        <f>VLOOKUP(A413,'Production Plan'!B:F,5,FALSE)</f>
        <v>#N/A</v>
      </c>
      <c r="F413"/>
    </row>
    <row r="414" spans="1:6" hidden="1">
      <c r="A414">
        <f>'Production Plan'!B403</f>
        <v>0</v>
      </c>
      <c r="B414" t="e">
        <f>VLOOKUP(A414,'Production Plan'!B:T,16,FALSE)</f>
        <v>#N/A</v>
      </c>
      <c r="C414" t="e">
        <f>VLOOKUP(A414,'Production Plan'!B:F,5,FALSE)</f>
        <v>#N/A</v>
      </c>
      <c r="F414"/>
    </row>
    <row r="415" spans="1:6" hidden="1">
      <c r="A415">
        <f>'Production Plan'!B404</f>
        <v>0</v>
      </c>
      <c r="B415" t="e">
        <f>VLOOKUP(A415,'Production Plan'!B:T,16,FALSE)</f>
        <v>#N/A</v>
      </c>
      <c r="C415" t="e">
        <f>VLOOKUP(A415,'Production Plan'!B:F,5,FALSE)</f>
        <v>#N/A</v>
      </c>
      <c r="F415"/>
    </row>
    <row r="416" spans="1:6" hidden="1">
      <c r="A416">
        <f>'Production Plan'!B405</f>
        <v>0</v>
      </c>
      <c r="B416" t="e">
        <f>VLOOKUP(A416,'Production Plan'!B:T,16,FALSE)</f>
        <v>#N/A</v>
      </c>
      <c r="C416" t="e">
        <f>VLOOKUP(A416,'Production Plan'!B:F,5,FALSE)</f>
        <v>#N/A</v>
      </c>
      <c r="F416"/>
    </row>
    <row r="417" spans="1:6" hidden="1">
      <c r="A417">
        <f>'Production Plan'!B406</f>
        <v>0</v>
      </c>
      <c r="B417" t="e">
        <f>VLOOKUP(A417,'Production Plan'!B:T,16,FALSE)</f>
        <v>#N/A</v>
      </c>
      <c r="C417" t="e">
        <f>VLOOKUP(A417,'Production Plan'!B:F,5,FALSE)</f>
        <v>#N/A</v>
      </c>
      <c r="F417"/>
    </row>
    <row r="418" spans="1:6" hidden="1">
      <c r="A418">
        <f>'Production Plan'!B407</f>
        <v>0</v>
      </c>
      <c r="B418" t="e">
        <f>VLOOKUP(A418,'Production Plan'!B:T,16,FALSE)</f>
        <v>#N/A</v>
      </c>
      <c r="C418" t="e">
        <f>VLOOKUP(A418,'Production Plan'!B:F,5,FALSE)</f>
        <v>#N/A</v>
      </c>
      <c r="F418"/>
    </row>
    <row r="419" spans="1:6" hidden="1">
      <c r="A419">
        <f>'Production Plan'!B408</f>
        <v>0</v>
      </c>
      <c r="B419" t="e">
        <f>VLOOKUP(A419,'Production Plan'!B:T,16,FALSE)</f>
        <v>#N/A</v>
      </c>
      <c r="C419" t="e">
        <f>VLOOKUP(A419,'Production Plan'!B:F,5,FALSE)</f>
        <v>#N/A</v>
      </c>
      <c r="F419"/>
    </row>
    <row r="420" spans="1:6" hidden="1">
      <c r="A420">
        <f>'Production Plan'!B409</f>
        <v>0</v>
      </c>
      <c r="B420" t="e">
        <f>VLOOKUP(A420,'Production Plan'!B:T,16,FALSE)</f>
        <v>#N/A</v>
      </c>
      <c r="C420" t="e">
        <f>VLOOKUP(A420,'Production Plan'!B:F,5,FALSE)</f>
        <v>#N/A</v>
      </c>
      <c r="F420"/>
    </row>
    <row r="421" spans="1:6" hidden="1">
      <c r="A421">
        <f>'Production Plan'!B410</f>
        <v>0</v>
      </c>
      <c r="B421" t="e">
        <f>VLOOKUP(A421,'Production Plan'!B:T,16,FALSE)</f>
        <v>#N/A</v>
      </c>
      <c r="C421" t="e">
        <f>VLOOKUP(A421,'Production Plan'!B:F,5,FALSE)</f>
        <v>#N/A</v>
      </c>
      <c r="F421"/>
    </row>
    <row r="422" spans="1:6" hidden="1">
      <c r="A422">
        <f>'Production Plan'!B411</f>
        <v>0</v>
      </c>
      <c r="B422" t="e">
        <f>VLOOKUP(A422,'Production Plan'!B:T,16,FALSE)</f>
        <v>#N/A</v>
      </c>
      <c r="C422" t="e">
        <f>VLOOKUP(A422,'Production Plan'!B:F,5,FALSE)</f>
        <v>#N/A</v>
      </c>
      <c r="F422"/>
    </row>
    <row r="423" spans="1:6" hidden="1">
      <c r="A423">
        <f>'Production Plan'!B412</f>
        <v>0</v>
      </c>
      <c r="B423" t="e">
        <f>VLOOKUP(A423,'Production Plan'!B:T,16,FALSE)</f>
        <v>#N/A</v>
      </c>
      <c r="C423" t="e">
        <f>VLOOKUP(A423,'Production Plan'!B:F,5,FALSE)</f>
        <v>#N/A</v>
      </c>
      <c r="F423"/>
    </row>
    <row r="424" spans="1:6" hidden="1">
      <c r="A424">
        <f>'Production Plan'!B413</f>
        <v>0</v>
      </c>
      <c r="B424" t="e">
        <f>VLOOKUP(A424,'Production Plan'!B:T,16,FALSE)</f>
        <v>#N/A</v>
      </c>
      <c r="C424" t="e">
        <f>VLOOKUP(A424,'Production Plan'!B:F,5,FALSE)</f>
        <v>#N/A</v>
      </c>
      <c r="F424"/>
    </row>
    <row r="425" spans="1:6" hidden="1">
      <c r="A425">
        <f>'Production Plan'!B414</f>
        <v>0</v>
      </c>
      <c r="B425" t="e">
        <f>VLOOKUP(A425,'Production Plan'!B:T,16,FALSE)</f>
        <v>#N/A</v>
      </c>
      <c r="C425" t="e">
        <f>VLOOKUP(A425,'Production Plan'!B:F,5,FALSE)</f>
        <v>#N/A</v>
      </c>
      <c r="F425"/>
    </row>
    <row r="426" spans="1:6" hidden="1">
      <c r="A426">
        <f>'Production Plan'!B415</f>
        <v>0</v>
      </c>
      <c r="B426" t="e">
        <f>VLOOKUP(A426,'Production Plan'!B:T,16,FALSE)</f>
        <v>#N/A</v>
      </c>
      <c r="C426" t="e">
        <f>VLOOKUP(A426,'Production Plan'!B:F,5,FALSE)</f>
        <v>#N/A</v>
      </c>
      <c r="F426"/>
    </row>
    <row r="427" spans="1:6" hidden="1">
      <c r="A427">
        <f>'Production Plan'!B416</f>
        <v>0</v>
      </c>
      <c r="B427" t="e">
        <f>VLOOKUP(A427,'Production Plan'!B:T,16,FALSE)</f>
        <v>#N/A</v>
      </c>
      <c r="C427" t="e">
        <f>VLOOKUP(A427,'Production Plan'!B:F,5,FALSE)</f>
        <v>#N/A</v>
      </c>
      <c r="F427"/>
    </row>
    <row r="428" spans="1:6" hidden="1">
      <c r="A428">
        <f>'Production Plan'!B417</f>
        <v>0</v>
      </c>
      <c r="B428" t="e">
        <f>VLOOKUP(A428,'Production Plan'!B:T,16,FALSE)</f>
        <v>#N/A</v>
      </c>
      <c r="C428" t="e">
        <f>VLOOKUP(A428,'Production Plan'!B:F,5,FALSE)</f>
        <v>#N/A</v>
      </c>
      <c r="F428"/>
    </row>
    <row r="429" spans="1:6" hidden="1">
      <c r="A429">
        <f>'Production Plan'!B418</f>
        <v>0</v>
      </c>
      <c r="B429" t="e">
        <f>VLOOKUP(A429,'Production Plan'!B:T,16,FALSE)</f>
        <v>#N/A</v>
      </c>
      <c r="C429" t="e">
        <f>VLOOKUP(A429,'Production Plan'!B:F,5,FALSE)</f>
        <v>#N/A</v>
      </c>
      <c r="F429"/>
    </row>
    <row r="430" spans="1:6" hidden="1">
      <c r="A430">
        <f>'Production Plan'!B419</f>
        <v>0</v>
      </c>
      <c r="B430" t="e">
        <f>VLOOKUP(A430,'Production Plan'!B:T,16,FALSE)</f>
        <v>#N/A</v>
      </c>
      <c r="C430" t="e">
        <f>VLOOKUP(A430,'Production Plan'!B:F,5,FALSE)</f>
        <v>#N/A</v>
      </c>
      <c r="F430"/>
    </row>
    <row r="431" spans="1:6" hidden="1">
      <c r="A431">
        <f>'Production Plan'!B420</f>
        <v>0</v>
      </c>
      <c r="B431" t="e">
        <f>VLOOKUP(A431,'Production Plan'!B:T,16,FALSE)</f>
        <v>#N/A</v>
      </c>
      <c r="C431" t="e">
        <f>VLOOKUP(A431,'Production Plan'!B:F,5,FALSE)</f>
        <v>#N/A</v>
      </c>
      <c r="F431"/>
    </row>
    <row r="432" spans="1:6" hidden="1">
      <c r="A432">
        <f>'Production Plan'!B421</f>
        <v>0</v>
      </c>
      <c r="B432" t="e">
        <f>VLOOKUP(A432,'Production Plan'!B:T,16,FALSE)</f>
        <v>#N/A</v>
      </c>
      <c r="C432" t="e">
        <f>VLOOKUP(A432,'Production Plan'!B:F,5,FALSE)</f>
        <v>#N/A</v>
      </c>
      <c r="F432"/>
    </row>
    <row r="433" spans="1:6" hidden="1">
      <c r="A433">
        <f>'Production Plan'!B422</f>
        <v>0</v>
      </c>
      <c r="B433" t="e">
        <f>VLOOKUP(A433,'Production Plan'!B:T,16,FALSE)</f>
        <v>#N/A</v>
      </c>
      <c r="C433" t="e">
        <f>VLOOKUP(A433,'Production Plan'!B:F,5,FALSE)</f>
        <v>#N/A</v>
      </c>
      <c r="F433"/>
    </row>
    <row r="434" spans="1:6" hidden="1">
      <c r="A434">
        <f>'Production Plan'!B423</f>
        <v>0</v>
      </c>
      <c r="B434" t="e">
        <f>VLOOKUP(A434,'Production Plan'!B:T,16,FALSE)</f>
        <v>#N/A</v>
      </c>
      <c r="C434" t="e">
        <f>VLOOKUP(A434,'Production Plan'!B:F,5,FALSE)</f>
        <v>#N/A</v>
      </c>
      <c r="F434"/>
    </row>
    <row r="435" spans="1:6" hidden="1">
      <c r="A435">
        <f>'Production Plan'!B424</f>
        <v>0</v>
      </c>
      <c r="B435" t="e">
        <f>VLOOKUP(A435,'Production Plan'!B:T,16,FALSE)</f>
        <v>#N/A</v>
      </c>
      <c r="C435" t="e">
        <f>VLOOKUP(A435,'Production Plan'!B:F,5,FALSE)</f>
        <v>#N/A</v>
      </c>
      <c r="F435"/>
    </row>
    <row r="436" spans="1:6" hidden="1">
      <c r="A436">
        <f>'Production Plan'!B425</f>
        <v>0</v>
      </c>
      <c r="B436" t="e">
        <f>VLOOKUP(A436,'Production Plan'!B:T,16,FALSE)</f>
        <v>#N/A</v>
      </c>
      <c r="C436" t="e">
        <f>VLOOKUP(A436,'Production Plan'!B:F,5,FALSE)</f>
        <v>#N/A</v>
      </c>
      <c r="F436"/>
    </row>
    <row r="437" spans="1:6" hidden="1">
      <c r="A437">
        <f>'Production Plan'!B426</f>
        <v>0</v>
      </c>
      <c r="B437" t="e">
        <f>VLOOKUP(A437,'Production Plan'!B:T,16,FALSE)</f>
        <v>#N/A</v>
      </c>
      <c r="C437" t="e">
        <f>VLOOKUP(A437,'Production Plan'!B:F,5,FALSE)</f>
        <v>#N/A</v>
      </c>
      <c r="F437"/>
    </row>
    <row r="438" spans="1:6" hidden="1">
      <c r="A438">
        <f>'Production Plan'!B427</f>
        <v>0</v>
      </c>
      <c r="B438" t="e">
        <f>VLOOKUP(A438,'Production Plan'!B:T,16,FALSE)</f>
        <v>#N/A</v>
      </c>
      <c r="C438" t="e">
        <f>VLOOKUP(A438,'Production Plan'!B:F,5,FALSE)</f>
        <v>#N/A</v>
      </c>
      <c r="F438"/>
    </row>
    <row r="439" spans="1:6" hidden="1">
      <c r="A439">
        <f>'Production Plan'!B428</f>
        <v>0</v>
      </c>
      <c r="B439" t="e">
        <f>VLOOKUP(A439,'Production Plan'!B:T,16,FALSE)</f>
        <v>#N/A</v>
      </c>
      <c r="C439" t="e">
        <f>VLOOKUP(A439,'Production Plan'!B:F,5,FALSE)</f>
        <v>#N/A</v>
      </c>
      <c r="F439"/>
    </row>
    <row r="440" spans="1:6" hidden="1">
      <c r="A440">
        <f>'Production Plan'!B429</f>
        <v>0</v>
      </c>
      <c r="B440" t="e">
        <f>VLOOKUP(A440,'Production Plan'!B:T,16,FALSE)</f>
        <v>#N/A</v>
      </c>
      <c r="C440" t="e">
        <f>VLOOKUP(A440,'Production Plan'!B:F,5,FALSE)</f>
        <v>#N/A</v>
      </c>
      <c r="F440"/>
    </row>
    <row r="441" spans="1:6" hidden="1">
      <c r="A441">
        <f>'Production Plan'!B430</f>
        <v>0</v>
      </c>
      <c r="B441" t="e">
        <f>VLOOKUP(A441,'Production Plan'!B:T,16,FALSE)</f>
        <v>#N/A</v>
      </c>
      <c r="C441" t="e">
        <f>VLOOKUP(A441,'Production Plan'!B:F,5,FALSE)</f>
        <v>#N/A</v>
      </c>
      <c r="F441"/>
    </row>
    <row r="442" spans="1:6" hidden="1">
      <c r="A442">
        <f>'Production Plan'!B431</f>
        <v>0</v>
      </c>
      <c r="B442" t="e">
        <f>VLOOKUP(A442,'Production Plan'!B:T,16,FALSE)</f>
        <v>#N/A</v>
      </c>
      <c r="C442" t="e">
        <f>VLOOKUP(A442,'Production Plan'!B:F,5,FALSE)</f>
        <v>#N/A</v>
      </c>
      <c r="F442"/>
    </row>
    <row r="443" spans="1:6" hidden="1">
      <c r="A443">
        <f>'Production Plan'!B432</f>
        <v>0</v>
      </c>
      <c r="B443" t="e">
        <f>VLOOKUP(A443,'Production Plan'!B:T,16,FALSE)</f>
        <v>#N/A</v>
      </c>
      <c r="C443" t="e">
        <f>VLOOKUP(A443,'Production Plan'!B:F,5,FALSE)</f>
        <v>#N/A</v>
      </c>
      <c r="F443"/>
    </row>
    <row r="444" spans="1:6" hidden="1">
      <c r="A444">
        <f>'Production Plan'!B433</f>
        <v>0</v>
      </c>
      <c r="B444" t="e">
        <f>VLOOKUP(A444,'Production Plan'!B:T,16,FALSE)</f>
        <v>#N/A</v>
      </c>
      <c r="C444" t="e">
        <f>VLOOKUP(A444,'Production Plan'!B:F,5,FALSE)</f>
        <v>#N/A</v>
      </c>
      <c r="F444"/>
    </row>
    <row r="445" spans="1:6" hidden="1">
      <c r="A445">
        <f>'Production Plan'!B434</f>
        <v>0</v>
      </c>
      <c r="B445" t="e">
        <f>VLOOKUP(A445,'Production Plan'!B:T,16,FALSE)</f>
        <v>#N/A</v>
      </c>
      <c r="C445" t="e">
        <f>VLOOKUP(A445,'Production Plan'!B:F,5,FALSE)</f>
        <v>#N/A</v>
      </c>
      <c r="F445"/>
    </row>
    <row r="446" spans="1:6" hidden="1">
      <c r="A446">
        <f>'Production Plan'!B435</f>
        <v>0</v>
      </c>
      <c r="B446" t="e">
        <f>VLOOKUP(A446,'Production Plan'!B:T,16,FALSE)</f>
        <v>#N/A</v>
      </c>
      <c r="C446" t="e">
        <f>VLOOKUP(A446,'Production Plan'!B:F,5,FALSE)</f>
        <v>#N/A</v>
      </c>
      <c r="F446"/>
    </row>
    <row r="447" spans="1:6" hidden="1">
      <c r="A447">
        <f>'Production Plan'!B436</f>
        <v>0</v>
      </c>
      <c r="B447" t="e">
        <f>VLOOKUP(A447,'Production Plan'!B:T,16,FALSE)</f>
        <v>#N/A</v>
      </c>
      <c r="C447" t="e">
        <f>VLOOKUP(A447,'Production Plan'!B:F,5,FALSE)</f>
        <v>#N/A</v>
      </c>
      <c r="F447"/>
    </row>
    <row r="448" spans="1:6" hidden="1">
      <c r="A448">
        <f>'Production Plan'!B437</f>
        <v>0</v>
      </c>
      <c r="B448" t="e">
        <f>VLOOKUP(A448,'Production Plan'!B:T,16,FALSE)</f>
        <v>#N/A</v>
      </c>
      <c r="C448" t="e">
        <f>VLOOKUP(A448,'Production Plan'!B:F,5,FALSE)</f>
        <v>#N/A</v>
      </c>
      <c r="F448"/>
    </row>
    <row r="449" spans="1:6" hidden="1">
      <c r="A449">
        <f>'Production Plan'!B438</f>
        <v>0</v>
      </c>
      <c r="B449" t="e">
        <f>VLOOKUP(A449,'Production Plan'!B:T,16,FALSE)</f>
        <v>#N/A</v>
      </c>
      <c r="C449" t="e">
        <f>VLOOKUP(A449,'Production Plan'!B:F,5,FALSE)</f>
        <v>#N/A</v>
      </c>
      <c r="F449"/>
    </row>
    <row r="450" spans="1:6" hidden="1">
      <c r="A450">
        <f>'Production Plan'!B439</f>
        <v>0</v>
      </c>
      <c r="B450" t="e">
        <f>VLOOKUP(A450,'Production Plan'!B:T,16,FALSE)</f>
        <v>#N/A</v>
      </c>
      <c r="C450" t="e">
        <f>VLOOKUP(A450,'Production Plan'!B:F,5,FALSE)</f>
        <v>#N/A</v>
      </c>
      <c r="F450"/>
    </row>
    <row r="451" spans="1:6" hidden="1">
      <c r="A451">
        <f>'Production Plan'!B440</f>
        <v>0</v>
      </c>
      <c r="B451" t="e">
        <f>VLOOKUP(A451,'Production Plan'!B:T,16,FALSE)</f>
        <v>#N/A</v>
      </c>
      <c r="C451" t="e">
        <f>VLOOKUP(A451,'Production Plan'!B:F,5,FALSE)</f>
        <v>#N/A</v>
      </c>
      <c r="F451"/>
    </row>
    <row r="452" spans="1:6" hidden="1">
      <c r="A452">
        <f>'Production Plan'!B441</f>
        <v>0</v>
      </c>
      <c r="B452" t="e">
        <f>VLOOKUP(A452,'Production Plan'!B:T,16,FALSE)</f>
        <v>#N/A</v>
      </c>
      <c r="C452" t="e">
        <f>VLOOKUP(A452,'Production Plan'!B:F,5,FALSE)</f>
        <v>#N/A</v>
      </c>
      <c r="F452"/>
    </row>
    <row r="453" spans="1:6" hidden="1">
      <c r="A453">
        <f>'Production Plan'!B442</f>
        <v>0</v>
      </c>
      <c r="B453" t="e">
        <f>VLOOKUP(A453,'Production Plan'!B:T,16,FALSE)</f>
        <v>#N/A</v>
      </c>
      <c r="C453" t="e">
        <f>VLOOKUP(A453,'Production Plan'!B:F,5,FALSE)</f>
        <v>#N/A</v>
      </c>
      <c r="F453"/>
    </row>
    <row r="454" spans="1:6" hidden="1">
      <c r="A454">
        <f>'Production Plan'!B443</f>
        <v>0</v>
      </c>
      <c r="B454" t="e">
        <f>VLOOKUP(A454,'Production Plan'!B:T,16,FALSE)</f>
        <v>#N/A</v>
      </c>
      <c r="C454" t="e">
        <f>VLOOKUP(A454,'Production Plan'!B:F,5,FALSE)</f>
        <v>#N/A</v>
      </c>
      <c r="F454"/>
    </row>
    <row r="455" spans="1:6" hidden="1">
      <c r="A455">
        <f>'Production Plan'!B444</f>
        <v>0</v>
      </c>
      <c r="B455" t="e">
        <f>VLOOKUP(A455,'Production Plan'!B:T,16,FALSE)</f>
        <v>#N/A</v>
      </c>
      <c r="C455" t="e">
        <f>VLOOKUP(A455,'Production Plan'!B:F,5,FALSE)</f>
        <v>#N/A</v>
      </c>
      <c r="F455"/>
    </row>
    <row r="456" spans="1:6" hidden="1">
      <c r="A456">
        <f>'Production Plan'!B445</f>
        <v>0</v>
      </c>
      <c r="B456" t="e">
        <f>VLOOKUP(A456,'Production Plan'!B:T,16,FALSE)</f>
        <v>#N/A</v>
      </c>
      <c r="C456" t="e">
        <f>VLOOKUP(A456,'Production Plan'!B:F,5,FALSE)</f>
        <v>#N/A</v>
      </c>
      <c r="F456"/>
    </row>
    <row r="457" spans="1:6" hidden="1">
      <c r="A457">
        <f>'Production Plan'!B446</f>
        <v>0</v>
      </c>
      <c r="B457" t="e">
        <f>VLOOKUP(A457,'Production Plan'!B:T,16,FALSE)</f>
        <v>#N/A</v>
      </c>
      <c r="C457" t="e">
        <f>VLOOKUP(A457,'Production Plan'!B:F,5,FALSE)</f>
        <v>#N/A</v>
      </c>
      <c r="F457"/>
    </row>
    <row r="458" spans="1:6" hidden="1">
      <c r="A458">
        <f>'Production Plan'!B447</f>
        <v>0</v>
      </c>
      <c r="B458" t="e">
        <f>VLOOKUP(A458,'Production Plan'!B:T,16,FALSE)</f>
        <v>#N/A</v>
      </c>
      <c r="C458" t="e">
        <f>VLOOKUP(A458,'Production Plan'!B:F,5,FALSE)</f>
        <v>#N/A</v>
      </c>
      <c r="F458"/>
    </row>
    <row r="459" spans="1:6" hidden="1">
      <c r="A459">
        <f>'Production Plan'!B448</f>
        <v>0</v>
      </c>
      <c r="B459" t="e">
        <f>VLOOKUP(A459,'Production Plan'!B:T,16,FALSE)</f>
        <v>#N/A</v>
      </c>
      <c r="C459" t="e">
        <f>VLOOKUP(A459,'Production Plan'!B:F,5,FALSE)</f>
        <v>#N/A</v>
      </c>
      <c r="F459"/>
    </row>
    <row r="460" spans="1:6" hidden="1">
      <c r="A460">
        <f>'Production Plan'!B449</f>
        <v>0</v>
      </c>
      <c r="B460" t="e">
        <f>VLOOKUP(A460,'Production Plan'!B:T,16,FALSE)</f>
        <v>#N/A</v>
      </c>
      <c r="C460" t="e">
        <f>VLOOKUP(A460,'Production Plan'!B:F,5,FALSE)</f>
        <v>#N/A</v>
      </c>
      <c r="F460"/>
    </row>
    <row r="461" spans="1:6" hidden="1">
      <c r="A461">
        <f>'Production Plan'!B450</f>
        <v>0</v>
      </c>
      <c r="B461" t="e">
        <f>VLOOKUP(A461,'Production Plan'!B:T,16,FALSE)</f>
        <v>#N/A</v>
      </c>
      <c r="C461" t="e">
        <f>VLOOKUP(A461,'Production Plan'!B:F,5,FALSE)</f>
        <v>#N/A</v>
      </c>
      <c r="F461"/>
    </row>
    <row r="462" spans="1:6" hidden="1">
      <c r="A462">
        <f>'Production Plan'!B451</f>
        <v>0</v>
      </c>
      <c r="B462" t="e">
        <f>VLOOKUP(A462,'Production Plan'!B:T,16,FALSE)</f>
        <v>#N/A</v>
      </c>
      <c r="C462" t="e">
        <f>VLOOKUP(A462,'Production Plan'!B:F,5,FALSE)</f>
        <v>#N/A</v>
      </c>
      <c r="F462"/>
    </row>
    <row r="463" spans="1:6" hidden="1">
      <c r="A463">
        <f>'Production Plan'!B452</f>
        <v>0</v>
      </c>
      <c r="B463" t="e">
        <f>VLOOKUP(A463,'Production Plan'!B:T,16,FALSE)</f>
        <v>#N/A</v>
      </c>
      <c r="C463" t="e">
        <f>VLOOKUP(A463,'Production Plan'!B:F,5,FALSE)</f>
        <v>#N/A</v>
      </c>
      <c r="F463"/>
    </row>
    <row r="464" spans="1:6" hidden="1">
      <c r="A464">
        <f>'Production Plan'!B453</f>
        <v>0</v>
      </c>
      <c r="B464" t="e">
        <f>VLOOKUP(A464,'Production Plan'!B:T,16,FALSE)</f>
        <v>#N/A</v>
      </c>
      <c r="C464" t="e">
        <f>VLOOKUP(A464,'Production Plan'!B:F,5,FALSE)</f>
        <v>#N/A</v>
      </c>
      <c r="F464"/>
    </row>
    <row r="465" spans="1:6" hidden="1">
      <c r="A465">
        <f>'Production Plan'!B454</f>
        <v>0</v>
      </c>
      <c r="B465" t="e">
        <f>VLOOKUP(A465,'Production Plan'!B:T,16,FALSE)</f>
        <v>#N/A</v>
      </c>
      <c r="C465" t="e">
        <f>VLOOKUP(A465,'Production Plan'!B:F,5,FALSE)</f>
        <v>#N/A</v>
      </c>
      <c r="F465"/>
    </row>
    <row r="466" spans="1:6" hidden="1">
      <c r="A466">
        <f>'Production Plan'!B455</f>
        <v>0</v>
      </c>
      <c r="B466" t="e">
        <f>VLOOKUP(A466,'Production Plan'!B:T,16,FALSE)</f>
        <v>#N/A</v>
      </c>
      <c r="C466" t="e">
        <f>VLOOKUP(A466,'Production Plan'!B:F,5,FALSE)</f>
        <v>#N/A</v>
      </c>
      <c r="F466"/>
    </row>
    <row r="467" spans="1:6" hidden="1">
      <c r="A467">
        <f>'Production Plan'!B456</f>
        <v>0</v>
      </c>
      <c r="B467" t="e">
        <f>VLOOKUP(A467,'Production Plan'!B:T,16,FALSE)</f>
        <v>#N/A</v>
      </c>
      <c r="C467" t="e">
        <f>VLOOKUP(A467,'Production Plan'!B:F,5,FALSE)</f>
        <v>#N/A</v>
      </c>
      <c r="F467"/>
    </row>
    <row r="468" spans="1:6" hidden="1">
      <c r="A468">
        <f>'Production Plan'!B457</f>
        <v>0</v>
      </c>
      <c r="B468" t="e">
        <f>VLOOKUP(A468,'Production Plan'!B:T,16,FALSE)</f>
        <v>#N/A</v>
      </c>
      <c r="C468" t="e">
        <f>VLOOKUP(A468,'Production Plan'!B:F,5,FALSE)</f>
        <v>#N/A</v>
      </c>
      <c r="F468"/>
    </row>
    <row r="469" spans="1:6" hidden="1">
      <c r="A469">
        <f>'Production Plan'!B458</f>
        <v>0</v>
      </c>
      <c r="B469" t="e">
        <f>VLOOKUP(A469,'Production Plan'!B:T,16,FALSE)</f>
        <v>#N/A</v>
      </c>
      <c r="C469" t="e">
        <f>VLOOKUP(A469,'Production Plan'!B:F,5,FALSE)</f>
        <v>#N/A</v>
      </c>
      <c r="F469"/>
    </row>
    <row r="470" spans="1:6" hidden="1">
      <c r="A470">
        <f>'Production Plan'!B459</f>
        <v>0</v>
      </c>
      <c r="B470" t="e">
        <f>VLOOKUP(A470,'Production Plan'!B:T,16,FALSE)</f>
        <v>#N/A</v>
      </c>
      <c r="C470" t="e">
        <f>VLOOKUP(A470,'Production Plan'!B:F,5,FALSE)</f>
        <v>#N/A</v>
      </c>
      <c r="F470"/>
    </row>
    <row r="471" spans="1:6" hidden="1">
      <c r="A471">
        <f>'Production Plan'!B460</f>
        <v>0</v>
      </c>
      <c r="B471" t="e">
        <f>VLOOKUP(A471,'Production Plan'!B:T,16,FALSE)</f>
        <v>#N/A</v>
      </c>
      <c r="C471" t="e">
        <f>VLOOKUP(A471,'Production Plan'!B:F,5,FALSE)</f>
        <v>#N/A</v>
      </c>
      <c r="F471"/>
    </row>
    <row r="472" spans="1:6" hidden="1">
      <c r="A472">
        <f>'Production Plan'!B461</f>
        <v>0</v>
      </c>
      <c r="B472" t="e">
        <f>VLOOKUP(A472,'Production Plan'!B:T,16,FALSE)</f>
        <v>#N/A</v>
      </c>
      <c r="C472" t="e">
        <f>VLOOKUP(A472,'Production Plan'!B:F,5,FALSE)</f>
        <v>#N/A</v>
      </c>
      <c r="F472"/>
    </row>
    <row r="473" spans="1:6" hidden="1">
      <c r="A473">
        <f>'Production Plan'!B462</f>
        <v>0</v>
      </c>
      <c r="B473" t="e">
        <f>VLOOKUP(A473,'Production Plan'!B:T,16,FALSE)</f>
        <v>#N/A</v>
      </c>
      <c r="C473" t="e">
        <f>VLOOKUP(A473,'Production Plan'!B:F,5,FALSE)</f>
        <v>#N/A</v>
      </c>
      <c r="F473"/>
    </row>
    <row r="474" spans="1:6" hidden="1">
      <c r="A474">
        <f>'Production Plan'!B463</f>
        <v>0</v>
      </c>
      <c r="B474" t="e">
        <f>VLOOKUP(A474,'Production Plan'!B:T,16,FALSE)</f>
        <v>#N/A</v>
      </c>
      <c r="C474" t="e">
        <f>VLOOKUP(A474,'Production Plan'!B:F,5,FALSE)</f>
        <v>#N/A</v>
      </c>
      <c r="F474"/>
    </row>
    <row r="475" spans="1:6" hidden="1">
      <c r="A475">
        <f>'Production Plan'!B464</f>
        <v>0</v>
      </c>
      <c r="B475" t="e">
        <f>VLOOKUP(A475,'Production Plan'!B:T,16,FALSE)</f>
        <v>#N/A</v>
      </c>
      <c r="C475" t="e">
        <f>VLOOKUP(A475,'Production Plan'!B:F,5,FALSE)</f>
        <v>#N/A</v>
      </c>
      <c r="F475"/>
    </row>
    <row r="476" spans="1:6" hidden="1">
      <c r="A476">
        <f>'Production Plan'!B465</f>
        <v>0</v>
      </c>
      <c r="B476" t="e">
        <f>VLOOKUP(A476,'Production Plan'!B:T,16,FALSE)</f>
        <v>#N/A</v>
      </c>
      <c r="C476" t="e">
        <f>VLOOKUP(A476,'Production Plan'!B:F,5,FALSE)</f>
        <v>#N/A</v>
      </c>
      <c r="F476"/>
    </row>
    <row r="477" spans="1:6" hidden="1">
      <c r="A477">
        <f>'Production Plan'!B466</f>
        <v>0</v>
      </c>
      <c r="B477" t="e">
        <f>VLOOKUP(A477,'Production Plan'!B:T,16,FALSE)</f>
        <v>#N/A</v>
      </c>
      <c r="C477" t="e">
        <f>VLOOKUP(A477,'Production Plan'!B:F,5,FALSE)</f>
        <v>#N/A</v>
      </c>
      <c r="F477"/>
    </row>
    <row r="478" spans="1:6" hidden="1">
      <c r="A478">
        <f>'Production Plan'!B467</f>
        <v>0</v>
      </c>
      <c r="B478" t="e">
        <f>VLOOKUP(A478,'Production Plan'!B:T,16,FALSE)</f>
        <v>#N/A</v>
      </c>
      <c r="C478" t="e">
        <f>VLOOKUP(A478,'Production Plan'!B:F,5,FALSE)</f>
        <v>#N/A</v>
      </c>
      <c r="F478"/>
    </row>
    <row r="479" spans="1:6" hidden="1">
      <c r="A479">
        <f>'Production Plan'!B468</f>
        <v>0</v>
      </c>
      <c r="B479" t="e">
        <f>VLOOKUP(A479,'Production Plan'!B:T,16,FALSE)</f>
        <v>#N/A</v>
      </c>
      <c r="C479" t="e">
        <f>VLOOKUP(A479,'Production Plan'!B:F,5,FALSE)</f>
        <v>#N/A</v>
      </c>
      <c r="F479"/>
    </row>
    <row r="480" spans="1:6" hidden="1">
      <c r="A480">
        <f>'Production Plan'!B469</f>
        <v>0</v>
      </c>
      <c r="B480" t="e">
        <f>VLOOKUP(A480,'Production Plan'!B:T,16,FALSE)</f>
        <v>#N/A</v>
      </c>
      <c r="C480" t="e">
        <f>VLOOKUP(A480,'Production Plan'!B:F,5,FALSE)</f>
        <v>#N/A</v>
      </c>
      <c r="F480"/>
    </row>
    <row r="481" spans="1:6" hidden="1">
      <c r="A481">
        <f>'Production Plan'!B470</f>
        <v>0</v>
      </c>
      <c r="B481" t="e">
        <f>VLOOKUP(A481,'Production Plan'!B:T,16,FALSE)</f>
        <v>#N/A</v>
      </c>
      <c r="C481" t="e">
        <f>VLOOKUP(A481,'Production Plan'!B:F,5,FALSE)</f>
        <v>#N/A</v>
      </c>
      <c r="F481"/>
    </row>
    <row r="482" spans="1:6" hidden="1">
      <c r="A482">
        <f>'Production Plan'!B471</f>
        <v>0</v>
      </c>
      <c r="B482" t="e">
        <f>VLOOKUP(A482,'Production Plan'!B:T,16,FALSE)</f>
        <v>#N/A</v>
      </c>
      <c r="C482" t="e">
        <f>VLOOKUP(A482,'Production Plan'!B:F,5,FALSE)</f>
        <v>#N/A</v>
      </c>
      <c r="F482"/>
    </row>
    <row r="483" spans="1:6" hidden="1">
      <c r="A483">
        <f>'Production Plan'!B472</f>
        <v>0</v>
      </c>
      <c r="B483" t="e">
        <f>VLOOKUP(A483,'Production Plan'!B:T,16,FALSE)</f>
        <v>#N/A</v>
      </c>
      <c r="C483" t="e">
        <f>VLOOKUP(A483,'Production Plan'!B:F,5,FALSE)</f>
        <v>#N/A</v>
      </c>
      <c r="F483"/>
    </row>
    <row r="484" spans="1:6" hidden="1">
      <c r="A484">
        <f>'Production Plan'!B473</f>
        <v>0</v>
      </c>
      <c r="B484" t="e">
        <f>VLOOKUP(A484,'Production Plan'!B:T,16,FALSE)</f>
        <v>#N/A</v>
      </c>
      <c r="C484" t="e">
        <f>VLOOKUP(A484,'Production Plan'!B:F,5,FALSE)</f>
        <v>#N/A</v>
      </c>
      <c r="F484"/>
    </row>
    <row r="485" spans="1:6" hidden="1">
      <c r="A485">
        <f>'Production Plan'!B474</f>
        <v>0</v>
      </c>
      <c r="B485" t="e">
        <f>VLOOKUP(A485,'Production Plan'!B:T,16,FALSE)</f>
        <v>#N/A</v>
      </c>
      <c r="C485" t="e">
        <f>VLOOKUP(A485,'Production Plan'!B:F,5,FALSE)</f>
        <v>#N/A</v>
      </c>
      <c r="F485"/>
    </row>
    <row r="486" spans="1:6" hidden="1">
      <c r="A486">
        <f>'Production Plan'!B475</f>
        <v>0</v>
      </c>
      <c r="B486" t="e">
        <f>VLOOKUP(A486,'Production Plan'!B:T,16,FALSE)</f>
        <v>#N/A</v>
      </c>
      <c r="C486" t="e">
        <f>VLOOKUP(A486,'Production Plan'!B:F,5,FALSE)</f>
        <v>#N/A</v>
      </c>
      <c r="F486"/>
    </row>
    <row r="487" spans="1:6" hidden="1">
      <c r="A487">
        <f>'Production Plan'!B476</f>
        <v>0</v>
      </c>
      <c r="B487" t="e">
        <f>VLOOKUP(A487,'Production Plan'!B:T,16,FALSE)</f>
        <v>#N/A</v>
      </c>
      <c r="C487" t="e">
        <f>VLOOKUP(A487,'Production Plan'!B:F,5,FALSE)</f>
        <v>#N/A</v>
      </c>
      <c r="F487"/>
    </row>
    <row r="488" spans="1:6" hidden="1">
      <c r="A488">
        <f>'Production Plan'!B477</f>
        <v>0</v>
      </c>
      <c r="B488" t="e">
        <f>VLOOKUP(A488,'Production Plan'!B:T,16,FALSE)</f>
        <v>#N/A</v>
      </c>
      <c r="C488" t="e">
        <f>VLOOKUP(A488,'Production Plan'!B:F,5,FALSE)</f>
        <v>#N/A</v>
      </c>
      <c r="F488"/>
    </row>
    <row r="489" spans="1:6" hidden="1">
      <c r="A489">
        <f>'Production Plan'!B478</f>
        <v>0</v>
      </c>
      <c r="B489" t="e">
        <f>VLOOKUP(A489,'Production Plan'!B:T,16,FALSE)</f>
        <v>#N/A</v>
      </c>
      <c r="C489" t="e">
        <f>VLOOKUP(A489,'Production Plan'!B:F,5,FALSE)</f>
        <v>#N/A</v>
      </c>
      <c r="F489"/>
    </row>
    <row r="490" spans="1:6" hidden="1">
      <c r="A490">
        <f>'Production Plan'!B479</f>
        <v>0</v>
      </c>
      <c r="B490" t="e">
        <f>VLOOKUP(A490,'Production Plan'!B:T,16,FALSE)</f>
        <v>#N/A</v>
      </c>
      <c r="C490" t="e">
        <f>VLOOKUP(A490,'Production Plan'!B:F,5,FALSE)</f>
        <v>#N/A</v>
      </c>
      <c r="F490"/>
    </row>
    <row r="491" spans="1:6" hidden="1">
      <c r="A491">
        <f>'Production Plan'!B480</f>
        <v>0</v>
      </c>
      <c r="B491" t="e">
        <f>VLOOKUP(A491,'Production Plan'!B:T,16,FALSE)</f>
        <v>#N/A</v>
      </c>
      <c r="C491" t="e">
        <f>VLOOKUP(A491,'Production Plan'!B:F,5,FALSE)</f>
        <v>#N/A</v>
      </c>
      <c r="F491"/>
    </row>
    <row r="492" spans="1:6" hidden="1">
      <c r="A492">
        <f>'Production Plan'!B481</f>
        <v>0</v>
      </c>
      <c r="B492" t="e">
        <f>VLOOKUP(A492,'Production Plan'!B:T,16,FALSE)</f>
        <v>#N/A</v>
      </c>
      <c r="C492" t="e">
        <f>VLOOKUP(A492,'Production Plan'!B:F,5,FALSE)</f>
        <v>#N/A</v>
      </c>
      <c r="F492"/>
    </row>
    <row r="493" spans="1:6" hidden="1">
      <c r="A493">
        <f>'Production Plan'!B482</f>
        <v>0</v>
      </c>
      <c r="B493" t="e">
        <f>VLOOKUP(A493,'Production Plan'!B:T,16,FALSE)</f>
        <v>#N/A</v>
      </c>
      <c r="C493" t="e">
        <f>VLOOKUP(A493,'Production Plan'!B:F,5,FALSE)</f>
        <v>#N/A</v>
      </c>
      <c r="F493"/>
    </row>
    <row r="494" spans="1:6" hidden="1">
      <c r="A494">
        <f>'Production Plan'!B483</f>
        <v>0</v>
      </c>
      <c r="B494" t="e">
        <f>VLOOKUP(A494,'Production Plan'!B:T,16,FALSE)</f>
        <v>#N/A</v>
      </c>
      <c r="C494" t="e">
        <f>VLOOKUP(A494,'Production Plan'!B:F,5,FALSE)</f>
        <v>#N/A</v>
      </c>
      <c r="F494"/>
    </row>
    <row r="495" spans="1:6" hidden="1">
      <c r="A495">
        <f>'Production Plan'!B484</f>
        <v>0</v>
      </c>
      <c r="B495" t="e">
        <f>VLOOKUP(A495,'Production Plan'!B:T,16,FALSE)</f>
        <v>#N/A</v>
      </c>
      <c r="C495" t="e">
        <f>VLOOKUP(A495,'Production Plan'!B:F,5,FALSE)</f>
        <v>#N/A</v>
      </c>
      <c r="F495"/>
    </row>
    <row r="496" spans="1:6" hidden="1">
      <c r="A496">
        <f>'Production Plan'!B485</f>
        <v>0</v>
      </c>
      <c r="B496" t="e">
        <f>VLOOKUP(A496,'Production Plan'!B:T,16,FALSE)</f>
        <v>#N/A</v>
      </c>
      <c r="C496" t="e">
        <f>VLOOKUP(A496,'Production Plan'!B:F,5,FALSE)</f>
        <v>#N/A</v>
      </c>
      <c r="F496"/>
    </row>
    <row r="497" spans="1:6" hidden="1">
      <c r="A497">
        <f>'Production Plan'!B486</f>
        <v>0</v>
      </c>
      <c r="B497" t="e">
        <f>VLOOKUP(A497,'Production Plan'!B:T,16,FALSE)</f>
        <v>#N/A</v>
      </c>
      <c r="C497" t="e">
        <f>VLOOKUP(A497,'Production Plan'!B:F,5,FALSE)</f>
        <v>#N/A</v>
      </c>
      <c r="F497"/>
    </row>
    <row r="498" spans="1:6" hidden="1">
      <c r="A498">
        <f>'Production Plan'!B487</f>
        <v>0</v>
      </c>
      <c r="B498" t="e">
        <f>VLOOKUP(A498,'Production Plan'!B:T,16,FALSE)</f>
        <v>#N/A</v>
      </c>
      <c r="C498" t="e">
        <f>VLOOKUP(A498,'Production Plan'!B:F,5,FALSE)</f>
        <v>#N/A</v>
      </c>
      <c r="F498"/>
    </row>
    <row r="499" spans="1:6" hidden="1">
      <c r="A499">
        <f>'Production Plan'!B488</f>
        <v>0</v>
      </c>
      <c r="B499" t="e">
        <f>VLOOKUP(A499,'Production Plan'!B:T,16,FALSE)</f>
        <v>#N/A</v>
      </c>
      <c r="C499" t="e">
        <f>VLOOKUP(A499,'Production Plan'!B:F,5,FALSE)</f>
        <v>#N/A</v>
      </c>
      <c r="F499"/>
    </row>
    <row r="500" spans="1:6" hidden="1">
      <c r="A500">
        <f>'Production Plan'!B489</f>
        <v>0</v>
      </c>
      <c r="B500" t="e">
        <f>VLOOKUP(A500,'Production Plan'!B:T,16,FALSE)</f>
        <v>#N/A</v>
      </c>
      <c r="C500" t="e">
        <f>VLOOKUP(A500,'Production Plan'!B:F,5,FALSE)</f>
        <v>#N/A</v>
      </c>
      <c r="F500"/>
    </row>
    <row r="501" spans="1:6" hidden="1">
      <c r="A501">
        <f>'Production Plan'!B490</f>
        <v>0</v>
      </c>
      <c r="B501" t="e">
        <f>VLOOKUP(A501,'Production Plan'!B:T,16,FALSE)</f>
        <v>#N/A</v>
      </c>
      <c r="C501" t="e">
        <f>VLOOKUP(A501,'Production Plan'!B:F,5,FALSE)</f>
        <v>#N/A</v>
      </c>
      <c r="F501"/>
    </row>
    <row r="502" spans="1:6" hidden="1">
      <c r="A502">
        <f>'Production Plan'!B491</f>
        <v>0</v>
      </c>
      <c r="B502" t="e">
        <f>VLOOKUP(A502,'Production Plan'!B:T,16,FALSE)</f>
        <v>#N/A</v>
      </c>
      <c r="C502" t="e">
        <f>VLOOKUP(A502,'Production Plan'!B:F,5,FALSE)</f>
        <v>#N/A</v>
      </c>
      <c r="F502"/>
    </row>
    <row r="503" spans="1:6" hidden="1">
      <c r="A503">
        <f>'Production Plan'!B492</f>
        <v>0</v>
      </c>
      <c r="B503" t="e">
        <f>VLOOKUP(A503,'Production Plan'!B:T,16,FALSE)</f>
        <v>#N/A</v>
      </c>
      <c r="C503" t="e">
        <f>VLOOKUP(A503,'Production Plan'!B:F,5,FALSE)</f>
        <v>#N/A</v>
      </c>
      <c r="F503"/>
    </row>
    <row r="504" spans="1:6" hidden="1">
      <c r="A504">
        <f>'Production Plan'!B493</f>
        <v>0</v>
      </c>
      <c r="B504" t="e">
        <f>VLOOKUP(A504,'Production Plan'!B:T,16,FALSE)</f>
        <v>#N/A</v>
      </c>
      <c r="C504" t="e">
        <f>VLOOKUP(A504,'Production Plan'!B:F,5,FALSE)</f>
        <v>#N/A</v>
      </c>
      <c r="F504"/>
    </row>
    <row r="505" spans="1:6" hidden="1">
      <c r="A505">
        <f>'Production Plan'!B494</f>
        <v>0</v>
      </c>
      <c r="B505" t="e">
        <f>VLOOKUP(A505,'Production Plan'!B:T,16,FALSE)</f>
        <v>#N/A</v>
      </c>
      <c r="C505" t="e">
        <f>VLOOKUP(A505,'Production Plan'!B:F,5,FALSE)</f>
        <v>#N/A</v>
      </c>
      <c r="F505"/>
    </row>
    <row r="506" spans="1:6" hidden="1">
      <c r="A506">
        <f>'Production Plan'!B495</f>
        <v>0</v>
      </c>
      <c r="B506" t="e">
        <f>VLOOKUP(A506,'Production Plan'!B:T,16,FALSE)</f>
        <v>#N/A</v>
      </c>
      <c r="C506" t="e">
        <f>VLOOKUP(A506,'Production Plan'!B:F,5,FALSE)</f>
        <v>#N/A</v>
      </c>
      <c r="F506"/>
    </row>
    <row r="507" spans="1:6" hidden="1">
      <c r="A507">
        <f>'Production Plan'!B496</f>
        <v>0</v>
      </c>
      <c r="B507" t="e">
        <f>VLOOKUP(A507,'Production Plan'!B:T,16,FALSE)</f>
        <v>#N/A</v>
      </c>
      <c r="C507" t="e">
        <f>VLOOKUP(A507,'Production Plan'!B:F,5,FALSE)</f>
        <v>#N/A</v>
      </c>
      <c r="F507"/>
    </row>
    <row r="508" spans="1:6" hidden="1">
      <c r="A508">
        <f>'Production Plan'!B497</f>
        <v>0</v>
      </c>
      <c r="B508" t="e">
        <f>VLOOKUP(A508,'Production Plan'!B:T,16,FALSE)</f>
        <v>#N/A</v>
      </c>
      <c r="C508" t="e">
        <f>VLOOKUP(A508,'Production Plan'!B:F,5,FALSE)</f>
        <v>#N/A</v>
      </c>
      <c r="F508"/>
    </row>
    <row r="509" spans="1:6" hidden="1">
      <c r="A509">
        <f>'Production Plan'!B498</f>
        <v>0</v>
      </c>
      <c r="B509" t="e">
        <f>VLOOKUP(A509,'Production Plan'!B:T,16,FALSE)</f>
        <v>#N/A</v>
      </c>
      <c r="C509" t="e">
        <f>VLOOKUP(A509,'Production Plan'!B:F,5,FALSE)</f>
        <v>#N/A</v>
      </c>
      <c r="F509"/>
    </row>
    <row r="510" spans="1:6" hidden="1">
      <c r="A510">
        <f>'Production Plan'!B499</f>
        <v>0</v>
      </c>
      <c r="B510" t="e">
        <f>VLOOKUP(A510,'Production Plan'!B:T,16,FALSE)</f>
        <v>#N/A</v>
      </c>
      <c r="C510" t="e">
        <f>VLOOKUP(A510,'Production Plan'!B:F,5,FALSE)</f>
        <v>#N/A</v>
      </c>
      <c r="F510"/>
    </row>
    <row r="511" spans="1:6" hidden="1">
      <c r="A511">
        <f>'Production Plan'!B500</f>
        <v>0</v>
      </c>
      <c r="B511" t="e">
        <f>VLOOKUP(A511,'Production Plan'!B:T,16,FALSE)</f>
        <v>#N/A</v>
      </c>
      <c r="C511" t="e">
        <f>VLOOKUP(A511,'Production Plan'!B:F,5,FALSE)</f>
        <v>#N/A</v>
      </c>
      <c r="F511"/>
    </row>
    <row r="512" spans="1:6" hidden="1">
      <c r="A512">
        <f>'Production Plan'!B501</f>
        <v>0</v>
      </c>
      <c r="B512" t="e">
        <f>VLOOKUP(A512,'Production Plan'!B:T,16,FALSE)</f>
        <v>#N/A</v>
      </c>
      <c r="C512" t="e">
        <f>VLOOKUP(A512,'Production Plan'!B:F,5,FALSE)</f>
        <v>#N/A</v>
      </c>
      <c r="F512"/>
    </row>
    <row r="513" spans="1:6" hidden="1">
      <c r="A513">
        <f>'Production Plan'!B502</f>
        <v>0</v>
      </c>
      <c r="B513" t="e">
        <f>VLOOKUP(A513,'Production Plan'!B:T,16,FALSE)</f>
        <v>#N/A</v>
      </c>
      <c r="C513" t="e">
        <f>VLOOKUP(A513,'Production Plan'!B:F,5,FALSE)</f>
        <v>#N/A</v>
      </c>
      <c r="F513"/>
    </row>
    <row r="514" spans="1:6" hidden="1">
      <c r="A514">
        <f>'Production Plan'!B503</f>
        <v>0</v>
      </c>
      <c r="B514" t="e">
        <f>VLOOKUP(A514,'Production Plan'!B:T,16,FALSE)</f>
        <v>#N/A</v>
      </c>
      <c r="C514" t="e">
        <f>VLOOKUP(A514,'Production Plan'!B:F,5,FALSE)</f>
        <v>#N/A</v>
      </c>
      <c r="F514"/>
    </row>
    <row r="515" spans="1:6" hidden="1">
      <c r="A515">
        <f>'Production Plan'!B504</f>
        <v>0</v>
      </c>
      <c r="B515" t="e">
        <f>VLOOKUP(A515,'Production Plan'!B:T,16,FALSE)</f>
        <v>#N/A</v>
      </c>
      <c r="C515" t="e">
        <f>VLOOKUP(A515,'Production Plan'!B:F,5,FALSE)</f>
        <v>#N/A</v>
      </c>
      <c r="F515"/>
    </row>
    <row r="516" spans="1:6" hidden="1">
      <c r="A516">
        <f>'Production Plan'!B505</f>
        <v>0</v>
      </c>
      <c r="B516" t="e">
        <f>VLOOKUP(A516,'Production Plan'!B:T,16,FALSE)</f>
        <v>#N/A</v>
      </c>
      <c r="C516" t="e">
        <f>VLOOKUP(A516,'Production Plan'!B:F,5,FALSE)</f>
        <v>#N/A</v>
      </c>
      <c r="F516"/>
    </row>
    <row r="517" spans="1:6" hidden="1">
      <c r="A517">
        <f>'Production Plan'!B506</f>
        <v>0</v>
      </c>
      <c r="B517" t="e">
        <f>VLOOKUP(A517,'Production Plan'!B:T,16,FALSE)</f>
        <v>#N/A</v>
      </c>
      <c r="C517" t="e">
        <f>VLOOKUP(A517,'Production Plan'!B:F,5,FALSE)</f>
        <v>#N/A</v>
      </c>
      <c r="F517"/>
    </row>
    <row r="518" spans="1:6" hidden="1">
      <c r="A518">
        <f>'Production Plan'!B507</f>
        <v>0</v>
      </c>
      <c r="B518" t="e">
        <f>VLOOKUP(A518,'Production Plan'!B:T,16,FALSE)</f>
        <v>#N/A</v>
      </c>
      <c r="C518" t="e">
        <f>VLOOKUP(A518,'Production Plan'!B:F,5,FALSE)</f>
        <v>#N/A</v>
      </c>
      <c r="F518"/>
    </row>
    <row r="519" spans="1:6" hidden="1">
      <c r="A519">
        <f>'Production Plan'!B508</f>
        <v>0</v>
      </c>
      <c r="B519" t="e">
        <f>VLOOKUP(A519,'Production Plan'!B:T,16,FALSE)</f>
        <v>#N/A</v>
      </c>
      <c r="C519" t="e">
        <f>VLOOKUP(A519,'Production Plan'!B:F,5,FALSE)</f>
        <v>#N/A</v>
      </c>
      <c r="F519"/>
    </row>
    <row r="520" spans="1:6" hidden="1">
      <c r="A520">
        <f>'Production Plan'!B509</f>
        <v>0</v>
      </c>
      <c r="B520" t="e">
        <f>VLOOKUP(A520,'Production Plan'!B:T,16,FALSE)</f>
        <v>#N/A</v>
      </c>
      <c r="C520" t="e">
        <f>VLOOKUP(A520,'Production Plan'!B:F,5,FALSE)</f>
        <v>#N/A</v>
      </c>
      <c r="F520"/>
    </row>
    <row r="521" spans="1:6" hidden="1">
      <c r="A521">
        <f>'Production Plan'!B510</f>
        <v>0</v>
      </c>
      <c r="B521" t="e">
        <f>VLOOKUP(A521,'Production Plan'!B:T,16,FALSE)</f>
        <v>#N/A</v>
      </c>
      <c r="C521" t="e">
        <f>VLOOKUP(A521,'Production Plan'!B:F,5,FALSE)</f>
        <v>#N/A</v>
      </c>
      <c r="F521"/>
    </row>
    <row r="522" spans="1:6" hidden="1">
      <c r="A522">
        <f>'Production Plan'!B511</f>
        <v>0</v>
      </c>
      <c r="B522" t="e">
        <f>VLOOKUP(A522,'Production Plan'!B:T,16,FALSE)</f>
        <v>#N/A</v>
      </c>
      <c r="C522" t="e">
        <f>VLOOKUP(A522,'Production Plan'!B:F,5,FALSE)</f>
        <v>#N/A</v>
      </c>
      <c r="F522"/>
    </row>
    <row r="523" spans="1:6" hidden="1">
      <c r="A523">
        <f>'Production Plan'!B512</f>
        <v>0</v>
      </c>
      <c r="B523" t="e">
        <f>VLOOKUP(A523,'Production Plan'!B:T,16,FALSE)</f>
        <v>#N/A</v>
      </c>
      <c r="C523" t="e">
        <f>VLOOKUP(A523,'Production Plan'!B:F,5,FALSE)</f>
        <v>#N/A</v>
      </c>
      <c r="F523"/>
    </row>
    <row r="524" spans="1:6" hidden="1">
      <c r="A524">
        <f>'Production Plan'!B513</f>
        <v>0</v>
      </c>
      <c r="B524" t="e">
        <f>VLOOKUP(A524,'Production Plan'!B:T,16,FALSE)</f>
        <v>#N/A</v>
      </c>
      <c r="C524" t="e">
        <f>VLOOKUP(A524,'Production Plan'!B:F,5,FALSE)</f>
        <v>#N/A</v>
      </c>
      <c r="F524"/>
    </row>
    <row r="525" spans="1:6" hidden="1">
      <c r="A525">
        <f>'Production Plan'!B514</f>
        <v>0</v>
      </c>
      <c r="B525" t="e">
        <f>VLOOKUP(A525,'Production Plan'!B:T,16,FALSE)</f>
        <v>#N/A</v>
      </c>
      <c r="C525" t="e">
        <f>VLOOKUP(A525,'Production Plan'!B:F,5,FALSE)</f>
        <v>#N/A</v>
      </c>
      <c r="F525"/>
    </row>
    <row r="526" spans="1:6" hidden="1">
      <c r="A526">
        <f>'Production Plan'!B515</f>
        <v>0</v>
      </c>
      <c r="B526" t="e">
        <f>VLOOKUP(A526,'Production Plan'!B:T,16,FALSE)</f>
        <v>#N/A</v>
      </c>
      <c r="C526" t="e">
        <f>VLOOKUP(A526,'Production Plan'!B:F,5,FALSE)</f>
        <v>#N/A</v>
      </c>
      <c r="F526"/>
    </row>
    <row r="527" spans="1:6" hidden="1">
      <c r="A527">
        <f>'Production Plan'!B516</f>
        <v>0</v>
      </c>
      <c r="B527" t="e">
        <f>VLOOKUP(A527,'Production Plan'!B:T,16,FALSE)</f>
        <v>#N/A</v>
      </c>
      <c r="C527" t="e">
        <f>VLOOKUP(A527,'Production Plan'!B:F,5,FALSE)</f>
        <v>#N/A</v>
      </c>
      <c r="F527"/>
    </row>
    <row r="528" spans="1:6" hidden="1">
      <c r="A528">
        <f>'Production Plan'!B517</f>
        <v>0</v>
      </c>
      <c r="B528" t="e">
        <f>VLOOKUP(A528,'Production Plan'!B:T,16,FALSE)</f>
        <v>#N/A</v>
      </c>
      <c r="C528" t="e">
        <f>VLOOKUP(A528,'Production Plan'!B:F,5,FALSE)</f>
        <v>#N/A</v>
      </c>
      <c r="F528"/>
    </row>
    <row r="529" spans="1:6" hidden="1">
      <c r="A529">
        <f>'Production Plan'!B518</f>
        <v>0</v>
      </c>
      <c r="B529" t="e">
        <f>VLOOKUP(A529,'Production Plan'!B:T,16,FALSE)</f>
        <v>#N/A</v>
      </c>
      <c r="C529" t="e">
        <f>VLOOKUP(A529,'Production Plan'!B:F,5,FALSE)</f>
        <v>#N/A</v>
      </c>
      <c r="F529"/>
    </row>
    <row r="530" spans="1:6" hidden="1">
      <c r="A530">
        <f>'Production Plan'!B519</f>
        <v>0</v>
      </c>
      <c r="B530" t="e">
        <f>VLOOKUP(A530,'Production Plan'!B:T,16,FALSE)</f>
        <v>#N/A</v>
      </c>
      <c r="C530" t="e">
        <f>VLOOKUP(A530,'Production Plan'!B:F,5,FALSE)</f>
        <v>#N/A</v>
      </c>
      <c r="F530"/>
    </row>
    <row r="531" spans="1:6" hidden="1">
      <c r="A531">
        <f>'Production Plan'!B520</f>
        <v>0</v>
      </c>
      <c r="B531" t="e">
        <f>VLOOKUP(A531,'Production Plan'!B:T,16,FALSE)</f>
        <v>#N/A</v>
      </c>
      <c r="C531" t="e">
        <f>VLOOKUP(A531,'Production Plan'!B:F,5,FALSE)</f>
        <v>#N/A</v>
      </c>
      <c r="F531"/>
    </row>
    <row r="532" spans="1:6" hidden="1">
      <c r="A532">
        <f>'Production Plan'!B521</f>
        <v>0</v>
      </c>
      <c r="B532" t="e">
        <f>VLOOKUP(A532,'Production Plan'!B:T,16,FALSE)</f>
        <v>#N/A</v>
      </c>
      <c r="C532" t="e">
        <f>VLOOKUP(A532,'Production Plan'!B:F,5,FALSE)</f>
        <v>#N/A</v>
      </c>
      <c r="F532"/>
    </row>
    <row r="533" spans="1:6" hidden="1">
      <c r="A533">
        <f>'Production Plan'!B522</f>
        <v>0</v>
      </c>
      <c r="B533" t="e">
        <f>VLOOKUP(A533,'Production Plan'!B:T,16,FALSE)</f>
        <v>#N/A</v>
      </c>
      <c r="C533" t="e">
        <f>VLOOKUP(A533,'Production Plan'!B:F,5,FALSE)</f>
        <v>#N/A</v>
      </c>
      <c r="F533"/>
    </row>
    <row r="534" spans="1:6" hidden="1">
      <c r="A534">
        <f>'Production Plan'!B523</f>
        <v>0</v>
      </c>
      <c r="B534" t="e">
        <f>VLOOKUP(A534,'Production Plan'!B:T,16,FALSE)</f>
        <v>#N/A</v>
      </c>
      <c r="C534" t="e">
        <f>VLOOKUP(A534,'Production Plan'!B:F,5,FALSE)</f>
        <v>#N/A</v>
      </c>
      <c r="F534"/>
    </row>
    <row r="535" spans="1:6" hidden="1">
      <c r="A535">
        <f>'Production Plan'!B524</f>
        <v>0</v>
      </c>
      <c r="B535" t="e">
        <f>VLOOKUP(A535,'Production Plan'!B:T,16,FALSE)</f>
        <v>#N/A</v>
      </c>
      <c r="C535" t="e">
        <f>VLOOKUP(A535,'Production Plan'!B:F,5,FALSE)</f>
        <v>#N/A</v>
      </c>
      <c r="F535"/>
    </row>
    <row r="536" spans="1:6" hidden="1">
      <c r="A536">
        <f>'Production Plan'!B525</f>
        <v>0</v>
      </c>
      <c r="B536" t="e">
        <f>VLOOKUP(A536,'Production Plan'!B:T,16,FALSE)</f>
        <v>#N/A</v>
      </c>
      <c r="C536" t="e">
        <f>VLOOKUP(A536,'Production Plan'!B:F,5,FALSE)</f>
        <v>#N/A</v>
      </c>
      <c r="F536"/>
    </row>
    <row r="537" spans="1:6" hidden="1">
      <c r="A537">
        <f>'Production Plan'!B526</f>
        <v>0</v>
      </c>
      <c r="B537" t="e">
        <f>VLOOKUP(A537,'Production Plan'!B:T,16,FALSE)</f>
        <v>#N/A</v>
      </c>
      <c r="C537" t="e">
        <f>VLOOKUP(A537,'Production Plan'!B:F,5,FALSE)</f>
        <v>#N/A</v>
      </c>
      <c r="F537"/>
    </row>
    <row r="538" spans="1:6" hidden="1">
      <c r="A538">
        <f>'Production Plan'!B527</f>
        <v>0</v>
      </c>
      <c r="B538" t="e">
        <f>VLOOKUP(A538,'Production Plan'!B:T,16,FALSE)</f>
        <v>#N/A</v>
      </c>
      <c r="C538" t="e">
        <f>VLOOKUP(A538,'Production Plan'!B:F,5,FALSE)</f>
        <v>#N/A</v>
      </c>
      <c r="F538"/>
    </row>
    <row r="539" spans="1:6" hidden="1">
      <c r="A539">
        <f>'Production Plan'!B528</f>
        <v>0</v>
      </c>
      <c r="B539" t="e">
        <f>VLOOKUP(A539,'Production Plan'!B:T,16,FALSE)</f>
        <v>#N/A</v>
      </c>
      <c r="C539" t="e">
        <f>VLOOKUP(A539,'Production Plan'!B:F,5,FALSE)</f>
        <v>#N/A</v>
      </c>
      <c r="F539"/>
    </row>
    <row r="540" spans="1:6" hidden="1">
      <c r="A540">
        <f>'Production Plan'!B529</f>
        <v>0</v>
      </c>
      <c r="B540" t="e">
        <f>VLOOKUP(A540,'Production Plan'!B:T,16,FALSE)</f>
        <v>#N/A</v>
      </c>
      <c r="C540" t="e">
        <f>VLOOKUP(A540,'Production Plan'!B:F,5,FALSE)</f>
        <v>#N/A</v>
      </c>
      <c r="F540"/>
    </row>
    <row r="541" spans="1:6" hidden="1">
      <c r="A541">
        <f>'Production Plan'!B530</f>
        <v>0</v>
      </c>
      <c r="B541" t="e">
        <f>VLOOKUP(A541,'Production Plan'!B:T,16,FALSE)</f>
        <v>#N/A</v>
      </c>
      <c r="C541" t="e">
        <f>VLOOKUP(A541,'Production Plan'!B:F,5,FALSE)</f>
        <v>#N/A</v>
      </c>
      <c r="F541"/>
    </row>
    <row r="542" spans="1:6" hidden="1">
      <c r="A542">
        <f>'Production Plan'!B531</f>
        <v>0</v>
      </c>
      <c r="B542" t="e">
        <f>VLOOKUP(A542,'Production Plan'!B:T,16,FALSE)</f>
        <v>#N/A</v>
      </c>
      <c r="C542" t="e">
        <f>VLOOKUP(A542,'Production Plan'!B:F,5,FALSE)</f>
        <v>#N/A</v>
      </c>
      <c r="F542"/>
    </row>
    <row r="543" spans="1:6" hidden="1">
      <c r="A543">
        <f>'Production Plan'!B532</f>
        <v>0</v>
      </c>
      <c r="B543" t="e">
        <f>VLOOKUP(A543,'Production Plan'!B:T,16,FALSE)</f>
        <v>#N/A</v>
      </c>
      <c r="C543" t="e">
        <f>VLOOKUP(A543,'Production Plan'!B:F,5,FALSE)</f>
        <v>#N/A</v>
      </c>
      <c r="F543"/>
    </row>
    <row r="544" spans="1:6" hidden="1">
      <c r="A544">
        <f>'Production Plan'!B533</f>
        <v>0</v>
      </c>
      <c r="B544" t="e">
        <f>VLOOKUP(A544,'Production Plan'!B:T,16,FALSE)</f>
        <v>#N/A</v>
      </c>
      <c r="C544" t="e">
        <f>VLOOKUP(A544,'Production Plan'!B:F,5,FALSE)</f>
        <v>#N/A</v>
      </c>
      <c r="F544"/>
    </row>
    <row r="545" spans="1:6" hidden="1">
      <c r="A545">
        <f>'Production Plan'!B534</f>
        <v>0</v>
      </c>
      <c r="B545" t="e">
        <f>VLOOKUP(A545,'Production Plan'!B:T,16,FALSE)</f>
        <v>#N/A</v>
      </c>
      <c r="C545" t="e">
        <f>VLOOKUP(A545,'Production Plan'!B:F,5,FALSE)</f>
        <v>#N/A</v>
      </c>
      <c r="F545"/>
    </row>
    <row r="546" spans="1:6" hidden="1">
      <c r="A546">
        <f>'Production Plan'!B535</f>
        <v>0</v>
      </c>
      <c r="B546" t="e">
        <f>VLOOKUP(A546,'Production Plan'!B:T,16,FALSE)</f>
        <v>#N/A</v>
      </c>
      <c r="C546" t="e">
        <f>VLOOKUP(A546,'Production Plan'!B:F,5,FALSE)</f>
        <v>#N/A</v>
      </c>
      <c r="F546"/>
    </row>
    <row r="547" spans="1:6" hidden="1">
      <c r="A547">
        <f>'Production Plan'!B536</f>
        <v>0</v>
      </c>
      <c r="B547" t="e">
        <f>VLOOKUP(A547,'Production Plan'!B:T,16,FALSE)</f>
        <v>#N/A</v>
      </c>
      <c r="C547" t="e">
        <f>VLOOKUP(A547,'Production Plan'!B:F,5,FALSE)</f>
        <v>#N/A</v>
      </c>
      <c r="F547"/>
    </row>
    <row r="548" spans="1:6" hidden="1">
      <c r="A548">
        <f>'Production Plan'!B537</f>
        <v>0</v>
      </c>
      <c r="B548" t="e">
        <f>VLOOKUP(A548,'Production Plan'!B:T,16,FALSE)</f>
        <v>#N/A</v>
      </c>
      <c r="C548" t="e">
        <f>VLOOKUP(A548,'Production Plan'!B:F,5,FALSE)</f>
        <v>#N/A</v>
      </c>
      <c r="F548"/>
    </row>
    <row r="549" spans="1:6" hidden="1">
      <c r="A549">
        <f>'Production Plan'!B538</f>
        <v>0</v>
      </c>
      <c r="B549" t="e">
        <f>VLOOKUP(A549,'Production Plan'!B:T,16,FALSE)</f>
        <v>#N/A</v>
      </c>
      <c r="C549" t="e">
        <f>VLOOKUP(A549,'Production Plan'!B:F,5,FALSE)</f>
        <v>#N/A</v>
      </c>
      <c r="F549"/>
    </row>
    <row r="550" spans="1:6" hidden="1">
      <c r="A550">
        <f>'Production Plan'!B539</f>
        <v>0</v>
      </c>
      <c r="B550" t="e">
        <f>VLOOKUP(A550,'Production Plan'!B:T,16,FALSE)</f>
        <v>#N/A</v>
      </c>
      <c r="C550" t="e">
        <f>VLOOKUP(A550,'Production Plan'!B:F,5,FALSE)</f>
        <v>#N/A</v>
      </c>
      <c r="F550"/>
    </row>
    <row r="551" spans="1:6" hidden="1">
      <c r="A551">
        <f>'Production Plan'!B540</f>
        <v>0</v>
      </c>
      <c r="B551" t="e">
        <f>VLOOKUP(A551,'Production Plan'!B:T,16,FALSE)</f>
        <v>#N/A</v>
      </c>
      <c r="C551" t="e">
        <f>VLOOKUP(A551,'Production Plan'!B:F,5,FALSE)</f>
        <v>#N/A</v>
      </c>
      <c r="F551"/>
    </row>
    <row r="552" spans="1:6" hidden="1">
      <c r="A552">
        <f>'Production Plan'!B541</f>
        <v>0</v>
      </c>
      <c r="B552" t="e">
        <f>VLOOKUP(A552,'Production Plan'!B:T,16,FALSE)</f>
        <v>#N/A</v>
      </c>
      <c r="C552" t="e">
        <f>VLOOKUP(A552,'Production Plan'!B:F,5,FALSE)</f>
        <v>#N/A</v>
      </c>
      <c r="F552"/>
    </row>
    <row r="553" spans="1:6" hidden="1">
      <c r="A553">
        <f>'Production Plan'!B542</f>
        <v>0</v>
      </c>
      <c r="B553" t="e">
        <f>VLOOKUP(A553,'Production Plan'!B:T,16,FALSE)</f>
        <v>#N/A</v>
      </c>
      <c r="C553" t="e">
        <f>VLOOKUP(A553,'Production Plan'!B:F,5,FALSE)</f>
        <v>#N/A</v>
      </c>
      <c r="F553"/>
    </row>
    <row r="554" spans="1:6" hidden="1">
      <c r="A554">
        <f>'Production Plan'!B543</f>
        <v>0</v>
      </c>
      <c r="B554" t="e">
        <f>VLOOKUP(A554,'Production Plan'!B:T,16,FALSE)</f>
        <v>#N/A</v>
      </c>
      <c r="C554" t="e">
        <f>VLOOKUP(A554,'Production Plan'!B:F,5,FALSE)</f>
        <v>#N/A</v>
      </c>
      <c r="F554"/>
    </row>
    <row r="555" spans="1:6" hidden="1">
      <c r="A555">
        <f>'Production Plan'!B544</f>
        <v>0</v>
      </c>
      <c r="B555" t="e">
        <f>VLOOKUP(A555,'Production Plan'!B:T,16,FALSE)</f>
        <v>#N/A</v>
      </c>
      <c r="C555" t="e">
        <f>VLOOKUP(A555,'Production Plan'!B:F,5,FALSE)</f>
        <v>#N/A</v>
      </c>
      <c r="F555"/>
    </row>
    <row r="556" spans="1:6" hidden="1">
      <c r="A556">
        <f>'Production Plan'!B545</f>
        <v>0</v>
      </c>
      <c r="B556" t="e">
        <f>VLOOKUP(A556,'Production Plan'!B:T,16,FALSE)</f>
        <v>#N/A</v>
      </c>
      <c r="C556" t="e">
        <f>VLOOKUP(A556,'Production Plan'!B:F,5,FALSE)</f>
        <v>#N/A</v>
      </c>
      <c r="F556"/>
    </row>
    <row r="557" spans="1:6" hidden="1">
      <c r="A557">
        <f>'Production Plan'!B546</f>
        <v>0</v>
      </c>
      <c r="B557" t="e">
        <f>VLOOKUP(A557,'Production Plan'!B:T,16,FALSE)</f>
        <v>#N/A</v>
      </c>
      <c r="C557" t="e">
        <f>VLOOKUP(A557,'Production Plan'!B:F,5,FALSE)</f>
        <v>#N/A</v>
      </c>
      <c r="F557"/>
    </row>
    <row r="558" spans="1:6" hidden="1">
      <c r="A558">
        <f>'Production Plan'!B547</f>
        <v>0</v>
      </c>
      <c r="B558" t="e">
        <f>VLOOKUP(A558,'Production Plan'!B:T,16,FALSE)</f>
        <v>#N/A</v>
      </c>
      <c r="C558" t="e">
        <f>VLOOKUP(A558,'Production Plan'!B:F,5,FALSE)</f>
        <v>#N/A</v>
      </c>
      <c r="F558"/>
    </row>
    <row r="559" spans="1:6" hidden="1">
      <c r="A559">
        <f>'Production Plan'!B548</f>
        <v>0</v>
      </c>
      <c r="B559" t="e">
        <f>VLOOKUP(A559,'Production Plan'!B:T,16,FALSE)</f>
        <v>#N/A</v>
      </c>
      <c r="C559" t="e">
        <f>VLOOKUP(A559,'Production Plan'!B:F,5,FALSE)</f>
        <v>#N/A</v>
      </c>
      <c r="F559"/>
    </row>
    <row r="560" spans="1:6" hidden="1">
      <c r="A560">
        <f>'Production Plan'!B549</f>
        <v>0</v>
      </c>
      <c r="B560" t="e">
        <f>VLOOKUP(A560,'Production Plan'!B:T,16,FALSE)</f>
        <v>#N/A</v>
      </c>
      <c r="C560" t="e">
        <f>VLOOKUP(A560,'Production Plan'!B:F,5,FALSE)</f>
        <v>#N/A</v>
      </c>
      <c r="F560"/>
    </row>
    <row r="561" spans="1:6" hidden="1">
      <c r="A561">
        <f>'Production Plan'!B550</f>
        <v>0</v>
      </c>
      <c r="B561" t="e">
        <f>VLOOKUP(A561,'Production Plan'!B:T,16,FALSE)</f>
        <v>#N/A</v>
      </c>
      <c r="C561" t="e">
        <f>VLOOKUP(A561,'Production Plan'!B:F,5,FALSE)</f>
        <v>#N/A</v>
      </c>
      <c r="F561"/>
    </row>
    <row r="562" spans="1:6" hidden="1">
      <c r="A562">
        <f>'Production Plan'!B551</f>
        <v>0</v>
      </c>
      <c r="B562" t="e">
        <f>VLOOKUP(A562,'Production Plan'!B:T,16,FALSE)</f>
        <v>#N/A</v>
      </c>
      <c r="C562" t="e">
        <f>VLOOKUP(A562,'Production Plan'!B:F,5,FALSE)</f>
        <v>#N/A</v>
      </c>
      <c r="F562"/>
    </row>
    <row r="563" spans="1:6" hidden="1">
      <c r="A563">
        <f>'Production Plan'!B552</f>
        <v>0</v>
      </c>
      <c r="B563" t="e">
        <f>VLOOKUP(A563,'Production Plan'!B:T,16,FALSE)</f>
        <v>#N/A</v>
      </c>
      <c r="C563" t="e">
        <f>VLOOKUP(A563,'Production Plan'!B:F,5,FALSE)</f>
        <v>#N/A</v>
      </c>
      <c r="F563"/>
    </row>
    <row r="564" spans="1:6" hidden="1">
      <c r="A564">
        <f>'Production Plan'!B553</f>
        <v>0</v>
      </c>
      <c r="B564" t="e">
        <f>VLOOKUP(A564,'Production Plan'!B:T,16,FALSE)</f>
        <v>#N/A</v>
      </c>
      <c r="C564" t="e">
        <f>VLOOKUP(A564,'Production Plan'!B:F,5,FALSE)</f>
        <v>#N/A</v>
      </c>
      <c r="F564"/>
    </row>
    <row r="565" spans="1:6" hidden="1">
      <c r="A565">
        <f>'Production Plan'!B554</f>
        <v>0</v>
      </c>
      <c r="B565" t="e">
        <f>VLOOKUP(A565,'Production Plan'!B:T,16,FALSE)</f>
        <v>#N/A</v>
      </c>
      <c r="C565" t="e">
        <f>VLOOKUP(A565,'Production Plan'!B:F,5,FALSE)</f>
        <v>#N/A</v>
      </c>
      <c r="F565"/>
    </row>
    <row r="566" spans="1:6" hidden="1">
      <c r="A566">
        <f>'Production Plan'!B555</f>
        <v>0</v>
      </c>
      <c r="B566" t="e">
        <f>VLOOKUP(A566,'Production Plan'!B:T,16,FALSE)</f>
        <v>#N/A</v>
      </c>
      <c r="C566" t="e">
        <f>VLOOKUP(A566,'Production Plan'!B:F,5,FALSE)</f>
        <v>#N/A</v>
      </c>
      <c r="F566"/>
    </row>
    <row r="567" spans="1:6" hidden="1">
      <c r="A567">
        <f>'Production Plan'!B556</f>
        <v>0</v>
      </c>
      <c r="B567" t="e">
        <f>VLOOKUP(A567,'Production Plan'!B:T,16,FALSE)</f>
        <v>#N/A</v>
      </c>
      <c r="C567" t="e">
        <f>VLOOKUP(A567,'Production Plan'!B:F,5,FALSE)</f>
        <v>#N/A</v>
      </c>
      <c r="F567"/>
    </row>
    <row r="568" spans="1:6" hidden="1">
      <c r="A568">
        <f>'Production Plan'!B557</f>
        <v>0</v>
      </c>
      <c r="B568" t="e">
        <f>VLOOKUP(A568,'Production Plan'!B:T,16,FALSE)</f>
        <v>#N/A</v>
      </c>
      <c r="C568" t="e">
        <f>VLOOKUP(A568,'Production Plan'!B:F,5,FALSE)</f>
        <v>#N/A</v>
      </c>
      <c r="F568"/>
    </row>
    <row r="569" spans="1:6" hidden="1">
      <c r="A569">
        <f>'Production Plan'!B558</f>
        <v>0</v>
      </c>
      <c r="B569" t="e">
        <f>VLOOKUP(A569,'Production Plan'!B:T,16,FALSE)</f>
        <v>#N/A</v>
      </c>
      <c r="C569" t="e">
        <f>VLOOKUP(A569,'Production Plan'!B:F,5,FALSE)</f>
        <v>#N/A</v>
      </c>
      <c r="F569"/>
    </row>
    <row r="570" spans="1:6" hidden="1">
      <c r="A570">
        <f>'Production Plan'!B559</f>
        <v>0</v>
      </c>
      <c r="B570" t="e">
        <f>VLOOKUP(A570,'Production Plan'!B:T,16,FALSE)</f>
        <v>#N/A</v>
      </c>
      <c r="C570" t="e">
        <f>VLOOKUP(A570,'Production Plan'!B:F,5,FALSE)</f>
        <v>#N/A</v>
      </c>
      <c r="F570"/>
    </row>
    <row r="571" spans="1:6" hidden="1">
      <c r="A571">
        <f>'Production Plan'!B560</f>
        <v>0</v>
      </c>
      <c r="B571" t="e">
        <f>VLOOKUP(A571,'Production Plan'!B:T,16,FALSE)</f>
        <v>#N/A</v>
      </c>
      <c r="C571" t="e">
        <f>VLOOKUP(A571,'Production Plan'!B:F,5,FALSE)</f>
        <v>#N/A</v>
      </c>
      <c r="F571"/>
    </row>
    <row r="572" spans="1:6" hidden="1">
      <c r="A572">
        <f>'Production Plan'!B561</f>
        <v>0</v>
      </c>
      <c r="B572" t="e">
        <f>VLOOKUP(A572,'Production Plan'!B:T,16,FALSE)</f>
        <v>#N/A</v>
      </c>
      <c r="C572" t="e">
        <f>VLOOKUP(A572,'Production Plan'!B:F,5,FALSE)</f>
        <v>#N/A</v>
      </c>
      <c r="F572"/>
    </row>
    <row r="573" spans="1:6" hidden="1">
      <c r="A573">
        <f>'Production Plan'!B562</f>
        <v>0</v>
      </c>
      <c r="B573" t="e">
        <f>VLOOKUP(A573,'Production Plan'!B:T,16,FALSE)</f>
        <v>#N/A</v>
      </c>
      <c r="C573" t="e">
        <f>VLOOKUP(A573,'Production Plan'!B:F,5,FALSE)</f>
        <v>#N/A</v>
      </c>
      <c r="F573"/>
    </row>
    <row r="574" spans="1:6" hidden="1">
      <c r="A574">
        <f>'Production Plan'!B563</f>
        <v>0</v>
      </c>
      <c r="B574" t="e">
        <f>VLOOKUP(A574,'Production Plan'!B:T,16,FALSE)</f>
        <v>#N/A</v>
      </c>
      <c r="C574" t="e">
        <f>VLOOKUP(A574,'Production Plan'!B:F,5,FALSE)</f>
        <v>#N/A</v>
      </c>
      <c r="F574"/>
    </row>
    <row r="575" spans="1:6" hidden="1">
      <c r="A575">
        <f>'Production Plan'!B564</f>
        <v>0</v>
      </c>
      <c r="B575" t="e">
        <f>VLOOKUP(A575,'Production Plan'!B:T,16,FALSE)</f>
        <v>#N/A</v>
      </c>
      <c r="C575" t="e">
        <f>VLOOKUP(A575,'Production Plan'!B:F,5,FALSE)</f>
        <v>#N/A</v>
      </c>
      <c r="F575"/>
    </row>
    <row r="576" spans="1:6" hidden="1">
      <c r="A576">
        <f>'Production Plan'!B565</f>
        <v>0</v>
      </c>
      <c r="B576" t="e">
        <f>VLOOKUP(A576,'Production Plan'!B:T,16,FALSE)</f>
        <v>#N/A</v>
      </c>
      <c r="C576" t="e">
        <f>VLOOKUP(A576,'Production Plan'!B:F,5,FALSE)</f>
        <v>#N/A</v>
      </c>
      <c r="F576"/>
    </row>
    <row r="577" spans="1:6" hidden="1">
      <c r="A577">
        <f>'Production Plan'!B566</f>
        <v>0</v>
      </c>
      <c r="B577" t="e">
        <f>VLOOKUP(A577,'Production Plan'!B:T,16,FALSE)</f>
        <v>#N/A</v>
      </c>
      <c r="C577" t="e">
        <f>VLOOKUP(A577,'Production Plan'!B:F,5,FALSE)</f>
        <v>#N/A</v>
      </c>
      <c r="F577"/>
    </row>
    <row r="578" spans="1:6" hidden="1">
      <c r="A578">
        <f>'Production Plan'!B567</f>
        <v>0</v>
      </c>
      <c r="B578" t="e">
        <f>VLOOKUP(A578,'Production Plan'!B:T,16,FALSE)</f>
        <v>#N/A</v>
      </c>
      <c r="C578" t="e">
        <f>VLOOKUP(A578,'Production Plan'!B:F,5,FALSE)</f>
        <v>#N/A</v>
      </c>
      <c r="F578"/>
    </row>
    <row r="579" spans="1:6" hidden="1">
      <c r="A579">
        <f>'Production Plan'!B568</f>
        <v>0</v>
      </c>
      <c r="B579" t="e">
        <f>VLOOKUP(A579,'Production Plan'!B:T,16,FALSE)</f>
        <v>#N/A</v>
      </c>
      <c r="C579" t="e">
        <f>VLOOKUP(A579,'Production Plan'!B:F,5,FALSE)</f>
        <v>#N/A</v>
      </c>
      <c r="F579"/>
    </row>
    <row r="580" spans="1:6" hidden="1">
      <c r="A580">
        <f>'Production Plan'!B569</f>
        <v>0</v>
      </c>
      <c r="B580" t="e">
        <f>VLOOKUP(A580,'Production Plan'!B:T,16,FALSE)</f>
        <v>#N/A</v>
      </c>
      <c r="C580" t="e">
        <f>VLOOKUP(A580,'Production Plan'!B:F,5,FALSE)</f>
        <v>#N/A</v>
      </c>
      <c r="F580"/>
    </row>
    <row r="581" spans="1:6" hidden="1">
      <c r="A581">
        <f>'Production Plan'!B570</f>
        <v>0</v>
      </c>
      <c r="B581" t="e">
        <f>VLOOKUP(A581,'Production Plan'!B:T,16,FALSE)</f>
        <v>#N/A</v>
      </c>
      <c r="C581" t="e">
        <f>VLOOKUP(A581,'Production Plan'!B:F,5,FALSE)</f>
        <v>#N/A</v>
      </c>
      <c r="F581"/>
    </row>
    <row r="582" spans="1:6" hidden="1">
      <c r="A582">
        <f>'Production Plan'!B571</f>
        <v>0</v>
      </c>
      <c r="B582" t="e">
        <f>VLOOKUP(A582,'Production Plan'!B:T,16,FALSE)</f>
        <v>#N/A</v>
      </c>
      <c r="C582" t="e">
        <f>VLOOKUP(A582,'Production Plan'!B:F,5,FALSE)</f>
        <v>#N/A</v>
      </c>
      <c r="F582"/>
    </row>
    <row r="583" spans="1:6" hidden="1">
      <c r="A583">
        <f>'Production Plan'!B572</f>
        <v>0</v>
      </c>
      <c r="B583" t="e">
        <f>VLOOKUP(A583,'Production Plan'!B:T,16,FALSE)</f>
        <v>#N/A</v>
      </c>
      <c r="C583" t="e">
        <f>VLOOKUP(A583,'Production Plan'!B:F,5,FALSE)</f>
        <v>#N/A</v>
      </c>
      <c r="F583"/>
    </row>
    <row r="584" spans="1:6" hidden="1">
      <c r="A584">
        <f>'Production Plan'!B573</f>
        <v>0</v>
      </c>
      <c r="B584" t="e">
        <f>VLOOKUP(A584,'Production Plan'!B:T,16,FALSE)</f>
        <v>#N/A</v>
      </c>
      <c r="C584" t="e">
        <f>VLOOKUP(A584,'Production Plan'!B:F,5,FALSE)</f>
        <v>#N/A</v>
      </c>
      <c r="F584"/>
    </row>
    <row r="585" spans="1:6" hidden="1">
      <c r="A585">
        <f>'Production Plan'!B574</f>
        <v>0</v>
      </c>
      <c r="B585" t="e">
        <f>VLOOKUP(A585,'Production Plan'!B:T,16,FALSE)</f>
        <v>#N/A</v>
      </c>
      <c r="C585" t="e">
        <f>VLOOKUP(A585,'Production Plan'!B:F,5,FALSE)</f>
        <v>#N/A</v>
      </c>
      <c r="F585"/>
    </row>
    <row r="586" spans="1:6" hidden="1">
      <c r="A586">
        <f>'Production Plan'!B575</f>
        <v>0</v>
      </c>
      <c r="B586" t="e">
        <f>VLOOKUP(A586,'Production Plan'!B:T,16,FALSE)</f>
        <v>#N/A</v>
      </c>
      <c r="C586" t="e">
        <f>VLOOKUP(A586,'Production Plan'!B:F,5,FALSE)</f>
        <v>#N/A</v>
      </c>
      <c r="F586"/>
    </row>
    <row r="587" spans="1:6" hidden="1">
      <c r="A587">
        <f>'Production Plan'!B576</f>
        <v>0</v>
      </c>
      <c r="B587" t="e">
        <f>VLOOKUP(A587,'Production Plan'!B:T,16,FALSE)</f>
        <v>#N/A</v>
      </c>
      <c r="C587" t="e">
        <f>VLOOKUP(A587,'Production Plan'!B:F,5,FALSE)</f>
        <v>#N/A</v>
      </c>
      <c r="F587"/>
    </row>
    <row r="588" spans="1:6" hidden="1">
      <c r="A588">
        <f>'Production Plan'!B577</f>
        <v>0</v>
      </c>
      <c r="B588" t="e">
        <f>VLOOKUP(A588,'Production Plan'!B:T,16,FALSE)</f>
        <v>#N/A</v>
      </c>
      <c r="C588" t="e">
        <f>VLOOKUP(A588,'Production Plan'!B:F,5,FALSE)</f>
        <v>#N/A</v>
      </c>
      <c r="F588"/>
    </row>
    <row r="589" spans="1:6" hidden="1">
      <c r="A589">
        <f>'Production Plan'!B578</f>
        <v>0</v>
      </c>
      <c r="B589" t="e">
        <f>VLOOKUP(A589,'Production Plan'!B:T,16,FALSE)</f>
        <v>#N/A</v>
      </c>
      <c r="C589" t="e">
        <f>VLOOKUP(A589,'Production Plan'!B:F,5,FALSE)</f>
        <v>#N/A</v>
      </c>
      <c r="F589"/>
    </row>
    <row r="590" spans="1:6" hidden="1">
      <c r="A590">
        <f>'Production Plan'!B579</f>
        <v>0</v>
      </c>
      <c r="B590" t="e">
        <f>VLOOKUP(A590,'Production Plan'!B:T,16,FALSE)</f>
        <v>#N/A</v>
      </c>
      <c r="C590" t="e">
        <f>VLOOKUP(A590,'Production Plan'!B:F,5,FALSE)</f>
        <v>#N/A</v>
      </c>
      <c r="F590"/>
    </row>
    <row r="591" spans="1:6" hidden="1">
      <c r="A591">
        <f>'Production Plan'!B580</f>
        <v>0</v>
      </c>
      <c r="B591" t="e">
        <f>VLOOKUP(A591,'Production Plan'!B:T,16,FALSE)</f>
        <v>#N/A</v>
      </c>
      <c r="C591" t="e">
        <f>VLOOKUP(A591,'Production Plan'!B:F,5,FALSE)</f>
        <v>#N/A</v>
      </c>
      <c r="F591"/>
    </row>
    <row r="592" spans="1:6" hidden="1">
      <c r="A592">
        <f>'Production Plan'!B581</f>
        <v>0</v>
      </c>
      <c r="B592" t="e">
        <f>VLOOKUP(A592,'Production Plan'!B:T,16,FALSE)</f>
        <v>#N/A</v>
      </c>
      <c r="C592" t="e">
        <f>VLOOKUP(A592,'Production Plan'!B:F,5,FALSE)</f>
        <v>#N/A</v>
      </c>
      <c r="F592"/>
    </row>
    <row r="593" spans="1:6" hidden="1">
      <c r="A593">
        <f>'Production Plan'!B582</f>
        <v>0</v>
      </c>
      <c r="B593" t="e">
        <f>VLOOKUP(A593,'Production Plan'!B:T,16,FALSE)</f>
        <v>#N/A</v>
      </c>
      <c r="C593" t="e">
        <f>VLOOKUP(A593,'Production Plan'!B:F,5,FALSE)</f>
        <v>#N/A</v>
      </c>
      <c r="F593"/>
    </row>
    <row r="594" spans="1:6" hidden="1">
      <c r="A594">
        <f>'Production Plan'!B583</f>
        <v>0</v>
      </c>
      <c r="B594" t="e">
        <f>VLOOKUP(A594,'Production Plan'!B:T,16,FALSE)</f>
        <v>#N/A</v>
      </c>
      <c r="C594" t="e">
        <f>VLOOKUP(A594,'Production Plan'!B:F,5,FALSE)</f>
        <v>#N/A</v>
      </c>
      <c r="F594"/>
    </row>
    <row r="595" spans="1:6" hidden="1">
      <c r="A595">
        <f>'Production Plan'!B584</f>
        <v>0</v>
      </c>
      <c r="B595" t="e">
        <f>VLOOKUP(A595,'Production Plan'!B:T,16,FALSE)</f>
        <v>#N/A</v>
      </c>
      <c r="C595" t="e">
        <f>VLOOKUP(A595,'Production Plan'!B:F,5,FALSE)</f>
        <v>#N/A</v>
      </c>
      <c r="F595"/>
    </row>
    <row r="596" spans="1:6" hidden="1">
      <c r="A596">
        <f>'Production Plan'!B585</f>
        <v>0</v>
      </c>
      <c r="B596" t="e">
        <f>VLOOKUP(A596,'Production Plan'!B:T,16,FALSE)</f>
        <v>#N/A</v>
      </c>
      <c r="C596" t="e">
        <f>VLOOKUP(A596,'Production Plan'!B:F,5,FALSE)</f>
        <v>#N/A</v>
      </c>
      <c r="F596"/>
    </row>
    <row r="597" spans="1:6" hidden="1">
      <c r="A597">
        <f>'Production Plan'!B586</f>
        <v>0</v>
      </c>
      <c r="B597" t="e">
        <f>VLOOKUP(A597,'Production Plan'!B:T,16,FALSE)</f>
        <v>#N/A</v>
      </c>
      <c r="C597" t="e">
        <f>VLOOKUP(A597,'Production Plan'!B:F,5,FALSE)</f>
        <v>#N/A</v>
      </c>
      <c r="F597"/>
    </row>
    <row r="598" spans="1:6" hidden="1">
      <c r="A598">
        <f>'Production Plan'!B587</f>
        <v>0</v>
      </c>
      <c r="B598" t="e">
        <f>VLOOKUP(A598,'Production Plan'!B:T,16,FALSE)</f>
        <v>#N/A</v>
      </c>
      <c r="C598" t="e">
        <f>VLOOKUP(A598,'Production Plan'!B:F,5,FALSE)</f>
        <v>#N/A</v>
      </c>
      <c r="F598"/>
    </row>
    <row r="599" spans="1:6" hidden="1">
      <c r="A599">
        <f>'Production Plan'!B588</f>
        <v>0</v>
      </c>
      <c r="B599" t="e">
        <f>VLOOKUP(A599,'Production Plan'!B:T,16,FALSE)</f>
        <v>#N/A</v>
      </c>
      <c r="C599" t="e">
        <f>VLOOKUP(A599,'Production Plan'!B:F,5,FALSE)</f>
        <v>#N/A</v>
      </c>
      <c r="F599"/>
    </row>
    <row r="600" spans="1:6" hidden="1">
      <c r="A600">
        <f>'Production Plan'!B589</f>
        <v>0</v>
      </c>
      <c r="B600" t="e">
        <f>VLOOKUP(A600,'Production Plan'!B:T,16,FALSE)</f>
        <v>#N/A</v>
      </c>
      <c r="C600" t="e">
        <f>VLOOKUP(A600,'Production Plan'!B:F,5,FALSE)</f>
        <v>#N/A</v>
      </c>
      <c r="F600"/>
    </row>
    <row r="601" spans="1:6" hidden="1">
      <c r="A601">
        <f>'Production Plan'!B590</f>
        <v>0</v>
      </c>
      <c r="B601" t="e">
        <f>VLOOKUP(A601,'Production Plan'!B:T,16,FALSE)</f>
        <v>#N/A</v>
      </c>
      <c r="C601" t="e">
        <f>VLOOKUP(A601,'Production Plan'!B:F,5,FALSE)</f>
        <v>#N/A</v>
      </c>
      <c r="F601"/>
    </row>
    <row r="602" spans="1:6" hidden="1">
      <c r="A602">
        <f>'Production Plan'!B591</f>
        <v>0</v>
      </c>
      <c r="B602" t="e">
        <f>VLOOKUP(A602,'Production Plan'!B:T,16,FALSE)</f>
        <v>#N/A</v>
      </c>
      <c r="C602" t="e">
        <f>VLOOKUP(A602,'Production Plan'!B:F,5,FALSE)</f>
        <v>#N/A</v>
      </c>
      <c r="F602"/>
    </row>
    <row r="603" spans="1:6" hidden="1">
      <c r="A603">
        <f>'Production Plan'!B592</f>
        <v>0</v>
      </c>
      <c r="B603" t="e">
        <f>VLOOKUP(A603,'Production Plan'!B:T,16,FALSE)</f>
        <v>#N/A</v>
      </c>
      <c r="C603" t="e">
        <f>VLOOKUP(A603,'Production Plan'!B:F,5,FALSE)</f>
        <v>#N/A</v>
      </c>
      <c r="F603"/>
    </row>
    <row r="604" spans="1:6" hidden="1">
      <c r="A604">
        <f>'Production Plan'!B593</f>
        <v>0</v>
      </c>
      <c r="B604" t="e">
        <f>VLOOKUP(A604,'Production Plan'!B:T,16,FALSE)</f>
        <v>#N/A</v>
      </c>
      <c r="C604" t="e">
        <f>VLOOKUP(A604,'Production Plan'!B:F,5,FALSE)</f>
        <v>#N/A</v>
      </c>
      <c r="F604"/>
    </row>
    <row r="605" spans="1:6" hidden="1">
      <c r="A605">
        <f>'Production Plan'!B594</f>
        <v>0</v>
      </c>
      <c r="B605" t="e">
        <f>VLOOKUP(A605,'Production Plan'!B:T,16,FALSE)</f>
        <v>#N/A</v>
      </c>
      <c r="C605" t="e">
        <f>VLOOKUP(A605,'Production Plan'!B:F,5,FALSE)</f>
        <v>#N/A</v>
      </c>
      <c r="F605"/>
    </row>
    <row r="606" spans="1:6" hidden="1">
      <c r="A606">
        <f>'Production Plan'!B595</f>
        <v>0</v>
      </c>
      <c r="B606" t="e">
        <f>VLOOKUP(A606,'Production Plan'!B:T,16,FALSE)</f>
        <v>#N/A</v>
      </c>
      <c r="C606" t="e">
        <f>VLOOKUP(A606,'Production Plan'!B:F,5,FALSE)</f>
        <v>#N/A</v>
      </c>
      <c r="F606"/>
    </row>
    <row r="607" spans="1:6" hidden="1">
      <c r="A607">
        <f>'Production Plan'!B596</f>
        <v>0</v>
      </c>
      <c r="B607" t="e">
        <f>VLOOKUP(A607,'Production Plan'!B:T,16,FALSE)</f>
        <v>#N/A</v>
      </c>
      <c r="C607" t="e">
        <f>VLOOKUP(A607,'Production Plan'!B:F,5,FALSE)</f>
        <v>#N/A</v>
      </c>
      <c r="F607"/>
    </row>
    <row r="608" spans="1:6" hidden="1">
      <c r="A608">
        <f>'Production Plan'!B597</f>
        <v>0</v>
      </c>
      <c r="B608" t="e">
        <f>VLOOKUP(A608,'Production Plan'!B:T,16,FALSE)</f>
        <v>#N/A</v>
      </c>
      <c r="C608" t="e">
        <f>VLOOKUP(A608,'Production Plan'!B:F,5,FALSE)</f>
        <v>#N/A</v>
      </c>
      <c r="F608"/>
    </row>
    <row r="609" spans="1:6" hidden="1">
      <c r="A609">
        <f>'Production Plan'!B598</f>
        <v>0</v>
      </c>
      <c r="B609" t="e">
        <f>VLOOKUP(A609,'Production Plan'!B:T,16,FALSE)</f>
        <v>#N/A</v>
      </c>
      <c r="C609" t="e">
        <f>VLOOKUP(A609,'Production Plan'!B:F,5,FALSE)</f>
        <v>#N/A</v>
      </c>
      <c r="F609"/>
    </row>
    <row r="610" spans="1:6" hidden="1">
      <c r="A610">
        <f>'Production Plan'!B599</f>
        <v>0</v>
      </c>
      <c r="B610" t="e">
        <f>VLOOKUP(A610,'Production Plan'!B:T,16,FALSE)</f>
        <v>#N/A</v>
      </c>
      <c r="C610" t="e">
        <f>VLOOKUP(A610,'Production Plan'!B:F,5,FALSE)</f>
        <v>#N/A</v>
      </c>
      <c r="F610"/>
    </row>
    <row r="611" spans="1:6" hidden="1">
      <c r="A611">
        <f>'Production Plan'!B600</f>
        <v>0</v>
      </c>
      <c r="B611" t="e">
        <f>VLOOKUP(A611,'Production Plan'!B:T,16,FALSE)</f>
        <v>#N/A</v>
      </c>
      <c r="C611" t="e">
        <f>VLOOKUP(A611,'Production Plan'!B:F,5,FALSE)</f>
        <v>#N/A</v>
      </c>
      <c r="F611"/>
    </row>
    <row r="612" spans="1:6" hidden="1">
      <c r="A612">
        <f>'Production Plan'!B601</f>
        <v>0</v>
      </c>
      <c r="B612" t="e">
        <f>VLOOKUP(A612,'Production Plan'!B:T,16,FALSE)</f>
        <v>#N/A</v>
      </c>
      <c r="C612" t="e">
        <f>VLOOKUP(A612,'Production Plan'!B:F,5,FALSE)</f>
        <v>#N/A</v>
      </c>
      <c r="F612"/>
    </row>
    <row r="613" spans="1:6" hidden="1">
      <c r="A613">
        <f>'Production Plan'!B602</f>
        <v>0</v>
      </c>
      <c r="B613" t="e">
        <f>VLOOKUP(A613,'Production Plan'!B:T,16,FALSE)</f>
        <v>#N/A</v>
      </c>
      <c r="C613" t="e">
        <f>VLOOKUP(A613,'Production Plan'!B:F,5,FALSE)</f>
        <v>#N/A</v>
      </c>
      <c r="F613"/>
    </row>
    <row r="614" spans="1:6" hidden="1">
      <c r="A614">
        <f>'Production Plan'!B603</f>
        <v>0</v>
      </c>
      <c r="B614" t="e">
        <f>VLOOKUP(A614,'Production Plan'!B:T,16,FALSE)</f>
        <v>#N/A</v>
      </c>
      <c r="C614" t="e">
        <f>VLOOKUP(A614,'Production Plan'!B:F,5,FALSE)</f>
        <v>#N/A</v>
      </c>
      <c r="F614"/>
    </row>
    <row r="615" spans="1:6" hidden="1">
      <c r="A615">
        <f>'Production Plan'!B604</f>
        <v>0</v>
      </c>
      <c r="B615" t="e">
        <f>VLOOKUP(A615,'Production Plan'!B:T,16,FALSE)</f>
        <v>#N/A</v>
      </c>
      <c r="C615" t="e">
        <f>VLOOKUP(A615,'Production Plan'!B:F,5,FALSE)</f>
        <v>#N/A</v>
      </c>
      <c r="F615"/>
    </row>
    <row r="616" spans="1:6" hidden="1">
      <c r="A616">
        <f>'Production Plan'!B605</f>
        <v>0</v>
      </c>
      <c r="B616" t="e">
        <f>VLOOKUP(A616,'Production Plan'!B:T,16,FALSE)</f>
        <v>#N/A</v>
      </c>
      <c r="C616" t="e">
        <f>VLOOKUP(A616,'Production Plan'!B:F,5,FALSE)</f>
        <v>#N/A</v>
      </c>
      <c r="F616"/>
    </row>
    <row r="617" spans="1:6" hidden="1">
      <c r="A617">
        <f>'Production Plan'!B606</f>
        <v>0</v>
      </c>
      <c r="B617" t="e">
        <f>VLOOKUP(A617,'Production Plan'!B:T,16,FALSE)</f>
        <v>#N/A</v>
      </c>
      <c r="C617" t="e">
        <f>VLOOKUP(A617,'Production Plan'!B:F,5,FALSE)</f>
        <v>#N/A</v>
      </c>
      <c r="F617"/>
    </row>
    <row r="618" spans="1:6" hidden="1">
      <c r="A618">
        <f>'Production Plan'!B607</f>
        <v>0</v>
      </c>
      <c r="B618" t="e">
        <f>VLOOKUP(A618,'Production Plan'!B:T,16,FALSE)</f>
        <v>#N/A</v>
      </c>
      <c r="C618" t="e">
        <f>VLOOKUP(A618,'Production Plan'!B:F,5,FALSE)</f>
        <v>#N/A</v>
      </c>
      <c r="F618"/>
    </row>
    <row r="619" spans="1:6" hidden="1">
      <c r="A619">
        <f>'Production Plan'!B608</f>
        <v>0</v>
      </c>
      <c r="B619" t="e">
        <f>VLOOKUP(A619,'Production Plan'!B:T,16,FALSE)</f>
        <v>#N/A</v>
      </c>
      <c r="C619" t="e">
        <f>VLOOKUP(A619,'Production Plan'!B:F,5,FALSE)</f>
        <v>#N/A</v>
      </c>
      <c r="F619"/>
    </row>
    <row r="620" spans="1:6" hidden="1">
      <c r="A620">
        <f>'Production Plan'!B609</f>
        <v>0</v>
      </c>
      <c r="B620" t="e">
        <f>VLOOKUP(A620,'Production Plan'!B:T,16,FALSE)</f>
        <v>#N/A</v>
      </c>
      <c r="C620" t="e">
        <f>VLOOKUP(A620,'Production Plan'!B:F,5,FALSE)</f>
        <v>#N/A</v>
      </c>
      <c r="F620"/>
    </row>
    <row r="621" spans="1:6" hidden="1">
      <c r="A621">
        <f>'Production Plan'!B610</f>
        <v>0</v>
      </c>
      <c r="B621" t="e">
        <f>VLOOKUP(A621,'Production Plan'!B:T,16,FALSE)</f>
        <v>#N/A</v>
      </c>
      <c r="C621" t="e">
        <f>VLOOKUP(A621,'Production Plan'!B:F,5,FALSE)</f>
        <v>#N/A</v>
      </c>
      <c r="F621"/>
    </row>
    <row r="622" spans="1:6" hidden="1">
      <c r="A622">
        <f>'Production Plan'!B611</f>
        <v>0</v>
      </c>
      <c r="B622" t="e">
        <f>VLOOKUP(A622,'Production Plan'!B:T,16,FALSE)</f>
        <v>#N/A</v>
      </c>
      <c r="C622" t="e">
        <f>VLOOKUP(A622,'Production Plan'!B:F,5,FALSE)</f>
        <v>#N/A</v>
      </c>
      <c r="F622"/>
    </row>
    <row r="623" spans="1:6" hidden="1">
      <c r="A623">
        <f>'Production Plan'!B612</f>
        <v>0</v>
      </c>
      <c r="B623" t="e">
        <f>VLOOKUP(A623,'Production Plan'!B:T,16,FALSE)</f>
        <v>#N/A</v>
      </c>
      <c r="C623" t="e">
        <f>VLOOKUP(A623,'Production Plan'!B:F,5,FALSE)</f>
        <v>#N/A</v>
      </c>
      <c r="F623"/>
    </row>
    <row r="624" spans="1:6" hidden="1">
      <c r="A624">
        <f>'Production Plan'!B613</f>
        <v>0</v>
      </c>
      <c r="B624" t="e">
        <f>VLOOKUP(A624,'Production Plan'!B:T,16,FALSE)</f>
        <v>#N/A</v>
      </c>
      <c r="C624" t="e">
        <f>VLOOKUP(A624,'Production Plan'!B:F,5,FALSE)</f>
        <v>#N/A</v>
      </c>
      <c r="F624"/>
    </row>
    <row r="625" spans="1:6" hidden="1">
      <c r="A625">
        <f>'Production Plan'!B614</f>
        <v>0</v>
      </c>
      <c r="B625" t="e">
        <f>VLOOKUP(A625,'Production Plan'!B:T,16,FALSE)</f>
        <v>#N/A</v>
      </c>
      <c r="C625" t="e">
        <f>VLOOKUP(A625,'Production Plan'!B:F,5,FALSE)</f>
        <v>#N/A</v>
      </c>
      <c r="F625"/>
    </row>
    <row r="626" spans="1:6" hidden="1">
      <c r="A626">
        <f>'Production Plan'!B615</f>
        <v>0</v>
      </c>
      <c r="B626" t="e">
        <f>VLOOKUP(A626,'Production Plan'!B:T,16,FALSE)</f>
        <v>#N/A</v>
      </c>
      <c r="C626" t="e">
        <f>VLOOKUP(A626,'Production Plan'!B:F,5,FALSE)</f>
        <v>#N/A</v>
      </c>
      <c r="F626"/>
    </row>
    <row r="627" spans="1:6" hidden="1">
      <c r="A627">
        <f>'Production Plan'!B616</f>
        <v>0</v>
      </c>
      <c r="B627" t="e">
        <f>VLOOKUP(A627,'Production Plan'!B:T,16,FALSE)</f>
        <v>#N/A</v>
      </c>
      <c r="C627" t="e">
        <f>VLOOKUP(A627,'Production Plan'!B:F,5,FALSE)</f>
        <v>#N/A</v>
      </c>
      <c r="F627"/>
    </row>
    <row r="628" spans="1:6" hidden="1">
      <c r="A628">
        <f>'Production Plan'!B617</f>
        <v>0</v>
      </c>
      <c r="B628" t="e">
        <f>VLOOKUP(A628,'Production Plan'!B:T,16,FALSE)</f>
        <v>#N/A</v>
      </c>
      <c r="C628" t="e">
        <f>VLOOKUP(A628,'Production Plan'!B:F,5,FALSE)</f>
        <v>#N/A</v>
      </c>
      <c r="F628"/>
    </row>
    <row r="629" spans="1:6" hidden="1">
      <c r="A629">
        <f>'Production Plan'!B618</f>
        <v>0</v>
      </c>
      <c r="B629" t="e">
        <f>VLOOKUP(A629,'Production Plan'!B:T,16,FALSE)</f>
        <v>#N/A</v>
      </c>
      <c r="C629" t="e">
        <f>VLOOKUP(A629,'Production Plan'!B:F,5,FALSE)</f>
        <v>#N/A</v>
      </c>
      <c r="F629"/>
    </row>
    <row r="630" spans="1:6" hidden="1">
      <c r="A630">
        <f>'Production Plan'!B619</f>
        <v>0</v>
      </c>
      <c r="B630" t="e">
        <f>VLOOKUP(A630,'Production Plan'!B:T,16,FALSE)</f>
        <v>#N/A</v>
      </c>
      <c r="C630" t="e">
        <f>VLOOKUP(A630,'Production Plan'!B:F,5,FALSE)</f>
        <v>#N/A</v>
      </c>
      <c r="F630"/>
    </row>
    <row r="631" spans="1:6" hidden="1">
      <c r="A631">
        <f>'Production Plan'!B620</f>
        <v>0</v>
      </c>
      <c r="B631" t="e">
        <f>VLOOKUP(A631,'Production Plan'!B:T,16,FALSE)</f>
        <v>#N/A</v>
      </c>
      <c r="C631" t="e">
        <f>VLOOKUP(A631,'Production Plan'!B:F,5,FALSE)</f>
        <v>#N/A</v>
      </c>
      <c r="F631"/>
    </row>
    <row r="632" spans="1:6" hidden="1">
      <c r="A632">
        <f>'Production Plan'!B621</f>
        <v>0</v>
      </c>
      <c r="B632" t="e">
        <f>VLOOKUP(A632,'Production Plan'!B:T,16,FALSE)</f>
        <v>#N/A</v>
      </c>
      <c r="C632" t="e">
        <f>VLOOKUP(A632,'Production Plan'!B:F,5,FALSE)</f>
        <v>#N/A</v>
      </c>
      <c r="F632"/>
    </row>
    <row r="633" spans="1:6" hidden="1">
      <c r="A633">
        <f>'Production Plan'!B622</f>
        <v>0</v>
      </c>
      <c r="B633" t="e">
        <f>VLOOKUP(A633,'Production Plan'!B:T,16,FALSE)</f>
        <v>#N/A</v>
      </c>
      <c r="C633" t="e">
        <f>VLOOKUP(A633,'Production Plan'!B:F,5,FALSE)</f>
        <v>#N/A</v>
      </c>
      <c r="F633"/>
    </row>
    <row r="634" spans="1:6" hidden="1">
      <c r="A634">
        <f>'Production Plan'!B623</f>
        <v>0</v>
      </c>
      <c r="B634" t="e">
        <f>VLOOKUP(A634,'Production Plan'!B:T,16,FALSE)</f>
        <v>#N/A</v>
      </c>
      <c r="C634" t="e">
        <f>VLOOKUP(A634,'Production Plan'!B:F,5,FALSE)</f>
        <v>#N/A</v>
      </c>
      <c r="F634"/>
    </row>
    <row r="635" spans="1:6" hidden="1">
      <c r="A635">
        <f>'Production Plan'!B624</f>
        <v>0</v>
      </c>
      <c r="B635" t="e">
        <f>VLOOKUP(A635,'Production Plan'!B:T,16,FALSE)</f>
        <v>#N/A</v>
      </c>
      <c r="C635" t="e">
        <f>VLOOKUP(A635,'Production Plan'!B:F,5,FALSE)</f>
        <v>#N/A</v>
      </c>
      <c r="F635"/>
    </row>
    <row r="636" spans="1:6" hidden="1">
      <c r="A636">
        <f>'Production Plan'!B625</f>
        <v>0</v>
      </c>
      <c r="B636" t="e">
        <f>VLOOKUP(A636,'Production Plan'!B:T,16,FALSE)</f>
        <v>#N/A</v>
      </c>
      <c r="C636" t="e">
        <f>VLOOKUP(A636,'Production Plan'!B:F,5,FALSE)</f>
        <v>#N/A</v>
      </c>
      <c r="F636"/>
    </row>
    <row r="637" spans="1:6" hidden="1">
      <c r="A637">
        <f>'Production Plan'!B626</f>
        <v>0</v>
      </c>
      <c r="B637" t="e">
        <f>VLOOKUP(A637,'Production Plan'!B:T,16,FALSE)</f>
        <v>#N/A</v>
      </c>
      <c r="C637" t="e">
        <f>VLOOKUP(A637,'Production Plan'!B:F,5,FALSE)</f>
        <v>#N/A</v>
      </c>
      <c r="F637"/>
    </row>
    <row r="638" spans="1:6" hidden="1">
      <c r="A638">
        <f>'Production Plan'!B627</f>
        <v>0</v>
      </c>
      <c r="B638" t="e">
        <f>VLOOKUP(A638,'Production Plan'!B:T,16,FALSE)</f>
        <v>#N/A</v>
      </c>
      <c r="C638" t="e">
        <f>VLOOKUP(A638,'Production Plan'!B:F,5,FALSE)</f>
        <v>#N/A</v>
      </c>
      <c r="F638"/>
    </row>
    <row r="639" spans="1:6" hidden="1">
      <c r="A639">
        <f>'Production Plan'!B628</f>
        <v>0</v>
      </c>
      <c r="B639" t="e">
        <f>VLOOKUP(A639,'Production Plan'!B:T,16,FALSE)</f>
        <v>#N/A</v>
      </c>
      <c r="C639" t="e">
        <f>VLOOKUP(A639,'Production Plan'!B:F,5,FALSE)</f>
        <v>#N/A</v>
      </c>
      <c r="F639"/>
    </row>
    <row r="640" spans="1:6" hidden="1">
      <c r="A640">
        <f>'Production Plan'!B629</f>
        <v>0</v>
      </c>
      <c r="B640" t="e">
        <f>VLOOKUP(A640,'Production Plan'!B:T,16,FALSE)</f>
        <v>#N/A</v>
      </c>
      <c r="C640" t="e">
        <f>VLOOKUP(A640,'Production Plan'!B:F,5,FALSE)</f>
        <v>#N/A</v>
      </c>
      <c r="F640"/>
    </row>
    <row r="641" spans="1:6" hidden="1">
      <c r="A641">
        <f>'Production Plan'!B630</f>
        <v>0</v>
      </c>
      <c r="B641" t="e">
        <f>VLOOKUP(A641,'Production Plan'!B:T,16,FALSE)</f>
        <v>#N/A</v>
      </c>
      <c r="C641" t="e">
        <f>VLOOKUP(A641,'Production Plan'!B:F,5,FALSE)</f>
        <v>#N/A</v>
      </c>
      <c r="F641"/>
    </row>
    <row r="642" spans="1:6" hidden="1">
      <c r="A642">
        <f>'Production Plan'!B631</f>
        <v>0</v>
      </c>
      <c r="B642" t="e">
        <f>VLOOKUP(A642,'Production Plan'!B:T,16,FALSE)</f>
        <v>#N/A</v>
      </c>
      <c r="C642" t="e">
        <f>VLOOKUP(A642,'Production Plan'!B:F,5,FALSE)</f>
        <v>#N/A</v>
      </c>
      <c r="F642"/>
    </row>
    <row r="643" spans="1:6" hidden="1">
      <c r="A643">
        <f>'Production Plan'!B632</f>
        <v>0</v>
      </c>
      <c r="B643" t="e">
        <f>VLOOKUP(A643,'Production Plan'!B:T,16,FALSE)</f>
        <v>#N/A</v>
      </c>
      <c r="C643" t="e">
        <f>VLOOKUP(A643,'Production Plan'!B:F,5,FALSE)</f>
        <v>#N/A</v>
      </c>
      <c r="F643"/>
    </row>
    <row r="644" spans="1:6" hidden="1">
      <c r="A644">
        <f>'Production Plan'!B633</f>
        <v>0</v>
      </c>
      <c r="B644" t="e">
        <f>VLOOKUP(A644,'Production Plan'!B:T,16,FALSE)</f>
        <v>#N/A</v>
      </c>
      <c r="C644" t="e">
        <f>VLOOKUP(A644,'Production Plan'!B:F,5,FALSE)</f>
        <v>#N/A</v>
      </c>
      <c r="F644"/>
    </row>
    <row r="645" spans="1:6" hidden="1">
      <c r="A645">
        <f>'Production Plan'!B634</f>
        <v>0</v>
      </c>
      <c r="B645" t="e">
        <f>VLOOKUP(A645,'Production Plan'!B:T,16,FALSE)</f>
        <v>#N/A</v>
      </c>
      <c r="C645" t="e">
        <f>VLOOKUP(A645,'Production Plan'!B:F,5,FALSE)</f>
        <v>#N/A</v>
      </c>
      <c r="F645"/>
    </row>
    <row r="646" spans="1:6" hidden="1">
      <c r="A646">
        <f>'Production Plan'!B635</f>
        <v>0</v>
      </c>
      <c r="B646" t="e">
        <f>VLOOKUP(A646,'Production Plan'!B:T,16,FALSE)</f>
        <v>#N/A</v>
      </c>
      <c r="C646" t="e">
        <f>VLOOKUP(A646,'Production Plan'!B:F,5,FALSE)</f>
        <v>#N/A</v>
      </c>
      <c r="F646"/>
    </row>
    <row r="647" spans="1:6" hidden="1">
      <c r="A647">
        <f>'Production Plan'!B636</f>
        <v>0</v>
      </c>
      <c r="B647" t="e">
        <f>VLOOKUP(A647,'Production Plan'!B:T,16,FALSE)</f>
        <v>#N/A</v>
      </c>
      <c r="C647" t="e">
        <f>VLOOKUP(A647,'Production Plan'!B:F,5,FALSE)</f>
        <v>#N/A</v>
      </c>
      <c r="F647"/>
    </row>
    <row r="648" spans="1:6" hidden="1">
      <c r="A648">
        <f>'Production Plan'!B637</f>
        <v>0</v>
      </c>
      <c r="B648" t="e">
        <f>VLOOKUP(A648,'Production Plan'!B:T,16,FALSE)</f>
        <v>#N/A</v>
      </c>
      <c r="C648" t="e">
        <f>VLOOKUP(A648,'Production Plan'!B:F,5,FALSE)</f>
        <v>#N/A</v>
      </c>
      <c r="F648"/>
    </row>
    <row r="649" spans="1:6" hidden="1">
      <c r="A649">
        <f>'Production Plan'!B638</f>
        <v>0</v>
      </c>
      <c r="B649" t="e">
        <f>VLOOKUP(A649,'Production Plan'!B:T,16,FALSE)</f>
        <v>#N/A</v>
      </c>
      <c r="C649" t="e">
        <f>VLOOKUP(A649,'Production Plan'!B:F,5,FALSE)</f>
        <v>#N/A</v>
      </c>
      <c r="F649"/>
    </row>
    <row r="650" spans="1:6" hidden="1">
      <c r="A650">
        <f>'Production Plan'!B639</f>
        <v>0</v>
      </c>
      <c r="B650" t="e">
        <f>VLOOKUP(A650,'Production Plan'!B:T,16,FALSE)</f>
        <v>#N/A</v>
      </c>
      <c r="C650" t="e">
        <f>VLOOKUP(A650,'Production Plan'!B:F,5,FALSE)</f>
        <v>#N/A</v>
      </c>
      <c r="F650"/>
    </row>
    <row r="651" spans="1:6" hidden="1">
      <c r="A651">
        <f>'Production Plan'!B640</f>
        <v>0</v>
      </c>
      <c r="B651" t="e">
        <f>VLOOKUP(A651,'Production Plan'!B:T,16,FALSE)</f>
        <v>#N/A</v>
      </c>
      <c r="C651" t="e">
        <f>VLOOKUP(A651,'Production Plan'!B:F,5,FALSE)</f>
        <v>#N/A</v>
      </c>
      <c r="F651"/>
    </row>
    <row r="652" spans="1:6" hidden="1">
      <c r="A652">
        <f>'Production Plan'!B641</f>
        <v>0</v>
      </c>
      <c r="B652" t="e">
        <f>VLOOKUP(A652,'Production Plan'!B:T,16,FALSE)</f>
        <v>#N/A</v>
      </c>
      <c r="C652" t="e">
        <f>VLOOKUP(A652,'Production Plan'!B:F,5,FALSE)</f>
        <v>#N/A</v>
      </c>
      <c r="F652"/>
    </row>
    <row r="653" spans="1:6" hidden="1">
      <c r="A653">
        <f>'Production Plan'!B642</f>
        <v>0</v>
      </c>
      <c r="B653" t="e">
        <f>VLOOKUP(A653,'Production Plan'!B:T,16,FALSE)</f>
        <v>#N/A</v>
      </c>
      <c r="C653" t="e">
        <f>VLOOKUP(A653,'Production Plan'!B:F,5,FALSE)</f>
        <v>#N/A</v>
      </c>
      <c r="F653"/>
    </row>
    <row r="654" spans="1:6" hidden="1">
      <c r="A654">
        <f>'Production Plan'!B643</f>
        <v>0</v>
      </c>
      <c r="B654" t="e">
        <f>VLOOKUP(A654,'Production Plan'!B:T,16,FALSE)</f>
        <v>#N/A</v>
      </c>
      <c r="C654" t="e">
        <f>VLOOKUP(A654,'Production Plan'!B:F,5,FALSE)</f>
        <v>#N/A</v>
      </c>
      <c r="F654"/>
    </row>
    <row r="655" spans="1:6" hidden="1">
      <c r="A655">
        <f>'Production Plan'!B644</f>
        <v>0</v>
      </c>
      <c r="B655" t="e">
        <f>VLOOKUP(A655,'Production Plan'!B:T,16,FALSE)</f>
        <v>#N/A</v>
      </c>
      <c r="C655" t="e">
        <f>VLOOKUP(A655,'Production Plan'!B:F,5,FALSE)</f>
        <v>#N/A</v>
      </c>
      <c r="F655"/>
    </row>
    <row r="656" spans="1:6" hidden="1">
      <c r="A656">
        <f>'Production Plan'!B645</f>
        <v>0</v>
      </c>
      <c r="B656" t="e">
        <f>VLOOKUP(A656,'Production Plan'!B:T,16,FALSE)</f>
        <v>#N/A</v>
      </c>
      <c r="C656" t="e">
        <f>VLOOKUP(A656,'Production Plan'!B:F,5,FALSE)</f>
        <v>#N/A</v>
      </c>
      <c r="F656"/>
    </row>
    <row r="657" spans="1:6" hidden="1">
      <c r="A657">
        <f>'Production Plan'!B646</f>
        <v>0</v>
      </c>
      <c r="B657" t="e">
        <f>VLOOKUP(A657,'Production Plan'!B:T,16,FALSE)</f>
        <v>#N/A</v>
      </c>
      <c r="C657" t="e">
        <f>VLOOKUP(A657,'Production Plan'!B:F,5,FALSE)</f>
        <v>#N/A</v>
      </c>
      <c r="F657"/>
    </row>
    <row r="658" spans="1:6" hidden="1">
      <c r="A658">
        <f>'Production Plan'!B647</f>
        <v>0</v>
      </c>
      <c r="B658" t="e">
        <f>VLOOKUP(A658,'Production Plan'!B:T,16,FALSE)</f>
        <v>#N/A</v>
      </c>
      <c r="C658" t="e">
        <f>VLOOKUP(A658,'Production Plan'!B:F,5,FALSE)</f>
        <v>#N/A</v>
      </c>
      <c r="F658"/>
    </row>
    <row r="659" spans="1:6" hidden="1">
      <c r="A659">
        <f>'Production Plan'!B648</f>
        <v>0</v>
      </c>
      <c r="B659" t="e">
        <f>VLOOKUP(A659,'Production Plan'!B:T,16,FALSE)</f>
        <v>#N/A</v>
      </c>
      <c r="C659" t="e">
        <f>VLOOKUP(A659,'Production Plan'!B:F,5,FALSE)</f>
        <v>#N/A</v>
      </c>
      <c r="F659"/>
    </row>
    <row r="660" spans="1:6" hidden="1">
      <c r="A660">
        <f>'Production Plan'!B649</f>
        <v>0</v>
      </c>
      <c r="B660" t="e">
        <f>VLOOKUP(A660,'Production Plan'!B:T,16,FALSE)</f>
        <v>#N/A</v>
      </c>
      <c r="C660" t="e">
        <f>VLOOKUP(A660,'Production Plan'!B:F,5,FALSE)</f>
        <v>#N/A</v>
      </c>
      <c r="F660"/>
    </row>
    <row r="661" spans="1:6" hidden="1">
      <c r="A661">
        <f>'Production Plan'!B650</f>
        <v>0</v>
      </c>
      <c r="B661" t="e">
        <f>VLOOKUP(A661,'Production Plan'!B:T,16,FALSE)</f>
        <v>#N/A</v>
      </c>
      <c r="C661" t="e">
        <f>VLOOKUP(A661,'Production Plan'!B:F,5,FALSE)</f>
        <v>#N/A</v>
      </c>
      <c r="F661"/>
    </row>
    <row r="662" spans="1:6" hidden="1">
      <c r="A662">
        <f>'Production Plan'!B651</f>
        <v>0</v>
      </c>
      <c r="B662" t="e">
        <f>VLOOKUP(A662,'Production Plan'!B:T,16,FALSE)</f>
        <v>#N/A</v>
      </c>
      <c r="C662" t="e">
        <f>VLOOKUP(A662,'Production Plan'!B:F,5,FALSE)</f>
        <v>#N/A</v>
      </c>
      <c r="F662"/>
    </row>
    <row r="663" spans="1:6" hidden="1">
      <c r="A663">
        <f>'Production Plan'!B652</f>
        <v>0</v>
      </c>
      <c r="B663" t="e">
        <f>VLOOKUP(A663,'Production Plan'!B:T,16,FALSE)</f>
        <v>#N/A</v>
      </c>
      <c r="C663" t="e">
        <f>VLOOKUP(A663,'Production Plan'!B:F,5,FALSE)</f>
        <v>#N/A</v>
      </c>
      <c r="F663"/>
    </row>
    <row r="664" spans="1:6" hidden="1">
      <c r="A664">
        <f>'Production Plan'!B653</f>
        <v>0</v>
      </c>
      <c r="B664" t="e">
        <f>VLOOKUP(A664,'Production Plan'!B:T,16,FALSE)</f>
        <v>#N/A</v>
      </c>
      <c r="C664" t="e">
        <f>VLOOKUP(A664,'Production Plan'!B:F,5,FALSE)</f>
        <v>#N/A</v>
      </c>
      <c r="F664"/>
    </row>
    <row r="665" spans="1:6" hidden="1">
      <c r="A665">
        <f>'Production Plan'!B654</f>
        <v>0</v>
      </c>
      <c r="B665" t="e">
        <f>VLOOKUP(A665,'Production Plan'!B:T,16,FALSE)</f>
        <v>#N/A</v>
      </c>
      <c r="C665" t="e">
        <f>VLOOKUP(A665,'Production Plan'!B:F,5,FALSE)</f>
        <v>#N/A</v>
      </c>
      <c r="F665"/>
    </row>
    <row r="666" spans="1:6" hidden="1">
      <c r="A666">
        <f>'Production Plan'!B655</f>
        <v>0</v>
      </c>
      <c r="B666" t="e">
        <f>VLOOKUP(A666,'Production Plan'!B:T,16,FALSE)</f>
        <v>#N/A</v>
      </c>
      <c r="C666" t="e">
        <f>VLOOKUP(A666,'Production Plan'!B:F,5,FALSE)</f>
        <v>#N/A</v>
      </c>
      <c r="F666"/>
    </row>
    <row r="667" spans="1:6" hidden="1">
      <c r="A667">
        <f>'Production Plan'!B656</f>
        <v>0</v>
      </c>
      <c r="B667" t="e">
        <f>VLOOKUP(A667,'Production Plan'!B:T,16,FALSE)</f>
        <v>#N/A</v>
      </c>
      <c r="C667" t="e">
        <f>VLOOKUP(A667,'Production Plan'!B:F,5,FALSE)</f>
        <v>#N/A</v>
      </c>
      <c r="F667"/>
    </row>
    <row r="668" spans="1:6" hidden="1">
      <c r="A668">
        <f>'Production Plan'!B657</f>
        <v>0</v>
      </c>
      <c r="B668" t="e">
        <f>VLOOKUP(A668,'Production Plan'!B:T,16,FALSE)</f>
        <v>#N/A</v>
      </c>
      <c r="C668" t="e">
        <f>VLOOKUP(A668,'Production Plan'!B:F,5,FALSE)</f>
        <v>#N/A</v>
      </c>
      <c r="F668"/>
    </row>
    <row r="669" spans="1:6" hidden="1">
      <c r="A669">
        <f>'Production Plan'!B658</f>
        <v>0</v>
      </c>
      <c r="B669" t="e">
        <f>VLOOKUP(A669,'Production Plan'!B:T,16,FALSE)</f>
        <v>#N/A</v>
      </c>
      <c r="C669" t="e">
        <f>VLOOKUP(A669,'Production Plan'!B:F,5,FALSE)</f>
        <v>#N/A</v>
      </c>
      <c r="F669"/>
    </row>
    <row r="670" spans="1:6" hidden="1">
      <c r="A670">
        <f>'Production Plan'!B659</f>
        <v>0</v>
      </c>
      <c r="B670" t="e">
        <f>VLOOKUP(A670,'Production Plan'!B:T,16,FALSE)</f>
        <v>#N/A</v>
      </c>
      <c r="C670" t="e">
        <f>VLOOKUP(A670,'Production Plan'!B:F,5,FALSE)</f>
        <v>#N/A</v>
      </c>
      <c r="F670"/>
    </row>
    <row r="671" spans="1:6" hidden="1">
      <c r="A671">
        <f>'Production Plan'!B660</f>
        <v>0</v>
      </c>
      <c r="B671" t="e">
        <f>VLOOKUP(A671,'Production Plan'!B:T,16,FALSE)</f>
        <v>#N/A</v>
      </c>
      <c r="C671" t="e">
        <f>VLOOKUP(A671,'Production Plan'!B:F,5,FALSE)</f>
        <v>#N/A</v>
      </c>
      <c r="F671"/>
    </row>
    <row r="672" spans="1:6" hidden="1">
      <c r="A672">
        <f>'Production Plan'!B661</f>
        <v>0</v>
      </c>
      <c r="B672" t="e">
        <f>VLOOKUP(A672,'Production Plan'!B:T,16,FALSE)</f>
        <v>#N/A</v>
      </c>
      <c r="C672" t="e">
        <f>VLOOKUP(A672,'Production Plan'!B:F,5,FALSE)</f>
        <v>#N/A</v>
      </c>
      <c r="F672"/>
    </row>
    <row r="673" spans="1:6" hidden="1">
      <c r="A673">
        <f>'Production Plan'!B662</f>
        <v>0</v>
      </c>
      <c r="B673" t="e">
        <f>VLOOKUP(A673,'Production Plan'!B:T,16,FALSE)</f>
        <v>#N/A</v>
      </c>
      <c r="C673" t="e">
        <f>VLOOKUP(A673,'Production Plan'!B:F,5,FALSE)</f>
        <v>#N/A</v>
      </c>
      <c r="F673"/>
    </row>
    <row r="674" spans="1:6" hidden="1">
      <c r="A674">
        <f>'Production Plan'!B663</f>
        <v>0</v>
      </c>
      <c r="B674" t="e">
        <f>VLOOKUP(A674,'Production Plan'!B:T,16,FALSE)</f>
        <v>#N/A</v>
      </c>
      <c r="C674" t="e">
        <f>VLOOKUP(A674,'Production Plan'!B:F,5,FALSE)</f>
        <v>#N/A</v>
      </c>
      <c r="F674"/>
    </row>
    <row r="675" spans="1:6" hidden="1">
      <c r="A675">
        <f>'Production Plan'!B664</f>
        <v>0</v>
      </c>
      <c r="B675" t="e">
        <f>VLOOKUP(A675,'Production Plan'!B:T,16,FALSE)</f>
        <v>#N/A</v>
      </c>
      <c r="C675" t="e">
        <f>VLOOKUP(A675,'Production Plan'!B:F,5,FALSE)</f>
        <v>#N/A</v>
      </c>
      <c r="F675"/>
    </row>
    <row r="676" spans="1:6" hidden="1">
      <c r="A676">
        <f>'Production Plan'!B665</f>
        <v>0</v>
      </c>
      <c r="B676" t="e">
        <f>VLOOKUP(A676,'Production Plan'!B:T,16,FALSE)</f>
        <v>#N/A</v>
      </c>
      <c r="C676" t="e">
        <f>VLOOKUP(A676,'Production Plan'!B:F,5,FALSE)</f>
        <v>#N/A</v>
      </c>
      <c r="F676"/>
    </row>
    <row r="677" spans="1:6" hidden="1">
      <c r="A677">
        <f>'Production Plan'!B666</f>
        <v>0</v>
      </c>
      <c r="B677" t="e">
        <f>VLOOKUP(A677,'Production Plan'!B:T,16,FALSE)</f>
        <v>#N/A</v>
      </c>
      <c r="C677" t="e">
        <f>VLOOKUP(A677,'Production Plan'!B:F,5,FALSE)</f>
        <v>#N/A</v>
      </c>
      <c r="F677"/>
    </row>
    <row r="678" spans="1:6" hidden="1">
      <c r="A678">
        <f>'Production Plan'!B667</f>
        <v>0</v>
      </c>
      <c r="B678" t="e">
        <f>VLOOKUP(A678,'Production Plan'!B:T,16,FALSE)</f>
        <v>#N/A</v>
      </c>
      <c r="C678" t="e">
        <f>VLOOKUP(A678,'Production Plan'!B:F,5,FALSE)</f>
        <v>#N/A</v>
      </c>
      <c r="F678"/>
    </row>
    <row r="679" spans="1:6" hidden="1">
      <c r="A679">
        <f>'Production Plan'!B668</f>
        <v>0</v>
      </c>
      <c r="B679" t="e">
        <f>VLOOKUP(A679,'Production Plan'!B:T,16,FALSE)</f>
        <v>#N/A</v>
      </c>
      <c r="C679" t="e">
        <f>VLOOKUP(A679,'Production Plan'!B:F,5,FALSE)</f>
        <v>#N/A</v>
      </c>
      <c r="F679"/>
    </row>
    <row r="680" spans="1:6" hidden="1">
      <c r="A680">
        <f>'Production Plan'!B669</f>
        <v>0</v>
      </c>
      <c r="B680" t="e">
        <f>VLOOKUP(A680,'Production Plan'!B:T,16,FALSE)</f>
        <v>#N/A</v>
      </c>
      <c r="C680" t="e">
        <f>VLOOKUP(A680,'Production Plan'!B:F,5,FALSE)</f>
        <v>#N/A</v>
      </c>
      <c r="F680"/>
    </row>
    <row r="681" spans="1:6" hidden="1">
      <c r="A681">
        <f>'Production Plan'!B670</f>
        <v>0</v>
      </c>
      <c r="B681" t="e">
        <f>VLOOKUP(A681,'Production Plan'!B:T,16,FALSE)</f>
        <v>#N/A</v>
      </c>
      <c r="C681" t="e">
        <f>VLOOKUP(A681,'Production Plan'!B:F,5,FALSE)</f>
        <v>#N/A</v>
      </c>
      <c r="F681"/>
    </row>
    <row r="682" spans="1:6" hidden="1">
      <c r="A682">
        <f>'Production Plan'!B671</f>
        <v>0</v>
      </c>
      <c r="B682" t="e">
        <f>VLOOKUP(A682,'Production Plan'!B:T,16,FALSE)</f>
        <v>#N/A</v>
      </c>
      <c r="C682" t="e">
        <f>VLOOKUP(A682,'Production Plan'!B:F,5,FALSE)</f>
        <v>#N/A</v>
      </c>
      <c r="F682"/>
    </row>
    <row r="683" spans="1:6" hidden="1">
      <c r="A683">
        <f>'Production Plan'!B672</f>
        <v>0</v>
      </c>
      <c r="B683" t="e">
        <f>VLOOKUP(A683,'Production Plan'!B:T,16,FALSE)</f>
        <v>#N/A</v>
      </c>
      <c r="C683" t="e">
        <f>VLOOKUP(A683,'Production Plan'!B:F,5,FALSE)</f>
        <v>#N/A</v>
      </c>
      <c r="F683"/>
    </row>
    <row r="684" spans="1:6" hidden="1">
      <c r="A684">
        <f>'Production Plan'!B673</f>
        <v>0</v>
      </c>
      <c r="B684" t="e">
        <f>VLOOKUP(A684,'Production Plan'!B:T,16,FALSE)</f>
        <v>#N/A</v>
      </c>
      <c r="C684" t="e">
        <f>VLOOKUP(A684,'Production Plan'!B:F,5,FALSE)</f>
        <v>#N/A</v>
      </c>
      <c r="F684"/>
    </row>
    <row r="685" spans="1:6" hidden="1">
      <c r="A685">
        <f>'Production Plan'!B674</f>
        <v>0</v>
      </c>
      <c r="B685" t="e">
        <f>VLOOKUP(A685,'Production Plan'!B:T,16,FALSE)</f>
        <v>#N/A</v>
      </c>
      <c r="C685" t="e">
        <f>VLOOKUP(A685,'Production Plan'!B:F,5,FALSE)</f>
        <v>#N/A</v>
      </c>
      <c r="F685"/>
    </row>
    <row r="686" spans="1:6" hidden="1">
      <c r="A686">
        <f>'Production Plan'!B675</f>
        <v>0</v>
      </c>
      <c r="B686" t="e">
        <f>VLOOKUP(A686,'Production Plan'!B:T,16,FALSE)</f>
        <v>#N/A</v>
      </c>
      <c r="C686" t="e">
        <f>VLOOKUP(A686,'Production Plan'!B:F,5,FALSE)</f>
        <v>#N/A</v>
      </c>
      <c r="F686"/>
    </row>
    <row r="687" spans="1:6" hidden="1">
      <c r="A687">
        <f>'Production Plan'!B676</f>
        <v>0</v>
      </c>
      <c r="B687" t="e">
        <f>VLOOKUP(A687,'Production Plan'!B:T,16,FALSE)</f>
        <v>#N/A</v>
      </c>
      <c r="C687" t="e">
        <f>VLOOKUP(A687,'Production Plan'!B:F,5,FALSE)</f>
        <v>#N/A</v>
      </c>
      <c r="F687"/>
    </row>
    <row r="688" spans="1:6" hidden="1">
      <c r="A688">
        <f>'Production Plan'!B677</f>
        <v>0</v>
      </c>
      <c r="B688" t="e">
        <f>VLOOKUP(A688,'Production Plan'!B:T,16,FALSE)</f>
        <v>#N/A</v>
      </c>
      <c r="C688" t="e">
        <f>VLOOKUP(A688,'Production Plan'!B:F,5,FALSE)</f>
        <v>#N/A</v>
      </c>
      <c r="F688"/>
    </row>
    <row r="689" spans="1:6" hidden="1">
      <c r="A689">
        <f>'Production Plan'!B678</f>
        <v>0</v>
      </c>
      <c r="B689" t="e">
        <f>VLOOKUP(A689,'Production Plan'!B:T,16,FALSE)</f>
        <v>#N/A</v>
      </c>
      <c r="C689" t="e">
        <f>VLOOKUP(A689,'Production Plan'!B:F,5,FALSE)</f>
        <v>#N/A</v>
      </c>
      <c r="F689"/>
    </row>
    <row r="690" spans="1:6" hidden="1">
      <c r="A690">
        <f>'Production Plan'!B679</f>
        <v>0</v>
      </c>
      <c r="B690" t="e">
        <f>VLOOKUP(A690,'Production Plan'!B:T,16,FALSE)</f>
        <v>#N/A</v>
      </c>
      <c r="C690" t="e">
        <f>VLOOKUP(A690,'Production Plan'!B:F,5,FALSE)</f>
        <v>#N/A</v>
      </c>
      <c r="F690"/>
    </row>
    <row r="691" spans="1:6" hidden="1">
      <c r="A691">
        <f>'Production Plan'!B680</f>
        <v>0</v>
      </c>
      <c r="B691" t="e">
        <f>VLOOKUP(A691,'Production Plan'!B:T,16,FALSE)</f>
        <v>#N/A</v>
      </c>
      <c r="C691" t="e">
        <f>VLOOKUP(A691,'Production Plan'!B:F,5,FALSE)</f>
        <v>#N/A</v>
      </c>
      <c r="F691"/>
    </row>
    <row r="692" spans="1:6" hidden="1">
      <c r="A692">
        <f>'Production Plan'!B681</f>
        <v>0</v>
      </c>
      <c r="B692" t="e">
        <f>VLOOKUP(A692,'Production Plan'!B:T,16,FALSE)</f>
        <v>#N/A</v>
      </c>
      <c r="C692" t="e">
        <f>VLOOKUP(A692,'Production Plan'!B:F,5,FALSE)</f>
        <v>#N/A</v>
      </c>
      <c r="F692"/>
    </row>
    <row r="693" spans="1:6" hidden="1">
      <c r="A693">
        <f>'Production Plan'!B682</f>
        <v>0</v>
      </c>
      <c r="B693" t="e">
        <f>VLOOKUP(A693,'Production Plan'!B:T,16,FALSE)</f>
        <v>#N/A</v>
      </c>
      <c r="C693" t="e">
        <f>VLOOKUP(A693,'Production Plan'!B:F,5,FALSE)</f>
        <v>#N/A</v>
      </c>
      <c r="F693"/>
    </row>
    <row r="694" spans="1:6" hidden="1">
      <c r="A694">
        <f>'Production Plan'!B683</f>
        <v>0</v>
      </c>
      <c r="B694" t="e">
        <f>VLOOKUP(A694,'Production Plan'!B:T,16,FALSE)</f>
        <v>#N/A</v>
      </c>
      <c r="C694" t="e">
        <f>VLOOKUP(A694,'Production Plan'!B:F,5,FALSE)</f>
        <v>#N/A</v>
      </c>
      <c r="F694"/>
    </row>
    <row r="695" spans="1:6" hidden="1">
      <c r="A695">
        <f>'Production Plan'!B684</f>
        <v>0</v>
      </c>
      <c r="B695" t="e">
        <f>VLOOKUP(A695,'Production Plan'!B:T,16,FALSE)</f>
        <v>#N/A</v>
      </c>
      <c r="C695" t="e">
        <f>VLOOKUP(A695,'Production Plan'!B:F,5,FALSE)</f>
        <v>#N/A</v>
      </c>
      <c r="F695"/>
    </row>
    <row r="696" spans="1:6" hidden="1">
      <c r="A696">
        <f>'Production Plan'!B685</f>
        <v>0</v>
      </c>
      <c r="B696" t="e">
        <f>VLOOKUP(A696,'Production Plan'!B:T,16,FALSE)</f>
        <v>#N/A</v>
      </c>
      <c r="C696" t="e">
        <f>VLOOKUP(A696,'Production Plan'!B:F,5,FALSE)</f>
        <v>#N/A</v>
      </c>
      <c r="F696"/>
    </row>
    <row r="697" spans="1:6" hidden="1">
      <c r="A697">
        <f>'Production Plan'!B686</f>
        <v>0</v>
      </c>
      <c r="B697" t="e">
        <f>VLOOKUP(A697,'Production Plan'!B:T,16,FALSE)</f>
        <v>#N/A</v>
      </c>
      <c r="C697" t="e">
        <f>VLOOKUP(A697,'Production Plan'!B:F,5,FALSE)</f>
        <v>#N/A</v>
      </c>
      <c r="F697"/>
    </row>
    <row r="698" spans="1:6" hidden="1">
      <c r="A698">
        <f>'Production Plan'!B687</f>
        <v>0</v>
      </c>
      <c r="B698" t="e">
        <f>VLOOKUP(A698,'Production Plan'!B:T,16,FALSE)</f>
        <v>#N/A</v>
      </c>
      <c r="C698" t="e">
        <f>VLOOKUP(A698,'Production Plan'!B:F,5,FALSE)</f>
        <v>#N/A</v>
      </c>
      <c r="F698"/>
    </row>
    <row r="699" spans="1:6" hidden="1">
      <c r="A699">
        <f>'Production Plan'!B688</f>
        <v>0</v>
      </c>
      <c r="B699" t="e">
        <f>VLOOKUP(A699,'Production Plan'!B:T,16,FALSE)</f>
        <v>#N/A</v>
      </c>
      <c r="C699" t="e">
        <f>VLOOKUP(A699,'Production Plan'!B:F,5,FALSE)</f>
        <v>#N/A</v>
      </c>
      <c r="F699"/>
    </row>
    <row r="700" spans="1:6" hidden="1">
      <c r="A700">
        <f>'Production Plan'!B689</f>
        <v>0</v>
      </c>
      <c r="B700" t="e">
        <f>VLOOKUP(A700,'Production Plan'!B:T,16,FALSE)</f>
        <v>#N/A</v>
      </c>
      <c r="C700" t="e">
        <f>VLOOKUP(A700,'Production Plan'!B:F,5,FALSE)</f>
        <v>#N/A</v>
      </c>
      <c r="F700"/>
    </row>
    <row r="701" spans="1:6" hidden="1">
      <c r="A701">
        <f>'Production Plan'!B690</f>
        <v>0</v>
      </c>
      <c r="B701" t="e">
        <f>VLOOKUP(A701,'Production Plan'!B:T,16,FALSE)</f>
        <v>#N/A</v>
      </c>
      <c r="C701" t="e">
        <f>VLOOKUP(A701,'Production Plan'!B:F,5,FALSE)</f>
        <v>#N/A</v>
      </c>
      <c r="F701"/>
    </row>
    <row r="702" spans="1:6" hidden="1">
      <c r="A702">
        <f>'Production Plan'!B691</f>
        <v>0</v>
      </c>
      <c r="B702" t="e">
        <f>VLOOKUP(A702,'Production Plan'!B:T,16,FALSE)</f>
        <v>#N/A</v>
      </c>
      <c r="C702" t="e">
        <f>VLOOKUP(A702,'Production Plan'!B:F,5,FALSE)</f>
        <v>#N/A</v>
      </c>
      <c r="F702"/>
    </row>
    <row r="703" spans="1:6" hidden="1">
      <c r="A703">
        <f>'Production Plan'!B692</f>
        <v>0</v>
      </c>
      <c r="B703" t="e">
        <f>VLOOKUP(A703,'Production Plan'!B:T,16,FALSE)</f>
        <v>#N/A</v>
      </c>
      <c r="C703" t="e">
        <f>VLOOKUP(A703,'Production Plan'!B:F,5,FALSE)</f>
        <v>#N/A</v>
      </c>
      <c r="F703"/>
    </row>
    <row r="704" spans="1:6" hidden="1">
      <c r="A704">
        <f>'Production Plan'!B693</f>
        <v>0</v>
      </c>
      <c r="B704" t="e">
        <f>VLOOKUP(A704,'Production Plan'!B:T,16,FALSE)</f>
        <v>#N/A</v>
      </c>
      <c r="C704" t="e">
        <f>VLOOKUP(A704,'Production Plan'!B:F,5,FALSE)</f>
        <v>#N/A</v>
      </c>
      <c r="F704"/>
    </row>
    <row r="705" spans="1:6" hidden="1">
      <c r="A705">
        <f>'Production Plan'!B694</f>
        <v>0</v>
      </c>
      <c r="B705" t="e">
        <f>VLOOKUP(A705,'Production Plan'!B:T,16,FALSE)</f>
        <v>#N/A</v>
      </c>
      <c r="C705" t="e">
        <f>VLOOKUP(A705,'Production Plan'!B:F,5,FALSE)</f>
        <v>#N/A</v>
      </c>
      <c r="F705"/>
    </row>
    <row r="706" spans="1:6" hidden="1">
      <c r="A706">
        <f>'Production Plan'!B695</f>
        <v>0</v>
      </c>
      <c r="B706" t="e">
        <f>VLOOKUP(A706,'Production Plan'!B:T,16,FALSE)</f>
        <v>#N/A</v>
      </c>
      <c r="C706" t="e">
        <f>VLOOKUP(A706,'Production Plan'!B:F,5,FALSE)</f>
        <v>#N/A</v>
      </c>
      <c r="F706"/>
    </row>
    <row r="707" spans="1:6" hidden="1">
      <c r="A707">
        <f>'Production Plan'!B696</f>
        <v>0</v>
      </c>
      <c r="B707" t="e">
        <f>VLOOKUP(A707,'Production Plan'!B:T,16,FALSE)</f>
        <v>#N/A</v>
      </c>
      <c r="C707" t="e">
        <f>VLOOKUP(A707,'Production Plan'!B:F,5,FALSE)</f>
        <v>#N/A</v>
      </c>
      <c r="F707"/>
    </row>
    <row r="708" spans="1:6" hidden="1">
      <c r="A708">
        <f>'Production Plan'!B697</f>
        <v>0</v>
      </c>
      <c r="B708" t="e">
        <f>VLOOKUP(A708,'Production Plan'!B:T,16,FALSE)</f>
        <v>#N/A</v>
      </c>
      <c r="C708" t="e">
        <f>VLOOKUP(A708,'Production Plan'!B:F,5,FALSE)</f>
        <v>#N/A</v>
      </c>
      <c r="F708"/>
    </row>
    <row r="709" spans="1:6" hidden="1">
      <c r="A709">
        <f>'Production Plan'!B698</f>
        <v>0</v>
      </c>
      <c r="B709" t="e">
        <f>VLOOKUP(A709,'Production Plan'!B:T,16,FALSE)</f>
        <v>#N/A</v>
      </c>
      <c r="C709" t="e">
        <f>VLOOKUP(A709,'Production Plan'!B:F,5,FALSE)</f>
        <v>#N/A</v>
      </c>
      <c r="F709"/>
    </row>
    <row r="710" spans="1:6" hidden="1">
      <c r="A710">
        <f>'Production Plan'!B699</f>
        <v>0</v>
      </c>
      <c r="B710" t="e">
        <f>VLOOKUP(A710,'Production Plan'!B:T,16,FALSE)</f>
        <v>#N/A</v>
      </c>
      <c r="C710" t="e">
        <f>VLOOKUP(A710,'Production Plan'!B:F,5,FALSE)</f>
        <v>#N/A</v>
      </c>
      <c r="F710"/>
    </row>
    <row r="711" spans="1:6" hidden="1">
      <c r="A711">
        <f>'Production Plan'!B700</f>
        <v>0</v>
      </c>
      <c r="B711" t="e">
        <f>VLOOKUP(A711,'Production Plan'!B:T,16,FALSE)</f>
        <v>#N/A</v>
      </c>
      <c r="C711" t="e">
        <f>VLOOKUP(A711,'Production Plan'!B:F,5,FALSE)</f>
        <v>#N/A</v>
      </c>
      <c r="F711"/>
    </row>
    <row r="712" spans="1:6" hidden="1">
      <c r="A712">
        <f>'Production Plan'!B701</f>
        <v>0</v>
      </c>
      <c r="B712" t="e">
        <f>VLOOKUP(A712,'Production Plan'!B:T,16,FALSE)</f>
        <v>#N/A</v>
      </c>
      <c r="C712" t="e">
        <f>VLOOKUP(A712,'Production Plan'!B:F,5,FALSE)</f>
        <v>#N/A</v>
      </c>
      <c r="F712"/>
    </row>
    <row r="713" spans="1:6" hidden="1">
      <c r="A713">
        <f>'Production Plan'!B702</f>
        <v>0</v>
      </c>
      <c r="B713" t="e">
        <f>VLOOKUP(A713,'Production Plan'!B:T,16,FALSE)</f>
        <v>#N/A</v>
      </c>
      <c r="C713" t="e">
        <f>VLOOKUP(A713,'Production Plan'!B:F,5,FALSE)</f>
        <v>#N/A</v>
      </c>
      <c r="F713"/>
    </row>
    <row r="714" spans="1:6" hidden="1">
      <c r="A714">
        <f>'Production Plan'!B703</f>
        <v>0</v>
      </c>
      <c r="B714" t="e">
        <f>VLOOKUP(A714,'Production Plan'!B:T,16,FALSE)</f>
        <v>#N/A</v>
      </c>
      <c r="C714" t="e">
        <f>VLOOKUP(A714,'Production Plan'!B:F,5,FALSE)</f>
        <v>#N/A</v>
      </c>
      <c r="F714"/>
    </row>
    <row r="715" spans="1:6" hidden="1">
      <c r="A715">
        <f>'Production Plan'!B704</f>
        <v>0</v>
      </c>
      <c r="B715" t="e">
        <f>VLOOKUP(A715,'Production Plan'!B:T,16,FALSE)</f>
        <v>#N/A</v>
      </c>
      <c r="C715" t="e">
        <f>VLOOKUP(A715,'Production Plan'!B:F,5,FALSE)</f>
        <v>#N/A</v>
      </c>
      <c r="F715"/>
    </row>
    <row r="716" spans="1:6" hidden="1">
      <c r="A716">
        <f>'Production Plan'!B705</f>
        <v>0</v>
      </c>
      <c r="B716" t="e">
        <f>VLOOKUP(A716,'Production Plan'!B:T,16,FALSE)</f>
        <v>#N/A</v>
      </c>
      <c r="C716" t="e">
        <f>VLOOKUP(A716,'Production Plan'!B:F,5,FALSE)</f>
        <v>#N/A</v>
      </c>
      <c r="F716"/>
    </row>
    <row r="717" spans="1:6" hidden="1">
      <c r="A717">
        <f>'Production Plan'!B706</f>
        <v>0</v>
      </c>
      <c r="B717" t="e">
        <f>VLOOKUP(A717,'Production Plan'!B:T,16,FALSE)</f>
        <v>#N/A</v>
      </c>
      <c r="C717" t="e">
        <f>VLOOKUP(A717,'Production Plan'!B:F,5,FALSE)</f>
        <v>#N/A</v>
      </c>
      <c r="F717"/>
    </row>
    <row r="718" spans="1:6" hidden="1">
      <c r="A718">
        <f>'Production Plan'!B707</f>
        <v>0</v>
      </c>
      <c r="B718" t="e">
        <f>VLOOKUP(A718,'Production Plan'!B:T,16,FALSE)</f>
        <v>#N/A</v>
      </c>
      <c r="C718" t="e">
        <f>VLOOKUP(A718,'Production Plan'!B:F,5,FALSE)</f>
        <v>#N/A</v>
      </c>
      <c r="F718"/>
    </row>
    <row r="719" spans="1:6" hidden="1">
      <c r="A719">
        <f>'Production Plan'!B708</f>
        <v>0</v>
      </c>
      <c r="B719" t="e">
        <f>VLOOKUP(A719,'Production Plan'!B:T,16,FALSE)</f>
        <v>#N/A</v>
      </c>
      <c r="C719" t="e">
        <f>VLOOKUP(A719,'Production Plan'!B:F,5,FALSE)</f>
        <v>#N/A</v>
      </c>
      <c r="F719"/>
    </row>
    <row r="720" spans="1:6" hidden="1">
      <c r="A720">
        <f>'Production Plan'!B709</f>
        <v>0</v>
      </c>
      <c r="B720" t="e">
        <f>VLOOKUP(A720,'Production Plan'!B:T,16,FALSE)</f>
        <v>#N/A</v>
      </c>
      <c r="C720" t="e">
        <f>VLOOKUP(A720,'Production Plan'!B:F,5,FALSE)</f>
        <v>#N/A</v>
      </c>
      <c r="F720"/>
    </row>
    <row r="721" spans="1:6" hidden="1">
      <c r="A721">
        <f>'Production Plan'!B710</f>
        <v>0</v>
      </c>
      <c r="B721" t="e">
        <f>VLOOKUP(A721,'Production Plan'!B:T,16,FALSE)</f>
        <v>#N/A</v>
      </c>
      <c r="C721" t="e">
        <f>VLOOKUP(A721,'Production Plan'!B:F,5,FALSE)</f>
        <v>#N/A</v>
      </c>
      <c r="F721"/>
    </row>
    <row r="722" spans="1:6" hidden="1">
      <c r="A722">
        <f>'Production Plan'!B711</f>
        <v>0</v>
      </c>
      <c r="B722" t="e">
        <f>VLOOKUP(A722,'Production Plan'!B:T,16,FALSE)</f>
        <v>#N/A</v>
      </c>
      <c r="C722" t="e">
        <f>VLOOKUP(A722,'Production Plan'!B:F,5,FALSE)</f>
        <v>#N/A</v>
      </c>
      <c r="F722"/>
    </row>
    <row r="723" spans="1:6" hidden="1">
      <c r="A723">
        <f>'Production Plan'!B712</f>
        <v>0</v>
      </c>
      <c r="B723" t="e">
        <f>VLOOKUP(A723,'Production Plan'!B:T,16,FALSE)</f>
        <v>#N/A</v>
      </c>
      <c r="C723" t="e">
        <f>VLOOKUP(A723,'Production Plan'!B:F,5,FALSE)</f>
        <v>#N/A</v>
      </c>
      <c r="F723"/>
    </row>
    <row r="724" spans="1:6" hidden="1">
      <c r="A724">
        <f>'Production Plan'!B713</f>
        <v>0</v>
      </c>
      <c r="B724" t="e">
        <f>VLOOKUP(A724,'Production Plan'!B:T,16,FALSE)</f>
        <v>#N/A</v>
      </c>
      <c r="C724" t="e">
        <f>VLOOKUP(A724,'Production Plan'!B:F,5,FALSE)</f>
        <v>#N/A</v>
      </c>
      <c r="F724"/>
    </row>
    <row r="725" spans="1:6" hidden="1">
      <c r="A725">
        <f>'Production Plan'!B714</f>
        <v>0</v>
      </c>
      <c r="B725" t="e">
        <f>VLOOKUP(A725,'Production Plan'!B:T,16,FALSE)</f>
        <v>#N/A</v>
      </c>
      <c r="C725" t="e">
        <f>VLOOKUP(A725,'Production Plan'!B:F,5,FALSE)</f>
        <v>#N/A</v>
      </c>
      <c r="F725"/>
    </row>
    <row r="726" spans="1:6" hidden="1">
      <c r="A726">
        <f>'Production Plan'!B715</f>
        <v>0</v>
      </c>
      <c r="B726" t="e">
        <f>VLOOKUP(A726,'Production Plan'!B:T,16,FALSE)</f>
        <v>#N/A</v>
      </c>
      <c r="C726" t="e">
        <f>VLOOKUP(A726,'Production Plan'!B:F,5,FALSE)</f>
        <v>#N/A</v>
      </c>
      <c r="F726"/>
    </row>
    <row r="727" spans="1:6" hidden="1">
      <c r="A727">
        <f>'Production Plan'!B716</f>
        <v>0</v>
      </c>
      <c r="B727" t="e">
        <f>VLOOKUP(A727,'Production Plan'!B:T,16,FALSE)</f>
        <v>#N/A</v>
      </c>
      <c r="C727" t="e">
        <f>VLOOKUP(A727,'Production Plan'!B:F,5,FALSE)</f>
        <v>#N/A</v>
      </c>
      <c r="F727"/>
    </row>
    <row r="728" spans="1:6" hidden="1">
      <c r="A728">
        <f>'Production Plan'!B717</f>
        <v>0</v>
      </c>
      <c r="B728" t="e">
        <f>VLOOKUP(A728,'Production Plan'!B:T,16,FALSE)</f>
        <v>#N/A</v>
      </c>
      <c r="C728" t="e">
        <f>VLOOKUP(A728,'Production Plan'!B:F,5,FALSE)</f>
        <v>#N/A</v>
      </c>
      <c r="F728"/>
    </row>
    <row r="729" spans="1:6" hidden="1">
      <c r="A729">
        <f>'Production Plan'!B718</f>
        <v>0</v>
      </c>
      <c r="B729" t="e">
        <f>VLOOKUP(A729,'Production Plan'!B:T,16,FALSE)</f>
        <v>#N/A</v>
      </c>
      <c r="C729" t="e">
        <f>VLOOKUP(A729,'Production Plan'!B:F,5,FALSE)</f>
        <v>#N/A</v>
      </c>
      <c r="F729"/>
    </row>
    <row r="730" spans="1:6" hidden="1">
      <c r="A730">
        <f>'Production Plan'!B719</f>
        <v>0</v>
      </c>
      <c r="B730" t="e">
        <f>VLOOKUP(A730,'Production Plan'!B:T,16,FALSE)</f>
        <v>#N/A</v>
      </c>
      <c r="C730" t="e">
        <f>VLOOKUP(A730,'Production Plan'!B:F,5,FALSE)</f>
        <v>#N/A</v>
      </c>
      <c r="F730"/>
    </row>
    <row r="731" spans="1:6" hidden="1">
      <c r="A731">
        <f>'Production Plan'!B720</f>
        <v>0</v>
      </c>
      <c r="B731" t="e">
        <f>VLOOKUP(A731,'Production Plan'!B:T,16,FALSE)</f>
        <v>#N/A</v>
      </c>
      <c r="C731" t="e">
        <f>VLOOKUP(A731,'Production Plan'!B:F,5,FALSE)</f>
        <v>#N/A</v>
      </c>
      <c r="F731"/>
    </row>
    <row r="732" spans="1:6" hidden="1">
      <c r="A732">
        <f>'Production Plan'!B721</f>
        <v>0</v>
      </c>
      <c r="B732" t="e">
        <f>VLOOKUP(A732,'Production Plan'!B:T,16,FALSE)</f>
        <v>#N/A</v>
      </c>
      <c r="C732" t="e">
        <f>VLOOKUP(A732,'Production Plan'!B:F,5,FALSE)</f>
        <v>#N/A</v>
      </c>
      <c r="F732"/>
    </row>
    <row r="733" spans="1:6" hidden="1">
      <c r="A733">
        <f>'Production Plan'!B722</f>
        <v>0</v>
      </c>
      <c r="B733" t="e">
        <f>VLOOKUP(A733,'Production Plan'!B:T,16,FALSE)</f>
        <v>#N/A</v>
      </c>
      <c r="C733" t="e">
        <f>VLOOKUP(A733,'Production Plan'!B:F,5,FALSE)</f>
        <v>#N/A</v>
      </c>
      <c r="F733"/>
    </row>
    <row r="734" spans="1:6" hidden="1">
      <c r="A734">
        <f>'Production Plan'!B723</f>
        <v>0</v>
      </c>
      <c r="B734" t="e">
        <f>VLOOKUP(A734,'Production Plan'!B:T,16,FALSE)</f>
        <v>#N/A</v>
      </c>
      <c r="C734" t="e">
        <f>VLOOKUP(A734,'Production Plan'!B:F,5,FALSE)</f>
        <v>#N/A</v>
      </c>
      <c r="F734"/>
    </row>
    <row r="735" spans="1:6" hidden="1">
      <c r="A735">
        <f>'Production Plan'!B724</f>
        <v>0</v>
      </c>
      <c r="B735" t="e">
        <f>VLOOKUP(A735,'Production Plan'!B:T,16,FALSE)</f>
        <v>#N/A</v>
      </c>
      <c r="C735" t="e">
        <f>VLOOKUP(A735,'Production Plan'!B:F,5,FALSE)</f>
        <v>#N/A</v>
      </c>
      <c r="F735"/>
    </row>
    <row r="736" spans="1:6" hidden="1">
      <c r="A736">
        <f>'Production Plan'!B725</f>
        <v>0</v>
      </c>
      <c r="B736" t="e">
        <f>VLOOKUP(A736,'Production Plan'!B:T,16,FALSE)</f>
        <v>#N/A</v>
      </c>
      <c r="C736" t="e">
        <f>VLOOKUP(A736,'Production Plan'!B:F,5,FALSE)</f>
        <v>#N/A</v>
      </c>
      <c r="F736"/>
    </row>
    <row r="737" spans="1:6" hidden="1">
      <c r="A737">
        <f>'Production Plan'!B726</f>
        <v>0</v>
      </c>
      <c r="B737" t="e">
        <f>VLOOKUP(A737,'Production Plan'!B:T,16,FALSE)</f>
        <v>#N/A</v>
      </c>
      <c r="C737" t="e">
        <f>VLOOKUP(A737,'Production Plan'!B:F,5,FALSE)</f>
        <v>#N/A</v>
      </c>
      <c r="F737"/>
    </row>
    <row r="738" spans="1:6" hidden="1">
      <c r="A738">
        <f>'Production Plan'!B727</f>
        <v>0</v>
      </c>
      <c r="B738" t="e">
        <f>VLOOKUP(A738,'Production Plan'!B:T,16,FALSE)</f>
        <v>#N/A</v>
      </c>
      <c r="C738" t="e">
        <f>VLOOKUP(A738,'Production Plan'!B:F,5,FALSE)</f>
        <v>#N/A</v>
      </c>
      <c r="F738"/>
    </row>
    <row r="739" spans="1:6" hidden="1">
      <c r="A739">
        <f>'Production Plan'!B728</f>
        <v>0</v>
      </c>
      <c r="B739" t="e">
        <f>VLOOKUP(A739,'Production Plan'!B:T,16,FALSE)</f>
        <v>#N/A</v>
      </c>
      <c r="C739" t="e">
        <f>VLOOKUP(A739,'Production Plan'!B:F,5,FALSE)</f>
        <v>#N/A</v>
      </c>
      <c r="F739"/>
    </row>
    <row r="740" spans="1:6" hidden="1">
      <c r="A740">
        <f>'Production Plan'!B729</f>
        <v>0</v>
      </c>
      <c r="B740" t="e">
        <f>VLOOKUP(A740,'Production Plan'!B:T,16,FALSE)</f>
        <v>#N/A</v>
      </c>
      <c r="C740" t="e">
        <f>VLOOKUP(A740,'Production Plan'!B:F,5,FALSE)</f>
        <v>#N/A</v>
      </c>
      <c r="F740"/>
    </row>
    <row r="741" spans="1:6" hidden="1">
      <c r="A741">
        <f>'Production Plan'!B730</f>
        <v>0</v>
      </c>
      <c r="B741" t="e">
        <f>VLOOKUP(A741,'Production Plan'!B:T,16,FALSE)</f>
        <v>#N/A</v>
      </c>
      <c r="C741" t="e">
        <f>VLOOKUP(A741,'Production Plan'!B:F,5,FALSE)</f>
        <v>#N/A</v>
      </c>
      <c r="F741"/>
    </row>
    <row r="742" spans="1:6" hidden="1">
      <c r="A742">
        <f>'Production Plan'!B731</f>
        <v>0</v>
      </c>
      <c r="B742" t="e">
        <f>VLOOKUP(A742,'Production Plan'!B:T,16,FALSE)</f>
        <v>#N/A</v>
      </c>
      <c r="C742" t="e">
        <f>VLOOKUP(A742,'Production Plan'!B:F,5,FALSE)</f>
        <v>#N/A</v>
      </c>
      <c r="F742"/>
    </row>
    <row r="743" spans="1:6" hidden="1">
      <c r="A743">
        <f>'Production Plan'!B732</f>
        <v>0</v>
      </c>
      <c r="B743" t="e">
        <f>VLOOKUP(A743,'Production Plan'!B:T,16,FALSE)</f>
        <v>#N/A</v>
      </c>
      <c r="C743" t="e">
        <f>VLOOKUP(A743,'Production Plan'!B:F,5,FALSE)</f>
        <v>#N/A</v>
      </c>
      <c r="F743"/>
    </row>
    <row r="744" spans="1:6" hidden="1">
      <c r="A744">
        <f>'Production Plan'!B733</f>
        <v>0</v>
      </c>
      <c r="B744" t="e">
        <f>VLOOKUP(A744,'Production Plan'!B:T,16,FALSE)</f>
        <v>#N/A</v>
      </c>
      <c r="C744" t="e">
        <f>VLOOKUP(A744,'Production Plan'!B:F,5,FALSE)</f>
        <v>#N/A</v>
      </c>
      <c r="F744"/>
    </row>
    <row r="745" spans="1:6" hidden="1">
      <c r="A745">
        <f>'Production Plan'!B734</f>
        <v>0</v>
      </c>
      <c r="B745" t="e">
        <f>VLOOKUP(A745,'Production Plan'!B:T,16,FALSE)</f>
        <v>#N/A</v>
      </c>
      <c r="C745" t="e">
        <f>VLOOKUP(A745,'Production Plan'!B:F,5,FALSE)</f>
        <v>#N/A</v>
      </c>
      <c r="F745"/>
    </row>
    <row r="746" spans="1:6" hidden="1">
      <c r="A746">
        <f>'Production Plan'!B735</f>
        <v>0</v>
      </c>
      <c r="B746" t="e">
        <f>VLOOKUP(A746,'Production Plan'!B:T,16,FALSE)</f>
        <v>#N/A</v>
      </c>
      <c r="C746" t="e">
        <f>VLOOKUP(A746,'Production Plan'!B:F,5,FALSE)</f>
        <v>#N/A</v>
      </c>
      <c r="F746"/>
    </row>
    <row r="747" spans="1:6" hidden="1">
      <c r="A747">
        <f>'Production Plan'!B736</f>
        <v>0</v>
      </c>
      <c r="B747" t="e">
        <f>VLOOKUP(A747,'Production Plan'!B:T,16,FALSE)</f>
        <v>#N/A</v>
      </c>
      <c r="C747" t="e">
        <f>VLOOKUP(A747,'Production Plan'!B:F,5,FALSE)</f>
        <v>#N/A</v>
      </c>
      <c r="F747"/>
    </row>
    <row r="748" spans="1:6" hidden="1">
      <c r="A748">
        <f>'Production Plan'!B737</f>
        <v>0</v>
      </c>
      <c r="B748" t="e">
        <f>VLOOKUP(A748,'Production Plan'!B:T,16,FALSE)</f>
        <v>#N/A</v>
      </c>
      <c r="C748" t="e">
        <f>VLOOKUP(A748,'Production Plan'!B:F,5,FALSE)</f>
        <v>#N/A</v>
      </c>
      <c r="F748"/>
    </row>
    <row r="749" spans="1:6" hidden="1">
      <c r="A749">
        <f>'Production Plan'!B738</f>
        <v>0</v>
      </c>
      <c r="B749" t="e">
        <f>VLOOKUP(A749,'Production Plan'!B:T,16,FALSE)</f>
        <v>#N/A</v>
      </c>
      <c r="C749" t="e">
        <f>VLOOKUP(A749,'Production Plan'!B:F,5,FALSE)</f>
        <v>#N/A</v>
      </c>
      <c r="F749"/>
    </row>
    <row r="750" spans="1:6" hidden="1">
      <c r="A750">
        <f>'Production Plan'!B739</f>
        <v>0</v>
      </c>
      <c r="B750" t="e">
        <f>VLOOKUP(A750,'Production Plan'!B:T,16,FALSE)</f>
        <v>#N/A</v>
      </c>
      <c r="C750" t="e">
        <f>VLOOKUP(A750,'Production Plan'!B:F,5,FALSE)</f>
        <v>#N/A</v>
      </c>
      <c r="F750"/>
    </row>
    <row r="751" spans="1:6" hidden="1">
      <c r="A751">
        <f>'Production Plan'!B740</f>
        <v>0</v>
      </c>
      <c r="B751" t="e">
        <f>VLOOKUP(A751,'Production Plan'!B:T,16,FALSE)</f>
        <v>#N/A</v>
      </c>
      <c r="C751" t="e">
        <f>VLOOKUP(A751,'Production Plan'!B:F,5,FALSE)</f>
        <v>#N/A</v>
      </c>
      <c r="F751"/>
    </row>
    <row r="752" spans="1:6" hidden="1">
      <c r="A752">
        <f>'Production Plan'!B741</f>
        <v>0</v>
      </c>
      <c r="B752" t="e">
        <f>VLOOKUP(A752,'Production Plan'!B:T,16,FALSE)</f>
        <v>#N/A</v>
      </c>
      <c r="C752" t="e">
        <f>VLOOKUP(A752,'Production Plan'!B:F,5,FALSE)</f>
        <v>#N/A</v>
      </c>
      <c r="F752"/>
    </row>
    <row r="753" spans="1:6" hidden="1">
      <c r="A753">
        <f>'Production Plan'!B742</f>
        <v>0</v>
      </c>
      <c r="B753" t="e">
        <f>VLOOKUP(A753,'Production Plan'!B:T,16,FALSE)</f>
        <v>#N/A</v>
      </c>
      <c r="C753" t="e">
        <f>VLOOKUP(A753,'Production Plan'!B:F,5,FALSE)</f>
        <v>#N/A</v>
      </c>
      <c r="F753"/>
    </row>
    <row r="754" spans="1:6" hidden="1">
      <c r="A754">
        <f>'Production Plan'!B743</f>
        <v>0</v>
      </c>
      <c r="B754" t="e">
        <f>VLOOKUP(A754,'Production Plan'!B:T,16,FALSE)</f>
        <v>#N/A</v>
      </c>
      <c r="C754" t="e">
        <f>VLOOKUP(A754,'Production Plan'!B:F,5,FALSE)</f>
        <v>#N/A</v>
      </c>
      <c r="F754"/>
    </row>
    <row r="755" spans="1:6" hidden="1">
      <c r="A755">
        <f>'Production Plan'!B744</f>
        <v>0</v>
      </c>
      <c r="B755" t="e">
        <f>VLOOKUP(A755,'Production Plan'!B:T,16,FALSE)</f>
        <v>#N/A</v>
      </c>
      <c r="C755" t="e">
        <f>VLOOKUP(A755,'Production Plan'!B:F,5,FALSE)</f>
        <v>#N/A</v>
      </c>
      <c r="F755"/>
    </row>
    <row r="756" spans="1:6" hidden="1">
      <c r="A756">
        <f>'Production Plan'!B745</f>
        <v>0</v>
      </c>
      <c r="B756" t="e">
        <f>VLOOKUP(A756,'Production Plan'!B:T,16,FALSE)</f>
        <v>#N/A</v>
      </c>
      <c r="C756" t="e">
        <f>VLOOKUP(A756,'Production Plan'!B:F,5,FALSE)</f>
        <v>#N/A</v>
      </c>
      <c r="F756"/>
    </row>
    <row r="757" spans="1:6" hidden="1">
      <c r="A757">
        <f>'Production Plan'!B746</f>
        <v>0</v>
      </c>
      <c r="B757" t="e">
        <f>VLOOKUP(A757,'Production Plan'!B:T,16,FALSE)</f>
        <v>#N/A</v>
      </c>
      <c r="C757" t="e">
        <f>VLOOKUP(A757,'Production Plan'!B:F,5,FALSE)</f>
        <v>#N/A</v>
      </c>
      <c r="F757"/>
    </row>
    <row r="758" spans="1:6" hidden="1">
      <c r="A758">
        <f>'Production Plan'!B747</f>
        <v>0</v>
      </c>
      <c r="B758" t="e">
        <f>VLOOKUP(A758,'Production Plan'!B:T,16,FALSE)</f>
        <v>#N/A</v>
      </c>
      <c r="C758" t="e">
        <f>VLOOKUP(A758,'Production Plan'!B:F,5,FALSE)</f>
        <v>#N/A</v>
      </c>
      <c r="F758"/>
    </row>
    <row r="759" spans="1:6" hidden="1">
      <c r="A759">
        <f>'Production Plan'!B748</f>
        <v>0</v>
      </c>
      <c r="B759" t="e">
        <f>VLOOKUP(A759,'Production Plan'!B:T,16,FALSE)</f>
        <v>#N/A</v>
      </c>
      <c r="C759" t="e">
        <f>VLOOKUP(A759,'Production Plan'!B:F,5,FALSE)</f>
        <v>#N/A</v>
      </c>
      <c r="F759"/>
    </row>
    <row r="760" spans="1:6" hidden="1">
      <c r="A760">
        <f>'Production Plan'!B749</f>
        <v>0</v>
      </c>
      <c r="B760" t="e">
        <f>VLOOKUP(A760,'Production Plan'!B:T,16,FALSE)</f>
        <v>#N/A</v>
      </c>
      <c r="C760" t="e">
        <f>VLOOKUP(A760,'Production Plan'!B:F,5,FALSE)</f>
        <v>#N/A</v>
      </c>
      <c r="F760"/>
    </row>
    <row r="761" spans="1:6" hidden="1">
      <c r="A761">
        <f>'Production Plan'!B750</f>
        <v>0</v>
      </c>
      <c r="B761" t="e">
        <f>VLOOKUP(A761,'Production Plan'!B:T,16,FALSE)</f>
        <v>#N/A</v>
      </c>
      <c r="C761" t="e">
        <f>VLOOKUP(A761,'Production Plan'!B:F,5,FALSE)</f>
        <v>#N/A</v>
      </c>
      <c r="F761"/>
    </row>
    <row r="762" spans="1:6" hidden="1">
      <c r="A762">
        <f>'Production Plan'!B751</f>
        <v>0</v>
      </c>
      <c r="B762" t="e">
        <f>VLOOKUP(A762,'Production Plan'!B:T,16,FALSE)</f>
        <v>#N/A</v>
      </c>
      <c r="C762" t="e">
        <f>VLOOKUP(A762,'Production Plan'!B:F,5,FALSE)</f>
        <v>#N/A</v>
      </c>
      <c r="F762"/>
    </row>
    <row r="763" spans="1:6" hidden="1">
      <c r="A763">
        <f>'Production Plan'!B752</f>
        <v>0</v>
      </c>
      <c r="B763" t="e">
        <f>VLOOKUP(A763,'Production Plan'!B:T,16,FALSE)</f>
        <v>#N/A</v>
      </c>
      <c r="C763" t="e">
        <f>VLOOKUP(A763,'Production Plan'!B:F,5,FALSE)</f>
        <v>#N/A</v>
      </c>
      <c r="F763"/>
    </row>
    <row r="764" spans="1:6" hidden="1">
      <c r="A764">
        <f>'Production Plan'!B753</f>
        <v>0</v>
      </c>
      <c r="B764" t="e">
        <f>VLOOKUP(A764,'Production Plan'!B:T,16,FALSE)</f>
        <v>#N/A</v>
      </c>
      <c r="C764" t="e">
        <f>VLOOKUP(A764,'Production Plan'!B:F,5,FALSE)</f>
        <v>#N/A</v>
      </c>
      <c r="F764"/>
    </row>
    <row r="765" spans="1:6" hidden="1">
      <c r="A765">
        <f>'Production Plan'!B754</f>
        <v>0</v>
      </c>
      <c r="B765" t="e">
        <f>VLOOKUP(A765,'Production Plan'!B:T,16,FALSE)</f>
        <v>#N/A</v>
      </c>
      <c r="C765" t="e">
        <f>VLOOKUP(A765,'Production Plan'!B:F,5,FALSE)</f>
        <v>#N/A</v>
      </c>
      <c r="F765"/>
    </row>
    <row r="766" spans="1:6" hidden="1">
      <c r="A766">
        <f>'Production Plan'!B755</f>
        <v>0</v>
      </c>
      <c r="B766" t="e">
        <f>VLOOKUP(A766,'Production Plan'!B:T,16,FALSE)</f>
        <v>#N/A</v>
      </c>
      <c r="C766" t="e">
        <f>VLOOKUP(A766,'Production Plan'!B:F,5,FALSE)</f>
        <v>#N/A</v>
      </c>
      <c r="F766"/>
    </row>
    <row r="767" spans="1:6" hidden="1">
      <c r="A767">
        <f>'Production Plan'!B756</f>
        <v>0</v>
      </c>
      <c r="B767" t="e">
        <f>VLOOKUP(A767,'Production Plan'!B:T,16,FALSE)</f>
        <v>#N/A</v>
      </c>
      <c r="C767" t="e">
        <f>VLOOKUP(A767,'Production Plan'!B:F,5,FALSE)</f>
        <v>#N/A</v>
      </c>
      <c r="F767"/>
    </row>
    <row r="768" spans="1:6" hidden="1">
      <c r="A768">
        <f>'Production Plan'!B757</f>
        <v>0</v>
      </c>
      <c r="B768" t="e">
        <f>VLOOKUP(A768,'Production Plan'!B:T,16,FALSE)</f>
        <v>#N/A</v>
      </c>
      <c r="C768" t="e">
        <f>VLOOKUP(A768,'Production Plan'!B:F,5,FALSE)</f>
        <v>#N/A</v>
      </c>
      <c r="F768"/>
    </row>
    <row r="769" spans="1:6" hidden="1">
      <c r="A769">
        <f>'Production Plan'!B758</f>
        <v>0</v>
      </c>
      <c r="B769" t="e">
        <f>VLOOKUP(A769,'Production Plan'!B:T,16,FALSE)</f>
        <v>#N/A</v>
      </c>
      <c r="C769" t="e">
        <f>VLOOKUP(A769,'Production Plan'!B:F,5,FALSE)</f>
        <v>#N/A</v>
      </c>
      <c r="F769"/>
    </row>
    <row r="770" spans="1:6" hidden="1">
      <c r="A770">
        <f>'Production Plan'!B759</f>
        <v>0</v>
      </c>
      <c r="B770" t="e">
        <f>VLOOKUP(A770,'Production Plan'!B:T,16,FALSE)</f>
        <v>#N/A</v>
      </c>
      <c r="C770" t="e">
        <f>VLOOKUP(A770,'Production Plan'!B:F,5,FALSE)</f>
        <v>#N/A</v>
      </c>
      <c r="F770"/>
    </row>
    <row r="771" spans="1:6" hidden="1">
      <c r="A771">
        <f>'Production Plan'!B760</f>
        <v>0</v>
      </c>
      <c r="B771" t="e">
        <f>VLOOKUP(A771,'Production Plan'!B:T,16,FALSE)</f>
        <v>#N/A</v>
      </c>
      <c r="C771" t="e">
        <f>VLOOKUP(A771,'Production Plan'!B:F,5,FALSE)</f>
        <v>#N/A</v>
      </c>
      <c r="F771"/>
    </row>
    <row r="772" spans="1:6" hidden="1">
      <c r="A772">
        <f>'Production Plan'!B761</f>
        <v>0</v>
      </c>
      <c r="B772" t="e">
        <f>VLOOKUP(A772,'Production Plan'!B:T,16,FALSE)</f>
        <v>#N/A</v>
      </c>
      <c r="C772" t="e">
        <f>VLOOKUP(A772,'Production Plan'!B:F,5,FALSE)</f>
        <v>#N/A</v>
      </c>
      <c r="F772"/>
    </row>
    <row r="773" spans="1:6" hidden="1">
      <c r="A773">
        <f>'Production Plan'!B762</f>
        <v>0</v>
      </c>
      <c r="B773" t="e">
        <f>VLOOKUP(A773,'Production Plan'!B:T,16,FALSE)</f>
        <v>#N/A</v>
      </c>
      <c r="C773" t="e">
        <f>VLOOKUP(A773,'Production Plan'!B:F,5,FALSE)</f>
        <v>#N/A</v>
      </c>
      <c r="F773"/>
    </row>
    <row r="774" spans="1:6" hidden="1">
      <c r="A774">
        <f>'Production Plan'!B763</f>
        <v>0</v>
      </c>
      <c r="B774" t="e">
        <f>VLOOKUP(A774,'Production Plan'!B:T,16,FALSE)</f>
        <v>#N/A</v>
      </c>
      <c r="C774" t="e">
        <f>VLOOKUP(A774,'Production Plan'!B:F,5,FALSE)</f>
        <v>#N/A</v>
      </c>
      <c r="F774"/>
    </row>
    <row r="775" spans="1:6" hidden="1">
      <c r="A775">
        <f>'Production Plan'!B764</f>
        <v>0</v>
      </c>
      <c r="B775" t="e">
        <f>VLOOKUP(A775,'Production Plan'!B:T,16,FALSE)</f>
        <v>#N/A</v>
      </c>
      <c r="C775" t="e">
        <f>VLOOKUP(A775,'Production Plan'!B:F,5,FALSE)</f>
        <v>#N/A</v>
      </c>
      <c r="F775"/>
    </row>
    <row r="776" spans="1:6" hidden="1">
      <c r="A776">
        <f>'Production Plan'!B765</f>
        <v>0</v>
      </c>
      <c r="B776" t="e">
        <f>VLOOKUP(A776,'Production Plan'!B:T,16,FALSE)</f>
        <v>#N/A</v>
      </c>
      <c r="C776" t="e">
        <f>VLOOKUP(A776,'Production Plan'!B:F,5,FALSE)</f>
        <v>#N/A</v>
      </c>
      <c r="F776"/>
    </row>
    <row r="777" spans="1:6" hidden="1">
      <c r="A777">
        <f>'Production Plan'!B766</f>
        <v>0</v>
      </c>
      <c r="B777" t="e">
        <f>VLOOKUP(A777,'Production Plan'!B:T,16,FALSE)</f>
        <v>#N/A</v>
      </c>
      <c r="C777" t="e">
        <f>VLOOKUP(A777,'Production Plan'!B:F,5,FALSE)</f>
        <v>#N/A</v>
      </c>
      <c r="F777"/>
    </row>
    <row r="778" spans="1:6" hidden="1">
      <c r="A778">
        <f>'Production Plan'!B767</f>
        <v>0</v>
      </c>
      <c r="B778" t="e">
        <f>VLOOKUP(A778,'Production Plan'!B:T,16,FALSE)</f>
        <v>#N/A</v>
      </c>
      <c r="C778" t="e">
        <f>VLOOKUP(A778,'Production Plan'!B:F,5,FALSE)</f>
        <v>#N/A</v>
      </c>
      <c r="F778"/>
    </row>
    <row r="779" spans="1:6" hidden="1">
      <c r="A779">
        <f>'Production Plan'!B768</f>
        <v>0</v>
      </c>
      <c r="B779" t="e">
        <f>VLOOKUP(A779,'Production Plan'!B:T,16,FALSE)</f>
        <v>#N/A</v>
      </c>
      <c r="C779" t="e">
        <f>VLOOKUP(A779,'Production Plan'!B:F,5,FALSE)</f>
        <v>#N/A</v>
      </c>
      <c r="F779"/>
    </row>
    <row r="780" spans="1:6" hidden="1">
      <c r="A780">
        <f>'Production Plan'!B769</f>
        <v>0</v>
      </c>
      <c r="B780" t="e">
        <f>VLOOKUP(A780,'Production Plan'!B:T,16,FALSE)</f>
        <v>#N/A</v>
      </c>
      <c r="C780" t="e">
        <f>VLOOKUP(A780,'Production Plan'!B:F,5,FALSE)</f>
        <v>#N/A</v>
      </c>
      <c r="F780"/>
    </row>
    <row r="781" spans="1:6" hidden="1">
      <c r="A781">
        <f>'Production Plan'!B770</f>
        <v>0</v>
      </c>
      <c r="B781" t="e">
        <f>VLOOKUP(A781,'Production Plan'!B:T,16,FALSE)</f>
        <v>#N/A</v>
      </c>
      <c r="C781" t="e">
        <f>VLOOKUP(A781,'Production Plan'!B:F,5,FALSE)</f>
        <v>#N/A</v>
      </c>
      <c r="F781"/>
    </row>
    <row r="782" spans="1:6" hidden="1">
      <c r="A782">
        <f>'Production Plan'!B771</f>
        <v>0</v>
      </c>
      <c r="B782" t="e">
        <f>VLOOKUP(A782,'Production Plan'!B:T,16,FALSE)</f>
        <v>#N/A</v>
      </c>
      <c r="C782" t="e">
        <f>VLOOKUP(A782,'Production Plan'!B:F,5,FALSE)</f>
        <v>#N/A</v>
      </c>
      <c r="F782"/>
    </row>
    <row r="783" spans="1:6" hidden="1">
      <c r="A783">
        <f>'Production Plan'!B772</f>
        <v>0</v>
      </c>
      <c r="B783" t="e">
        <f>VLOOKUP(A783,'Production Plan'!B:T,16,FALSE)</f>
        <v>#N/A</v>
      </c>
      <c r="C783" t="e">
        <f>VLOOKUP(A783,'Production Plan'!B:F,5,FALSE)</f>
        <v>#N/A</v>
      </c>
      <c r="F783"/>
    </row>
    <row r="784" spans="1:6" hidden="1">
      <c r="A784">
        <f>'Production Plan'!B773</f>
        <v>0</v>
      </c>
      <c r="B784" t="e">
        <f>VLOOKUP(A784,'Production Plan'!B:T,16,FALSE)</f>
        <v>#N/A</v>
      </c>
      <c r="C784" t="e">
        <f>VLOOKUP(A784,'Production Plan'!B:F,5,FALSE)</f>
        <v>#N/A</v>
      </c>
      <c r="F784"/>
    </row>
    <row r="785" spans="1:6" hidden="1">
      <c r="A785">
        <f>'Production Plan'!B774</f>
        <v>0</v>
      </c>
      <c r="B785" t="e">
        <f>VLOOKUP(A785,'Production Plan'!B:T,16,FALSE)</f>
        <v>#N/A</v>
      </c>
      <c r="C785" t="e">
        <f>VLOOKUP(A785,'Production Plan'!B:F,5,FALSE)</f>
        <v>#N/A</v>
      </c>
      <c r="F785"/>
    </row>
    <row r="786" spans="1:6" hidden="1">
      <c r="A786">
        <f>'Production Plan'!B775</f>
        <v>0</v>
      </c>
      <c r="B786" t="e">
        <f>VLOOKUP(A786,'Production Plan'!B:T,16,FALSE)</f>
        <v>#N/A</v>
      </c>
      <c r="C786" t="e">
        <f>VLOOKUP(A786,'Production Plan'!B:F,5,FALSE)</f>
        <v>#N/A</v>
      </c>
      <c r="F786"/>
    </row>
    <row r="787" spans="1:6" hidden="1">
      <c r="A787">
        <f>'Production Plan'!B776</f>
        <v>0</v>
      </c>
      <c r="B787" t="e">
        <f>VLOOKUP(A787,'Production Plan'!B:T,16,FALSE)</f>
        <v>#N/A</v>
      </c>
      <c r="C787" t="e">
        <f>VLOOKUP(A787,'Production Plan'!B:F,5,FALSE)</f>
        <v>#N/A</v>
      </c>
      <c r="F787"/>
    </row>
    <row r="788" spans="1:6" hidden="1">
      <c r="A788">
        <f>'Production Plan'!B777</f>
        <v>0</v>
      </c>
      <c r="B788" t="e">
        <f>VLOOKUP(A788,'Production Plan'!B:T,16,FALSE)</f>
        <v>#N/A</v>
      </c>
      <c r="C788" t="e">
        <f>VLOOKUP(A788,'Production Plan'!B:F,5,FALSE)</f>
        <v>#N/A</v>
      </c>
      <c r="F788"/>
    </row>
    <row r="789" spans="1:6" hidden="1">
      <c r="A789">
        <f>'Production Plan'!B778</f>
        <v>0</v>
      </c>
      <c r="B789" t="e">
        <f>VLOOKUP(A789,'Production Plan'!B:T,16,FALSE)</f>
        <v>#N/A</v>
      </c>
      <c r="C789" t="e">
        <f>VLOOKUP(A789,'Production Plan'!B:F,5,FALSE)</f>
        <v>#N/A</v>
      </c>
      <c r="F789"/>
    </row>
    <row r="790" spans="1:6" hidden="1">
      <c r="A790">
        <f>'Production Plan'!B779</f>
        <v>0</v>
      </c>
      <c r="B790" t="e">
        <f>VLOOKUP(A790,'Production Plan'!B:T,16,FALSE)</f>
        <v>#N/A</v>
      </c>
      <c r="C790" t="e">
        <f>VLOOKUP(A790,'Production Plan'!B:F,5,FALSE)</f>
        <v>#N/A</v>
      </c>
      <c r="F790"/>
    </row>
    <row r="791" spans="1:6" hidden="1">
      <c r="A791">
        <f>'Production Plan'!B780</f>
        <v>0</v>
      </c>
      <c r="B791" t="e">
        <f>VLOOKUP(A791,'Production Plan'!B:T,16,FALSE)</f>
        <v>#N/A</v>
      </c>
      <c r="C791" t="e">
        <f>VLOOKUP(A791,'Production Plan'!B:F,5,FALSE)</f>
        <v>#N/A</v>
      </c>
      <c r="F791"/>
    </row>
    <row r="792" spans="1:6" hidden="1">
      <c r="A792">
        <f>'Production Plan'!B781</f>
        <v>0</v>
      </c>
      <c r="B792" t="e">
        <f>VLOOKUP(A792,'Production Plan'!B:T,16,FALSE)</f>
        <v>#N/A</v>
      </c>
      <c r="C792" t="e">
        <f>VLOOKUP(A792,'Production Plan'!B:F,5,FALSE)</f>
        <v>#N/A</v>
      </c>
      <c r="F792"/>
    </row>
    <row r="793" spans="1:6" hidden="1">
      <c r="A793">
        <f>'Production Plan'!B782</f>
        <v>0</v>
      </c>
      <c r="B793" t="e">
        <f>VLOOKUP(A793,'Production Plan'!B:T,16,FALSE)</f>
        <v>#N/A</v>
      </c>
      <c r="C793" t="e">
        <f>VLOOKUP(A793,'Production Plan'!B:F,5,FALSE)</f>
        <v>#N/A</v>
      </c>
      <c r="F793"/>
    </row>
    <row r="794" spans="1:6" hidden="1">
      <c r="A794">
        <f>'Production Plan'!B783</f>
        <v>0</v>
      </c>
      <c r="B794" t="e">
        <f>VLOOKUP(A794,'Production Plan'!B:T,16,FALSE)</f>
        <v>#N/A</v>
      </c>
      <c r="C794" t="e">
        <f>VLOOKUP(A794,'Production Plan'!B:F,5,FALSE)</f>
        <v>#N/A</v>
      </c>
      <c r="F794"/>
    </row>
    <row r="795" spans="1:6" hidden="1">
      <c r="A795">
        <f>'Production Plan'!B784</f>
        <v>0</v>
      </c>
      <c r="B795" t="e">
        <f>VLOOKUP(A795,'Production Plan'!B:T,16,FALSE)</f>
        <v>#N/A</v>
      </c>
      <c r="C795" t="e">
        <f>VLOOKUP(A795,'Production Plan'!B:F,5,FALSE)</f>
        <v>#N/A</v>
      </c>
      <c r="F795"/>
    </row>
    <row r="796" spans="1:6" hidden="1">
      <c r="A796">
        <f>'Production Plan'!B785</f>
        <v>0</v>
      </c>
      <c r="B796" t="e">
        <f>VLOOKUP(A796,'Production Plan'!B:T,16,FALSE)</f>
        <v>#N/A</v>
      </c>
      <c r="C796" t="e">
        <f>VLOOKUP(A796,'Production Plan'!B:F,5,FALSE)</f>
        <v>#N/A</v>
      </c>
      <c r="F796"/>
    </row>
    <row r="797" spans="1:6" hidden="1">
      <c r="A797">
        <f>'Production Plan'!B786</f>
        <v>0</v>
      </c>
      <c r="B797" t="e">
        <f>VLOOKUP(A797,'Production Plan'!B:T,16,FALSE)</f>
        <v>#N/A</v>
      </c>
      <c r="C797" t="e">
        <f>VLOOKUP(A797,'Production Plan'!B:F,5,FALSE)</f>
        <v>#N/A</v>
      </c>
      <c r="F797"/>
    </row>
    <row r="798" spans="1:6" hidden="1">
      <c r="A798">
        <f>'Production Plan'!B787</f>
        <v>0</v>
      </c>
      <c r="B798" t="e">
        <f>VLOOKUP(A798,'Production Plan'!B:T,16,FALSE)</f>
        <v>#N/A</v>
      </c>
      <c r="C798" t="e">
        <f>VLOOKUP(A798,'Production Plan'!B:F,5,FALSE)</f>
        <v>#N/A</v>
      </c>
      <c r="F798"/>
    </row>
    <row r="799" spans="1:6" hidden="1">
      <c r="A799">
        <f>'Production Plan'!B788</f>
        <v>0</v>
      </c>
      <c r="B799" t="e">
        <f>VLOOKUP(A799,'Production Plan'!B:T,16,FALSE)</f>
        <v>#N/A</v>
      </c>
      <c r="C799" t="e">
        <f>VLOOKUP(A799,'Production Plan'!B:F,5,FALSE)</f>
        <v>#N/A</v>
      </c>
      <c r="F799"/>
    </row>
    <row r="800" spans="1:6" hidden="1">
      <c r="A800">
        <f>'Production Plan'!B789</f>
        <v>0</v>
      </c>
      <c r="B800" t="e">
        <f>VLOOKUP(A800,'Production Plan'!B:T,16,FALSE)</f>
        <v>#N/A</v>
      </c>
      <c r="C800" t="e">
        <f>VLOOKUP(A800,'Production Plan'!B:F,5,FALSE)</f>
        <v>#N/A</v>
      </c>
      <c r="F800"/>
    </row>
    <row r="801" spans="1:6" hidden="1">
      <c r="A801">
        <f>'Production Plan'!B790</f>
        <v>0</v>
      </c>
      <c r="B801" t="e">
        <f>VLOOKUP(A801,'Production Plan'!B:T,16,FALSE)</f>
        <v>#N/A</v>
      </c>
      <c r="C801" t="e">
        <f>VLOOKUP(A801,'Production Plan'!B:F,5,FALSE)</f>
        <v>#N/A</v>
      </c>
      <c r="F801"/>
    </row>
    <row r="802" spans="1:6" hidden="1">
      <c r="A802">
        <f>'Production Plan'!B791</f>
        <v>0</v>
      </c>
      <c r="B802" t="e">
        <f>VLOOKUP(A802,'Production Plan'!B:T,16,FALSE)</f>
        <v>#N/A</v>
      </c>
      <c r="C802" t="e">
        <f>VLOOKUP(A802,'Production Plan'!B:F,5,FALSE)</f>
        <v>#N/A</v>
      </c>
      <c r="F802"/>
    </row>
    <row r="803" spans="1:6" hidden="1">
      <c r="A803">
        <f>'Production Plan'!B792</f>
        <v>0</v>
      </c>
      <c r="B803" t="e">
        <f>VLOOKUP(A803,'Production Plan'!B:T,16,FALSE)</f>
        <v>#N/A</v>
      </c>
      <c r="C803" t="e">
        <f>VLOOKUP(A803,'Production Plan'!B:F,5,FALSE)</f>
        <v>#N/A</v>
      </c>
      <c r="F803"/>
    </row>
    <row r="804" spans="1:6" hidden="1">
      <c r="A804">
        <f>'Production Plan'!B793</f>
        <v>0</v>
      </c>
      <c r="B804" t="e">
        <f>VLOOKUP(A804,'Production Plan'!B:T,16,FALSE)</f>
        <v>#N/A</v>
      </c>
      <c r="C804" t="e">
        <f>VLOOKUP(A804,'Production Plan'!B:F,5,FALSE)</f>
        <v>#N/A</v>
      </c>
      <c r="F804"/>
    </row>
    <row r="805" spans="1:6" hidden="1">
      <c r="A805">
        <f>'Production Plan'!B794</f>
        <v>0</v>
      </c>
      <c r="B805" t="e">
        <f>VLOOKUP(A805,'Production Plan'!B:T,16,FALSE)</f>
        <v>#N/A</v>
      </c>
      <c r="C805" t="e">
        <f>VLOOKUP(A805,'Production Plan'!B:F,5,FALSE)</f>
        <v>#N/A</v>
      </c>
      <c r="F805"/>
    </row>
    <row r="806" spans="1:6" hidden="1">
      <c r="A806">
        <f>'Production Plan'!B795</f>
        <v>0</v>
      </c>
      <c r="B806" t="e">
        <f>VLOOKUP(A806,'Production Plan'!B:T,16,FALSE)</f>
        <v>#N/A</v>
      </c>
      <c r="C806" t="e">
        <f>VLOOKUP(A806,'Production Plan'!B:F,5,FALSE)</f>
        <v>#N/A</v>
      </c>
      <c r="F806"/>
    </row>
    <row r="807" spans="1:6" hidden="1">
      <c r="A807">
        <f>'Production Plan'!B796</f>
        <v>0</v>
      </c>
      <c r="B807" t="e">
        <f>VLOOKUP(A807,'Production Plan'!B:T,16,FALSE)</f>
        <v>#N/A</v>
      </c>
      <c r="C807" t="e">
        <f>VLOOKUP(A807,'Production Plan'!B:F,5,FALSE)</f>
        <v>#N/A</v>
      </c>
      <c r="F807"/>
    </row>
    <row r="808" spans="1:6" hidden="1">
      <c r="A808">
        <f>'Production Plan'!B797</f>
        <v>0</v>
      </c>
      <c r="B808" t="e">
        <f>VLOOKUP(A808,'Production Plan'!B:T,16,FALSE)</f>
        <v>#N/A</v>
      </c>
      <c r="C808" t="e">
        <f>VLOOKUP(A808,'Production Plan'!B:F,5,FALSE)</f>
        <v>#N/A</v>
      </c>
      <c r="F808"/>
    </row>
    <row r="809" spans="1:6" hidden="1">
      <c r="A809">
        <f>'Production Plan'!B798</f>
        <v>0</v>
      </c>
      <c r="B809" t="e">
        <f>VLOOKUP(A809,'Production Plan'!B:T,16,FALSE)</f>
        <v>#N/A</v>
      </c>
      <c r="C809" t="e">
        <f>VLOOKUP(A809,'Production Plan'!B:F,5,FALSE)</f>
        <v>#N/A</v>
      </c>
      <c r="F809"/>
    </row>
    <row r="810" spans="1:6" hidden="1">
      <c r="A810">
        <f>'Production Plan'!B799</f>
        <v>0</v>
      </c>
      <c r="B810" t="e">
        <f>VLOOKUP(A810,'Production Plan'!B:T,16,FALSE)</f>
        <v>#N/A</v>
      </c>
      <c r="C810" t="e">
        <f>VLOOKUP(A810,'Production Plan'!B:F,5,FALSE)</f>
        <v>#N/A</v>
      </c>
      <c r="F810"/>
    </row>
    <row r="811" spans="1:6" hidden="1">
      <c r="A811">
        <f>'Production Plan'!B800</f>
        <v>0</v>
      </c>
      <c r="B811" t="e">
        <f>VLOOKUP(A811,'Production Plan'!B:T,16,FALSE)</f>
        <v>#N/A</v>
      </c>
      <c r="C811" t="e">
        <f>VLOOKUP(A811,'Production Plan'!B:F,5,FALSE)</f>
        <v>#N/A</v>
      </c>
      <c r="F811"/>
    </row>
    <row r="812" spans="1:6" hidden="1">
      <c r="A812">
        <f>'Production Plan'!B801</f>
        <v>0</v>
      </c>
      <c r="B812" t="e">
        <f>VLOOKUP(A812,'Production Plan'!B:T,16,FALSE)</f>
        <v>#N/A</v>
      </c>
      <c r="C812" t="e">
        <f>VLOOKUP(A812,'Production Plan'!B:F,5,FALSE)</f>
        <v>#N/A</v>
      </c>
      <c r="F812"/>
    </row>
    <row r="813" spans="1:6" hidden="1">
      <c r="A813">
        <f>'Production Plan'!B802</f>
        <v>0</v>
      </c>
      <c r="B813" t="e">
        <f>VLOOKUP(A813,'Production Plan'!B:T,16,FALSE)</f>
        <v>#N/A</v>
      </c>
      <c r="C813" t="e">
        <f>VLOOKUP(A813,'Production Plan'!B:F,5,FALSE)</f>
        <v>#N/A</v>
      </c>
      <c r="F813"/>
    </row>
    <row r="814" spans="1:6" hidden="1">
      <c r="A814">
        <f>'Production Plan'!B803</f>
        <v>0</v>
      </c>
      <c r="B814" t="e">
        <f>VLOOKUP(A814,'Production Plan'!B:T,16,FALSE)</f>
        <v>#N/A</v>
      </c>
      <c r="C814" t="e">
        <f>VLOOKUP(A814,'Production Plan'!B:F,5,FALSE)</f>
        <v>#N/A</v>
      </c>
      <c r="F814"/>
    </row>
    <row r="815" spans="1:6" hidden="1">
      <c r="A815">
        <f>'Production Plan'!B804</f>
        <v>0</v>
      </c>
      <c r="B815" t="e">
        <f>VLOOKUP(A815,'Production Plan'!B:T,16,FALSE)</f>
        <v>#N/A</v>
      </c>
      <c r="C815" t="e">
        <f>VLOOKUP(A815,'Production Plan'!B:F,5,FALSE)</f>
        <v>#N/A</v>
      </c>
      <c r="F815"/>
    </row>
    <row r="816" spans="1:6" hidden="1">
      <c r="A816">
        <f>'Production Plan'!B805</f>
        <v>0</v>
      </c>
      <c r="B816" t="e">
        <f>VLOOKUP(A816,'Production Plan'!B:T,16,FALSE)</f>
        <v>#N/A</v>
      </c>
      <c r="C816" t="e">
        <f>VLOOKUP(A816,'Production Plan'!B:F,5,FALSE)</f>
        <v>#N/A</v>
      </c>
      <c r="F816"/>
    </row>
    <row r="817" spans="1:6" hidden="1">
      <c r="A817">
        <f>'Production Plan'!B806</f>
        <v>0</v>
      </c>
      <c r="B817" t="e">
        <f>VLOOKUP(A817,'Production Plan'!B:T,16,FALSE)</f>
        <v>#N/A</v>
      </c>
      <c r="C817" t="e">
        <f>VLOOKUP(A817,'Production Plan'!B:F,5,FALSE)</f>
        <v>#N/A</v>
      </c>
      <c r="F817"/>
    </row>
    <row r="818" spans="1:6" hidden="1">
      <c r="A818">
        <f>'Production Plan'!B807</f>
        <v>0</v>
      </c>
      <c r="B818" t="e">
        <f>VLOOKUP(A818,'Production Plan'!B:T,16,FALSE)</f>
        <v>#N/A</v>
      </c>
      <c r="C818" t="e">
        <f>VLOOKUP(A818,'Production Plan'!B:F,5,FALSE)</f>
        <v>#N/A</v>
      </c>
      <c r="F818"/>
    </row>
    <row r="819" spans="1:6" hidden="1">
      <c r="A819">
        <f>'Production Plan'!B808</f>
        <v>0</v>
      </c>
      <c r="B819" t="e">
        <f>VLOOKUP(A819,'Production Plan'!B:T,16,FALSE)</f>
        <v>#N/A</v>
      </c>
      <c r="C819" t="e">
        <f>VLOOKUP(A819,'Production Plan'!B:F,5,FALSE)</f>
        <v>#N/A</v>
      </c>
      <c r="F819"/>
    </row>
    <row r="820" spans="1:6" hidden="1">
      <c r="A820">
        <f>'Production Plan'!B809</f>
        <v>0</v>
      </c>
      <c r="B820" t="e">
        <f>VLOOKUP(A820,'Production Plan'!B:T,16,FALSE)</f>
        <v>#N/A</v>
      </c>
      <c r="C820" t="e">
        <f>VLOOKUP(A820,'Production Plan'!B:F,5,FALSE)</f>
        <v>#N/A</v>
      </c>
      <c r="F820"/>
    </row>
    <row r="821" spans="1:6" hidden="1">
      <c r="A821">
        <f>'Production Plan'!B810</f>
        <v>0</v>
      </c>
      <c r="B821" t="e">
        <f>VLOOKUP(A821,'Production Plan'!B:T,16,FALSE)</f>
        <v>#N/A</v>
      </c>
      <c r="C821" t="e">
        <f>VLOOKUP(A821,'Production Plan'!B:F,5,FALSE)</f>
        <v>#N/A</v>
      </c>
      <c r="F821"/>
    </row>
    <row r="822" spans="1:6" hidden="1">
      <c r="A822">
        <f>'Production Plan'!B811</f>
        <v>0</v>
      </c>
      <c r="B822" t="e">
        <f>VLOOKUP(A822,'Production Plan'!B:T,16,FALSE)</f>
        <v>#N/A</v>
      </c>
      <c r="C822" t="e">
        <f>VLOOKUP(A822,'Production Plan'!B:F,5,FALSE)</f>
        <v>#N/A</v>
      </c>
      <c r="F822"/>
    </row>
    <row r="823" spans="1:6" hidden="1">
      <c r="A823">
        <f>'Production Plan'!B812</f>
        <v>0</v>
      </c>
      <c r="B823" t="e">
        <f>VLOOKUP(A823,'Production Plan'!B:T,16,FALSE)</f>
        <v>#N/A</v>
      </c>
      <c r="C823" t="e">
        <f>VLOOKUP(A823,'Production Plan'!B:F,5,FALSE)</f>
        <v>#N/A</v>
      </c>
      <c r="F823"/>
    </row>
    <row r="824" spans="1:6" hidden="1">
      <c r="A824">
        <f>'Production Plan'!B813</f>
        <v>0</v>
      </c>
      <c r="B824" t="e">
        <f>VLOOKUP(A824,'Production Plan'!B:T,16,FALSE)</f>
        <v>#N/A</v>
      </c>
      <c r="C824" t="e">
        <f>VLOOKUP(A824,'Production Plan'!B:F,5,FALSE)</f>
        <v>#N/A</v>
      </c>
      <c r="F824"/>
    </row>
    <row r="825" spans="1:6" hidden="1">
      <c r="A825">
        <f>'Production Plan'!B814</f>
        <v>0</v>
      </c>
      <c r="B825" t="e">
        <f>VLOOKUP(A825,'Production Plan'!B:T,16,FALSE)</f>
        <v>#N/A</v>
      </c>
      <c r="C825" t="e">
        <f>VLOOKUP(A825,'Production Plan'!B:F,5,FALSE)</f>
        <v>#N/A</v>
      </c>
      <c r="F825"/>
    </row>
    <row r="826" spans="1:6" hidden="1">
      <c r="A826">
        <f>'Production Plan'!B815</f>
        <v>0</v>
      </c>
      <c r="B826" t="e">
        <f>VLOOKUP(A826,'Production Plan'!B:T,16,FALSE)</f>
        <v>#N/A</v>
      </c>
      <c r="C826" t="e">
        <f>VLOOKUP(A826,'Production Plan'!B:F,5,FALSE)</f>
        <v>#N/A</v>
      </c>
      <c r="F826"/>
    </row>
    <row r="827" spans="1:6" hidden="1">
      <c r="A827">
        <f>'Production Plan'!B816</f>
        <v>0</v>
      </c>
      <c r="B827" t="e">
        <f>VLOOKUP(A827,'Production Plan'!B:T,16,FALSE)</f>
        <v>#N/A</v>
      </c>
      <c r="C827" t="e">
        <f>VLOOKUP(A827,'Production Plan'!B:F,5,FALSE)</f>
        <v>#N/A</v>
      </c>
      <c r="F827"/>
    </row>
    <row r="828" spans="1:6" hidden="1">
      <c r="A828">
        <f>'Production Plan'!B817</f>
        <v>0</v>
      </c>
      <c r="B828" t="e">
        <f>VLOOKUP(A828,'Production Plan'!B:T,16,FALSE)</f>
        <v>#N/A</v>
      </c>
      <c r="C828" t="e">
        <f>VLOOKUP(A828,'Production Plan'!B:F,5,FALSE)</f>
        <v>#N/A</v>
      </c>
      <c r="F828"/>
    </row>
    <row r="829" spans="1:6" hidden="1">
      <c r="A829">
        <f>'Production Plan'!B818</f>
        <v>0</v>
      </c>
      <c r="B829" t="e">
        <f>VLOOKUP(A829,'Production Plan'!B:T,16,FALSE)</f>
        <v>#N/A</v>
      </c>
      <c r="C829" t="e">
        <f>VLOOKUP(A829,'Production Plan'!B:F,5,FALSE)</f>
        <v>#N/A</v>
      </c>
      <c r="F829"/>
    </row>
    <row r="830" spans="1:6" hidden="1">
      <c r="A830">
        <f>'Production Plan'!B819</f>
        <v>0</v>
      </c>
      <c r="B830" t="e">
        <f>VLOOKUP(A830,'Production Plan'!B:T,16,FALSE)</f>
        <v>#N/A</v>
      </c>
      <c r="C830" t="e">
        <f>VLOOKUP(A830,'Production Plan'!B:F,5,FALSE)</f>
        <v>#N/A</v>
      </c>
      <c r="F830"/>
    </row>
    <row r="831" spans="1:6" hidden="1">
      <c r="A831">
        <f>'Production Plan'!B820</f>
        <v>0</v>
      </c>
      <c r="B831" t="e">
        <f>VLOOKUP(A831,'Production Plan'!B:T,16,FALSE)</f>
        <v>#N/A</v>
      </c>
      <c r="C831" t="e">
        <f>VLOOKUP(A831,'Production Plan'!B:F,5,FALSE)</f>
        <v>#N/A</v>
      </c>
      <c r="F831"/>
    </row>
    <row r="832" spans="1:6" hidden="1">
      <c r="A832">
        <f>'Production Plan'!B821</f>
        <v>0</v>
      </c>
      <c r="B832" t="e">
        <f>VLOOKUP(A832,'Production Plan'!B:T,16,FALSE)</f>
        <v>#N/A</v>
      </c>
      <c r="C832" t="e">
        <f>VLOOKUP(A832,'Production Plan'!B:F,5,FALSE)</f>
        <v>#N/A</v>
      </c>
      <c r="F832"/>
    </row>
    <row r="833" spans="1:6" hidden="1">
      <c r="A833">
        <f>'Production Plan'!B822</f>
        <v>0</v>
      </c>
      <c r="B833" t="e">
        <f>VLOOKUP(A833,'Production Plan'!B:T,16,FALSE)</f>
        <v>#N/A</v>
      </c>
      <c r="C833" t="e">
        <f>VLOOKUP(A833,'Production Plan'!B:F,5,FALSE)</f>
        <v>#N/A</v>
      </c>
      <c r="F833"/>
    </row>
    <row r="834" spans="1:6" hidden="1">
      <c r="A834">
        <f>'Production Plan'!B823</f>
        <v>0</v>
      </c>
      <c r="B834" t="e">
        <f>VLOOKUP(A834,'Production Plan'!B:T,16,FALSE)</f>
        <v>#N/A</v>
      </c>
      <c r="C834" t="e">
        <f>VLOOKUP(A834,'Production Plan'!B:F,5,FALSE)</f>
        <v>#N/A</v>
      </c>
      <c r="F834"/>
    </row>
    <row r="835" spans="1:6" hidden="1">
      <c r="A835">
        <f>'Production Plan'!B824</f>
        <v>0</v>
      </c>
      <c r="B835" t="e">
        <f>VLOOKUP(A835,'Production Plan'!B:T,16,FALSE)</f>
        <v>#N/A</v>
      </c>
      <c r="C835" t="e">
        <f>VLOOKUP(A835,'Production Plan'!B:F,5,FALSE)</f>
        <v>#N/A</v>
      </c>
      <c r="F835"/>
    </row>
    <row r="836" spans="1:6" hidden="1">
      <c r="A836">
        <f>'Production Plan'!B825</f>
        <v>0</v>
      </c>
      <c r="B836" t="e">
        <f>VLOOKUP(A836,'Production Plan'!B:T,16,FALSE)</f>
        <v>#N/A</v>
      </c>
      <c r="C836" t="e">
        <f>VLOOKUP(A836,'Production Plan'!B:F,5,FALSE)</f>
        <v>#N/A</v>
      </c>
      <c r="F836"/>
    </row>
    <row r="837" spans="1:6" hidden="1">
      <c r="A837">
        <f>'Production Plan'!B826</f>
        <v>0</v>
      </c>
      <c r="B837" t="e">
        <f>VLOOKUP(A837,'Production Plan'!B:T,16,FALSE)</f>
        <v>#N/A</v>
      </c>
      <c r="C837" t="e">
        <f>VLOOKUP(A837,'Production Plan'!B:F,5,FALSE)</f>
        <v>#N/A</v>
      </c>
      <c r="F837"/>
    </row>
    <row r="838" spans="1:6" hidden="1">
      <c r="A838">
        <f>'Production Plan'!B827</f>
        <v>0</v>
      </c>
      <c r="B838" t="e">
        <f>VLOOKUP(A838,'Production Plan'!B:T,16,FALSE)</f>
        <v>#N/A</v>
      </c>
      <c r="C838" t="e">
        <f>VLOOKUP(A838,'Production Plan'!B:F,5,FALSE)</f>
        <v>#N/A</v>
      </c>
      <c r="F838"/>
    </row>
    <row r="839" spans="1:6" hidden="1">
      <c r="A839">
        <f>'Production Plan'!B828</f>
        <v>0</v>
      </c>
      <c r="B839" t="e">
        <f>VLOOKUP(A839,'Production Plan'!B:T,16,FALSE)</f>
        <v>#N/A</v>
      </c>
      <c r="C839" t="e">
        <f>VLOOKUP(A839,'Production Plan'!B:F,5,FALSE)</f>
        <v>#N/A</v>
      </c>
      <c r="F839"/>
    </row>
    <row r="840" spans="1:6" hidden="1">
      <c r="A840">
        <f>'Production Plan'!B829</f>
        <v>0</v>
      </c>
      <c r="B840" t="e">
        <f>VLOOKUP(A840,'Production Plan'!B:T,16,FALSE)</f>
        <v>#N/A</v>
      </c>
      <c r="C840" t="e">
        <f>VLOOKUP(A840,'Production Plan'!B:F,5,FALSE)</f>
        <v>#N/A</v>
      </c>
      <c r="F840"/>
    </row>
    <row r="841" spans="1:6" hidden="1">
      <c r="A841">
        <f>'Production Plan'!B830</f>
        <v>0</v>
      </c>
      <c r="B841" t="e">
        <f>VLOOKUP(A841,'Production Plan'!B:T,16,FALSE)</f>
        <v>#N/A</v>
      </c>
      <c r="C841" t="e">
        <f>VLOOKUP(A841,'Production Plan'!B:F,5,FALSE)</f>
        <v>#N/A</v>
      </c>
      <c r="F841"/>
    </row>
    <row r="842" spans="1:6" hidden="1">
      <c r="A842">
        <f>'Production Plan'!B831</f>
        <v>0</v>
      </c>
      <c r="B842" t="e">
        <f>VLOOKUP(A842,'Production Plan'!B:T,16,FALSE)</f>
        <v>#N/A</v>
      </c>
      <c r="C842" t="e">
        <f>VLOOKUP(A842,'Production Plan'!B:F,5,FALSE)</f>
        <v>#N/A</v>
      </c>
      <c r="F842"/>
    </row>
    <row r="843" spans="1:6" hidden="1">
      <c r="A843">
        <f>'Production Plan'!B832</f>
        <v>0</v>
      </c>
      <c r="B843" t="e">
        <f>VLOOKUP(A843,'Production Plan'!B:T,16,FALSE)</f>
        <v>#N/A</v>
      </c>
      <c r="C843" t="e">
        <f>VLOOKUP(A843,'Production Plan'!B:F,5,FALSE)</f>
        <v>#N/A</v>
      </c>
      <c r="F843"/>
    </row>
    <row r="844" spans="1:6" hidden="1">
      <c r="A844">
        <f>'Production Plan'!B833</f>
        <v>0</v>
      </c>
      <c r="B844" t="e">
        <f>VLOOKUP(A844,'Production Plan'!B:T,16,FALSE)</f>
        <v>#N/A</v>
      </c>
      <c r="C844" t="e">
        <f>VLOOKUP(A844,'Production Plan'!B:F,5,FALSE)</f>
        <v>#N/A</v>
      </c>
      <c r="F844"/>
    </row>
    <row r="845" spans="1:6" hidden="1">
      <c r="A845">
        <f>'Production Plan'!B834</f>
        <v>0</v>
      </c>
      <c r="B845" t="e">
        <f>VLOOKUP(A845,'Production Plan'!B:T,16,FALSE)</f>
        <v>#N/A</v>
      </c>
      <c r="C845" t="e">
        <f>VLOOKUP(A845,'Production Plan'!B:F,5,FALSE)</f>
        <v>#N/A</v>
      </c>
      <c r="F845"/>
    </row>
    <row r="846" spans="1:6" hidden="1">
      <c r="A846">
        <f>'Production Plan'!B835</f>
        <v>0</v>
      </c>
      <c r="B846" t="e">
        <f>VLOOKUP(A846,'Production Plan'!B:T,16,FALSE)</f>
        <v>#N/A</v>
      </c>
      <c r="C846" t="e">
        <f>VLOOKUP(A846,'Production Plan'!B:F,5,FALSE)</f>
        <v>#N/A</v>
      </c>
      <c r="F846"/>
    </row>
    <row r="847" spans="1:6" hidden="1">
      <c r="A847">
        <f>'Production Plan'!B836</f>
        <v>0</v>
      </c>
      <c r="B847" t="e">
        <f>VLOOKUP(A847,'Production Plan'!B:T,16,FALSE)</f>
        <v>#N/A</v>
      </c>
      <c r="C847" t="e">
        <f>VLOOKUP(A847,'Production Plan'!B:F,5,FALSE)</f>
        <v>#N/A</v>
      </c>
      <c r="F847"/>
    </row>
    <row r="848" spans="1:6" hidden="1">
      <c r="A848">
        <f>'Production Plan'!B837</f>
        <v>0</v>
      </c>
      <c r="B848" t="e">
        <f>VLOOKUP(A848,'Production Plan'!B:T,16,FALSE)</f>
        <v>#N/A</v>
      </c>
      <c r="C848" t="e">
        <f>VLOOKUP(A848,'Production Plan'!B:F,5,FALSE)</f>
        <v>#N/A</v>
      </c>
      <c r="F848"/>
    </row>
    <row r="849" spans="1:6" hidden="1">
      <c r="A849">
        <f>'Production Plan'!B838</f>
        <v>0</v>
      </c>
      <c r="B849" t="e">
        <f>VLOOKUP(A849,'Production Plan'!B:T,16,FALSE)</f>
        <v>#N/A</v>
      </c>
      <c r="C849" t="e">
        <f>VLOOKUP(A849,'Production Plan'!B:F,5,FALSE)</f>
        <v>#N/A</v>
      </c>
      <c r="F849"/>
    </row>
    <row r="850" spans="1:6" hidden="1">
      <c r="A850">
        <f>'Production Plan'!B839</f>
        <v>0</v>
      </c>
      <c r="B850" t="e">
        <f>VLOOKUP(A850,'Production Plan'!B:T,16,FALSE)</f>
        <v>#N/A</v>
      </c>
      <c r="C850" t="e">
        <f>VLOOKUP(A850,'Production Plan'!B:F,5,FALSE)</f>
        <v>#N/A</v>
      </c>
      <c r="F850"/>
    </row>
    <row r="851" spans="1:6" hidden="1">
      <c r="A851">
        <f>'Production Plan'!B840</f>
        <v>0</v>
      </c>
      <c r="B851" t="e">
        <f>VLOOKUP(A851,'Production Plan'!B:T,16,FALSE)</f>
        <v>#N/A</v>
      </c>
      <c r="C851" t="e">
        <f>VLOOKUP(A851,'Production Plan'!B:F,5,FALSE)</f>
        <v>#N/A</v>
      </c>
      <c r="F851"/>
    </row>
    <row r="852" spans="1:6" hidden="1">
      <c r="A852">
        <f>'Production Plan'!B841</f>
        <v>0</v>
      </c>
      <c r="B852" t="e">
        <f>VLOOKUP(A852,'Production Plan'!B:T,16,FALSE)</f>
        <v>#N/A</v>
      </c>
      <c r="C852" t="e">
        <f>VLOOKUP(A852,'Production Plan'!B:F,5,FALSE)</f>
        <v>#N/A</v>
      </c>
      <c r="F852"/>
    </row>
    <row r="853" spans="1:6" hidden="1">
      <c r="A853">
        <f>'Production Plan'!B842</f>
        <v>0</v>
      </c>
      <c r="B853" t="e">
        <f>VLOOKUP(A853,'Production Plan'!B:T,16,FALSE)</f>
        <v>#N/A</v>
      </c>
      <c r="C853" t="e">
        <f>VLOOKUP(A853,'Production Plan'!B:F,5,FALSE)</f>
        <v>#N/A</v>
      </c>
      <c r="F853"/>
    </row>
    <row r="854" spans="1:6" hidden="1">
      <c r="A854">
        <f>'Production Plan'!B843</f>
        <v>0</v>
      </c>
      <c r="B854" t="e">
        <f>VLOOKUP(A854,'Production Plan'!B:T,16,FALSE)</f>
        <v>#N/A</v>
      </c>
      <c r="C854" t="e">
        <f>VLOOKUP(A854,'Production Plan'!B:F,5,FALSE)</f>
        <v>#N/A</v>
      </c>
      <c r="F854"/>
    </row>
    <row r="855" spans="1:6" hidden="1">
      <c r="A855">
        <f>'Production Plan'!B844</f>
        <v>0</v>
      </c>
      <c r="B855" t="e">
        <f>VLOOKUP(A855,'Production Plan'!B:T,16,FALSE)</f>
        <v>#N/A</v>
      </c>
      <c r="C855" t="e">
        <f>VLOOKUP(A855,'Production Plan'!B:F,5,FALSE)</f>
        <v>#N/A</v>
      </c>
      <c r="F855"/>
    </row>
    <row r="856" spans="1:6" hidden="1">
      <c r="A856">
        <f>'Production Plan'!B845</f>
        <v>0</v>
      </c>
      <c r="B856" t="e">
        <f>VLOOKUP(A856,'Production Plan'!B:T,16,FALSE)</f>
        <v>#N/A</v>
      </c>
      <c r="C856" t="e">
        <f>VLOOKUP(A856,'Production Plan'!B:F,5,FALSE)</f>
        <v>#N/A</v>
      </c>
      <c r="F856"/>
    </row>
    <row r="857" spans="1:6" hidden="1">
      <c r="A857">
        <f>'Production Plan'!B846</f>
        <v>0</v>
      </c>
      <c r="B857" t="e">
        <f>VLOOKUP(A857,'Production Plan'!B:T,16,FALSE)</f>
        <v>#N/A</v>
      </c>
      <c r="C857" t="e">
        <f>VLOOKUP(A857,'Production Plan'!B:F,5,FALSE)</f>
        <v>#N/A</v>
      </c>
      <c r="F857"/>
    </row>
    <row r="858" spans="1:6" hidden="1">
      <c r="A858">
        <f>'Production Plan'!B847</f>
        <v>0</v>
      </c>
      <c r="B858" t="e">
        <f>VLOOKUP(A858,'Production Plan'!B:T,16,FALSE)</f>
        <v>#N/A</v>
      </c>
      <c r="C858" t="e">
        <f>VLOOKUP(A858,'Production Plan'!B:F,5,FALSE)</f>
        <v>#N/A</v>
      </c>
      <c r="F858"/>
    </row>
    <row r="859" spans="1:6" hidden="1">
      <c r="A859">
        <f>'Production Plan'!B848</f>
        <v>0</v>
      </c>
      <c r="B859" t="e">
        <f>VLOOKUP(A859,'Production Plan'!B:T,16,FALSE)</f>
        <v>#N/A</v>
      </c>
      <c r="C859" t="e">
        <f>VLOOKUP(A859,'Production Plan'!B:F,5,FALSE)</f>
        <v>#N/A</v>
      </c>
      <c r="F859"/>
    </row>
    <row r="860" spans="1:6" hidden="1">
      <c r="A860">
        <f>'Production Plan'!B849</f>
        <v>0</v>
      </c>
      <c r="B860" t="e">
        <f>VLOOKUP(A860,'Production Plan'!B:T,16,FALSE)</f>
        <v>#N/A</v>
      </c>
      <c r="C860" t="e">
        <f>VLOOKUP(A860,'Production Plan'!B:F,5,FALSE)</f>
        <v>#N/A</v>
      </c>
      <c r="F860"/>
    </row>
    <row r="861" spans="1:6" hidden="1">
      <c r="A861">
        <f>'Production Plan'!B850</f>
        <v>0</v>
      </c>
      <c r="B861" t="e">
        <f>VLOOKUP(A861,'Production Plan'!B:T,16,FALSE)</f>
        <v>#N/A</v>
      </c>
      <c r="C861" t="e">
        <f>VLOOKUP(A861,'Production Plan'!B:F,5,FALSE)</f>
        <v>#N/A</v>
      </c>
      <c r="F861"/>
    </row>
    <row r="862" spans="1:6" hidden="1">
      <c r="A862">
        <f>'Production Plan'!B851</f>
        <v>0</v>
      </c>
      <c r="B862" t="e">
        <f>VLOOKUP(A862,'Production Plan'!B:T,16,FALSE)</f>
        <v>#N/A</v>
      </c>
      <c r="C862" t="e">
        <f>VLOOKUP(A862,'Production Plan'!B:F,5,FALSE)</f>
        <v>#N/A</v>
      </c>
      <c r="F862"/>
    </row>
    <row r="863" spans="1:6" hidden="1">
      <c r="A863">
        <f>'Production Plan'!B852</f>
        <v>0</v>
      </c>
      <c r="B863" t="e">
        <f>VLOOKUP(A863,'Production Plan'!B:T,16,FALSE)</f>
        <v>#N/A</v>
      </c>
      <c r="C863" t="e">
        <f>VLOOKUP(A863,'Production Plan'!B:F,5,FALSE)</f>
        <v>#N/A</v>
      </c>
      <c r="F863"/>
    </row>
    <row r="864" spans="1:6" hidden="1">
      <c r="A864">
        <f>'Production Plan'!B853</f>
        <v>0</v>
      </c>
      <c r="B864" t="e">
        <f>VLOOKUP(A864,'Production Plan'!B:T,16,FALSE)</f>
        <v>#N/A</v>
      </c>
      <c r="C864" t="e">
        <f>VLOOKUP(A864,'Production Plan'!B:F,5,FALSE)</f>
        <v>#N/A</v>
      </c>
      <c r="F864"/>
    </row>
    <row r="865" spans="1:6" hidden="1">
      <c r="A865">
        <f>'Production Plan'!B854</f>
        <v>0</v>
      </c>
      <c r="B865" t="e">
        <f>VLOOKUP(A865,'Production Plan'!B:T,16,FALSE)</f>
        <v>#N/A</v>
      </c>
      <c r="C865" t="e">
        <f>VLOOKUP(A865,'Production Plan'!B:F,5,FALSE)</f>
        <v>#N/A</v>
      </c>
      <c r="F865"/>
    </row>
    <row r="866" spans="1:6" hidden="1">
      <c r="A866">
        <f>'Production Plan'!B855</f>
        <v>0</v>
      </c>
      <c r="B866" t="e">
        <f>VLOOKUP(A866,'Production Plan'!B:T,16,FALSE)</f>
        <v>#N/A</v>
      </c>
      <c r="C866" t="e">
        <f>VLOOKUP(A866,'Production Plan'!B:F,5,FALSE)</f>
        <v>#N/A</v>
      </c>
      <c r="F866"/>
    </row>
    <row r="867" spans="1:6" hidden="1">
      <c r="A867">
        <f>'Production Plan'!B856</f>
        <v>0</v>
      </c>
      <c r="B867" t="e">
        <f>VLOOKUP(A867,'Production Plan'!B:T,16,FALSE)</f>
        <v>#N/A</v>
      </c>
      <c r="C867" t="e">
        <f>VLOOKUP(A867,'Production Plan'!B:F,5,FALSE)</f>
        <v>#N/A</v>
      </c>
      <c r="F867"/>
    </row>
    <row r="868" spans="1:6" hidden="1">
      <c r="A868">
        <f>'Production Plan'!B857</f>
        <v>0</v>
      </c>
      <c r="B868" t="e">
        <f>VLOOKUP(A868,'Production Plan'!B:T,16,FALSE)</f>
        <v>#N/A</v>
      </c>
      <c r="C868" t="e">
        <f>VLOOKUP(A868,'Production Plan'!B:F,5,FALSE)</f>
        <v>#N/A</v>
      </c>
      <c r="F868"/>
    </row>
    <row r="869" spans="1:6" hidden="1">
      <c r="A869">
        <f>'Production Plan'!B858</f>
        <v>0</v>
      </c>
      <c r="B869" t="e">
        <f>VLOOKUP(A869,'Production Plan'!B:T,16,FALSE)</f>
        <v>#N/A</v>
      </c>
      <c r="C869" t="e">
        <f>VLOOKUP(A869,'Production Plan'!B:F,5,FALSE)</f>
        <v>#N/A</v>
      </c>
      <c r="F869"/>
    </row>
    <row r="870" spans="1:6" hidden="1">
      <c r="A870">
        <f>'Production Plan'!B859</f>
        <v>0</v>
      </c>
      <c r="B870" t="e">
        <f>VLOOKUP(A870,'Production Plan'!B:T,16,FALSE)</f>
        <v>#N/A</v>
      </c>
      <c r="C870" t="e">
        <f>VLOOKUP(A870,'Production Plan'!B:F,5,FALSE)</f>
        <v>#N/A</v>
      </c>
      <c r="F870"/>
    </row>
    <row r="871" spans="1:6" hidden="1">
      <c r="A871">
        <f>'Production Plan'!B860</f>
        <v>0</v>
      </c>
      <c r="B871" t="e">
        <f>VLOOKUP(A871,'Production Plan'!B:T,16,FALSE)</f>
        <v>#N/A</v>
      </c>
      <c r="C871" t="e">
        <f>VLOOKUP(A871,'Production Plan'!B:F,5,FALSE)</f>
        <v>#N/A</v>
      </c>
      <c r="F871"/>
    </row>
    <row r="872" spans="1:6" hidden="1">
      <c r="A872">
        <f>'Production Plan'!B861</f>
        <v>0</v>
      </c>
      <c r="B872" t="e">
        <f>VLOOKUP(A872,'Production Plan'!B:T,16,FALSE)</f>
        <v>#N/A</v>
      </c>
      <c r="C872" t="e">
        <f>VLOOKUP(A872,'Production Plan'!B:F,5,FALSE)</f>
        <v>#N/A</v>
      </c>
      <c r="F872"/>
    </row>
    <row r="873" spans="1:6" hidden="1">
      <c r="A873">
        <f>'Production Plan'!B862</f>
        <v>0</v>
      </c>
      <c r="B873" t="e">
        <f>VLOOKUP(A873,'Production Plan'!B:T,16,FALSE)</f>
        <v>#N/A</v>
      </c>
      <c r="C873" t="e">
        <f>VLOOKUP(A873,'Production Plan'!B:F,5,FALSE)</f>
        <v>#N/A</v>
      </c>
      <c r="F873"/>
    </row>
    <row r="874" spans="1:6" hidden="1">
      <c r="A874">
        <f>'Production Plan'!B863</f>
        <v>0</v>
      </c>
      <c r="B874" t="e">
        <f>VLOOKUP(A874,'Production Plan'!B:T,16,FALSE)</f>
        <v>#N/A</v>
      </c>
      <c r="C874" t="e">
        <f>VLOOKUP(A874,'Production Plan'!B:F,5,FALSE)</f>
        <v>#N/A</v>
      </c>
      <c r="F874"/>
    </row>
    <row r="875" spans="1:6" hidden="1">
      <c r="A875">
        <f>'Production Plan'!B864</f>
        <v>0</v>
      </c>
      <c r="B875" t="e">
        <f>VLOOKUP(A875,'Production Plan'!B:T,16,FALSE)</f>
        <v>#N/A</v>
      </c>
      <c r="C875" t="e">
        <f>VLOOKUP(A875,'Production Plan'!B:F,5,FALSE)</f>
        <v>#N/A</v>
      </c>
      <c r="F875"/>
    </row>
    <row r="876" spans="1:6" hidden="1">
      <c r="A876">
        <f>'Production Plan'!B865</f>
        <v>0</v>
      </c>
      <c r="B876" t="e">
        <f>VLOOKUP(A876,'Production Plan'!B:T,16,FALSE)</f>
        <v>#N/A</v>
      </c>
      <c r="C876" t="e">
        <f>VLOOKUP(A876,'Production Plan'!B:F,5,FALSE)</f>
        <v>#N/A</v>
      </c>
      <c r="F876"/>
    </row>
    <row r="877" spans="1:6" hidden="1">
      <c r="A877">
        <f>'Production Plan'!B866</f>
        <v>0</v>
      </c>
      <c r="B877" t="e">
        <f>VLOOKUP(A877,'Production Plan'!B:T,16,FALSE)</f>
        <v>#N/A</v>
      </c>
      <c r="C877" t="e">
        <f>VLOOKUP(A877,'Production Plan'!B:F,5,FALSE)</f>
        <v>#N/A</v>
      </c>
      <c r="F877"/>
    </row>
    <row r="878" spans="1:6" hidden="1">
      <c r="A878">
        <f>'Production Plan'!B867</f>
        <v>0</v>
      </c>
      <c r="B878" t="e">
        <f>VLOOKUP(A878,'Production Plan'!B:T,16,FALSE)</f>
        <v>#N/A</v>
      </c>
      <c r="C878" t="e">
        <f>VLOOKUP(A878,'Production Plan'!B:F,5,FALSE)</f>
        <v>#N/A</v>
      </c>
      <c r="F878"/>
    </row>
    <row r="879" spans="1:6" hidden="1">
      <c r="A879">
        <f>'Production Plan'!B868</f>
        <v>0</v>
      </c>
      <c r="B879" t="e">
        <f>VLOOKUP(A879,'Production Plan'!B:T,16,FALSE)</f>
        <v>#N/A</v>
      </c>
      <c r="C879" t="e">
        <f>VLOOKUP(A879,'Production Plan'!B:F,5,FALSE)</f>
        <v>#N/A</v>
      </c>
      <c r="F879"/>
    </row>
    <row r="880" spans="1:6" hidden="1">
      <c r="A880">
        <f>'Production Plan'!B869</f>
        <v>0</v>
      </c>
      <c r="B880" t="e">
        <f>VLOOKUP(A880,'Production Plan'!B:T,16,FALSE)</f>
        <v>#N/A</v>
      </c>
      <c r="C880" t="e">
        <f>VLOOKUP(A880,'Production Plan'!B:F,5,FALSE)</f>
        <v>#N/A</v>
      </c>
      <c r="F880"/>
    </row>
    <row r="881" spans="1:6" hidden="1">
      <c r="A881">
        <f>'Production Plan'!B870</f>
        <v>0</v>
      </c>
      <c r="B881" t="e">
        <f>VLOOKUP(A881,'Production Plan'!B:T,16,FALSE)</f>
        <v>#N/A</v>
      </c>
      <c r="C881" t="e">
        <f>VLOOKUP(A881,'Production Plan'!B:F,5,FALSE)</f>
        <v>#N/A</v>
      </c>
      <c r="F881"/>
    </row>
    <row r="882" spans="1:6" hidden="1">
      <c r="A882">
        <f>'Production Plan'!B871</f>
        <v>0</v>
      </c>
      <c r="B882" t="e">
        <f>VLOOKUP(A882,'Production Plan'!B:T,16,FALSE)</f>
        <v>#N/A</v>
      </c>
      <c r="C882" t="e">
        <f>VLOOKUP(A882,'Production Plan'!B:F,5,FALSE)</f>
        <v>#N/A</v>
      </c>
      <c r="F882"/>
    </row>
    <row r="883" spans="1:6" hidden="1">
      <c r="A883">
        <f>'Production Plan'!B872</f>
        <v>0</v>
      </c>
      <c r="B883" t="e">
        <f>VLOOKUP(A883,'Production Plan'!B:T,16,FALSE)</f>
        <v>#N/A</v>
      </c>
      <c r="C883" t="e">
        <f>VLOOKUP(A883,'Production Plan'!B:F,5,FALSE)</f>
        <v>#N/A</v>
      </c>
      <c r="F883"/>
    </row>
    <row r="884" spans="1:6" hidden="1">
      <c r="A884">
        <f>'Production Plan'!B873</f>
        <v>0</v>
      </c>
      <c r="B884" t="e">
        <f>VLOOKUP(A884,'Production Plan'!B:T,16,FALSE)</f>
        <v>#N/A</v>
      </c>
      <c r="C884" t="e">
        <f>VLOOKUP(A884,'Production Plan'!B:F,5,FALSE)</f>
        <v>#N/A</v>
      </c>
      <c r="F884"/>
    </row>
    <row r="885" spans="1:6" hidden="1">
      <c r="A885">
        <f>'Production Plan'!B874</f>
        <v>0</v>
      </c>
      <c r="B885" t="e">
        <f>VLOOKUP(A885,'Production Plan'!B:T,16,FALSE)</f>
        <v>#N/A</v>
      </c>
      <c r="C885" t="e">
        <f>VLOOKUP(A885,'Production Plan'!B:F,5,FALSE)</f>
        <v>#N/A</v>
      </c>
      <c r="F885"/>
    </row>
    <row r="886" spans="1:6" hidden="1">
      <c r="A886">
        <f>'Production Plan'!B875</f>
        <v>0</v>
      </c>
      <c r="B886" t="e">
        <f>VLOOKUP(A886,'Production Plan'!B:T,16,FALSE)</f>
        <v>#N/A</v>
      </c>
      <c r="C886" t="e">
        <f>VLOOKUP(A886,'Production Plan'!B:F,5,FALSE)</f>
        <v>#N/A</v>
      </c>
      <c r="F886"/>
    </row>
    <row r="887" spans="1:6" hidden="1">
      <c r="A887">
        <f>'Production Plan'!B876</f>
        <v>0</v>
      </c>
      <c r="B887" t="e">
        <f>VLOOKUP(A887,'Production Plan'!B:T,16,FALSE)</f>
        <v>#N/A</v>
      </c>
      <c r="C887" t="e">
        <f>VLOOKUP(A887,'Production Plan'!B:F,5,FALSE)</f>
        <v>#N/A</v>
      </c>
      <c r="F887"/>
    </row>
    <row r="888" spans="1:6" hidden="1">
      <c r="A888">
        <f>'Production Plan'!B877</f>
        <v>0</v>
      </c>
      <c r="B888" t="e">
        <f>VLOOKUP(A888,'Production Plan'!B:T,16,FALSE)</f>
        <v>#N/A</v>
      </c>
      <c r="C888" t="e">
        <f>VLOOKUP(A888,'Production Plan'!B:F,5,FALSE)</f>
        <v>#N/A</v>
      </c>
      <c r="F888"/>
    </row>
    <row r="889" spans="1:6" hidden="1">
      <c r="A889">
        <f>'Production Plan'!B878</f>
        <v>0</v>
      </c>
      <c r="B889" t="e">
        <f>VLOOKUP(A889,'Production Plan'!B:T,16,FALSE)</f>
        <v>#N/A</v>
      </c>
      <c r="C889" t="e">
        <f>VLOOKUP(A889,'Production Plan'!B:F,5,FALSE)</f>
        <v>#N/A</v>
      </c>
      <c r="F889"/>
    </row>
    <row r="890" spans="1:6" hidden="1">
      <c r="A890">
        <f>'Production Plan'!B879</f>
        <v>0</v>
      </c>
      <c r="B890" t="e">
        <f>VLOOKUP(A890,'Production Plan'!B:T,16,FALSE)</f>
        <v>#N/A</v>
      </c>
      <c r="C890" t="e">
        <f>VLOOKUP(A890,'Production Plan'!B:F,5,FALSE)</f>
        <v>#N/A</v>
      </c>
      <c r="F890"/>
    </row>
    <row r="891" spans="1:6" hidden="1">
      <c r="A891">
        <f>'Production Plan'!B880</f>
        <v>0</v>
      </c>
      <c r="B891" t="e">
        <f>VLOOKUP(A891,'Production Plan'!B:T,16,FALSE)</f>
        <v>#N/A</v>
      </c>
      <c r="C891" t="e">
        <f>VLOOKUP(A891,'Production Plan'!B:F,5,FALSE)</f>
        <v>#N/A</v>
      </c>
      <c r="F891"/>
    </row>
    <row r="892" spans="1:6" hidden="1">
      <c r="A892">
        <f>'Production Plan'!B881</f>
        <v>0</v>
      </c>
      <c r="B892" t="e">
        <f>VLOOKUP(A892,'Production Plan'!B:T,16,FALSE)</f>
        <v>#N/A</v>
      </c>
      <c r="C892" t="e">
        <f>VLOOKUP(A892,'Production Plan'!B:F,5,FALSE)</f>
        <v>#N/A</v>
      </c>
      <c r="F892"/>
    </row>
    <row r="893" spans="1:6" hidden="1">
      <c r="A893">
        <f>'Production Plan'!B882</f>
        <v>0</v>
      </c>
      <c r="B893" t="e">
        <f>VLOOKUP(A893,'Production Plan'!B:T,16,FALSE)</f>
        <v>#N/A</v>
      </c>
      <c r="C893" t="e">
        <f>VLOOKUP(A893,'Production Plan'!B:F,5,FALSE)</f>
        <v>#N/A</v>
      </c>
      <c r="F893"/>
    </row>
    <row r="894" spans="1:6" hidden="1">
      <c r="A894">
        <f>'Production Plan'!B883</f>
        <v>0</v>
      </c>
      <c r="B894" t="e">
        <f>VLOOKUP(A894,'Production Plan'!B:T,16,FALSE)</f>
        <v>#N/A</v>
      </c>
      <c r="C894" t="e">
        <f>VLOOKUP(A894,'Production Plan'!B:F,5,FALSE)</f>
        <v>#N/A</v>
      </c>
      <c r="F894"/>
    </row>
    <row r="895" spans="1:6" hidden="1">
      <c r="A895">
        <f>'Production Plan'!B884</f>
        <v>0</v>
      </c>
      <c r="B895" t="e">
        <f>VLOOKUP(A895,'Production Plan'!B:T,16,FALSE)</f>
        <v>#N/A</v>
      </c>
      <c r="C895" t="e">
        <f>VLOOKUP(A895,'Production Plan'!B:F,5,FALSE)</f>
        <v>#N/A</v>
      </c>
      <c r="F895"/>
    </row>
    <row r="896" spans="1:6" hidden="1">
      <c r="A896">
        <f>'Production Plan'!B885</f>
        <v>0</v>
      </c>
      <c r="B896" t="e">
        <f>VLOOKUP(A896,'Production Plan'!B:T,16,FALSE)</f>
        <v>#N/A</v>
      </c>
      <c r="C896" t="e">
        <f>VLOOKUP(A896,'Production Plan'!B:F,5,FALSE)</f>
        <v>#N/A</v>
      </c>
      <c r="F896"/>
    </row>
    <row r="897" spans="1:6" hidden="1">
      <c r="A897">
        <f>'Production Plan'!B886</f>
        <v>0</v>
      </c>
      <c r="B897" t="e">
        <f>VLOOKUP(A897,'Production Plan'!B:T,16,FALSE)</f>
        <v>#N/A</v>
      </c>
      <c r="C897" t="e">
        <f>VLOOKUP(A897,'Production Plan'!B:F,5,FALSE)</f>
        <v>#N/A</v>
      </c>
      <c r="F897"/>
    </row>
    <row r="898" spans="1:6" hidden="1">
      <c r="A898">
        <f>'Production Plan'!B887</f>
        <v>0</v>
      </c>
      <c r="B898" t="e">
        <f>VLOOKUP(A898,'Production Plan'!B:T,16,FALSE)</f>
        <v>#N/A</v>
      </c>
      <c r="C898" t="e">
        <f>VLOOKUP(A898,'Production Plan'!B:F,5,FALSE)</f>
        <v>#N/A</v>
      </c>
      <c r="F898"/>
    </row>
    <row r="899" spans="1:6" hidden="1">
      <c r="A899">
        <f>'Production Plan'!B888</f>
        <v>0</v>
      </c>
      <c r="B899" t="e">
        <f>VLOOKUP(A899,'Production Plan'!B:T,16,FALSE)</f>
        <v>#N/A</v>
      </c>
      <c r="C899" t="e">
        <f>VLOOKUP(A899,'Production Plan'!B:F,5,FALSE)</f>
        <v>#N/A</v>
      </c>
      <c r="F899"/>
    </row>
    <row r="900" spans="1:6" hidden="1">
      <c r="A900">
        <f>'Production Plan'!B889</f>
        <v>0</v>
      </c>
      <c r="B900" t="e">
        <f>VLOOKUP(A900,'Production Plan'!B:T,16,FALSE)</f>
        <v>#N/A</v>
      </c>
      <c r="C900" t="e">
        <f>VLOOKUP(A900,'Production Plan'!B:F,5,FALSE)</f>
        <v>#N/A</v>
      </c>
      <c r="F900"/>
    </row>
    <row r="901" spans="1:6" hidden="1">
      <c r="A901">
        <f>'Production Plan'!B890</f>
        <v>0</v>
      </c>
      <c r="B901" t="e">
        <f>VLOOKUP(A901,'Production Plan'!B:T,16,FALSE)</f>
        <v>#N/A</v>
      </c>
      <c r="C901" t="e">
        <f>VLOOKUP(A901,'Production Plan'!B:F,5,FALSE)</f>
        <v>#N/A</v>
      </c>
      <c r="F901"/>
    </row>
    <row r="902" spans="1:6" hidden="1">
      <c r="A902">
        <f>'Production Plan'!B891</f>
        <v>0</v>
      </c>
      <c r="B902" t="e">
        <f>VLOOKUP(A902,'Production Plan'!B:T,16,FALSE)</f>
        <v>#N/A</v>
      </c>
      <c r="C902" t="e">
        <f>VLOOKUP(A902,'Production Plan'!B:F,5,FALSE)</f>
        <v>#N/A</v>
      </c>
      <c r="F902"/>
    </row>
    <row r="903" spans="1:6" hidden="1">
      <c r="A903">
        <f>'Production Plan'!B892</f>
        <v>0</v>
      </c>
      <c r="B903" t="e">
        <f>VLOOKUP(A903,'Production Plan'!B:T,16,FALSE)</f>
        <v>#N/A</v>
      </c>
      <c r="C903" t="e">
        <f>VLOOKUP(A903,'Production Plan'!B:F,5,FALSE)</f>
        <v>#N/A</v>
      </c>
      <c r="F903"/>
    </row>
    <row r="904" spans="1:6" hidden="1">
      <c r="A904">
        <f>'Production Plan'!B893</f>
        <v>0</v>
      </c>
      <c r="B904" t="e">
        <f>VLOOKUP(A904,'Production Plan'!B:T,16,FALSE)</f>
        <v>#N/A</v>
      </c>
      <c r="C904" t="e">
        <f>VLOOKUP(A904,'Production Plan'!B:F,5,FALSE)</f>
        <v>#N/A</v>
      </c>
      <c r="F904"/>
    </row>
    <row r="905" spans="1:6" hidden="1">
      <c r="A905">
        <f>'Production Plan'!B894</f>
        <v>0</v>
      </c>
      <c r="B905" t="e">
        <f>VLOOKUP(A905,'Production Plan'!B:T,16,FALSE)</f>
        <v>#N/A</v>
      </c>
      <c r="C905" t="e">
        <f>VLOOKUP(A905,'Production Plan'!B:F,5,FALSE)</f>
        <v>#N/A</v>
      </c>
      <c r="F905"/>
    </row>
    <row r="906" spans="1:6" hidden="1">
      <c r="A906">
        <f>'Production Plan'!B895</f>
        <v>0</v>
      </c>
      <c r="B906" t="e">
        <f>VLOOKUP(A906,'Production Plan'!B:T,16,FALSE)</f>
        <v>#N/A</v>
      </c>
      <c r="C906" t="e">
        <f>VLOOKUP(A906,'Production Plan'!B:F,5,FALSE)</f>
        <v>#N/A</v>
      </c>
      <c r="F906"/>
    </row>
    <row r="907" spans="1:6" hidden="1">
      <c r="A907">
        <f>'Production Plan'!B896</f>
        <v>0</v>
      </c>
      <c r="B907" t="e">
        <f>VLOOKUP(A907,'Production Plan'!B:T,16,FALSE)</f>
        <v>#N/A</v>
      </c>
      <c r="C907" t="e">
        <f>VLOOKUP(A907,'Production Plan'!B:F,5,FALSE)</f>
        <v>#N/A</v>
      </c>
      <c r="F907"/>
    </row>
    <row r="908" spans="1:6" hidden="1">
      <c r="A908">
        <f>'Production Plan'!B897</f>
        <v>0</v>
      </c>
      <c r="B908" t="e">
        <f>VLOOKUP(A908,'Production Plan'!B:T,16,FALSE)</f>
        <v>#N/A</v>
      </c>
      <c r="C908" t="e">
        <f>VLOOKUP(A908,'Production Plan'!B:F,5,FALSE)</f>
        <v>#N/A</v>
      </c>
      <c r="F908"/>
    </row>
    <row r="909" spans="1:6" hidden="1">
      <c r="A909">
        <f>'Production Plan'!B898</f>
        <v>0</v>
      </c>
      <c r="B909" t="e">
        <f>VLOOKUP(A909,'Production Plan'!B:T,16,FALSE)</f>
        <v>#N/A</v>
      </c>
      <c r="C909" t="e">
        <f>VLOOKUP(A909,'Production Plan'!B:F,5,FALSE)</f>
        <v>#N/A</v>
      </c>
      <c r="F909"/>
    </row>
    <row r="910" spans="1:6" hidden="1">
      <c r="A910">
        <f>'Production Plan'!B899</f>
        <v>0</v>
      </c>
      <c r="B910" t="e">
        <f>VLOOKUP(A910,'Production Plan'!B:T,16,FALSE)</f>
        <v>#N/A</v>
      </c>
      <c r="C910" t="e">
        <f>VLOOKUP(A910,'Production Plan'!B:F,5,FALSE)</f>
        <v>#N/A</v>
      </c>
      <c r="F910"/>
    </row>
    <row r="911" spans="1:6" hidden="1">
      <c r="A911">
        <f>'Production Plan'!B900</f>
        <v>0</v>
      </c>
      <c r="B911" t="e">
        <f>VLOOKUP(A911,'Production Plan'!B:T,16,FALSE)</f>
        <v>#N/A</v>
      </c>
      <c r="C911" t="e">
        <f>VLOOKUP(A911,'Production Plan'!B:F,5,FALSE)</f>
        <v>#N/A</v>
      </c>
      <c r="F911"/>
    </row>
    <row r="912" spans="1:6" hidden="1">
      <c r="A912">
        <f>'Production Plan'!B901</f>
        <v>0</v>
      </c>
      <c r="B912" t="e">
        <f>VLOOKUP(A912,'Production Plan'!B:T,16,FALSE)</f>
        <v>#N/A</v>
      </c>
      <c r="C912" t="e">
        <f>VLOOKUP(A912,'Production Plan'!B:F,5,FALSE)</f>
        <v>#N/A</v>
      </c>
      <c r="F912"/>
    </row>
    <row r="913" spans="1:6" hidden="1">
      <c r="A913">
        <f>'Production Plan'!B902</f>
        <v>0</v>
      </c>
      <c r="B913" t="e">
        <f>VLOOKUP(A913,'Production Plan'!B:T,16,FALSE)</f>
        <v>#N/A</v>
      </c>
      <c r="C913" t="e">
        <f>VLOOKUP(A913,'Production Plan'!B:F,5,FALSE)</f>
        <v>#N/A</v>
      </c>
      <c r="F913"/>
    </row>
    <row r="914" spans="1:6" hidden="1">
      <c r="A914">
        <f>'Production Plan'!B903</f>
        <v>0</v>
      </c>
      <c r="B914" t="e">
        <f>VLOOKUP(A914,'Production Plan'!B:T,16,FALSE)</f>
        <v>#N/A</v>
      </c>
      <c r="C914" t="e">
        <f>VLOOKUP(A914,'Production Plan'!B:F,5,FALSE)</f>
        <v>#N/A</v>
      </c>
      <c r="F914"/>
    </row>
    <row r="915" spans="1:6" hidden="1">
      <c r="A915">
        <f>'Production Plan'!B904</f>
        <v>0</v>
      </c>
      <c r="B915" t="e">
        <f>VLOOKUP(A915,'Production Plan'!B:T,16,FALSE)</f>
        <v>#N/A</v>
      </c>
      <c r="C915" t="e">
        <f>VLOOKUP(A915,'Production Plan'!B:F,5,FALSE)</f>
        <v>#N/A</v>
      </c>
      <c r="F915"/>
    </row>
    <row r="916" spans="1:6" hidden="1">
      <c r="A916">
        <f>'Production Plan'!B905</f>
        <v>0</v>
      </c>
      <c r="B916" t="e">
        <f>VLOOKUP(A916,'Production Plan'!B:T,16,FALSE)</f>
        <v>#N/A</v>
      </c>
      <c r="C916" t="e">
        <f>VLOOKUP(A916,'Production Plan'!B:F,5,FALSE)</f>
        <v>#N/A</v>
      </c>
      <c r="F916"/>
    </row>
    <row r="917" spans="1:6" hidden="1">
      <c r="A917">
        <f>'Production Plan'!B906</f>
        <v>0</v>
      </c>
      <c r="B917" t="e">
        <f>VLOOKUP(A917,'Production Plan'!B:T,16,FALSE)</f>
        <v>#N/A</v>
      </c>
      <c r="C917" t="e">
        <f>VLOOKUP(A917,'Production Plan'!B:F,5,FALSE)</f>
        <v>#N/A</v>
      </c>
      <c r="F917"/>
    </row>
    <row r="918" spans="1:6" hidden="1">
      <c r="A918">
        <f>'Production Plan'!B907</f>
        <v>0</v>
      </c>
      <c r="B918" t="e">
        <f>VLOOKUP(A918,'Production Plan'!B:T,16,FALSE)</f>
        <v>#N/A</v>
      </c>
      <c r="C918" t="e">
        <f>VLOOKUP(A918,'Production Plan'!B:F,5,FALSE)</f>
        <v>#N/A</v>
      </c>
      <c r="F918"/>
    </row>
    <row r="919" spans="1:6" hidden="1">
      <c r="A919">
        <f>'Production Plan'!B908</f>
        <v>0</v>
      </c>
      <c r="B919" t="e">
        <f>VLOOKUP(A919,'Production Plan'!B:T,16,FALSE)</f>
        <v>#N/A</v>
      </c>
      <c r="C919" t="e">
        <f>VLOOKUP(A919,'Production Plan'!B:F,5,FALSE)</f>
        <v>#N/A</v>
      </c>
      <c r="F919"/>
    </row>
    <row r="920" spans="1:6" hidden="1">
      <c r="A920">
        <f>'Production Plan'!B909</f>
        <v>0</v>
      </c>
      <c r="B920" t="e">
        <f>VLOOKUP(A920,'Production Plan'!B:T,16,FALSE)</f>
        <v>#N/A</v>
      </c>
      <c r="C920" t="e">
        <f>VLOOKUP(A920,'Production Plan'!B:F,5,FALSE)</f>
        <v>#N/A</v>
      </c>
      <c r="F920"/>
    </row>
    <row r="921" spans="1:6" hidden="1">
      <c r="A921">
        <f>'Production Plan'!B910</f>
        <v>0</v>
      </c>
      <c r="B921" t="e">
        <f>VLOOKUP(A921,'Production Plan'!B:T,16,FALSE)</f>
        <v>#N/A</v>
      </c>
      <c r="C921" t="e">
        <f>VLOOKUP(A921,'Production Plan'!B:F,5,FALSE)</f>
        <v>#N/A</v>
      </c>
      <c r="F921"/>
    </row>
    <row r="922" spans="1:6" hidden="1">
      <c r="A922">
        <f>'Production Plan'!B911</f>
        <v>0</v>
      </c>
      <c r="B922" t="e">
        <f>VLOOKUP(A922,'Production Plan'!B:T,16,FALSE)</f>
        <v>#N/A</v>
      </c>
      <c r="C922" t="e">
        <f>VLOOKUP(A922,'Production Plan'!B:F,5,FALSE)</f>
        <v>#N/A</v>
      </c>
      <c r="F922"/>
    </row>
    <row r="923" spans="1:6" hidden="1">
      <c r="A923">
        <f>'Production Plan'!B912</f>
        <v>0</v>
      </c>
      <c r="B923" t="e">
        <f>VLOOKUP(A923,'Production Plan'!B:T,16,FALSE)</f>
        <v>#N/A</v>
      </c>
      <c r="C923" t="e">
        <f>VLOOKUP(A923,'Production Plan'!B:F,5,FALSE)</f>
        <v>#N/A</v>
      </c>
      <c r="F923"/>
    </row>
    <row r="924" spans="1:6" hidden="1">
      <c r="A924">
        <f>'Production Plan'!B913</f>
        <v>0</v>
      </c>
      <c r="B924" t="e">
        <f>VLOOKUP(A924,'Production Plan'!B:T,16,FALSE)</f>
        <v>#N/A</v>
      </c>
      <c r="C924" t="e">
        <f>VLOOKUP(A924,'Production Plan'!B:F,5,FALSE)</f>
        <v>#N/A</v>
      </c>
      <c r="F924"/>
    </row>
    <row r="925" spans="1:6" hidden="1">
      <c r="A925">
        <f>'Production Plan'!B914</f>
        <v>0</v>
      </c>
      <c r="B925" t="e">
        <f>VLOOKUP(A925,'Production Plan'!B:T,16,FALSE)</f>
        <v>#N/A</v>
      </c>
      <c r="C925" t="e">
        <f>VLOOKUP(A925,'Production Plan'!B:F,5,FALSE)</f>
        <v>#N/A</v>
      </c>
      <c r="F925"/>
    </row>
    <row r="926" spans="1:6" hidden="1">
      <c r="A926">
        <f>'Production Plan'!B915</f>
        <v>0</v>
      </c>
      <c r="B926" t="e">
        <f>VLOOKUP(A926,'Production Plan'!B:T,16,FALSE)</f>
        <v>#N/A</v>
      </c>
      <c r="C926" t="e">
        <f>VLOOKUP(A926,'Production Plan'!B:F,5,FALSE)</f>
        <v>#N/A</v>
      </c>
      <c r="F926"/>
    </row>
    <row r="927" spans="1:6" hidden="1">
      <c r="A927">
        <f>'Production Plan'!B916</f>
        <v>0</v>
      </c>
      <c r="B927" t="e">
        <f>VLOOKUP(A927,'Production Plan'!B:T,16,FALSE)</f>
        <v>#N/A</v>
      </c>
      <c r="C927" t="e">
        <f>VLOOKUP(A927,'Production Plan'!B:F,5,FALSE)</f>
        <v>#N/A</v>
      </c>
      <c r="F927"/>
    </row>
    <row r="928" spans="1:6" hidden="1">
      <c r="A928">
        <f>'Production Plan'!B917</f>
        <v>0</v>
      </c>
      <c r="B928" t="e">
        <f>VLOOKUP(A928,'Production Plan'!B:T,16,FALSE)</f>
        <v>#N/A</v>
      </c>
      <c r="C928" t="e">
        <f>VLOOKUP(A928,'Production Plan'!B:F,5,FALSE)</f>
        <v>#N/A</v>
      </c>
      <c r="F928"/>
    </row>
    <row r="929" spans="1:6" hidden="1">
      <c r="A929">
        <f>'Production Plan'!B918</f>
        <v>0</v>
      </c>
      <c r="B929" t="e">
        <f>VLOOKUP(A929,'Production Plan'!B:T,16,FALSE)</f>
        <v>#N/A</v>
      </c>
      <c r="C929" t="e">
        <f>VLOOKUP(A929,'Production Plan'!B:F,5,FALSE)</f>
        <v>#N/A</v>
      </c>
      <c r="F929"/>
    </row>
    <row r="930" spans="1:6" hidden="1">
      <c r="A930">
        <f>'Production Plan'!B919</f>
        <v>0</v>
      </c>
      <c r="B930" t="e">
        <f>VLOOKUP(A930,'Production Plan'!B:T,16,FALSE)</f>
        <v>#N/A</v>
      </c>
      <c r="C930" t="e">
        <f>VLOOKUP(A930,'Production Plan'!B:F,5,FALSE)</f>
        <v>#N/A</v>
      </c>
      <c r="F930"/>
    </row>
    <row r="931" spans="1:6" hidden="1">
      <c r="A931">
        <f>'Production Plan'!B920</f>
        <v>0</v>
      </c>
      <c r="B931" t="e">
        <f>VLOOKUP(A931,'Production Plan'!B:T,16,FALSE)</f>
        <v>#N/A</v>
      </c>
      <c r="C931" t="e">
        <f>VLOOKUP(A931,'Production Plan'!B:F,5,FALSE)</f>
        <v>#N/A</v>
      </c>
      <c r="F931"/>
    </row>
    <row r="932" spans="1:6" hidden="1">
      <c r="A932">
        <f>'Production Plan'!B921</f>
        <v>0</v>
      </c>
      <c r="B932" t="e">
        <f>VLOOKUP(A932,'Production Plan'!B:T,16,FALSE)</f>
        <v>#N/A</v>
      </c>
      <c r="C932" t="e">
        <f>VLOOKUP(A932,'Production Plan'!B:F,5,FALSE)</f>
        <v>#N/A</v>
      </c>
      <c r="F932"/>
    </row>
    <row r="933" spans="1:6" hidden="1">
      <c r="A933">
        <f>'Production Plan'!B922</f>
        <v>0</v>
      </c>
      <c r="B933" t="e">
        <f>VLOOKUP(A933,'Production Plan'!B:T,16,FALSE)</f>
        <v>#N/A</v>
      </c>
      <c r="C933" t="e">
        <f>VLOOKUP(A933,'Production Plan'!B:F,5,FALSE)</f>
        <v>#N/A</v>
      </c>
      <c r="F933"/>
    </row>
    <row r="934" spans="1:6" hidden="1">
      <c r="A934">
        <f>'Production Plan'!B923</f>
        <v>0</v>
      </c>
      <c r="B934" t="e">
        <f>VLOOKUP(A934,'Production Plan'!B:T,16,FALSE)</f>
        <v>#N/A</v>
      </c>
      <c r="C934" t="e">
        <f>VLOOKUP(A934,'Production Plan'!B:F,5,FALSE)</f>
        <v>#N/A</v>
      </c>
      <c r="F934"/>
    </row>
    <row r="935" spans="1:6" hidden="1">
      <c r="A935">
        <f>'Production Plan'!B924</f>
        <v>0</v>
      </c>
      <c r="B935" t="e">
        <f>VLOOKUP(A935,'Production Plan'!B:T,16,FALSE)</f>
        <v>#N/A</v>
      </c>
      <c r="C935" t="e">
        <f>VLOOKUP(A935,'Production Plan'!B:F,5,FALSE)</f>
        <v>#N/A</v>
      </c>
      <c r="F935"/>
    </row>
    <row r="936" spans="1:6" hidden="1">
      <c r="A936">
        <f>'Production Plan'!B925</f>
        <v>0</v>
      </c>
      <c r="B936" t="e">
        <f>VLOOKUP(A936,'Production Plan'!B:T,16,FALSE)</f>
        <v>#N/A</v>
      </c>
      <c r="C936" t="e">
        <f>VLOOKUP(A936,'Production Plan'!B:F,5,FALSE)</f>
        <v>#N/A</v>
      </c>
      <c r="F936"/>
    </row>
    <row r="937" spans="1:6" hidden="1">
      <c r="A937">
        <f>'Production Plan'!B926</f>
        <v>0</v>
      </c>
      <c r="B937" t="e">
        <f>VLOOKUP(A937,'Production Plan'!B:T,16,FALSE)</f>
        <v>#N/A</v>
      </c>
      <c r="C937" t="e">
        <f>VLOOKUP(A937,'Production Plan'!B:F,5,FALSE)</f>
        <v>#N/A</v>
      </c>
      <c r="F937"/>
    </row>
    <row r="938" spans="1:6" hidden="1">
      <c r="A938">
        <f>'Production Plan'!B927</f>
        <v>0</v>
      </c>
      <c r="B938" t="e">
        <f>VLOOKUP(A938,'Production Plan'!B:T,16,FALSE)</f>
        <v>#N/A</v>
      </c>
      <c r="C938" t="e">
        <f>VLOOKUP(A938,'Production Plan'!B:F,5,FALSE)</f>
        <v>#N/A</v>
      </c>
      <c r="F938"/>
    </row>
    <row r="939" spans="1:6" hidden="1">
      <c r="A939">
        <f>'Production Plan'!B928</f>
        <v>0</v>
      </c>
      <c r="B939" t="e">
        <f>VLOOKUP(A939,'Production Plan'!B:T,16,FALSE)</f>
        <v>#N/A</v>
      </c>
      <c r="C939" t="e">
        <f>VLOOKUP(A939,'Production Plan'!B:F,5,FALSE)</f>
        <v>#N/A</v>
      </c>
      <c r="F939"/>
    </row>
    <row r="940" spans="1:6" hidden="1">
      <c r="A940">
        <f>'Production Plan'!B929</f>
        <v>0</v>
      </c>
      <c r="B940" t="e">
        <f>VLOOKUP(A940,'Production Plan'!B:T,16,FALSE)</f>
        <v>#N/A</v>
      </c>
      <c r="C940" t="e">
        <f>VLOOKUP(A940,'Production Plan'!B:F,5,FALSE)</f>
        <v>#N/A</v>
      </c>
      <c r="F940"/>
    </row>
    <row r="941" spans="1:6" hidden="1">
      <c r="A941">
        <f>'Production Plan'!B930</f>
        <v>0</v>
      </c>
      <c r="B941" t="e">
        <f>VLOOKUP(A941,'Production Plan'!B:T,16,FALSE)</f>
        <v>#N/A</v>
      </c>
      <c r="C941" t="e">
        <f>VLOOKUP(A941,'Production Plan'!B:F,5,FALSE)</f>
        <v>#N/A</v>
      </c>
      <c r="F941"/>
    </row>
    <row r="942" spans="1:6" hidden="1">
      <c r="A942">
        <f>'Production Plan'!B931</f>
        <v>0</v>
      </c>
      <c r="B942" t="e">
        <f>VLOOKUP(A942,'Production Plan'!B:T,16,FALSE)</f>
        <v>#N/A</v>
      </c>
      <c r="C942" t="e">
        <f>VLOOKUP(A942,'Production Plan'!B:F,5,FALSE)</f>
        <v>#N/A</v>
      </c>
      <c r="F942"/>
    </row>
    <row r="943" spans="1:6" hidden="1">
      <c r="A943">
        <f>'Production Plan'!B932</f>
        <v>0</v>
      </c>
      <c r="B943" t="e">
        <f>VLOOKUP(A943,'Production Plan'!B:T,16,FALSE)</f>
        <v>#N/A</v>
      </c>
      <c r="C943" t="e">
        <f>VLOOKUP(A943,'Production Plan'!B:F,5,FALSE)</f>
        <v>#N/A</v>
      </c>
      <c r="F943"/>
    </row>
    <row r="944" spans="1:6" hidden="1">
      <c r="A944">
        <f>'Production Plan'!B933</f>
        <v>0</v>
      </c>
      <c r="B944" t="e">
        <f>VLOOKUP(A944,'Production Plan'!B:T,16,FALSE)</f>
        <v>#N/A</v>
      </c>
      <c r="C944" t="e">
        <f>VLOOKUP(A944,'Production Plan'!B:F,5,FALSE)</f>
        <v>#N/A</v>
      </c>
      <c r="F944"/>
    </row>
    <row r="945" spans="1:6" hidden="1">
      <c r="A945">
        <f>'Production Plan'!B934</f>
        <v>0</v>
      </c>
      <c r="B945" t="e">
        <f>VLOOKUP(A945,'Production Plan'!B:T,16,FALSE)</f>
        <v>#N/A</v>
      </c>
      <c r="C945" t="e">
        <f>VLOOKUP(A945,'Production Plan'!B:F,5,FALSE)</f>
        <v>#N/A</v>
      </c>
      <c r="F945"/>
    </row>
    <row r="946" spans="1:6" hidden="1">
      <c r="A946">
        <f>'Production Plan'!B935</f>
        <v>0</v>
      </c>
      <c r="B946" t="e">
        <f>VLOOKUP(A946,'Production Plan'!B:T,16,FALSE)</f>
        <v>#N/A</v>
      </c>
      <c r="C946" t="e">
        <f>VLOOKUP(A946,'Production Plan'!B:F,5,FALSE)</f>
        <v>#N/A</v>
      </c>
      <c r="F946"/>
    </row>
    <row r="947" spans="1:6" hidden="1">
      <c r="A947">
        <f>'Production Plan'!B936</f>
        <v>0</v>
      </c>
      <c r="B947" t="e">
        <f>VLOOKUP(A947,'Production Plan'!B:T,16,FALSE)</f>
        <v>#N/A</v>
      </c>
      <c r="C947" t="e">
        <f>VLOOKUP(A947,'Production Plan'!B:F,5,FALSE)</f>
        <v>#N/A</v>
      </c>
      <c r="F947"/>
    </row>
    <row r="948" spans="1:6" hidden="1">
      <c r="A948">
        <f>'Production Plan'!B937</f>
        <v>0</v>
      </c>
      <c r="B948" t="e">
        <f>VLOOKUP(A948,'Production Plan'!B:T,16,FALSE)</f>
        <v>#N/A</v>
      </c>
      <c r="C948" t="e">
        <f>VLOOKUP(A948,'Production Plan'!B:F,5,FALSE)</f>
        <v>#N/A</v>
      </c>
      <c r="F948"/>
    </row>
    <row r="949" spans="1:6" hidden="1">
      <c r="A949">
        <f>'Production Plan'!B938</f>
        <v>0</v>
      </c>
      <c r="B949" t="e">
        <f>VLOOKUP(A949,'Production Plan'!B:T,16,FALSE)</f>
        <v>#N/A</v>
      </c>
      <c r="C949" t="e">
        <f>VLOOKUP(A949,'Production Plan'!B:F,5,FALSE)</f>
        <v>#N/A</v>
      </c>
      <c r="F949"/>
    </row>
    <row r="950" spans="1:6" hidden="1">
      <c r="A950">
        <f>'Production Plan'!B939</f>
        <v>0</v>
      </c>
      <c r="B950" t="e">
        <f>VLOOKUP(A950,'Production Plan'!B:T,16,FALSE)</f>
        <v>#N/A</v>
      </c>
      <c r="C950" t="e">
        <f>VLOOKUP(A950,'Production Plan'!B:F,5,FALSE)</f>
        <v>#N/A</v>
      </c>
      <c r="F950"/>
    </row>
    <row r="951" spans="1:6" hidden="1">
      <c r="A951">
        <f>'Production Plan'!B940</f>
        <v>0</v>
      </c>
      <c r="B951" t="e">
        <f>VLOOKUP(A951,'Production Plan'!B:T,16,FALSE)</f>
        <v>#N/A</v>
      </c>
      <c r="C951" t="e">
        <f>VLOOKUP(A951,'Production Plan'!B:F,5,FALSE)</f>
        <v>#N/A</v>
      </c>
      <c r="F951"/>
    </row>
    <row r="952" spans="1:6" hidden="1">
      <c r="A952">
        <f>'Production Plan'!B941</f>
        <v>0</v>
      </c>
      <c r="B952" t="e">
        <f>VLOOKUP(A952,'Production Plan'!B:T,16,FALSE)</f>
        <v>#N/A</v>
      </c>
      <c r="C952" t="e">
        <f>VLOOKUP(A952,'Production Plan'!B:F,5,FALSE)</f>
        <v>#N/A</v>
      </c>
      <c r="F952"/>
    </row>
    <row r="953" spans="1:6" hidden="1">
      <c r="A953">
        <f>'Production Plan'!B942</f>
        <v>0</v>
      </c>
      <c r="B953" t="e">
        <f>VLOOKUP(A953,'Production Plan'!B:T,16,FALSE)</f>
        <v>#N/A</v>
      </c>
      <c r="C953" t="e">
        <f>VLOOKUP(A953,'Production Plan'!B:F,5,FALSE)</f>
        <v>#N/A</v>
      </c>
      <c r="F953"/>
    </row>
    <row r="954" spans="1:6" hidden="1">
      <c r="A954">
        <f>'Production Plan'!B943</f>
        <v>0</v>
      </c>
      <c r="B954" t="e">
        <f>VLOOKUP(A954,'Production Plan'!B:T,16,FALSE)</f>
        <v>#N/A</v>
      </c>
      <c r="C954" t="e">
        <f>VLOOKUP(A954,'Production Plan'!B:F,5,FALSE)</f>
        <v>#N/A</v>
      </c>
      <c r="F954"/>
    </row>
    <row r="955" spans="1:6" hidden="1">
      <c r="A955">
        <f>'Production Plan'!B944</f>
        <v>0</v>
      </c>
      <c r="B955" t="e">
        <f>VLOOKUP(A955,'Production Plan'!B:T,16,FALSE)</f>
        <v>#N/A</v>
      </c>
      <c r="C955" t="e">
        <f>VLOOKUP(A955,'Production Plan'!B:F,5,FALSE)</f>
        <v>#N/A</v>
      </c>
      <c r="F955"/>
    </row>
    <row r="956" spans="1:6" hidden="1">
      <c r="A956">
        <f>'Production Plan'!B945</f>
        <v>0</v>
      </c>
      <c r="B956" t="e">
        <f>VLOOKUP(A956,'Production Plan'!B:T,16,FALSE)</f>
        <v>#N/A</v>
      </c>
      <c r="C956" t="e">
        <f>VLOOKUP(A956,'Production Plan'!B:F,5,FALSE)</f>
        <v>#N/A</v>
      </c>
      <c r="F956"/>
    </row>
    <row r="957" spans="1:6" hidden="1">
      <c r="A957">
        <f>'Production Plan'!B946</f>
        <v>0</v>
      </c>
      <c r="B957" t="e">
        <f>VLOOKUP(A957,'Production Plan'!B:T,16,FALSE)</f>
        <v>#N/A</v>
      </c>
      <c r="C957" t="e">
        <f>VLOOKUP(A957,'Production Plan'!B:F,5,FALSE)</f>
        <v>#N/A</v>
      </c>
      <c r="F957"/>
    </row>
    <row r="958" spans="1:6" hidden="1">
      <c r="A958">
        <f>'Production Plan'!B947</f>
        <v>0</v>
      </c>
      <c r="B958" t="e">
        <f>VLOOKUP(A958,'Production Plan'!B:T,16,FALSE)</f>
        <v>#N/A</v>
      </c>
      <c r="C958" t="e">
        <f>VLOOKUP(A958,'Production Plan'!B:F,5,FALSE)</f>
        <v>#N/A</v>
      </c>
      <c r="F958"/>
    </row>
    <row r="959" spans="1:6" hidden="1">
      <c r="A959">
        <f>'Production Plan'!B948</f>
        <v>0</v>
      </c>
      <c r="B959" t="e">
        <f>VLOOKUP(A959,'Production Plan'!B:T,16,FALSE)</f>
        <v>#N/A</v>
      </c>
      <c r="C959" t="e">
        <f>VLOOKUP(A959,'Production Plan'!B:F,5,FALSE)</f>
        <v>#N/A</v>
      </c>
      <c r="F959"/>
    </row>
    <row r="960" spans="1:6" hidden="1">
      <c r="A960">
        <f>'Production Plan'!B949</f>
        <v>0</v>
      </c>
      <c r="B960" t="e">
        <f>VLOOKUP(A960,'Production Plan'!B:T,16,FALSE)</f>
        <v>#N/A</v>
      </c>
      <c r="C960" t="e">
        <f>VLOOKUP(A960,'Production Plan'!B:F,5,FALSE)</f>
        <v>#N/A</v>
      </c>
      <c r="F960"/>
    </row>
    <row r="961" spans="1:6" hidden="1">
      <c r="A961">
        <f>'Production Plan'!B950</f>
        <v>0</v>
      </c>
      <c r="B961" t="e">
        <f>VLOOKUP(A961,'Production Plan'!B:T,16,FALSE)</f>
        <v>#N/A</v>
      </c>
      <c r="C961" t="e">
        <f>VLOOKUP(A961,'Production Plan'!B:F,5,FALSE)</f>
        <v>#N/A</v>
      </c>
      <c r="F961"/>
    </row>
    <row r="962" spans="1:6" hidden="1">
      <c r="A962">
        <f>'Production Plan'!B951</f>
        <v>0</v>
      </c>
      <c r="B962" t="e">
        <f>VLOOKUP(A962,'Production Plan'!B:T,16,FALSE)</f>
        <v>#N/A</v>
      </c>
      <c r="C962" t="e">
        <f>VLOOKUP(A962,'Production Plan'!B:F,5,FALSE)</f>
        <v>#N/A</v>
      </c>
      <c r="F962"/>
    </row>
    <row r="963" spans="1:6" hidden="1">
      <c r="A963">
        <f>'Production Plan'!B952</f>
        <v>0</v>
      </c>
      <c r="B963" t="e">
        <f>VLOOKUP(A963,'Production Plan'!B:T,16,FALSE)</f>
        <v>#N/A</v>
      </c>
      <c r="C963" t="e">
        <f>VLOOKUP(A963,'Production Plan'!B:F,5,FALSE)</f>
        <v>#N/A</v>
      </c>
      <c r="F963"/>
    </row>
    <row r="964" spans="1:6" hidden="1">
      <c r="A964">
        <f>'Production Plan'!B953</f>
        <v>0</v>
      </c>
      <c r="B964" t="e">
        <f>VLOOKUP(A964,'Production Plan'!B:T,16,FALSE)</f>
        <v>#N/A</v>
      </c>
      <c r="C964" t="e">
        <f>VLOOKUP(A964,'Production Plan'!B:F,5,FALSE)</f>
        <v>#N/A</v>
      </c>
      <c r="F964"/>
    </row>
    <row r="965" spans="1:6" hidden="1">
      <c r="A965">
        <f>'Production Plan'!B954</f>
        <v>0</v>
      </c>
      <c r="B965" t="e">
        <f>VLOOKUP(A965,'Production Plan'!B:T,16,FALSE)</f>
        <v>#N/A</v>
      </c>
      <c r="C965" t="e">
        <f>VLOOKUP(A965,'Production Plan'!B:F,5,FALSE)</f>
        <v>#N/A</v>
      </c>
      <c r="F965"/>
    </row>
    <row r="966" spans="1:6" hidden="1">
      <c r="A966">
        <f>'Production Plan'!B955</f>
        <v>0</v>
      </c>
      <c r="B966" t="e">
        <f>VLOOKUP(A966,'Production Plan'!B:T,16,FALSE)</f>
        <v>#N/A</v>
      </c>
      <c r="C966" t="e">
        <f>VLOOKUP(A966,'Production Plan'!B:F,5,FALSE)</f>
        <v>#N/A</v>
      </c>
      <c r="F966"/>
    </row>
    <row r="967" spans="1:6" hidden="1">
      <c r="A967">
        <f>'Production Plan'!B956</f>
        <v>0</v>
      </c>
      <c r="B967" t="e">
        <f>VLOOKUP(A967,'Production Plan'!B:T,16,FALSE)</f>
        <v>#N/A</v>
      </c>
      <c r="C967" t="e">
        <f>VLOOKUP(A967,'Production Plan'!B:F,5,FALSE)</f>
        <v>#N/A</v>
      </c>
      <c r="F967"/>
    </row>
    <row r="968" spans="1:6" hidden="1">
      <c r="A968">
        <f>'Production Plan'!B957</f>
        <v>0</v>
      </c>
      <c r="B968" t="e">
        <f>VLOOKUP(A968,'Production Plan'!B:T,16,FALSE)</f>
        <v>#N/A</v>
      </c>
      <c r="C968" t="e">
        <f>VLOOKUP(A968,'Production Plan'!B:F,5,FALSE)</f>
        <v>#N/A</v>
      </c>
      <c r="F968"/>
    </row>
    <row r="969" spans="1:6" hidden="1">
      <c r="A969">
        <f>'Production Plan'!B958</f>
        <v>0</v>
      </c>
      <c r="B969" t="e">
        <f>VLOOKUP(A969,'Production Plan'!B:T,16,FALSE)</f>
        <v>#N/A</v>
      </c>
      <c r="C969" t="e">
        <f>VLOOKUP(A969,'Production Plan'!B:F,5,FALSE)</f>
        <v>#N/A</v>
      </c>
      <c r="F969"/>
    </row>
    <row r="970" spans="1:6" hidden="1">
      <c r="A970">
        <f>'Production Plan'!B959</f>
        <v>0</v>
      </c>
      <c r="B970" t="e">
        <f>VLOOKUP(A970,'Production Plan'!B:T,16,FALSE)</f>
        <v>#N/A</v>
      </c>
      <c r="C970" t="e">
        <f>VLOOKUP(A970,'Production Plan'!B:F,5,FALSE)</f>
        <v>#N/A</v>
      </c>
      <c r="F970"/>
    </row>
    <row r="971" spans="1:6" hidden="1">
      <c r="A971">
        <f>'Production Plan'!B960</f>
        <v>0</v>
      </c>
      <c r="B971" t="e">
        <f>VLOOKUP(A971,'Production Plan'!B:T,16,FALSE)</f>
        <v>#N/A</v>
      </c>
      <c r="C971" t="e">
        <f>VLOOKUP(A971,'Production Plan'!B:F,5,FALSE)</f>
        <v>#N/A</v>
      </c>
      <c r="F971"/>
    </row>
    <row r="972" spans="1:6" hidden="1">
      <c r="A972">
        <f>'Production Plan'!B961</f>
        <v>0</v>
      </c>
      <c r="B972" t="e">
        <f>VLOOKUP(A972,'Production Plan'!B:T,16,FALSE)</f>
        <v>#N/A</v>
      </c>
      <c r="C972" t="e">
        <f>VLOOKUP(A972,'Production Plan'!B:F,5,FALSE)</f>
        <v>#N/A</v>
      </c>
      <c r="F972"/>
    </row>
    <row r="973" spans="1:6" hidden="1">
      <c r="A973">
        <f>'Production Plan'!B962</f>
        <v>0</v>
      </c>
      <c r="B973" t="e">
        <f>VLOOKUP(A973,'Production Plan'!B:T,16,FALSE)</f>
        <v>#N/A</v>
      </c>
      <c r="C973" t="e">
        <f>VLOOKUP(A973,'Production Plan'!B:F,5,FALSE)</f>
        <v>#N/A</v>
      </c>
      <c r="F973"/>
    </row>
    <row r="974" spans="1:6" hidden="1">
      <c r="A974">
        <f>'Production Plan'!B963</f>
        <v>0</v>
      </c>
      <c r="B974" t="e">
        <f>VLOOKUP(A974,'Production Plan'!B:T,16,FALSE)</f>
        <v>#N/A</v>
      </c>
      <c r="C974" t="e">
        <f>VLOOKUP(A974,'Production Plan'!B:F,5,FALSE)</f>
        <v>#N/A</v>
      </c>
      <c r="F974"/>
    </row>
    <row r="975" spans="1:6" hidden="1">
      <c r="A975">
        <f>'Production Plan'!B964</f>
        <v>0</v>
      </c>
      <c r="B975" t="e">
        <f>VLOOKUP(A975,'Production Plan'!B:T,16,FALSE)</f>
        <v>#N/A</v>
      </c>
      <c r="C975" t="e">
        <f>VLOOKUP(A975,'Production Plan'!B:F,5,FALSE)</f>
        <v>#N/A</v>
      </c>
      <c r="F975"/>
    </row>
    <row r="976" spans="1:6" hidden="1">
      <c r="A976">
        <f>'Production Plan'!B965</f>
        <v>0</v>
      </c>
      <c r="B976" t="e">
        <f>VLOOKUP(A976,'Production Plan'!B:T,16,FALSE)</f>
        <v>#N/A</v>
      </c>
      <c r="C976" t="e">
        <f>VLOOKUP(A976,'Production Plan'!B:F,5,FALSE)</f>
        <v>#N/A</v>
      </c>
      <c r="F976"/>
    </row>
    <row r="977" spans="1:6" hidden="1">
      <c r="A977">
        <f>'Production Plan'!B966</f>
        <v>0</v>
      </c>
      <c r="B977" t="e">
        <f>VLOOKUP(A977,'Production Plan'!B:T,16,FALSE)</f>
        <v>#N/A</v>
      </c>
      <c r="C977" t="e">
        <f>VLOOKUP(A977,'Production Plan'!B:F,5,FALSE)</f>
        <v>#N/A</v>
      </c>
      <c r="F977"/>
    </row>
    <row r="978" spans="1:6" hidden="1">
      <c r="A978">
        <f>'Production Plan'!B967</f>
        <v>0</v>
      </c>
      <c r="B978" t="e">
        <f>VLOOKUP(A978,'Production Plan'!B:T,16,FALSE)</f>
        <v>#N/A</v>
      </c>
      <c r="C978" t="e">
        <f>VLOOKUP(A978,'Production Plan'!B:F,5,FALSE)</f>
        <v>#N/A</v>
      </c>
      <c r="F978"/>
    </row>
    <row r="979" spans="1:6" hidden="1">
      <c r="A979">
        <f>'Production Plan'!B968</f>
        <v>0</v>
      </c>
      <c r="B979" t="e">
        <f>VLOOKUP(A979,'Production Plan'!B:T,16,FALSE)</f>
        <v>#N/A</v>
      </c>
      <c r="C979" t="e">
        <f>VLOOKUP(A979,'Production Plan'!B:F,5,FALSE)</f>
        <v>#N/A</v>
      </c>
      <c r="F979"/>
    </row>
    <row r="980" spans="1:6" hidden="1">
      <c r="A980">
        <f>'Production Plan'!B969</f>
        <v>0</v>
      </c>
      <c r="B980" t="e">
        <f>VLOOKUP(A980,'Production Plan'!B:T,16,FALSE)</f>
        <v>#N/A</v>
      </c>
      <c r="C980" t="e">
        <f>VLOOKUP(A980,'Production Plan'!B:F,5,FALSE)</f>
        <v>#N/A</v>
      </c>
      <c r="F980"/>
    </row>
    <row r="981" spans="1:6" hidden="1">
      <c r="A981">
        <f>'Production Plan'!B970</f>
        <v>0</v>
      </c>
      <c r="B981" t="e">
        <f>VLOOKUP(A981,'Production Plan'!B:T,16,FALSE)</f>
        <v>#N/A</v>
      </c>
      <c r="C981" t="e">
        <f>VLOOKUP(A981,'Production Plan'!B:F,5,FALSE)</f>
        <v>#N/A</v>
      </c>
      <c r="F981"/>
    </row>
    <row r="982" spans="1:6" hidden="1">
      <c r="A982">
        <f>'Production Plan'!B971</f>
        <v>0</v>
      </c>
      <c r="B982" t="e">
        <f>VLOOKUP(A982,'Production Plan'!B:T,16,FALSE)</f>
        <v>#N/A</v>
      </c>
      <c r="C982" t="e">
        <f>VLOOKUP(A982,'Production Plan'!B:F,5,FALSE)</f>
        <v>#N/A</v>
      </c>
      <c r="F982"/>
    </row>
    <row r="983" spans="1:6" hidden="1">
      <c r="A983">
        <f>'Production Plan'!B972</f>
        <v>0</v>
      </c>
      <c r="B983" t="e">
        <f>VLOOKUP(A983,'Production Plan'!B:T,16,FALSE)</f>
        <v>#N/A</v>
      </c>
      <c r="C983" t="e">
        <f>VLOOKUP(A983,'Production Plan'!B:F,5,FALSE)</f>
        <v>#N/A</v>
      </c>
      <c r="F983"/>
    </row>
    <row r="984" spans="1:6" hidden="1">
      <c r="A984">
        <f>'Production Plan'!B973</f>
        <v>0</v>
      </c>
      <c r="B984" t="e">
        <f>VLOOKUP(A984,'Production Plan'!B:T,16,FALSE)</f>
        <v>#N/A</v>
      </c>
      <c r="C984" t="e">
        <f>VLOOKUP(A984,'Production Plan'!B:F,5,FALSE)</f>
        <v>#N/A</v>
      </c>
      <c r="F984"/>
    </row>
    <row r="985" spans="1:6" hidden="1">
      <c r="A985">
        <f>'Production Plan'!B974</f>
        <v>0</v>
      </c>
      <c r="B985" t="e">
        <f>VLOOKUP(A985,'Production Plan'!B:T,16,FALSE)</f>
        <v>#N/A</v>
      </c>
      <c r="C985" t="e">
        <f>VLOOKUP(A985,'Production Plan'!B:F,5,FALSE)</f>
        <v>#N/A</v>
      </c>
      <c r="F985"/>
    </row>
    <row r="986" spans="1:6" hidden="1">
      <c r="A986">
        <f>'Production Plan'!B975</f>
        <v>0</v>
      </c>
      <c r="B986" t="e">
        <f>VLOOKUP(A986,'Production Plan'!B:T,16,FALSE)</f>
        <v>#N/A</v>
      </c>
      <c r="C986" t="e">
        <f>VLOOKUP(A986,'Production Plan'!B:F,5,FALSE)</f>
        <v>#N/A</v>
      </c>
      <c r="F986"/>
    </row>
    <row r="987" spans="1:6" hidden="1">
      <c r="A987">
        <f>'Production Plan'!B976</f>
        <v>0</v>
      </c>
      <c r="B987" t="e">
        <f>VLOOKUP(A987,'Production Plan'!B:T,16,FALSE)</f>
        <v>#N/A</v>
      </c>
      <c r="C987" t="e">
        <f>VLOOKUP(A987,'Production Plan'!B:F,5,FALSE)</f>
        <v>#N/A</v>
      </c>
      <c r="F987"/>
    </row>
    <row r="988" spans="1:6" hidden="1">
      <c r="A988">
        <f>'Production Plan'!B977</f>
        <v>0</v>
      </c>
      <c r="B988" t="e">
        <f>VLOOKUP(A988,'Production Plan'!B:T,16,FALSE)</f>
        <v>#N/A</v>
      </c>
      <c r="C988" t="e">
        <f>VLOOKUP(A988,'Production Plan'!B:F,5,FALSE)</f>
        <v>#N/A</v>
      </c>
      <c r="F988"/>
    </row>
    <row r="989" spans="1:6" hidden="1">
      <c r="A989">
        <f>'Production Plan'!B978</f>
        <v>0</v>
      </c>
      <c r="B989" t="e">
        <f>VLOOKUP(A989,'Production Plan'!B:T,16,FALSE)</f>
        <v>#N/A</v>
      </c>
      <c r="C989" t="e">
        <f>VLOOKUP(A989,'Production Plan'!B:F,5,FALSE)</f>
        <v>#N/A</v>
      </c>
      <c r="F989"/>
    </row>
    <row r="990" spans="1:6" hidden="1">
      <c r="A990">
        <f>'Production Plan'!B979</f>
        <v>0</v>
      </c>
      <c r="B990" t="e">
        <f>VLOOKUP(A990,'Production Plan'!B:T,16,FALSE)</f>
        <v>#N/A</v>
      </c>
      <c r="C990" t="e">
        <f>VLOOKUP(A990,'Production Plan'!B:F,5,FALSE)</f>
        <v>#N/A</v>
      </c>
      <c r="F990"/>
    </row>
    <row r="991" spans="1:6" hidden="1">
      <c r="A991">
        <f>'Production Plan'!B980</f>
        <v>0</v>
      </c>
      <c r="B991" t="e">
        <f>VLOOKUP(A991,'Production Plan'!B:T,16,FALSE)</f>
        <v>#N/A</v>
      </c>
      <c r="C991" t="e">
        <f>VLOOKUP(A991,'Production Plan'!B:F,5,FALSE)</f>
        <v>#N/A</v>
      </c>
      <c r="F991"/>
    </row>
    <row r="992" spans="1:6" hidden="1">
      <c r="A992">
        <f>'Production Plan'!B981</f>
        <v>0</v>
      </c>
      <c r="B992" t="e">
        <f>VLOOKUP(A992,'Production Plan'!B:T,16,FALSE)</f>
        <v>#N/A</v>
      </c>
      <c r="C992" t="e">
        <f>VLOOKUP(A992,'Production Plan'!B:F,5,FALSE)</f>
        <v>#N/A</v>
      </c>
      <c r="F992"/>
    </row>
    <row r="993" spans="1:6" hidden="1">
      <c r="A993">
        <f>'Production Plan'!B982</f>
        <v>0</v>
      </c>
      <c r="B993" t="e">
        <f>VLOOKUP(A993,'Production Plan'!B:T,16,FALSE)</f>
        <v>#N/A</v>
      </c>
      <c r="C993" t="e">
        <f>VLOOKUP(A993,'Production Plan'!B:F,5,FALSE)</f>
        <v>#N/A</v>
      </c>
      <c r="F993"/>
    </row>
    <row r="994" spans="1:6" hidden="1">
      <c r="A994">
        <f>'Production Plan'!B983</f>
        <v>0</v>
      </c>
      <c r="B994" t="e">
        <f>VLOOKUP(A994,'Production Plan'!B:T,16,FALSE)</f>
        <v>#N/A</v>
      </c>
      <c r="C994" t="e">
        <f>VLOOKUP(A994,'Production Plan'!B:F,5,FALSE)</f>
        <v>#N/A</v>
      </c>
      <c r="F994"/>
    </row>
    <row r="995" spans="1:6" hidden="1">
      <c r="A995">
        <f>'Production Plan'!B984</f>
        <v>0</v>
      </c>
      <c r="B995" t="e">
        <f>VLOOKUP(A995,'Production Plan'!B:T,16,FALSE)</f>
        <v>#N/A</v>
      </c>
      <c r="C995" t="e">
        <f>VLOOKUP(A995,'Production Plan'!B:F,5,FALSE)</f>
        <v>#N/A</v>
      </c>
      <c r="F995"/>
    </row>
    <row r="996" spans="1:6" hidden="1">
      <c r="A996">
        <f>'Production Plan'!B985</f>
        <v>0</v>
      </c>
      <c r="B996" t="e">
        <f>VLOOKUP(A996,'Production Plan'!B:T,16,FALSE)</f>
        <v>#N/A</v>
      </c>
      <c r="C996" t="e">
        <f>VLOOKUP(A996,'Production Plan'!B:F,5,FALSE)</f>
        <v>#N/A</v>
      </c>
      <c r="F996"/>
    </row>
    <row r="997" spans="1:6" hidden="1">
      <c r="A997">
        <f>'Production Plan'!B986</f>
        <v>0</v>
      </c>
      <c r="B997" t="e">
        <f>VLOOKUP(A997,'Production Plan'!B:T,16,FALSE)</f>
        <v>#N/A</v>
      </c>
      <c r="C997" t="e">
        <f>VLOOKUP(A997,'Production Plan'!B:F,5,FALSE)</f>
        <v>#N/A</v>
      </c>
      <c r="F997"/>
    </row>
    <row r="998" spans="1:6" hidden="1">
      <c r="A998">
        <f>'Production Plan'!B987</f>
        <v>0</v>
      </c>
      <c r="B998" t="e">
        <f>VLOOKUP(A998,'Production Plan'!B:T,16,FALSE)</f>
        <v>#N/A</v>
      </c>
      <c r="C998" t="e">
        <f>VLOOKUP(A998,'Production Plan'!B:F,5,FALSE)</f>
        <v>#N/A</v>
      </c>
      <c r="F998"/>
    </row>
    <row r="999" spans="1:6" hidden="1">
      <c r="A999">
        <f>'Production Plan'!B988</f>
        <v>0</v>
      </c>
      <c r="B999" t="e">
        <f>VLOOKUP(A999,'Production Plan'!B:T,16,FALSE)</f>
        <v>#N/A</v>
      </c>
      <c r="C999" t="e">
        <f>VLOOKUP(A999,'Production Plan'!B:F,5,FALSE)</f>
        <v>#N/A</v>
      </c>
      <c r="F999"/>
    </row>
    <row r="1000" spans="1:6" hidden="1">
      <c r="A1000">
        <f>'Production Plan'!B989</f>
        <v>0</v>
      </c>
      <c r="B1000" t="e">
        <f>VLOOKUP(A1000,'Production Plan'!B:T,16,FALSE)</f>
        <v>#N/A</v>
      </c>
      <c r="C1000" t="e">
        <f>VLOOKUP(A1000,'Production Plan'!B:F,5,FALSE)</f>
        <v>#N/A</v>
      </c>
      <c r="F1000"/>
    </row>
    <row r="1001" spans="1:6" hidden="1">
      <c r="A1001">
        <f>'Production Plan'!B990</f>
        <v>0</v>
      </c>
      <c r="B1001" t="e">
        <f>VLOOKUP(A1001,'Production Plan'!B:T,16,FALSE)</f>
        <v>#N/A</v>
      </c>
      <c r="C1001" t="e">
        <f>VLOOKUP(A1001,'Production Plan'!B:F,5,FALSE)</f>
        <v>#N/A</v>
      </c>
      <c r="F1001"/>
    </row>
    <row r="1002" spans="1:6" hidden="1">
      <c r="A1002">
        <f>'Production Plan'!B991</f>
        <v>0</v>
      </c>
      <c r="B1002" t="e">
        <f>VLOOKUP(A1002,'Production Plan'!B:T,16,FALSE)</f>
        <v>#N/A</v>
      </c>
      <c r="C1002" t="e">
        <f>VLOOKUP(A1002,'Production Plan'!B:F,5,FALSE)</f>
        <v>#N/A</v>
      </c>
      <c r="F1002"/>
    </row>
    <row r="1003" spans="1:6" hidden="1">
      <c r="A1003">
        <f>'Production Plan'!B992</f>
        <v>0</v>
      </c>
      <c r="B1003" t="e">
        <f>VLOOKUP(A1003,'Production Plan'!B:T,16,FALSE)</f>
        <v>#N/A</v>
      </c>
      <c r="C1003" t="e">
        <f>VLOOKUP(A1003,'Production Plan'!B:F,5,FALSE)</f>
        <v>#N/A</v>
      </c>
      <c r="F1003"/>
    </row>
    <row r="1004" spans="1:6" hidden="1">
      <c r="A1004">
        <f>'Production Plan'!B993</f>
        <v>0</v>
      </c>
      <c r="B1004" t="e">
        <f>VLOOKUP(A1004,'Production Plan'!B:T,16,FALSE)</f>
        <v>#N/A</v>
      </c>
      <c r="C1004" t="e">
        <f>VLOOKUP(A1004,'Production Plan'!B:F,5,FALSE)</f>
        <v>#N/A</v>
      </c>
      <c r="F1004"/>
    </row>
    <row r="1005" spans="1:6" hidden="1">
      <c r="A1005">
        <f>'Production Plan'!B994</f>
        <v>0</v>
      </c>
      <c r="B1005" t="e">
        <f>VLOOKUP(A1005,'Production Plan'!B:T,16,FALSE)</f>
        <v>#N/A</v>
      </c>
      <c r="C1005" t="e">
        <f>VLOOKUP(A1005,'Production Plan'!B:F,5,FALSE)</f>
        <v>#N/A</v>
      </c>
      <c r="F1005"/>
    </row>
    <row r="1006" spans="1:6" hidden="1">
      <c r="A1006">
        <f>'Production Plan'!B995</f>
        <v>0</v>
      </c>
      <c r="B1006" t="e">
        <f>VLOOKUP(A1006,'Production Plan'!B:T,16,FALSE)</f>
        <v>#N/A</v>
      </c>
      <c r="C1006" t="e">
        <f>VLOOKUP(A1006,'Production Plan'!B:F,5,FALSE)</f>
        <v>#N/A</v>
      </c>
      <c r="F1006"/>
    </row>
    <row r="1007" spans="1:6" hidden="1">
      <c r="A1007">
        <f>'Production Plan'!B996</f>
        <v>0</v>
      </c>
      <c r="B1007" t="e">
        <f>VLOOKUP(A1007,'Production Plan'!B:T,16,FALSE)</f>
        <v>#N/A</v>
      </c>
      <c r="C1007" t="e">
        <f>VLOOKUP(A1007,'Production Plan'!B:F,5,FALSE)</f>
        <v>#N/A</v>
      </c>
      <c r="F1007"/>
    </row>
    <row r="1008" spans="1:6" hidden="1">
      <c r="A1008">
        <f>'Production Plan'!B997</f>
        <v>0</v>
      </c>
      <c r="B1008" t="e">
        <f>VLOOKUP(A1008,'Production Plan'!B:T,16,FALSE)</f>
        <v>#N/A</v>
      </c>
      <c r="C1008" t="e">
        <f>VLOOKUP(A1008,'Production Plan'!B:F,5,FALSE)</f>
        <v>#N/A</v>
      </c>
      <c r="F1008"/>
    </row>
    <row r="1009" spans="1:6" hidden="1">
      <c r="A1009">
        <f>'Production Plan'!B998</f>
        <v>0</v>
      </c>
      <c r="B1009" t="e">
        <f>VLOOKUP(A1009,'Production Plan'!B:T,16,FALSE)</f>
        <v>#N/A</v>
      </c>
      <c r="C1009" t="e">
        <f>VLOOKUP(A1009,'Production Plan'!B:F,5,FALSE)</f>
        <v>#N/A</v>
      </c>
      <c r="F1009"/>
    </row>
    <row r="1010" spans="1:6" hidden="1">
      <c r="A1010">
        <f>'Production Plan'!B999</f>
        <v>0</v>
      </c>
      <c r="B1010" t="e">
        <f>VLOOKUP(A1010,'Production Plan'!B:T,16,FALSE)</f>
        <v>#N/A</v>
      </c>
      <c r="C1010" t="e">
        <f>VLOOKUP(A1010,'Production Plan'!B:F,5,FALSE)</f>
        <v>#N/A</v>
      </c>
      <c r="F1010"/>
    </row>
    <row r="1011" spans="1:6" hidden="1">
      <c r="A1011">
        <f>'Production Plan'!B1000</f>
        <v>0</v>
      </c>
      <c r="B1011" t="e">
        <f>VLOOKUP(A1011,'Production Plan'!B:T,16,FALSE)</f>
        <v>#N/A</v>
      </c>
      <c r="C1011" t="e">
        <f>VLOOKUP(A1011,'Production Plan'!B:F,5,FALSE)</f>
        <v>#N/A</v>
      </c>
      <c r="F1011"/>
    </row>
    <row r="1012" spans="1:6" hidden="1">
      <c r="A1012">
        <f>'Production Plan'!B1001</f>
        <v>0</v>
      </c>
      <c r="B1012" t="e">
        <f>VLOOKUP(A1012,'Production Plan'!B:T,16,FALSE)</f>
        <v>#N/A</v>
      </c>
      <c r="C1012" t="e">
        <f>VLOOKUP(A1012,'Production Plan'!B:F,5,FALSE)</f>
        <v>#N/A</v>
      </c>
      <c r="F1012"/>
    </row>
    <row r="1013" spans="1:6" hidden="1">
      <c r="A1013">
        <f>'Production Plan'!B1002</f>
        <v>0</v>
      </c>
      <c r="B1013" t="e">
        <f>VLOOKUP(A1013,'Production Plan'!B:T,16,FALSE)</f>
        <v>#N/A</v>
      </c>
      <c r="C1013" t="e">
        <f>VLOOKUP(A1013,'Production Plan'!B:F,5,FALSE)</f>
        <v>#N/A</v>
      </c>
      <c r="F1013"/>
    </row>
    <row r="1014" spans="1:6" hidden="1">
      <c r="A1014">
        <f>'Production Plan'!B1003</f>
        <v>0</v>
      </c>
      <c r="B1014" t="e">
        <f>VLOOKUP(A1014,'Production Plan'!B:T,16,FALSE)</f>
        <v>#N/A</v>
      </c>
      <c r="C1014" t="e">
        <f>VLOOKUP(A1014,'Production Plan'!B:F,5,FALSE)</f>
        <v>#N/A</v>
      </c>
      <c r="F1014"/>
    </row>
    <row r="1015" spans="1:6" hidden="1">
      <c r="A1015">
        <f>'Production Plan'!B1004</f>
        <v>0</v>
      </c>
      <c r="B1015" t="e">
        <f>VLOOKUP(A1015,'Production Plan'!B:T,16,FALSE)</f>
        <v>#N/A</v>
      </c>
      <c r="C1015" t="e">
        <f>VLOOKUP(A1015,'Production Plan'!B:F,5,FALSE)</f>
        <v>#N/A</v>
      </c>
      <c r="F1015"/>
    </row>
    <row r="1016" spans="1:6" hidden="1">
      <c r="A1016">
        <f>'Production Plan'!B1005</f>
        <v>0</v>
      </c>
      <c r="B1016" t="e">
        <f>VLOOKUP(A1016,'Production Plan'!B:T,16,FALSE)</f>
        <v>#N/A</v>
      </c>
      <c r="C1016" t="e">
        <f>VLOOKUP(A1016,'Production Plan'!B:F,5,FALSE)</f>
        <v>#N/A</v>
      </c>
      <c r="F1016"/>
    </row>
    <row r="1017" spans="1:6" hidden="1">
      <c r="A1017">
        <f>'Production Plan'!B1006</f>
        <v>0</v>
      </c>
      <c r="B1017" t="e">
        <f>VLOOKUP(A1017,'Production Plan'!B:T,16,FALSE)</f>
        <v>#N/A</v>
      </c>
      <c r="C1017" t="e">
        <f>VLOOKUP(A1017,'Production Plan'!B:F,5,FALSE)</f>
        <v>#N/A</v>
      </c>
      <c r="F1017"/>
    </row>
    <row r="1018" spans="1:6" hidden="1">
      <c r="A1018">
        <f>'Production Plan'!B1007</f>
        <v>0</v>
      </c>
      <c r="B1018" t="e">
        <f>VLOOKUP(A1018,'Production Plan'!B:T,16,FALSE)</f>
        <v>#N/A</v>
      </c>
      <c r="C1018" t="e">
        <f>VLOOKUP(A1018,'Production Plan'!B:F,5,FALSE)</f>
        <v>#N/A</v>
      </c>
      <c r="F1018"/>
    </row>
    <row r="1019" spans="1:6" hidden="1">
      <c r="A1019">
        <f>'Production Plan'!B1008</f>
        <v>0</v>
      </c>
      <c r="B1019" t="e">
        <f>VLOOKUP(A1019,'Production Plan'!B:T,16,FALSE)</f>
        <v>#N/A</v>
      </c>
      <c r="C1019" t="e">
        <f>VLOOKUP(A1019,'Production Plan'!B:F,5,FALSE)</f>
        <v>#N/A</v>
      </c>
      <c r="F1019"/>
    </row>
    <row r="1020" spans="1:6" hidden="1">
      <c r="A1020">
        <f>'Production Plan'!B1009</f>
        <v>0</v>
      </c>
      <c r="B1020" t="e">
        <f>VLOOKUP(A1020,'Production Plan'!B:T,16,FALSE)</f>
        <v>#N/A</v>
      </c>
      <c r="C1020" t="e">
        <f>VLOOKUP(A1020,'Production Plan'!B:F,5,FALSE)</f>
        <v>#N/A</v>
      </c>
      <c r="F1020"/>
    </row>
    <row r="1021" spans="1:6" hidden="1">
      <c r="A1021">
        <f>'Production Plan'!B1010</f>
        <v>0</v>
      </c>
      <c r="B1021" t="e">
        <f>VLOOKUP(A1021,'Production Plan'!B:T,16,FALSE)</f>
        <v>#N/A</v>
      </c>
      <c r="C1021" t="e">
        <f>VLOOKUP(A1021,'Production Plan'!B:F,5,FALSE)</f>
        <v>#N/A</v>
      </c>
      <c r="F1021"/>
    </row>
    <row r="1022" spans="1:6" hidden="1">
      <c r="A1022">
        <f>'Production Plan'!B1011</f>
        <v>0</v>
      </c>
      <c r="B1022" t="e">
        <f>VLOOKUP(A1022,'Production Plan'!B:T,16,FALSE)</f>
        <v>#N/A</v>
      </c>
      <c r="C1022" t="e">
        <f>VLOOKUP(A1022,'Production Plan'!B:F,5,FALSE)</f>
        <v>#N/A</v>
      </c>
      <c r="F1022"/>
    </row>
    <row r="1023" spans="1:6" hidden="1">
      <c r="A1023">
        <f>'Production Plan'!B1012</f>
        <v>0</v>
      </c>
      <c r="B1023" t="e">
        <f>VLOOKUP(A1023,'Production Plan'!B:T,16,FALSE)</f>
        <v>#N/A</v>
      </c>
      <c r="C1023" t="e">
        <f>VLOOKUP(A1023,'Production Plan'!B:F,5,FALSE)</f>
        <v>#N/A</v>
      </c>
      <c r="F1023"/>
    </row>
    <row r="1024" spans="1:6" hidden="1">
      <c r="A1024">
        <f>'Production Plan'!B1013</f>
        <v>0</v>
      </c>
      <c r="B1024" t="e">
        <f>VLOOKUP(A1024,'Production Plan'!B:T,16,FALSE)</f>
        <v>#N/A</v>
      </c>
      <c r="C1024" t="e">
        <f>VLOOKUP(A1024,'Production Plan'!B:F,5,FALSE)</f>
        <v>#N/A</v>
      </c>
      <c r="F1024"/>
    </row>
    <row r="1025" spans="1:6" hidden="1">
      <c r="A1025">
        <f>'Production Plan'!B1014</f>
        <v>0</v>
      </c>
      <c r="B1025" t="e">
        <f>VLOOKUP(A1025,'Production Plan'!B:T,16,FALSE)</f>
        <v>#N/A</v>
      </c>
      <c r="C1025" t="e">
        <f>VLOOKUP(A1025,'Production Plan'!B:F,5,FALSE)</f>
        <v>#N/A</v>
      </c>
      <c r="F1025"/>
    </row>
    <row r="1026" spans="1:6" hidden="1">
      <c r="A1026">
        <f>'Production Plan'!B1015</f>
        <v>0</v>
      </c>
      <c r="B1026" t="e">
        <f>VLOOKUP(A1026,'Production Plan'!B:T,16,FALSE)</f>
        <v>#N/A</v>
      </c>
      <c r="C1026" t="e">
        <f>VLOOKUP(A1026,'Production Plan'!B:F,5,FALSE)</f>
        <v>#N/A</v>
      </c>
      <c r="F1026"/>
    </row>
    <row r="1027" spans="1:6" hidden="1">
      <c r="A1027">
        <f>'Production Plan'!B1016</f>
        <v>0</v>
      </c>
      <c r="B1027" t="e">
        <f>VLOOKUP(A1027,'Production Plan'!B:T,16,FALSE)</f>
        <v>#N/A</v>
      </c>
      <c r="C1027" t="e">
        <f>VLOOKUP(A1027,'Production Plan'!B:F,5,FALSE)</f>
        <v>#N/A</v>
      </c>
      <c r="F1027"/>
    </row>
    <row r="1028" spans="1:6" hidden="1">
      <c r="A1028">
        <f>'Production Plan'!B1017</f>
        <v>0</v>
      </c>
      <c r="B1028" t="e">
        <f>VLOOKUP(A1028,'Production Plan'!B:T,16,FALSE)</f>
        <v>#N/A</v>
      </c>
      <c r="C1028" t="e">
        <f>VLOOKUP(A1028,'Production Plan'!B:F,5,FALSE)</f>
        <v>#N/A</v>
      </c>
      <c r="F1028"/>
    </row>
    <row r="1029" spans="1:6" hidden="1">
      <c r="A1029">
        <f>'Production Plan'!B1018</f>
        <v>0</v>
      </c>
      <c r="B1029" t="e">
        <f>VLOOKUP(A1029,'Production Plan'!B:T,16,FALSE)</f>
        <v>#N/A</v>
      </c>
      <c r="C1029" t="e">
        <f>VLOOKUP(A1029,'Production Plan'!B:F,5,FALSE)</f>
        <v>#N/A</v>
      </c>
      <c r="F1029"/>
    </row>
    <row r="1030" spans="1:6" hidden="1">
      <c r="A1030">
        <f>'Production Plan'!B1019</f>
        <v>0</v>
      </c>
      <c r="B1030" t="e">
        <f>VLOOKUP(A1030,'Production Plan'!B:T,16,FALSE)</f>
        <v>#N/A</v>
      </c>
      <c r="C1030" t="e">
        <f>VLOOKUP(A1030,'Production Plan'!B:F,5,FALSE)</f>
        <v>#N/A</v>
      </c>
      <c r="F1030"/>
    </row>
    <row r="1031" spans="1:6" hidden="1">
      <c r="A1031">
        <f>'Production Plan'!B1020</f>
        <v>0</v>
      </c>
      <c r="B1031" t="e">
        <f>VLOOKUP(A1031,'Production Plan'!B:T,16,FALSE)</f>
        <v>#N/A</v>
      </c>
      <c r="C1031" t="e">
        <f>VLOOKUP(A1031,'Production Plan'!B:F,5,FALSE)</f>
        <v>#N/A</v>
      </c>
      <c r="F1031"/>
    </row>
    <row r="1032" spans="1:6" hidden="1">
      <c r="A1032">
        <f>'Production Plan'!B1021</f>
        <v>0</v>
      </c>
      <c r="B1032" t="e">
        <f>VLOOKUP(A1032,'Production Plan'!B:T,16,FALSE)</f>
        <v>#N/A</v>
      </c>
      <c r="C1032" t="e">
        <f>VLOOKUP(A1032,'Production Plan'!B:F,5,FALSE)</f>
        <v>#N/A</v>
      </c>
      <c r="F1032"/>
    </row>
    <row r="1033" spans="1:6" hidden="1">
      <c r="A1033">
        <f>'Production Plan'!B1022</f>
        <v>0</v>
      </c>
      <c r="B1033" t="e">
        <f>VLOOKUP(A1033,'Production Plan'!B:T,16,FALSE)</f>
        <v>#N/A</v>
      </c>
      <c r="C1033" t="e">
        <f>VLOOKUP(A1033,'Production Plan'!B:F,5,FALSE)</f>
        <v>#N/A</v>
      </c>
      <c r="F1033"/>
    </row>
    <row r="1034" spans="1:6" hidden="1">
      <c r="A1034">
        <f>'Production Plan'!B1023</f>
        <v>0</v>
      </c>
      <c r="B1034" t="e">
        <f>VLOOKUP(A1034,'Production Plan'!B:T,16,FALSE)</f>
        <v>#N/A</v>
      </c>
      <c r="C1034" t="e">
        <f>VLOOKUP(A1034,'Production Plan'!B:F,5,FALSE)</f>
        <v>#N/A</v>
      </c>
      <c r="F1034"/>
    </row>
    <row r="1035" spans="1:6" hidden="1">
      <c r="A1035">
        <f>'Production Plan'!B1024</f>
        <v>0</v>
      </c>
      <c r="B1035" t="e">
        <f>VLOOKUP(A1035,'Production Plan'!B:T,16,FALSE)</f>
        <v>#N/A</v>
      </c>
      <c r="C1035" t="e">
        <f>VLOOKUP(A1035,'Production Plan'!B:F,5,FALSE)</f>
        <v>#N/A</v>
      </c>
      <c r="F1035"/>
    </row>
    <row r="1036" spans="1:6" hidden="1">
      <c r="A1036">
        <f>'Production Plan'!B1025</f>
        <v>0</v>
      </c>
      <c r="B1036" t="e">
        <f>VLOOKUP(A1036,'Production Plan'!B:T,16,FALSE)</f>
        <v>#N/A</v>
      </c>
      <c r="C1036" t="e">
        <f>VLOOKUP(A1036,'Production Plan'!B:F,5,FALSE)</f>
        <v>#N/A</v>
      </c>
      <c r="F1036"/>
    </row>
    <row r="1037" spans="1:6" hidden="1">
      <c r="A1037">
        <f>'Production Plan'!B1026</f>
        <v>0</v>
      </c>
      <c r="B1037" t="e">
        <f>VLOOKUP(A1037,'Production Plan'!B:T,16,FALSE)</f>
        <v>#N/A</v>
      </c>
      <c r="C1037" t="e">
        <f>VLOOKUP(A1037,'Production Plan'!B:F,5,FALSE)</f>
        <v>#N/A</v>
      </c>
      <c r="F1037"/>
    </row>
    <row r="1038" spans="1:6" hidden="1">
      <c r="A1038">
        <f>'Production Plan'!B1027</f>
        <v>0</v>
      </c>
      <c r="B1038" t="e">
        <f>VLOOKUP(A1038,'Production Plan'!B:T,16,FALSE)</f>
        <v>#N/A</v>
      </c>
      <c r="C1038" t="e">
        <f>VLOOKUP(A1038,'Production Plan'!B:F,5,FALSE)</f>
        <v>#N/A</v>
      </c>
      <c r="F1038"/>
    </row>
    <row r="1039" spans="1:6" hidden="1">
      <c r="A1039">
        <f>'Production Plan'!B1028</f>
        <v>0</v>
      </c>
      <c r="B1039" t="e">
        <f>VLOOKUP(A1039,'Production Plan'!B:T,16,FALSE)</f>
        <v>#N/A</v>
      </c>
      <c r="C1039" t="e">
        <f>VLOOKUP(A1039,'Production Plan'!B:F,5,FALSE)</f>
        <v>#N/A</v>
      </c>
      <c r="F1039"/>
    </row>
    <row r="1040" spans="1:6" hidden="1">
      <c r="A1040">
        <f>'Production Plan'!B1029</f>
        <v>0</v>
      </c>
      <c r="B1040" t="e">
        <f>VLOOKUP(A1040,'Production Plan'!B:T,16,FALSE)</f>
        <v>#N/A</v>
      </c>
      <c r="C1040" t="e">
        <f>VLOOKUP(A1040,'Production Plan'!B:F,5,FALSE)</f>
        <v>#N/A</v>
      </c>
      <c r="F1040"/>
    </row>
    <row r="1041" spans="1:6" hidden="1">
      <c r="A1041">
        <f>'Production Plan'!B1030</f>
        <v>0</v>
      </c>
      <c r="B1041" t="e">
        <f>VLOOKUP(A1041,'Production Plan'!B:T,16,FALSE)</f>
        <v>#N/A</v>
      </c>
      <c r="C1041" t="e">
        <f>VLOOKUP(A1041,'Production Plan'!B:F,5,FALSE)</f>
        <v>#N/A</v>
      </c>
      <c r="F1041"/>
    </row>
    <row r="1042" spans="1:6" hidden="1">
      <c r="A1042">
        <f>'Production Plan'!B1031</f>
        <v>0</v>
      </c>
      <c r="B1042" t="e">
        <f>VLOOKUP(A1042,'Production Plan'!B:T,16,FALSE)</f>
        <v>#N/A</v>
      </c>
      <c r="C1042" t="e">
        <f>VLOOKUP(A1042,'Production Plan'!B:F,5,FALSE)</f>
        <v>#N/A</v>
      </c>
      <c r="F1042"/>
    </row>
    <row r="1043" spans="1:6" hidden="1">
      <c r="A1043">
        <f>'Production Plan'!B1032</f>
        <v>0</v>
      </c>
      <c r="B1043" t="e">
        <f>VLOOKUP(A1043,'Production Plan'!B:T,16,FALSE)</f>
        <v>#N/A</v>
      </c>
      <c r="C1043" t="e">
        <f>VLOOKUP(A1043,'Production Plan'!B:F,5,FALSE)</f>
        <v>#N/A</v>
      </c>
      <c r="F1043"/>
    </row>
    <row r="1044" spans="1:6" hidden="1">
      <c r="A1044">
        <f>'Production Plan'!B1033</f>
        <v>0</v>
      </c>
      <c r="B1044" t="e">
        <f>VLOOKUP(A1044,'Production Plan'!B:T,16,FALSE)</f>
        <v>#N/A</v>
      </c>
      <c r="C1044" t="e">
        <f>VLOOKUP(A1044,'Production Plan'!B:F,5,FALSE)</f>
        <v>#N/A</v>
      </c>
      <c r="F1044"/>
    </row>
    <row r="1045" spans="1:6" hidden="1">
      <c r="A1045">
        <f>'Production Plan'!B1034</f>
        <v>0</v>
      </c>
      <c r="B1045" t="e">
        <f>VLOOKUP(A1045,'Production Plan'!B:T,16,FALSE)</f>
        <v>#N/A</v>
      </c>
      <c r="C1045" t="e">
        <f>VLOOKUP(A1045,'Production Plan'!B:F,5,FALSE)</f>
        <v>#N/A</v>
      </c>
      <c r="F1045"/>
    </row>
    <row r="1046" spans="1:6" hidden="1">
      <c r="A1046">
        <f>'Production Plan'!B1035</f>
        <v>0</v>
      </c>
      <c r="B1046" t="e">
        <f>VLOOKUP(A1046,'Production Plan'!B:T,16,FALSE)</f>
        <v>#N/A</v>
      </c>
      <c r="C1046" t="e">
        <f>VLOOKUP(A1046,'Production Plan'!B:F,5,FALSE)</f>
        <v>#N/A</v>
      </c>
      <c r="F1046"/>
    </row>
    <row r="1047" spans="1:6" hidden="1">
      <c r="A1047">
        <f>'Production Plan'!B1036</f>
        <v>0</v>
      </c>
      <c r="B1047" t="e">
        <f>VLOOKUP(A1047,'Production Plan'!B:T,16,FALSE)</f>
        <v>#N/A</v>
      </c>
      <c r="C1047" t="e">
        <f>VLOOKUP(A1047,'Production Plan'!B:F,5,FALSE)</f>
        <v>#N/A</v>
      </c>
      <c r="F1047"/>
    </row>
    <row r="1048" spans="1:6" hidden="1">
      <c r="A1048">
        <f>'Production Plan'!B1037</f>
        <v>0</v>
      </c>
      <c r="B1048" t="e">
        <f>VLOOKUP(A1048,'Production Plan'!B:T,16,FALSE)</f>
        <v>#N/A</v>
      </c>
      <c r="C1048" t="e">
        <f>VLOOKUP(A1048,'Production Plan'!B:F,5,FALSE)</f>
        <v>#N/A</v>
      </c>
      <c r="F1048"/>
    </row>
    <row r="1049" spans="1:6" hidden="1">
      <c r="A1049">
        <f>'Production Plan'!B1038</f>
        <v>0</v>
      </c>
      <c r="B1049" t="e">
        <f>VLOOKUP(A1049,'Production Plan'!B:T,16,FALSE)</f>
        <v>#N/A</v>
      </c>
      <c r="C1049" t="e">
        <f>VLOOKUP(A1049,'Production Plan'!B:F,5,FALSE)</f>
        <v>#N/A</v>
      </c>
      <c r="F1049"/>
    </row>
    <row r="1050" spans="1:6" hidden="1">
      <c r="A1050">
        <f>'Production Plan'!B1039</f>
        <v>0</v>
      </c>
      <c r="B1050" t="e">
        <f>VLOOKUP(A1050,'Production Plan'!B:T,16,FALSE)</f>
        <v>#N/A</v>
      </c>
      <c r="C1050" t="e">
        <f>VLOOKUP(A1050,'Production Plan'!B:F,5,FALSE)</f>
        <v>#N/A</v>
      </c>
      <c r="F1050"/>
    </row>
    <row r="1051" spans="1:6" hidden="1">
      <c r="A1051">
        <f>'Production Plan'!B1040</f>
        <v>0</v>
      </c>
      <c r="B1051" t="e">
        <f>VLOOKUP(A1051,'Production Plan'!B:T,16,FALSE)</f>
        <v>#N/A</v>
      </c>
      <c r="C1051" t="e">
        <f>VLOOKUP(A1051,'Production Plan'!B:F,5,FALSE)</f>
        <v>#N/A</v>
      </c>
      <c r="F1051"/>
    </row>
    <row r="1052" spans="1:6" hidden="1">
      <c r="A1052">
        <f>'Production Plan'!B1041</f>
        <v>0</v>
      </c>
      <c r="B1052" t="e">
        <f>VLOOKUP(A1052,'Production Plan'!B:T,16,FALSE)</f>
        <v>#N/A</v>
      </c>
      <c r="C1052" t="e">
        <f>VLOOKUP(A1052,'Production Plan'!B:F,5,FALSE)</f>
        <v>#N/A</v>
      </c>
      <c r="F1052"/>
    </row>
    <row r="1053" spans="1:6" hidden="1">
      <c r="A1053">
        <f>'Production Plan'!B1042</f>
        <v>0</v>
      </c>
      <c r="B1053" t="e">
        <f>VLOOKUP(A1053,'Production Plan'!B:T,16,FALSE)</f>
        <v>#N/A</v>
      </c>
      <c r="C1053" t="e">
        <f>VLOOKUP(A1053,'Production Plan'!B:F,5,FALSE)</f>
        <v>#N/A</v>
      </c>
      <c r="F1053"/>
    </row>
    <row r="1054" spans="1:6" hidden="1">
      <c r="A1054">
        <f>'Production Plan'!B1043</f>
        <v>0</v>
      </c>
      <c r="B1054" t="e">
        <f>VLOOKUP(A1054,'Production Plan'!B:T,16,FALSE)</f>
        <v>#N/A</v>
      </c>
      <c r="C1054" t="e">
        <f>VLOOKUP(A1054,'Production Plan'!B:F,5,FALSE)</f>
        <v>#N/A</v>
      </c>
      <c r="F1054"/>
    </row>
    <row r="1055" spans="1:6" hidden="1">
      <c r="A1055">
        <f>'Production Plan'!B1044</f>
        <v>0</v>
      </c>
      <c r="B1055" t="e">
        <f>VLOOKUP(A1055,'Production Plan'!B:T,16,FALSE)</f>
        <v>#N/A</v>
      </c>
      <c r="C1055" t="e">
        <f>VLOOKUP(A1055,'Production Plan'!B:F,5,FALSE)</f>
        <v>#N/A</v>
      </c>
      <c r="F1055"/>
    </row>
    <row r="1056" spans="1:6" hidden="1">
      <c r="A1056">
        <f>'Production Plan'!B1045</f>
        <v>0</v>
      </c>
      <c r="B1056" t="e">
        <f>VLOOKUP(A1056,'Production Plan'!B:T,16,FALSE)</f>
        <v>#N/A</v>
      </c>
      <c r="C1056" t="e">
        <f>VLOOKUP(A1056,'Production Plan'!B:F,5,FALSE)</f>
        <v>#N/A</v>
      </c>
      <c r="F1056"/>
    </row>
    <row r="1057" spans="1:6" hidden="1">
      <c r="A1057">
        <f>'Production Plan'!B1046</f>
        <v>0</v>
      </c>
      <c r="B1057" t="e">
        <f>VLOOKUP(A1057,'Production Plan'!B:T,16,FALSE)</f>
        <v>#N/A</v>
      </c>
      <c r="C1057" t="e">
        <f>VLOOKUP(A1057,'Production Plan'!B:F,5,FALSE)</f>
        <v>#N/A</v>
      </c>
      <c r="F1057"/>
    </row>
    <row r="1058" spans="1:6" hidden="1">
      <c r="A1058">
        <f>'Production Plan'!B1047</f>
        <v>0</v>
      </c>
      <c r="B1058" t="e">
        <f>VLOOKUP(A1058,'Production Plan'!B:T,16,FALSE)</f>
        <v>#N/A</v>
      </c>
      <c r="C1058" t="e">
        <f>VLOOKUP(A1058,'Production Plan'!B:F,5,FALSE)</f>
        <v>#N/A</v>
      </c>
      <c r="F1058"/>
    </row>
    <row r="1059" spans="1:6" hidden="1">
      <c r="A1059">
        <f>'Production Plan'!B1048</f>
        <v>0</v>
      </c>
      <c r="B1059" t="e">
        <f>VLOOKUP(A1059,'Production Plan'!B:T,16,FALSE)</f>
        <v>#N/A</v>
      </c>
      <c r="C1059" t="e">
        <f>VLOOKUP(A1059,'Production Plan'!B:F,5,FALSE)</f>
        <v>#N/A</v>
      </c>
      <c r="F1059"/>
    </row>
    <row r="1060" spans="1:6" hidden="1">
      <c r="A1060">
        <f>'Production Plan'!B1049</f>
        <v>0</v>
      </c>
      <c r="B1060" t="e">
        <f>VLOOKUP(A1060,'Production Plan'!B:T,16,FALSE)</f>
        <v>#N/A</v>
      </c>
      <c r="C1060" t="e">
        <f>VLOOKUP(A1060,'Production Plan'!B:F,5,FALSE)</f>
        <v>#N/A</v>
      </c>
      <c r="F1060"/>
    </row>
    <row r="1061" spans="1:6" hidden="1">
      <c r="A1061">
        <f>'Production Plan'!B1050</f>
        <v>0</v>
      </c>
      <c r="B1061" t="e">
        <f>VLOOKUP(A1061,'Production Plan'!B:T,16,FALSE)</f>
        <v>#N/A</v>
      </c>
      <c r="C1061" t="e">
        <f>VLOOKUP(A1061,'Production Plan'!B:F,5,FALSE)</f>
        <v>#N/A</v>
      </c>
      <c r="F1061"/>
    </row>
    <row r="1062" spans="1:6" hidden="1">
      <c r="A1062">
        <f>'Production Plan'!B1051</f>
        <v>0</v>
      </c>
      <c r="B1062" t="e">
        <f>VLOOKUP(A1062,'Production Plan'!B:T,16,FALSE)</f>
        <v>#N/A</v>
      </c>
      <c r="C1062" t="e">
        <f>VLOOKUP(A1062,'Production Plan'!B:F,5,FALSE)</f>
        <v>#N/A</v>
      </c>
      <c r="F1062"/>
    </row>
    <row r="1063" spans="1:6" hidden="1">
      <c r="A1063">
        <f>'Production Plan'!B1052</f>
        <v>0</v>
      </c>
      <c r="B1063" t="e">
        <f>VLOOKUP(A1063,'Production Plan'!B:T,16,FALSE)</f>
        <v>#N/A</v>
      </c>
      <c r="C1063" t="e">
        <f>VLOOKUP(A1063,'Production Plan'!B:F,5,FALSE)</f>
        <v>#N/A</v>
      </c>
      <c r="F1063"/>
    </row>
    <row r="1064" spans="1:6" hidden="1">
      <c r="A1064">
        <f>'Production Plan'!B1053</f>
        <v>0</v>
      </c>
      <c r="B1064" t="e">
        <f>VLOOKUP(A1064,'Production Plan'!B:T,16,FALSE)</f>
        <v>#N/A</v>
      </c>
      <c r="C1064" t="e">
        <f>VLOOKUP(A1064,'Production Plan'!B:F,5,FALSE)</f>
        <v>#N/A</v>
      </c>
      <c r="F1064"/>
    </row>
    <row r="1065" spans="1:6" hidden="1">
      <c r="A1065">
        <f>'Production Plan'!B1054</f>
        <v>0</v>
      </c>
      <c r="B1065" t="e">
        <f>VLOOKUP(A1065,'Production Plan'!B:T,16,FALSE)</f>
        <v>#N/A</v>
      </c>
      <c r="C1065" t="e">
        <f>VLOOKUP(A1065,'Production Plan'!B:F,5,FALSE)</f>
        <v>#N/A</v>
      </c>
      <c r="F1065"/>
    </row>
    <row r="1066" spans="1:6" hidden="1">
      <c r="A1066">
        <f>'Production Plan'!B1055</f>
        <v>0</v>
      </c>
      <c r="B1066" t="e">
        <f>VLOOKUP(A1066,'Production Plan'!B:T,16,FALSE)</f>
        <v>#N/A</v>
      </c>
      <c r="C1066" t="e">
        <f>VLOOKUP(A1066,'Production Plan'!B:F,5,FALSE)</f>
        <v>#N/A</v>
      </c>
      <c r="F1066"/>
    </row>
    <row r="1067" spans="1:6" hidden="1">
      <c r="A1067">
        <f>'Production Plan'!B1056</f>
        <v>0</v>
      </c>
      <c r="B1067" t="e">
        <f>VLOOKUP(A1067,'Production Plan'!B:T,16,FALSE)</f>
        <v>#N/A</v>
      </c>
      <c r="C1067" t="e">
        <f>VLOOKUP(A1067,'Production Plan'!B:F,5,FALSE)</f>
        <v>#N/A</v>
      </c>
      <c r="F1067"/>
    </row>
    <row r="1068" spans="1:6" hidden="1">
      <c r="A1068">
        <f>'Production Plan'!B1057</f>
        <v>0</v>
      </c>
      <c r="B1068" t="e">
        <f>VLOOKUP(A1068,'Production Plan'!B:T,16,FALSE)</f>
        <v>#N/A</v>
      </c>
      <c r="C1068" t="e">
        <f>VLOOKUP(A1068,'Production Plan'!B:F,5,FALSE)</f>
        <v>#N/A</v>
      </c>
      <c r="F1068"/>
    </row>
    <row r="1069" spans="1:6" hidden="1">
      <c r="A1069">
        <f>'Production Plan'!B1058</f>
        <v>0</v>
      </c>
      <c r="B1069" t="e">
        <f>VLOOKUP(A1069,'Production Plan'!B:T,16,FALSE)</f>
        <v>#N/A</v>
      </c>
      <c r="C1069" t="e">
        <f>VLOOKUP(A1069,'Production Plan'!B:F,5,FALSE)</f>
        <v>#N/A</v>
      </c>
      <c r="F1069"/>
    </row>
    <row r="1070" spans="1:6" hidden="1">
      <c r="A1070">
        <f>'Production Plan'!B1059</f>
        <v>0</v>
      </c>
      <c r="B1070" t="e">
        <f>VLOOKUP(A1070,'Production Plan'!B:T,16,FALSE)</f>
        <v>#N/A</v>
      </c>
      <c r="C1070" t="e">
        <f>VLOOKUP(A1070,'Production Plan'!B:F,5,FALSE)</f>
        <v>#N/A</v>
      </c>
      <c r="F1070"/>
    </row>
    <row r="1071" spans="1:6" hidden="1">
      <c r="A1071">
        <f>'Production Plan'!B1060</f>
        <v>0</v>
      </c>
      <c r="B1071" t="e">
        <f>VLOOKUP(A1071,'Production Plan'!B:T,16,FALSE)</f>
        <v>#N/A</v>
      </c>
      <c r="C1071" t="e">
        <f>VLOOKUP(A1071,'Production Plan'!B:F,5,FALSE)</f>
        <v>#N/A</v>
      </c>
      <c r="F1071"/>
    </row>
    <row r="1072" spans="1:6" hidden="1">
      <c r="A1072">
        <f>'Production Plan'!B1061</f>
        <v>0</v>
      </c>
      <c r="B1072" t="e">
        <f>VLOOKUP(A1072,'Production Plan'!B:T,16,FALSE)</f>
        <v>#N/A</v>
      </c>
      <c r="C1072" t="e">
        <f>VLOOKUP(A1072,'Production Plan'!B:F,5,FALSE)</f>
        <v>#N/A</v>
      </c>
      <c r="F1072"/>
    </row>
    <row r="1073" spans="1:6" hidden="1">
      <c r="A1073">
        <f>'Production Plan'!B1062</f>
        <v>0</v>
      </c>
      <c r="B1073" t="e">
        <f>VLOOKUP(A1073,'Production Plan'!B:T,16,FALSE)</f>
        <v>#N/A</v>
      </c>
      <c r="C1073" t="e">
        <f>VLOOKUP(A1073,'Production Plan'!B:F,5,FALSE)</f>
        <v>#N/A</v>
      </c>
      <c r="F1073"/>
    </row>
    <row r="1074" spans="1:6" hidden="1">
      <c r="A1074">
        <f>'Production Plan'!B1063</f>
        <v>0</v>
      </c>
      <c r="B1074" t="e">
        <f>VLOOKUP(A1074,'Production Plan'!B:T,16,FALSE)</f>
        <v>#N/A</v>
      </c>
      <c r="C1074" t="e">
        <f>VLOOKUP(A1074,'Production Plan'!B:F,5,FALSE)</f>
        <v>#N/A</v>
      </c>
      <c r="F1074"/>
    </row>
    <row r="1075" spans="1:6" hidden="1">
      <c r="A1075">
        <f>'Production Plan'!B1064</f>
        <v>0</v>
      </c>
      <c r="B1075" t="e">
        <f>VLOOKUP(A1075,'Production Plan'!B:T,16,FALSE)</f>
        <v>#N/A</v>
      </c>
      <c r="C1075" t="e">
        <f>VLOOKUP(A1075,'Production Plan'!B:F,5,FALSE)</f>
        <v>#N/A</v>
      </c>
      <c r="F1075"/>
    </row>
    <row r="1076" spans="1:6" hidden="1">
      <c r="A1076">
        <f>'Production Plan'!B1065</f>
        <v>0</v>
      </c>
      <c r="B1076" t="e">
        <f>VLOOKUP(A1076,'Production Plan'!B:T,16,FALSE)</f>
        <v>#N/A</v>
      </c>
      <c r="C1076" t="e">
        <f>VLOOKUP(A1076,'Production Plan'!B:F,5,FALSE)</f>
        <v>#N/A</v>
      </c>
      <c r="F1076"/>
    </row>
    <row r="1077" spans="1:6" hidden="1">
      <c r="A1077">
        <f>'Production Plan'!B1066</f>
        <v>0</v>
      </c>
      <c r="B1077" t="e">
        <f>VLOOKUP(A1077,'Production Plan'!B:T,16,FALSE)</f>
        <v>#N/A</v>
      </c>
      <c r="C1077" t="e">
        <f>VLOOKUP(A1077,'Production Plan'!B:F,5,FALSE)</f>
        <v>#N/A</v>
      </c>
      <c r="F1077"/>
    </row>
    <row r="1078" spans="1:6" hidden="1">
      <c r="A1078">
        <f>'Production Plan'!B1067</f>
        <v>0</v>
      </c>
      <c r="B1078" t="e">
        <f>VLOOKUP(A1078,'Production Plan'!B:T,16,FALSE)</f>
        <v>#N/A</v>
      </c>
      <c r="C1078" t="e">
        <f>VLOOKUP(A1078,'Production Plan'!B:F,5,FALSE)</f>
        <v>#N/A</v>
      </c>
      <c r="F1078"/>
    </row>
  </sheetData>
  <autoFilter ref="A1:I1078" xr:uid="{3C0B0167-6294-4836-A0CF-A590D3431A37}">
    <filterColumn colId="1">
      <filters>
        <filter val="Yes"/>
      </filters>
    </filterColumn>
  </autoFilter>
  <conditionalFormatting sqref="E2:E5">
    <cfRule type="expression" dxfId="5" priority="4">
      <formula>E2="Low"</formula>
    </cfRule>
    <cfRule type="expression" dxfId="4" priority="5">
      <formula>E2="Medium"</formula>
    </cfRule>
    <cfRule type="expression" dxfId="3" priority="6">
      <formula>E2="High"</formula>
    </cfRule>
  </conditionalFormatting>
  <conditionalFormatting sqref="E7">
    <cfRule type="expression" dxfId="2" priority="1">
      <formula>E7="Low"</formula>
    </cfRule>
    <cfRule type="expression" dxfId="1" priority="2">
      <formula>E7="Medium"</formula>
    </cfRule>
    <cfRule type="expression" dxfId="0" priority="3">
      <formula>E7="High"</formula>
    </cfRule>
  </conditionalFormatting>
  <dataValidations count="2">
    <dataValidation type="list" allowBlank="1" showInputMessage="1" showErrorMessage="1" sqref="E2:E5 E7" xr:uid="{6DF1E459-1009-429F-B109-EF506EE89691}">
      <formula1>"High,Medium,Low"</formula1>
    </dataValidation>
    <dataValidation type="list" allowBlank="1" showInputMessage="1" showErrorMessage="1" sqref="I2:I1048576" xr:uid="{22A8776E-2523-4B34-BC70-94BF6BAADB14}">
      <formula1>"Yes,No"</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98A7B-52E6-4E28-8ECE-05315C33E0DF}">
  <dimension ref="B4:B7"/>
  <sheetViews>
    <sheetView workbookViewId="0">
      <selection activeCell="B5" sqref="B5"/>
    </sheetView>
  </sheetViews>
  <sheetFormatPr defaultRowHeight="16"/>
  <cols>
    <col min="2" max="2" width="19.69140625" bestFit="1" customWidth="1"/>
  </cols>
  <sheetData>
    <row r="4" spans="2:2">
      <c r="B4" s="1" t="s">
        <v>2208</v>
      </c>
    </row>
    <row r="5" spans="2:2">
      <c r="B5" s="1" t="s">
        <v>2209</v>
      </c>
    </row>
    <row r="6" spans="2:2">
      <c r="B6" s="1"/>
    </row>
    <row r="7" spans="2:2">
      <c r="B7" s="1" t="s">
        <v>2210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06387-629B-4627-8C54-74EC9229530A}">
  <dimension ref="A1:C7"/>
  <sheetViews>
    <sheetView topLeftCell="A4" workbookViewId="0">
      <selection activeCell="H21" sqref="H21"/>
    </sheetView>
  </sheetViews>
  <sheetFormatPr defaultRowHeight="16"/>
  <sheetData>
    <row r="1" spans="1:3">
      <c r="B1" t="s">
        <v>2211</v>
      </c>
      <c r="C1" t="s">
        <v>2212</v>
      </c>
    </row>
    <row r="2" spans="1:3" ht="409.5">
      <c r="A2" t="s">
        <v>2213</v>
      </c>
      <c r="B2">
        <v>40</v>
      </c>
      <c r="C2" s="33" t="s">
        <v>2214</v>
      </c>
    </row>
    <row r="3" spans="1:3" ht="409.5">
      <c r="A3" t="s">
        <v>2215</v>
      </c>
      <c r="B3">
        <v>40</v>
      </c>
      <c r="C3" s="33" t="s">
        <v>2216</v>
      </c>
    </row>
    <row r="4" spans="1:3">
      <c r="A4" t="s">
        <v>2217</v>
      </c>
      <c r="B4">
        <v>20</v>
      </c>
      <c r="C4" t="s">
        <v>2218</v>
      </c>
    </row>
    <row r="7" spans="1:3">
      <c r="B7" t="s">
        <v>2219</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TemplafyFormConfiguration><![CDATA[{"formFields":[],"formDataEntries":[]}]]></TemplafyFormConfiguration>
</file>

<file path=customXml/item2.xml><?xml version="1.0" encoding="utf-8"?>
<p:properties xmlns:p="http://schemas.microsoft.com/office/2006/metadata/properties" xmlns:xsi="http://www.w3.org/2001/XMLSchema-instance" xmlns:pc="http://schemas.microsoft.com/office/infopath/2007/PartnerControls">
  <documentManagement>
    <Status xmlns="b73f0ba2-c1d2-466f-9235-ae73bb9ff120" xsi:nil="true"/>
    <lcf76f155ced4ddcb4097134ff3c332f xmlns="b73f0ba2-c1d2-466f-9235-ae73bb9ff120">
      <Terms xmlns="http://schemas.microsoft.com/office/infopath/2007/PartnerControls"/>
    </lcf76f155ced4ddcb4097134ff3c332f>
    <TaxCatchAll xmlns="f1d9970b-4544-420a-9933-3165d3bbdf1e" xsi:nil="true"/>
    <Ansvarlig xmlns="b73f0ba2-c1d2-466f-9235-ae73bb9ff120">
      <UserInfo>
        <DisplayName/>
        <AccountId xsi:nil="true"/>
        <AccountType/>
      </UserInfo>
    </Ansvarlig>
  </documentManagement>
</p:properties>
</file>

<file path=customXml/item3.xml><?xml version="1.0" encoding="utf-8"?>
<TemplafyTemplateConfiguration><![CDATA[{"transformationConfigurations":[],"templateName":"Blank - Aptos","templateDescription":"","enableDocumentContentUpdater":false,"version":"2.0"}]]></TemplafyTemplateConfiguration>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ct:contentTypeSchema xmlns:ct="http://schemas.microsoft.com/office/2006/metadata/contentType" xmlns:ma="http://schemas.microsoft.com/office/2006/metadata/properties/metaAttributes" ct:_="" ma:_="" ma:contentTypeName="Document" ma:contentTypeID="0x010100D9C1001A0C32584A94199C02B2639F76" ma:contentTypeVersion="14" ma:contentTypeDescription="Create a new document." ma:contentTypeScope="" ma:versionID="a989e745faa54626189a9c8b89dd7eb9">
  <xsd:schema xmlns:xsd="http://www.w3.org/2001/XMLSchema" xmlns:xs="http://www.w3.org/2001/XMLSchema" xmlns:p="http://schemas.microsoft.com/office/2006/metadata/properties" xmlns:ns2="b73f0ba2-c1d2-466f-9235-ae73bb9ff120" xmlns:ns3="f1d9970b-4544-420a-9933-3165d3bbdf1e" targetNamespace="http://schemas.microsoft.com/office/2006/metadata/properties" ma:root="true" ma:fieldsID="71609123aabc3e53adf0d2eb3cc4acf5" ns2:_="" ns3:_="">
    <xsd:import namespace="b73f0ba2-c1d2-466f-9235-ae73bb9ff120"/>
    <xsd:import namespace="f1d9970b-4544-420a-9933-3165d3bbdf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Ansvarlig" minOccurs="0"/>
                <xsd:element ref="ns2:Statu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3f0ba2-c1d2-466f-9235-ae73bb9ff1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b9b5fb31-6e74-4bbd-a1b2-5ea6ef8e2523"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Ansvarlig" ma:index="19" nillable="true" ma:displayName="Ansvarlig" ma:format="Dropdown" ma:list="UserInfo" ma:SharePointGroup="0" ma:internalName="Ansvarlig">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atus" ma:index="20" nillable="true" ma:displayName="Status" ma:format="Dropdown" ma:internalName="Status">
      <xsd:simpleType>
        <xsd:restriction base="dms:Choice">
          <xsd:enumeration value="Ikke startet"/>
          <xsd:enumeration value="Igang"/>
          <xsd:enumeration value="1st draft"/>
          <xsd:enumeration value="Første review done"/>
          <xsd:enumeration value="Final"/>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d9970b-4544-420a-9933-3165d3bbdf1e"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3989154-4aae-44d3-b5fc-4828a24a5933}" ma:internalName="TaxCatchAll" ma:showField="CatchAllData" ma:web="f1d9970b-4544-420a-9933-3165d3bbdf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B404D8-EB1E-497C-9EC0-E5B4C835FFB0}">
  <ds:schemaRefs/>
</ds:datastoreItem>
</file>

<file path=customXml/itemProps2.xml><?xml version="1.0" encoding="utf-8"?>
<ds:datastoreItem xmlns:ds="http://schemas.openxmlformats.org/officeDocument/2006/customXml" ds:itemID="{370DCA4A-A539-4FD8-A219-9F686ADCE934}">
  <ds:schemaRefs>
    <ds:schemaRef ds:uri="b73f0ba2-c1d2-466f-9235-ae73bb9ff120"/>
    <ds:schemaRef ds:uri="http://schemas.openxmlformats.org/package/2006/metadata/core-properties"/>
    <ds:schemaRef ds:uri="f1d9970b-4544-420a-9933-3165d3bbdf1e"/>
    <ds:schemaRef ds:uri="http://purl.org/dc/dcmitype/"/>
    <ds:schemaRef ds:uri="http://schemas.microsoft.com/office/2006/metadata/properties"/>
    <ds:schemaRef ds:uri="http://schemas.microsoft.com/office/2006/documentManagement/types"/>
    <ds:schemaRef ds:uri="http://www.w3.org/XML/1998/namespace"/>
    <ds:schemaRef ds:uri="http://schemas.microsoft.com/office/infopath/2007/PartnerControls"/>
    <ds:schemaRef ds:uri="http://purl.org/dc/elements/1.1/"/>
    <ds:schemaRef ds:uri="http://purl.org/dc/terms/"/>
  </ds:schemaRefs>
</ds:datastoreItem>
</file>

<file path=customXml/itemProps3.xml><?xml version="1.0" encoding="utf-8"?>
<ds:datastoreItem xmlns:ds="http://schemas.openxmlformats.org/officeDocument/2006/customXml" ds:itemID="{D68E5A6F-3D9E-4275-AC19-61567B2F9BEE}">
  <ds:schemaRefs/>
</ds:datastoreItem>
</file>

<file path=customXml/itemProps4.xml><?xml version="1.0" encoding="utf-8"?>
<ds:datastoreItem xmlns:ds="http://schemas.openxmlformats.org/officeDocument/2006/customXml" ds:itemID="{117EA171-6C39-4D12-8ED5-A2A7C5E469F0}">
  <ds:schemaRefs>
    <ds:schemaRef ds:uri="http://schemas.microsoft.com/sharepoint/v3/contenttype/forms"/>
  </ds:schemaRefs>
</ds:datastoreItem>
</file>

<file path=customXml/itemProps5.xml><?xml version="1.0" encoding="utf-8"?>
<ds:datastoreItem xmlns:ds="http://schemas.openxmlformats.org/officeDocument/2006/customXml" ds:itemID="{D9A127E1-DAC4-4ADC-95A9-97347EF2AE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3f0ba2-c1d2-466f-9235-ae73bb9ff120"/>
    <ds:schemaRef ds:uri="f1d9970b-4544-420a-9933-3165d3bbdf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Charts</vt:lpstr>
      </vt:variant>
      <vt:variant>
        <vt:i4>1</vt:i4>
      </vt:variant>
    </vt:vector>
  </HeadingPairs>
  <TitlesOfParts>
    <vt:vector size="11" baseType="lpstr">
      <vt:lpstr>Production Plan</vt:lpstr>
      <vt:lpstr>Red flags</vt:lpstr>
      <vt:lpstr>Q&amp;A</vt:lpstr>
      <vt:lpstr>Timeline</vt:lpstr>
      <vt:lpstr>Status</vt:lpstr>
      <vt:lpstr>Commitment</vt:lpstr>
      <vt:lpstr>Risk Management</vt:lpstr>
      <vt:lpstr>Cost Drivers</vt:lpstr>
      <vt:lpstr>Pricing</vt:lpstr>
      <vt:lpstr>Evalueringshieraki</vt:lpstr>
      <vt:lpstr>Diagram1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Anita Odsbjerg Pedersen</dc:creator>
  <cp:keywords/>
  <dc:description/>
  <cp:lastModifiedBy>Morten Jensen</cp:lastModifiedBy>
  <cp:revision/>
  <dcterms:created xsi:type="dcterms:W3CDTF">2026-02-11T08:54:15Z</dcterms:created>
  <dcterms:modified xsi:type="dcterms:W3CDTF">2026-08-14T05:38:55Z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fyTenantId">
    <vt:lpwstr>tietoevry</vt:lpwstr>
  </property>
  <property fmtid="{D5CDD505-2E9C-101B-9397-08002B2CF9AE}" pid="3" name="TemplafyTemplateId">
    <vt:lpwstr>1370459459990324460</vt:lpwstr>
  </property>
  <property fmtid="{D5CDD505-2E9C-101B-9397-08002B2CF9AE}" pid="4" name="TemplafyUserProfileId">
    <vt:lpwstr>1378293969334304885</vt:lpwstr>
  </property>
  <property fmtid="{D5CDD505-2E9C-101B-9397-08002B2CF9AE}" pid="5" name="TemplafyLanguageCode">
    <vt:lpwstr>en-GB</vt:lpwstr>
  </property>
  <property fmtid="{D5CDD505-2E9C-101B-9397-08002B2CF9AE}" pid="6" name="TemplafyFromBlank">
    <vt:bool>true</vt:bool>
  </property>
  <property fmtid="{D5CDD505-2E9C-101B-9397-08002B2CF9AE}" pid="7" name="ContentTypeId">
    <vt:lpwstr>0x010100D9C1001A0C32584A94199C02B2639F76</vt:lpwstr>
  </property>
  <property fmtid="{D5CDD505-2E9C-101B-9397-08002B2CF9AE}" pid="8" name="Order">
    <vt:r8>600</vt:r8>
  </property>
  <property fmtid="{D5CDD505-2E9C-101B-9397-08002B2CF9AE}" pid="9" name="xd_Signature">
    <vt:bool>false</vt:bool>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MediaServiceImageTags">
    <vt:lpwstr/>
  </property>
  <property fmtid="{D5CDD505-2E9C-101B-9397-08002B2CF9AE}" pid="16" name="MSIP_Label_3b623b29-abd1-4de3-a20c-27566d79b7c7_Enabled">
    <vt:lpwstr>true</vt:lpwstr>
  </property>
  <property fmtid="{D5CDD505-2E9C-101B-9397-08002B2CF9AE}" pid="17" name="MSIP_Label_3b623b29-abd1-4de3-a20c-27566d79b7c7_SetDate">
    <vt:lpwstr>2026-07-08T07:18:04Z</vt:lpwstr>
  </property>
  <property fmtid="{D5CDD505-2E9C-101B-9397-08002B2CF9AE}" pid="18" name="MSIP_Label_3b623b29-abd1-4de3-a20c-27566d79b7c7_Method">
    <vt:lpwstr>Standard</vt:lpwstr>
  </property>
  <property fmtid="{D5CDD505-2E9C-101B-9397-08002B2CF9AE}" pid="19" name="MSIP_Label_3b623b29-abd1-4de3-a20c-27566d79b7c7_Name">
    <vt:lpwstr>3b623b29-abd1-4de3-a20c-27566d79b7c7</vt:lpwstr>
  </property>
  <property fmtid="{D5CDD505-2E9C-101B-9397-08002B2CF9AE}" pid="20" name="MSIP_Label_3b623b29-abd1-4de3-a20c-27566d79b7c7_SiteId">
    <vt:lpwstr>cbede638-a3d9-459f-8f4e-24ced73b4e5e</vt:lpwstr>
  </property>
  <property fmtid="{D5CDD505-2E9C-101B-9397-08002B2CF9AE}" pid="21" name="MSIP_Label_3b623b29-abd1-4de3-a20c-27566d79b7c7_ActionId">
    <vt:lpwstr>aec4d5fd-9074-4876-a3ca-d5f69191fdaf</vt:lpwstr>
  </property>
  <property fmtid="{D5CDD505-2E9C-101B-9397-08002B2CF9AE}" pid="22" name="MSIP_Label_3b623b29-abd1-4de3-a20c-27566d79b7c7_ContentBits">
    <vt:lpwstr>0</vt:lpwstr>
  </property>
  <property fmtid="{D5CDD505-2E9C-101B-9397-08002B2CF9AE}" pid="23" name="MSIP_Label_3b623b29-abd1-4de3-a20c-27566d79b7c7_Tag">
    <vt:lpwstr>10, 3, 0, 2</vt:lpwstr>
  </property>
</Properties>
</file>