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defaultThemeVersion="166925"/>
  <mc:AlternateContent xmlns:mc="http://schemas.openxmlformats.org/markup-compatibility/2006">
    <mc:Choice Requires="x15">
      <x15ac:absPath xmlns:x15ac="http://schemas.microsoft.com/office/spreadsheetml/2010/11/ac" url="C:\Users\B038870\Downloads\Kravspecifikation\"/>
    </mc:Choice>
  </mc:AlternateContent>
  <xr:revisionPtr revIDLastSave="13" documentId="13_ncr:1_{3811CC7B-D9FA-4B44-BFBF-F639BEA14156}" xr6:coauthVersionLast="47" xr6:coauthVersionMax="47" xr10:uidLastSave="{86ED9732-A1AE-4ADA-9A15-EF24A1D71158}"/>
  <bookViews>
    <workbookView xWindow="-110" yWindow="-110" windowWidth="19420" windowHeight="10300" firstSheet="1" activeTab="1" xr2:uid="{065FD1B0-0408-4BB8-B222-C88095DB6BB4}"/>
  </bookViews>
  <sheets>
    <sheet name="1. Vejledning" sheetId="8" r:id="rId1"/>
    <sheet name="2. Leverandørens priser"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5" l="1"/>
  <c r="J5" i="5"/>
  <c r="K16" i="5"/>
  <c r="K15" i="5"/>
  <c r="K10" i="5"/>
  <c r="K6" i="5" l="1"/>
  <c r="K17" i="5" l="1"/>
  <c r="K11" i="5" l="1"/>
  <c r="K20" i="5" s="1"/>
  <c r="M20" i="5" s="1"/>
</calcChain>
</file>

<file path=xl/sharedStrings.xml><?xml version="1.0" encoding="utf-8"?>
<sst xmlns="http://schemas.openxmlformats.org/spreadsheetml/2006/main" count="45" uniqueCount="39">
  <si>
    <r>
      <rPr>
        <b/>
        <sz val="11"/>
        <color theme="1"/>
        <rFont val="Calibri"/>
        <family val="2"/>
        <scheme val="minor"/>
      </rPr>
      <t>Vejledning til tilbudsgiver</t>
    </r>
    <r>
      <rPr>
        <sz val="11"/>
        <color theme="1"/>
        <rFont val="Calibri"/>
        <family val="2"/>
        <scheme val="minor"/>
      </rPr>
      <t xml:space="preserve">
Anvendte farvekoder:
De gule felter udfyldes af Leverandøren.
Der gøres opmærksom på, at alle priser skal tilbydes i DKK og at priserne jf. bilag 7 Trepartsaftale, skal omfatte ”kundebetaling” på 1%.</t>
    </r>
  </si>
  <si>
    <t>Overskrifter</t>
  </si>
  <si>
    <t>Underoverskrifter</t>
  </si>
  <si>
    <t>Kundens oplysninger vedr. tilbudte varelinjer</t>
  </si>
  <si>
    <t>Udfyldes af tilbudsgiver</t>
  </si>
  <si>
    <t>De gule felter udfyldes af tilbudsgiver.
Der gøres opmærksom på, at alle priser skal tilbydes, ekskl. moms, i DKK og at priserne jf. bilag 13 Trepartsaftale, skal omfatte ”kundebetaling” på 1%.
Det skal understreges, at antallet af brugere pr. myndighed angivet i bilag 2a – Datamængder for Institutioner, som også anvendes ved udregningen af den evalueringstekniske pris fanen "2. Leverandørens priser", alene er udtryk for hver Institutions antal brugere på tidspunktet for gennemførelsen af indkøbsprocessen og er ikke udtryk for en konkret bestilling.  
Antallet er alene at betragtes som forudsætninger for opnåelse af et sammenligningsgrundlag for beregning af den totale evalueringstekniske pris. Tilbudsgiver er således ikke garanteret, at det angivne antal eller samlede antal købes i hele leveringskontraktens løbetid.
Den evalueringstekniske pris for licenserne beregnes på baggrund af 48 måneder, jf. udbudslovens § 38, nr. 2.</t>
  </si>
  <si>
    <t>Bilag 11a - Leverandørens priser</t>
  </si>
  <si>
    <t>Virksomhedsnavn:</t>
  </si>
  <si>
    <t>Tietoevry Denmark A/S</t>
  </si>
  <si>
    <t>2. Tidsbegrænsede licenser/abonnement/leje</t>
  </si>
  <si>
    <t>Evt. henvisning til beskrivelse af softwarefunktionalitet jf. bilag 3 - Kravspecifikation</t>
  </si>
  <si>
    <t>Yderligere information</t>
  </si>
  <si>
    <t>Antal licenser</t>
  </si>
  <si>
    <t>Antal måneder</t>
  </si>
  <si>
    <t>SKU-nummer</t>
  </si>
  <si>
    <t>Betegnelse</t>
  </si>
  <si>
    <t>Pris pr. licens pr. måned ekskl. moms DKK</t>
  </si>
  <si>
    <t>Evt. kommentar</t>
  </si>
  <si>
    <t>Pris pr. licens pr. år ("Pris pr licens pr. måned" * 12) DKK</t>
  </si>
  <si>
    <t>Pris i alt for licenser i perioden ekskl. moms  ("Antal licenser" * "Antal måneder" * "Pris pr. licens pr. måned") DKK</t>
  </si>
  <si>
    <t>Licenspris til ESDH-Systemet pr. unik bruger</t>
  </si>
  <si>
    <t>Prisen angives pr. måned</t>
  </si>
  <si>
    <t>125837-1</t>
  </si>
  <si>
    <t>ESDH-system inkl. support og vedligehold</t>
  </si>
  <si>
    <t xml:space="preserve">Beløb, som indgår i den evalueringstekniske pris:    </t>
  </si>
  <si>
    <t>3. Ydelser (specificeret)</t>
  </si>
  <si>
    <t>Beskrivelse af ydelsen</t>
  </si>
  <si>
    <t>Antal timer</t>
  </si>
  <si>
    <t>Pris pr. time ekskl. moms DKK</t>
  </si>
  <si>
    <t>Samlet pris pr. ydelse ekskl. moms ("Antal timer" * "Pris pr. time") DKK</t>
  </si>
  <si>
    <t>Option 1 - Timebaseret bistand til supplerende rådgivning, jf. bilag 9 - Optioner</t>
  </si>
  <si>
    <t>4. Ydelser (uspecificeret)</t>
  </si>
  <si>
    <t>Pris pr. ydelse ekskl. moms DKK</t>
  </si>
  <si>
    <t>Evt antal</t>
  </si>
  <si>
    <t>Samlet vedlag for hovedaktiviteter, jf. pkt. 2 i bilag 11 - Leverandørens vederlag</t>
  </si>
  <si>
    <t>Option 2 - Pris for integration til Digital Post pr. Instans, jf. bilag 9 - Optioner</t>
  </si>
  <si>
    <t>5. Samlet evalueringsteknisk pris</t>
  </si>
  <si>
    <r>
      <t>Heraf udgør Kundebetaling (1%)</t>
    </r>
    <r>
      <rPr>
        <sz val="12"/>
        <color theme="0"/>
        <rFont val="Calibri"/>
        <family val="2"/>
        <scheme val="minor"/>
      </rPr>
      <t xml:space="preserve"> (samlet evalueringsteknisk pris * 0,01)</t>
    </r>
  </si>
  <si>
    <t xml:space="preserve">Beløb, som udgør den samlede evalueringstekniske pris og dermed danner grundlaget for kundens evaluering af pris: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</si>
</sst>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3">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b/>
      <sz val="14"/>
      <color theme="0"/>
      <name val="Calibri"/>
      <family val="2"/>
      <scheme val="minor"/>
    </font>
    <font>
      <sz val="14"/>
      <color theme="0"/>
      <name val="Calibri"/>
      <family val="2"/>
      <scheme val="minor"/>
    </font>
    <font>
      <b/>
      <sz val="16"/>
      <color theme="1"/>
      <name val="Calibri"/>
      <family val="2"/>
      <scheme val="minor"/>
    </font>
    <font>
      <sz val="11"/>
      <color theme="1"/>
      <name val="Calibri"/>
      <family val="2"/>
      <scheme val="minor"/>
    </font>
    <font>
      <sz val="11"/>
      <color theme="0"/>
      <name val="Calibri"/>
      <family val="2"/>
      <scheme val="minor"/>
    </font>
    <font>
      <sz val="10"/>
      <color theme="1"/>
      <name val="Arial"/>
      <family val="2"/>
    </font>
  </fonts>
  <fills count="9">
    <fill>
      <patternFill patternType="none"/>
    </fill>
    <fill>
      <patternFill patternType="gray125"/>
    </fill>
    <fill>
      <patternFill patternType="solid">
        <fgColor theme="4" tint="0.89999084444715716"/>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rgb="FFC2E7DE"/>
        <bgColor indexed="64"/>
      </patternFill>
    </fill>
    <fill>
      <patternFill patternType="solid">
        <fgColor theme="0" tint="-4.9989318521683403E-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3" fontId="10" fillId="0" borderId="0" applyFont="0" applyFill="0" applyBorder="0" applyAlignment="0" applyProtection="0"/>
  </cellStyleXfs>
  <cellXfs count="53">
    <xf numFmtId="0" fontId="0" fillId="0" borderId="0" xfId="0"/>
    <xf numFmtId="2" fontId="0" fillId="0" borderId="0" xfId="0" applyNumberFormat="1"/>
    <xf numFmtId="2" fontId="0" fillId="2" borderId="1" xfId="0" applyNumberFormat="1" applyFill="1" applyBorder="1"/>
    <xf numFmtId="2" fontId="0" fillId="3" borderId="1" xfId="0" applyNumberFormat="1" applyFill="1" applyBorder="1"/>
    <xf numFmtId="2" fontId="0" fillId="3" borderId="1" xfId="0" applyNumberFormat="1" applyFill="1" applyBorder="1" applyAlignment="1">
      <alignment wrapText="1"/>
    </xf>
    <xf numFmtId="2" fontId="0" fillId="2" borderId="1" xfId="0" applyNumberFormat="1" applyFill="1" applyBorder="1" applyAlignment="1">
      <alignment wrapText="1"/>
    </xf>
    <xf numFmtId="0" fontId="0" fillId="5" borderId="0" xfId="0" applyFill="1"/>
    <xf numFmtId="2" fontId="0" fillId="2" borderId="10" xfId="0" applyNumberFormat="1" applyFill="1" applyBorder="1"/>
    <xf numFmtId="2" fontId="0" fillId="2" borderId="11" xfId="0" applyNumberFormat="1" applyFill="1" applyBorder="1"/>
    <xf numFmtId="2" fontId="0" fillId="2" borderId="3" xfId="0" applyNumberFormat="1" applyFill="1" applyBorder="1"/>
    <xf numFmtId="2" fontId="5" fillId="6" borderId="0" xfId="0" applyNumberFormat="1" applyFont="1" applyFill="1"/>
    <xf numFmtId="2" fontId="6" fillId="6" borderId="0" xfId="0" applyNumberFormat="1" applyFont="1" applyFill="1"/>
    <xf numFmtId="2" fontId="4" fillId="0" borderId="0" xfId="0" applyNumberFormat="1" applyFont="1"/>
    <xf numFmtId="2" fontId="0" fillId="5" borderId="0" xfId="0" applyNumberFormat="1" applyFill="1"/>
    <xf numFmtId="2" fontId="4" fillId="5" borderId="0" xfId="0" applyNumberFormat="1" applyFont="1" applyFill="1"/>
    <xf numFmtId="2" fontId="7" fillId="6" borderId="4" xfId="0" applyNumberFormat="1" applyFont="1" applyFill="1" applyBorder="1"/>
    <xf numFmtId="2" fontId="8" fillId="6" borderId="5" xfId="0" applyNumberFormat="1" applyFont="1" applyFill="1" applyBorder="1"/>
    <xf numFmtId="2" fontId="8" fillId="6" borderId="6" xfId="0" applyNumberFormat="1" applyFont="1" applyFill="1" applyBorder="1"/>
    <xf numFmtId="2" fontId="9" fillId="5" borderId="0" xfId="0" applyNumberFormat="1" applyFont="1" applyFill="1"/>
    <xf numFmtId="2" fontId="0" fillId="7" borderId="2" xfId="0" applyNumberFormat="1" applyFill="1" applyBorder="1"/>
    <xf numFmtId="1" fontId="0" fillId="7" borderId="2" xfId="0" applyNumberFormat="1" applyFill="1" applyBorder="1"/>
    <xf numFmtId="43" fontId="0" fillId="3" borderId="1" xfId="1" applyFont="1" applyFill="1" applyBorder="1"/>
    <xf numFmtId="43" fontId="2" fillId="3" borderId="14" xfId="1" applyFont="1" applyFill="1" applyBorder="1"/>
    <xf numFmtId="43" fontId="1" fillId="3" borderId="9" xfId="1" applyFont="1" applyFill="1" applyBorder="1"/>
    <xf numFmtId="43" fontId="1" fillId="3" borderId="16" xfId="1" applyFont="1" applyFill="1" applyBorder="1"/>
    <xf numFmtId="2" fontId="1" fillId="8" borderId="1" xfId="0" applyNumberFormat="1" applyFont="1" applyFill="1" applyBorder="1"/>
    <xf numFmtId="0" fontId="11" fillId="6" borderId="1" xfId="0" applyFont="1" applyFill="1" applyBorder="1"/>
    <xf numFmtId="0" fontId="0" fillId="8" borderId="1" xfId="0" applyFill="1" applyBorder="1"/>
    <xf numFmtId="0" fontId="0" fillId="7" borderId="1" xfId="0" applyFill="1" applyBorder="1"/>
    <xf numFmtId="0" fontId="0" fillId="4" borderId="1" xfId="0" applyFill="1" applyBorder="1"/>
    <xf numFmtId="0" fontId="12" fillId="0" borderId="0" xfId="0" applyFont="1" applyAlignment="1">
      <alignment vertical="center"/>
    </xf>
    <xf numFmtId="0" fontId="0" fillId="0" borderId="20" xfId="0" applyBorder="1"/>
    <xf numFmtId="0" fontId="0" fillId="0" borderId="21" xfId="0" applyBorder="1"/>
    <xf numFmtId="2" fontId="7" fillId="6" borderId="15" xfId="0" applyNumberFormat="1" applyFont="1" applyFill="1" applyBorder="1" applyAlignment="1">
      <alignment wrapText="1"/>
    </xf>
    <xf numFmtId="2" fontId="3" fillId="2" borderId="10" xfId="0" applyNumberFormat="1" applyFont="1" applyFill="1" applyBorder="1" applyAlignment="1">
      <alignment horizontal="left"/>
    </xf>
    <xf numFmtId="43" fontId="0" fillId="4" borderId="2" xfId="1" applyFont="1" applyFill="1" applyBorder="1" applyAlignment="1" applyProtection="1">
      <alignment wrapText="1"/>
      <protection locked="0"/>
    </xf>
    <xf numFmtId="2" fontId="0" fillId="4" borderId="2" xfId="0" applyNumberFormat="1" applyFill="1" applyBorder="1" applyAlignment="1" applyProtection="1">
      <alignment wrapText="1"/>
      <protection locked="0"/>
    </xf>
    <xf numFmtId="2" fontId="0" fillId="4" borderId="1" xfId="0" applyNumberFormat="1" applyFill="1" applyBorder="1" applyProtection="1">
      <protection locked="0"/>
    </xf>
    <xf numFmtId="2" fontId="2" fillId="3" borderId="12" xfId="0" applyNumberFormat="1" applyFont="1" applyFill="1" applyBorder="1" applyAlignment="1">
      <alignment horizontal="right"/>
    </xf>
    <xf numFmtId="2" fontId="2" fillId="3" borderId="13" xfId="0" applyNumberFormat="1" applyFont="1" applyFill="1" applyBorder="1" applyAlignment="1">
      <alignment horizontal="right"/>
    </xf>
    <xf numFmtId="2" fontId="2" fillId="3" borderId="14" xfId="0" applyNumberFormat="1" applyFont="1" applyFill="1" applyBorder="1" applyAlignment="1">
      <alignment horizontal="right"/>
    </xf>
    <xf numFmtId="2" fontId="1" fillId="3" borderId="7" xfId="0" applyNumberFormat="1" applyFont="1" applyFill="1" applyBorder="1" applyAlignment="1">
      <alignment horizontal="right"/>
    </xf>
    <xf numFmtId="2" fontId="1" fillId="3" borderId="8" xfId="0" applyNumberFormat="1" applyFont="1" applyFill="1" applyBorder="1" applyAlignment="1">
      <alignment horizontal="right"/>
    </xf>
    <xf numFmtId="2" fontId="1" fillId="3" borderId="9" xfId="0" applyNumberFormat="1" applyFont="1" applyFill="1" applyBorder="1" applyAlignment="1">
      <alignment horizontal="right"/>
    </xf>
    <xf numFmtId="0" fontId="0" fillId="0" borderId="17" xfId="0" applyBorder="1" applyAlignment="1">
      <alignment horizontal="left" vertical="top" wrapText="1"/>
    </xf>
    <xf numFmtId="0" fontId="0" fillId="0" borderId="18" xfId="0" applyBorder="1" applyAlignment="1">
      <alignment horizontal="left" vertical="top"/>
    </xf>
    <xf numFmtId="0" fontId="0" fillId="0" borderId="19" xfId="0" applyBorder="1" applyAlignment="1">
      <alignment horizontal="left" vertical="top"/>
    </xf>
    <xf numFmtId="0" fontId="0" fillId="0" borderId="20" xfId="0" applyBorder="1" applyAlignment="1">
      <alignment horizontal="left" vertical="top"/>
    </xf>
    <xf numFmtId="0" fontId="0" fillId="0" borderId="0" xfId="0" applyAlignment="1">
      <alignment horizontal="left" vertical="top"/>
    </xf>
    <xf numFmtId="0" fontId="0" fillId="0" borderId="21" xfId="0" applyBorder="1" applyAlignment="1">
      <alignment horizontal="left" vertical="top"/>
    </xf>
    <xf numFmtId="0" fontId="12" fillId="0" borderId="22"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cellXfs>
  <cellStyles count="2">
    <cellStyle name="Komma" xfId="1" builtinId="3"/>
    <cellStyle name="Normal" xfId="0" builtinId="0"/>
  </cellStyles>
  <dxfs count="0"/>
  <tableStyles count="0" defaultTableStyle="TableStyleMedium2" defaultPivotStyle="PivotStyleLight16"/>
  <colors>
    <mruColors>
      <color rgb="FFC2E7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DBB04-513D-4D43-A536-FF95AC21B20B}">
  <dimension ref="A1:N9"/>
  <sheetViews>
    <sheetView showGridLines="0" zoomScale="90" zoomScaleNormal="90" workbookViewId="0">
      <selection activeCell="P8" sqref="P8"/>
    </sheetView>
  </sheetViews>
  <sheetFormatPr defaultRowHeight="14.45"/>
  <cols>
    <col min="3" max="3" width="41.28515625" customWidth="1"/>
    <col min="14" max="14" width="19.42578125" customWidth="1"/>
  </cols>
  <sheetData>
    <row r="1" spans="1:14">
      <c r="A1" s="44" t="s">
        <v>0</v>
      </c>
      <c r="B1" s="45"/>
      <c r="C1" s="45"/>
      <c r="D1" s="45"/>
      <c r="E1" s="45"/>
      <c r="F1" s="45"/>
      <c r="G1" s="45"/>
      <c r="H1" s="45"/>
      <c r="I1" s="45"/>
      <c r="J1" s="45"/>
      <c r="K1" s="45"/>
      <c r="L1" s="45"/>
      <c r="M1" s="45"/>
      <c r="N1" s="46"/>
    </row>
    <row r="2" spans="1:14">
      <c r="A2" s="47"/>
      <c r="B2" s="48"/>
      <c r="C2" s="48"/>
      <c r="D2" s="48"/>
      <c r="E2" s="48"/>
      <c r="F2" s="48"/>
      <c r="G2" s="48"/>
      <c r="H2" s="48"/>
      <c r="I2" s="48"/>
      <c r="J2" s="48"/>
      <c r="K2" s="48"/>
      <c r="L2" s="48"/>
      <c r="M2" s="48"/>
      <c r="N2" s="49"/>
    </row>
    <row r="3" spans="1:14">
      <c r="A3" s="31"/>
      <c r="C3" s="26" t="s">
        <v>1</v>
      </c>
      <c r="N3" s="32"/>
    </row>
    <row r="4" spans="1:14">
      <c r="A4" s="31"/>
      <c r="C4" s="27" t="s">
        <v>2</v>
      </c>
      <c r="N4" s="32"/>
    </row>
    <row r="5" spans="1:14">
      <c r="A5" s="31"/>
      <c r="C5" s="28" t="s">
        <v>3</v>
      </c>
      <c r="N5" s="32"/>
    </row>
    <row r="6" spans="1:14">
      <c r="A6" s="31"/>
      <c r="C6" s="29" t="s">
        <v>4</v>
      </c>
      <c r="N6" s="32"/>
    </row>
    <row r="7" spans="1:14">
      <c r="A7" s="31"/>
      <c r="N7" s="32"/>
    </row>
    <row r="8" spans="1:14" ht="293.25" customHeight="1">
      <c r="A8" s="50" t="s">
        <v>5</v>
      </c>
      <c r="B8" s="51"/>
      <c r="C8" s="51"/>
      <c r="D8" s="51"/>
      <c r="E8" s="51"/>
      <c r="F8" s="51"/>
      <c r="G8" s="51"/>
      <c r="H8" s="51"/>
      <c r="I8" s="51"/>
      <c r="J8" s="51"/>
      <c r="K8" s="51"/>
      <c r="L8" s="51"/>
      <c r="M8" s="51"/>
      <c r="N8" s="52"/>
    </row>
    <row r="9" spans="1:14">
      <c r="A9" s="30"/>
    </row>
  </sheetData>
  <sheetProtection sheet="1" objects="1" scenarios="1"/>
  <mergeCells count="2">
    <mergeCell ref="A1:N2"/>
    <mergeCell ref="A8:N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2906-3114-43B8-9E49-57AEBA03039A}">
  <dimension ref="A1:M22"/>
  <sheetViews>
    <sheetView showGridLines="0" tabSelected="1" zoomScaleNormal="100" workbookViewId="0">
      <selection activeCell="G9" sqref="G9"/>
    </sheetView>
  </sheetViews>
  <sheetFormatPr defaultRowHeight="14.45"/>
  <cols>
    <col min="1" max="1" width="4.28515625" customWidth="1"/>
    <col min="2" max="2" width="71.85546875" customWidth="1"/>
    <col min="3" max="3" width="37.28515625" customWidth="1"/>
    <col min="4" max="7" width="24.28515625" customWidth="1"/>
    <col min="8" max="8" width="24.85546875" customWidth="1"/>
    <col min="9" max="9" width="25.140625" customWidth="1"/>
    <col min="10" max="10" width="19.85546875" customWidth="1"/>
    <col min="11" max="11" width="41.140625" customWidth="1"/>
    <col min="13" max="13" width="38" customWidth="1"/>
    <col min="14" max="15" width="20.28515625" customWidth="1"/>
  </cols>
  <sheetData>
    <row r="1" spans="1:11" s="1" customFormat="1" ht="21">
      <c r="A1" s="13"/>
      <c r="B1" s="18" t="s">
        <v>6</v>
      </c>
      <c r="C1" s="13"/>
      <c r="D1" s="25" t="s">
        <v>7</v>
      </c>
      <c r="E1" s="37" t="s">
        <v>8</v>
      </c>
      <c r="F1" s="13"/>
      <c r="G1" s="13"/>
      <c r="H1" s="13"/>
      <c r="I1" s="13"/>
      <c r="J1" s="13"/>
    </row>
    <row r="2" spans="1:11" s="1" customFormat="1" ht="9.75" customHeight="1">
      <c r="A2" s="13"/>
      <c r="B2" s="13"/>
      <c r="C2" s="13"/>
      <c r="D2" s="13"/>
      <c r="E2" s="13"/>
      <c r="F2" s="13"/>
      <c r="G2" s="13"/>
      <c r="H2" s="13"/>
      <c r="I2" s="13"/>
      <c r="J2" s="13"/>
    </row>
    <row r="3" spans="1:11" s="12" customFormat="1" ht="15.6">
      <c r="A3" s="14"/>
      <c r="B3" s="10" t="s">
        <v>9</v>
      </c>
      <c r="C3" s="11"/>
      <c r="D3" s="11"/>
      <c r="E3" s="11"/>
      <c r="F3" s="11"/>
      <c r="G3" s="11"/>
      <c r="H3" s="11"/>
      <c r="I3" s="11"/>
      <c r="J3" s="11"/>
      <c r="K3" s="11"/>
    </row>
    <row r="4" spans="1:11" s="1" customFormat="1" ht="50.25" customHeight="1">
      <c r="A4" s="13"/>
      <c r="B4" s="5" t="s">
        <v>10</v>
      </c>
      <c r="C4" s="5" t="s">
        <v>11</v>
      </c>
      <c r="D4" s="2" t="s">
        <v>12</v>
      </c>
      <c r="E4" s="2" t="s">
        <v>13</v>
      </c>
      <c r="F4" s="2" t="s">
        <v>14</v>
      </c>
      <c r="G4" s="2" t="s">
        <v>15</v>
      </c>
      <c r="H4" s="5" t="s">
        <v>16</v>
      </c>
      <c r="I4" s="2" t="s">
        <v>17</v>
      </c>
      <c r="J4" s="5" t="s">
        <v>18</v>
      </c>
      <c r="K4" s="5" t="s">
        <v>19</v>
      </c>
    </row>
    <row r="5" spans="1:11" s="1" customFormat="1" ht="30.75">
      <c r="A5" s="13"/>
      <c r="B5" s="19" t="s">
        <v>20</v>
      </c>
      <c r="C5" s="19" t="s">
        <v>21</v>
      </c>
      <c r="D5" s="20">
        <v>1288</v>
      </c>
      <c r="E5" s="20">
        <v>48</v>
      </c>
      <c r="F5" s="36" t="s">
        <v>22</v>
      </c>
      <c r="G5" s="36" t="s">
        <v>23</v>
      </c>
      <c r="H5" s="36">
        <v>46.922984866678576</v>
      </c>
      <c r="I5" s="36"/>
      <c r="J5" s="21">
        <f>SUM(H5*12)</f>
        <v>563.07581840014291</v>
      </c>
      <c r="K5" s="21">
        <f>SUM(D5*E5*H5)</f>
        <v>2900966.6163975364</v>
      </c>
    </row>
    <row r="6" spans="1:11" s="1" customFormat="1" ht="15" thickBot="1">
      <c r="A6" s="13"/>
      <c r="B6" s="38" t="s">
        <v>24</v>
      </c>
      <c r="C6" s="39"/>
      <c r="D6" s="39"/>
      <c r="E6" s="39"/>
      <c r="F6" s="39"/>
      <c r="G6" s="39"/>
      <c r="H6" s="39"/>
      <c r="I6" s="39"/>
      <c r="J6" s="40"/>
      <c r="K6" s="22">
        <f>SUM(K5:K5)</f>
        <v>2900966.6163975364</v>
      </c>
    </row>
    <row r="7" spans="1:11">
      <c r="A7" s="6"/>
      <c r="B7" s="6"/>
      <c r="C7" s="6"/>
      <c r="D7" s="6"/>
      <c r="E7" s="6"/>
      <c r="F7" s="6"/>
      <c r="G7" s="6"/>
      <c r="H7" s="6"/>
      <c r="I7" s="6"/>
      <c r="J7" s="6"/>
    </row>
    <row r="8" spans="1:11" s="12" customFormat="1" ht="15.6">
      <c r="A8" s="14"/>
      <c r="B8" s="10" t="s">
        <v>25</v>
      </c>
      <c r="C8" s="11"/>
      <c r="D8" s="11"/>
      <c r="E8" s="11"/>
      <c r="F8" s="11"/>
      <c r="G8" s="11"/>
      <c r="H8" s="11"/>
      <c r="I8" s="11"/>
      <c r="J8" s="11"/>
      <c r="K8" s="11"/>
    </row>
    <row r="9" spans="1:11" s="1" customFormat="1" ht="29.1">
      <c r="A9" s="13"/>
      <c r="B9" s="2" t="s">
        <v>26</v>
      </c>
      <c r="C9" s="2" t="s">
        <v>27</v>
      </c>
      <c r="D9" s="5" t="s">
        <v>28</v>
      </c>
      <c r="E9" s="5" t="s">
        <v>17</v>
      </c>
      <c r="F9" s="7"/>
      <c r="G9" s="8"/>
      <c r="H9" s="9"/>
      <c r="I9" s="2"/>
      <c r="J9" s="2"/>
      <c r="K9" s="5" t="s">
        <v>29</v>
      </c>
    </row>
    <row r="10" spans="1:11" s="1" customFormat="1" ht="15" thickBot="1">
      <c r="A10" s="13"/>
      <c r="B10" s="19" t="s">
        <v>30</v>
      </c>
      <c r="C10" s="20">
        <v>300</v>
      </c>
      <c r="D10" s="35">
        <v>1300</v>
      </c>
      <c r="E10" s="36"/>
      <c r="F10" s="4"/>
      <c r="G10" s="4"/>
      <c r="H10" s="4"/>
      <c r="I10" s="3"/>
      <c r="J10" s="3"/>
      <c r="K10" s="21">
        <f>SUM(C10*D10)</f>
        <v>390000</v>
      </c>
    </row>
    <row r="11" spans="1:11" s="1" customFormat="1" ht="15" thickBot="1">
      <c r="A11" s="13"/>
      <c r="B11" s="38" t="s">
        <v>24</v>
      </c>
      <c r="C11" s="39"/>
      <c r="D11" s="39"/>
      <c r="E11" s="39"/>
      <c r="F11" s="39"/>
      <c r="G11" s="39"/>
      <c r="H11" s="39"/>
      <c r="I11" s="39"/>
      <c r="J11" s="40"/>
      <c r="K11" s="22">
        <f>SUM(K10:K10)</f>
        <v>390000</v>
      </c>
    </row>
    <row r="12" spans="1:11" s="1" customFormat="1">
      <c r="A12" s="13"/>
      <c r="B12" s="13"/>
      <c r="C12" s="13"/>
      <c r="D12" s="13"/>
      <c r="E12" s="13"/>
      <c r="F12" s="13"/>
      <c r="G12" s="13"/>
      <c r="H12" s="13"/>
      <c r="I12" s="13"/>
      <c r="J12" s="13"/>
      <c r="K12" s="13"/>
    </row>
    <row r="13" spans="1:11" s="12" customFormat="1" ht="15.6">
      <c r="A13" s="14"/>
      <c r="B13" s="10" t="s">
        <v>31</v>
      </c>
      <c r="C13" s="11"/>
      <c r="D13" s="11"/>
      <c r="E13" s="11"/>
      <c r="F13" s="11"/>
      <c r="G13" s="11"/>
      <c r="H13" s="11"/>
      <c r="I13" s="11"/>
      <c r="J13" s="11"/>
      <c r="K13" s="11"/>
    </row>
    <row r="14" spans="1:11" s="1" customFormat="1">
      <c r="A14" s="13"/>
      <c r="B14" s="2" t="s">
        <v>26</v>
      </c>
      <c r="C14" s="5" t="s">
        <v>32</v>
      </c>
      <c r="D14" s="5" t="s">
        <v>17</v>
      </c>
      <c r="E14" s="34" t="s">
        <v>33</v>
      </c>
      <c r="F14" s="7"/>
      <c r="G14" s="8"/>
      <c r="H14" s="9"/>
      <c r="I14" s="2"/>
      <c r="J14" s="2"/>
      <c r="K14" s="2" t="s">
        <v>32</v>
      </c>
    </row>
    <row r="15" spans="1:11" s="1" customFormat="1" ht="15">
      <c r="A15" s="13"/>
      <c r="B15" s="19" t="s">
        <v>34</v>
      </c>
      <c r="C15" s="35">
        <v>555691.23</v>
      </c>
      <c r="D15" s="36"/>
      <c r="E15" s="4"/>
      <c r="F15" s="4"/>
      <c r="G15" s="4"/>
      <c r="H15" s="4"/>
      <c r="I15" s="3"/>
      <c r="J15" s="3"/>
      <c r="K15" s="21">
        <f>C15</f>
        <v>555691.23</v>
      </c>
    </row>
    <row r="16" spans="1:11" s="1" customFormat="1" ht="15" customHeight="1" thickBot="1">
      <c r="A16" s="13"/>
      <c r="B16" s="19" t="s">
        <v>35</v>
      </c>
      <c r="C16" s="35">
        <v>50000</v>
      </c>
      <c r="D16" s="36"/>
      <c r="E16" s="20">
        <v>3</v>
      </c>
      <c r="F16" s="4"/>
      <c r="G16" s="4"/>
      <c r="H16" s="4"/>
      <c r="I16" s="3"/>
      <c r="J16" s="3"/>
      <c r="K16" s="21">
        <f>C16*E16</f>
        <v>150000</v>
      </c>
    </row>
    <row r="17" spans="1:13" s="1" customFormat="1" ht="15" thickBot="1">
      <c r="A17" s="13"/>
      <c r="B17" s="38" t="s">
        <v>24</v>
      </c>
      <c r="C17" s="39"/>
      <c r="D17" s="39"/>
      <c r="E17" s="39"/>
      <c r="F17" s="39"/>
      <c r="G17" s="39"/>
      <c r="H17" s="39"/>
      <c r="I17" s="39"/>
      <c r="J17" s="40"/>
      <c r="K17" s="22">
        <f>SUM(K15:K16)</f>
        <v>705691.23</v>
      </c>
    </row>
    <row r="18" spans="1:13">
      <c r="A18" s="6"/>
      <c r="B18" s="6"/>
      <c r="C18" s="6"/>
      <c r="D18" s="6"/>
      <c r="E18" s="6"/>
      <c r="F18" s="6"/>
      <c r="G18" s="6"/>
      <c r="H18" s="6"/>
      <c r="I18" s="6"/>
      <c r="J18" s="6"/>
      <c r="K18" s="6"/>
    </row>
    <row r="19" spans="1:13" s="12" customFormat="1" ht="58.5" customHeight="1">
      <c r="A19" s="14"/>
      <c r="B19" s="15" t="s">
        <v>36</v>
      </c>
      <c r="C19" s="16"/>
      <c r="D19" s="16"/>
      <c r="E19" s="16"/>
      <c r="F19" s="16"/>
      <c r="G19" s="16"/>
      <c r="H19" s="16"/>
      <c r="I19" s="17"/>
      <c r="J19" s="17"/>
      <c r="K19" s="17"/>
      <c r="M19" s="33" t="s">
        <v>37</v>
      </c>
    </row>
    <row r="20" spans="1:13" s="1" customFormat="1" ht="18.95" thickBot="1">
      <c r="A20" s="13"/>
      <c r="B20" s="41" t="s">
        <v>38</v>
      </c>
      <c r="C20" s="42"/>
      <c r="D20" s="42"/>
      <c r="E20" s="42"/>
      <c r="F20" s="42"/>
      <c r="G20" s="42"/>
      <c r="H20" s="42"/>
      <c r="I20" s="42"/>
      <c r="J20" s="43"/>
      <c r="K20" s="23">
        <f>SUM(K6,K11,K17)</f>
        <v>3996657.8463975363</v>
      </c>
      <c r="M20" s="24">
        <f>K20*0.01</f>
        <v>39966.578463975362</v>
      </c>
    </row>
    <row r="21" spans="1:13">
      <c r="A21" s="6"/>
      <c r="B21" s="6"/>
      <c r="C21" s="6"/>
      <c r="D21" s="6"/>
      <c r="E21" s="6"/>
      <c r="F21" s="6"/>
      <c r="G21" s="6"/>
      <c r="H21" s="6"/>
      <c r="I21" s="6"/>
      <c r="J21" s="6"/>
    </row>
    <row r="22" spans="1:13" s="6" customFormat="1"/>
  </sheetData>
  <sheetProtection algorithmName="SHA-512" hashValue="HaqF1tTIcLbWy1Kc6DYl/9rCB08T+SMW9u015OMb/VsZxlomqbN+FNI58UuuprUEZp9pAfvzV91w+c0/cbLT0Q==" saltValue="zp806Xz3RGDMqtasPuyQsw==" spinCount="100000" sheet="1" objects="1" scenarios="1"/>
  <mergeCells count="4">
    <mergeCell ref="B6:J6"/>
    <mergeCell ref="B11:J11"/>
    <mergeCell ref="B17:J17"/>
    <mergeCell ref="B20:J20"/>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b73f0ba2-c1d2-466f-9235-ae73bb9ff120" xsi:nil="true"/>
    <lcf76f155ced4ddcb4097134ff3c332f xmlns="b73f0ba2-c1d2-466f-9235-ae73bb9ff120">
      <Terms xmlns="http://schemas.microsoft.com/office/infopath/2007/PartnerControls"/>
    </lcf76f155ced4ddcb4097134ff3c332f>
    <TaxCatchAll xmlns="f1d9970b-4544-420a-9933-3165d3bbdf1e" xsi:nil="true"/>
    <Ansvarlig xmlns="b73f0ba2-c1d2-466f-9235-ae73bb9ff120">
      <UserInfo>
        <DisplayName/>
        <AccountId xsi:nil="true"/>
        <AccountType/>
      </UserInfo>
    </Ansvarlig>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D9C1001A0C32584A94199C02B2639F76" ma:contentTypeVersion="14" ma:contentTypeDescription="Opret et nyt dokument." ma:contentTypeScope="" ma:versionID="0bcb7ef591a6213f6acacb479b956b28">
  <xsd:schema xmlns:xsd="http://www.w3.org/2001/XMLSchema" xmlns:xs="http://www.w3.org/2001/XMLSchema" xmlns:p="http://schemas.microsoft.com/office/2006/metadata/properties" xmlns:ns2="b73f0ba2-c1d2-466f-9235-ae73bb9ff120" xmlns:ns3="f1d9970b-4544-420a-9933-3165d3bbdf1e" targetNamespace="http://schemas.microsoft.com/office/2006/metadata/properties" ma:root="true" ma:fieldsID="9bf175e80702307a65257c67a8bac118" ns2:_="" ns3:_="">
    <xsd:import namespace="b73f0ba2-c1d2-466f-9235-ae73bb9ff120"/>
    <xsd:import namespace="f1d9970b-4544-420a-9933-3165d3bbdf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Ansvarlig" minOccurs="0"/>
                <xsd:element ref="ns2:Statu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3f0ba2-c1d2-466f-9235-ae73bb9ff1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illedmærker" ma:readOnly="false" ma:fieldId="{5cf76f15-5ced-4ddc-b409-7134ff3c332f}" ma:taxonomyMulti="true" ma:sspId="b9b5fb31-6e74-4bbd-a1b2-5ea6ef8e252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Ansvarlig" ma:index="19" nillable="true" ma:displayName="Ansvarlig" ma:format="Dropdown" ma:list="UserInfo" ma:SharePointGroup="0" ma:internalName="Ansvarlig">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0" nillable="true" ma:displayName="Status" ma:format="Dropdown" ma:internalName="Status">
      <xsd:simpleType>
        <xsd:restriction base="dms:Choice">
          <xsd:enumeration value="Ikke startet"/>
          <xsd:enumeration value="Igang"/>
          <xsd:enumeration value="1st draft"/>
          <xsd:enumeration value="Første review done"/>
          <xsd:enumeration value="Final"/>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d9970b-4544-420a-9933-3165d3bbdf1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3989154-4aae-44d3-b5fc-4828a24a5933}" ma:internalName="TaxCatchAll" ma:showField="CatchAllData" ma:web="f1d9970b-4544-420a-9933-3165d3bbdf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FD39CD-A9F0-4319-ABA7-1D4153251339}"/>
</file>

<file path=customXml/itemProps2.xml><?xml version="1.0" encoding="utf-8"?>
<ds:datastoreItem xmlns:ds="http://schemas.openxmlformats.org/officeDocument/2006/customXml" ds:itemID="{3A7BF5DE-3AC8-4957-AC23-731784720CE2}"/>
</file>

<file path=customXml/itemProps3.xml><?xml version="1.0" encoding="utf-8"?>
<ds:datastoreItem xmlns:ds="http://schemas.openxmlformats.org/officeDocument/2006/customXml" ds:itemID="{598C3771-FEF0-4690-A354-A21EFD3383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Berit Bünger Torp</dc:creator>
  <cp:keywords/>
  <dc:description/>
  <cp:lastModifiedBy>Anton Nielsen</cp:lastModifiedBy>
  <cp:revision/>
  <dcterms:created xsi:type="dcterms:W3CDTF">2021-01-28T09:43:58Z</dcterms:created>
  <dcterms:modified xsi:type="dcterms:W3CDTF">2026-06-03T13:30:25Z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0x010100D9C1001A0C32584A94199C02B2639F76</vt:lpwstr>
  </property>
  <property fmtid="{D5CDD505-2E9C-101B-9397-08002B2CF9AE}" pid="3" name="MSIP_Label_3b623b29-abd1-4de3-a20c-27566d79b7c7_Enabled">
    <vt:lpwstr>true</vt:lpwstr>
  </property>
  <property fmtid="{D5CDD505-2E9C-101B-9397-08002B2CF9AE}" pid="4" name="MSIP_Label_3b623b29-abd1-4de3-a20c-27566d79b7c7_SetDate">
    <vt:lpwstr>2026-05-18T10:36:03Z</vt:lpwstr>
  </property>
  <property fmtid="{D5CDD505-2E9C-101B-9397-08002B2CF9AE}" pid="5" name="MSIP_Label_3b623b29-abd1-4de3-a20c-27566d79b7c7_Method">
    <vt:lpwstr>Standard</vt:lpwstr>
  </property>
  <property fmtid="{D5CDD505-2E9C-101B-9397-08002B2CF9AE}" pid="6" name="MSIP_Label_3b623b29-abd1-4de3-a20c-27566d79b7c7_Name">
    <vt:lpwstr>3b623b29-abd1-4de3-a20c-27566d79b7c7</vt:lpwstr>
  </property>
  <property fmtid="{D5CDD505-2E9C-101B-9397-08002B2CF9AE}" pid="7" name="MSIP_Label_3b623b29-abd1-4de3-a20c-27566d79b7c7_SiteId">
    <vt:lpwstr>cbede638-a3d9-459f-8f4e-24ced73b4e5e</vt:lpwstr>
  </property>
  <property fmtid="{D5CDD505-2E9C-101B-9397-08002B2CF9AE}" pid="8" name="MSIP_Label_3b623b29-abd1-4de3-a20c-27566d79b7c7_ActionId">
    <vt:lpwstr>3c3d6b03-228b-4f17-9016-af4658ce55c1</vt:lpwstr>
  </property>
  <property fmtid="{D5CDD505-2E9C-101B-9397-08002B2CF9AE}" pid="9" name="MSIP_Label_3b623b29-abd1-4de3-a20c-27566d79b7c7_ContentBits">
    <vt:lpwstr>0</vt:lpwstr>
  </property>
  <property fmtid="{D5CDD505-2E9C-101B-9397-08002B2CF9AE}" pid="10" name="MSIP_Label_3b623b29-abd1-4de3-a20c-27566d79b7c7_Tag">
    <vt:lpwstr>10, 3, 0, 2</vt:lpwstr>
  </property>
  <property fmtid="{D5CDD505-2E9C-101B-9397-08002B2CF9AE}" pid="11" name="MediaServiceImageTags">
    <vt:lpwstr/>
  </property>
</Properties>
</file>