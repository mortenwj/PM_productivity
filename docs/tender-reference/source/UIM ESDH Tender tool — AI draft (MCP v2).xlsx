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51840" windowHeight="21120" tabRatio="600" firstSheet="0" activeTab="0" autoFilterDateGrouping="1"/>
  </bookViews>
  <sheets>
    <sheet name="Production Plan" sheetId="1" state="visible" r:id="rId1"/>
    <sheet name="Red flags" sheetId="2" state="hidden" r:id="rId2"/>
    <sheet name="Q&amp;A" sheetId="3" state="visible" r:id="rId3"/>
    <sheet name="Timeline" sheetId="4" state="visible" r:id="rId4"/>
    <sheet name="Status" sheetId="5" state="visible" r:id="rId5"/>
    <sheet name="Commitment" sheetId="6" state="visible" r:id="rId6"/>
    <sheet name="Risk Management" sheetId="7" state="visible" r:id="rId7"/>
    <sheet name="Cost Drivers" sheetId="8" state="visible" r:id="rId8"/>
    <sheet name="Pricing" sheetId="9" state="visible" r:id="rId9"/>
    <sheet name="Evalueringshieraki" sheetId="10" state="visible" r:id="rId10"/>
    <sheet name="AI — Legend" sheetId="11" state="visible" r:id="rId11"/>
  </sheets>
  <definedNames>
    <definedName name="_xlnm._FilterDatabase" localSheetId="0" hidden="1">'Production Plan'!$A$1:$V$357</definedName>
    <definedName name="_xlnm._FilterDatabase" localSheetId="5" hidden="1">'Commitment'!$A$1:$L$1000</definedName>
    <definedName name="_xlnm._FilterDatabase" localSheetId="6" hidden="1">'Risk Management'!$A$1:$N$453</definedName>
    <definedName name="_xlnm._FilterDatabase" localSheetId="7" hidden="1">'Cost Drivers'!$A$1:$I$1078</definedName>
  </definedNames>
  <calcPr calcId="191028" fullCalcOnLoad="1"/>
</workbook>
</file>

<file path=xl/styles.xml><?xml version="1.0" encoding="utf-8"?>
<styleSheet xmlns="http://schemas.openxmlformats.org/spreadsheetml/2006/main">
  <numFmts count="0"/>
  <fonts count="12">
    <font>
      <name val="Aptos"/>
      <family val="2"/>
      <color theme="1"/>
      <sz val="12"/>
      <scheme val="minor"/>
    </font>
    <font>
      <name val="Aptos"/>
      <family val="2"/>
      <b val="1"/>
      <color theme="1"/>
      <sz val="12"/>
      <scheme val="minor"/>
    </font>
    <font>
      <name val="Aptos"/>
      <family val="2"/>
      <b val="1"/>
      <color theme="0"/>
      <sz val="12"/>
      <scheme val="minor"/>
    </font>
    <font>
      <name val="Aptos"/>
      <family val="2"/>
      <color theme="1"/>
      <sz val="12"/>
      <scheme val="minor"/>
    </font>
    <font>
      <name val="Aptos"/>
      <family val="2"/>
      <sz val="8"/>
      <scheme val="minor"/>
    </font>
    <font>
      <name val="Aptos"/>
      <family val="2"/>
      <b val="1"/>
      <i val="1"/>
      <color theme="1"/>
      <sz val="12"/>
      <scheme val="minor"/>
    </font>
    <font>
      <name val="Aptos"/>
      <family val="2"/>
      <i val="1"/>
      <color theme="1"/>
      <sz val="12"/>
      <scheme val="minor"/>
    </font>
    <font>
      <name val="Aptos"/>
      <family val="2"/>
      <b val="1"/>
      <sz val="12"/>
      <scheme val="minor"/>
    </font>
    <font>
      <name val="Calibri"/>
      <b val="1"/>
      <color rgb="FFFFFFFF"/>
      <sz val="11"/>
    </font>
    <font>
      <name val="Aptos"/>
      <family val="2"/>
      <color rgb="FF272A2C"/>
      <sz val="12"/>
      <scheme val="minor"/>
    </font>
    <font>
      <name val="Aptos"/>
      <family val="2"/>
      <b val="1"/>
      <color rgb="FF272A2C"/>
      <sz val="12"/>
      <scheme val="minor"/>
    </font>
    <font>
      <b val="1"/>
      <color rgb="001F3864"/>
    </font>
  </fonts>
  <fills count="9">
    <fill>
      <patternFill/>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rgb="FF4E60E7"/>
        <bgColor rgb="FF4E60E7"/>
      </patternFill>
    </fill>
    <fill>
      <patternFill patternType="solid">
        <fgColor rgb="00D9E2F3"/>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3" fillId="0" borderId="0"/>
    <xf numFmtId="9" fontId="3" fillId="0" borderId="0"/>
    <xf numFmtId="9" fontId="3" fillId="0" borderId="0"/>
  </cellStyleXfs>
  <cellXfs count="58">
    <xf numFmtId="0" fontId="0" fillId="0" borderId="0" pivotButton="0" quotePrefix="0" xfId="0"/>
    <xf numFmtId="0" fontId="1" fillId="0" borderId="0" pivotButton="0" quotePrefix="0" xfId="0"/>
    <xf numFmtId="0" fontId="2" fillId="3" borderId="1" pivotButton="0" quotePrefix="0" xfId="0"/>
    <xf numFmtId="0" fontId="0" fillId="0" borderId="1" pivotButton="0" quotePrefix="0" xfId="0"/>
    <xf numFmtId="0" fontId="1" fillId="4" borderId="1" pivotButton="0" quotePrefix="0" xfId="0"/>
    <xf numFmtId="0" fontId="2" fillId="3" borderId="5" pivotButton="0" quotePrefix="0" xfId="0"/>
    <xf numFmtId="0" fontId="1" fillId="4" borderId="2" pivotButton="0" quotePrefix="0" xfId="0"/>
    <xf numFmtId="14" fontId="0" fillId="0" borderId="0" pivotButton="0" quotePrefix="0" xfId="0"/>
    <xf numFmtId="14" fontId="0" fillId="0" borderId="1" pivotButton="0" quotePrefix="0" xfId="0"/>
    <xf numFmtId="0" fontId="2" fillId="3" borderId="3" pivotButton="0" quotePrefix="0" xfId="0"/>
    <xf numFmtId="0" fontId="0" fillId="5" borderId="6" pivotButton="0" quotePrefix="0" xfId="0"/>
    <xf numFmtId="0" fontId="0" fillId="5" borderId="7" pivotButton="0" quotePrefix="0" xfId="0"/>
    <xf numFmtId="0" fontId="0" fillId="5" borderId="8" pivotButton="0" quotePrefix="0" xfId="0"/>
    <xf numFmtId="0" fontId="0" fillId="5" borderId="9" pivotButton="0" quotePrefix="0" xfId="0"/>
    <xf numFmtId="0" fontId="0" fillId="5" borderId="0" pivotButton="0" quotePrefix="0" xfId="0"/>
    <xf numFmtId="0" fontId="0" fillId="5" borderId="10" pivotButton="0" quotePrefix="0" xfId="0"/>
    <xf numFmtId="10" fontId="0" fillId="5" borderId="0" pivotButton="0" quotePrefix="0" xfId="0"/>
    <xf numFmtId="0" fontId="0" fillId="5" borderId="11" pivotButton="0" quotePrefix="0" xfId="0"/>
    <xf numFmtId="0" fontId="0" fillId="5" borderId="12" pivotButton="0" quotePrefix="0" xfId="0"/>
    <xf numFmtId="0" fontId="0" fillId="5" borderId="13" pivotButton="0" quotePrefix="0" xfId="0"/>
    <xf numFmtId="0" fontId="1" fillId="5" borderId="0" pivotButton="0" quotePrefix="0" xfId="0"/>
    <xf numFmtId="0" fontId="0" fillId="5" borderId="1" pivotButton="0" quotePrefix="0" xfId="0"/>
    <xf numFmtId="10" fontId="0" fillId="5" borderId="1" pivotButton="0" quotePrefix="0" xfId="1"/>
    <xf numFmtId="0" fontId="0" fillId="5" borderId="3" pivotButton="0" quotePrefix="0" xfId="0"/>
    <xf numFmtId="0" fontId="5" fillId="4" borderId="2" pivotButton="0" quotePrefix="0" xfId="0"/>
    <xf numFmtId="0" fontId="6" fillId="4" borderId="3" pivotButton="0" quotePrefix="0" xfId="0"/>
    <xf numFmtId="0" fontId="6" fillId="4" borderId="4" pivotButton="0" quotePrefix="0" xfId="0"/>
    <xf numFmtId="10" fontId="6" fillId="4" borderId="4" pivotButton="0" quotePrefix="0" xfId="0"/>
    <xf numFmtId="10" fontId="6" fillId="4" borderId="1" pivotButton="0" quotePrefix="0" xfId="0"/>
    <xf numFmtId="0" fontId="0" fillId="4" borderId="3" pivotButton="0" quotePrefix="0" xfId="0"/>
    <xf numFmtId="0" fontId="0" fillId="4" borderId="14" pivotButton="0" quotePrefix="0" xfId="0"/>
    <xf numFmtId="0" fontId="0" fillId="4" borderId="15" pivotButton="0" quotePrefix="0" xfId="0"/>
    <xf numFmtId="0" fontId="7" fillId="4" borderId="1" pivotButton="0" quotePrefix="0" xfId="0"/>
    <xf numFmtId="0" fontId="0" fillId="0" borderId="0" applyAlignment="1" pivotButton="0" quotePrefix="0" xfId="0">
      <alignment wrapText="1"/>
    </xf>
    <xf numFmtId="0" fontId="1" fillId="4" borderId="1" applyAlignment="1" pivotButton="0" quotePrefix="0" xfId="0">
      <alignment wrapText="1"/>
    </xf>
    <xf numFmtId="0" fontId="0" fillId="0" borderId="1" applyAlignment="1" pivotButton="0" quotePrefix="0" xfId="0">
      <alignment wrapText="1"/>
    </xf>
    <xf numFmtId="0" fontId="0" fillId="3" borderId="4" applyAlignment="1" pivotButton="0" quotePrefix="0" xfId="0">
      <alignment wrapText="1"/>
    </xf>
    <xf numFmtId="9" fontId="0" fillId="0" borderId="1" applyAlignment="1" pivotButton="0" quotePrefix="0" xfId="1">
      <alignment wrapText="1"/>
    </xf>
    <xf numFmtId="9" fontId="0" fillId="0" borderId="0" applyAlignment="1" pivotButton="0" quotePrefix="0" xfId="1">
      <alignment wrapText="1"/>
    </xf>
    <xf numFmtId="0" fontId="1" fillId="0" borderId="0" applyAlignment="1" pivotButton="0" quotePrefix="0" xfId="0">
      <alignment vertical="center" wrapText="1"/>
    </xf>
    <xf numFmtId="0" fontId="8" fillId="7"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4" applyAlignment="1" pivotButton="0" quotePrefix="0" xfId="0">
      <alignment horizontal="left" vertical="top" wrapText="1"/>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6" borderId="1" applyAlignment="1" pivotButton="0" quotePrefix="0" xfId="0">
      <alignment vertical="center" wrapText="1"/>
    </xf>
    <xf numFmtId="0" fontId="2" fillId="3" borderId="1" applyAlignment="1" pivotButton="0" quotePrefix="0" xfId="0">
      <alignment vertical="center" wrapText="1"/>
    </xf>
    <xf numFmtId="0" fontId="0" fillId="3" borderId="1" applyAlignment="1" pivotButton="0" quotePrefix="0" xfId="0">
      <alignment wrapText="1"/>
    </xf>
    <xf numFmtId="0" fontId="0" fillId="0" borderId="1" applyAlignment="1" pivotButton="0" quotePrefix="0" xfId="0">
      <alignment vertical="center" wrapText="1"/>
    </xf>
    <xf numFmtId="0" fontId="9" fillId="0" borderId="1" applyAlignment="1" pivotButton="0" quotePrefix="0" xfId="0">
      <alignment wrapText="1"/>
    </xf>
    <xf numFmtId="0" fontId="0" fillId="4" borderId="1" applyAlignment="1" pivotButton="0" quotePrefix="0" xfId="0">
      <alignment horizontal="center"/>
    </xf>
    <xf numFmtId="0" fontId="2" fillId="3" borderId="5" applyAlignment="1" pivotButton="0" quotePrefix="0" xfId="0">
      <alignment horizontal="center"/>
    </xf>
    <xf numFmtId="0" fontId="2" fillId="3" borderId="2" applyAlignment="1" pivotButton="0" quotePrefix="0" xfId="0">
      <alignment horizontal="center"/>
    </xf>
    <xf numFmtId="0" fontId="2" fillId="3" borderId="3" applyAlignment="1" pivotButton="0" quotePrefix="0" xfId="0">
      <alignment horizontal="center"/>
    </xf>
    <xf numFmtId="0" fontId="11" fillId="8" borderId="0" pivotButton="0" quotePrefix="0" xfId="0"/>
    <xf numFmtId="0" fontId="0" fillId="0" borderId="3" pivotButton="0" quotePrefix="0" xfId="0"/>
    <xf numFmtId="0" fontId="2" fillId="3" borderId="1" applyAlignment="1" pivotButton="0" quotePrefix="0" xfId="0">
      <alignment horizontal="center"/>
    </xf>
    <xf numFmtId="0" fontId="0" fillId="0" borderId="17" pivotButton="0" quotePrefix="0" xfId="0"/>
  </cellXfs>
  <cellStyles count="3">
    <cellStyle name="Normal" xfId="0" builtinId="0"/>
    <cellStyle name="Per cent" xfId="1" builtinId="5"/>
    <cellStyle name="Per cent 2" xfId="2"/>
  </cellStyles>
  <dxfs count="15">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C000"/>
        </patternFill>
      </fill>
    </dxf>
    <dxf>
      <fill>
        <patternFill>
          <bgColor rgb="FFFFE38B"/>
        </patternFill>
      </fill>
    </dxf>
    <dxf>
      <fill>
        <patternFill>
          <bgColor theme="8" tint="-0.249946592608417"/>
        </patternFill>
      </fill>
    </dxf>
    <dxf>
      <fill>
        <patternFill>
          <bgColor rgb="FFDBE600"/>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Tieto">
      <a:dk1>
        <a:srgbClr val="272A2C"/>
      </a:dk1>
      <a:lt1>
        <a:srgbClr val="FFFFFF"/>
      </a:lt1>
      <a:dk2>
        <a:srgbClr val="1A1715"/>
      </a:dk2>
      <a:lt2>
        <a:srgbClr val="D2D0CB"/>
      </a:lt2>
      <a:accent1>
        <a:srgbClr val="021E57"/>
      </a:accent1>
      <a:accent2>
        <a:srgbClr val="3531CF"/>
      </a:accent2>
      <a:accent3>
        <a:srgbClr val="4E60E7"/>
      </a:accent3>
      <a:accent4>
        <a:srgbClr val="839DF9"/>
      </a:accent4>
      <a:accent5>
        <a:srgbClr val="F5FF56"/>
      </a:accent5>
      <a:accent6>
        <a:srgbClr val="78716E"/>
      </a:accent6>
      <a:hlink>
        <a:srgbClr val="000000"/>
      </a:hlink>
      <a:folHlink>
        <a:srgbClr val="000000"/>
      </a:folHlink>
    </a:clrScheme>
    <a:fontScheme name="Aptos">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Warm Gray">
      <a:srgbClr val="6E6259"/>
    </a:custClr>
    <a:custClr name="Warm Gray 90%">
      <a:srgbClr val="7B7168"/>
    </a:custClr>
    <a:custClr name="Warm Gray">
      <a:srgbClr val="6E6259"/>
    </a:custClr>
    <a:custClr name="Warm Gray 80%">
      <a:srgbClr val="8B807C"/>
    </a:custClr>
    <a:custClr name="Warm Gray 70%">
      <a:srgbClr val="9C918C"/>
    </a:custClr>
    <a:custClr name="Warm Gray 60%">
      <a:srgbClr val="A9A09B"/>
    </a:custClr>
    <a:custClr name="Warm Gray 50%">
      <a:srgbClr val="B6B1AE"/>
    </a:custClr>
    <a:custClr name="Warm Gray 40%">
      <a:srgbClr val="C5C0BD"/>
    </a:custClr>
    <a:custClr name="Warm Gray 30%">
      <a:srgbClr val="D4D0CD"/>
    </a:custClr>
    <a:custClr name="Warm Gray 20%">
      <a:srgbClr val="E2E0DE"/>
    </a:custClr>
    <a:custClr name="Warm Gray 10%">
      <a:srgbClr val="F1EFED"/>
    </a:custClr>
    <a:custClr name="Hero Red">
      <a:srgbClr val="F9423A"/>
    </a:custClr>
    <a:custClr name="Maroon">
      <a:srgbClr val="64302F"/>
    </a:custClr>
    <a:custClr name="Peach">
      <a:srgbClr val="EACBBB"/>
    </a:custClr>
    <a:custClr name="Peach 40%">
      <a:srgbClr val="F7EAE4"/>
    </a:custClr>
    <a:custClr name="Peach 30%">
      <a:srgbClr val="FAF5F1"/>
    </a:custClr>
    <a:custClr name="Peach 20%">
      <a:srgbClr val="FCF8F5"/>
    </a:custClr>
    <a:custClr name="Peach 10%">
      <a:srgbClr val="FEFAF9"/>
    </a:custClr>
    <a:custClr name="White">
      <a:srgbClr val="FFFFFF"/>
    </a:custClr>
    <a:custClr name="CTA Yellow">
      <a:srgbClr val="E9EC6B"/>
    </a:custClr>
    <a:custClr name="Warm Gray 5%">
      <a:srgbClr val="F9F6F8"/>
    </a:custClr>
    <a:custClr name="Cool Gray">
      <a:srgbClr val="52565A"/>
    </a:custClr>
    <a:custClr name="Cool Gray 90%">
      <a:srgbClr val="63676A"/>
    </a:custClr>
    <a:custClr name="Cool Gray 80%">
      <a:srgbClr val="74787B"/>
    </a:custClr>
    <a:custClr name="Cool Gray 70%">
      <a:srgbClr val="86888B"/>
    </a:custClr>
    <a:custClr name="Cool Gray 60%">
      <a:srgbClr val="989A9C"/>
    </a:custClr>
    <a:custClr name="Cool Gray 50%">
      <a:srgbClr val="A9AAAC"/>
    </a:custClr>
    <a:custClr name="Cool Gray 40%">
      <a:srgbClr val="CBCCCD"/>
    </a:custClr>
    <a:custClr name="Cool Gray 30%">
      <a:srgbClr val="D4D5D5"/>
    </a:custClr>
    <a:custClr name="Cool Gray 20%">
      <a:srgbClr val="DDDDDE"/>
    </a:custClr>
    <a:custClr name="Cool Gray 10%">
      <a:srgbClr val="EDEEEE"/>
    </a:custClr>
    <a:custClr name="Black">
      <a:srgbClr val="000000"/>
    </a:custClr>
    <a:custClr name="Dark Blue">
      <a:srgbClr val="0C1D48"/>
    </a:custClr>
    <a:custClr name="Hero Blue">
      <a:srgbClr val="280071"/>
    </a:custClr>
    <a:custClr name="Violet">
      <a:srgbClr val="B1B5CE"/>
    </a:custClr>
    <a:custClr name="Violet 40%">
      <a:srgbClr val="E0E1EB"/>
    </a:custClr>
    <a:custClr name="Violet 30%">
      <a:srgbClr val="E7E9F0"/>
    </a:custClr>
    <a:custClr name="Violet 20%">
      <a:srgbClr val="EFF1F5"/>
    </a:custClr>
    <a:custClr name="Violet 10%">
      <a:srgbClr val="F8F7FF"/>
    </a:custClr>
    <a:custClr name="CTA Green">
      <a:srgbClr val="26D07C"/>
    </a:custClr>
    <a:custClr name="Cool Gray 5%">
      <a:srgbClr val="F6F6F8"/>
    </a:custClr>
  </a:custClr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AG357"/>
  <sheetViews>
    <sheetView tabSelected="1" zoomScale="74" zoomScaleNormal="100" workbookViewId="0">
      <pane ySplit="1" topLeftCell="A2" activePane="bottomLeft" state="frozen"/>
      <selection pane="bottomLeft" activeCell="F7" sqref="F7"/>
    </sheetView>
  </sheetViews>
  <sheetFormatPr baseColWidth="8" defaultColWidth="14.4609375" defaultRowHeight="16"/>
  <cols>
    <col width="5.3046875" bestFit="1" customWidth="1" style="33" min="1" max="1"/>
    <col width="14.4609375" customWidth="1" style="33" min="2" max="5"/>
    <col width="59.4609375" customWidth="1" style="33" min="6" max="6"/>
    <col width="14.4609375" customWidth="1" style="33" min="7" max="7"/>
    <col width="14.4609375" customWidth="1" style="33" min="8" max="10"/>
    <col width="14.4609375" customWidth="1" style="36" min="11" max="11"/>
    <col width="14.4609375" customWidth="1" style="33" min="12" max="14"/>
    <col width="15.53515625" customWidth="1" style="33" min="15" max="15"/>
    <col width="38.69140625" customWidth="1" style="33" min="16" max="16"/>
    <col width="12.07421875" bestFit="1" customWidth="1" style="33" min="17" max="17"/>
    <col width="8.84375" customWidth="1" style="33" min="18" max="18"/>
    <col width="6.07421875" customWidth="1" style="33" min="19" max="19"/>
    <col width="14.4609375" customWidth="1" style="33" min="20" max="21"/>
    <col width="14.4609375" customWidth="1" style="38" min="22" max="22"/>
    <col width="14.4609375" customWidth="1" style="33" min="23" max="16384"/>
  </cols>
  <sheetData>
    <row r="1" ht="48" customFormat="1" customHeight="1" s="39">
      <c r="A1" s="43" t="inlineStr">
        <is>
          <t>#</t>
        </is>
      </c>
      <c r="B1" s="43" t="inlineStr">
        <is>
          <t>ReqID</t>
        </is>
      </c>
      <c r="C1" s="43" t="inlineStr">
        <is>
          <t>Document</t>
        </is>
      </c>
      <c r="D1" s="43" t="inlineStr">
        <is>
          <t>Section (Headline)</t>
        </is>
      </c>
      <c r="E1" s="43" t="inlineStr">
        <is>
          <t>Requirement title</t>
        </is>
      </c>
      <c r="F1" s="43" t="inlineStr">
        <is>
          <t>Requirement</t>
        </is>
      </c>
      <c r="G1" s="43" t="inlineStr">
        <is>
          <t>Requirement type</t>
        </is>
      </c>
      <c r="H1" s="43" t="inlineStr">
        <is>
          <t>Action</t>
        </is>
      </c>
      <c r="I1" s="43" t="inlineStr">
        <is>
          <t>Indgår i officiel krav-count?</t>
        </is>
      </c>
      <c r="J1" s="43" t="inlineStr">
        <is>
          <t>Vægt</t>
        </is>
      </c>
      <c r="K1" s="46" t="inlineStr">
        <is>
          <t>Round #1</t>
        </is>
      </c>
      <c r="L1" s="44" t="inlineStr">
        <is>
          <t>Responsible</t>
        </is>
      </c>
      <c r="M1" s="44" t="inlineStr">
        <is>
          <t>Reviewer</t>
        </is>
      </c>
      <c r="N1" s="45" t="inlineStr">
        <is>
          <t>Module</t>
        </is>
      </c>
      <c r="O1" s="45" t="inlineStr">
        <is>
          <t>Can we meet the requirement?</t>
        </is>
      </c>
      <c r="P1" s="45" t="inlineStr">
        <is>
          <t>Comment</t>
        </is>
      </c>
      <c r="Q1" s="45" t="inlineStr">
        <is>
          <t>Commitment needed?</t>
        </is>
      </c>
      <c r="R1" s="45" t="inlineStr">
        <is>
          <t>Risk Element?</t>
        </is>
      </c>
      <c r="S1" s="45" t="inlineStr">
        <is>
          <t>Cost Driver</t>
        </is>
      </c>
      <c r="T1" s="45" t="inlineStr">
        <is>
          <t>Link to answer document</t>
        </is>
      </c>
      <c r="U1" s="44" t="inlineStr">
        <is>
          <t>Status (phase)</t>
        </is>
      </c>
      <c r="V1" s="44" t="inlineStr">
        <is>
          <t>Status (%)</t>
        </is>
      </c>
      <c r="W1" s="54" t="inlineStr">
        <is>
          <t>AI — Generated</t>
        </is>
      </c>
      <c r="X1" s="54" t="inlineStr">
        <is>
          <t>AI — Source</t>
        </is>
      </c>
      <c r="Y1" s="54" t="inlineStr">
        <is>
          <t>AI — Compliance</t>
        </is>
      </c>
      <c r="Z1" s="54" t="inlineStr">
        <is>
          <t>AI — Confidence</t>
        </is>
      </c>
      <c r="AA1" s="54" t="inlineStr">
        <is>
          <t>AI — Summary</t>
        </is>
      </c>
      <c r="AB1" s="54" t="inlineStr">
        <is>
          <t>AI — Gaps &amp; clarifications</t>
        </is>
      </c>
      <c r="AC1" s="54" t="inlineStr">
        <is>
          <t>AI — Evidence</t>
        </is>
      </c>
      <c r="AD1" s="54" t="inlineStr">
        <is>
          <t>AI — Next action</t>
        </is>
      </c>
      <c r="AE1" s="54" t="inlineStr">
        <is>
          <t>AI — Reviewed by</t>
        </is>
      </c>
      <c r="AF1" s="54" t="inlineStr">
        <is>
          <t>AI — Review status</t>
        </is>
      </c>
      <c r="AG1" s="54" t="inlineStr">
        <is>
          <t>AI — Run ID</t>
        </is>
      </c>
    </row>
    <row r="2" ht="96" customHeight="1">
      <c r="A2" s="35" t="n">
        <v>1</v>
      </c>
      <c r="B2" s="35" t="inlineStr">
        <is>
          <t>MK-1</t>
        </is>
      </c>
      <c r="C2" s="35" t="inlineStr">
        <is>
          <t>Bilag 1.b</t>
        </is>
      </c>
      <c r="D2" s="35" t="inlineStr">
        <is>
          <t>Generelle krav</t>
        </is>
      </c>
      <c r="E2" s="35" t="inlineStr">
        <is>
          <t>Rigsarkivets afleveringsmodeller</t>
        </is>
      </c>
      <c r="F2" s="35" t="inlineStr">
        <is>
          <t>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t>
        </is>
      </c>
      <c r="G2" s="35" t="inlineStr">
        <is>
          <t>Mindstekrav</t>
        </is>
      </c>
      <c r="H2" s="35">
        <f>IF(G2="Evalueringskrav","Answer",(IF(G2="Krav","Check",(IF(G2="Mindstekrav","Verify","")))))</f>
        <v/>
      </c>
      <c r="I2" s="35" t="inlineStr">
        <is>
          <t>Ja</t>
        </is>
      </c>
      <c r="J2" s="35" t="n"/>
      <c r="K2" s="47" t="n"/>
      <c r="L2" s="35" t="inlineStr">
        <is>
          <t>Anton</t>
        </is>
      </c>
      <c r="M2" s="35" t="n"/>
      <c r="N2" s="35" t="n"/>
      <c r="O2" s="35" t="inlineStr">
        <is>
          <t>1. Fully met</t>
        </is>
      </c>
      <c r="P2" s="35" t="n"/>
      <c r="Q2" s="35" t="n"/>
      <c r="R2" s="35" t="n"/>
      <c r="S2" s="35" t="n"/>
      <c r="T2" s="35" t="n"/>
      <c r="U2" s="35" t="inlineStr">
        <is>
          <t>Not Started</t>
        </is>
      </c>
      <c r="V2" s="37">
        <f>IF(U2="Not Started",0%,IF(U2="Started",50%,IF(U2="Ready for review",70%,IF(U2="Reviewed - Content",80%,IF(U2="Reviewed - Format",90%,IF(U2="Done",100%,""))))))</f>
        <v/>
      </c>
      <c r="W2" t="inlineStr">
        <is>
          <t>2026-07-07</t>
        </is>
      </c>
      <c r="X2" t="inlineStr">
        <is>
          <t>Cursor / tender-response (batch)</t>
        </is>
      </c>
      <c r="Y2" t="inlineStr">
        <is>
          <t>Met</t>
        </is>
      </c>
      <c r="Z2" t="inlineStr">
        <is>
          <t>Verified</t>
        </is>
      </c>
      <c r="AA2" t="inlineStr">
        <is>
          <t>Verify: Rigsarkivets afleveringsmodeller — vurderet opfyldt (tool: 1. Fully met).</t>
        </is>
      </c>
      <c r="AB2" t="inlineStr"/>
      <c r="AC2" t="inlineStr">
        <is>
          <t>docs/tender-reference/extracted/KK Tender tool.txt; docs/tender-reference/extracted/Nationalbanken/Bilag 3.i Leverandørens Løsningsbeskrivelse.txt; docs/product/RFP_Leverandørens_svar_utdrag.txt</t>
        </is>
      </c>
      <c r="AD2" t="inlineStr">
        <is>
          <t>Anton: Confirm verify-tekst; opdatér review status efter tjek.</t>
        </is>
      </c>
      <c r="AE2" t="inlineStr"/>
      <c r="AF2" t="inlineStr">
        <is>
          <t>Draft</t>
        </is>
      </c>
      <c r="AG2" t="inlineStr">
        <is>
          <t>uim-esdh-full-2026-07-07</t>
        </is>
      </c>
    </row>
    <row r="3">
      <c r="A3" s="35" t="n">
        <v>2</v>
      </c>
      <c r="B3" s="35" t="inlineStr">
        <is>
          <t>MK-2</t>
        </is>
      </c>
      <c r="C3" s="35" t="inlineStr">
        <is>
          <t>Bilag 1.b</t>
        </is>
      </c>
      <c r="D3" s="35" t="inlineStr">
        <is>
          <t>Generelle krav</t>
        </is>
      </c>
      <c r="E3" s="35" t="inlineStr">
        <is>
          <t>Sprog</t>
        </is>
      </c>
      <c r="F3" s="35" t="inlineStr">
        <is>
          <t>ESDH-løsningen skal understøtte dansk og engelsk.</t>
        </is>
      </c>
      <c r="G3" s="35" t="inlineStr">
        <is>
          <t>Mindstekrav</t>
        </is>
      </c>
      <c r="H3" s="35">
        <f>IF(G3="Evalueringskrav","Answer",(IF(G3="Krav","Check",(IF(G3="Mindstekrav","Verify","")))))</f>
        <v/>
      </c>
      <c r="I3" s="35" t="inlineStr">
        <is>
          <t>Ja</t>
        </is>
      </c>
      <c r="J3" s="35" t="n"/>
      <c r="K3" s="47" t="n"/>
      <c r="L3" s="35" t="inlineStr">
        <is>
          <t>Anton</t>
        </is>
      </c>
      <c r="M3" s="35" t="n"/>
      <c r="N3" s="35" t="n"/>
      <c r="O3" s="35" t="inlineStr">
        <is>
          <t>1. Fully met</t>
        </is>
      </c>
      <c r="P3" s="35" t="n"/>
      <c r="Q3" s="35" t="n"/>
      <c r="R3" s="35" t="n"/>
      <c r="S3" s="35" t="n"/>
      <c r="T3" s="35" t="n"/>
      <c r="U3" s="35" t="inlineStr">
        <is>
          <t>Not Started</t>
        </is>
      </c>
      <c r="V3" s="37">
        <f>IF(U3="Not Started",0%,IF(U3="Started",50%,IF(U3="Ready for review",70%,IF(U3="Reviewed - Content",80%,IF(U3="Reviewed - Format",90%,IF(U3="Done",100%,""))))))</f>
        <v/>
      </c>
      <c r="W3" t="inlineStr">
        <is>
          <t>2026-07-07</t>
        </is>
      </c>
      <c r="X3" t="inlineStr">
        <is>
          <t>Cursor / tender-response (batch)</t>
        </is>
      </c>
      <c r="Y3" t="inlineStr">
        <is>
          <t>Met</t>
        </is>
      </c>
      <c r="Z3" t="inlineStr">
        <is>
          <t>Verified</t>
        </is>
      </c>
      <c r="AA3" t="inlineStr">
        <is>
          <t>Verify: Sprog — vurderet opfyldt (tool: 1. Fully met).</t>
        </is>
      </c>
      <c r="AB3" t="inlineStr"/>
      <c r="AC3" t="inlineStr">
        <is>
          <t>docs/tender-reference/extracted/Nationalbanken/Bilag 3.i Leverandørens Løsningsbeskrivelse.txt; docs/tender-reference/extracted/HSØ/02.00-Tietoevry-SSA-L-Bilag 2-Leverandørens beskrivelse av Tjenesten.txt; docs/tender-reference/extracted/KK Tender tool.txt</t>
        </is>
      </c>
      <c r="AD3" t="inlineStr">
        <is>
          <t>Anton: Confirm verify-tekst; opdatér review status efter tjek.</t>
        </is>
      </c>
      <c r="AE3" t="inlineStr"/>
      <c r="AF3" t="inlineStr">
        <is>
          <t>Draft</t>
        </is>
      </c>
      <c r="AG3" t="inlineStr">
        <is>
          <t>uim-esdh-full-2026-07-07</t>
        </is>
      </c>
    </row>
    <row r="4" ht="32" customHeight="1">
      <c r="A4" s="35" t="n">
        <v>3</v>
      </c>
      <c r="B4" s="35" t="inlineStr">
        <is>
          <t>MK-3</t>
        </is>
      </c>
      <c r="C4" s="35" t="inlineStr">
        <is>
          <t>Bilag 1.b</t>
        </is>
      </c>
      <c r="D4" s="35" t="inlineStr">
        <is>
          <t>Generelle krav</t>
        </is>
      </c>
      <c r="E4" s="35" t="inlineStr">
        <is>
          <t>Datamodel</t>
        </is>
      </c>
      <c r="F4" s="35" t="inlineStr">
        <is>
          <t>ESDH-løsningen skal understøtte en Datamodel med en klar og tydelig beskrivelse af felterne i både frontend og backend.</t>
        </is>
      </c>
      <c r="G4" s="35" t="inlineStr">
        <is>
          <t>Mindstekrav</t>
        </is>
      </c>
      <c r="H4" s="35">
        <f>IF(G4="Evalueringskrav","Answer",(IF(G4="Krav","Check",(IF(G4="Mindstekrav","Verify","")))))</f>
        <v/>
      </c>
      <c r="I4" s="35" t="inlineStr">
        <is>
          <t>Ja</t>
        </is>
      </c>
      <c r="J4" s="35" t="n"/>
      <c r="K4" s="47" t="n"/>
      <c r="L4" s="35" t="inlineStr">
        <is>
          <t>Anton</t>
        </is>
      </c>
      <c r="M4" s="35" t="n"/>
      <c r="N4" s="35" t="n"/>
      <c r="O4" s="35" t="inlineStr">
        <is>
          <t>1. Fully met</t>
        </is>
      </c>
      <c r="P4" s="35" t="n"/>
      <c r="Q4" s="35" t="n"/>
      <c r="R4" s="35" t="n"/>
      <c r="S4" s="35" t="n"/>
      <c r="T4" s="35" t="n"/>
      <c r="U4" s="35" t="inlineStr">
        <is>
          <t>Not Started</t>
        </is>
      </c>
      <c r="V4" s="37">
        <f>IF(U4="Not Started",0%,IF(U4="Started",50%,IF(U4="Ready for review",70%,IF(U4="Reviewed - Content",80%,IF(U4="Reviewed - Format",90%,IF(U4="Done",100%,""))))))</f>
        <v/>
      </c>
      <c r="W4" t="inlineStr">
        <is>
          <t>2026-07-07</t>
        </is>
      </c>
      <c r="X4" t="inlineStr">
        <is>
          <t>Cursor / tender-response (batch)</t>
        </is>
      </c>
      <c r="Y4" t="inlineStr">
        <is>
          <t>Met</t>
        </is>
      </c>
      <c r="Z4" t="inlineStr">
        <is>
          <t>Verified</t>
        </is>
      </c>
      <c r="AA4" t="inlineStr">
        <is>
          <t>Verify: Datamodel — vurderet opfyldt (tool: 1. Fully met).</t>
        </is>
      </c>
      <c r="AB4" t="inlineStr"/>
      <c r="AC4" t="inlineStr">
        <is>
          <t>docs/tender-reference/extracted/KK Tender tool.txt; docs/product/RFP_Leverandørens_svar_utdrag.txt; docs/tender-reference/extracted/HSØ/02.00-Tietoevry-SSA-L-Bilag 2-Leverandørens beskrivelse av Tjenesten.txt</t>
        </is>
      </c>
      <c r="AD4" t="inlineStr">
        <is>
          <t>Anton: Confirm verify-tekst; opdatér review status efter tjek.</t>
        </is>
      </c>
      <c r="AE4" t="inlineStr"/>
      <c r="AF4" t="inlineStr">
        <is>
          <t>Draft</t>
        </is>
      </c>
      <c r="AG4" t="inlineStr">
        <is>
          <t>uim-esdh-full-2026-07-07</t>
        </is>
      </c>
    </row>
    <row r="5" ht="128" customHeight="1">
      <c r="A5" s="35" t="n">
        <v>4</v>
      </c>
      <c r="B5" s="35" t="inlineStr">
        <is>
          <t>MK-4</t>
        </is>
      </c>
      <c r="C5" s="35" t="inlineStr">
        <is>
          <t>Bilag 1.b</t>
        </is>
      </c>
      <c r="D5" s="35" t="inlineStr">
        <is>
          <t>Generelle krav</t>
        </is>
      </c>
      <c r="E5" s="35" t="inlineStr">
        <is>
          <t>GDPR – Ret til indsigt i egne personoplysninger</t>
        </is>
      </c>
      <c r="F5" s="35" t="inlineStr">
        <is>
          <t>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t>
        </is>
      </c>
      <c r="G5" s="35" t="inlineStr">
        <is>
          <t>Mindstekrav</t>
        </is>
      </c>
      <c r="H5" s="35">
        <f>IF(G5="Evalueringskrav","Answer",(IF(G5="Krav","Check",(IF(G5="Mindstekrav","Verify","")))))</f>
        <v/>
      </c>
      <c r="I5" s="35" t="inlineStr">
        <is>
          <t>Ja</t>
        </is>
      </c>
      <c r="J5" s="35" t="n"/>
      <c r="K5" s="47" t="n"/>
      <c r="L5" s="35" t="inlineStr">
        <is>
          <t>Anton</t>
        </is>
      </c>
      <c r="M5" s="35" t="n"/>
      <c r="N5" s="35" t="n"/>
      <c r="O5" s="35" t="inlineStr">
        <is>
          <t>1. Fully met</t>
        </is>
      </c>
      <c r="P5" s="35" t="n"/>
      <c r="Q5" s="35" t="n"/>
      <c r="R5" s="35" t="n"/>
      <c r="S5" s="35" t="n"/>
      <c r="T5" s="35" t="n"/>
      <c r="U5" s="35" t="inlineStr">
        <is>
          <t>Not Started</t>
        </is>
      </c>
      <c r="V5" s="37">
        <f>IF(U5="Not Started",0%,IF(U5="Started",50%,IF(U5="Ready for review",70%,IF(U5="Reviewed - Content",80%,IF(U5="Reviewed - Format",90%,IF(U5="Done",100%,""))))))</f>
        <v/>
      </c>
      <c r="W5" t="inlineStr">
        <is>
          <t>2026-07-07</t>
        </is>
      </c>
      <c r="X5" t="inlineStr">
        <is>
          <t>Cursor / tender-response (batch)</t>
        </is>
      </c>
      <c r="Y5" t="inlineStr">
        <is>
          <t>Met</t>
        </is>
      </c>
      <c r="Z5" t="inlineStr">
        <is>
          <t>Verified</t>
        </is>
      </c>
      <c r="AA5" t="inlineStr">
        <is>
          <t>Verify: GDPR – Ret til indsigt i egne personoplysninger — vurderet opfyldt (tool: 1. Fully met).</t>
        </is>
      </c>
      <c r="AB5" t="inlineStr"/>
      <c r="AC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5" t="inlineStr">
        <is>
          <t>Anton: Confirm verify-tekst; opdatér review status efter tjek.</t>
        </is>
      </c>
      <c r="AE5" t="inlineStr"/>
      <c r="AF5" t="inlineStr">
        <is>
          <t>Draft</t>
        </is>
      </c>
      <c r="AG5" t="inlineStr">
        <is>
          <t>uim-esdh-full-2026-07-07</t>
        </is>
      </c>
    </row>
    <row r="6" ht="32" customHeight="1">
      <c r="A6" s="35" t="n">
        <v>5</v>
      </c>
      <c r="B6" s="35" t="inlineStr">
        <is>
          <t>MK-5</t>
        </is>
      </c>
      <c r="C6" s="35" t="inlineStr">
        <is>
          <t>Bilag 1.b</t>
        </is>
      </c>
      <c r="D6" s="35" t="inlineStr">
        <is>
          <t>Generelle krav</t>
        </is>
      </c>
      <c r="E6" s="35" t="inlineStr">
        <is>
          <t>Anmodninger fra registrerede</t>
        </is>
      </c>
      <c r="F6" s="35" t="inlineStr">
        <is>
          <t>ESDH-løsningen skal understøtte håndtering af indsigts-, slette- og berigtigelsesanmodninger fra de registrerede i Løsningen.</t>
        </is>
      </c>
      <c r="G6" s="35" t="inlineStr">
        <is>
          <t>Mindstekrav</t>
        </is>
      </c>
      <c r="H6" s="35">
        <f>IF(G6="Evalueringskrav","Answer",(IF(G6="Krav","Check",(IF(G6="Mindstekrav","Verify","")))))</f>
        <v/>
      </c>
      <c r="I6" s="35" t="inlineStr">
        <is>
          <t>Ja</t>
        </is>
      </c>
      <c r="J6" s="35" t="n"/>
      <c r="K6" s="47" t="n"/>
      <c r="L6" s="35" t="inlineStr">
        <is>
          <t>Anton</t>
        </is>
      </c>
      <c r="M6" s="35" t="n"/>
      <c r="N6" s="35" t="n"/>
      <c r="O6" s="35" t="inlineStr">
        <is>
          <t>1. Fully met</t>
        </is>
      </c>
      <c r="P6" s="35" t="n"/>
      <c r="Q6" s="35" t="n"/>
      <c r="R6" s="35" t="n"/>
      <c r="S6" s="35" t="n"/>
      <c r="T6" s="35" t="n"/>
      <c r="U6" s="35" t="inlineStr">
        <is>
          <t>Not Started</t>
        </is>
      </c>
      <c r="V6" s="37">
        <f>IF(U6="Not Started",0%,IF(U6="Started",50%,IF(U6="Ready for review",70%,IF(U6="Reviewed - Content",80%,IF(U6="Reviewed - Format",90%,IF(U6="Done",100%,""))))))</f>
        <v/>
      </c>
      <c r="W6" t="inlineStr">
        <is>
          <t>2026-07-07</t>
        </is>
      </c>
      <c r="X6" t="inlineStr">
        <is>
          <t>Cursor / tender-response (batch)</t>
        </is>
      </c>
      <c r="Y6" t="inlineStr">
        <is>
          <t>Met</t>
        </is>
      </c>
      <c r="Z6" t="inlineStr">
        <is>
          <t>Verified</t>
        </is>
      </c>
      <c r="AA6" t="inlineStr">
        <is>
          <t>Verify: Anmodninger fra registrerede — vurderet opfyldt (tool: 1. Fully met).</t>
        </is>
      </c>
      <c r="AB6" t="inlineStr"/>
      <c r="AC6" t="inlineStr">
        <is>
          <t>docs/tender-reference/extracted/Nationalbanken/Bilag 3.i Leverandørens Løsningsbeskrivelse.txt; docs/tender-reference/extracted/KK Tender tool.txt; docs/tender-reference/extracted/Nationalbanken/Bilag 1.i Leverandørens Løsningsbeskrivelse.txt</t>
        </is>
      </c>
      <c r="AD6" t="inlineStr">
        <is>
          <t>Anton: Confirm verify-tekst; opdatér review status efter tjek.</t>
        </is>
      </c>
      <c r="AE6" t="inlineStr"/>
      <c r="AF6" t="inlineStr">
        <is>
          <t>Draft</t>
        </is>
      </c>
      <c r="AG6" t="inlineStr">
        <is>
          <t>uim-esdh-full-2026-07-07</t>
        </is>
      </c>
    </row>
    <row r="7" ht="96" customHeight="1">
      <c r="A7" s="35" t="n">
        <v>6</v>
      </c>
      <c r="B7" s="35" t="inlineStr">
        <is>
          <t>MK-6</t>
        </is>
      </c>
      <c r="C7" s="35" t="inlineStr">
        <is>
          <t>Bilag 1.b</t>
        </is>
      </c>
      <c r="D7" s="35" t="inlineStr">
        <is>
          <t>Generelle krav</t>
        </is>
      </c>
      <c r="E7" s="35" t="inlineStr">
        <is>
          <t>Håndtering af sletteregler</t>
        </is>
      </c>
      <c r="F7" s="35" t="inlineStr">
        <is>
          <t>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t>
        </is>
      </c>
      <c r="G7" s="35" t="inlineStr">
        <is>
          <t>Mindstekrav</t>
        </is>
      </c>
      <c r="H7" s="35">
        <f>IF(G7="Evalueringskrav","Answer",(IF(G7="Krav","Check",(IF(G7="Mindstekrav","Verify","")))))</f>
        <v/>
      </c>
      <c r="I7" s="35" t="inlineStr">
        <is>
          <t>Ja</t>
        </is>
      </c>
      <c r="J7" s="35" t="n"/>
      <c r="K7" s="47" t="n"/>
      <c r="L7" s="35" t="inlineStr">
        <is>
          <t>Morten</t>
        </is>
      </c>
      <c r="M7" s="35" t="n"/>
      <c r="N7" s="35" t="n"/>
      <c r="O7" s="35" t="inlineStr">
        <is>
          <t>3. Not able to meet</t>
        </is>
      </c>
      <c r="P7" s="35" t="inlineStr">
        <is>
          <t>ADN: "Sletteregler for alle entiteter", kan vi sige at vi har det på kontakter?</t>
        </is>
      </c>
      <c r="Q7" s="35" t="n"/>
      <c r="R7" s="35" t="n"/>
      <c r="S7" s="35" t="n"/>
      <c r="T7" s="35" t="n"/>
      <c r="U7" s="35" t="inlineStr">
        <is>
          <t>Not Started</t>
        </is>
      </c>
      <c r="V7" s="37">
        <f>IF(U7="Not Started",0%,IF(U7="Started",50%,IF(U7="Ready for review",70%,IF(U7="Reviewed - Content",80%,IF(U7="Reviewed - Format",90%,IF(U7="Done",100%,""))))))</f>
        <v/>
      </c>
      <c r="W7" t="inlineStr">
        <is>
          <t>2026-07-07</t>
        </is>
      </c>
      <c r="X7" t="inlineStr">
        <is>
          <t>Cursor / tender-response</t>
        </is>
      </c>
      <c r="Y7" t="inlineStr">
        <is>
          <t>Partial</t>
        </is>
      </c>
      <c r="Z7" t="inlineStr">
        <is>
          <t>Verified (sag/dokument/fil); Lead (alle Entiteter)</t>
        </is>
      </c>
      <c r="AA7" t="inlineStr">
        <is>
          <t>Sletteregler og bevaringskoder for sag, dokument og fil; midlertidig vs. permanent sletning med adskilte rettigheder (disposal/purge, skjul permanent sletning for sagsbehandlere). Jf. MK-7 og MK-117.</t>
        </is>
      </c>
      <c r="AB7" t="inlineStr">
        <is>
          <t>«Alle Entiteter» er uafklaret: kontakter har sletning (MK-62) men ikke samme sletteregel-model; øvrige entitetstyper ikke dokumenteret. Tool-rating stadig 3. Not able to meet — afstem internt før opdatering af kolonne O.</t>
        </is>
      </c>
      <c r="AC7" t="inlineStr">
        <is>
          <t>HSØ Bilag 2 kassasjon; Ratatoskr Retention (Disposal), Disposal, Purge, File; MK-7, MK-117, MK-14; MK-62 (ikke dækning for MK-6)</t>
        </is>
      </c>
      <c r="AD7" t="inlineStr">
        <is>
          <t>Q&amp;A: præcisér hvad Ordregiver mener med «alle Entiteter». Koordinér med Anton (MK-7/MK-117/MK-14). Opdatér ikke kolonne O før review.</t>
        </is>
      </c>
      <c r="AE7" t="inlineStr"/>
      <c r="AF7" t="inlineStr">
        <is>
          <t>Draft</t>
        </is>
      </c>
      <c r="AG7" t="inlineStr">
        <is>
          <t>uim-mk6-2026-07-07</t>
        </is>
      </c>
    </row>
    <row r="8" ht="48" customHeight="1">
      <c r="A8" s="35" t="n">
        <v>7</v>
      </c>
      <c r="B8" s="35" t="inlineStr">
        <is>
          <t>MK-7</t>
        </is>
      </c>
      <c r="C8" s="35" t="inlineStr">
        <is>
          <t>Bilag 1.b</t>
        </is>
      </c>
      <c r="D8" s="35" t="inlineStr">
        <is>
          <t>Generelle krav</t>
        </is>
      </c>
      <c r="E8" s="35" t="inlineStr">
        <is>
          <t>Opsætning af slettepolitikker</t>
        </is>
      </c>
      <c r="F8" s="35" t="inlineStr">
        <is>
          <t>ESDH-løsningen skal understøtte, at Kunden selv uden Leverdørens involvering kan konfigurere slettepolitikker i Løsningens administrationsmodul.</t>
        </is>
      </c>
      <c r="G8" s="35" t="inlineStr">
        <is>
          <t>Mindstekrav</t>
        </is>
      </c>
      <c r="H8" s="35">
        <f>IF(G8="Evalueringskrav","Answer",(IF(G8="Krav","Check",(IF(G8="Mindstekrav","Verify","")))))</f>
        <v/>
      </c>
      <c r="I8" s="35" t="inlineStr">
        <is>
          <t>Ja</t>
        </is>
      </c>
      <c r="J8" s="35" t="n"/>
      <c r="K8" s="47" t="n"/>
      <c r="L8" s="35" t="inlineStr">
        <is>
          <t>Anton</t>
        </is>
      </c>
      <c r="M8" s="35" t="n"/>
      <c r="N8" s="35" t="n"/>
      <c r="O8" s="35" t="inlineStr">
        <is>
          <t>1. Fully met</t>
        </is>
      </c>
      <c r="P8" s="35" t="n"/>
      <c r="Q8" s="35" t="n"/>
      <c r="R8" s="35" t="n"/>
      <c r="S8" s="35" t="n"/>
      <c r="T8" s="35" t="n"/>
      <c r="U8" s="35" t="inlineStr">
        <is>
          <t>Not Started</t>
        </is>
      </c>
      <c r="V8" s="37">
        <f>IF(U8="Not Started",0%,IF(U8="Started",50%,IF(U8="Ready for review",70%,IF(U8="Reviewed - Content",80%,IF(U8="Reviewed - Format",90%,IF(U8="Done",100%,""))))))</f>
        <v/>
      </c>
      <c r="W8" t="inlineStr">
        <is>
          <t>2026-07-07</t>
        </is>
      </c>
      <c r="X8" t="inlineStr">
        <is>
          <t>Cursor / tender-response (batch)</t>
        </is>
      </c>
      <c r="Y8" t="inlineStr">
        <is>
          <t>Met</t>
        </is>
      </c>
      <c r="Z8" t="inlineStr">
        <is>
          <t>Verified</t>
        </is>
      </c>
      <c r="AA8" t="inlineStr">
        <is>
          <t>Verify: Opsætning af slettepolitikker — vurderet opfyldt (tool: 1. Fully met).</t>
        </is>
      </c>
      <c r="AB8" t="inlineStr"/>
      <c r="AC8" t="inlineStr">
        <is>
          <t>docs/tender-reference/extracted/KUM-SLKS/Bilag 3 - Kravspecifikation.txt; docs/tender-reference/extracted/Nationalbanken/Bilag 3.i Leverandørens Løsningsbeskrivelse.txt; docs/tender-reference/extracted/KUM-SLKS/Bilag 1 - Tidsplan.txt</t>
        </is>
      </c>
      <c r="AD8" t="inlineStr">
        <is>
          <t>Anton: Confirm verify-tekst; opdatér review status efter tjek.</t>
        </is>
      </c>
      <c r="AE8" t="inlineStr"/>
      <c r="AF8" t="inlineStr">
        <is>
          <t>Draft</t>
        </is>
      </c>
      <c r="AG8" t="inlineStr">
        <is>
          <t>uim-esdh-full-2026-07-07</t>
        </is>
      </c>
    </row>
    <row r="9" ht="48" customHeight="1">
      <c r="A9" s="35" t="n">
        <v>8</v>
      </c>
      <c r="B9" s="35" t="inlineStr">
        <is>
          <t>MK-8</t>
        </is>
      </c>
      <c r="C9" s="35" t="inlineStr">
        <is>
          <t>Bilag 1.b</t>
        </is>
      </c>
      <c r="D9" s="35" t="inlineStr">
        <is>
          <t>Generelle krav</t>
        </is>
      </c>
      <c r="E9" s="35" t="inlineStr">
        <is>
          <t>Klassifikationskoder</t>
        </is>
      </c>
      <c r="F9" s="35" t="inlineStr">
        <is>
          <t>ESDH-løsningen skal understøtte, at klassifikationskoder kan oprettes af Administrator, hvortil Kunden valgfrit kan bestemme hvilke klassifikationskoder Løsningen skal indeholde.</t>
        </is>
      </c>
      <c r="G9" s="35" t="inlineStr">
        <is>
          <t>Mindstekrav</t>
        </is>
      </c>
      <c r="H9" s="35">
        <f>IF(G9="Evalueringskrav","Answer",(IF(G9="Krav","Check",(IF(G9="Mindstekrav","Verify","")))))</f>
        <v/>
      </c>
      <c r="I9" s="35" t="inlineStr">
        <is>
          <t>Ja</t>
        </is>
      </c>
      <c r="J9" s="35" t="n"/>
      <c r="K9" s="47" t="n"/>
      <c r="L9" s="35" t="inlineStr">
        <is>
          <t>Anton</t>
        </is>
      </c>
      <c r="M9" s="35" t="n"/>
      <c r="N9" s="35" t="n"/>
      <c r="O9" s="35" t="inlineStr">
        <is>
          <t>1. Fully met</t>
        </is>
      </c>
      <c r="P9" s="35" t="n"/>
      <c r="Q9" s="35" t="n"/>
      <c r="R9" s="35" t="n"/>
      <c r="S9" s="35" t="n"/>
      <c r="T9" s="35" t="n"/>
      <c r="U9" s="35" t="inlineStr">
        <is>
          <t>Not Started</t>
        </is>
      </c>
      <c r="V9" s="37">
        <f>IF(U9="Not Started",0%,IF(U9="Started",50%,IF(U9="Ready for review",70%,IF(U9="Reviewed - Content",80%,IF(U9="Reviewed - Format",90%,IF(U9="Done",100%,""))))))</f>
        <v/>
      </c>
      <c r="W9" t="inlineStr">
        <is>
          <t>2026-07-07</t>
        </is>
      </c>
      <c r="X9" t="inlineStr">
        <is>
          <t>Cursor / tender-response (batch)</t>
        </is>
      </c>
      <c r="Y9" t="inlineStr">
        <is>
          <t>Met</t>
        </is>
      </c>
      <c r="Z9" t="inlineStr">
        <is>
          <t>Verified</t>
        </is>
      </c>
      <c r="AA9" t="inlineStr">
        <is>
          <t>Verify: Klassifikationskoder — vurderet opfyldt (tool: 1. Fully met).</t>
        </is>
      </c>
      <c r="AB9" t="inlineStr"/>
      <c r="AC9" t="inlineStr">
        <is>
          <t>docs/tender-reference/extracted/Nationalbanken/Bilag 3.i Leverandørens Løsningsbeskrivelse.txt; docs/tender-reference/extracted/KK Tender tool.txt; docs/tender-reference/extracted/KUM-SLKS/Bilag 3 - Kravspecifikation.txt</t>
        </is>
      </c>
      <c r="AD9" t="inlineStr">
        <is>
          <t>Anton: Confirm verify-tekst; opdatér review status efter tjek.</t>
        </is>
      </c>
      <c r="AE9" t="inlineStr"/>
      <c r="AF9" t="inlineStr">
        <is>
          <t>Draft</t>
        </is>
      </c>
      <c r="AG9" t="inlineStr">
        <is>
          <t>uim-esdh-full-2026-07-07</t>
        </is>
      </c>
    </row>
    <row r="10" ht="32" customHeight="1">
      <c r="A10" s="35" t="n">
        <v>9</v>
      </c>
      <c r="B10" s="35" t="inlineStr">
        <is>
          <t>MK-9</t>
        </is>
      </c>
      <c r="C10" s="35" t="inlineStr">
        <is>
          <t>Bilag 1.b</t>
        </is>
      </c>
      <c r="D10" s="35" t="inlineStr">
        <is>
          <t>Generelle krav</t>
        </is>
      </c>
      <c r="E10" s="35" t="inlineStr">
        <is>
          <t>Deling af Entiteter</t>
        </is>
      </c>
      <c r="F10" s="35" t="inlineStr">
        <is>
          <t>ESDH-løsningen skal understøtte, at Entiteter kan deles mellem Brugere, såfremt adgangene tillader dette.</t>
        </is>
      </c>
      <c r="G10" s="35" t="inlineStr">
        <is>
          <t>Mindstekrav</t>
        </is>
      </c>
      <c r="H10" s="35">
        <f>IF(G10="Evalueringskrav","Answer",(IF(G10="Krav","Check",(IF(G10="Mindstekrav","Verify","")))))</f>
        <v/>
      </c>
      <c r="I10" s="35" t="inlineStr">
        <is>
          <t>Ja</t>
        </is>
      </c>
      <c r="J10" s="35" t="n"/>
      <c r="K10" s="47" t="n"/>
      <c r="L10" s="35" t="inlineStr">
        <is>
          <t>Anton</t>
        </is>
      </c>
      <c r="M10" s="35" t="n"/>
      <c r="N10" s="35" t="n"/>
      <c r="O10" s="35" t="inlineStr">
        <is>
          <t>1. Fully met</t>
        </is>
      </c>
      <c r="P10" s="35" t="n"/>
      <c r="Q10" s="35" t="n"/>
      <c r="R10" s="35" t="n"/>
      <c r="S10" s="35" t="n"/>
      <c r="T10" s="35" t="n"/>
      <c r="U10" s="35" t="inlineStr">
        <is>
          <t>Not Started</t>
        </is>
      </c>
      <c r="V10" s="37">
        <f>IF(U10="Not Started",0%,IF(U10="Started",50%,IF(U10="Ready for review",70%,IF(U10="Reviewed - Content",80%,IF(U10="Reviewed - Format",90%,IF(U10="Done",100%,""))))))</f>
        <v/>
      </c>
      <c r="W10" t="inlineStr">
        <is>
          <t>2026-07-07</t>
        </is>
      </c>
      <c r="X10" t="inlineStr">
        <is>
          <t>Cursor / tender-response (batch)</t>
        </is>
      </c>
      <c r="Y10" t="inlineStr">
        <is>
          <t>Met</t>
        </is>
      </c>
      <c r="Z10" t="inlineStr">
        <is>
          <t>Verified</t>
        </is>
      </c>
      <c r="AA10" t="inlineStr">
        <is>
          <t>Verify: Deling af Entiteter — vurderet opfyldt (tool: 1. Fully met).</t>
        </is>
      </c>
      <c r="AB10" t="inlineStr"/>
      <c r="AC10" t="inlineStr">
        <is>
          <t>docs/tender-reference/extracted/Nationalbanken/Bilag 3.i Leverandørens Løsningsbeskrivelse.txt; docs/tender-reference/extracted/KK Tender tool.txt; docs/tender-reference/extracted/KUM-SLKS/Bilag 3 - Kravspecifikation.txt</t>
        </is>
      </c>
      <c r="AD10" t="inlineStr">
        <is>
          <t>Anton: Confirm verify-tekst; opdatér review status efter tjek.</t>
        </is>
      </c>
      <c r="AE10" t="inlineStr"/>
      <c r="AF10" t="inlineStr">
        <is>
          <t>Draft</t>
        </is>
      </c>
      <c r="AG10" t="inlineStr">
        <is>
          <t>uim-esdh-full-2026-07-07</t>
        </is>
      </c>
    </row>
    <row r="11" ht="32" customHeight="1">
      <c r="A11" s="35" t="n">
        <v>10</v>
      </c>
      <c r="B11" s="35" t="inlineStr">
        <is>
          <t>MK-10</t>
        </is>
      </c>
      <c r="C11" s="35" t="inlineStr">
        <is>
          <t>Bilag 1.b</t>
        </is>
      </c>
      <c r="D11" s="35" t="inlineStr">
        <is>
          <t>Generelle krav</t>
        </is>
      </c>
      <c r="E11" s="35" t="inlineStr">
        <is>
          <t>Journalplan</t>
        </is>
      </c>
      <c r="F11" s="35" t="inlineStr">
        <is>
          <t>ESDH-løsningen skal understøtte en klassisk journalplan eller facetteret journalplan i minimum tre niveauer og emneordsfelter.</t>
        </is>
      </c>
      <c r="G11" s="35" t="inlineStr">
        <is>
          <t>Mindstekrav</t>
        </is>
      </c>
      <c r="H11" s="35">
        <f>IF(G11="Evalueringskrav","Answer",(IF(G11="Krav","Check",(IF(G11="Mindstekrav","Verify","")))))</f>
        <v/>
      </c>
      <c r="I11" s="35" t="inlineStr">
        <is>
          <t>Ja</t>
        </is>
      </c>
      <c r="J11" s="35" t="n"/>
      <c r="K11" s="47" t="n"/>
      <c r="L11" s="35" t="inlineStr">
        <is>
          <t>Anton</t>
        </is>
      </c>
      <c r="M11" s="35" t="n"/>
      <c r="N11" s="35" t="n"/>
      <c r="O11" s="35" t="inlineStr">
        <is>
          <t>1. Fully met</t>
        </is>
      </c>
      <c r="P11" s="35" t="n"/>
      <c r="Q11" s="35" t="n"/>
      <c r="R11" s="35" t="n"/>
      <c r="S11" s="35" t="n"/>
      <c r="T11" s="35" t="n"/>
      <c r="U11" s="35" t="inlineStr">
        <is>
          <t>Not Started</t>
        </is>
      </c>
      <c r="V11" s="37">
        <f>IF(U11="Not Started",0%,IF(U11="Started",50%,IF(U11="Ready for review",70%,IF(U11="Reviewed - Content",80%,IF(U11="Reviewed - Format",90%,IF(U11="Done",100%,""))))))</f>
        <v/>
      </c>
      <c r="W11" t="inlineStr">
        <is>
          <t>2026-07-07</t>
        </is>
      </c>
      <c r="X11" t="inlineStr">
        <is>
          <t>Cursor / tender-response (batch)</t>
        </is>
      </c>
      <c r="Y11" t="inlineStr">
        <is>
          <t>Met</t>
        </is>
      </c>
      <c r="Z11" t="inlineStr">
        <is>
          <t>Verified</t>
        </is>
      </c>
      <c r="AA11" t="inlineStr">
        <is>
          <t>Verify: Journalplan — vurderet opfyldt (tool: 1. Fully met).</t>
        </is>
      </c>
      <c r="AB11" t="inlineStr"/>
      <c r="AC11" t="inlineStr">
        <is>
          <t>docs/tender-reference/extracted/KK Tender tool.txt; docs/tender-reference/extracted/Nationalbanken/Bilag 3.i Leverandørens Løsningsbeskrivelse.txt; docs/tender-reference/extracted/KUM-SLKS/Bilag 1 - Tidsplan.txt</t>
        </is>
      </c>
      <c r="AD11" t="inlineStr">
        <is>
          <t>Anton: Confirm verify-tekst; opdatér review status efter tjek.</t>
        </is>
      </c>
      <c r="AE11" t="inlineStr"/>
      <c r="AF11" t="inlineStr">
        <is>
          <t>Draft</t>
        </is>
      </c>
      <c r="AG11" t="inlineStr">
        <is>
          <t>uim-esdh-full-2026-07-07</t>
        </is>
      </c>
    </row>
    <row r="12" ht="32" customHeight="1">
      <c r="A12" s="35" t="n">
        <v>11</v>
      </c>
      <c r="B12" s="35" t="inlineStr">
        <is>
          <t>MK-11</t>
        </is>
      </c>
      <c r="C12" s="35" t="inlineStr">
        <is>
          <t>Bilag 1.b</t>
        </is>
      </c>
      <c r="D12" s="35" t="inlineStr">
        <is>
          <t>Generelle krav</t>
        </is>
      </c>
      <c r="E12" s="35" t="inlineStr">
        <is>
          <t>Oprettelse af brevskabeloner</t>
        </is>
      </c>
      <c r="F12" s="35" t="inlineStr">
        <is>
          <t>ESDH-løsningen skal understøtte oprettelse af breve baseret på Kundens brevskabeloner i Dynamic Template.</t>
        </is>
      </c>
      <c r="G12" s="35" t="inlineStr">
        <is>
          <t>Mindstekrav</t>
        </is>
      </c>
      <c r="H12" s="35">
        <f>IF(G12="Evalueringskrav","Answer",(IF(G12="Krav","Check",(IF(G12="Mindstekrav","Verify","")))))</f>
        <v/>
      </c>
      <c r="I12" s="35" t="inlineStr">
        <is>
          <t>Ja</t>
        </is>
      </c>
      <c r="J12" s="35" t="n"/>
      <c r="K12" s="47" t="n"/>
      <c r="L12" s="35" t="inlineStr">
        <is>
          <t>Anton</t>
        </is>
      </c>
      <c r="M12" s="35" t="n"/>
      <c r="N12" s="35" t="inlineStr">
        <is>
          <t>Template Connect</t>
        </is>
      </c>
      <c r="O12" s="35" t="inlineStr">
        <is>
          <t>1. Fully met</t>
        </is>
      </c>
      <c r="P12" s="35" t="n"/>
      <c r="Q12" s="35" t="n"/>
      <c r="R12" s="35" t="n"/>
      <c r="S12" s="35" t="n"/>
      <c r="T12" s="35" t="n"/>
      <c r="U12" s="35" t="inlineStr">
        <is>
          <t>Not Started</t>
        </is>
      </c>
      <c r="V12" s="37">
        <f>IF(U12="Not Started",0%,IF(U12="Started",50%,IF(U12="Ready for review",70%,IF(U12="Reviewed - Content",80%,IF(U12="Reviewed - Format",90%,IF(U12="Done",100%,""))))))</f>
        <v/>
      </c>
      <c r="W12" t="inlineStr">
        <is>
          <t>2026-07-07</t>
        </is>
      </c>
      <c r="X12" t="inlineStr">
        <is>
          <t>Cursor / tender-response (batch)</t>
        </is>
      </c>
      <c r="Y12" t="inlineStr">
        <is>
          <t>Met</t>
        </is>
      </c>
      <c r="Z12" t="inlineStr">
        <is>
          <t>Verified</t>
        </is>
      </c>
      <c r="AA12" t="inlineStr">
        <is>
          <t>Verify: Oprettelse af brevskabeloner — vurderet opfyldt (tool: 1. Fully met).</t>
        </is>
      </c>
      <c r="AB12" t="inlineStr"/>
      <c r="AC12" t="inlineStr">
        <is>
          <t>docs/tender-reference/extracted/KK Tender tool.txt; docs/tender-reference/extracted/Nationalbanken/Bilag 3.i Leverandørens Løsningsbeskrivelse.txt; docs/tender-reference/extracted/HSØ/02.00-Tietoevry-SSA-L-Bilag 2-Leverandørens beskrivelse av Tjenesten.txt</t>
        </is>
      </c>
      <c r="AD12" t="inlineStr">
        <is>
          <t>Anton: Confirm verify-tekst; opdatér review status efter tjek.</t>
        </is>
      </c>
      <c r="AE12" t="inlineStr"/>
      <c r="AF12" t="inlineStr">
        <is>
          <t>Draft</t>
        </is>
      </c>
      <c r="AG12" t="inlineStr">
        <is>
          <t>uim-esdh-full-2026-07-07</t>
        </is>
      </c>
    </row>
    <row r="13" ht="64" customHeight="1">
      <c r="A13" s="35" t="n">
        <v>12</v>
      </c>
      <c r="B13" s="35" t="inlineStr">
        <is>
          <t>K-1</t>
        </is>
      </c>
      <c r="C13" s="35" t="inlineStr">
        <is>
          <t>Bilag 1.b</t>
        </is>
      </c>
      <c r="D13" s="35" t="inlineStr">
        <is>
          <t>Generelle krav</t>
        </is>
      </c>
      <c r="E13" s="35" t="inlineStr">
        <is>
          <t>Fejlmeddelelser med handlingsanvisninger</t>
        </is>
      </c>
      <c r="F13" s="35" t="inlineStr">
        <is>
          <t>ESDH-løsningen skal understøtte, at fejlmeddelelser i ESDH-løsningen inkluderer handlingsanvisning.</t>
        </is>
      </c>
      <c r="G13" s="35" t="inlineStr">
        <is>
          <t>Krav</t>
        </is>
      </c>
      <c r="H13" s="35">
        <f>IF(G13="Evalueringskrav","Answer",(IF(G13="Krav","Check",(IF(G13="Mindstekrav","Verify","")))))</f>
        <v/>
      </c>
      <c r="I13" s="35" t="inlineStr">
        <is>
          <t>Ja</t>
        </is>
      </c>
      <c r="J13" s="35" t="n"/>
      <c r="K13" s="47" t="n"/>
      <c r="L13" s="35" t="inlineStr">
        <is>
          <t>Torben</t>
        </is>
      </c>
      <c r="M13" s="35" t="n"/>
      <c r="N13" s="35" t="n"/>
      <c r="O13" s="35" t="inlineStr">
        <is>
          <t>1. Fully met</t>
        </is>
      </c>
      <c r="P13" s="35" t="inlineStr">
        <is>
          <t>ADN: We tend to say yes to this requirement - but it comes with a risc, especially if customer uses same External partner in the implementation project</t>
        </is>
      </c>
      <c r="Q13" s="35" t="n"/>
      <c r="R13" s="35" t="inlineStr">
        <is>
          <t>Yes</t>
        </is>
      </c>
      <c r="S13" s="35" t="n"/>
      <c r="T13" s="35" t="n"/>
      <c r="U13" s="35" t="inlineStr">
        <is>
          <t>Not Started</t>
        </is>
      </c>
      <c r="V13" s="37">
        <f>IF(U13="Not Started",0%,IF(U13="Started",50%,IF(U13="Ready for review",70%,IF(U13="Reviewed - Content",80%,IF(U13="Reviewed - Format",90%,IF(U13="Done",100%,""))))))</f>
        <v/>
      </c>
      <c r="W13" t="inlineStr">
        <is>
          <t>2026-07-07</t>
        </is>
      </c>
      <c r="X13" t="inlineStr">
        <is>
          <t>Cursor / tender-response (batch)</t>
        </is>
      </c>
      <c r="Y13" t="inlineStr">
        <is>
          <t>Met</t>
        </is>
      </c>
      <c r="Z13" t="inlineStr">
        <is>
          <t>Lead</t>
        </is>
      </c>
      <c r="AA13" t="inlineStr">
        <is>
          <t>Check: Fejlmeddelelser med handlingsanvisninger — vurderet opfyldt (tool: 1. Fully met).</t>
        </is>
      </c>
      <c r="AB13" t="inlineStr">
        <is>
          <t>ADN: We tend to say yes to this requirement - but it comes with a risc, especially if customer uses same External partner in the implementation project</t>
        </is>
      </c>
      <c r="AC13" t="inlineStr">
        <is>
          <t>docs/tender-reference/extracted/KK Tender tool.txt; docs/product/RFP_Leverandørens_svar_utdrag.txt; docs/tender-reference/extracted/HSØ/02.00-Tietoevry-SSA-L-Bilag 2-Leverandørens beskrivelse av Tjenesten.txt</t>
        </is>
      </c>
      <c r="AD13" t="inlineStr">
        <is>
          <t>Torben: Confirm verify-tekst; opdatér review status efter tjek.</t>
        </is>
      </c>
      <c r="AE13" t="inlineStr"/>
      <c r="AF13" t="inlineStr">
        <is>
          <t>Draft</t>
        </is>
      </c>
      <c r="AG13" t="inlineStr">
        <is>
          <t>uim-esdh-full-2026-07-07</t>
        </is>
      </c>
    </row>
    <row r="14" ht="32" customHeight="1">
      <c r="A14" s="35" t="n">
        <v>13</v>
      </c>
      <c r="B14" s="35" t="inlineStr">
        <is>
          <t>MK-12</t>
        </is>
      </c>
      <c r="C14" s="35" t="inlineStr">
        <is>
          <t>Bilag 1.b</t>
        </is>
      </c>
      <c r="D14" s="35" t="inlineStr">
        <is>
          <t>Sager</t>
        </is>
      </c>
      <c r="E14" s="35" t="inlineStr">
        <is>
          <t>Oprettelse af 
Sager</t>
        </is>
      </c>
      <c r="F14" s="35" t="inlineStr">
        <is>
          <t>ESDH-løsningen skal understøtte oprettelse og registrering af sager.</t>
        </is>
      </c>
      <c r="G14" s="35" t="inlineStr">
        <is>
          <t>Mindstekrav</t>
        </is>
      </c>
      <c r="H14" s="35">
        <f>IF(G14="Evalueringskrav","Answer",(IF(G14="Krav","Check",(IF(G14="Mindstekrav","Verify","")))))</f>
        <v/>
      </c>
      <c r="I14" s="35" t="inlineStr">
        <is>
          <t>Ja</t>
        </is>
      </c>
      <c r="J14" s="35" t="n"/>
      <c r="K14" s="47" t="n"/>
      <c r="L14" s="35" t="inlineStr">
        <is>
          <t>Anton</t>
        </is>
      </c>
      <c r="M14" s="35" t="n"/>
      <c r="N14" s="35" t="n"/>
      <c r="O14" s="35" t="inlineStr">
        <is>
          <t>1. Fully met</t>
        </is>
      </c>
      <c r="P14" s="35" t="n"/>
      <c r="Q14" s="35" t="n"/>
      <c r="R14" s="35" t="n"/>
      <c r="S14" s="35" t="n"/>
      <c r="T14" s="35" t="n"/>
      <c r="U14" s="35" t="inlineStr">
        <is>
          <t>Not Started</t>
        </is>
      </c>
      <c r="V14" s="37">
        <f>IF(U14="Not Started",0%,IF(U14="Started",50%,IF(U14="Ready for review",70%,IF(U14="Reviewed - Content",80%,IF(U14="Reviewed - Format",90%,IF(U14="Done",100%,""))))))</f>
        <v/>
      </c>
      <c r="W14" t="inlineStr">
        <is>
          <t>2026-07-07</t>
        </is>
      </c>
      <c r="X14" t="inlineStr">
        <is>
          <t>Cursor / tender-response (batch)</t>
        </is>
      </c>
      <c r="Y14" t="inlineStr">
        <is>
          <t>Met</t>
        </is>
      </c>
      <c r="Z14" t="inlineStr">
        <is>
          <t>Verified</t>
        </is>
      </c>
      <c r="AA14" t="inlineStr">
        <is>
          <t>Verify: Oprettelse af 
Sager — vurderet opfyldt (tool: 1. Fully met).</t>
        </is>
      </c>
      <c r="AB14" t="inlineStr"/>
      <c r="AC14" t="inlineStr">
        <is>
          <t>docs/tender-reference/extracted/KK Tender tool.txt; docs/tender-reference/extracted/KUM-SLKS/Bilag 3 - 11.8 - Kravspecifikation - Processtyring (1).txt; docs/tender-reference/extracted/KUM-SLKS/Bilag 3 - Kravspecifikation.txt</t>
        </is>
      </c>
      <c r="AD14" t="inlineStr">
        <is>
          <t>Anton: Confirm verify-tekst; opdatér review status efter tjek.</t>
        </is>
      </c>
      <c r="AE14" t="inlineStr"/>
      <c r="AF14" t="inlineStr">
        <is>
          <t>Draft</t>
        </is>
      </c>
      <c r="AG14" t="inlineStr">
        <is>
          <t>uim-esdh-full-2026-07-07</t>
        </is>
      </c>
    </row>
    <row r="15">
      <c r="A15" s="35" t="n">
        <v>14</v>
      </c>
      <c r="B15" s="35" t="inlineStr">
        <is>
          <t>MK-13</t>
        </is>
      </c>
      <c r="C15" s="35" t="inlineStr">
        <is>
          <t>Bilag 1.b</t>
        </is>
      </c>
      <c r="D15" s="35" t="inlineStr">
        <is>
          <t>Sager</t>
        </is>
      </c>
      <c r="E15" s="35" t="inlineStr">
        <is>
          <t>Ændring af sager</t>
        </is>
      </c>
      <c r="F15" s="35" t="inlineStr">
        <is>
          <t>ESDH-løsningen skal understøtte ændring af sagens metadata.</t>
        </is>
      </c>
      <c r="G15" s="35" t="inlineStr">
        <is>
          <t>Mindstekrav</t>
        </is>
      </c>
      <c r="H15" s="35">
        <f>IF(G15="Evalueringskrav","Answer",(IF(G15="Krav","Check",(IF(G15="Mindstekrav","Verify","")))))</f>
        <v/>
      </c>
      <c r="I15" s="35" t="inlineStr">
        <is>
          <t>Ja</t>
        </is>
      </c>
      <c r="J15" s="35" t="n"/>
      <c r="K15" s="47" t="n"/>
      <c r="L15" s="35" t="inlineStr">
        <is>
          <t>Anton</t>
        </is>
      </c>
      <c r="M15" s="35" t="n"/>
      <c r="N15" s="35" t="n"/>
      <c r="O15" s="35" t="inlineStr">
        <is>
          <t>1. Fully met</t>
        </is>
      </c>
      <c r="P15" s="35" t="n"/>
      <c r="Q15" s="35" t="n"/>
      <c r="R15" s="35" t="n"/>
      <c r="S15" s="35" t="n"/>
      <c r="T15" s="35" t="n"/>
      <c r="U15" s="35" t="inlineStr">
        <is>
          <t>Not Started</t>
        </is>
      </c>
      <c r="V15" s="37">
        <f>IF(U15="Not Started",0%,IF(U15="Started",50%,IF(U15="Ready for review",70%,IF(U15="Reviewed - Content",80%,IF(U15="Reviewed - Format",90%,IF(U15="Done",100%,""))))))</f>
        <v/>
      </c>
      <c r="W15" t="inlineStr">
        <is>
          <t>2026-07-07</t>
        </is>
      </c>
      <c r="X15" t="inlineStr">
        <is>
          <t>Cursor / tender-response (batch)</t>
        </is>
      </c>
      <c r="Y15" t="inlineStr">
        <is>
          <t>Met</t>
        </is>
      </c>
      <c r="Z15" t="inlineStr">
        <is>
          <t>Verified</t>
        </is>
      </c>
      <c r="AA15" t="inlineStr">
        <is>
          <t>Verify: Ændring af sager — vurderet opfyldt (tool: 1. Fully met).</t>
        </is>
      </c>
      <c r="AB15" t="inlineStr"/>
      <c r="AC15" t="inlineStr">
        <is>
          <t>docs/tender-reference/extracted/KK Tender tool.txt; docs/tender-reference/extracted/KUM-SLKS/Bilag 3 - Kravspecifikation.txt; docs/tender-reference/extracted/Nationalbanken/Bilag 3.i Leverandørens Løsningsbeskrivelse.txt</t>
        </is>
      </c>
      <c r="AD15" t="inlineStr">
        <is>
          <t>Anton: Confirm verify-tekst; opdatér review status efter tjek.</t>
        </is>
      </c>
      <c r="AE15" t="inlineStr"/>
      <c r="AF15" t="inlineStr">
        <is>
          <t>Draft</t>
        </is>
      </c>
      <c r="AG15" t="inlineStr">
        <is>
          <t>uim-esdh-full-2026-07-07</t>
        </is>
      </c>
    </row>
    <row r="16" ht="32" customHeight="1">
      <c r="A16" s="35" t="n">
        <v>15</v>
      </c>
      <c r="B16" s="35" t="inlineStr">
        <is>
          <t>MK-14</t>
        </is>
      </c>
      <c r="C16" s="35" t="inlineStr">
        <is>
          <t>Bilag 1.b</t>
        </is>
      </c>
      <c r="D16" s="35" t="inlineStr">
        <is>
          <t>Sager</t>
        </is>
      </c>
      <c r="E16" s="35" t="inlineStr">
        <is>
          <t>Sletning af sager</t>
        </is>
      </c>
      <c r="F16" s="35" t="inlineStr">
        <is>
          <t>ESDH-løsningen skal understøtte både midlertidig og permanent sletning af sager.</t>
        </is>
      </c>
      <c r="G16" s="35" t="inlineStr">
        <is>
          <t>Mindstekrav</t>
        </is>
      </c>
      <c r="H16" s="35">
        <f>IF(G16="Evalueringskrav","Answer",(IF(G16="Krav","Check",(IF(G16="Mindstekrav","Verify","")))))</f>
        <v/>
      </c>
      <c r="I16" s="35" t="inlineStr">
        <is>
          <t>Ja</t>
        </is>
      </c>
      <c r="J16" s="35" t="n"/>
      <c r="K16" s="47" t="n"/>
      <c r="L16" s="35" t="inlineStr">
        <is>
          <t>Anton</t>
        </is>
      </c>
      <c r="M16" s="35" t="n"/>
      <c r="N16" s="35" t="n"/>
      <c r="O16" s="35" t="inlineStr">
        <is>
          <t>1. Fully met</t>
        </is>
      </c>
      <c r="P16" s="35" t="n"/>
      <c r="Q16" s="35" t="n"/>
      <c r="R16" s="35" t="n"/>
      <c r="S16" s="35" t="n"/>
      <c r="T16" s="35" t="n"/>
      <c r="U16" s="35" t="inlineStr">
        <is>
          <t>Not Started</t>
        </is>
      </c>
      <c r="V16" s="37">
        <f>IF(U16="Not Started",0%,IF(U16="Started",50%,IF(U16="Ready for review",70%,IF(U16="Reviewed - Content",80%,IF(U16="Reviewed - Format",90%,IF(U16="Done",100%,""))))))</f>
        <v/>
      </c>
      <c r="W16" t="inlineStr">
        <is>
          <t>2026-07-07</t>
        </is>
      </c>
      <c r="X16" t="inlineStr">
        <is>
          <t>Cursor / tender-response (batch)</t>
        </is>
      </c>
      <c r="Y16" t="inlineStr">
        <is>
          <t>Met</t>
        </is>
      </c>
      <c r="Z16" t="inlineStr">
        <is>
          <t>Verified</t>
        </is>
      </c>
      <c r="AA16" t="inlineStr">
        <is>
          <t>Verify: Sletning af sager — vurderet opfyldt (tool: 1. Fully met).</t>
        </is>
      </c>
      <c r="AB16" t="inlineStr"/>
      <c r="AC16" t="inlineStr">
        <is>
          <t>docs/tender-reference/extracted/KK Tender tool.txt; docs/tender-reference/extracted/Nationalbanken/Bilag 3.i Leverandørens Løsningsbeskrivelse.txt; docs/product/RFP_Leverandørens_svar_utdrag.txt</t>
        </is>
      </c>
      <c r="AD16" t="inlineStr">
        <is>
          <t>Anton: Confirm verify-tekst; opdatér review status efter tjek.</t>
        </is>
      </c>
      <c r="AE16" t="inlineStr"/>
      <c r="AF16" t="inlineStr">
        <is>
          <t>Draft</t>
        </is>
      </c>
      <c r="AG16" t="inlineStr">
        <is>
          <t>uim-esdh-full-2026-07-07</t>
        </is>
      </c>
    </row>
    <row r="17" ht="64" customHeight="1">
      <c r="A17" s="35" t="n">
        <v>16</v>
      </c>
      <c r="B17" s="35" t="inlineStr">
        <is>
          <t>MK-15</t>
        </is>
      </c>
      <c r="C17" s="35" t="inlineStr">
        <is>
          <t>Bilag 1.b</t>
        </is>
      </c>
      <c r="D17" s="35" t="inlineStr">
        <is>
          <t>Sager</t>
        </is>
      </c>
      <c r="E17" s="35" t="inlineStr">
        <is>
          <t>Status</t>
        </is>
      </c>
      <c r="F17" s="35" t="inlineStr">
        <is>
          <t>ESDH-løsningen skal understøtte arbejdet med statusser på en sag, f.eks. 'Passiv', 'Under behandling' og 'Lukket' / 'Afsluttet'. ESDH-løsningen skal understøtte, at Kunden selv kan oprette og vedligeholde statuskoder.</t>
        </is>
      </c>
      <c r="G17" s="35" t="inlineStr">
        <is>
          <t>Mindstekrav</t>
        </is>
      </c>
      <c r="H17" s="35">
        <f>IF(G17="Evalueringskrav","Answer",(IF(G17="Krav","Check",(IF(G17="Mindstekrav","Verify","")))))</f>
        <v/>
      </c>
      <c r="I17" s="35" t="inlineStr">
        <is>
          <t>Ja</t>
        </is>
      </c>
      <c r="J17" s="35" t="n"/>
      <c r="K17" s="47" t="n"/>
      <c r="L17" s="35" t="inlineStr">
        <is>
          <t>Anton</t>
        </is>
      </c>
      <c r="M17" s="35" t="n"/>
      <c r="N17" s="35" t="n"/>
      <c r="O17" s="35" t="inlineStr">
        <is>
          <t>1. Fully met</t>
        </is>
      </c>
      <c r="P17" s="35" t="n"/>
      <c r="Q17" s="35" t="n"/>
      <c r="R17" s="35" t="n"/>
      <c r="S17" s="35" t="n"/>
      <c r="T17" s="35" t="n"/>
      <c r="U17" s="35" t="inlineStr">
        <is>
          <t>Not Started</t>
        </is>
      </c>
      <c r="V17" s="37">
        <f>IF(U17="Not Started",0%,IF(U17="Started",50%,IF(U17="Ready for review",70%,IF(U17="Reviewed - Content",80%,IF(U17="Reviewed - Format",90%,IF(U17="Done",100%,""))))))</f>
        <v/>
      </c>
      <c r="W17" t="inlineStr">
        <is>
          <t>2026-07-07</t>
        </is>
      </c>
      <c r="X17" t="inlineStr">
        <is>
          <t>Cursor / tender-response (batch)</t>
        </is>
      </c>
      <c r="Y17" t="inlineStr">
        <is>
          <t>Met</t>
        </is>
      </c>
      <c r="Z17" t="inlineStr">
        <is>
          <t>Verified</t>
        </is>
      </c>
      <c r="AA17" t="inlineStr">
        <is>
          <t>Verify: Status — vurderet opfyldt (tool: 1. Fully met).</t>
        </is>
      </c>
      <c r="AB17" t="inlineStr"/>
      <c r="AC17" t="inlineStr">
        <is>
          <t>docs/tender-reference/extracted/Nationalbanken/Bilag 3.i Leverandørens Løsningsbeskrivelse.txt; docs/tender-reference/extracted/KK Tender tool.txt; docs/tender-reference/extracted/KUM-SLKS/Bilag 3 - Kravspecifikation.txt</t>
        </is>
      </c>
      <c r="AD17" t="inlineStr">
        <is>
          <t>Anton: Confirm verify-tekst; opdatér review status efter tjek.</t>
        </is>
      </c>
      <c r="AE17" t="inlineStr"/>
      <c r="AF17" t="inlineStr">
        <is>
          <t>Draft</t>
        </is>
      </c>
      <c r="AG17" t="inlineStr">
        <is>
          <t>uim-esdh-full-2026-07-07</t>
        </is>
      </c>
    </row>
    <row r="18" ht="32" customHeight="1">
      <c r="A18" s="35" t="n">
        <v>17</v>
      </c>
      <c r="B18" s="35" t="inlineStr">
        <is>
          <t>MK-16</t>
        </is>
      </c>
      <c r="C18" s="35" t="inlineStr">
        <is>
          <t>Bilag 1.b</t>
        </is>
      </c>
      <c r="D18" s="35" t="inlineStr">
        <is>
          <t>Sager</t>
        </is>
      </c>
      <c r="E18" s="35" t="inlineStr">
        <is>
          <t>Sagsnummer</t>
        </is>
      </c>
      <c r="F18" s="35" t="inlineStr">
        <is>
          <t>ESDH-løsningen skal understøtte, at hver sag tildeles et unikt sagsnummer automatisk ved oprettelse.</t>
        </is>
      </c>
      <c r="G18" s="35" t="inlineStr">
        <is>
          <t>Mindstekrav</t>
        </is>
      </c>
      <c r="H18" s="35">
        <f>IF(G18="Evalueringskrav","Answer",(IF(G18="Krav","Check",(IF(G18="Mindstekrav","Verify","")))))</f>
        <v/>
      </c>
      <c r="I18" s="35" t="inlineStr">
        <is>
          <t>Ja</t>
        </is>
      </c>
      <c r="J18" s="35" t="n"/>
      <c r="K18" s="47" t="n"/>
      <c r="L18" s="35" t="inlineStr">
        <is>
          <t>Anton</t>
        </is>
      </c>
      <c r="M18" s="35" t="n"/>
      <c r="N18" s="35" t="n"/>
      <c r="O18" s="35" t="inlineStr">
        <is>
          <t>1. Fully met</t>
        </is>
      </c>
      <c r="P18" s="35" t="n"/>
      <c r="Q18" s="35" t="n"/>
      <c r="R18" s="35" t="n"/>
      <c r="S18" s="35" t="n"/>
      <c r="T18" s="35" t="n"/>
      <c r="U18" s="35" t="inlineStr">
        <is>
          <t>Not Started</t>
        </is>
      </c>
      <c r="V18" s="37">
        <f>IF(U18="Not Started",0%,IF(U18="Started",50%,IF(U18="Ready for review",70%,IF(U18="Reviewed - Content",80%,IF(U18="Reviewed - Format",90%,IF(U18="Done",100%,""))))))</f>
        <v/>
      </c>
      <c r="W18" t="inlineStr">
        <is>
          <t>2026-07-07</t>
        </is>
      </c>
      <c r="X18" t="inlineStr">
        <is>
          <t>Cursor / tender-response (batch)</t>
        </is>
      </c>
      <c r="Y18" t="inlineStr">
        <is>
          <t>Met</t>
        </is>
      </c>
      <c r="Z18" t="inlineStr">
        <is>
          <t>Verified</t>
        </is>
      </c>
      <c r="AA18" t="inlineStr">
        <is>
          <t>Verify: Sagsnummer — vurderet opfyldt (tool: 1. Fully met).</t>
        </is>
      </c>
      <c r="AB18" t="inlineStr"/>
      <c r="AC18" t="inlineStr">
        <is>
          <t>docs/tender-reference/extracted/Nationalbanken/Bilag 3.i Leverandørens Løsningsbeskrivelse.txt; docs/tender-reference/extracted/KK Tender tool.txt; docs/tender-reference/extracted/KUM-SLKS/Bilag 3 - Kravspecifikation.txt</t>
        </is>
      </c>
      <c r="AD18" t="inlineStr">
        <is>
          <t>Anton: Confirm verify-tekst; opdatér review status efter tjek.</t>
        </is>
      </c>
      <c r="AE18" t="inlineStr"/>
      <c r="AF18" t="inlineStr">
        <is>
          <t>Draft</t>
        </is>
      </c>
      <c r="AG18" t="inlineStr">
        <is>
          <t>uim-esdh-full-2026-07-07</t>
        </is>
      </c>
    </row>
    <row r="19" ht="32" customHeight="1">
      <c r="A19" s="35" t="n">
        <v>18</v>
      </c>
      <c r="B19" s="35" t="inlineStr">
        <is>
          <t>MK-17</t>
        </is>
      </c>
      <c r="C19" s="35" t="inlineStr">
        <is>
          <t>Bilag 1.b</t>
        </is>
      </c>
      <c r="D19" s="35" t="inlineStr">
        <is>
          <t>Sager</t>
        </is>
      </c>
      <c r="E19" s="35" t="inlineStr">
        <is>
          <t>Ændring af sagstyper</t>
        </is>
      </c>
      <c r="F19" s="35" t="inlineStr">
        <is>
          <t>ESDH-løsningen skal understøtte, at en Bruger kan ændre sagstype på sager.</t>
        </is>
      </c>
      <c r="G19" s="35" t="inlineStr">
        <is>
          <t>Mindstekrav</t>
        </is>
      </c>
      <c r="H19" s="35">
        <f>IF(G19="Evalueringskrav","Answer",(IF(G19="Krav","Check",(IF(G19="Mindstekrav","Verify","")))))</f>
        <v/>
      </c>
      <c r="I19" s="35" t="inlineStr">
        <is>
          <t>Ja</t>
        </is>
      </c>
      <c r="J19" s="35" t="n"/>
      <c r="K19" s="47" t="n"/>
      <c r="L19" s="35" t="inlineStr">
        <is>
          <t>Anton</t>
        </is>
      </c>
      <c r="M19" s="35" t="n"/>
      <c r="N19" s="35" t="n"/>
      <c r="O19" s="35" t="inlineStr">
        <is>
          <t>1. Fully met</t>
        </is>
      </c>
      <c r="P19" s="35" t="n"/>
      <c r="Q19" s="35" t="n"/>
      <c r="R19" s="35" t="n"/>
      <c r="S19" s="35" t="n"/>
      <c r="T19" s="35" t="n"/>
      <c r="U19" s="35" t="inlineStr">
        <is>
          <t>Not Started</t>
        </is>
      </c>
      <c r="V19" s="37">
        <f>IF(U19="Not Started",0%,IF(U19="Started",50%,IF(U19="Ready for review",70%,IF(U19="Reviewed - Content",80%,IF(U19="Reviewed - Format",90%,IF(U19="Done",100%,""))))))</f>
        <v/>
      </c>
      <c r="W19" t="inlineStr">
        <is>
          <t>2026-07-07</t>
        </is>
      </c>
      <c r="X19" t="inlineStr">
        <is>
          <t>Cursor / tender-response (batch)</t>
        </is>
      </c>
      <c r="Y19" t="inlineStr">
        <is>
          <t>Met</t>
        </is>
      </c>
      <c r="Z19" t="inlineStr">
        <is>
          <t>Verified</t>
        </is>
      </c>
      <c r="AA19" t="inlineStr">
        <is>
          <t>Verify: Ændring af sagstyper — vurderet opfyldt (tool: 1. Fully met).</t>
        </is>
      </c>
      <c r="AB19" t="inlineStr"/>
      <c r="AC19" t="inlineStr">
        <is>
          <t>docs/tender-reference/extracted/KK Tender tool.txt; docs/tender-reference/extracted/KUM-SLKS/Bilag 3 - Kravspecifikation.txt; docs/tender-reference/extracted/Nationalbanken/Bilag 3.i Leverandørens Løsningsbeskrivelse.txt</t>
        </is>
      </c>
      <c r="AD19" t="inlineStr">
        <is>
          <t>Anton: Confirm verify-tekst; opdatér review status efter tjek.</t>
        </is>
      </c>
      <c r="AE19" t="inlineStr"/>
      <c r="AF19" t="inlineStr">
        <is>
          <t>Draft</t>
        </is>
      </c>
      <c r="AG19" t="inlineStr">
        <is>
          <t>uim-esdh-full-2026-07-07</t>
        </is>
      </c>
    </row>
    <row r="20" ht="48" customHeight="1">
      <c r="A20" s="35" t="n">
        <v>19</v>
      </c>
      <c r="B20" s="35" t="inlineStr">
        <is>
          <t>MK-18</t>
        </is>
      </c>
      <c r="C20" s="35" t="inlineStr">
        <is>
          <t>Bilag 1.b</t>
        </is>
      </c>
      <c r="D20" s="35" t="inlineStr">
        <is>
          <t>Sager</t>
        </is>
      </c>
      <c r="E20" s="35" t="inlineStr">
        <is>
          <t>Sagens frister</t>
        </is>
      </c>
      <c r="F20" s="35" t="inlineStr">
        <is>
          <t>ESDH-løsningen skal understøtte, at der kan indsættes, rettes og fjernes frister på alle sagstyper. Fristen skal som minimum bestå af en fristtype, fristdato og fristansvarlig.</t>
        </is>
      </c>
      <c r="G20" s="35" t="inlineStr">
        <is>
          <t>Mindstekrav</t>
        </is>
      </c>
      <c r="H20" s="35">
        <f>IF(G20="Evalueringskrav","Answer",(IF(G20="Krav","Check",(IF(G20="Mindstekrav","Verify","")))))</f>
        <v/>
      </c>
      <c r="I20" s="35" t="inlineStr">
        <is>
          <t>Ja</t>
        </is>
      </c>
      <c r="J20" s="35" t="n"/>
      <c r="K20" s="47" t="n"/>
      <c r="L20" s="35" t="inlineStr">
        <is>
          <t>Anton</t>
        </is>
      </c>
      <c r="M20" s="35" t="n"/>
      <c r="N20" s="35" t="n"/>
      <c r="O20" s="35" t="inlineStr">
        <is>
          <t>1. Fully met</t>
        </is>
      </c>
      <c r="P20" s="35" t="inlineStr">
        <is>
          <t>ADN:Configure field called "Fristtype"</t>
        </is>
      </c>
      <c r="Q20" s="35" t="n"/>
      <c r="R20" s="35" t="n"/>
      <c r="S20" s="35" t="n"/>
      <c r="T20" s="35" t="n"/>
      <c r="U20" s="35" t="inlineStr">
        <is>
          <t>Not Started</t>
        </is>
      </c>
      <c r="V20" s="37">
        <f>IF(U20="Not Started",0%,IF(U20="Started",50%,IF(U20="Ready for review",70%,IF(U20="Reviewed - Content",80%,IF(U20="Reviewed - Format",90%,IF(U20="Done",100%,""))))))</f>
        <v/>
      </c>
      <c r="W20" t="inlineStr">
        <is>
          <t>2026-07-07</t>
        </is>
      </c>
      <c r="X20" t="inlineStr">
        <is>
          <t>Cursor / tender-response (batch)</t>
        </is>
      </c>
      <c r="Y20" t="inlineStr">
        <is>
          <t>Met</t>
        </is>
      </c>
      <c r="Z20" t="inlineStr">
        <is>
          <t>Verified</t>
        </is>
      </c>
      <c r="AA20" t="inlineStr">
        <is>
          <t>Verify: Sagens frister — vurderet opfyldt (tool: 1. Fully met).</t>
        </is>
      </c>
      <c r="AB20" t="inlineStr">
        <is>
          <t>ADN:Configure field called "Fristtype"</t>
        </is>
      </c>
      <c r="AC20" t="inlineStr">
        <is>
          <t>docs/tender-reference/extracted/Nationalbanken/Bilag 3.i Leverandørens Løsningsbeskrivelse.txt; docs/tender-reference/extracted/KUM-SLKS/Bilag 3 - Kravspecifikation.txt; docs/tender-reference/extracted/KK Tender tool.txt</t>
        </is>
      </c>
      <c r="AD20" t="inlineStr">
        <is>
          <t>Anton: Confirm verify-tekst; opdatér review status efter tjek.</t>
        </is>
      </c>
      <c r="AE20" t="inlineStr"/>
      <c r="AF20" t="inlineStr">
        <is>
          <t>Draft</t>
        </is>
      </c>
      <c r="AG20" t="inlineStr">
        <is>
          <t>uim-esdh-full-2026-07-07</t>
        </is>
      </c>
    </row>
    <row r="21" ht="32" customHeight="1">
      <c r="A21" s="35" t="n">
        <v>20</v>
      </c>
      <c r="B21" s="35" t="inlineStr">
        <is>
          <t>MK-19</t>
        </is>
      </c>
      <c r="C21" s="35" t="inlineStr">
        <is>
          <t>Bilag 1.b</t>
        </is>
      </c>
      <c r="D21" s="35" t="inlineStr">
        <is>
          <t>Sager</t>
        </is>
      </c>
      <c r="E21" s="35" t="inlineStr">
        <is>
          <t>Afdelingsspecifikke frister</t>
        </is>
      </c>
      <c r="F21" s="35" t="inlineStr">
        <is>
          <t>ESDH-løsningen skal understøtte, at Brugere kan indsætte, rette og fjerne én eller flere afdelingsspecifikke frister på sager.</t>
        </is>
      </c>
      <c r="G21" s="35" t="inlineStr">
        <is>
          <t>Mindstekrav</t>
        </is>
      </c>
      <c r="H21" s="35">
        <f>IF(G21="Evalueringskrav","Answer",(IF(G21="Krav","Check",(IF(G21="Mindstekrav","Verify","")))))</f>
        <v/>
      </c>
      <c r="I21" s="35" t="inlineStr">
        <is>
          <t>Ja</t>
        </is>
      </c>
      <c r="J21" s="35" t="n"/>
      <c r="K21" s="47" t="n"/>
      <c r="L21" s="35" t="inlineStr">
        <is>
          <t>Anton</t>
        </is>
      </c>
      <c r="M21" s="35" t="n"/>
      <c r="N21" s="35" t="n"/>
      <c r="O21" s="35" t="inlineStr">
        <is>
          <t>1. Fully met</t>
        </is>
      </c>
      <c r="P21" s="35" t="n"/>
      <c r="Q21" s="35" t="n"/>
      <c r="R21" s="35" t="n"/>
      <c r="S21" s="35" t="n"/>
      <c r="T21" s="35" t="n"/>
      <c r="U21" s="35" t="inlineStr">
        <is>
          <t>Not Started</t>
        </is>
      </c>
      <c r="V21" s="37">
        <f>IF(U21="Not Started",0%,IF(U21="Started",50%,IF(U21="Ready for review",70%,IF(U21="Reviewed - Content",80%,IF(U21="Reviewed - Format",90%,IF(U21="Done",100%,""))))))</f>
        <v/>
      </c>
      <c r="W21" t="inlineStr">
        <is>
          <t>2026-07-07</t>
        </is>
      </c>
      <c r="X21" t="inlineStr">
        <is>
          <t>Cursor / tender-response (batch)</t>
        </is>
      </c>
      <c r="Y21" t="inlineStr">
        <is>
          <t>Met</t>
        </is>
      </c>
      <c r="Z21" t="inlineStr">
        <is>
          <t>Verified</t>
        </is>
      </c>
      <c r="AA21" t="inlineStr">
        <is>
          <t>Verify: Afdelingsspecifikke frister — vurderet opfyldt (tool: 1. Fully met).</t>
        </is>
      </c>
      <c r="AB21" t="inlineStr"/>
      <c r="AC21" t="inlineStr">
        <is>
          <t>docs/tender-reference/extracted/KUM-SLKS/Bilag 3 - Kravspecifikation.txt; docs/tender-reference/extracted/Nationalbanken/Bilag 3.i Leverandørens Løsningsbeskrivelse.txt; docs/tender-reference/extracted/KK Tender tool.txt</t>
        </is>
      </c>
      <c r="AD21" t="inlineStr">
        <is>
          <t>Anton: Confirm verify-tekst; opdatér review status efter tjek.</t>
        </is>
      </c>
      <c r="AE21" t="inlineStr"/>
      <c r="AF21" t="inlineStr">
        <is>
          <t>Draft</t>
        </is>
      </c>
      <c r="AG21" t="inlineStr">
        <is>
          <t>uim-esdh-full-2026-07-07</t>
        </is>
      </c>
    </row>
    <row r="22" ht="32" customHeight="1">
      <c r="A22" s="35" t="n">
        <v>21</v>
      </c>
      <c r="B22" s="35" t="inlineStr">
        <is>
          <t>MK-20</t>
        </is>
      </c>
      <c r="C22" s="35" t="inlineStr">
        <is>
          <t>Bilag 1.b</t>
        </is>
      </c>
      <c r="D22" s="35" t="inlineStr">
        <is>
          <t>Sager</t>
        </is>
      </c>
      <c r="E22" s="35" t="inlineStr">
        <is>
          <t>Samlesager</t>
        </is>
      </c>
      <c r="F22" s="35" t="inlineStr">
        <is>
          <t>ESDH-løsningen skal understøtte oprettelse af samlesager. Det skal være muligt for Brugeren at tilknytte enkle sager til samlesager.</t>
        </is>
      </c>
      <c r="G22" s="35" t="inlineStr">
        <is>
          <t>Mindstekrav</t>
        </is>
      </c>
      <c r="H22" s="35">
        <f>IF(G22="Evalueringskrav","Answer",(IF(G22="Krav","Check",(IF(G22="Mindstekrav","Verify","")))))</f>
        <v/>
      </c>
      <c r="I22" s="35" t="inlineStr">
        <is>
          <t>Ja</t>
        </is>
      </c>
      <c r="J22" s="35" t="n"/>
      <c r="K22" s="47" t="n"/>
      <c r="L22" s="35" t="inlineStr">
        <is>
          <t>Anton</t>
        </is>
      </c>
      <c r="M22" s="35" t="n"/>
      <c r="N22" s="35" t="n"/>
      <c r="O22" s="35" t="inlineStr">
        <is>
          <t>1. Fully met</t>
        </is>
      </c>
      <c r="P22" s="35" t="n"/>
      <c r="Q22" s="35" t="n"/>
      <c r="R22" s="35" t="n"/>
      <c r="S22" s="35" t="n"/>
      <c r="T22" s="35" t="n"/>
      <c r="U22" s="35" t="inlineStr">
        <is>
          <t>Not Started</t>
        </is>
      </c>
      <c r="V22" s="37">
        <f>IF(U22="Not Started",0%,IF(U22="Started",50%,IF(U22="Ready for review",70%,IF(U22="Reviewed - Content",80%,IF(U22="Reviewed - Format",90%,IF(U22="Done",100%,""))))))</f>
        <v/>
      </c>
      <c r="W22" t="inlineStr">
        <is>
          <t>2026-07-07</t>
        </is>
      </c>
      <c r="X22" t="inlineStr">
        <is>
          <t>Cursor / tender-response (batch)</t>
        </is>
      </c>
      <c r="Y22" t="inlineStr">
        <is>
          <t>Met</t>
        </is>
      </c>
      <c r="Z22" t="inlineStr">
        <is>
          <t>Verified</t>
        </is>
      </c>
      <c r="AA22" t="inlineStr">
        <is>
          <t>Verify: Samlesager — vurderet opfyldt (tool: 1. Fully met).</t>
        </is>
      </c>
      <c r="AB22" t="inlineStr"/>
      <c r="AC22" t="inlineStr">
        <is>
          <t>docs/tender-reference/extracted/Nationalbanken/Bilag 3.i Leverandørens Løsningsbeskrivelse.txt; docs/tender-reference/extracted/KK Tender tool.txt; docs/tender-reference/extracted/KUM-SLKS/Bilag 3 - 11.8 - Kravspecifikation - Processtyring (1).txt</t>
        </is>
      </c>
      <c r="AD22" t="inlineStr">
        <is>
          <t>Anton: Confirm verify-tekst; opdatér review status efter tjek.</t>
        </is>
      </c>
      <c r="AE22" t="inlineStr"/>
      <c r="AF22" t="inlineStr">
        <is>
          <t>Draft</t>
        </is>
      </c>
      <c r="AG22" t="inlineStr">
        <is>
          <t>uim-esdh-full-2026-07-07</t>
        </is>
      </c>
    </row>
    <row r="23" ht="48" customHeight="1">
      <c r="A23" s="35" t="n">
        <v>22</v>
      </c>
      <c r="B23" s="35" t="inlineStr">
        <is>
          <t>MK-21</t>
        </is>
      </c>
      <c r="C23" s="35" t="inlineStr">
        <is>
          <t>Bilag 1.b</t>
        </is>
      </c>
      <c r="D23" s="35" t="inlineStr">
        <is>
          <t>Sager</t>
        </is>
      </c>
      <c r="E23" s="35" t="inlineStr">
        <is>
          <t>Oprettelse af hierarkisk samling</t>
        </is>
      </c>
      <c r="F23" s="35" t="inlineStr">
        <is>
          <t>ESDH-løsningen skal understøtte oprettelsesfunktion til organisering og hierarkisk visning af samling af relaterede sager.</t>
        </is>
      </c>
      <c r="G23" s="35" t="inlineStr">
        <is>
          <t>Mindstekrav</t>
        </is>
      </c>
      <c r="H23" s="35">
        <f>IF(G23="Evalueringskrav","Answer",(IF(G23="Krav","Check",(IF(G23="Mindstekrav","Verify","")))))</f>
        <v/>
      </c>
      <c r="I23" s="35" t="inlineStr">
        <is>
          <t>Ja</t>
        </is>
      </c>
      <c r="J23" s="35" t="n"/>
      <c r="K23" s="47" t="n"/>
      <c r="L23" s="35" t="inlineStr">
        <is>
          <t>Eva</t>
        </is>
      </c>
      <c r="M23" s="35" t="n"/>
      <c r="N23" s="35" t="n"/>
      <c r="O23" s="35" t="inlineStr">
        <is>
          <t>1. Fully met</t>
        </is>
      </c>
      <c r="P23" s="35" t="inlineStr">
        <is>
          <t>ADN: Im unsure what they mean with this requirement.  - is this "Træstrukturen"?</t>
        </is>
      </c>
      <c r="Q23" s="35" t="n"/>
      <c r="R23" s="35" t="n"/>
      <c r="S23" s="35" t="n"/>
      <c r="T23" s="35" t="n"/>
      <c r="U23" s="35" t="inlineStr">
        <is>
          <t>Not Started</t>
        </is>
      </c>
      <c r="V23" s="37">
        <f>IF(U23="Not Started",0%,IF(U23="Started",50%,IF(U23="Ready for review",70%,IF(U23="Reviewed - Content",80%,IF(U23="Reviewed - Format",90%,IF(U23="Done",100%,""))))))</f>
        <v/>
      </c>
      <c r="W23" t="inlineStr">
        <is>
          <t>2026-07-07</t>
        </is>
      </c>
      <c r="X23" t="inlineStr">
        <is>
          <t>Cursor / tender-response (batch)</t>
        </is>
      </c>
      <c r="Y23" t="inlineStr">
        <is>
          <t>Met</t>
        </is>
      </c>
      <c r="Z23" t="inlineStr">
        <is>
          <t>Verified</t>
        </is>
      </c>
      <c r="AA23" t="inlineStr">
        <is>
          <t>Verify: Oprettelse af hierarkisk samling — vurderet opfyldt (tool: 1. Fully met).</t>
        </is>
      </c>
      <c r="AB23" t="inlineStr">
        <is>
          <t>ADN: Im unsure what they mean with this requirement.  - is this "Træstrukturen"?</t>
        </is>
      </c>
      <c r="AC23" t="inlineStr">
        <is>
          <t>docs/tender-reference/extracted/Nationalbanken/Bilag 3.i Leverandørens Løsningsbeskrivelse.txt; docs/tender-reference/extracted/KK Tender tool.txt; docs/tender-reference/extracted/KUM-SLKS/Bilag 3 - Kravspecifikation.txt</t>
        </is>
      </c>
      <c r="AD23" t="inlineStr">
        <is>
          <t>Eva: Confirm verify-tekst; opdatér review status efter tjek.</t>
        </is>
      </c>
      <c r="AE23" t="inlineStr"/>
      <c r="AF23" t="inlineStr">
        <is>
          <t>Draft</t>
        </is>
      </c>
      <c r="AG23" t="inlineStr">
        <is>
          <t>uim-esdh-full-2026-07-07</t>
        </is>
      </c>
    </row>
    <row r="24" ht="48" customHeight="1">
      <c r="A24" s="35" t="n">
        <v>23</v>
      </c>
      <c r="B24" s="35" t="inlineStr">
        <is>
          <t>MK-22</t>
        </is>
      </c>
      <c r="C24" s="35" t="inlineStr">
        <is>
          <t>Bilag 1.b</t>
        </is>
      </c>
      <c r="D24" s="35" t="inlineStr">
        <is>
          <t>Sager</t>
        </is>
      </c>
      <c r="E24" s="35" t="inlineStr">
        <is>
          <t>Referencer</t>
        </is>
      </c>
      <c r="F24" s="35" t="inlineStr">
        <is>
          <t>ESDH-løsningen skal understøtte oprettelse af referencer mellem sager ved at etablere links mellem sager. Det skal fremgå tydeligt af den enkelte sag, at den er relateret til en anden.</t>
        </is>
      </c>
      <c r="G24" s="35" t="inlineStr">
        <is>
          <t>Mindstekrav</t>
        </is>
      </c>
      <c r="H24" s="35">
        <f>IF(G24="Evalueringskrav","Answer",(IF(G24="Krav","Check",(IF(G24="Mindstekrav","Verify","")))))</f>
        <v/>
      </c>
      <c r="I24" s="35" t="inlineStr">
        <is>
          <t>Ja</t>
        </is>
      </c>
      <c r="J24" s="35" t="n"/>
      <c r="K24" s="47" t="n"/>
      <c r="L24" s="35" t="inlineStr">
        <is>
          <t>Anton</t>
        </is>
      </c>
      <c r="M24" s="35" t="n"/>
      <c r="N24" s="35" t="n"/>
      <c r="O24" s="35" t="inlineStr">
        <is>
          <t>1. Fully met</t>
        </is>
      </c>
      <c r="P24" s="35" t="n"/>
      <c r="Q24" s="35" t="n"/>
      <c r="R24" s="35" t="n"/>
      <c r="S24" s="35" t="n"/>
      <c r="T24" s="35" t="n"/>
      <c r="U24" s="35" t="inlineStr">
        <is>
          <t>Not Started</t>
        </is>
      </c>
      <c r="V24" s="37">
        <f>IF(U24="Not Started",0%,IF(U24="Started",50%,IF(U24="Ready for review",70%,IF(U24="Reviewed - Content",80%,IF(U24="Reviewed - Format",90%,IF(U24="Done",100%,""))))))</f>
        <v/>
      </c>
      <c r="W24" t="inlineStr">
        <is>
          <t>2026-07-07</t>
        </is>
      </c>
      <c r="X24" t="inlineStr">
        <is>
          <t>Cursor / tender-response (batch)</t>
        </is>
      </c>
      <c r="Y24" t="inlineStr">
        <is>
          <t>Met</t>
        </is>
      </c>
      <c r="Z24" t="inlineStr">
        <is>
          <t>Verified</t>
        </is>
      </c>
      <c r="AA24" t="inlineStr">
        <is>
          <t>Verify: Referencer — vurderet opfyldt (tool: 1. Fully met).</t>
        </is>
      </c>
      <c r="AB24" t="inlineStr"/>
      <c r="AC24" t="inlineStr">
        <is>
          <t>docs/tender-reference/extracted/KK Tender tool.txt; docs/tender-reference/extracted/Nationalbanken/Bilag 3.i Leverandørens Løsningsbeskrivelse.txt; docs/tender-reference/extracted/KUM-SLKS/Bilag 3 - Kravspecifikation.txt</t>
        </is>
      </c>
      <c r="AD24" t="inlineStr">
        <is>
          <t>Anton: Confirm verify-tekst; opdatér review status efter tjek.</t>
        </is>
      </c>
      <c r="AE24" t="inlineStr"/>
      <c r="AF24" t="inlineStr">
        <is>
          <t>Draft</t>
        </is>
      </c>
      <c r="AG24" t="inlineStr">
        <is>
          <t>uim-esdh-full-2026-07-07</t>
        </is>
      </c>
    </row>
    <row r="25" ht="32" customHeight="1">
      <c r="A25" s="35" t="n">
        <v>24</v>
      </c>
      <c r="B25" s="35" t="inlineStr">
        <is>
          <t>MK-23</t>
        </is>
      </c>
      <c r="C25" s="35" t="inlineStr">
        <is>
          <t>Bilag 1.b</t>
        </is>
      </c>
      <c r="D25" s="35" t="inlineStr">
        <is>
          <t>Sager</t>
        </is>
      </c>
      <c r="E25" s="35" t="inlineStr">
        <is>
          <t>Fremvisning af parter</t>
        </is>
      </c>
      <c r="F25" s="35" t="inlineStr">
        <is>
          <t>ESDH-løsningen skal understøtte, at sagens parter kan vises enten i sagens overbliksbillede eller i en dedikeret fane.</t>
        </is>
      </c>
      <c r="G25" s="35" t="inlineStr">
        <is>
          <t>Mindstekrav</t>
        </is>
      </c>
      <c r="H25" s="35">
        <f>IF(G25="Evalueringskrav","Answer",(IF(G25="Krav","Check",(IF(G25="Mindstekrav","Verify","")))))</f>
        <v/>
      </c>
      <c r="I25" s="35" t="inlineStr">
        <is>
          <t>Ja</t>
        </is>
      </c>
      <c r="J25" s="35" t="n"/>
      <c r="K25" s="47" t="n"/>
      <c r="L25" s="35" t="inlineStr">
        <is>
          <t>Anton</t>
        </is>
      </c>
      <c r="M25" s="35" t="n"/>
      <c r="N25" s="35" t="n"/>
      <c r="O25" s="35" t="inlineStr">
        <is>
          <t>1. Fully met</t>
        </is>
      </c>
      <c r="P25" s="35" t="n"/>
      <c r="Q25" s="35" t="n"/>
      <c r="R25" s="35" t="n"/>
      <c r="S25" s="35" t="n"/>
      <c r="T25" s="35" t="n"/>
      <c r="U25" s="35" t="inlineStr">
        <is>
          <t>Not Started</t>
        </is>
      </c>
      <c r="V25" s="37">
        <f>IF(U25="Not Started",0%,IF(U25="Started",50%,IF(U25="Ready for review",70%,IF(U25="Reviewed - Content",80%,IF(U25="Reviewed - Format",90%,IF(U25="Done",100%,""))))))</f>
        <v/>
      </c>
      <c r="W25" t="inlineStr">
        <is>
          <t>2026-07-07</t>
        </is>
      </c>
      <c r="X25" t="inlineStr">
        <is>
          <t>Cursor / tender-response (batch)</t>
        </is>
      </c>
      <c r="Y25" t="inlineStr">
        <is>
          <t>Met</t>
        </is>
      </c>
      <c r="Z25" t="inlineStr">
        <is>
          <t>Verified</t>
        </is>
      </c>
      <c r="AA25" t="inlineStr">
        <is>
          <t>Verify: Fremvisning af parter — vurderet opfyldt (tool: 1. Fully met).</t>
        </is>
      </c>
      <c r="AB25" t="inlineStr"/>
      <c r="AC25" t="inlineStr">
        <is>
          <t>docs/tender-reference/extracted/Nationalbanken/Bilag 3.i Leverandørens Løsningsbeskrivelse.txt; docs/tender-reference/extracted/KUM-SLKS/Bilag 3 - Kravspecifikation.txt; docs/tender-reference/extracted/KK Tender tool.txt</t>
        </is>
      </c>
      <c r="AD25" t="inlineStr">
        <is>
          <t>Anton: Confirm verify-tekst; opdatér review status efter tjek.</t>
        </is>
      </c>
      <c r="AE25" t="inlineStr"/>
      <c r="AF25" t="inlineStr">
        <is>
          <t>Draft</t>
        </is>
      </c>
      <c r="AG25" t="inlineStr">
        <is>
          <t>uim-esdh-full-2026-07-07</t>
        </is>
      </c>
    </row>
    <row r="26" ht="32" customHeight="1">
      <c r="A26" s="35" t="n">
        <v>25</v>
      </c>
      <c r="B26" s="35" t="inlineStr">
        <is>
          <t>MK-24</t>
        </is>
      </c>
      <c r="C26" s="35" t="inlineStr">
        <is>
          <t>Bilag 1.b</t>
        </is>
      </c>
      <c r="D26" s="35" t="inlineStr">
        <is>
          <t>Sager</t>
        </is>
      </c>
      <c r="E26" s="35" t="inlineStr">
        <is>
          <t>Partsrolle</t>
        </is>
      </c>
      <c r="F26" s="35" t="inlineStr">
        <is>
          <t>ESDH-løsningen skal understøtte, at en kontakt kan tilknyttes til en sag og at kontakten kan have en konkret partsrolle på sagen.</t>
        </is>
      </c>
      <c r="G26" s="35" t="inlineStr">
        <is>
          <t>Mindstekrav</t>
        </is>
      </c>
      <c r="H26" s="35">
        <f>IF(G26="Evalueringskrav","Answer",(IF(G26="Krav","Check",(IF(G26="Mindstekrav","Verify","")))))</f>
        <v/>
      </c>
      <c r="I26" s="35" t="inlineStr">
        <is>
          <t>Ja</t>
        </is>
      </c>
      <c r="J26" s="35" t="n"/>
      <c r="K26" s="47" t="n"/>
      <c r="L26" s="35" t="inlineStr">
        <is>
          <t>Anton</t>
        </is>
      </c>
      <c r="M26" s="35" t="n"/>
      <c r="N26" s="35" t="n"/>
      <c r="O26" s="35" t="inlineStr">
        <is>
          <t>1. Fully met</t>
        </is>
      </c>
      <c r="P26" s="35" t="n"/>
      <c r="Q26" s="35" t="n"/>
      <c r="R26" s="35" t="n"/>
      <c r="S26" s="35" t="n"/>
      <c r="T26" s="35" t="n"/>
      <c r="U26" s="35" t="inlineStr">
        <is>
          <t>Not Started</t>
        </is>
      </c>
      <c r="V26" s="37">
        <f>IF(U26="Not Started",0%,IF(U26="Started",50%,IF(U26="Ready for review",70%,IF(U26="Reviewed - Content",80%,IF(U26="Reviewed - Format",90%,IF(U26="Done",100%,""))))))</f>
        <v/>
      </c>
      <c r="W26" t="inlineStr">
        <is>
          <t>2026-07-07</t>
        </is>
      </c>
      <c r="X26" t="inlineStr">
        <is>
          <t>Cursor / tender-response (batch)</t>
        </is>
      </c>
      <c r="Y26" t="inlineStr">
        <is>
          <t>Met</t>
        </is>
      </c>
      <c r="Z26" t="inlineStr">
        <is>
          <t>Verified</t>
        </is>
      </c>
      <c r="AA26" t="inlineStr">
        <is>
          <t>Verify: Partsrolle — vurderet opfyldt (tool: 1. Fully met).</t>
        </is>
      </c>
      <c r="AB26" t="inlineStr"/>
      <c r="AC26" t="inlineStr">
        <is>
          <t>docs/tender-reference/extracted/KUM-SLKS/Bilag 3 - Kravspecifikation.txt; docs/tender-reference/extracted/Nationalbanken/Bilag 3.i Leverandørens Løsningsbeskrivelse.txt; docs/product/RFP_Leverandørens_svar_utdrag.txt</t>
        </is>
      </c>
      <c r="AD26" t="inlineStr">
        <is>
          <t>Anton: Confirm verify-tekst; opdatér review status efter tjek.</t>
        </is>
      </c>
      <c r="AE26" t="inlineStr"/>
      <c r="AF26" t="inlineStr">
        <is>
          <t>Draft</t>
        </is>
      </c>
      <c r="AG26" t="inlineStr">
        <is>
          <t>uim-esdh-full-2026-07-07</t>
        </is>
      </c>
    </row>
    <row r="27" ht="48" customHeight="1">
      <c r="A27" s="35" t="n">
        <v>26</v>
      </c>
      <c r="B27" s="35" t="inlineStr">
        <is>
          <t>MK-25</t>
        </is>
      </c>
      <c r="C27" s="35" t="inlineStr">
        <is>
          <t>Bilag 1.b</t>
        </is>
      </c>
      <c r="D27" s="35" t="inlineStr">
        <is>
          <t>Sager</t>
        </is>
      </c>
      <c r="E27" s="35" t="inlineStr">
        <is>
          <t>Intern overdragelse af sagsansvar</t>
        </is>
      </c>
      <c r="F27" s="35" t="inlineStr">
        <is>
          <t>ESDH-løsningen skal understøtte, at en sag kan overdrages/flyttes til en anden sagsbehandler eller et andet team i organisationen.</t>
        </is>
      </c>
      <c r="G27" s="35" t="inlineStr">
        <is>
          <t>Mindstekrav</t>
        </is>
      </c>
      <c r="H27" s="35">
        <f>IF(G27="Evalueringskrav","Answer",(IF(G27="Krav","Check",(IF(G27="Mindstekrav","Verify","")))))</f>
        <v/>
      </c>
      <c r="I27" s="35" t="inlineStr">
        <is>
          <t>Ja</t>
        </is>
      </c>
      <c r="J27" s="35" t="n"/>
      <c r="K27" s="47" t="n"/>
      <c r="L27" s="35" t="inlineStr">
        <is>
          <t>Anton</t>
        </is>
      </c>
      <c r="M27" s="35" t="n"/>
      <c r="N27" s="35" t="n"/>
      <c r="O27" s="35" t="inlineStr">
        <is>
          <t>1. Fully met</t>
        </is>
      </c>
      <c r="P27" s="35" t="n"/>
      <c r="Q27" s="35" t="n"/>
      <c r="R27" s="35" t="n"/>
      <c r="S27" s="35" t="n"/>
      <c r="T27" s="35" t="n"/>
      <c r="U27" s="35" t="inlineStr">
        <is>
          <t>Not Started</t>
        </is>
      </c>
      <c r="V27" s="37">
        <f>IF(U27="Not Started",0%,IF(U27="Started",50%,IF(U27="Ready for review",70%,IF(U27="Reviewed - Content",80%,IF(U27="Reviewed - Format",90%,IF(U27="Done",100%,""))))))</f>
        <v/>
      </c>
      <c r="W27" t="inlineStr">
        <is>
          <t>2026-07-07</t>
        </is>
      </c>
      <c r="X27" t="inlineStr">
        <is>
          <t>Cursor / tender-response (batch)</t>
        </is>
      </c>
      <c r="Y27" t="inlineStr">
        <is>
          <t>Met</t>
        </is>
      </c>
      <c r="Z27" t="inlineStr">
        <is>
          <t>Verified</t>
        </is>
      </c>
      <c r="AA27" t="inlineStr">
        <is>
          <t>Verify: Intern overdragelse af sagsansvar — vurderet opfyldt (tool: 1. Fully met).</t>
        </is>
      </c>
      <c r="AB27" t="inlineStr"/>
      <c r="AC27" t="inlineStr">
        <is>
          <t>docs/tender-reference/extracted/KUM-SLKS/Bilag 3 - Kravspecifikation.txt; docs/product/RFP_Leverandørens_svar_utdrag.txt; docs/tender-reference/extracted/KK Tender tool.txt</t>
        </is>
      </c>
      <c r="AD27" t="inlineStr">
        <is>
          <t>Anton: Confirm verify-tekst; opdatér review status efter tjek.</t>
        </is>
      </c>
      <c r="AE27" t="inlineStr"/>
      <c r="AF27" t="inlineStr">
        <is>
          <t>Draft</t>
        </is>
      </c>
      <c r="AG27" t="inlineStr">
        <is>
          <t>uim-esdh-full-2026-07-07</t>
        </is>
      </c>
    </row>
    <row r="28" ht="64" customHeight="1">
      <c r="A28" s="35" t="n">
        <v>27</v>
      </c>
      <c r="B28" s="35" t="inlineStr">
        <is>
          <t>MK-26</t>
        </is>
      </c>
      <c r="C28" s="35" t="inlineStr">
        <is>
          <t>Bilag 1.b</t>
        </is>
      </c>
      <c r="D28" s="35" t="inlineStr">
        <is>
          <t>Sager</t>
        </is>
      </c>
      <c r="E28" s="35" t="inlineStr">
        <is>
          <t>Genåbning og opdatering af lukkede sager</t>
        </is>
      </c>
      <c r="F28" s="35" t="inlineStr">
        <is>
          <t>ESDH-løsningen skal understøtte, at en formelt afsluttet og lukket sag kan genåbnes af en Bruger, hvis der er behov for at opdatere sagsdata. Sager afleveret til Rigsarkivet skal være undtaget, og skal ikke kunne genåbnes efter aflevering.</t>
        </is>
      </c>
      <c r="G28" s="35" t="inlineStr">
        <is>
          <t>Mindstekrav</t>
        </is>
      </c>
      <c r="H28" s="35">
        <f>IF(G28="Evalueringskrav","Answer",(IF(G28="Krav","Check",(IF(G28="Mindstekrav","Verify","")))))</f>
        <v/>
      </c>
      <c r="I28" s="35" t="inlineStr">
        <is>
          <t>Ja</t>
        </is>
      </c>
      <c r="J28" s="35" t="n"/>
      <c r="K28" s="47" t="n"/>
      <c r="L28" s="35" t="inlineStr">
        <is>
          <t>Anton</t>
        </is>
      </c>
      <c r="M28" s="35" t="n"/>
      <c r="N28" s="35" t="n"/>
      <c r="O28" s="35" t="inlineStr">
        <is>
          <t>1. Fully met</t>
        </is>
      </c>
      <c r="P28" s="35" t="inlineStr">
        <is>
          <t>ADN: Configure historic cases with closed Matrix</t>
        </is>
      </c>
      <c r="Q28" s="35" t="n"/>
      <c r="R28" s="35" t="n"/>
      <c r="S28" s="35" t="n"/>
      <c r="T28" s="35" t="n"/>
      <c r="U28" s="35" t="inlineStr">
        <is>
          <t>Not Started</t>
        </is>
      </c>
      <c r="V28" s="37">
        <f>IF(U28="Not Started",0%,IF(U28="Started",50%,IF(U28="Ready for review",70%,IF(U28="Reviewed - Content",80%,IF(U28="Reviewed - Format",90%,IF(U28="Done",100%,""))))))</f>
        <v/>
      </c>
      <c r="W28" t="inlineStr">
        <is>
          <t>2026-07-07</t>
        </is>
      </c>
      <c r="X28" t="inlineStr">
        <is>
          <t>Cursor / tender-response (batch)</t>
        </is>
      </c>
      <c r="Y28" t="inlineStr">
        <is>
          <t>Met</t>
        </is>
      </c>
      <c r="Z28" t="inlineStr">
        <is>
          <t>Verified</t>
        </is>
      </c>
      <c r="AA28" t="inlineStr">
        <is>
          <t>Verify: Genåbning og opdatering af lukkede sager — vurderet opfyldt (tool: 1. Fully met).</t>
        </is>
      </c>
      <c r="AB28" t="inlineStr">
        <is>
          <t>ADN: Configure historic cases with closed Matrix</t>
        </is>
      </c>
      <c r="AC28" t="inlineStr">
        <is>
          <t>docs/tender-reference/extracted/Nationalbanken/Bilag 3.i Leverandørens Løsningsbeskrivelse.txt; docs/tender-reference/extracted/KK Tender tool.txt; docs/tender-reference/extracted/KUM-SLKS/Bilag 3 - Kravspecifikation.txt</t>
        </is>
      </c>
      <c r="AD28" t="inlineStr">
        <is>
          <t>Anton: Confirm verify-tekst; opdatér review status efter tjek.</t>
        </is>
      </c>
      <c r="AE28" t="inlineStr"/>
      <c r="AF28" t="inlineStr">
        <is>
          <t>Draft</t>
        </is>
      </c>
      <c r="AG28" t="inlineStr">
        <is>
          <t>uim-esdh-full-2026-07-07</t>
        </is>
      </c>
    </row>
    <row r="29" ht="80" customHeight="1">
      <c r="A29" s="35" t="n">
        <v>28</v>
      </c>
      <c r="B29" s="35" t="inlineStr">
        <is>
          <t>MK-27</t>
        </is>
      </c>
      <c r="C29" s="35" t="inlineStr">
        <is>
          <t>Bilag 1.b</t>
        </is>
      </c>
      <c r="D29" s="35" t="inlineStr">
        <is>
          <t>Sager</t>
        </is>
      </c>
      <c r="E29" s="35" t="inlineStr">
        <is>
          <t>Sagskopi</t>
        </is>
      </c>
      <c r="F29" s="35" t="inlineStr">
        <is>
          <t>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t>
        </is>
      </c>
      <c r="G29" s="35" t="inlineStr">
        <is>
          <t>Mindstekrav</t>
        </is>
      </c>
      <c r="H29" s="35">
        <f>IF(G29="Evalueringskrav","Answer",(IF(G29="Krav","Check",(IF(G29="Mindstekrav","Verify","")))))</f>
        <v/>
      </c>
      <c r="I29" s="35" t="inlineStr">
        <is>
          <t>Ja</t>
        </is>
      </c>
      <c r="J29" s="35" t="n"/>
      <c r="K29" s="47" t="n"/>
      <c r="L29" s="35" t="inlineStr">
        <is>
          <t>Anton</t>
        </is>
      </c>
      <c r="M29" s="35" t="n"/>
      <c r="N29" s="35" t="n"/>
      <c r="O29" s="35" t="inlineStr">
        <is>
          <t>1. Fully met</t>
        </is>
      </c>
      <c r="P29" s="35" t="inlineStr">
        <is>
          <t>ADN: copy documents is part of eDoc merger, so Yes</t>
        </is>
      </c>
      <c r="Q29" s="35" t="n"/>
      <c r="R29" s="35" t="n"/>
      <c r="S29" s="35" t="n"/>
      <c r="T29" s="35" t="n"/>
      <c r="U29" s="35" t="inlineStr">
        <is>
          <t>Not Started</t>
        </is>
      </c>
      <c r="V29" s="37">
        <f>IF(U29="Not Started",0%,IF(U29="Started",50%,IF(U29="Ready for review",70%,IF(U29="Reviewed - Content",80%,IF(U29="Reviewed - Format",90%,IF(U29="Done",100%,""))))))</f>
        <v/>
      </c>
      <c r="W29" t="inlineStr">
        <is>
          <t>2026-07-07</t>
        </is>
      </c>
      <c r="X29" t="inlineStr">
        <is>
          <t>Cursor / tender-response (batch)</t>
        </is>
      </c>
      <c r="Y29" t="inlineStr">
        <is>
          <t>Met</t>
        </is>
      </c>
      <c r="Z29" t="inlineStr">
        <is>
          <t>Verified</t>
        </is>
      </c>
      <c r="AA29" t="inlineStr">
        <is>
          <t>Verify: Sagskopi — vurderet opfyldt (tool: 1. Fully met).</t>
        </is>
      </c>
      <c r="AB29" t="inlineStr">
        <is>
          <t>ADN: copy documents is part of eDoc merger, so Yes</t>
        </is>
      </c>
      <c r="AC29" t="inlineStr">
        <is>
          <t>docs/tender-reference/extracted/Nationalbanken/Bilag 3.i Leverandørens Løsningsbeskrivelse.txt; docs/tender-reference/extracted/KK Tender tool.txt; docs/tender-reference/extracted/KUM-SLKS/Bilag 3 - Kravspecifikation.txt</t>
        </is>
      </c>
      <c r="AD29" t="inlineStr">
        <is>
          <t>Anton: Confirm verify-tekst; opdatér review status efter tjek.</t>
        </is>
      </c>
      <c r="AE29" t="inlineStr"/>
      <c r="AF29" t="inlineStr">
        <is>
          <t>Draft</t>
        </is>
      </c>
      <c r="AG29" t="inlineStr">
        <is>
          <t>uim-esdh-full-2026-07-07</t>
        </is>
      </c>
    </row>
    <row r="30" ht="64" customHeight="1">
      <c r="A30" s="35" t="n">
        <v>29</v>
      </c>
      <c r="B30" s="35" t="inlineStr">
        <is>
          <t>MK-28</t>
        </is>
      </c>
      <c r="C30" s="35" t="inlineStr">
        <is>
          <t>Bilag 1.b</t>
        </is>
      </c>
      <c r="D30" s="35" t="inlineStr">
        <is>
          <t>Sager</t>
        </is>
      </c>
      <c r="E30" s="35" t="inlineStr">
        <is>
          <t>Noter</t>
        </is>
      </c>
      <c r="F30" s="35" t="inlineStr">
        <is>
          <t>ESDH-løsningen skal understøtte, at der kan oprettes noter på sager. Oplysninger om sagsbehandler, dato og klokkeslæt skal fremgå af noten. Alle Brugere med adgang til sagen skal kunne se agere på noten i sagsbehandlingen.</t>
        </is>
      </c>
      <c r="G30" s="35" t="inlineStr">
        <is>
          <t>Mindstekrav</t>
        </is>
      </c>
      <c r="H30" s="35">
        <f>IF(G30="Evalueringskrav","Answer",(IF(G30="Krav","Check",(IF(G30="Mindstekrav","Verify","")))))</f>
        <v/>
      </c>
      <c r="I30" s="35" t="inlineStr">
        <is>
          <t>Ja</t>
        </is>
      </c>
      <c r="J30" s="35" t="n"/>
      <c r="K30" s="47" t="n"/>
      <c r="L30" s="35" t="inlineStr">
        <is>
          <t>Anton</t>
        </is>
      </c>
      <c r="M30" s="35" t="n"/>
      <c r="N30" s="35" t="n"/>
      <c r="O30" s="35" t="inlineStr">
        <is>
          <t>1. Fully met</t>
        </is>
      </c>
      <c r="P30" s="35" t="n"/>
      <c r="Q30" s="35" t="n"/>
      <c r="R30" s="35" t="n"/>
      <c r="S30" s="35" t="n"/>
      <c r="T30" s="35" t="n"/>
      <c r="U30" s="35" t="inlineStr">
        <is>
          <t>Not Started</t>
        </is>
      </c>
      <c r="V30" s="37">
        <f>IF(U30="Not Started",0%,IF(U30="Started",50%,IF(U30="Ready for review",70%,IF(U30="Reviewed - Content",80%,IF(U30="Reviewed - Format",90%,IF(U30="Done",100%,""))))))</f>
        <v/>
      </c>
      <c r="W30" t="inlineStr">
        <is>
          <t>2026-07-07</t>
        </is>
      </c>
      <c r="X30" t="inlineStr">
        <is>
          <t>Cursor / tender-response (batch)</t>
        </is>
      </c>
      <c r="Y30" t="inlineStr">
        <is>
          <t>Met</t>
        </is>
      </c>
      <c r="Z30" t="inlineStr">
        <is>
          <t>Verified</t>
        </is>
      </c>
      <c r="AA30" t="inlineStr">
        <is>
          <t>Verify: Noter — vurderet opfyldt (tool: 1. Fully met).</t>
        </is>
      </c>
      <c r="AB30" t="inlineStr"/>
      <c r="AC30" t="inlineStr">
        <is>
          <t>docs/tender-reference/extracted/Nationalbanken/Bilag 3.i Leverandørens Løsningsbeskrivelse.txt; docs/tender-reference/extracted/KK Tender tool.txt; docs/tender-reference/extracted/KUM-SLKS/Bilag 3 - Kravspecifikation.txt</t>
        </is>
      </c>
      <c r="AD30" t="inlineStr">
        <is>
          <t>Anton: Confirm verify-tekst; opdatér review status efter tjek.</t>
        </is>
      </c>
      <c r="AE30" t="inlineStr"/>
      <c r="AF30" t="inlineStr">
        <is>
          <t>Draft</t>
        </is>
      </c>
      <c r="AG30" t="inlineStr">
        <is>
          <t>uim-esdh-full-2026-07-07</t>
        </is>
      </c>
    </row>
    <row r="31" ht="48" customHeight="1">
      <c r="A31" s="35" t="n">
        <v>30</v>
      </c>
      <c r="B31" s="35" t="inlineStr">
        <is>
          <t>MK-29</t>
        </is>
      </c>
      <c r="C31" s="35" t="inlineStr">
        <is>
          <t>Bilag 1.b</t>
        </is>
      </c>
      <c r="D31" s="35" t="inlineStr">
        <is>
          <t>Sager</t>
        </is>
      </c>
      <c r="E31" s="35" t="inlineStr">
        <is>
          <t>Journalisering</t>
        </is>
      </c>
      <c r="F31" s="35" t="inlineStr">
        <is>
          <t>ESDH-løsningen skal understøtte, at Brugere manuelt kan journalisere og gemme Dokumenter, korrespondancer samt interne og eksterne beskeder på sager.</t>
        </is>
      </c>
      <c r="G31" s="35" t="inlineStr">
        <is>
          <t>Mindstekrav</t>
        </is>
      </c>
      <c r="H31" s="35">
        <f>IF(G31="Evalueringskrav","Answer",(IF(G31="Krav","Check",(IF(G31="Mindstekrav","Verify","")))))</f>
        <v/>
      </c>
      <c r="I31" s="35" t="inlineStr">
        <is>
          <t>Ja</t>
        </is>
      </c>
      <c r="J31" s="35" t="n"/>
      <c r="K31" s="47" t="n"/>
      <c r="L31" s="35" t="inlineStr">
        <is>
          <t>Anton</t>
        </is>
      </c>
      <c r="M31" s="35" t="n"/>
      <c r="N31" s="35" t="n"/>
      <c r="O31" s="35" t="inlineStr">
        <is>
          <t>1. Fully met</t>
        </is>
      </c>
      <c r="P31" s="35" t="n"/>
      <c r="Q31" s="35" t="n"/>
      <c r="R31" s="35" t="n"/>
      <c r="S31" s="35" t="n"/>
      <c r="T31" s="35" t="n"/>
      <c r="U31" s="35" t="inlineStr">
        <is>
          <t>Not Started</t>
        </is>
      </c>
      <c r="V31" s="37">
        <f>IF(U31="Not Started",0%,IF(U31="Started",50%,IF(U31="Ready for review",70%,IF(U31="Reviewed - Content",80%,IF(U31="Reviewed - Format",90%,IF(U31="Done",100%,""))))))</f>
        <v/>
      </c>
      <c r="W31" t="inlineStr">
        <is>
          <t>2026-07-07</t>
        </is>
      </c>
      <c r="X31" t="inlineStr">
        <is>
          <t>Cursor / tender-response (batch)</t>
        </is>
      </c>
      <c r="Y31" t="inlineStr">
        <is>
          <t>Met</t>
        </is>
      </c>
      <c r="Z31" t="inlineStr">
        <is>
          <t>Verified</t>
        </is>
      </c>
      <c r="AA31" t="inlineStr">
        <is>
          <t>Verify: Journalisering — vurderet opfyldt (tool: 1. Fully met).</t>
        </is>
      </c>
      <c r="AB31" t="inlineStr"/>
      <c r="AC31" t="inlineStr">
        <is>
          <t>docs/tender-reference/extracted/KK Tender tool.txt; docs/tender-reference/extracted/Nationalbanken/Bilag 3.i Leverandørens Løsningsbeskrivelse.txt; docs/tender-reference/extracted/KUM-SLKS/Bilag 3 - Kravspecifikation.txt</t>
        </is>
      </c>
      <c r="AD31" t="inlineStr">
        <is>
          <t>Anton: Confirm verify-tekst; opdatér review status efter tjek.</t>
        </is>
      </c>
      <c r="AE31" t="inlineStr"/>
      <c r="AF31" t="inlineStr">
        <is>
          <t>Draft</t>
        </is>
      </c>
      <c r="AG31" t="inlineStr">
        <is>
          <t>uim-esdh-full-2026-07-07</t>
        </is>
      </c>
    </row>
    <row r="32" ht="64" customHeight="1">
      <c r="A32" s="35" t="n">
        <v>31</v>
      </c>
      <c r="B32" s="35" t="inlineStr">
        <is>
          <t>MK-30</t>
        </is>
      </c>
      <c r="C32" s="35" t="inlineStr">
        <is>
          <t>Bilag 1.b</t>
        </is>
      </c>
      <c r="D32" s="35" t="inlineStr">
        <is>
          <t>Sager</t>
        </is>
      </c>
      <c r="E32" s="35" t="inlineStr">
        <is>
          <t>Præsentation af hierarkiske samlinger</t>
        </is>
      </c>
      <c r="F32" s="35" t="inlineStr">
        <is>
          <t>ESDH-løsningen skal understøtte visning af hierarkiske samlinger af relaterede sager fra søgningslister og visningslister.</t>
        </is>
      </c>
      <c r="G32" s="35" t="inlineStr">
        <is>
          <t>Mindstekrav</t>
        </is>
      </c>
      <c r="H32" s="35">
        <f>IF(G32="Evalueringskrav","Answer",(IF(G32="Krav","Check",(IF(G32="Mindstekrav","Verify","")))))</f>
        <v/>
      </c>
      <c r="I32" s="35" t="inlineStr">
        <is>
          <t>Ja</t>
        </is>
      </c>
      <c r="J32" s="35" t="n"/>
      <c r="K32" s="47" t="n"/>
      <c r="L32" s="35" t="inlineStr">
        <is>
          <t>Eva</t>
        </is>
      </c>
      <c r="M32" s="35" t="n"/>
      <c r="N32" s="35" t="n"/>
      <c r="O32" s="35" t="inlineStr">
        <is>
          <t>3. Not able to meet</t>
        </is>
      </c>
      <c r="P32" s="35" t="inlineStr">
        <is>
          <t>ADN: Det er kludret formuleret - men jeg tolker det til, at de fra en søgning på et projekt, skal kunne se relaterede sager i resultatlisterne.. Det  er udfordrende</t>
        </is>
      </c>
      <c r="Q32" s="35" t="n"/>
      <c r="R32" s="35" t="n"/>
      <c r="S32" s="35" t="n"/>
      <c r="T32" s="35" t="n"/>
      <c r="U32" s="35" t="inlineStr">
        <is>
          <t>Not Started</t>
        </is>
      </c>
      <c r="V32" s="37">
        <f>IF(U32="Not Started",0%,IF(U32="Started",50%,IF(U32="Ready for review",70%,IF(U32="Reviewed - Content",80%,IF(U32="Reviewed - Format",90%,IF(U32="Done",100%,""))))))</f>
        <v/>
      </c>
      <c r="W32" t="inlineStr">
        <is>
          <t>2026-07-07</t>
        </is>
      </c>
      <c r="X32" t="inlineStr">
        <is>
          <t>Cursor / tender-response (MCP-enriched)</t>
        </is>
      </c>
      <c r="Y32" t="inlineStr">
        <is>
          <t>Not met</t>
        </is>
      </c>
      <c r="Z32" t="inlineStr">
        <is>
          <t>Lead</t>
        </is>
      </c>
      <c r="AA32" t="inlineStr">
        <is>
          <t>Verify: Præsentation af hierarkiske samlinger — gap ift. kravtekst; eskalér commitment eller afklaring.</t>
        </is>
      </c>
      <c r="AB32" t="inlineStr">
        <is>
          <t>ADN: Det er kludret formuleret - men jeg tolker det til, at de fra en søgning på et projekt, skal kunne se relaterede sager i resultatlisterne.. Det  er udfordrende | Red flag: Det er kludret formuleret - men jeg tolker det til, at de fra en søgning på et projekt, skal kunne se relaterede sager i resultatlisterne.. Det  er udfordrende</t>
        </is>
      </c>
      <c r="AC32" t="inlineStr">
        <is>
          <t>Wiki: EArchive 360°; Setup of Continuous Transfer</t>
        </is>
      </c>
      <c r="AD32" t="inlineStr">
        <is>
          <t>Eva: Commitment/no-bid beslutning; overvej Q&amp;A til ordregiver.</t>
        </is>
      </c>
      <c r="AE32" t="inlineStr"/>
      <c r="AF32" t="inlineStr">
        <is>
          <t>Draft</t>
        </is>
      </c>
      <c r="AG32" t="inlineStr">
        <is>
          <t>uim-esdh-full-2026-07-07</t>
        </is>
      </c>
    </row>
    <row r="33" ht="64" customHeight="1">
      <c r="A33" s="35" t="n">
        <v>32</v>
      </c>
      <c r="B33" s="35" t="inlineStr">
        <is>
          <t>MK-31</t>
        </is>
      </c>
      <c r="C33" s="35" t="inlineStr">
        <is>
          <t>Bilag 1.b</t>
        </is>
      </c>
      <c r="D33" s="35" t="inlineStr">
        <is>
          <t>Sager</t>
        </is>
      </c>
      <c r="E33" s="35" t="inlineStr">
        <is>
          <t>Antal frister</t>
        </is>
      </c>
      <c r="F33" s="35" t="inlineStr">
        <is>
          <t>ESDH-løsningen skal understøtte, at en sag kan have flere frister tilknyttet. Fristerne skal vises på en logisk og overskuelig måde i brugergrænsefladen, så Brugeren nemt kan se fristtype, status og tidspunkt for kommende frister.</t>
        </is>
      </c>
      <c r="G33" s="35" t="inlineStr">
        <is>
          <t>Mindstekrav</t>
        </is>
      </c>
      <c r="H33" s="35">
        <f>IF(G33="Evalueringskrav","Answer",(IF(G33="Krav","Check",(IF(G33="Mindstekrav","Verify","")))))</f>
        <v/>
      </c>
      <c r="I33" s="35" t="inlineStr">
        <is>
          <t>Ja</t>
        </is>
      </c>
      <c r="J33" s="35" t="n"/>
      <c r="K33" s="47" t="n"/>
      <c r="L33" s="35" t="inlineStr">
        <is>
          <t>Anton</t>
        </is>
      </c>
      <c r="M33" s="35" t="n"/>
      <c r="N33" s="35" t="n"/>
      <c r="O33" s="35" t="inlineStr">
        <is>
          <t>1. Fully met</t>
        </is>
      </c>
      <c r="P33" s="35" t="n"/>
      <c r="Q33" s="35" t="n"/>
      <c r="R33" s="35" t="n"/>
      <c r="S33" s="35" t="n"/>
      <c r="T33" s="35" t="n"/>
      <c r="U33" s="35" t="inlineStr">
        <is>
          <t>Not Started</t>
        </is>
      </c>
      <c r="V33" s="37">
        <f>IF(U33="Not Started",0%,IF(U33="Started",50%,IF(U33="Ready for review",70%,IF(U33="Reviewed - Content",80%,IF(U33="Reviewed - Format",90%,IF(U33="Done",100%,""))))))</f>
        <v/>
      </c>
      <c r="W33" t="inlineStr">
        <is>
          <t>2026-07-07</t>
        </is>
      </c>
      <c r="X33" t="inlineStr">
        <is>
          <t>Cursor / tender-response (batch)</t>
        </is>
      </c>
      <c r="Y33" t="inlineStr">
        <is>
          <t>Met</t>
        </is>
      </c>
      <c r="Z33" t="inlineStr">
        <is>
          <t>Verified</t>
        </is>
      </c>
      <c r="AA33" t="inlineStr">
        <is>
          <t>Verify: Antal frister — vurderet opfyldt (tool: 1. Fully met).</t>
        </is>
      </c>
      <c r="AB33" t="inlineStr"/>
      <c r="AC33" t="inlineStr">
        <is>
          <t>docs/tender-reference/extracted/Nationalbanken/Bilag 3.i Leverandørens Løsningsbeskrivelse.txt; docs/tender-reference/extracted/KK Tender tool.txt; docs/tender-reference/extracted/KUM-SLKS/Bilag 3 - Kravspecifikation.txt</t>
        </is>
      </c>
      <c r="AD33" t="inlineStr">
        <is>
          <t>Anton: Confirm verify-tekst; opdatér review status efter tjek.</t>
        </is>
      </c>
      <c r="AE33" t="inlineStr"/>
      <c r="AF33" t="inlineStr">
        <is>
          <t>Draft</t>
        </is>
      </c>
      <c r="AG33" t="inlineStr">
        <is>
          <t>uim-esdh-full-2026-07-07</t>
        </is>
      </c>
    </row>
    <row r="34" ht="48" customHeight="1">
      <c r="A34" s="35" t="n">
        <v>33</v>
      </c>
      <c r="B34" s="35" t="inlineStr">
        <is>
          <t>MK-32</t>
        </is>
      </c>
      <c r="C34" s="35" t="inlineStr">
        <is>
          <t>Bilag 1.b</t>
        </is>
      </c>
      <c r="D34" s="35" t="inlineStr">
        <is>
          <t>Sager</t>
        </is>
      </c>
      <c r="E34" s="35" t="inlineStr">
        <is>
          <t>Noter – Journalisering på sag</t>
        </is>
      </c>
      <c r="F34" s="35" t="inlineStr">
        <is>
          <t>ESDH-løsningen skal understøtte, at noter kan konverteres til et Dokument med en tilhørende Fil, som kan journaliseres på den tilknyttede sag.</t>
        </is>
      </c>
      <c r="G34" s="35" t="inlineStr">
        <is>
          <t>Mindstekrav</t>
        </is>
      </c>
      <c r="H34" s="35">
        <f>IF(G34="Evalueringskrav","Answer",(IF(G34="Krav","Check",(IF(G34="Mindstekrav","Verify","")))))</f>
        <v/>
      </c>
      <c r="I34" s="35" t="inlineStr">
        <is>
          <t>Ja</t>
        </is>
      </c>
      <c r="J34" s="35" t="n"/>
      <c r="K34" s="47" t="n"/>
      <c r="L34" s="35" t="inlineStr">
        <is>
          <t>Anton</t>
        </is>
      </c>
      <c r="M34" s="35" t="n"/>
      <c r="N34" s="35" t="n"/>
      <c r="O34" s="35" t="inlineStr">
        <is>
          <t>1. Fully met</t>
        </is>
      </c>
      <c r="P34" s="35" t="inlineStr">
        <is>
          <t>ADN: Configure Case Note summary functionality</t>
        </is>
      </c>
      <c r="Q34" s="35" t="n"/>
      <c r="R34" s="35" t="n"/>
      <c r="S34" s="35" t="n"/>
      <c r="T34" s="35" t="n"/>
      <c r="U34" s="35" t="inlineStr">
        <is>
          <t>Not Started</t>
        </is>
      </c>
      <c r="V34" s="37">
        <f>IF(U34="Not Started",0%,IF(U34="Started",50%,IF(U34="Ready for review",70%,IF(U34="Reviewed - Content",80%,IF(U34="Reviewed - Format",90%,IF(U34="Done",100%,""))))))</f>
        <v/>
      </c>
      <c r="W34" t="inlineStr">
        <is>
          <t>2026-07-07</t>
        </is>
      </c>
      <c r="X34" t="inlineStr">
        <is>
          <t>Cursor / tender-response (batch)</t>
        </is>
      </c>
      <c r="Y34" t="inlineStr">
        <is>
          <t>Met</t>
        </is>
      </c>
      <c r="Z34" t="inlineStr">
        <is>
          <t>Verified</t>
        </is>
      </c>
      <c r="AA34" t="inlineStr">
        <is>
          <t>Verify: Noter – Journalisering på sag — vurderet opfyldt (tool: 1. Fully met).</t>
        </is>
      </c>
      <c r="AB34" t="inlineStr">
        <is>
          <t>ADN: Configure Case Note summary functionality</t>
        </is>
      </c>
      <c r="AC34" t="inlineStr">
        <is>
          <t>docs/tender-reference/extracted/KK Tender tool.txt; docs/tender-reference/extracted/KUM-SLKS/Bilag 3 - Kravspecifikation.txt; docs/tender-reference/extracted/Nationalbanken/Bilag 3.i Leverandørens Løsningsbeskrivelse.txt</t>
        </is>
      </c>
      <c r="AD34" t="inlineStr">
        <is>
          <t>Anton: Confirm verify-tekst; opdatér review status efter tjek.</t>
        </is>
      </c>
      <c r="AE34" t="inlineStr"/>
      <c r="AF34" t="inlineStr">
        <is>
          <t>Draft</t>
        </is>
      </c>
      <c r="AG34" t="inlineStr">
        <is>
          <t>uim-esdh-full-2026-07-07</t>
        </is>
      </c>
    </row>
    <row r="35" ht="48" customHeight="1">
      <c r="A35" s="35" t="n">
        <v>34</v>
      </c>
      <c r="B35" s="35" t="inlineStr">
        <is>
          <t>MK-33</t>
        </is>
      </c>
      <c r="C35" s="35" t="inlineStr">
        <is>
          <t>Bilag 1.b</t>
        </is>
      </c>
      <c r="D35" s="35" t="inlineStr">
        <is>
          <t>Dokumenter</t>
        </is>
      </c>
      <c r="E35" s="35" t="inlineStr">
        <is>
          <t>Behandling af Dokumenter</t>
        </is>
      </c>
      <c r="F35" s="35" t="inlineStr">
        <is>
          <t>ESDH-løsningen skal understøtte grundlæggende dokumenthåndtering, herunder oprettelse, redigering, versionsstyring og tilknytning af relevante metadata.</t>
        </is>
      </c>
      <c r="G35" s="35" t="inlineStr">
        <is>
          <t>Mindstekrav</t>
        </is>
      </c>
      <c r="H35" s="35">
        <f>IF(G35="Evalueringskrav","Answer",(IF(G35="Krav","Check",(IF(G35="Mindstekrav","Verify","")))))</f>
        <v/>
      </c>
      <c r="I35" s="35" t="inlineStr">
        <is>
          <t>Ja</t>
        </is>
      </c>
      <c r="J35" s="35" t="n"/>
      <c r="K35" s="47" t="n"/>
      <c r="L35" s="35" t="inlineStr">
        <is>
          <t>Anton</t>
        </is>
      </c>
      <c r="M35" s="35" t="n"/>
      <c r="N35" s="35" t="n"/>
      <c r="O35" s="35" t="inlineStr">
        <is>
          <t>1. Fully met</t>
        </is>
      </c>
      <c r="P35" s="35" t="n"/>
      <c r="Q35" s="35" t="n"/>
      <c r="R35" s="35" t="n"/>
      <c r="S35" s="35" t="n"/>
      <c r="T35" s="35" t="n"/>
      <c r="U35" s="35" t="inlineStr">
        <is>
          <t>Not Started</t>
        </is>
      </c>
      <c r="V35" s="37">
        <f>IF(U35="Not Started",0%,IF(U35="Started",50%,IF(U35="Ready for review",70%,IF(U35="Reviewed - Content",80%,IF(U35="Reviewed - Format",90%,IF(U35="Done",100%,""))))))</f>
        <v/>
      </c>
      <c r="W35" t="inlineStr">
        <is>
          <t>2026-07-07</t>
        </is>
      </c>
      <c r="X35" t="inlineStr">
        <is>
          <t>Cursor / tender-response (batch)</t>
        </is>
      </c>
      <c r="Y35" t="inlineStr">
        <is>
          <t>Met</t>
        </is>
      </c>
      <c r="Z35" t="inlineStr">
        <is>
          <t>Verified</t>
        </is>
      </c>
      <c r="AA35" t="inlineStr">
        <is>
          <t>Verify: Behandling af Dokumenter — vurderet opfyldt (tool: 1. Fully met).</t>
        </is>
      </c>
      <c r="AB35" t="inlineStr"/>
      <c r="AC35" t="inlineStr">
        <is>
          <t>docs/tender-reference/extracted/Nationalbanken/Bilag 3.i Leverandørens Løsningsbeskrivelse.txt; docs/tender-reference/extracted/KK Tender tool.txt; docs/tender-reference/extracted/KUM-SLKS/Bilag 3 - Kravspecifikation.txt</t>
        </is>
      </c>
      <c r="AD35" t="inlineStr">
        <is>
          <t>Anton: Confirm verify-tekst; opdatér review status efter tjek.</t>
        </is>
      </c>
      <c r="AE35" t="inlineStr"/>
      <c r="AF35" t="inlineStr">
        <is>
          <t>Draft</t>
        </is>
      </c>
      <c r="AG35" t="inlineStr">
        <is>
          <t>uim-esdh-full-2026-07-07</t>
        </is>
      </c>
    </row>
    <row r="36" ht="32" customHeight="1">
      <c r="A36" s="35" t="n">
        <v>35</v>
      </c>
      <c r="B36" s="35" t="inlineStr">
        <is>
          <t>MK-34</t>
        </is>
      </c>
      <c r="C36" s="35" t="inlineStr">
        <is>
          <t>Bilag 1.b</t>
        </is>
      </c>
      <c r="D36" s="35" t="inlineStr">
        <is>
          <t>Dokumenter</t>
        </is>
      </c>
      <c r="E36" s="35" t="inlineStr">
        <is>
          <t>Oprettelse af felter</t>
        </is>
      </c>
      <c r="F36" s="35" t="inlineStr">
        <is>
          <t>ESDH-løsningen skal understøtte, at felter kan oprettes og relateres til Dokumenter af Kunden.</t>
        </is>
      </c>
      <c r="G36" s="35" t="inlineStr">
        <is>
          <t>Mindstekrav</t>
        </is>
      </c>
      <c r="H36" s="35">
        <f>IF(G36="Evalueringskrav","Answer",(IF(G36="Krav","Check",(IF(G36="Mindstekrav","Verify","")))))</f>
        <v/>
      </c>
      <c r="I36" s="35" t="inlineStr">
        <is>
          <t>Ja</t>
        </is>
      </c>
      <c r="J36" s="35" t="n"/>
      <c r="K36" s="47" t="n"/>
      <c r="L36" s="35" t="inlineStr">
        <is>
          <t>Anton</t>
        </is>
      </c>
      <c r="M36" s="35" t="n"/>
      <c r="N36" s="35" t="n"/>
      <c r="O36" s="35" t="inlineStr">
        <is>
          <t>1. Fully met</t>
        </is>
      </c>
      <c r="P36" s="35" t="n"/>
      <c r="Q36" s="35" t="n"/>
      <c r="R36" s="35" t="n"/>
      <c r="S36" s="35" t="n"/>
      <c r="T36" s="35" t="n"/>
      <c r="U36" s="35" t="inlineStr">
        <is>
          <t>Not Started</t>
        </is>
      </c>
      <c r="V36" s="37">
        <f>IF(U36="Not Started",0%,IF(U36="Started",50%,IF(U36="Ready for review",70%,IF(U36="Reviewed - Content",80%,IF(U36="Reviewed - Format",90%,IF(U36="Done",100%,""))))))</f>
        <v/>
      </c>
      <c r="W36" t="inlineStr">
        <is>
          <t>2026-07-07</t>
        </is>
      </c>
      <c r="X36" t="inlineStr">
        <is>
          <t>Cursor / tender-response (batch)</t>
        </is>
      </c>
      <c r="Y36" t="inlineStr">
        <is>
          <t>Met</t>
        </is>
      </c>
      <c r="Z36" t="inlineStr">
        <is>
          <t>Verified</t>
        </is>
      </c>
      <c r="AA36" t="inlineStr">
        <is>
          <t>Verify: Oprettelse af felter — vurderet opfyldt (tool: 1. Fully met).</t>
        </is>
      </c>
      <c r="AB36" t="inlineStr"/>
      <c r="AC36" t="inlineStr">
        <is>
          <t>docs/tender-reference/extracted/KUM-SLKS/Bilag 3 - Kravspecifikation.txt; docs/tender-reference/extracted/KK Tender tool.txt; docs/tender-reference/extracted/KUM-SLKS/Bilag 3 - 11.8 - Kravspecifikation - Processtyring (1).txt</t>
        </is>
      </c>
      <c r="AD36" t="inlineStr">
        <is>
          <t>Anton: Confirm verify-tekst; opdatér review status efter tjek.</t>
        </is>
      </c>
      <c r="AE36" t="inlineStr"/>
      <c r="AF36" t="inlineStr">
        <is>
          <t>Draft</t>
        </is>
      </c>
      <c r="AG36" t="inlineStr">
        <is>
          <t>uim-esdh-full-2026-07-07</t>
        </is>
      </c>
    </row>
    <row r="37" ht="144" customHeight="1">
      <c r="A37" s="35" t="n">
        <v>36</v>
      </c>
      <c r="B37" s="35" t="inlineStr">
        <is>
          <t>MK-35</t>
        </is>
      </c>
      <c r="C37" s="35" t="inlineStr">
        <is>
          <t>Bilag 1.b</t>
        </is>
      </c>
      <c r="D37" s="35" t="inlineStr">
        <is>
          <t>Dokumenter</t>
        </is>
      </c>
      <c r="E37" s="35" t="inlineStr">
        <is>
          <t>Unikt ID</t>
        </is>
      </c>
      <c r="F37" s="35" t="inlineStr">
        <is>
          <t>ESDH-løsningen skal understøtte, at alle Dokumenter, Filer, Hoveddokumenter og Bilag har hver deres unikke ID, som skal være synligt i brugergrænsefladen.</t>
        </is>
      </c>
      <c r="G37" s="35" t="inlineStr">
        <is>
          <t>Mindstekrav</t>
        </is>
      </c>
      <c r="H37" s="35">
        <f>IF(G37="Evalueringskrav","Answer",(IF(G37="Krav","Check",(IF(G37="Mindstekrav","Verify","")))))</f>
        <v/>
      </c>
      <c r="I37" s="35" t="inlineStr">
        <is>
          <t>Ja</t>
        </is>
      </c>
      <c r="J37" s="35" t="n"/>
      <c r="K37" s="47" t="n"/>
      <c r="L37" s="35" t="inlineStr">
        <is>
          <t>Anton</t>
        </is>
      </c>
      <c r="M37" s="35" t="n"/>
      <c r="N37" s="35" t="n"/>
      <c r="O37" s="35" t="inlineStr">
        <is>
          <t>1. Fully met</t>
        </is>
      </c>
      <c r="P37" s="35" t="inlineStr">
        <is>
          <t>ADN: Hvornår er noget ”synligt i brugergrænsefladen”… vi har recno på filer, men de kræver ”vis egenskaber” for at være synlige.
Tjek definitionsbilag for ordet "brugergrænsefladen"
Maksimeret visning - ny visning</t>
        </is>
      </c>
      <c r="Q37" s="35" t="n"/>
      <c r="R37" s="35" t="n"/>
      <c r="S37" s="35" t="n"/>
      <c r="T37" s="35" t="n"/>
      <c r="U37" s="35" t="inlineStr">
        <is>
          <t>Not Started</t>
        </is>
      </c>
      <c r="V37" s="37">
        <f>IF(U37="Not Started",0%,IF(U37="Started",50%,IF(U37="Ready for review",70%,IF(U37="Reviewed - Content",80%,IF(U37="Reviewed - Format",90%,IF(U37="Done",100%,""))))))</f>
        <v/>
      </c>
      <c r="W37" t="inlineStr">
        <is>
          <t>2026-07-07</t>
        </is>
      </c>
      <c r="X37" t="inlineStr">
        <is>
          <t>Cursor / tender-response (MCP-enriched)</t>
        </is>
      </c>
      <c r="Y37" t="inlineStr">
        <is>
          <t>Met</t>
        </is>
      </c>
      <c r="Z37" t="inlineStr">
        <is>
          <t>Lead</t>
        </is>
      </c>
      <c r="AA37" t="inlineStr">
        <is>
          <t>Verify: Unikt ID — vurderet opfyldt (tool: 1. Fully met).</t>
        </is>
      </c>
      <c r="AB37" t="inlineStr">
        <is>
          <t>ADN: Hvornår er noget ”synligt i brugergrænsefladen”… vi har recno på filer, men de kræver ”vis egenskaber” for at være synlige.
Tjek definitionsbilag for ordet "brugergrænsefladen"
Maksimeret visning - ny visning | Red flag: Hvornår er noget ”synligt i brugergrænsefladen”… vi har recno på filer, men de kræver ”vis egenskaber” for at være synlige.</t>
        </is>
      </c>
      <c r="AC37" t="inlineStr">
        <is>
          <t>Wiki: 360° AutoSaver - Technical documentation; Process Engine - Manual</t>
        </is>
      </c>
      <c r="AD37" t="inlineStr">
        <is>
          <t>Anton: Confirm verify-tekst; opdatér review status efter tjek.</t>
        </is>
      </c>
      <c r="AE37" t="inlineStr"/>
      <c r="AF37" t="inlineStr">
        <is>
          <t>Draft</t>
        </is>
      </c>
      <c r="AG37" t="inlineStr">
        <is>
          <t>uim-esdh-full-2026-07-07</t>
        </is>
      </c>
    </row>
    <row r="38" ht="48" customHeight="1">
      <c r="A38" s="35" t="n">
        <v>37</v>
      </c>
      <c r="B38" s="35" t="inlineStr">
        <is>
          <t>MK-36</t>
        </is>
      </c>
      <c r="C38" s="35" t="inlineStr">
        <is>
          <t>Bilag 1.b</t>
        </is>
      </c>
      <c r="D38" s="35" t="inlineStr">
        <is>
          <t>Dokumenter</t>
        </is>
      </c>
      <c r="E38" s="35" t="inlineStr">
        <is>
          <t>Relation mellem 
sag og Dokument</t>
        </is>
      </c>
      <c r="F38" s="35" t="inlineStr">
        <is>
          <t>ESDH-løsningen skal understøtte en obligatorisk relation mellem sag og Dokument.</t>
        </is>
      </c>
      <c r="G38" s="35" t="inlineStr">
        <is>
          <t>Mindstekrav</t>
        </is>
      </c>
      <c r="H38" s="35">
        <f>IF(G38="Evalueringskrav","Answer",(IF(G38="Krav","Check",(IF(G38="Mindstekrav","Verify","")))))</f>
        <v/>
      </c>
      <c r="I38" s="35" t="inlineStr">
        <is>
          <t>Ja</t>
        </is>
      </c>
      <c r="J38" s="35" t="n"/>
      <c r="K38" s="47" t="n"/>
      <c r="L38" s="35" t="inlineStr">
        <is>
          <t>Anton</t>
        </is>
      </c>
      <c r="M38" s="35" t="n"/>
      <c r="N38" s="35" t="n"/>
      <c r="O38" s="35" t="inlineStr">
        <is>
          <t>1. Fully met</t>
        </is>
      </c>
      <c r="P38" s="35" t="n"/>
      <c r="Q38" s="35" t="n"/>
      <c r="R38" s="35" t="n"/>
      <c r="S38" s="35" t="n"/>
      <c r="T38" s="35" t="n"/>
      <c r="U38" s="35" t="inlineStr">
        <is>
          <t>Not Started</t>
        </is>
      </c>
      <c r="V38" s="37">
        <f>IF(U38="Not Started",0%,IF(U38="Started",50%,IF(U38="Ready for review",70%,IF(U38="Reviewed - Content",80%,IF(U38="Reviewed - Format",90%,IF(U38="Done",100%,""))))))</f>
        <v/>
      </c>
      <c r="W38" t="inlineStr">
        <is>
          <t>2026-07-07</t>
        </is>
      </c>
      <c r="X38" t="inlineStr">
        <is>
          <t>Cursor / tender-response (batch)</t>
        </is>
      </c>
      <c r="Y38" t="inlineStr">
        <is>
          <t>Met</t>
        </is>
      </c>
      <c r="Z38" t="inlineStr">
        <is>
          <t>Verified</t>
        </is>
      </c>
      <c r="AA38" t="inlineStr">
        <is>
          <t>Verify: Relation mellem 
sag og Dokument — vurderet opfyldt (tool: 1. Fully met).</t>
        </is>
      </c>
      <c r="AB38" t="inlineStr"/>
      <c r="AC38" t="inlineStr">
        <is>
          <t>docs/tender-reference/extracted/KK Tender tool.txt; docs/tender-reference/extracted/KUM-SLKS/Bilag 3 - Kravspecifikation.txt; docs/tender-reference/extracted/Nationalbanken/Bilag 3.i Leverandørens Løsningsbeskrivelse.txt</t>
        </is>
      </c>
      <c r="AD38" t="inlineStr">
        <is>
          <t>Anton: Confirm verify-tekst; opdatér review status efter tjek.</t>
        </is>
      </c>
      <c r="AE38" t="inlineStr"/>
      <c r="AF38" t="inlineStr">
        <is>
          <t>Draft</t>
        </is>
      </c>
      <c r="AG38" t="inlineStr">
        <is>
          <t>uim-esdh-full-2026-07-07</t>
        </is>
      </c>
    </row>
    <row r="39" ht="32" customHeight="1">
      <c r="A39" s="35" t="n">
        <v>38</v>
      </c>
      <c r="B39" s="35" t="inlineStr">
        <is>
          <t>MK-37</t>
        </is>
      </c>
      <c r="C39" s="35" t="inlineStr">
        <is>
          <t>Bilag 1.b</t>
        </is>
      </c>
      <c r="D39" s="35" t="inlineStr">
        <is>
          <t>Dokumenter</t>
        </is>
      </c>
      <c r="E39" s="35" t="inlineStr">
        <is>
          <t>Bilag</t>
        </is>
      </c>
      <c r="F39" s="35" t="inlineStr">
        <is>
          <t>ESDH-løsningen skal understøtte, at et Hoveddokument kan have et eller flere Bilag.</t>
        </is>
      </c>
      <c r="G39" s="35" t="inlineStr">
        <is>
          <t>Mindstekrav</t>
        </is>
      </c>
      <c r="H39" s="35">
        <f>IF(G39="Evalueringskrav","Answer",(IF(G39="Krav","Check",(IF(G39="Mindstekrav","Verify","")))))</f>
        <v/>
      </c>
      <c r="I39" s="35" t="inlineStr">
        <is>
          <t>Ja</t>
        </is>
      </c>
      <c r="J39" s="35" t="n"/>
      <c r="K39" s="47" t="n"/>
      <c r="L39" s="35" t="inlineStr">
        <is>
          <t>Anton</t>
        </is>
      </c>
      <c r="M39" s="35" t="n"/>
      <c r="N39" s="35" t="n"/>
      <c r="O39" s="35" t="inlineStr">
        <is>
          <t>1. Fully met</t>
        </is>
      </c>
      <c r="P39" s="35" t="n"/>
      <c r="Q39" s="35" t="n"/>
      <c r="R39" s="35" t="n"/>
      <c r="S39" s="35" t="n"/>
      <c r="T39" s="35" t="n"/>
      <c r="U39" s="35" t="inlineStr">
        <is>
          <t>Not Started</t>
        </is>
      </c>
      <c r="V39" s="37">
        <f>IF(U39="Not Started",0%,IF(U39="Started",50%,IF(U39="Ready for review",70%,IF(U39="Reviewed - Content",80%,IF(U39="Reviewed - Format",90%,IF(U39="Done",100%,""))))))</f>
        <v/>
      </c>
      <c r="W39" t="inlineStr">
        <is>
          <t>2026-07-07</t>
        </is>
      </c>
      <c r="X39" t="inlineStr">
        <is>
          <t>Cursor / tender-response (batch)</t>
        </is>
      </c>
      <c r="Y39" t="inlineStr">
        <is>
          <t>Met</t>
        </is>
      </c>
      <c r="Z39" t="inlineStr">
        <is>
          <t>Verified</t>
        </is>
      </c>
      <c r="AA39" t="inlineStr">
        <is>
          <t>Verify: Bilag — vurderet opfyldt (tool: 1. Fully met).</t>
        </is>
      </c>
      <c r="AB39" t="inlineStr"/>
      <c r="AC39" t="inlineStr">
        <is>
          <t>docs/product/RFP_Leverandørens_svar_utdrag.txt; docs/tender-reference/extracted/KUM-SLKS/Bilag 3 - Kravspecifikation.txt; docs/tender-reference/extracted/NND/02.01-Tieto-Bilag 2-Vedlegg-Leverandørens utfyllende svar til kravtabell.txt</t>
        </is>
      </c>
      <c r="AD39" t="inlineStr">
        <is>
          <t>Anton: Confirm verify-tekst; opdatér review status efter tjek.</t>
        </is>
      </c>
      <c r="AE39" t="inlineStr"/>
      <c r="AF39" t="inlineStr">
        <is>
          <t>Draft</t>
        </is>
      </c>
      <c r="AG39" t="inlineStr">
        <is>
          <t>uim-esdh-full-2026-07-07</t>
        </is>
      </c>
    </row>
    <row r="40" ht="48" customHeight="1">
      <c r="A40" s="35" t="n">
        <v>39</v>
      </c>
      <c r="B40" s="35" t="inlineStr">
        <is>
          <t>MK-38</t>
        </is>
      </c>
      <c r="C40" s="35" t="inlineStr">
        <is>
          <t>Bilag 1.b</t>
        </is>
      </c>
      <c r="D40" s="35" t="inlineStr">
        <is>
          <t>Dokumenter</t>
        </is>
      </c>
      <c r="E40" s="35" t="inlineStr">
        <is>
          <t>Valg af Hoveddokument og Bilag</t>
        </is>
      </c>
      <c r="F40" s="35" t="inlineStr">
        <is>
          <t>ESDH-løsningen skal understøtte, at Brugeren kan vælge, hvilken Fil der skal være Hoveddokument, og hvilke Filer der skal tilknyttes som Bilag.</t>
        </is>
      </c>
      <c r="G40" s="35" t="inlineStr">
        <is>
          <t>Mindstekrav</t>
        </is>
      </c>
      <c r="H40" s="35">
        <f>IF(G40="Evalueringskrav","Answer",(IF(G40="Krav","Check",(IF(G40="Mindstekrav","Verify","")))))</f>
        <v/>
      </c>
      <c r="I40" s="35" t="inlineStr">
        <is>
          <t>Ja</t>
        </is>
      </c>
      <c r="J40" s="35" t="n"/>
      <c r="K40" s="47" t="n"/>
      <c r="L40" s="35" t="inlineStr">
        <is>
          <t>Anton</t>
        </is>
      </c>
      <c r="M40" s="35" t="n"/>
      <c r="N40" s="35" t="n"/>
      <c r="O40" s="35" t="inlineStr">
        <is>
          <t>1. Fully met</t>
        </is>
      </c>
      <c r="P40" s="35" t="n"/>
      <c r="Q40" s="35" t="n"/>
      <c r="R40" s="35" t="n"/>
      <c r="S40" s="35" t="n"/>
      <c r="T40" s="35" t="n"/>
      <c r="U40" s="35" t="inlineStr">
        <is>
          <t>Not Started</t>
        </is>
      </c>
      <c r="V40" s="37">
        <f>IF(U40="Not Started",0%,IF(U40="Started",50%,IF(U40="Ready for review",70%,IF(U40="Reviewed - Content",80%,IF(U40="Reviewed - Format",90%,IF(U40="Done",100%,""))))))</f>
        <v/>
      </c>
      <c r="W40" t="inlineStr">
        <is>
          <t>2026-07-07</t>
        </is>
      </c>
      <c r="X40" t="inlineStr">
        <is>
          <t>Cursor / tender-response (batch)</t>
        </is>
      </c>
      <c r="Y40" t="inlineStr">
        <is>
          <t>Met</t>
        </is>
      </c>
      <c r="Z40" t="inlineStr">
        <is>
          <t>Verified</t>
        </is>
      </c>
      <c r="AA40" t="inlineStr">
        <is>
          <t>Verify: Valg af Hoveddokument og Bilag — vurderet opfyldt (tool: 1. Fully met).</t>
        </is>
      </c>
      <c r="AB40" t="inlineStr"/>
      <c r="AC40" t="inlineStr">
        <is>
          <t>docs/tender-reference/extracted/KUM-SLKS/Bilag 3 - Kravspecifikation.txt; docs/tender-reference/extracted/Nationalbanken/Bilag 3.i Leverandørens Løsningsbeskrivelse.txt; docs/product/RFP_Leverandørens_svar_utdrag.txt</t>
        </is>
      </c>
      <c r="AD40" t="inlineStr">
        <is>
          <t>Anton: Confirm verify-tekst; opdatér review status efter tjek.</t>
        </is>
      </c>
      <c r="AE40" t="inlineStr"/>
      <c r="AF40" t="inlineStr">
        <is>
          <t>Draft</t>
        </is>
      </c>
      <c r="AG40" t="inlineStr">
        <is>
          <t>uim-esdh-full-2026-07-07</t>
        </is>
      </c>
    </row>
    <row r="41" ht="48" customHeight="1">
      <c r="A41" s="35" t="n">
        <v>40</v>
      </c>
      <c r="B41" s="35" t="inlineStr">
        <is>
          <t>MK-39</t>
        </is>
      </c>
      <c r="C41" s="35" t="inlineStr">
        <is>
          <t>Bilag 1.b</t>
        </is>
      </c>
      <c r="D41" s="35" t="inlineStr">
        <is>
          <t>Dokumenter</t>
        </is>
      </c>
      <c r="E41" s="35" t="inlineStr">
        <is>
          <t>Dokumentets kontakter</t>
        </is>
      </c>
      <c r="F41" s="35" t="inlineStr">
        <is>
          <t>ESDH-løsningen skal understøtte, at et indgående eller udgående Dokument kan tilknyttes en kontakt som henholdsvis afsender eller modtager på Dokumentet.</t>
        </is>
      </c>
      <c r="G41" s="35" t="inlineStr">
        <is>
          <t>Mindstekrav</t>
        </is>
      </c>
      <c r="H41" s="35">
        <f>IF(G41="Evalueringskrav","Answer",(IF(G41="Krav","Check",(IF(G41="Mindstekrav","Verify","")))))</f>
        <v/>
      </c>
      <c r="I41" s="35" t="inlineStr">
        <is>
          <t>Ja</t>
        </is>
      </c>
      <c r="J41" s="35" t="n"/>
      <c r="K41" s="47" t="n"/>
      <c r="L41" s="35" t="inlineStr">
        <is>
          <t>Anton</t>
        </is>
      </c>
      <c r="M41" s="35" t="n"/>
      <c r="N41" s="35" t="n"/>
      <c r="O41" s="35" t="inlineStr">
        <is>
          <t>1. Fully met</t>
        </is>
      </c>
      <c r="P41" s="35" t="n"/>
      <c r="Q41" s="35" t="n"/>
      <c r="R41" s="35" t="n"/>
      <c r="S41" s="35" t="n"/>
      <c r="T41" s="35" t="n"/>
      <c r="U41" s="35" t="inlineStr">
        <is>
          <t>Not Started</t>
        </is>
      </c>
      <c r="V41" s="37">
        <f>IF(U41="Not Started",0%,IF(U41="Started",50%,IF(U41="Ready for review",70%,IF(U41="Reviewed - Content",80%,IF(U41="Reviewed - Format",90%,IF(U41="Done",100%,""))))))</f>
        <v/>
      </c>
      <c r="W41" t="inlineStr">
        <is>
          <t>2026-07-07</t>
        </is>
      </c>
      <c r="X41" t="inlineStr">
        <is>
          <t>Cursor / tender-response (batch)</t>
        </is>
      </c>
      <c r="Y41" t="inlineStr">
        <is>
          <t>Met</t>
        </is>
      </c>
      <c r="Z41" t="inlineStr">
        <is>
          <t>Verified</t>
        </is>
      </c>
      <c r="AA41" t="inlineStr">
        <is>
          <t>Verify: Dokumentets kontakter — vurderet opfyldt (tool: 1. Fully met).</t>
        </is>
      </c>
      <c r="AB41" t="inlineStr"/>
      <c r="AC41" t="inlineStr">
        <is>
          <t>docs/tender-reference/extracted/Nationalbanken/Bilag 3.i Leverandørens Løsningsbeskrivelse.txt; docs/tender-reference/extracted/KUM-SLKS/Bilag 3 - Kravspecifikation.txt; docs/tender-reference/extracted/KK Tender tool.txt</t>
        </is>
      </c>
      <c r="AD41" t="inlineStr">
        <is>
          <t>Anton: Confirm verify-tekst; opdatér review status efter tjek.</t>
        </is>
      </c>
      <c r="AE41" t="inlineStr"/>
      <c r="AF41" t="inlineStr">
        <is>
          <t>Draft</t>
        </is>
      </c>
      <c r="AG41" t="inlineStr">
        <is>
          <t>uim-esdh-full-2026-07-07</t>
        </is>
      </c>
    </row>
    <row r="42" ht="48" customHeight="1">
      <c r="A42" s="35" t="n">
        <v>41</v>
      </c>
      <c r="B42" s="35" t="inlineStr">
        <is>
          <t>MK-40</t>
        </is>
      </c>
      <c r="C42" s="35" t="inlineStr">
        <is>
          <t>Bilag 1.b</t>
        </is>
      </c>
      <c r="D42" s="35" t="inlineStr">
        <is>
          <t>Dokumenter</t>
        </is>
      </c>
      <c r="E42" s="35" t="inlineStr">
        <is>
          <t>Versionsstyring</t>
        </is>
      </c>
      <c r="F42" s="35" t="inlineStr">
        <is>
          <t>ESDH-løsningen skal understøtte versionsstyring af Filer, så hver version af en Fil kan identificeres. Det skal som udgangspunkt kun være den seneste version, der kan åbnes i redigerbar tilstand.</t>
        </is>
      </c>
      <c r="G42" s="35" t="inlineStr">
        <is>
          <t>Mindstekrav</t>
        </is>
      </c>
      <c r="H42" s="35">
        <f>IF(G42="Evalueringskrav","Answer",(IF(G42="Krav","Check",(IF(G42="Mindstekrav","Verify","")))))</f>
        <v/>
      </c>
      <c r="I42" s="35" t="inlineStr">
        <is>
          <t>Ja</t>
        </is>
      </c>
      <c r="J42" s="35" t="n"/>
      <c r="K42" s="47" t="n"/>
      <c r="L42" s="35" t="inlineStr">
        <is>
          <t>Anton</t>
        </is>
      </c>
      <c r="M42" s="35" t="n"/>
      <c r="N42" s="35" t="n"/>
      <c r="O42" s="35" t="inlineStr">
        <is>
          <t>1. Fully met</t>
        </is>
      </c>
      <c r="P42" s="35" t="n"/>
      <c r="Q42" s="35" t="n"/>
      <c r="R42" s="35" t="n"/>
      <c r="S42" s="35" t="n"/>
      <c r="T42" s="35" t="n"/>
      <c r="U42" s="35" t="inlineStr">
        <is>
          <t>Not Started</t>
        </is>
      </c>
      <c r="V42" s="37">
        <f>IF(U42="Not Started",0%,IF(U42="Started",50%,IF(U42="Ready for review",70%,IF(U42="Reviewed - Content",80%,IF(U42="Reviewed - Format",90%,IF(U42="Done",100%,""))))))</f>
        <v/>
      </c>
      <c r="W42" t="inlineStr">
        <is>
          <t>2026-07-07</t>
        </is>
      </c>
      <c r="X42" t="inlineStr">
        <is>
          <t>Cursor / tender-response (batch)</t>
        </is>
      </c>
      <c r="Y42" t="inlineStr">
        <is>
          <t>Met</t>
        </is>
      </c>
      <c r="Z42" t="inlineStr">
        <is>
          <t>Verified</t>
        </is>
      </c>
      <c r="AA42" t="inlineStr">
        <is>
          <t>Verify: Versionsstyring — vurderet opfyldt (tool: 1. Fully met).</t>
        </is>
      </c>
      <c r="AB42" t="inlineStr"/>
      <c r="AC42" t="inlineStr">
        <is>
          <t>docs/tender-reference/extracted/KK Tender tool.txt; docs/tender-reference/extracted/Nationalbanken/Bilag 3.i Leverandørens Løsningsbeskrivelse.txt; docs/tender-reference/extracted/KUM-SLKS/Bilag 3 - Kravspecifikation.txt</t>
        </is>
      </c>
      <c r="AD42" t="inlineStr">
        <is>
          <t>Anton: Confirm verify-tekst; opdatér review status efter tjek.</t>
        </is>
      </c>
      <c r="AE42" t="inlineStr"/>
      <c r="AF42" t="inlineStr">
        <is>
          <t>Draft</t>
        </is>
      </c>
      <c r="AG42" t="inlineStr">
        <is>
          <t>uim-esdh-full-2026-07-07</t>
        </is>
      </c>
    </row>
    <row r="43" ht="48" customHeight="1">
      <c r="A43" s="35" t="n">
        <v>42</v>
      </c>
      <c r="B43" s="35" t="inlineStr">
        <is>
          <t>MK-41</t>
        </is>
      </c>
      <c r="C43" s="35" t="inlineStr">
        <is>
          <t>Bilag 1.b</t>
        </is>
      </c>
      <c r="D43" s="35" t="inlineStr">
        <is>
          <t>Dokumenter</t>
        </is>
      </c>
      <c r="E43" s="35" t="inlineStr">
        <is>
          <t>Genskabelse af tidligere filversion</t>
        </is>
      </c>
      <c r="F43" s="35" t="inlineStr">
        <is>
          <t>ESDH-løsningen skal understøtte, at Brugere kan genskabe en tidligere version af en Fil, så den overskriver den nyeste version. Begge versioner skal bevares i versionshistorikken.</t>
        </is>
      </c>
      <c r="G43" s="35" t="inlineStr">
        <is>
          <t>Mindstekrav</t>
        </is>
      </c>
      <c r="H43" s="35">
        <f>IF(G43="Evalueringskrav","Answer",(IF(G43="Krav","Check",(IF(G43="Mindstekrav","Verify","")))))</f>
        <v/>
      </c>
      <c r="I43" s="35" t="inlineStr">
        <is>
          <t>Ja</t>
        </is>
      </c>
      <c r="J43" s="35" t="n"/>
      <c r="K43" s="47" t="n"/>
      <c r="L43" s="35" t="inlineStr">
        <is>
          <t>Anton</t>
        </is>
      </c>
      <c r="M43" s="35" t="n"/>
      <c r="N43" s="35" t="n"/>
      <c r="O43" s="35" t="inlineStr">
        <is>
          <t>1. Fully met</t>
        </is>
      </c>
      <c r="P43" s="35" t="n"/>
      <c r="Q43" s="35" t="n"/>
      <c r="R43" s="35" t="n"/>
      <c r="S43" s="35" t="n"/>
      <c r="T43" s="35" t="n"/>
      <c r="U43" s="35" t="inlineStr">
        <is>
          <t>Not Started</t>
        </is>
      </c>
      <c r="V43" s="37">
        <f>IF(U43="Not Started",0%,IF(U43="Started",50%,IF(U43="Ready for review",70%,IF(U43="Reviewed - Content",80%,IF(U43="Reviewed - Format",90%,IF(U43="Done",100%,""))))))</f>
        <v/>
      </c>
      <c r="W43" t="inlineStr">
        <is>
          <t>2026-07-07</t>
        </is>
      </c>
      <c r="X43" t="inlineStr">
        <is>
          <t>Cursor / tender-response (batch)</t>
        </is>
      </c>
      <c r="Y43" t="inlineStr">
        <is>
          <t>Met</t>
        </is>
      </c>
      <c r="Z43" t="inlineStr">
        <is>
          <t>Verified</t>
        </is>
      </c>
      <c r="AA43" t="inlineStr">
        <is>
          <t>Verify: Genskabelse af tidligere filversion — vurderet opfyldt (tool: 1. Fully met).</t>
        </is>
      </c>
      <c r="AB43" t="inlineStr"/>
      <c r="AC43" t="inlineStr">
        <is>
          <t>docs/tender-reference/extracted/Nationalbanken/Bilag 3.i Leverandørens Løsningsbeskrivelse.txt; docs/tender-reference/extracted/KK Tender tool.txt; docs/tender-reference/extracted/KUM-SLKS/Bilag 3 - Kravspecifikation.txt</t>
        </is>
      </c>
      <c r="AD43" t="inlineStr">
        <is>
          <t>Anton: Confirm verify-tekst; opdatér review status efter tjek.</t>
        </is>
      </c>
      <c r="AE43" t="inlineStr"/>
      <c r="AF43" t="inlineStr">
        <is>
          <t>Draft</t>
        </is>
      </c>
      <c r="AG43" t="inlineStr">
        <is>
          <t>uim-esdh-full-2026-07-07</t>
        </is>
      </c>
    </row>
    <row r="44" ht="48" customHeight="1">
      <c r="A44" s="35" t="n">
        <v>43</v>
      </c>
      <c r="B44" s="35" t="inlineStr">
        <is>
          <t>MK-42</t>
        </is>
      </c>
      <c r="C44" s="35" t="inlineStr">
        <is>
          <t>Bilag 1.b</t>
        </is>
      </c>
      <c r="D44" s="35" t="inlineStr">
        <is>
          <t>Dokumenter</t>
        </is>
      </c>
      <c r="E44" s="35" t="inlineStr">
        <is>
          <t>Låsning af filversioner ved journalisering</t>
        </is>
      </c>
      <c r="F44" s="35" t="inlineStr">
        <is>
          <t>ESDH-løsningen skal understøtte, at et journaliseret Dokuments tidligere filversioner er tilgængelige i Løsningen.</t>
        </is>
      </c>
      <c r="G44" s="35" t="inlineStr">
        <is>
          <t>Mindstekrav</t>
        </is>
      </c>
      <c r="H44" s="35">
        <f>IF(G44="Evalueringskrav","Answer",(IF(G44="Krav","Check",(IF(G44="Mindstekrav","Verify","")))))</f>
        <v/>
      </c>
      <c r="I44" s="35" t="inlineStr">
        <is>
          <t>Ja</t>
        </is>
      </c>
      <c r="J44" s="35" t="n"/>
      <c r="K44" s="47" t="n"/>
      <c r="L44" s="35" t="inlineStr">
        <is>
          <t>Anton</t>
        </is>
      </c>
      <c r="M44" s="35" t="n"/>
      <c r="N44" s="35" t="n"/>
      <c r="O44" s="35" t="inlineStr">
        <is>
          <t>1. Fully met</t>
        </is>
      </c>
      <c r="P44" s="35" t="n"/>
      <c r="Q44" s="35" t="n"/>
      <c r="R44" s="35" t="n"/>
      <c r="S44" s="35" t="n"/>
      <c r="T44" s="35" t="n"/>
      <c r="U44" s="35" t="inlineStr">
        <is>
          <t>Not Started</t>
        </is>
      </c>
      <c r="V44" s="37">
        <f>IF(U44="Not Started",0%,IF(U44="Started",50%,IF(U44="Ready for review",70%,IF(U44="Reviewed - Content",80%,IF(U44="Reviewed - Format",90%,IF(U44="Done",100%,""))))))</f>
        <v/>
      </c>
      <c r="W44" t="inlineStr">
        <is>
          <t>2026-07-07</t>
        </is>
      </c>
      <c r="X44" t="inlineStr">
        <is>
          <t>Cursor / tender-response (batch)</t>
        </is>
      </c>
      <c r="Y44" t="inlineStr">
        <is>
          <t>Met</t>
        </is>
      </c>
      <c r="Z44" t="inlineStr">
        <is>
          <t>Verified</t>
        </is>
      </c>
      <c r="AA44" t="inlineStr">
        <is>
          <t>Verify: Låsning af filversioner ved journalisering — vurderet opfyldt (tool: 1. Fully met).</t>
        </is>
      </c>
      <c r="AB44" t="inlineStr"/>
      <c r="AC44" t="inlineStr">
        <is>
          <t>docs/tender-reference/extracted/KK Tender tool.txt; docs/tender-reference/extracted/KUM-SLKS/Bilag 3 - Kravspecifikation.txt; docs/tender-reference/extracted/Nationalbanken/Bilag 3.i Leverandørens Løsningsbeskrivelse.txt</t>
        </is>
      </c>
      <c r="AD44" t="inlineStr">
        <is>
          <t>Anton: Confirm verify-tekst; opdatér review status efter tjek.</t>
        </is>
      </c>
      <c r="AE44" t="inlineStr"/>
      <c r="AF44" t="inlineStr">
        <is>
          <t>Draft</t>
        </is>
      </c>
      <c r="AG44" t="inlineStr">
        <is>
          <t>uim-esdh-full-2026-07-07</t>
        </is>
      </c>
    </row>
    <row r="45" ht="48" customHeight="1">
      <c r="A45" s="35" t="n">
        <v>44</v>
      </c>
      <c r="B45" s="35" t="inlineStr">
        <is>
          <t>MK-43</t>
        </is>
      </c>
      <c r="C45" s="35" t="inlineStr">
        <is>
          <t>Bilag 1.b</t>
        </is>
      </c>
      <c r="D45" s="35" t="inlineStr">
        <is>
          <t>Dokumenter</t>
        </is>
      </c>
      <c r="E45" s="35" t="inlineStr">
        <is>
          <t>Kopi af Dokument</t>
        </is>
      </c>
      <c r="F45" s="35" t="inlineStr">
        <is>
          <t>ESDH-løsningen skal understøtte, at der kan oprettes en kopi af et eksisterende Dokument. Dokumentets tilknyttede Filer, Bilag, metadata og tilknyttede parter skal overføres til det nye Dokument.</t>
        </is>
      </c>
      <c r="G45" s="35" t="inlineStr">
        <is>
          <t>Mindstekrav</t>
        </is>
      </c>
      <c r="H45" s="35">
        <f>IF(G45="Evalueringskrav","Answer",(IF(G45="Krav","Check",(IF(G45="Mindstekrav","Verify","")))))</f>
        <v/>
      </c>
      <c r="I45" s="35" t="inlineStr">
        <is>
          <t>Ja</t>
        </is>
      </c>
      <c r="J45" s="35" t="n"/>
      <c r="K45" s="47" t="n"/>
      <c r="L45" s="35" t="inlineStr">
        <is>
          <t>Anton</t>
        </is>
      </c>
      <c r="M45" s="35" t="n"/>
      <c r="N45" s="35" t="n"/>
      <c r="O45" s="35" t="inlineStr">
        <is>
          <t>1. Fully met</t>
        </is>
      </c>
      <c r="P45" s="35" t="n"/>
      <c r="Q45" s="35" t="n"/>
      <c r="R45" s="35" t="n"/>
      <c r="S45" s="35" t="n"/>
      <c r="T45" s="35" t="n"/>
      <c r="U45" s="35" t="inlineStr">
        <is>
          <t>Not Started</t>
        </is>
      </c>
      <c r="V45" s="37">
        <f>IF(U45="Not Started",0%,IF(U45="Started",50%,IF(U45="Ready for review",70%,IF(U45="Reviewed - Content",80%,IF(U45="Reviewed - Format",90%,IF(U45="Done",100%,""))))))</f>
        <v/>
      </c>
      <c r="W45" t="inlineStr">
        <is>
          <t>2026-07-07</t>
        </is>
      </c>
      <c r="X45" t="inlineStr">
        <is>
          <t>Cursor / tender-response (batch)</t>
        </is>
      </c>
      <c r="Y45" t="inlineStr">
        <is>
          <t>Met</t>
        </is>
      </c>
      <c r="Z45" t="inlineStr">
        <is>
          <t>Verified</t>
        </is>
      </c>
      <c r="AA45" t="inlineStr">
        <is>
          <t>Verify: Kopi af Dokument — vurderet opfyldt (tool: 1. Fully met).</t>
        </is>
      </c>
      <c r="AB45" t="inlineStr"/>
      <c r="AC45" t="inlineStr">
        <is>
          <t>docs/tender-reference/extracted/Nationalbanken/Bilag 3.i Leverandørens Løsningsbeskrivelse.txt; docs/product/RFP_Leverandørens_svar_utdrag.txt; docs/tender-reference/extracted/HSØ/02.00-Tietoevry-SSA-L-Bilag 2-Leverandørens beskrivelse av Tjenesten.txt</t>
        </is>
      </c>
      <c r="AD45" t="inlineStr">
        <is>
          <t>Anton: Confirm verify-tekst; opdatér review status efter tjek.</t>
        </is>
      </c>
      <c r="AE45" t="inlineStr"/>
      <c r="AF45" t="inlineStr">
        <is>
          <t>Draft</t>
        </is>
      </c>
      <c r="AG45" t="inlineStr">
        <is>
          <t>uim-esdh-full-2026-07-07</t>
        </is>
      </c>
    </row>
    <row r="46" ht="48" customHeight="1">
      <c r="A46" s="35" t="n">
        <v>45</v>
      </c>
      <c r="B46" s="35" t="inlineStr">
        <is>
          <t>MK-44</t>
        </is>
      </c>
      <c r="C46" s="35" t="inlineStr">
        <is>
          <t>Bilag 1.b</t>
        </is>
      </c>
      <c r="D46" s="35" t="inlineStr">
        <is>
          <t>Dokumenter</t>
        </is>
      </c>
      <c r="E46" s="35" t="inlineStr">
        <is>
          <t>Omjournalisering af Dokumenter mellem sager</t>
        </is>
      </c>
      <c r="F46" s="35" t="inlineStr">
        <is>
          <t>ESDH-løsningen skal understøtte, at Dokumenter med tilknyttede Filer kan omjournaliseres fra én sag til en anden, og at det fremgår af den oprindelige sag, hvilken sag Dokumentet er omjournaliseret til.</t>
        </is>
      </c>
      <c r="G46" s="35" t="inlineStr">
        <is>
          <t>Mindstekrav</t>
        </is>
      </c>
      <c r="H46" s="35">
        <f>IF(G46="Evalueringskrav","Answer",(IF(G46="Krav","Check",(IF(G46="Mindstekrav","Verify","")))))</f>
        <v/>
      </c>
      <c r="I46" s="35" t="inlineStr">
        <is>
          <t>Ja</t>
        </is>
      </c>
      <c r="J46" s="35" t="n"/>
      <c r="K46" s="47" t="n"/>
      <c r="L46" s="35" t="inlineStr">
        <is>
          <t>Anton</t>
        </is>
      </c>
      <c r="M46" s="35" t="n"/>
      <c r="N46" s="35" t="n"/>
      <c r="O46" s="35" t="inlineStr">
        <is>
          <t>1. Fully met</t>
        </is>
      </c>
      <c r="P46" s="35" t="n"/>
      <c r="Q46" s="35" t="n"/>
      <c r="R46" s="35" t="n"/>
      <c r="S46" s="35" t="n"/>
      <c r="T46" s="35" t="n"/>
      <c r="U46" s="35" t="inlineStr">
        <is>
          <t>Not Started</t>
        </is>
      </c>
      <c r="V46" s="37">
        <f>IF(U46="Not Started",0%,IF(U46="Started",50%,IF(U46="Ready for review",70%,IF(U46="Reviewed - Content",80%,IF(U46="Reviewed - Format",90%,IF(U46="Done",100%,""))))))</f>
        <v/>
      </c>
      <c r="W46" t="inlineStr">
        <is>
          <t>2026-07-07</t>
        </is>
      </c>
      <c r="X46" t="inlineStr">
        <is>
          <t>Cursor / tender-response (batch)</t>
        </is>
      </c>
      <c r="Y46" t="inlineStr">
        <is>
          <t>Met</t>
        </is>
      </c>
      <c r="Z46" t="inlineStr">
        <is>
          <t>Verified</t>
        </is>
      </c>
      <c r="AA46" t="inlineStr">
        <is>
          <t>Verify: Omjournalisering af Dokumenter mellem sager — vurderet opfyldt (tool: 1. Fully met).</t>
        </is>
      </c>
      <c r="AB46" t="inlineStr"/>
      <c r="AC46" t="inlineStr">
        <is>
          <t>docs/tender-reference/extracted/KK Tender tool.txt; docs/tender-reference/extracted/KUM-SLKS/Bilag 3 - Kravspecifikation.txt; docs/tender-reference/extracted/Nationalbanken/Bilag 3.i Leverandørens Løsningsbeskrivelse.txt</t>
        </is>
      </c>
      <c r="AD46" t="inlineStr">
        <is>
          <t>Anton: Confirm verify-tekst; opdatér review status efter tjek.</t>
        </is>
      </c>
      <c r="AE46" t="inlineStr"/>
      <c r="AF46" t="inlineStr">
        <is>
          <t>Draft</t>
        </is>
      </c>
      <c r="AG46" t="inlineStr">
        <is>
          <t>uim-esdh-full-2026-07-07</t>
        </is>
      </c>
    </row>
    <row r="47" ht="48" customHeight="1">
      <c r="A47" s="35" t="n">
        <v>46</v>
      </c>
      <c r="B47" s="35" t="inlineStr">
        <is>
          <t>MK-45</t>
        </is>
      </c>
      <c r="C47" s="35" t="inlineStr">
        <is>
          <t>Bilag 1.b</t>
        </is>
      </c>
      <c r="D47" s="35" t="inlineStr">
        <is>
          <t>Dokumenter</t>
        </is>
      </c>
      <c r="E47" s="35" t="inlineStr">
        <is>
          <t>Beskyttelse af journaliserede Dokumenter</t>
        </is>
      </c>
      <c r="F47" s="35" t="inlineStr">
        <is>
          <t>ESDH-løsningen skal understøtte, at journaliserede Dokumenter ikke kan slettes af Brugere uden rettigheder. De skal håndteres i overensstemmelse med Løsningens slette- og bevaringsregler.</t>
        </is>
      </c>
      <c r="G47" s="35" t="inlineStr">
        <is>
          <t>Mindstekrav</t>
        </is>
      </c>
      <c r="H47" s="35">
        <f>IF(G47="Evalueringskrav","Answer",(IF(G47="Krav","Check",(IF(G47="Mindstekrav","Verify","")))))</f>
        <v/>
      </c>
      <c r="I47" s="35" t="inlineStr">
        <is>
          <t>Ja</t>
        </is>
      </c>
      <c r="J47" s="35" t="n"/>
      <c r="K47" s="47" t="n"/>
      <c r="L47" s="35" t="inlineStr">
        <is>
          <t>Anton</t>
        </is>
      </c>
      <c r="M47" s="35" t="n"/>
      <c r="N47" s="35" t="n"/>
      <c r="O47" s="35" t="inlineStr">
        <is>
          <t>1. Fully met</t>
        </is>
      </c>
      <c r="P47" s="35" t="n"/>
      <c r="Q47" s="35" t="n"/>
      <c r="R47" s="35" t="n"/>
      <c r="S47" s="35" t="n"/>
      <c r="T47" s="35" t="n"/>
      <c r="U47" s="35" t="inlineStr">
        <is>
          <t>Not Started</t>
        </is>
      </c>
      <c r="V47" s="37">
        <f>IF(U47="Not Started",0%,IF(U47="Started",50%,IF(U47="Ready for review",70%,IF(U47="Reviewed - Content",80%,IF(U47="Reviewed - Format",90%,IF(U47="Done",100%,""))))))</f>
        <v/>
      </c>
      <c r="W47" t="inlineStr">
        <is>
          <t>2026-07-07</t>
        </is>
      </c>
      <c r="X47" t="inlineStr">
        <is>
          <t>Cursor / tender-response (batch)</t>
        </is>
      </c>
      <c r="Y47" t="inlineStr">
        <is>
          <t>Met</t>
        </is>
      </c>
      <c r="Z47" t="inlineStr">
        <is>
          <t>Verified</t>
        </is>
      </c>
      <c r="AA47" t="inlineStr">
        <is>
          <t>Verify: Beskyttelse af journaliserede Dokumenter — vurderet opfyldt (tool: 1. Fully met).</t>
        </is>
      </c>
      <c r="AB47" t="inlineStr"/>
      <c r="AC47" t="inlineStr">
        <is>
          <t>docs/tender-reference/extracted/KK Tender tool.txt; docs/tender-reference/extracted/Nationalbanken/Bilag 3.i Leverandørens Løsningsbeskrivelse.txt; docs/tender-reference/extracted/HSØ/02.00-Tietoevry-SSA-L-Bilag 2-Leverandørens beskrivelse av Tjenesten.txt</t>
        </is>
      </c>
      <c r="AD47" t="inlineStr">
        <is>
          <t>Anton: Confirm verify-tekst; opdatér review status efter tjek.</t>
        </is>
      </c>
      <c r="AE47" t="inlineStr"/>
      <c r="AF47" t="inlineStr">
        <is>
          <t>Draft</t>
        </is>
      </c>
      <c r="AG47" t="inlineStr">
        <is>
          <t>uim-esdh-full-2026-07-07</t>
        </is>
      </c>
    </row>
    <row r="48" ht="64" customHeight="1">
      <c r="A48" s="35" t="n">
        <v>47</v>
      </c>
      <c r="B48" s="35" t="inlineStr">
        <is>
          <t>MK-46</t>
        </is>
      </c>
      <c r="C48" s="35" t="inlineStr">
        <is>
          <t>Bilag 1.b</t>
        </is>
      </c>
      <c r="D48" s="35" t="inlineStr">
        <is>
          <t>Dokumenter</t>
        </is>
      </c>
      <c r="E48" s="35" t="inlineStr">
        <is>
          <t>Noter</t>
        </is>
      </c>
      <c r="F48" s="35" t="inlineStr">
        <is>
          <t>ESDH-løsningen skal understøtte, at der kan oprettes noter på Dokumenter. Oplysninger om sagsbehandler, dato og klokkeslæt skal fremgå af noten. Alle Brugere med adgang til Dokumentet skal kunne se agere på noten i sagsbehandlingen.</t>
        </is>
      </c>
      <c r="G48" s="35" t="inlineStr">
        <is>
          <t>Mindstekrav</t>
        </is>
      </c>
      <c r="H48" s="35">
        <f>IF(G48="Evalueringskrav","Answer",(IF(G48="Krav","Check",(IF(G48="Mindstekrav","Verify","")))))</f>
        <v/>
      </c>
      <c r="I48" s="35" t="inlineStr">
        <is>
          <t>Ja</t>
        </is>
      </c>
      <c r="J48" s="35" t="n"/>
      <c r="K48" s="47" t="n"/>
      <c r="L48" s="35" t="inlineStr">
        <is>
          <t>Anton</t>
        </is>
      </c>
      <c r="M48" s="35" t="n"/>
      <c r="N48" s="35" t="n"/>
      <c r="O48" s="35" t="inlineStr">
        <is>
          <t>1. Fully met</t>
        </is>
      </c>
      <c r="P48" s="35" t="n"/>
      <c r="Q48" s="35" t="n"/>
      <c r="R48" s="35" t="n"/>
      <c r="S48" s="35" t="n"/>
      <c r="T48" s="35" t="n"/>
      <c r="U48" s="35" t="inlineStr">
        <is>
          <t>Not Started</t>
        </is>
      </c>
      <c r="V48" s="37">
        <f>IF(U48="Not Started",0%,IF(U48="Started",50%,IF(U48="Ready for review",70%,IF(U48="Reviewed - Content",80%,IF(U48="Reviewed - Format",90%,IF(U48="Done",100%,""))))))</f>
        <v/>
      </c>
      <c r="W48" t="inlineStr">
        <is>
          <t>2026-07-07</t>
        </is>
      </c>
      <c r="X48" t="inlineStr">
        <is>
          <t>Cursor / tender-response (batch)</t>
        </is>
      </c>
      <c r="Y48" t="inlineStr">
        <is>
          <t>Met</t>
        </is>
      </c>
      <c r="Z48" t="inlineStr">
        <is>
          <t>Verified</t>
        </is>
      </c>
      <c r="AA48" t="inlineStr">
        <is>
          <t>Verify: Noter — vurderet opfyldt (tool: 1. Fully met).</t>
        </is>
      </c>
      <c r="AB48" t="inlineStr"/>
      <c r="AC48" t="inlineStr">
        <is>
          <t>docs/tender-reference/extracted/Nationalbanken/Bilag 3.i Leverandørens Løsningsbeskrivelse.txt; docs/tender-reference/extracted/KK Tender tool.txt; docs/tender-reference/extracted/KUM-SLKS/Bilag 3 - Kravspecifikation.txt</t>
        </is>
      </c>
      <c r="AD48" t="inlineStr">
        <is>
          <t>Anton: Confirm verify-tekst; opdatér review status efter tjek.</t>
        </is>
      </c>
      <c r="AE48" t="inlineStr"/>
      <c r="AF48" t="inlineStr">
        <is>
          <t>Draft</t>
        </is>
      </c>
      <c r="AG48" t="inlineStr">
        <is>
          <t>uim-esdh-full-2026-07-07</t>
        </is>
      </c>
    </row>
    <row r="49" ht="48" customHeight="1">
      <c r="A49" s="35" t="n">
        <v>48</v>
      </c>
      <c r="B49" s="35" t="inlineStr">
        <is>
          <t>MK-47</t>
        </is>
      </c>
      <c r="C49" s="35" t="inlineStr">
        <is>
          <t>Bilag 1.b</t>
        </is>
      </c>
      <c r="D49" s="35" t="inlineStr">
        <is>
          <t>Dokumenter</t>
        </is>
      </c>
      <c r="E49" s="35" t="inlineStr">
        <is>
          <t>Dokumentets frister</t>
        </is>
      </c>
      <c r="F49" s="35" t="inlineStr">
        <is>
          <t>ESDH-løsningen skal understøtte, at der kan indsættes, rettes og fjernes frister på Dokumenter. Fristen skal som minimum bestå af en fristtype, fristdato og fristansvarlig.</t>
        </is>
      </c>
      <c r="G49" s="35" t="inlineStr">
        <is>
          <t>Mindstekrav</t>
        </is>
      </c>
      <c r="H49" s="35">
        <f>IF(G49="Evalueringskrav","Answer",(IF(G49="Krav","Check",(IF(G49="Mindstekrav","Verify","")))))</f>
        <v/>
      </c>
      <c r="I49" s="35" t="inlineStr">
        <is>
          <t>Ja</t>
        </is>
      </c>
      <c r="J49" s="35" t="n"/>
      <c r="K49" s="47" t="n"/>
      <c r="L49" s="35" t="inlineStr">
        <is>
          <t>Anton</t>
        </is>
      </c>
      <c r="M49" s="35" t="n"/>
      <c r="N49" s="35" t="n"/>
      <c r="O49" s="35" t="inlineStr">
        <is>
          <t>1. Fully met</t>
        </is>
      </c>
      <c r="P49" s="35" t="n"/>
      <c r="Q49" s="35" t="n"/>
      <c r="R49" s="35" t="n"/>
      <c r="S49" s="35" t="n"/>
      <c r="T49" s="35" t="n"/>
      <c r="U49" s="35" t="inlineStr">
        <is>
          <t>Not Started</t>
        </is>
      </c>
      <c r="V49" s="37">
        <f>IF(U49="Not Started",0%,IF(U49="Started",50%,IF(U49="Ready for review",70%,IF(U49="Reviewed - Content",80%,IF(U49="Reviewed - Format",90%,IF(U49="Done",100%,""))))))</f>
        <v/>
      </c>
      <c r="W49" t="inlineStr">
        <is>
          <t>2026-07-07</t>
        </is>
      </c>
      <c r="X49" t="inlineStr">
        <is>
          <t>Cursor / tender-response (batch)</t>
        </is>
      </c>
      <c r="Y49" t="inlineStr">
        <is>
          <t>Met</t>
        </is>
      </c>
      <c r="Z49" t="inlineStr">
        <is>
          <t>Verified</t>
        </is>
      </c>
      <c r="AA49" t="inlineStr">
        <is>
          <t>Verify: Dokumentets frister — vurderet opfyldt (tool: 1. Fully met).</t>
        </is>
      </c>
      <c r="AB49" t="inlineStr"/>
      <c r="AC49" t="inlineStr">
        <is>
          <t>docs/tender-reference/extracted/Nationalbanken/Bilag 3.i Leverandørens Løsningsbeskrivelse.txt; docs/tender-reference/extracted/NND/02.01-Tieto-Bilag 2-Vedlegg-Leverandørens utfyllende svar til kravtabell.txt; docs/product/RFP_Leverandørens_svar_utdrag.txt</t>
        </is>
      </c>
      <c r="AD49" t="inlineStr">
        <is>
          <t>Anton: Confirm verify-tekst; opdatér review status efter tjek.</t>
        </is>
      </c>
      <c r="AE49" t="inlineStr"/>
      <c r="AF49" t="inlineStr">
        <is>
          <t>Draft</t>
        </is>
      </c>
      <c r="AG49" t="inlineStr">
        <is>
          <t>uim-esdh-full-2026-07-07</t>
        </is>
      </c>
    </row>
    <row r="50" ht="32" customHeight="1">
      <c r="A50" s="35" t="n">
        <v>49</v>
      </c>
      <c r="B50" s="35" t="inlineStr">
        <is>
          <t>MK-48</t>
        </is>
      </c>
      <c r="C50" s="35" t="inlineStr">
        <is>
          <t>Bilag 1.b</t>
        </is>
      </c>
      <c r="D50" s="35" t="inlineStr">
        <is>
          <t>Dokumenter</t>
        </is>
      </c>
      <c r="E50" s="35" t="inlineStr">
        <is>
          <t>Afdelingsspecifikke frister</t>
        </is>
      </c>
      <c r="F50" s="35" t="inlineStr">
        <is>
          <t>ESDH-løsningen skal understøtte, at Brugere kan indsætte, rette og fjerne én eller flere afdelingsspecifikke frister på Dokumenter.</t>
        </is>
      </c>
      <c r="G50" s="35" t="inlineStr">
        <is>
          <t>Mindstekrav</t>
        </is>
      </c>
      <c r="H50" s="35">
        <f>IF(G50="Evalueringskrav","Answer",(IF(G50="Krav","Check",(IF(G50="Mindstekrav","Verify","")))))</f>
        <v/>
      </c>
      <c r="I50" s="35" t="inlineStr">
        <is>
          <t>Ja</t>
        </is>
      </c>
      <c r="J50" s="35" t="n"/>
      <c r="K50" s="47" t="n"/>
      <c r="L50" s="35" t="inlineStr">
        <is>
          <t>Anton</t>
        </is>
      </c>
      <c r="M50" s="35" t="n"/>
      <c r="N50" s="35" t="n"/>
      <c r="O50" s="35" t="inlineStr">
        <is>
          <t>1. Fully met</t>
        </is>
      </c>
      <c r="P50" s="35" t="n"/>
      <c r="Q50" s="35" t="n"/>
      <c r="R50" s="35" t="n"/>
      <c r="S50" s="35" t="n"/>
      <c r="T50" s="35" t="n"/>
      <c r="U50" s="35" t="inlineStr">
        <is>
          <t>Not Started</t>
        </is>
      </c>
      <c r="V50" s="37">
        <f>IF(U50="Not Started",0%,IF(U50="Started",50%,IF(U50="Ready for review",70%,IF(U50="Reviewed - Content",80%,IF(U50="Reviewed - Format",90%,IF(U50="Done",100%,""))))))</f>
        <v/>
      </c>
      <c r="W50" t="inlineStr">
        <is>
          <t>2026-07-07</t>
        </is>
      </c>
      <c r="X50" t="inlineStr">
        <is>
          <t>Cursor / tender-response (batch)</t>
        </is>
      </c>
      <c r="Y50" t="inlineStr">
        <is>
          <t>Met</t>
        </is>
      </c>
      <c r="Z50" t="inlineStr">
        <is>
          <t>Verified</t>
        </is>
      </c>
      <c r="AA50" t="inlineStr">
        <is>
          <t>Verify: Afdelingsspecifikke frister — vurderet opfyldt (tool: 1. Fully met).</t>
        </is>
      </c>
      <c r="AB50" t="inlineStr"/>
      <c r="AC50" t="inlineStr">
        <is>
          <t>docs/tender-reference/extracted/KUM-SLKS/Bilag 3 - Kravspecifikation.txt; docs/tender-reference/extracted/Nationalbanken/Bilag 3.i Leverandørens Løsningsbeskrivelse.txt; docs/tender-reference/extracted/KK Tender tool.txt</t>
        </is>
      </c>
      <c r="AD50" t="inlineStr">
        <is>
          <t>Anton: Confirm verify-tekst; opdatér review status efter tjek.</t>
        </is>
      </c>
      <c r="AE50" t="inlineStr"/>
      <c r="AF50" t="inlineStr">
        <is>
          <t>Draft</t>
        </is>
      </c>
      <c r="AG50" t="inlineStr">
        <is>
          <t>uim-esdh-full-2026-07-07</t>
        </is>
      </c>
    </row>
    <row r="51" ht="80" customHeight="1">
      <c r="A51" s="35" t="n">
        <v>50</v>
      </c>
      <c r="B51" s="35" t="inlineStr">
        <is>
          <t>MK-49</t>
        </is>
      </c>
      <c r="C51" s="35" t="inlineStr">
        <is>
          <t>Bilag 1.b</t>
        </is>
      </c>
      <c r="D51" s="35" t="inlineStr">
        <is>
          <t>Dokumenter</t>
        </is>
      </c>
      <c r="E51" s="35" t="inlineStr">
        <is>
          <t>Integreret viewer</t>
        </is>
      </c>
      <c r="F51" s="35"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G51" s="35" t="inlineStr">
        <is>
          <t>Mindstekrav</t>
        </is>
      </c>
      <c r="H51" s="35">
        <f>IF(G51="Evalueringskrav","Answer",(IF(G51="Krav","Check",(IF(G51="Mindstekrav","Verify","")))))</f>
        <v/>
      </c>
      <c r="I51" s="35" t="inlineStr">
        <is>
          <t>Ja</t>
        </is>
      </c>
      <c r="J51" s="35" t="n"/>
      <c r="K51" s="47" t="n"/>
      <c r="L51" s="35" t="inlineStr">
        <is>
          <t>Eva</t>
        </is>
      </c>
      <c r="M51" s="35" t="n"/>
      <c r="N51" s="35" t="inlineStr">
        <is>
          <t>Fileviewer</t>
        </is>
      </c>
      <c r="O51" s="35" t="inlineStr">
        <is>
          <t>1. Fully met</t>
        </is>
      </c>
      <c r="P51" s="35" t="inlineStr">
        <is>
          <t>ADN: ”Direkte” er problematisk, hvis det forbyder os fra et nyt vindue.</t>
        </is>
      </c>
      <c r="Q51" s="35" t="n"/>
      <c r="R51" s="35" t="n"/>
      <c r="S51" s="35" t="n"/>
      <c r="T51" s="35" t="n"/>
      <c r="U51" s="35" t="inlineStr">
        <is>
          <t>Not Started</t>
        </is>
      </c>
      <c r="V51" s="37">
        <f>IF(U51="Not Started",0%,IF(U51="Started",50%,IF(U51="Ready for review",70%,IF(U51="Reviewed - Content",80%,IF(U51="Reviewed - Format",90%,IF(U51="Done",100%,""))))))</f>
        <v/>
      </c>
      <c r="W51" t="inlineStr">
        <is>
          <t>2026-07-07</t>
        </is>
      </c>
      <c r="X51" t="inlineStr">
        <is>
          <t>Cursor / tender-response (MCP-enriched)</t>
        </is>
      </c>
      <c r="Y51" t="inlineStr">
        <is>
          <t>Met</t>
        </is>
      </c>
      <c r="Z51" t="inlineStr">
        <is>
          <t>Verified</t>
        </is>
      </c>
      <c r="AA51" t="inlineStr">
        <is>
          <t>Verify: Integreret viewer — vurderet opfyldt (tool: 1. Fully met).</t>
        </is>
      </c>
      <c r="AB51" t="inlineStr">
        <is>
          <t>ADN: ”Direkte” er problematisk, hvis det forbyder os fra et nyt vindue. | Red flag: ”Direkte” er problematisk, hvis det forbyder os fra et nyt vindue.</t>
        </is>
      </c>
      <c r="AC51" t="inlineStr">
        <is>
          <t>Ratatoskr: 360° File Viewer (incl Prizm) (release); File (admin-en) | Wiki: Overview of PDF functionality in 360; 6.0 release information</t>
        </is>
      </c>
      <c r="AD51" t="inlineStr">
        <is>
          <t>Eva: Confirm verify-tekst; opdatér review status efter tjek.</t>
        </is>
      </c>
      <c r="AE51" t="inlineStr"/>
      <c r="AF51" t="inlineStr">
        <is>
          <t>Draft</t>
        </is>
      </c>
      <c r="AG51" t="inlineStr">
        <is>
          <t>uim-esdh-full-2026-07-07</t>
        </is>
      </c>
    </row>
    <row r="52" ht="112" customHeight="1">
      <c r="A52" s="35" t="n">
        <v>51</v>
      </c>
      <c r="B52" s="35" t="inlineStr">
        <is>
          <t>MK-50</t>
        </is>
      </c>
      <c r="C52" s="35" t="inlineStr">
        <is>
          <t>Bilag 1.b</t>
        </is>
      </c>
      <c r="D52" s="35" t="inlineStr">
        <is>
          <t>Dokumenter</t>
        </is>
      </c>
      <c r="E52" s="35" t="inlineStr">
        <is>
          <t>Navigation og scrolling i dokumentlister</t>
        </is>
      </c>
      <c r="F52" s="35" t="inlineStr">
        <is>
          <t>ESDH-løsningen skal understøtte, at Brugeren kan navigere og scrolle i dokument- og fillistevisninger, og at forhåndsvisningen automatisk opdateres og viser det Dokument/Fil, som Brugeren har navigeret til.</t>
        </is>
      </c>
      <c r="G52" s="35" t="inlineStr">
        <is>
          <t>Mindstekrav</t>
        </is>
      </c>
      <c r="H52" s="35">
        <f>IF(G52="Evalueringskrav","Answer",(IF(G52="Krav","Check",(IF(G52="Mindstekrav","Verify","")))))</f>
        <v/>
      </c>
      <c r="I52" s="35" t="inlineStr">
        <is>
          <t>Ja</t>
        </is>
      </c>
      <c r="J52" s="35" t="n"/>
      <c r="K52" s="47" t="n"/>
      <c r="L52" s="35" t="inlineStr">
        <is>
          <t>Hans</t>
        </is>
      </c>
      <c r="M52" s="35" t="n"/>
      <c r="N52" s="35" t="n"/>
      <c r="O52" s="35" t="inlineStr">
        <is>
          <t>3. Not able to meet</t>
        </is>
      </c>
      <c r="P52" s="35" t="inlineStr">
        <is>
          <t>ADN Vores forhåndsvisning ”opdateres ikke automatisk”. Kræver aktivt klik på det dokument/fil der ønskes forhåndsvist.
"Navigeret til," kan det tolkes til at brugeren foretager et aktivt klik?
ADN: ask question</t>
        </is>
      </c>
      <c r="Q52" s="35" t="n"/>
      <c r="R52" s="35" t="n"/>
      <c r="S52" s="35" t="n"/>
      <c r="T52" s="35" t="n"/>
      <c r="U52" s="35" t="inlineStr">
        <is>
          <t>Not Started</t>
        </is>
      </c>
      <c r="V52" s="37">
        <f>IF(U52="Not Started",0%,IF(U52="Started",50%,IF(U52="Ready for review",70%,IF(U52="Reviewed - Content",80%,IF(U52="Reviewed - Format",90%,IF(U52="Done",100%,""))))))</f>
        <v/>
      </c>
      <c r="W52" t="inlineStr">
        <is>
          <t>2026-07-07</t>
        </is>
      </c>
      <c r="X52" t="inlineStr">
        <is>
          <t>Cursor / tender-response (MCP-enriched)</t>
        </is>
      </c>
      <c r="Y52" t="inlineStr">
        <is>
          <t>Not met</t>
        </is>
      </c>
      <c r="Z52" t="inlineStr">
        <is>
          <t>Lead</t>
        </is>
      </c>
      <c r="AA52" t="inlineStr">
        <is>
          <t>Verify: Navigation og scrolling i dokumentlister — gap ift. kravtekst; eskalér commitment eller afklaring.</t>
        </is>
      </c>
      <c r="AB52" t="inlineStr">
        <is>
          <t>ADN Vores forhåndsvisning ”opdateres ikke automatisk”. Kræver aktivt klik på det dokument/fil der ønskes forhåndsvist.
"Navigeret til," kan det tolkes til at brugeren foretager et aktivt klik?
ADN: ask question | Red flag: Vores forhåndsvisning ”opdateres ikke automatisk”. Kræver aktivt klik på det dokument/fil der ønskes forhåndsvist.</t>
        </is>
      </c>
      <c r="AC52" t="inlineStr">
        <is>
          <t>Wiki: 6.5 release information</t>
        </is>
      </c>
      <c r="AD52" t="inlineStr">
        <is>
          <t>Hans: Commitment/no-bid beslutning; overvej Q&amp;A til ordregiver.</t>
        </is>
      </c>
      <c r="AE52" t="inlineStr"/>
      <c r="AF52" t="inlineStr">
        <is>
          <t>Draft</t>
        </is>
      </c>
      <c r="AG52" t="inlineStr">
        <is>
          <t>uim-esdh-full-2026-07-07</t>
        </is>
      </c>
    </row>
    <row r="53" ht="48" customHeight="1">
      <c r="A53" s="35" t="n">
        <v>52</v>
      </c>
      <c r="B53" s="35" t="inlineStr">
        <is>
          <t>MK-51</t>
        </is>
      </c>
      <c r="C53" s="35" t="inlineStr">
        <is>
          <t>Bilag 1.b</t>
        </is>
      </c>
      <c r="D53" s="35" t="inlineStr">
        <is>
          <t>Dokumenter</t>
        </is>
      </c>
      <c r="E53" s="35" t="inlineStr">
        <is>
          <t>Konvertering til PDF</t>
        </is>
      </c>
      <c r="F53" s="35" t="inlineStr">
        <is>
          <t>ESDH-løsningen skal understøtte, at alle Dokumenter automatisk kan blive konverteret til PDF-format, med undtagelse af medie- og eksekverbare filer.</t>
        </is>
      </c>
      <c r="G53" s="35" t="inlineStr">
        <is>
          <t>Mindstekrav</t>
        </is>
      </c>
      <c r="H53" s="35">
        <f>IF(G53="Evalueringskrav","Answer",(IF(G53="Krav","Check",(IF(G53="Mindstekrav","Verify","")))))</f>
        <v/>
      </c>
      <c r="I53" s="35" t="inlineStr">
        <is>
          <t>Ja</t>
        </is>
      </c>
      <c r="J53" s="35" t="n"/>
      <c r="K53" s="47" t="n"/>
      <c r="L53" s="35" t="inlineStr">
        <is>
          <t>Anton</t>
        </is>
      </c>
      <c r="M53" s="35" t="n"/>
      <c r="N53" s="35" t="n"/>
      <c r="O53" s="35" t="inlineStr">
        <is>
          <t>1. Fully met</t>
        </is>
      </c>
      <c r="P53" s="35" t="inlineStr">
        <is>
          <t>ADN: "Kan blive" kræver ikke at vi faktisk gør det</t>
        </is>
      </c>
      <c r="Q53" s="35" t="n"/>
      <c r="R53" s="35" t="n"/>
      <c r="S53" s="35" t="n"/>
      <c r="T53" s="35" t="n"/>
      <c r="U53" s="35" t="inlineStr">
        <is>
          <t>Not Started</t>
        </is>
      </c>
      <c r="V53" s="37">
        <f>IF(U53="Not Started",0%,IF(U53="Started",50%,IF(U53="Ready for review",70%,IF(U53="Reviewed - Content",80%,IF(U53="Reviewed - Format",90%,IF(U53="Done",100%,""))))))</f>
        <v/>
      </c>
      <c r="W53" t="inlineStr">
        <is>
          <t>2026-07-07</t>
        </is>
      </c>
      <c r="X53" t="inlineStr">
        <is>
          <t>Cursor / tender-response (batch)</t>
        </is>
      </c>
      <c r="Y53" t="inlineStr">
        <is>
          <t>Met</t>
        </is>
      </c>
      <c r="Z53" t="inlineStr">
        <is>
          <t>Verified</t>
        </is>
      </c>
      <c r="AA53" t="inlineStr">
        <is>
          <t>Verify: Konvertering til PDF — vurderet opfyldt (tool: 1. Fully met).</t>
        </is>
      </c>
      <c r="AB53" t="inlineStr">
        <is>
          <t>ADN: "Kan blive" kræver ikke at vi faktisk gør det</t>
        </is>
      </c>
      <c r="AC53" t="inlineStr">
        <is>
          <t>docs/tender-reference/extracted/KK Tender tool.txt; docs/tender-reference/extracted/Nationalbanken/Underbilag 6B - Testplan og Leverandørens prøveprincipper, metoder og -værktøjer (1).txt; docs/tender-reference/extracted/HSØ/02.00-Tietoevry-SSA-L-Bilag 2-Leverandørens beskrivelse av Tjenesten.txt</t>
        </is>
      </c>
      <c r="AD53" t="inlineStr">
        <is>
          <t>Anton: Confirm verify-tekst; opdatér review status efter tjek.</t>
        </is>
      </c>
      <c r="AE53" t="inlineStr"/>
      <c r="AF53" t="inlineStr">
        <is>
          <t>Draft</t>
        </is>
      </c>
      <c r="AG53" t="inlineStr">
        <is>
          <t>uim-esdh-full-2026-07-07</t>
        </is>
      </c>
    </row>
    <row r="54" ht="32" customHeight="1">
      <c r="A54" s="35" t="n">
        <v>53</v>
      </c>
      <c r="B54" s="35" t="inlineStr">
        <is>
          <t>MK-52</t>
        </is>
      </c>
      <c r="C54" s="35" t="inlineStr">
        <is>
          <t>Bilag 1.b</t>
        </is>
      </c>
      <c r="D54" s="35" t="inlineStr">
        <is>
          <t>Dokumenter</t>
        </is>
      </c>
      <c r="E54" s="35" t="inlineStr">
        <is>
          <t>Filtyper</t>
        </is>
      </c>
      <c r="F54" s="35" t="inlineStr">
        <is>
          <t>ESDH-løsningen skal understøtte, at alle filtyper må gemmes i ESDH-løsningen.</t>
        </is>
      </c>
      <c r="G54" s="35" t="inlineStr">
        <is>
          <t>Mindstekrav</t>
        </is>
      </c>
      <c r="H54" s="35">
        <f>IF(G54="Evalueringskrav","Answer",(IF(G54="Krav","Check",(IF(G54="Mindstekrav","Verify","")))))</f>
        <v/>
      </c>
      <c r="I54" s="35" t="inlineStr">
        <is>
          <t>Ja</t>
        </is>
      </c>
      <c r="J54" s="35" t="n"/>
      <c r="K54" s="47" t="n"/>
      <c r="L54" s="35" t="inlineStr">
        <is>
          <t>Anton</t>
        </is>
      </c>
      <c r="M54" s="35" t="n"/>
      <c r="N54" s="35" t="n"/>
      <c r="O54" s="35" t="inlineStr">
        <is>
          <t>1. Fully met</t>
        </is>
      </c>
      <c r="P54" s="35" t="n"/>
      <c r="Q54" s="35" t="n"/>
      <c r="R54" s="35" t="n"/>
      <c r="S54" s="35" t="n"/>
      <c r="T54" s="35" t="n"/>
      <c r="U54" s="35" t="inlineStr">
        <is>
          <t>Not Started</t>
        </is>
      </c>
      <c r="V54" s="37">
        <f>IF(U54="Not Started",0%,IF(U54="Started",50%,IF(U54="Ready for review",70%,IF(U54="Reviewed - Content",80%,IF(U54="Reviewed - Format",90%,IF(U54="Done",100%,""))))))</f>
        <v/>
      </c>
      <c r="W54" t="inlineStr">
        <is>
          <t>2026-07-07</t>
        </is>
      </c>
      <c r="X54" t="inlineStr">
        <is>
          <t>Cursor / tender-response (batch)</t>
        </is>
      </c>
      <c r="Y54" t="inlineStr">
        <is>
          <t>Met</t>
        </is>
      </c>
      <c r="Z54" t="inlineStr">
        <is>
          <t>Verified</t>
        </is>
      </c>
      <c r="AA54" t="inlineStr">
        <is>
          <t>Verify: Filtyper — vurderet opfyldt (tool: 1. Fully met).</t>
        </is>
      </c>
      <c r="AB54" t="inlineStr"/>
      <c r="AC54" t="inlineStr">
        <is>
          <t>docs/tender-reference/extracted/KK Tender tool.txt; docs/tender-reference/extracted/Nationalbanken/Bilag 3.i Leverandørens Løsningsbeskrivelse.txt; docs/tender-reference/extracted/HSØ/02.00-Tietoevry-SSA-L-Bilag 2-Leverandørens beskrivelse av Tjenesten.txt</t>
        </is>
      </c>
      <c r="AD54" t="inlineStr">
        <is>
          <t>Anton: Confirm verify-tekst; opdatér review status efter tjek.</t>
        </is>
      </c>
      <c r="AE54" t="inlineStr"/>
      <c r="AF54" t="inlineStr">
        <is>
          <t>Draft</t>
        </is>
      </c>
      <c r="AG54" t="inlineStr">
        <is>
          <t>uim-esdh-full-2026-07-07</t>
        </is>
      </c>
    </row>
    <row r="55" ht="48" customHeight="1">
      <c r="A55" s="35" t="n">
        <v>54</v>
      </c>
      <c r="B55" s="35" t="inlineStr">
        <is>
          <t>K-2</t>
        </is>
      </c>
      <c r="C55" s="35" t="inlineStr">
        <is>
          <t>Bilag 1.b</t>
        </is>
      </c>
      <c r="D55" s="35" t="inlineStr">
        <is>
          <t>Dokumenter</t>
        </is>
      </c>
      <c r="E55" s="35" t="inlineStr">
        <is>
          <t>Dokumenttilføjelse via træk-og-slip</t>
        </is>
      </c>
      <c r="F55" s="35" t="inlineStr">
        <is>
          <t>ESDH-løsningen skal understøtte, at Brugere kan trække og slippe Dokumenter direkte fra e-mailklienter og stifinder til relevante sager.</t>
        </is>
      </c>
      <c r="G55" s="35" t="inlineStr">
        <is>
          <t>Krav</t>
        </is>
      </c>
      <c r="H55" s="35">
        <f>IF(G55="Evalueringskrav","Answer",(IF(G55="Krav","Check",(IF(G55="Mindstekrav","Verify","")))))</f>
        <v/>
      </c>
      <c r="I55" s="35" t="inlineStr">
        <is>
          <t>Ja</t>
        </is>
      </c>
      <c r="J55" s="35" t="n"/>
      <c r="K55" s="47" t="n"/>
      <c r="L55" s="35" t="inlineStr">
        <is>
          <t>Anton</t>
        </is>
      </c>
      <c r="M55" s="35" t="n"/>
      <c r="N55" s="35" t="n"/>
      <c r="O55" s="35" t="inlineStr">
        <is>
          <t>1. Fully met</t>
        </is>
      </c>
      <c r="P55" s="35" t="n"/>
      <c r="Q55" s="35" t="n"/>
      <c r="R55" s="35" t="n"/>
      <c r="S55" s="35" t="n"/>
      <c r="T55" s="35" t="n"/>
      <c r="U55" s="35" t="inlineStr">
        <is>
          <t>Not Started</t>
        </is>
      </c>
      <c r="V55" s="37">
        <f>IF(U55="Not Started",0%,IF(U55="Started",50%,IF(U55="Ready for review",70%,IF(U55="Reviewed - Content",80%,IF(U55="Reviewed - Format",90%,IF(U55="Done",100%,""))))))</f>
        <v/>
      </c>
      <c r="W55" t="inlineStr">
        <is>
          <t>2026-07-07</t>
        </is>
      </c>
      <c r="X55" t="inlineStr">
        <is>
          <t>Cursor / tender-response (batch)</t>
        </is>
      </c>
      <c r="Y55" t="inlineStr">
        <is>
          <t>Met</t>
        </is>
      </c>
      <c r="Z55" t="inlineStr">
        <is>
          <t>Verified</t>
        </is>
      </c>
      <c r="AA55" t="inlineStr">
        <is>
          <t>Check: Dokumenttilføjelse via træk-og-slip — vurderet opfyldt (tool: 1. Fully met).</t>
        </is>
      </c>
      <c r="AB55" t="inlineStr"/>
      <c r="AC55" t="inlineStr">
        <is>
          <t>docs/tender-reference/extracted/Nationalbanken/Bilag 3.i Leverandørens Løsningsbeskrivelse.txt; docs/tender-reference/extracted/KK Tender tool.txt; docs/tender-reference/extracted/KUM-SLKS/Bilag 3 - Kravspecifikation.txt</t>
        </is>
      </c>
      <c r="AD55" t="inlineStr">
        <is>
          <t>Anton: Confirm verify-tekst; opdatér review status efter tjek.</t>
        </is>
      </c>
      <c r="AE55" t="inlineStr"/>
      <c r="AF55" t="inlineStr">
        <is>
          <t>Draft</t>
        </is>
      </c>
      <c r="AG55" t="inlineStr">
        <is>
          <t>uim-esdh-full-2026-07-07</t>
        </is>
      </c>
    </row>
    <row r="56" ht="64" customHeight="1">
      <c r="A56" s="35" t="n">
        <v>55</v>
      </c>
      <c r="B56" s="35" t="inlineStr">
        <is>
          <t>K-3</t>
        </is>
      </c>
      <c r="C56" s="35" t="inlineStr">
        <is>
          <t>Bilag 1.b</t>
        </is>
      </c>
      <c r="D56" s="35" t="inlineStr">
        <is>
          <t>Dokumenter</t>
        </is>
      </c>
      <c r="E56" s="35" t="inlineStr">
        <is>
          <t>Liste over Dokumenter, der ikke kan PDF-konverteres</t>
        </is>
      </c>
      <c r="F56" s="35" t="inlineStr">
        <is>
          <t>ESDH-løsningen skal understøtte, at der i ESDH-løsningen kan præsenteres en standardliste over alle Dokumenter, hvor konverteringen til PDF-format er mislykket.</t>
        </is>
      </c>
      <c r="G56" s="35" t="inlineStr">
        <is>
          <t>Krav</t>
        </is>
      </c>
      <c r="H56" s="35">
        <f>IF(G56="Evalueringskrav","Answer",(IF(G56="Krav","Check",(IF(G56="Mindstekrav","Verify","")))))</f>
        <v/>
      </c>
      <c r="I56" s="35" t="inlineStr">
        <is>
          <t>Ja</t>
        </is>
      </c>
      <c r="J56" s="35" t="n"/>
      <c r="K56" s="47" t="n"/>
      <c r="L56" s="35" t="inlineStr">
        <is>
          <t>Anton</t>
        </is>
      </c>
      <c r="M56" s="35" t="n"/>
      <c r="N56" s="35" t="n"/>
      <c r="O56" s="35" t="inlineStr">
        <is>
          <t>1. Fully met</t>
        </is>
      </c>
      <c r="P56" s="35" t="n"/>
      <c r="Q56" s="35" t="n"/>
      <c r="R56" s="35" t="n"/>
      <c r="S56" s="35" t="n"/>
      <c r="T56" s="35" t="n"/>
      <c r="U56" s="35" t="inlineStr">
        <is>
          <t>Not Started</t>
        </is>
      </c>
      <c r="V56" s="37">
        <f>IF(U56="Not Started",0%,IF(U56="Started",50%,IF(U56="Ready for review",70%,IF(U56="Reviewed - Content",80%,IF(U56="Reviewed - Format",90%,IF(U56="Done",100%,""))))))</f>
        <v/>
      </c>
      <c r="W56" t="inlineStr">
        <is>
          <t>2026-07-07</t>
        </is>
      </c>
      <c r="X56" t="inlineStr">
        <is>
          <t>Cursor / tender-response (batch)</t>
        </is>
      </c>
      <c r="Y56" t="inlineStr">
        <is>
          <t>Met</t>
        </is>
      </c>
      <c r="Z56" t="inlineStr">
        <is>
          <t>Verified</t>
        </is>
      </c>
      <c r="AA56" t="inlineStr">
        <is>
          <t>Check: Liste over Dokumenter, der ikke kan PDF-konverteres — vurderet opfyldt (tool: 1. Fully met).</t>
        </is>
      </c>
      <c r="AB56" t="inlineStr"/>
      <c r="AC56" t="inlineStr">
        <is>
          <t>docs/tender-reference/extracted/Nationalbanken/Underbilag 6B - Testplan og Leverandørens prøveprincipper, metoder og -værktøjer (1).txt; docs/tender-reference/extracted/KK Tender tool.txt; docs/tender-reference/extracted/NND/02.01-Tieto-Bilag 2-Vedlegg-Leverandørens utfyllende svar til kravtabell.txt</t>
        </is>
      </c>
      <c r="AD56" t="inlineStr">
        <is>
          <t>Anton: Confirm verify-tekst; opdatér review status efter tjek.</t>
        </is>
      </c>
      <c r="AE56" t="inlineStr"/>
      <c r="AF56" t="inlineStr">
        <is>
          <t>Draft</t>
        </is>
      </c>
      <c r="AG56" t="inlineStr">
        <is>
          <t>uim-esdh-full-2026-07-07</t>
        </is>
      </c>
    </row>
    <row r="57" ht="32" customHeight="1">
      <c r="A57" s="35" t="n">
        <v>56</v>
      </c>
      <c r="B57" s="35" t="inlineStr">
        <is>
          <t>MK-53</t>
        </is>
      </c>
      <c r="C57" s="35" t="inlineStr">
        <is>
          <t>Bilag 1.b</t>
        </is>
      </c>
      <c r="D57" s="35" t="inlineStr">
        <is>
          <t>Kontakter</t>
        </is>
      </c>
      <c r="E57" s="35" t="inlineStr">
        <is>
          <t>Oprettelse af kontakter</t>
        </is>
      </c>
      <c r="F57" s="35" t="inlineStr">
        <is>
          <t>ESDH-løsningen skal understøtte oprettelse af kontakter med metadata i et kontaktregister.</t>
        </is>
      </c>
      <c r="G57" s="35" t="inlineStr">
        <is>
          <t>Mindstekrav</t>
        </is>
      </c>
      <c r="H57" s="35">
        <f>IF(G57="Evalueringskrav","Answer",(IF(G57="Krav","Check",(IF(G57="Mindstekrav","Verify","")))))</f>
        <v/>
      </c>
      <c r="I57" s="35" t="inlineStr">
        <is>
          <t>Ja</t>
        </is>
      </c>
      <c r="J57" s="35" t="n"/>
      <c r="K57" s="47" t="n"/>
      <c r="L57" s="35" t="inlineStr">
        <is>
          <t>Anton</t>
        </is>
      </c>
      <c r="M57" s="35" t="n"/>
      <c r="N57" s="35" t="n"/>
      <c r="O57" s="35" t="inlineStr">
        <is>
          <t>1. Fully met</t>
        </is>
      </c>
      <c r="P57" s="35" t="n"/>
      <c r="Q57" s="35" t="n"/>
      <c r="R57" s="35" t="n"/>
      <c r="S57" s="35" t="n"/>
      <c r="T57" s="35" t="n"/>
      <c r="U57" s="35" t="inlineStr">
        <is>
          <t>Not Started</t>
        </is>
      </c>
      <c r="V57" s="37">
        <f>IF(U57="Not Started",0%,IF(U57="Started",50%,IF(U57="Ready for review",70%,IF(U57="Reviewed - Content",80%,IF(U57="Reviewed - Format",90%,IF(U57="Done",100%,""))))))</f>
        <v/>
      </c>
      <c r="W57" t="inlineStr">
        <is>
          <t>2026-07-07</t>
        </is>
      </c>
      <c r="X57" t="inlineStr">
        <is>
          <t>Cursor / tender-response (batch)</t>
        </is>
      </c>
      <c r="Y57" t="inlineStr">
        <is>
          <t>Met</t>
        </is>
      </c>
      <c r="Z57" t="inlineStr">
        <is>
          <t>Verified</t>
        </is>
      </c>
      <c r="AA57" t="inlineStr">
        <is>
          <t>Verify: Oprettelse af kontakter — vurderet opfyldt (tool: 1. Fully met).</t>
        </is>
      </c>
      <c r="AB57" t="inlineStr"/>
      <c r="AC57" t="inlineStr">
        <is>
          <t>docs/tender-reference/extracted/Nationalbanken/Bilag 3.i Leverandørens Løsningsbeskrivelse.txt; docs/product/RFP_Leverandørens_svar_utdrag.txt; docs/tender-reference/extracted/HSØ/02.00-Tietoevry-SSA-L-Bilag 2-Leverandørens beskrivelse av Tjenesten.txt</t>
        </is>
      </c>
      <c r="AD57" t="inlineStr">
        <is>
          <t>Anton: Confirm verify-tekst; opdatér review status efter tjek.</t>
        </is>
      </c>
      <c r="AE57" t="inlineStr"/>
      <c r="AF57" t="inlineStr">
        <is>
          <t>Draft</t>
        </is>
      </c>
      <c r="AG57" t="inlineStr">
        <is>
          <t>uim-esdh-full-2026-07-07</t>
        </is>
      </c>
    </row>
    <row r="58" ht="144" customHeight="1">
      <c r="A58" s="35" t="n">
        <v>57</v>
      </c>
      <c r="B58" s="35" t="inlineStr">
        <is>
          <t>MK-54</t>
        </is>
      </c>
      <c r="C58" s="35" t="inlineStr">
        <is>
          <t>Bilag 1.b</t>
        </is>
      </c>
      <c r="D58" s="35" t="inlineStr">
        <is>
          <t>Kontakter</t>
        </is>
      </c>
      <c r="E58" s="35" t="inlineStr">
        <is>
          <t>Kontakttyper</t>
        </is>
      </c>
      <c r="F58" s="35" t="inlineStr">
        <is>
          <t>ESDH-løsningen skal understøtte oprettelse af nye kontakttyper.</t>
        </is>
      </c>
      <c r="G58" s="35" t="inlineStr">
        <is>
          <t>Mindstekrav</t>
        </is>
      </c>
      <c r="H58" s="35">
        <f>IF(G58="Evalueringskrav","Answer",(IF(G58="Krav","Check",(IF(G58="Mindstekrav","Verify","")))))</f>
        <v/>
      </c>
      <c r="I58" s="35" t="inlineStr">
        <is>
          <t>Ja</t>
        </is>
      </c>
      <c r="J58" s="35" t="n"/>
      <c r="K58" s="47" t="n"/>
      <c r="L58" s="35" t="inlineStr">
        <is>
          <t>Anton</t>
        </is>
      </c>
      <c r="M58" s="35" t="n"/>
      <c r="N58" s="35" t="n"/>
      <c r="O58" s="35" t="inlineStr">
        <is>
          <t>1. Fully met</t>
        </is>
      </c>
      <c r="P58" s="35"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Q58" s="35" t="n"/>
      <c r="R58" s="35" t="inlineStr">
        <is>
          <t>Yes</t>
        </is>
      </c>
      <c r="S58" s="35" t="n"/>
      <c r="T58" s="35" t="n"/>
      <c r="U58" s="35" t="inlineStr">
        <is>
          <t>Not Started</t>
        </is>
      </c>
      <c r="V58" s="37">
        <f>IF(U58="Not Started",0%,IF(U58="Started",50%,IF(U58="Ready for review",70%,IF(U58="Reviewed - Content",80%,IF(U58="Reviewed - Format",90%,IF(U58="Done",100%,""))))))</f>
        <v/>
      </c>
      <c r="W58" t="inlineStr">
        <is>
          <t>2026-07-07</t>
        </is>
      </c>
      <c r="X58" t="inlineStr">
        <is>
          <t>Cursor / tender-response (batch)</t>
        </is>
      </c>
      <c r="Y58" t="inlineStr">
        <is>
          <t>Met</t>
        </is>
      </c>
      <c r="Z58" t="inlineStr">
        <is>
          <t>Lead</t>
        </is>
      </c>
      <c r="AA58" t="inlineStr">
        <is>
          <t>Verify: Kontakttyper — vurderet opfyldt (tool: 1. Fully met).</t>
        </is>
      </c>
      <c r="AB58"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AC58" t="inlineStr">
        <is>
          <t>docs/tender-reference/extracted/Nationalbanken/Bilag 3.i Leverandørens Løsningsbeskrivelse.txt; docs/product/RFP_Leverandørens_svar_utdrag.txt; docs/tender-reference/extracted/HSØ/02.00-Tietoevry-SSA-L-Bilag 2-Leverandørens beskrivelse av Tjenesten.txt</t>
        </is>
      </c>
      <c r="AD58" t="inlineStr">
        <is>
          <t>Anton: Confirm verify-tekst; opdatér review status efter tjek.</t>
        </is>
      </c>
      <c r="AE58" t="inlineStr"/>
      <c r="AF58" t="inlineStr">
        <is>
          <t>Draft</t>
        </is>
      </c>
      <c r="AG58" t="inlineStr">
        <is>
          <t>uim-esdh-full-2026-07-07</t>
        </is>
      </c>
    </row>
    <row r="59" ht="32" customHeight="1">
      <c r="A59" s="35" t="n">
        <v>58</v>
      </c>
      <c r="B59" s="35" t="inlineStr">
        <is>
          <t>MK-55</t>
        </is>
      </c>
      <c r="C59" s="35" t="inlineStr">
        <is>
          <t>Bilag 1.b</t>
        </is>
      </c>
      <c r="D59" s="35" t="inlineStr">
        <is>
          <t>Kontakter</t>
        </is>
      </c>
      <c r="E59" s="35" t="inlineStr">
        <is>
          <t>Redigering af kontakter</t>
        </is>
      </c>
      <c r="F59" s="35" t="inlineStr">
        <is>
          <t>ESDH-løsningen skal understøtte redigering af metadata på kontakter, såfremt at Brugeren har rettighed hertil.</t>
        </is>
      </c>
      <c r="G59" s="35" t="inlineStr">
        <is>
          <t>Mindstekrav</t>
        </is>
      </c>
      <c r="H59" s="35">
        <f>IF(G59="Evalueringskrav","Answer",(IF(G59="Krav","Check",(IF(G59="Mindstekrav","Verify","")))))</f>
        <v/>
      </c>
      <c r="I59" s="35" t="inlineStr">
        <is>
          <t>Ja</t>
        </is>
      </c>
      <c r="J59" s="35" t="n"/>
      <c r="K59" s="47" t="n"/>
      <c r="L59" s="35" t="inlineStr">
        <is>
          <t>Anton</t>
        </is>
      </c>
      <c r="M59" s="35" t="n"/>
      <c r="N59" s="35" t="n"/>
      <c r="O59" s="35" t="inlineStr">
        <is>
          <t>1. Fully met</t>
        </is>
      </c>
      <c r="P59" s="35" t="n"/>
      <c r="Q59" s="35" t="n"/>
      <c r="R59" s="35" t="n"/>
      <c r="S59" s="35" t="n"/>
      <c r="T59" s="35" t="n"/>
      <c r="U59" s="35" t="inlineStr">
        <is>
          <t>Not Started</t>
        </is>
      </c>
      <c r="V59" s="37">
        <f>IF(U59="Not Started",0%,IF(U59="Started",50%,IF(U59="Ready for review",70%,IF(U59="Reviewed - Content",80%,IF(U59="Reviewed - Format",90%,IF(U59="Done",100%,""))))))</f>
        <v/>
      </c>
      <c r="W59" t="inlineStr">
        <is>
          <t>2026-07-07</t>
        </is>
      </c>
      <c r="X59" t="inlineStr">
        <is>
          <t>Cursor / tender-response (batch)</t>
        </is>
      </c>
      <c r="Y59" t="inlineStr">
        <is>
          <t>Met</t>
        </is>
      </c>
      <c r="Z59" t="inlineStr">
        <is>
          <t>Verified</t>
        </is>
      </c>
      <c r="AA59" t="inlineStr">
        <is>
          <t>Verify: Redigering af kontakter — vurderet opfyldt (tool: 1. Fully met).</t>
        </is>
      </c>
      <c r="AB59" t="inlineStr"/>
      <c r="AC59" t="inlineStr">
        <is>
          <t>docs/tender-reference/extracted/KK Tender tool.txt; docs/tender-reference/extracted/KUM-SLKS/Bilag 3 - Kravspecifikation.txt; docs/tender-reference/extracted/Nationalbanken/Bilag 3.i Leverandørens Løsningsbeskrivelse.txt</t>
        </is>
      </c>
      <c r="AD59" t="inlineStr">
        <is>
          <t>Anton: Confirm verify-tekst; opdatér review status efter tjek.</t>
        </is>
      </c>
      <c r="AE59" t="inlineStr"/>
      <c r="AF59" t="inlineStr">
        <is>
          <t>Draft</t>
        </is>
      </c>
      <c r="AG59" t="inlineStr">
        <is>
          <t>uim-esdh-full-2026-07-07</t>
        </is>
      </c>
    </row>
    <row r="60" ht="80" customHeight="1">
      <c r="A60" s="35" t="n">
        <v>59</v>
      </c>
      <c r="B60" s="35" t="inlineStr">
        <is>
          <t>MK-56</t>
        </is>
      </c>
      <c r="C60" s="35" t="inlineStr">
        <is>
          <t>Bilag 1.b</t>
        </is>
      </c>
      <c r="D60" s="35" t="inlineStr">
        <is>
          <t>Kontakter</t>
        </is>
      </c>
      <c r="E60" s="35" t="inlineStr">
        <is>
          <t>Automatisk dubletkontrol i kontakt-registeret</t>
        </is>
      </c>
      <c r="F60" s="35" t="inlineStr">
        <is>
          <t>ESDH-løsningen skal understøtte, at en Bruger ikke kan oprette en kontakt, hvis kontaktens unikke ID allerede findes i kontaktregisteret.</t>
        </is>
      </c>
      <c r="G60" s="35" t="inlineStr">
        <is>
          <t>Mindstekrav</t>
        </is>
      </c>
      <c r="H60" s="35">
        <f>IF(G60="Evalueringskrav","Answer",(IF(G60="Krav","Check",(IF(G60="Mindstekrav","Verify","")))))</f>
        <v/>
      </c>
      <c r="I60" s="35" t="inlineStr">
        <is>
          <t>Ja</t>
        </is>
      </c>
      <c r="J60" s="35" t="n"/>
      <c r="K60" s="47" t="n"/>
      <c r="L60" s="35" t="inlineStr">
        <is>
          <t>Morten</t>
        </is>
      </c>
      <c r="M60" s="35" t="n"/>
      <c r="N60" s="35" t="n"/>
      <c r="O60" s="35" t="inlineStr">
        <is>
          <t>2. Partly met</t>
        </is>
      </c>
      <c r="P60" s="35" t="inlineStr">
        <is>
          <t>ADN: Vi advarer, men vi forbyder ikke. CPR/CVR er ikke så unikt at det ikke kan duplikeres.
ADN: Enten med udvidet duplikat-kontrol eller BRE der forbyder det.</t>
        </is>
      </c>
      <c r="Q60" s="35" t="inlineStr">
        <is>
          <t>Yes</t>
        </is>
      </c>
      <c r="R60" s="35" t="n"/>
      <c r="S60" s="35" t="n"/>
      <c r="T60" s="35" t="n"/>
      <c r="U60" s="35" t="inlineStr">
        <is>
          <t>Not Started</t>
        </is>
      </c>
      <c r="V60" s="37">
        <f>IF(U60="Not Started",0%,IF(U60="Started",50%,IF(U60="Ready for review",70%,IF(U60="Reviewed - Content",80%,IF(U60="Reviewed - Format",90%,IF(U60="Done",100%,""))))))</f>
        <v/>
      </c>
      <c r="W60" t="inlineStr">
        <is>
          <t>2026-07-07</t>
        </is>
      </c>
      <c r="X60" t="inlineStr">
        <is>
          <t>Cursor / tender-response (MCP-enriched)</t>
        </is>
      </c>
      <c r="Y60" t="inlineStr">
        <is>
          <t>Partial</t>
        </is>
      </c>
      <c r="Z60" t="inlineStr">
        <is>
          <t>Lead</t>
        </is>
      </c>
      <c r="AA60" t="inlineStr">
        <is>
          <t>Verify: Automatisk dubletkontrol i kontakt-registeret — delvist opfyldt; afklar scope og scoring.</t>
        </is>
      </c>
      <c r="AB60" t="inlineStr">
        <is>
          <t>ADN: Vi advarer, men vi forbyder ikke. CPR/CVR er ikke så unikt at det ikke kan duplikeres.
ADN: Enten med udvidet duplikat-kontrol eller BRE der forbyder det. | Red flag: Vi advarer, men vi forbyder ikke. CPR/CVR er ikke så unikt at det ikke kan duplikeres.</t>
        </is>
      </c>
      <c r="AC60" t="inlineStr">
        <is>
          <t>Wiki: 360° Contact register cleaning tools; 360° Integration with Enhetsregisteret (BRREG)</t>
        </is>
      </c>
      <c r="AD60" t="inlineStr">
        <is>
          <t>Morten: Afklar delkrav; align tool-rating (O) med AI compliance.</t>
        </is>
      </c>
      <c r="AE60" t="inlineStr"/>
      <c r="AF60" t="inlineStr">
        <is>
          <t>Draft</t>
        </is>
      </c>
      <c r="AG60" t="inlineStr">
        <is>
          <t>uim-esdh-full-2026-07-07</t>
        </is>
      </c>
    </row>
    <row r="61" ht="32" customHeight="1">
      <c r="A61" s="35" t="n">
        <v>60</v>
      </c>
      <c r="B61" s="35" t="inlineStr">
        <is>
          <t>MK-57</t>
        </is>
      </c>
      <c r="C61" s="35" t="inlineStr">
        <is>
          <t>Bilag 1.b</t>
        </is>
      </c>
      <c r="D61" s="35" t="inlineStr">
        <is>
          <t>Kontakter</t>
        </is>
      </c>
      <c r="E61" s="35" t="inlineStr">
        <is>
          <t>Fremsøgning</t>
        </is>
      </c>
      <c r="F61" s="35" t="inlineStr">
        <is>
          <t>ESDH-løsningen skal understøtte, at kontakter kan fremsøges via relevante metadata.</t>
        </is>
      </c>
      <c r="G61" s="35" t="inlineStr">
        <is>
          <t>Mindstekrav</t>
        </is>
      </c>
      <c r="H61" s="35">
        <f>IF(G61="Evalueringskrav","Answer",(IF(G61="Krav","Check",(IF(G61="Mindstekrav","Verify","")))))</f>
        <v/>
      </c>
      <c r="I61" s="35" t="inlineStr">
        <is>
          <t>Ja</t>
        </is>
      </c>
      <c r="J61" s="35" t="n"/>
      <c r="K61" s="47" t="n"/>
      <c r="L61" s="35" t="inlineStr">
        <is>
          <t>Anton</t>
        </is>
      </c>
      <c r="M61" s="35" t="n"/>
      <c r="N61" s="35" t="n"/>
      <c r="O61" s="35" t="inlineStr">
        <is>
          <t>1. Fully met</t>
        </is>
      </c>
      <c r="P61" s="35" t="n"/>
      <c r="Q61" s="35" t="n"/>
      <c r="R61" s="35" t="n"/>
      <c r="S61" s="35" t="n"/>
      <c r="T61" s="35" t="n"/>
      <c r="U61" s="35" t="inlineStr">
        <is>
          <t>Not Started</t>
        </is>
      </c>
      <c r="V61" s="37">
        <f>IF(U61="Not Started",0%,IF(U61="Started",50%,IF(U61="Ready for review",70%,IF(U61="Reviewed - Content",80%,IF(U61="Reviewed - Format",90%,IF(U61="Done",100%,""))))))</f>
        <v/>
      </c>
      <c r="W61" t="inlineStr">
        <is>
          <t>2026-07-07</t>
        </is>
      </c>
      <c r="X61" t="inlineStr">
        <is>
          <t>Cursor / tender-response (batch)</t>
        </is>
      </c>
      <c r="Y61" t="inlineStr">
        <is>
          <t>Met</t>
        </is>
      </c>
      <c r="Z61" t="inlineStr">
        <is>
          <t>Verified</t>
        </is>
      </c>
      <c r="AA61" t="inlineStr">
        <is>
          <t>Verify: Fremsøgning — vurderet opfyldt (tool: 1. Fully met).</t>
        </is>
      </c>
      <c r="AB61" t="inlineStr"/>
      <c r="AC61" t="inlineStr">
        <is>
          <t>docs/tender-reference/extracted/Nationalbanken/Bilag 3.i Leverandørens Løsningsbeskrivelse.txt; docs/tender-reference/extracted/KUM-SLKS/Bilag 3 - Kravspecifikation.txt; docs/product/RFP_Leverandørens_svar_utdrag.txt</t>
        </is>
      </c>
      <c r="AD61" t="inlineStr">
        <is>
          <t>Anton: Confirm verify-tekst; opdatér review status efter tjek.</t>
        </is>
      </c>
      <c r="AE61" t="inlineStr"/>
      <c r="AF61" t="inlineStr">
        <is>
          <t>Draft</t>
        </is>
      </c>
      <c r="AG61" t="inlineStr">
        <is>
          <t>uim-esdh-full-2026-07-07</t>
        </is>
      </c>
    </row>
    <row r="62" ht="64" customHeight="1">
      <c r="A62" s="35" t="n">
        <v>61</v>
      </c>
      <c r="B62" s="35" t="inlineStr">
        <is>
          <t>MK-58</t>
        </is>
      </c>
      <c r="C62" s="35" t="inlineStr">
        <is>
          <t>Bilag 1.b</t>
        </is>
      </c>
      <c r="D62" s="35" t="inlineStr">
        <is>
          <t>Kontakter</t>
        </is>
      </c>
      <c r="E62" s="35" t="inlineStr">
        <is>
          <t>Tilknytning af kontakt på sag</t>
        </is>
      </c>
      <c r="F62" s="35" t="inlineStr">
        <is>
          <t>ESDH-løsningen skal understøtte, at en Bruger kan oprette en ny kontakt eller søge efter en eksisterende kontakt med henblik på at tilknytte kontakten til alle Entiteter i Løsningen, herunder sager, Dokumenter og Kundeoprettede Entiteter.</t>
        </is>
      </c>
      <c r="G62" s="35" t="inlineStr">
        <is>
          <t>Mindstekrav</t>
        </is>
      </c>
      <c r="H62" s="35">
        <f>IF(G62="Evalueringskrav","Answer",(IF(G62="Krav","Check",(IF(G62="Mindstekrav","Verify","")))))</f>
        <v/>
      </c>
      <c r="I62" s="35" t="inlineStr">
        <is>
          <t>Ja</t>
        </is>
      </c>
      <c r="J62" s="35" t="n"/>
      <c r="K62" s="47" t="n"/>
      <c r="L62" s="35" t="inlineStr">
        <is>
          <t>Anton</t>
        </is>
      </c>
      <c r="M62" s="35" t="n"/>
      <c r="N62" s="35" t="n"/>
      <c r="O62" s="35" t="inlineStr">
        <is>
          <t>1. Fully met</t>
        </is>
      </c>
      <c r="P62" s="35" t="n"/>
      <c r="Q62" s="35" t="n"/>
      <c r="R62" s="35" t="n"/>
      <c r="S62" s="35" t="n"/>
      <c r="T62" s="35" t="n"/>
      <c r="U62" s="35" t="inlineStr">
        <is>
          <t>Not Started</t>
        </is>
      </c>
      <c r="V62" s="37">
        <f>IF(U62="Not Started",0%,IF(U62="Started",50%,IF(U62="Ready for review",70%,IF(U62="Reviewed - Content",80%,IF(U62="Reviewed - Format",90%,IF(U62="Done",100%,""))))))</f>
        <v/>
      </c>
      <c r="W62" t="inlineStr">
        <is>
          <t>2026-07-07</t>
        </is>
      </c>
      <c r="X62" t="inlineStr">
        <is>
          <t>Cursor / tender-response (batch)</t>
        </is>
      </c>
      <c r="Y62" t="inlineStr">
        <is>
          <t>Met</t>
        </is>
      </c>
      <c r="Z62" t="inlineStr">
        <is>
          <t>Verified</t>
        </is>
      </c>
      <c r="AA62" t="inlineStr">
        <is>
          <t>Verify: Tilknytning af kontakt på sag — vurderet opfyldt (tool: 1. Fully met).</t>
        </is>
      </c>
      <c r="AB62" t="inlineStr"/>
      <c r="AC62" t="inlineStr">
        <is>
          <t>docs/tender-reference/extracted/Nationalbanken/Bilag 3.i Leverandørens Løsningsbeskrivelse.txt; docs/tender-reference/extracted/KUM-SLKS/Bilag 3 - Kravspecifikation.txt; docs/product/RFP_Leverandørens_svar_utdrag.txt</t>
        </is>
      </c>
      <c r="AD62" t="inlineStr">
        <is>
          <t>Anton: Confirm verify-tekst; opdatér review status efter tjek.</t>
        </is>
      </c>
      <c r="AE62" t="inlineStr"/>
      <c r="AF62" t="inlineStr">
        <is>
          <t>Draft</t>
        </is>
      </c>
      <c r="AG62" t="inlineStr">
        <is>
          <t>uim-esdh-full-2026-07-07</t>
        </is>
      </c>
    </row>
    <row r="63" ht="80" customHeight="1">
      <c r="A63" s="35" t="n">
        <v>62</v>
      </c>
      <c r="B63" s="35" t="inlineStr">
        <is>
          <t>MK-59</t>
        </is>
      </c>
      <c r="C63" s="35" t="inlineStr">
        <is>
          <t>Bilag 1.b</t>
        </is>
      </c>
      <c r="D63" s="35" t="inlineStr">
        <is>
          <t>Kontakter</t>
        </is>
      </c>
      <c r="E63" s="35" t="inlineStr">
        <is>
          <t>Automatisk opdatering</t>
        </is>
      </c>
      <c r="F63" s="35" t="inlineStr">
        <is>
          <t>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t>
        </is>
      </c>
      <c r="G63" s="35" t="inlineStr">
        <is>
          <t>Mindstekrav</t>
        </is>
      </c>
      <c r="H63" s="35">
        <f>IF(G63="Evalueringskrav","Answer",(IF(G63="Krav","Check",(IF(G63="Mindstekrav","Verify","")))))</f>
        <v/>
      </c>
      <c r="I63" s="35" t="inlineStr">
        <is>
          <t>Ja</t>
        </is>
      </c>
      <c r="J63" s="35" t="n"/>
      <c r="K63" s="47" t="n"/>
      <c r="L63" s="35" t="inlineStr">
        <is>
          <t>Anton</t>
        </is>
      </c>
      <c r="M63" s="35" t="n"/>
      <c r="N63" s="35" t="n"/>
      <c r="O63" s="35" t="inlineStr">
        <is>
          <t>1. Fully met</t>
        </is>
      </c>
      <c r="P63" s="35" t="n"/>
      <c r="Q63" s="35" t="n"/>
      <c r="R63" s="35" t="n"/>
      <c r="S63" s="35" t="n"/>
      <c r="T63" s="35" t="n"/>
      <c r="U63" s="35" t="inlineStr">
        <is>
          <t>Not Started</t>
        </is>
      </c>
      <c r="V63" s="37">
        <f>IF(U63="Not Started",0%,IF(U63="Started",50%,IF(U63="Ready for review",70%,IF(U63="Reviewed - Content",80%,IF(U63="Reviewed - Format",90%,IF(U63="Done",100%,""))))))</f>
        <v/>
      </c>
      <c r="W63" t="inlineStr">
        <is>
          <t>2026-07-07</t>
        </is>
      </c>
      <c r="X63" t="inlineStr">
        <is>
          <t>Cursor / tender-response (batch)</t>
        </is>
      </c>
      <c r="Y63" t="inlineStr">
        <is>
          <t>Met</t>
        </is>
      </c>
      <c r="Z63" t="inlineStr">
        <is>
          <t>Verified</t>
        </is>
      </c>
      <c r="AA63" t="inlineStr">
        <is>
          <t>Verify: Automatisk opdatering — vurderet opfyldt (tool: 1. Fully met).</t>
        </is>
      </c>
      <c r="AB63" t="inlineStr"/>
      <c r="AC63" t="inlineStr">
        <is>
          <t>docs/tender-reference/extracted/Nationalbanken/Bilag 3.i Leverandørens Løsningsbeskrivelse.txt; docs/tender-reference/extracted/HSØ/02.00-Tietoevry-SSA-L-Bilag 2-Leverandørens beskrivelse av Tjenesten.txt; docs/tender-reference/extracted/KK Tender tool.txt</t>
        </is>
      </c>
      <c r="AD63" t="inlineStr">
        <is>
          <t>Anton: Confirm verify-tekst; opdatér review status efter tjek.</t>
        </is>
      </c>
      <c r="AE63" t="inlineStr"/>
      <c r="AF63" t="inlineStr">
        <is>
          <t>Draft</t>
        </is>
      </c>
      <c r="AG63" t="inlineStr">
        <is>
          <t>uim-esdh-full-2026-07-07</t>
        </is>
      </c>
    </row>
    <row r="64" ht="80" customHeight="1">
      <c r="A64" s="35" t="n">
        <v>63</v>
      </c>
      <c r="B64" s="35" t="inlineStr">
        <is>
          <t>MK-60</t>
        </is>
      </c>
      <c r="C64" s="35" t="inlineStr">
        <is>
          <t>Bilag 1.b</t>
        </is>
      </c>
      <c r="D64" s="35" t="inlineStr">
        <is>
          <t>Kontakter</t>
        </is>
      </c>
      <c r="E64" s="35" t="inlineStr">
        <is>
          <t>Oprettelse og import af kontakt-oplysninger fra CPR</t>
        </is>
      </c>
      <c r="F64" s="35" t="inlineStr">
        <is>
          <t>ESDH-løsningen skal understøtte, at Brugeren kan foretage onlineopslag på et specifikt CPR-nr. via ESDH-løsningen og importere dennes stamdata til ESDH-løsningen. Personen skal oprettes eller opdateres i Løsningens kontaktregister.</t>
        </is>
      </c>
      <c r="G64" s="35" t="inlineStr">
        <is>
          <t>Mindstekrav</t>
        </is>
      </c>
      <c r="H64" s="35">
        <f>IF(G64="Evalueringskrav","Answer",(IF(G64="Krav","Check",(IF(G64="Mindstekrav","Verify","")))))</f>
        <v/>
      </c>
      <c r="I64" s="35" t="inlineStr">
        <is>
          <t>Ja</t>
        </is>
      </c>
      <c r="J64" s="35" t="n"/>
      <c r="K64" s="47" t="n"/>
      <c r="L64" s="35" t="inlineStr">
        <is>
          <t>Anton</t>
        </is>
      </c>
      <c r="M64" s="35" t="n"/>
      <c r="N64" s="35" t="inlineStr">
        <is>
          <t>CPR</t>
        </is>
      </c>
      <c r="O64" s="35" t="inlineStr">
        <is>
          <t>1. Fully met</t>
        </is>
      </c>
      <c r="P64" s="35" t="n"/>
      <c r="Q64" s="35" t="n"/>
      <c r="R64" s="35" t="n"/>
      <c r="S64" s="35" t="n"/>
      <c r="T64" s="35" t="n"/>
      <c r="U64" s="35" t="inlineStr">
        <is>
          <t>Not Started</t>
        </is>
      </c>
      <c r="V64" s="37">
        <f>IF(U64="Not Started",0%,IF(U64="Started",50%,IF(U64="Ready for review",70%,IF(U64="Reviewed - Content",80%,IF(U64="Reviewed - Format",90%,IF(U64="Done",100%,""))))))</f>
        <v/>
      </c>
      <c r="W64" t="inlineStr">
        <is>
          <t>2026-07-07</t>
        </is>
      </c>
      <c r="X64" t="inlineStr">
        <is>
          <t>Cursor / tender-response (batch)</t>
        </is>
      </c>
      <c r="Y64" t="inlineStr">
        <is>
          <t>Met</t>
        </is>
      </c>
      <c r="Z64" t="inlineStr">
        <is>
          <t>Verified</t>
        </is>
      </c>
      <c r="AA64" t="inlineStr">
        <is>
          <t>Verify: Oprettelse og import af kontakt-oplysninger fra CPR — vurderet opfyldt (tool: 1. Fully met).</t>
        </is>
      </c>
      <c r="AB64" t="inlineStr"/>
      <c r="AC64" t="inlineStr">
        <is>
          <t>docs/tender-reference/extracted/Nationalbanken/Bilag 3.i Leverandørens Løsningsbeskrivelse.txt; docs/tender-reference/extracted/KK Tender tool.txt; docs/tender-reference/extracted/KUM-SLKS/Bilag 3 - Kravspecifikation.txt</t>
        </is>
      </c>
      <c r="AD64" t="inlineStr">
        <is>
          <t>Anton: Confirm verify-tekst; opdatér review status efter tjek.</t>
        </is>
      </c>
      <c r="AE64" t="inlineStr"/>
      <c r="AF64" t="inlineStr">
        <is>
          <t>Draft</t>
        </is>
      </c>
      <c r="AG64" t="inlineStr">
        <is>
          <t>uim-esdh-full-2026-07-07</t>
        </is>
      </c>
    </row>
    <row r="65" ht="64" customHeight="1">
      <c r="A65" s="35" t="n">
        <v>64</v>
      </c>
      <c r="B65" s="35" t="inlineStr">
        <is>
          <t>MK-61</t>
        </is>
      </c>
      <c r="C65" s="35" t="inlineStr">
        <is>
          <t>Bilag 1.b</t>
        </is>
      </c>
      <c r="D65" s="35" t="inlineStr">
        <is>
          <t>Kontakter</t>
        </is>
      </c>
      <c r="E65" s="35" t="inlineStr">
        <is>
          <t>Oprettelse og import af kontaktoplysninger fra CVR</t>
        </is>
      </c>
      <c r="F65" s="35" t="inlineStr">
        <is>
          <t>ESDH-løsningen skal understøtte, at Brugeren kan foretage onlineopslag på et specifikt CVR-nr. via ESDH-løsningen og importere virksomhedens stamdata til ESDH-løsningen. Virksomheden skal oprettes eller opdateres i Løsningens kontaktregister.</t>
        </is>
      </c>
      <c r="G65" s="35" t="inlineStr">
        <is>
          <t>Mindstekrav</t>
        </is>
      </c>
      <c r="H65" s="35">
        <f>IF(G65="Evalueringskrav","Answer",(IF(G65="Krav","Check",(IF(G65="Mindstekrav","Verify","")))))</f>
        <v/>
      </c>
      <c r="I65" s="35" t="inlineStr">
        <is>
          <t>Ja</t>
        </is>
      </c>
      <c r="J65" s="35" t="n"/>
      <c r="K65" s="47" t="n"/>
      <c r="L65" s="35" t="inlineStr">
        <is>
          <t>Anton</t>
        </is>
      </c>
      <c r="M65" s="35" t="n"/>
      <c r="N65" s="35" t="inlineStr">
        <is>
          <t>CVR</t>
        </is>
      </c>
      <c r="O65" s="35" t="inlineStr">
        <is>
          <t>1. Fully met</t>
        </is>
      </c>
      <c r="P65" s="35" t="n"/>
      <c r="Q65" s="35" t="n"/>
      <c r="R65" s="35" t="n"/>
      <c r="S65" s="35" t="n"/>
      <c r="T65" s="35" t="n"/>
      <c r="U65" s="35" t="inlineStr">
        <is>
          <t>Not Started</t>
        </is>
      </c>
      <c r="V65" s="37">
        <f>IF(U65="Not Started",0%,IF(U65="Started",50%,IF(U65="Ready for review",70%,IF(U65="Reviewed - Content",80%,IF(U65="Reviewed - Format",90%,IF(U65="Done",100%,""))))))</f>
        <v/>
      </c>
      <c r="W65" t="inlineStr">
        <is>
          <t>2026-07-07</t>
        </is>
      </c>
      <c r="X65" t="inlineStr">
        <is>
          <t>Cursor / tender-response (batch)</t>
        </is>
      </c>
      <c r="Y65" t="inlineStr">
        <is>
          <t>Met</t>
        </is>
      </c>
      <c r="Z65" t="inlineStr">
        <is>
          <t>Verified</t>
        </is>
      </c>
      <c r="AA65" t="inlineStr">
        <is>
          <t>Verify: Oprettelse og import af kontaktoplysninger fra CVR — vurderet opfyldt (tool: 1. Fully met).</t>
        </is>
      </c>
      <c r="AB65" t="inlineStr"/>
      <c r="AC65" t="inlineStr">
        <is>
          <t>docs/tender-reference/extracted/Nationalbanken/Bilag 3.i Leverandørens Løsningsbeskrivelse.txt; docs/tender-reference/extracted/KK Tender tool.txt; docs/tender-reference/extracted/KUM-SLKS/Bilag 3 - Kravspecifikation.txt</t>
        </is>
      </c>
      <c r="AD65" t="inlineStr">
        <is>
          <t>Anton: Confirm verify-tekst; opdatér review status efter tjek.</t>
        </is>
      </c>
      <c r="AE65" t="inlineStr"/>
      <c r="AF65" t="inlineStr">
        <is>
          <t>Draft</t>
        </is>
      </c>
      <c r="AG65" t="inlineStr">
        <is>
          <t>uim-esdh-full-2026-07-07</t>
        </is>
      </c>
    </row>
    <row r="66" ht="48" customHeight="1">
      <c r="A66" s="35" t="n">
        <v>65</v>
      </c>
      <c r="B66" s="35" t="inlineStr">
        <is>
          <t>MK-62</t>
        </is>
      </c>
      <c r="C66" s="35" t="inlineStr">
        <is>
          <t>Bilag 1.b</t>
        </is>
      </c>
      <c r="D66" s="35" t="inlineStr">
        <is>
          <t>Kontakter</t>
        </is>
      </c>
      <c r="E66" s="35" t="inlineStr">
        <is>
          <t>Sletning af kontakter</t>
        </is>
      </c>
      <c r="F66" s="35" t="inlineStr">
        <is>
          <t>ESDH-løsningen skal understøtte sletning af kontakter. Den udførende Bruger skal adviseres, hvis kontakten er tilknyttet sager, Dokumenter eller har reference til anden kontakt.</t>
        </is>
      </c>
      <c r="G66" s="35" t="inlineStr">
        <is>
          <t>Mindstekrav</t>
        </is>
      </c>
      <c r="H66" s="35">
        <f>IF(G66="Evalueringskrav","Answer",(IF(G66="Krav","Check",(IF(G66="Mindstekrav","Verify","")))))</f>
        <v/>
      </c>
      <c r="I66" s="35" t="inlineStr">
        <is>
          <t>Ja</t>
        </is>
      </c>
      <c r="J66" s="35" t="n"/>
      <c r="K66" s="47" t="n"/>
      <c r="L66" s="35" t="inlineStr">
        <is>
          <t>Anton</t>
        </is>
      </c>
      <c r="M66" s="35" t="n"/>
      <c r="N66" s="35" t="n"/>
      <c r="O66" s="35" t="inlineStr">
        <is>
          <t>1. Fully met</t>
        </is>
      </c>
      <c r="P66" s="35" t="n"/>
      <c r="Q66" s="35" t="n"/>
      <c r="R66" s="35" t="n"/>
      <c r="S66" s="35" t="n"/>
      <c r="T66" s="35" t="n"/>
      <c r="U66" s="35" t="inlineStr">
        <is>
          <t>Not Started</t>
        </is>
      </c>
      <c r="V66" s="37">
        <f>IF(U66="Not Started",0%,IF(U66="Started",50%,IF(U66="Ready for review",70%,IF(U66="Reviewed - Content",80%,IF(U66="Reviewed - Format",90%,IF(U66="Done",100%,""))))))</f>
        <v/>
      </c>
      <c r="W66" t="inlineStr">
        <is>
          <t>2026-07-07</t>
        </is>
      </c>
      <c r="X66" t="inlineStr">
        <is>
          <t>Cursor / tender-response (batch)</t>
        </is>
      </c>
      <c r="Y66" t="inlineStr">
        <is>
          <t>Met</t>
        </is>
      </c>
      <c r="Z66" t="inlineStr">
        <is>
          <t>Verified</t>
        </is>
      </c>
      <c r="AA66" t="inlineStr">
        <is>
          <t>Verify: Sletning af kontakter — vurderet opfyldt (tool: 1. Fully met).</t>
        </is>
      </c>
      <c r="AB66" t="inlineStr"/>
      <c r="AC66" t="inlineStr">
        <is>
          <t>docs/tender-reference/extracted/Nationalbanken/Bilag 3.i Leverandørens Løsningsbeskrivelse.txt; docs/tender-reference/extracted/KK Tender tool.txt; docs/product/RFP_Leverandørens_svar_utdrag.txt</t>
        </is>
      </c>
      <c r="AD66" t="inlineStr">
        <is>
          <t>Anton: Confirm verify-tekst; opdatér review status efter tjek.</t>
        </is>
      </c>
      <c r="AE66" t="inlineStr"/>
      <c r="AF66" t="inlineStr">
        <is>
          <t>Draft</t>
        </is>
      </c>
      <c r="AG66" t="inlineStr">
        <is>
          <t>uim-esdh-full-2026-07-07</t>
        </is>
      </c>
    </row>
    <row r="67" ht="32" customHeight="1">
      <c r="A67" s="35" t="n">
        <v>66</v>
      </c>
      <c r="B67" s="35" t="inlineStr">
        <is>
          <t>MK-63</t>
        </is>
      </c>
      <c r="C67" s="35" t="inlineStr">
        <is>
          <t>Bilag 1.b</t>
        </is>
      </c>
      <c r="D67" s="35" t="inlineStr">
        <is>
          <t>Kontakter</t>
        </is>
      </c>
      <c r="E67" s="35" t="inlineStr">
        <is>
          <t>Deaktivering af kontakter</t>
        </is>
      </c>
      <c r="F67" s="35" t="inlineStr">
        <is>
          <t>ESDH-løsningen skal understøtte, at en kontakt kan deaktiveres samt, at deaktiveret kontakt ikke kan tilknyttes Entiteter.</t>
        </is>
      </c>
      <c r="G67" s="35" t="inlineStr">
        <is>
          <t>Mindstekrav</t>
        </is>
      </c>
      <c r="H67" s="35">
        <f>IF(G67="Evalueringskrav","Answer",(IF(G67="Krav","Check",(IF(G67="Mindstekrav","Verify","")))))</f>
        <v/>
      </c>
      <c r="I67" s="35" t="inlineStr">
        <is>
          <t>Ja</t>
        </is>
      </c>
      <c r="J67" s="35" t="n"/>
      <c r="K67" s="47" t="n"/>
      <c r="L67" s="35" t="inlineStr">
        <is>
          <t>Anton</t>
        </is>
      </c>
      <c r="M67" s="35" t="n"/>
      <c r="N67" s="35" t="n"/>
      <c r="O67" s="35" t="inlineStr">
        <is>
          <t>1. Fully met</t>
        </is>
      </c>
      <c r="P67" s="35" t="n"/>
      <c r="Q67" s="35" t="n"/>
      <c r="R67" s="35" t="n"/>
      <c r="S67" s="35" t="n"/>
      <c r="T67" s="35" t="n"/>
      <c r="U67" s="35" t="inlineStr">
        <is>
          <t>Not Started</t>
        </is>
      </c>
      <c r="V67" s="37">
        <f>IF(U67="Not Started",0%,IF(U67="Started",50%,IF(U67="Ready for review",70%,IF(U67="Reviewed - Content",80%,IF(U67="Reviewed - Format",90%,IF(U67="Done",100%,""))))))</f>
        <v/>
      </c>
      <c r="W67" t="inlineStr">
        <is>
          <t>2026-07-07</t>
        </is>
      </c>
      <c r="X67" t="inlineStr">
        <is>
          <t>Cursor / tender-response (batch)</t>
        </is>
      </c>
      <c r="Y67" t="inlineStr">
        <is>
          <t>Met</t>
        </is>
      </c>
      <c r="Z67" t="inlineStr">
        <is>
          <t>Verified</t>
        </is>
      </c>
      <c r="AA67" t="inlineStr">
        <is>
          <t>Verify: Deaktivering af kontakter — vurderet opfyldt (tool: 1. Fully met).</t>
        </is>
      </c>
      <c r="AB67" t="inlineStr"/>
      <c r="AC67" t="inlineStr">
        <is>
          <t>docs/product/RFP_Leverandørens_svar_utdrag.txt; docs/tender-reference/extracted/HSØ/02.00-Tietoevry-SSA-L-Bilag 2-Leverandørens beskrivelse av Tjenesten.txt; docs/tender-reference/extracted/NND/02.01-Tieto-Bilag 2-Vedlegg-Leverandørens utfyllende svar til kravtabell.txt</t>
        </is>
      </c>
      <c r="AD67" t="inlineStr">
        <is>
          <t>Anton: Confirm verify-tekst; opdatér review status efter tjek.</t>
        </is>
      </c>
      <c r="AE67" t="inlineStr"/>
      <c r="AF67" t="inlineStr">
        <is>
          <t>Draft</t>
        </is>
      </c>
      <c r="AG67" t="inlineStr">
        <is>
          <t>uim-esdh-full-2026-07-07</t>
        </is>
      </c>
    </row>
    <row r="68" ht="32" customHeight="1">
      <c r="A68" s="35" t="n">
        <v>67</v>
      </c>
      <c r="B68" s="35" t="inlineStr">
        <is>
          <t>MK-64</t>
        </is>
      </c>
      <c r="C68" s="35" t="inlineStr">
        <is>
          <t>Bilag 1.b</t>
        </is>
      </c>
      <c r="D68" s="35" t="inlineStr">
        <is>
          <t>Kontakter</t>
        </is>
      </c>
      <c r="E68" s="35" t="inlineStr">
        <is>
          <t>Deaktiverede kontakter</t>
        </is>
      </c>
      <c r="F68" s="35" t="inlineStr">
        <is>
          <t>ESDH-løsningen skal understøtte, at deaktiverede kontakter kan fremsøges i Løsningen.</t>
        </is>
      </c>
      <c r="G68" s="35" t="inlineStr">
        <is>
          <t>Mindstekrav</t>
        </is>
      </c>
      <c r="H68" s="35">
        <f>IF(G68="Evalueringskrav","Answer",(IF(G68="Krav","Check",(IF(G68="Mindstekrav","Verify","")))))</f>
        <v/>
      </c>
      <c r="I68" s="35" t="inlineStr">
        <is>
          <t>Ja</t>
        </is>
      </c>
      <c r="J68" s="35" t="n"/>
      <c r="K68" s="47" t="n"/>
      <c r="L68" s="35" t="inlineStr">
        <is>
          <t>Anton</t>
        </is>
      </c>
      <c r="M68" s="35" t="n"/>
      <c r="N68" s="35" t="n"/>
      <c r="O68" s="35" t="inlineStr">
        <is>
          <t>1. Fully met</t>
        </is>
      </c>
      <c r="P68" s="35" t="n"/>
      <c r="Q68" s="35" t="n"/>
      <c r="R68" s="35" t="n"/>
      <c r="S68" s="35" t="n"/>
      <c r="T68" s="35" t="n"/>
      <c r="U68" s="35" t="inlineStr">
        <is>
          <t>Not Started</t>
        </is>
      </c>
      <c r="V68" s="37">
        <f>IF(U68="Not Started",0%,IF(U68="Started",50%,IF(U68="Ready for review",70%,IF(U68="Reviewed - Content",80%,IF(U68="Reviewed - Format",90%,IF(U68="Done",100%,""))))))</f>
        <v/>
      </c>
      <c r="W68" t="inlineStr">
        <is>
          <t>2026-07-07</t>
        </is>
      </c>
      <c r="X68" t="inlineStr">
        <is>
          <t>Cursor / tender-response (batch)</t>
        </is>
      </c>
      <c r="Y68" t="inlineStr">
        <is>
          <t>Met</t>
        </is>
      </c>
      <c r="Z68" t="inlineStr">
        <is>
          <t>Lead</t>
        </is>
      </c>
      <c r="AA68" t="inlineStr">
        <is>
          <t>Verify: Deaktiverede kontakter — vurderet opfyldt (tool: 1. Fully met).</t>
        </is>
      </c>
      <c r="AB68" t="inlineStr"/>
      <c r="AC68" t="inlineStr">
        <is>
          <t>docs/tender-reference/extracted/KUM-SLKS/Bilag 3 - Kravspecifikation.txt; docs/tender-reference/extracted/Nationalbanken/Bilag 3.i Leverandørens Løsningsbeskrivelse.txt; docs/product/RFP_Leverandørens_svar_utdrag.txt</t>
        </is>
      </c>
      <c r="AD68" t="inlineStr">
        <is>
          <t>Anton: Confirm verify-tekst; opdatér review status efter tjek.</t>
        </is>
      </c>
      <c r="AE68" t="inlineStr"/>
      <c r="AF68" t="inlineStr">
        <is>
          <t>Draft</t>
        </is>
      </c>
      <c r="AG68" t="inlineStr">
        <is>
          <t>uim-esdh-full-2026-07-07</t>
        </is>
      </c>
    </row>
    <row r="69" ht="409.5" customHeight="1">
      <c r="A69" s="35" t="n">
        <v>68</v>
      </c>
      <c r="B69" s="35" t="inlineStr">
        <is>
          <t>EK-1</t>
        </is>
      </c>
      <c r="C69" s="35" t="inlineStr">
        <is>
          <t>Bilag 1.b</t>
        </is>
      </c>
      <c r="D69" s="35" t="inlineStr">
        <is>
          <t>Kontakter</t>
        </is>
      </c>
      <c r="E69" s="35" t="inlineStr">
        <is>
          <t>Udlændinge-overblik</t>
        </is>
      </c>
      <c r="F69" s="35" t="inlineStr">
        <is>
          <t>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t>
        </is>
      </c>
      <c r="G69" s="35" t="inlineStr">
        <is>
          <t>Evalueringskrav</t>
        </is>
      </c>
      <c r="H69" s="35">
        <f>IF(G69="Evalueringskrav","Answer",(IF(G69="Krav","Check",(IF(G69="Mindstekrav","Verify","")))))</f>
        <v/>
      </c>
      <c r="I69" s="35" t="inlineStr">
        <is>
          <t>Ja</t>
        </is>
      </c>
      <c r="J69" s="35" t="n"/>
      <c r="K69" s="47" t="n"/>
      <c r="L69" s="35" t="inlineStr">
        <is>
          <t>Claus</t>
        </is>
      </c>
      <c r="M69" s="35" t="n"/>
      <c r="N69" s="35" t="n"/>
      <c r="O69" s="35" t="n"/>
      <c r="P69" s="35" t="n"/>
      <c r="Q69" s="35" t="n"/>
      <c r="R69" s="35" t="n"/>
      <c r="S69" s="35" t="n"/>
      <c r="T69" s="35" t="n"/>
      <c r="U69" s="35" t="inlineStr">
        <is>
          <t>Not Started</t>
        </is>
      </c>
      <c r="V69" s="37">
        <f>IF(U69="Not Started",0%,IF(U69="Started",50%,IF(U69="Ready for review",70%,IF(U69="Reviewed - Content",80%,IF(U69="Reviewed - Format",90%,IF(U69="Done",100%,""))))))</f>
        <v/>
      </c>
      <c r="W69" t="inlineStr">
        <is>
          <t>2026-07-07</t>
        </is>
      </c>
      <c r="X69" t="inlineStr">
        <is>
          <t>Cursor / tender-response (MCP-enriched)</t>
        </is>
      </c>
      <c r="Y69" t="inlineStr">
        <is>
          <t>Draft needed</t>
        </is>
      </c>
      <c r="Z69" t="inlineStr">
        <is>
          <t>Lead</t>
        </is>
      </c>
      <c r="AA69" t="inlineStr">
        <is>
          <t>Answer: Udlændinge-overblik — informationskrav; udkast bilag/dokumentation mangler.</t>
        </is>
      </c>
      <c r="AB69" t="inlineStr">
        <is>
          <t>Mangler link til svar-bilag i kolonne T.</t>
        </is>
      </c>
      <c r="AC69" t="inlineStr">
        <is>
          <t>No help or wiki match for foreigner contact overview (udlændingeoverblik)</t>
        </is>
      </c>
      <c r="AD69" t="inlineStr">
        <is>
          <t>Claus: Opret/link svar-bilag; draft IK-tekst fra prior art.</t>
        </is>
      </c>
      <c r="AE69" t="inlineStr"/>
      <c r="AF69" t="inlineStr">
        <is>
          <t>Draft</t>
        </is>
      </c>
      <c r="AG69" t="inlineStr">
        <is>
          <t>uim-esdh-full-2026-07-07</t>
        </is>
      </c>
    </row>
    <row r="70" ht="48" customHeight="1">
      <c r="A70" s="35" t="n">
        <v>69</v>
      </c>
      <c r="B70" s="35" t="inlineStr">
        <is>
          <t>MK-65</t>
        </is>
      </c>
      <c r="C70" s="35" t="inlineStr">
        <is>
          <t>Bilag 1.b</t>
        </is>
      </c>
      <c r="D70" s="35" t="inlineStr">
        <is>
          <t>Søgning</t>
        </is>
      </c>
      <c r="E70" s="35" t="inlineStr">
        <is>
          <t>Søgning</t>
        </is>
      </c>
      <c r="F70" s="35" t="inlineStr">
        <is>
          <t>ESDH-løsningen skal understøtte, at der kan søges i alle standard- og Kundeoprettede felter.</t>
        </is>
      </c>
      <c r="G70" s="35" t="inlineStr">
        <is>
          <t>Mindstekrav</t>
        </is>
      </c>
      <c r="H70" s="35">
        <f>IF(G70="Evalueringskrav","Answer",(IF(G70="Krav","Check",(IF(G70="Mindstekrav","Verify","")))))</f>
        <v/>
      </c>
      <c r="I70" s="35" t="inlineStr">
        <is>
          <t>Ja</t>
        </is>
      </c>
      <c r="J70" s="35" t="n"/>
      <c r="K70" s="47" t="n"/>
      <c r="L70" s="35" t="inlineStr">
        <is>
          <t>Claus</t>
        </is>
      </c>
      <c r="M70" s="35" t="n"/>
      <c r="N70" s="35" t="n"/>
      <c r="O70" s="35" t="inlineStr">
        <is>
          <t>1. Fully met</t>
        </is>
      </c>
      <c r="P70" s="35" t="inlineStr">
        <is>
          <t>ADN: Search "in all fields" comes with a risc, especially if any external consultant is still involved from the customer side.</t>
        </is>
      </c>
      <c r="Q70" s="35" t="n"/>
      <c r="R70" s="35" t="inlineStr">
        <is>
          <t>Yes</t>
        </is>
      </c>
      <c r="S70" s="35" t="n"/>
      <c r="T70" s="35" t="n"/>
      <c r="U70" s="35" t="inlineStr">
        <is>
          <t>Not Started</t>
        </is>
      </c>
      <c r="V70" s="37">
        <f>IF(U70="Not Started",0%,IF(U70="Started",50%,IF(U70="Ready for review",70%,IF(U70="Reviewed - Content",80%,IF(U70="Reviewed - Format",90%,IF(U70="Done",100%,""))))))</f>
        <v/>
      </c>
      <c r="W70" t="inlineStr">
        <is>
          <t>2026-07-07</t>
        </is>
      </c>
      <c r="X70" t="inlineStr">
        <is>
          <t>Cursor / tender-response (batch)</t>
        </is>
      </c>
      <c r="Y70" t="inlineStr">
        <is>
          <t>Met</t>
        </is>
      </c>
      <c r="Z70" t="inlineStr">
        <is>
          <t>Verified</t>
        </is>
      </c>
      <c r="AA70" t="inlineStr">
        <is>
          <t>Verify: Søgning — vurderet opfyldt (tool: 1. Fully met).</t>
        </is>
      </c>
      <c r="AB70" t="inlineStr">
        <is>
          <t>ADN: Search "in all fields" comes with a risc, especially if any external consultant is still involved from the customer side.</t>
        </is>
      </c>
      <c r="AC70" t="inlineStr">
        <is>
          <t>docs/tender-reference/extracted/KK Tender tool.txt; docs/tender-reference/extracted/KUM-SLKS/Bilag 3 - Kravspecifikation.txt; docs/tender-reference/extracted/Nationalbanken/Bilag 3.i Leverandørens Løsningsbeskrivelse.txt</t>
        </is>
      </c>
      <c r="AD70" t="inlineStr">
        <is>
          <t>Claus: Confirm verify-tekst; opdatér review status efter tjek.</t>
        </is>
      </c>
      <c r="AE70" t="inlineStr"/>
      <c r="AF70" t="inlineStr">
        <is>
          <t>Draft</t>
        </is>
      </c>
      <c r="AG70" t="inlineStr">
        <is>
          <t>uim-esdh-full-2026-07-07</t>
        </is>
      </c>
    </row>
    <row r="71" ht="224" customHeight="1">
      <c r="A71" s="35" t="n">
        <v>70</v>
      </c>
      <c r="B71" s="35" t="inlineStr">
        <is>
          <t>MK-66</t>
        </is>
      </c>
      <c r="C71" s="35" t="inlineStr">
        <is>
          <t>Bilag 1.b</t>
        </is>
      </c>
      <c r="D71" s="35" t="inlineStr">
        <is>
          <t>Søgning</t>
        </is>
      </c>
      <c r="E71" s="35" t="inlineStr">
        <is>
          <t>Søgning på flere felter på samme tid</t>
        </is>
      </c>
      <c r="F71" s="35" t="inlineStr">
        <is>
          <t>ESDH-løsningen skal understøtte, at der kan søges på alle standard- og Kundeoprettede felter på samme tid i ESDH-løsningen.</t>
        </is>
      </c>
      <c r="G71" s="35" t="inlineStr">
        <is>
          <t>Mindstekrav</t>
        </is>
      </c>
      <c r="H71" s="35">
        <f>IF(G71="Evalueringskrav","Answer",(IF(G71="Krav","Check",(IF(G71="Mindstekrav","Verify","")))))</f>
        <v/>
      </c>
      <c r="I71" s="35" t="inlineStr">
        <is>
          <t>Ja</t>
        </is>
      </c>
      <c r="J71" s="35" t="n"/>
      <c r="K71" s="47" t="n"/>
      <c r="L71" s="35" t="inlineStr">
        <is>
          <t>Claus</t>
        </is>
      </c>
      <c r="M71" s="35" t="n"/>
      <c r="N71" s="35" t="inlineStr">
        <is>
          <t>Management Reporting API</t>
        </is>
      </c>
      <c r="O71" s="35" t="inlineStr">
        <is>
          <t>2. Partly met</t>
        </is>
      </c>
      <c r="P71" s="35"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t>
        </is>
      </c>
      <c r="Q71" s="35" t="inlineStr">
        <is>
          <t>Yes</t>
        </is>
      </c>
      <c r="R71" s="35" t="inlineStr">
        <is>
          <t>Yes</t>
        </is>
      </c>
      <c r="S71" s="35" t="n"/>
      <c r="T71" s="35" t="n"/>
      <c r="U71" s="35" t="inlineStr">
        <is>
          <t>Not Started</t>
        </is>
      </c>
      <c r="V71" s="37">
        <f>IF(U71="Not Started",0%,IF(U71="Started",50%,IF(U71="Ready for review",70%,IF(U71="Reviewed - Content",80%,IF(U71="Reviewed - Format",90%,IF(U71="Done",100%,""))))))</f>
        <v/>
      </c>
      <c r="W71" t="inlineStr">
        <is>
          <t>2026-07-07</t>
        </is>
      </c>
      <c r="X71" t="inlineStr">
        <is>
          <t>Cursor / tender-response (MCP-enriched)</t>
        </is>
      </c>
      <c r="Y71" t="inlineStr">
        <is>
          <t>Partial</t>
        </is>
      </c>
      <c r="Z71" t="inlineStr">
        <is>
          <t>Lead</t>
        </is>
      </c>
      <c r="AA71" t="inlineStr">
        <is>
          <t>Verify: Søgning på flere felter på samme tid — delvist opfyldt; afklar scope og scoring.</t>
        </is>
      </c>
      <c r="AB71"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 | Red flag: Det her krav er formuleret uden logiske begræsninger mellem entiteter, hvilke tikke giver mening. Det kan vi ikke understøtte.</t>
        </is>
      </c>
      <c r="AC71" t="inlineStr">
        <is>
          <t>Ratatoskr: Search and Result lists (admin-en); Advanced search (admin-en); 360° Search Assistant (admin-en) | Wiki: 6.8 release information; Feature Toggles 2025-2026</t>
        </is>
      </c>
      <c r="AD71" t="inlineStr">
        <is>
          <t>Claus: Afklar delkrav; align tool-rating (O) med AI compliance.</t>
        </is>
      </c>
      <c r="AE71" t="inlineStr"/>
      <c r="AF71" t="inlineStr">
        <is>
          <t>Draft</t>
        </is>
      </c>
      <c r="AG71" t="inlineStr">
        <is>
          <t>uim-esdh-full-2026-07-07</t>
        </is>
      </c>
    </row>
    <row r="72" ht="32" customHeight="1">
      <c r="A72" s="35" t="n">
        <v>71</v>
      </c>
      <c r="B72" s="35" t="inlineStr">
        <is>
          <t>MK-67</t>
        </is>
      </c>
      <c r="C72" s="35" t="inlineStr">
        <is>
          <t>Bilag 1.b</t>
        </is>
      </c>
      <c r="D72" s="35" t="inlineStr">
        <is>
          <t>Søgning</t>
        </is>
      </c>
      <c r="E72" s="35" t="inlineStr">
        <is>
          <t>Søgning på filindhold</t>
        </is>
      </c>
      <c r="F72" s="35" t="inlineStr">
        <is>
          <t>ESDH-løsningen skal understøtte søgning i indholdet af Filer.</t>
        </is>
      </c>
      <c r="G72" s="35" t="inlineStr">
        <is>
          <t>Mindstekrav</t>
        </is>
      </c>
      <c r="H72" s="35">
        <f>IF(G72="Evalueringskrav","Answer",(IF(G72="Krav","Check",(IF(G72="Mindstekrav","Verify","")))))</f>
        <v/>
      </c>
      <c r="I72" s="35" t="inlineStr">
        <is>
          <t>Ja</t>
        </is>
      </c>
      <c r="J72" s="35" t="n"/>
      <c r="K72" s="47" t="n"/>
      <c r="L72" s="35" t="inlineStr">
        <is>
          <t>Anton</t>
        </is>
      </c>
      <c r="M72" s="35" t="n"/>
      <c r="N72" s="35" t="n"/>
      <c r="O72" s="35" t="inlineStr">
        <is>
          <t>1. Fully met</t>
        </is>
      </c>
      <c r="P72" s="35" t="n"/>
      <c r="Q72" s="35" t="n"/>
      <c r="R72" s="35" t="n"/>
      <c r="S72" s="35" t="n"/>
      <c r="T72" s="35" t="n"/>
      <c r="U72" s="35" t="inlineStr">
        <is>
          <t>Not Started</t>
        </is>
      </c>
      <c r="V72" s="37">
        <f>IF(U72="Not Started",0%,IF(U72="Started",50%,IF(U72="Ready for review",70%,IF(U72="Reviewed - Content",80%,IF(U72="Reviewed - Format",90%,IF(U72="Done",100%,""))))))</f>
        <v/>
      </c>
      <c r="W72" t="inlineStr">
        <is>
          <t>2026-07-07</t>
        </is>
      </c>
      <c r="X72" t="inlineStr">
        <is>
          <t>Cursor / tender-response (batch)</t>
        </is>
      </c>
      <c r="Y72" t="inlineStr">
        <is>
          <t>Met</t>
        </is>
      </c>
      <c r="Z72" t="inlineStr">
        <is>
          <t>Verified</t>
        </is>
      </c>
      <c r="AA72" t="inlineStr">
        <is>
          <t>Verify: Søgning på filindhold — vurderet opfyldt (tool: 1. Fully met).</t>
        </is>
      </c>
      <c r="AB72" t="inlineStr"/>
      <c r="AC72" t="inlineStr">
        <is>
          <t>docs/tender-reference/extracted/Nationalbanken/Bilag 3.i Leverandørens Løsningsbeskrivelse.txt; docs/tender-reference/extracted/KK Tender tool.txt; docs/tender-reference/extracted/KUM-SLKS/Bilag 3 - Kravspecifikation.txt</t>
        </is>
      </c>
      <c r="AD72" t="inlineStr">
        <is>
          <t>Anton: Confirm verify-tekst; opdatér review status efter tjek.</t>
        </is>
      </c>
      <c r="AE72" t="inlineStr"/>
      <c r="AF72" t="inlineStr">
        <is>
          <t>Draft</t>
        </is>
      </c>
      <c r="AG72" t="inlineStr">
        <is>
          <t>uim-esdh-full-2026-07-07</t>
        </is>
      </c>
    </row>
    <row r="73" ht="80" customHeight="1">
      <c r="A73" s="35" t="n">
        <v>72</v>
      </c>
      <c r="B73" s="35" t="inlineStr">
        <is>
          <t>MK-68</t>
        </is>
      </c>
      <c r="C73" s="35" t="inlineStr">
        <is>
          <t>Bilag 1.b</t>
        </is>
      </c>
      <c r="D73" s="35" t="inlineStr">
        <is>
          <t>Søgning</t>
        </is>
      </c>
      <c r="E73" s="35" t="inlineStr">
        <is>
          <t>Trunkering i avanceret søgning</t>
        </is>
      </c>
      <c r="F73" s="35" t="inlineStr">
        <is>
          <t>ESDH-løsningen skal understøtte, at Brugeren kan anvende trunkering, hvis der ønskes søgning på begyndelsen eller slutningen af et ord.</t>
        </is>
      </c>
      <c r="G73" s="35" t="inlineStr">
        <is>
          <t>Mindstekrav</t>
        </is>
      </c>
      <c r="H73" s="35">
        <f>IF(G73="Evalueringskrav","Answer",(IF(G73="Krav","Check",(IF(G73="Mindstekrav","Verify","")))))</f>
        <v/>
      </c>
      <c r="I73" s="35" t="inlineStr">
        <is>
          <t>Ja</t>
        </is>
      </c>
      <c r="J73" s="35" t="n"/>
      <c r="K73" s="47" t="n"/>
      <c r="L73" s="35" t="inlineStr">
        <is>
          <t>Anton</t>
        </is>
      </c>
      <c r="M73" s="35" t="n"/>
      <c r="N73" s="35" t="n"/>
      <c r="O73" s="35" t="inlineStr">
        <is>
          <t>1. Fully met</t>
        </is>
      </c>
      <c r="P73" s="35" t="inlineStr">
        <is>
          <t>ADN Det her lugter af at være målrettet os givet titlen, fordi de ved vi ikke kan i den avancerede søgning - men kravteksten indeholder det ikke, "Avanceret søg" og derfor bør vi være OK med kravet.</t>
        </is>
      </c>
      <c r="Q73" s="35" t="n"/>
      <c r="R73" s="35" t="n"/>
      <c r="S73" s="35" t="n"/>
      <c r="T73" s="35" t="n"/>
      <c r="U73" s="35" t="inlineStr">
        <is>
          <t>Not Started</t>
        </is>
      </c>
      <c r="V73" s="37">
        <f>IF(U73="Not Started",0%,IF(U73="Started",50%,IF(U73="Ready for review",70%,IF(U73="Reviewed - Content",80%,IF(U73="Reviewed - Format",90%,IF(U73="Done",100%,""))))))</f>
        <v/>
      </c>
      <c r="W73" t="inlineStr">
        <is>
          <t>2026-07-07</t>
        </is>
      </c>
      <c r="X73" t="inlineStr">
        <is>
          <t>Cursor / tender-response (MCP-enriched)</t>
        </is>
      </c>
      <c r="Y73" t="inlineStr">
        <is>
          <t>Met</t>
        </is>
      </c>
      <c r="Z73" t="inlineStr">
        <is>
          <t>Lead</t>
        </is>
      </c>
      <c r="AA73" t="inlineStr">
        <is>
          <t>Verify: Trunkering i avanceret søgning — vurderet opfyldt (tool: 1. Fully met).</t>
        </is>
      </c>
      <c r="AB73" t="inlineStr">
        <is>
          <t>ADN Det her lugter af at være målrettet os givet titlen, fordi de ved vi ikke kan i den avancerede søgning - men kravteksten indeholder det ikke, "Avanceret søg" og derfor bør vi være OK med kravet. | Red flag: Det her lugter af at være givet titlen her, fordi de ved vi ikke kan i den avancerede søgning - men kravteksten indeholder det ikke, og derfor bør vi være OK med kravet</t>
        </is>
      </c>
      <c r="AC73" t="inlineStr">
        <is>
          <t>Ratatoskr: Advanced search (admin-en) | Wiki: Build log hotfix packages</t>
        </is>
      </c>
      <c r="AD73" t="inlineStr">
        <is>
          <t>Anton: Confirm verify-tekst; opdatér review status efter tjek.</t>
        </is>
      </c>
      <c r="AE73" t="inlineStr"/>
      <c r="AF73" t="inlineStr">
        <is>
          <t>Draft</t>
        </is>
      </c>
      <c r="AG73" t="inlineStr">
        <is>
          <t>uim-esdh-full-2026-07-07</t>
        </is>
      </c>
    </row>
    <row r="74" ht="32" customHeight="1">
      <c r="A74" s="35" t="n">
        <v>73</v>
      </c>
      <c r="B74" s="35" t="inlineStr">
        <is>
          <t>MK-69</t>
        </is>
      </c>
      <c r="C74" s="35" t="inlineStr">
        <is>
          <t>Bilag 1.b</t>
        </is>
      </c>
      <c r="D74" s="35" t="inlineStr">
        <is>
          <t>Søgning</t>
        </is>
      </c>
      <c r="E74" s="35" t="inlineStr">
        <is>
          <t>Gemte søgninger</t>
        </is>
      </c>
      <c r="F74" s="35" t="inlineStr">
        <is>
          <t>ESDH-løsningen skal understøtte, at søgninger kan gemmes i Løsningen og deles af Brugere.</t>
        </is>
      </c>
      <c r="G74" s="35" t="inlineStr">
        <is>
          <t>Mindstekrav</t>
        </is>
      </c>
      <c r="H74" s="35">
        <f>IF(G74="Evalueringskrav","Answer",(IF(G74="Krav","Check",(IF(G74="Mindstekrav","Verify","")))))</f>
        <v/>
      </c>
      <c r="I74" s="35" t="inlineStr">
        <is>
          <t>Ja</t>
        </is>
      </c>
      <c r="J74" s="35" t="n"/>
      <c r="K74" s="47" t="n"/>
      <c r="L74" s="35" t="inlineStr">
        <is>
          <t>Anton</t>
        </is>
      </c>
      <c r="M74" s="35" t="n"/>
      <c r="N74" s="35" t="n"/>
      <c r="O74" s="35" t="inlineStr">
        <is>
          <t>1. Fully met</t>
        </is>
      </c>
      <c r="P74" s="35" t="inlineStr">
        <is>
          <t>ADN: Configure Share saved search Toggle</t>
        </is>
      </c>
      <c r="Q74" s="35" t="n"/>
      <c r="R74" s="35" t="n"/>
      <c r="S74" s="35" t="n"/>
      <c r="T74" s="35" t="n"/>
      <c r="U74" s="35" t="inlineStr">
        <is>
          <t>Not Started</t>
        </is>
      </c>
      <c r="V74" s="37">
        <f>IF(U74="Not Started",0%,IF(U74="Started",50%,IF(U74="Ready for review",70%,IF(U74="Reviewed - Content",80%,IF(U74="Reviewed - Format",90%,IF(U74="Done",100%,""))))))</f>
        <v/>
      </c>
      <c r="W74" t="inlineStr">
        <is>
          <t>2026-07-07</t>
        </is>
      </c>
      <c r="X74" t="inlineStr">
        <is>
          <t>Cursor / tender-response (batch)</t>
        </is>
      </c>
      <c r="Y74" t="inlineStr">
        <is>
          <t>Met</t>
        </is>
      </c>
      <c r="Z74" t="inlineStr">
        <is>
          <t>Verified</t>
        </is>
      </c>
      <c r="AA74" t="inlineStr">
        <is>
          <t>Verify: Gemte søgninger — vurderet opfyldt (tool: 1. Fully met).</t>
        </is>
      </c>
      <c r="AB74" t="inlineStr">
        <is>
          <t>ADN: Configure Share saved search Toggle</t>
        </is>
      </c>
      <c r="AC74" t="inlineStr">
        <is>
          <t>docs/tender-reference/extracted/KK Tender tool.txt; docs/tender-reference/extracted/KUM-SLKS/Bilag 3 - Kravspecifikation.txt; docs/tender-reference/extracted/Nationalbanken/Bilag 3.i Leverandørens Løsningsbeskrivelse.txt</t>
        </is>
      </c>
      <c r="AD74" t="inlineStr">
        <is>
          <t>Anton: Confirm verify-tekst; opdatér review status efter tjek.</t>
        </is>
      </c>
      <c r="AE74" t="inlineStr"/>
      <c r="AF74" t="inlineStr">
        <is>
          <t>Draft</t>
        </is>
      </c>
      <c r="AG74" t="inlineStr">
        <is>
          <t>uim-esdh-full-2026-07-07</t>
        </is>
      </c>
    </row>
    <row r="75" ht="64" customHeight="1">
      <c r="A75" s="35" t="n">
        <v>74</v>
      </c>
      <c r="B75" s="35" t="inlineStr">
        <is>
          <t>MK-70</t>
        </is>
      </c>
      <c r="C75" s="35" t="inlineStr">
        <is>
          <t>Bilag 1.b</t>
        </is>
      </c>
      <c r="D75" s="35" t="inlineStr">
        <is>
          <t>Søgning</t>
        </is>
      </c>
      <c r="E75" s="35" t="inlineStr">
        <is>
          <t>Søgeresultater</t>
        </is>
      </c>
      <c r="F75" s="35" t="inlineStr">
        <is>
          <t>ESDH-løsningen skal understøtte, at alle felter kan vises i søgeresultaternes visningslister.</t>
        </is>
      </c>
      <c r="G75" s="35" t="inlineStr">
        <is>
          <t>Mindstekrav</t>
        </is>
      </c>
      <c r="H75" s="35">
        <f>IF(G75="Evalueringskrav","Answer",(IF(G75="Krav","Check",(IF(G75="Mindstekrav","Verify","")))))</f>
        <v/>
      </c>
      <c r="I75" s="35" t="inlineStr">
        <is>
          <t>Ja</t>
        </is>
      </c>
      <c r="J75" s="35" t="n"/>
      <c r="K75" s="47" t="n"/>
      <c r="L75" s="35" t="inlineStr">
        <is>
          <t>Claus</t>
        </is>
      </c>
      <c r="M75" s="35" t="n"/>
      <c r="N75" s="35" t="n"/>
      <c r="O75" s="35" t="inlineStr">
        <is>
          <t>2. Partly met</t>
        </is>
      </c>
      <c r="P75" s="35" t="inlineStr">
        <is>
          <t>ADN: ”Alle felter” - godt nok afgrænset til søgeresultater, men stadig en stor risc, fra en ondsindet kunde.
Vi må spørge willy</t>
        </is>
      </c>
      <c r="Q75" s="35" t="n"/>
      <c r="R75" s="35" t="inlineStr">
        <is>
          <t>Yes</t>
        </is>
      </c>
      <c r="S75" s="35" t="n"/>
      <c r="T75" s="35" t="n"/>
      <c r="U75" s="35" t="inlineStr">
        <is>
          <t>Not Started</t>
        </is>
      </c>
      <c r="V75" s="37">
        <f>IF(U75="Not Started",0%,IF(U75="Started",50%,IF(U75="Ready for review",70%,IF(U75="Reviewed - Content",80%,IF(U75="Reviewed - Format",90%,IF(U75="Done",100%,""))))))</f>
        <v/>
      </c>
      <c r="W75" t="inlineStr">
        <is>
          <t>2026-07-07</t>
        </is>
      </c>
      <c r="X75" t="inlineStr">
        <is>
          <t>Cursor / tender-response (MCP-enriched)</t>
        </is>
      </c>
      <c r="Y75" t="inlineStr">
        <is>
          <t>Partial</t>
        </is>
      </c>
      <c r="Z75" t="inlineStr">
        <is>
          <t>Lead</t>
        </is>
      </c>
      <c r="AA75" t="inlineStr">
        <is>
          <t>Verify: Søgeresultater — delvist opfyldt; afklar scope og scoring.</t>
        </is>
      </c>
      <c r="AB75" t="inlineStr">
        <is>
          <t>ADN: ”Alle felter” - godt nok afgrænset til søgeresultater, men stadig en stor risc, fra en ondsindet kunde.
Vi må spørge willy | Red flag: ”Alle felter” - godt nok afgrænset til søgeresultater, men stadig en stor risc, fra en ondsindet kunde.</t>
        </is>
      </c>
      <c r="AC75" t="inlineStr">
        <is>
          <t>Ratatoskr: Search and Result lists (admin-en) | Wiki: CIM - How to create Reports</t>
        </is>
      </c>
      <c r="AD75" t="inlineStr">
        <is>
          <t>Claus: Afklar delkrav; align tool-rating (O) med AI compliance.</t>
        </is>
      </c>
      <c r="AE75" t="inlineStr"/>
      <c r="AF75" t="inlineStr">
        <is>
          <t>Draft</t>
        </is>
      </c>
      <c r="AG75" t="inlineStr">
        <is>
          <t>uim-esdh-full-2026-07-07</t>
        </is>
      </c>
    </row>
    <row r="76" ht="48" customHeight="1">
      <c r="A76" s="35" t="n">
        <v>75</v>
      </c>
      <c r="B76" s="35" t="inlineStr">
        <is>
          <t>MK-71</t>
        </is>
      </c>
      <c r="C76" s="35" t="inlineStr">
        <is>
          <t>Bilag 1.b</t>
        </is>
      </c>
      <c r="D76" s="35" t="inlineStr">
        <is>
          <t>Søgning</t>
        </is>
      </c>
      <c r="E76" s="35" t="inlineStr">
        <is>
          <t>Søgning i dropdown-felter ved registrering</t>
        </is>
      </c>
      <c r="F76" s="35" t="inlineStr">
        <is>
          <t>ESDH-løsningen skal understøtte, at der kan søges på værdier i alle dropdown-felter.</t>
        </is>
      </c>
      <c r="G76" s="35" t="inlineStr">
        <is>
          <t>Mindstekrav</t>
        </is>
      </c>
      <c r="H76" s="35">
        <f>IF(G76="Evalueringskrav","Answer",(IF(G76="Krav","Check",(IF(G76="Mindstekrav","Verify","")))))</f>
        <v/>
      </c>
      <c r="I76" s="35" t="inlineStr">
        <is>
          <t>Ja</t>
        </is>
      </c>
      <c r="J76" s="35" t="n"/>
      <c r="K76" s="47" t="n"/>
      <c r="L76" s="35" t="inlineStr">
        <is>
          <t>Anton</t>
        </is>
      </c>
      <c r="M76" s="35" t="n"/>
      <c r="N76" s="35" t="n"/>
      <c r="O76" s="35" t="inlineStr">
        <is>
          <t>1. Fully met</t>
        </is>
      </c>
      <c r="P76" s="35" t="inlineStr">
        <is>
          <t>ADN: Requirement contains the word "All" but i cant come up with anywhere, where we dont support this.</t>
        </is>
      </c>
      <c r="Q76" s="35" t="n"/>
      <c r="R76" s="35" t="inlineStr">
        <is>
          <t>Yes</t>
        </is>
      </c>
      <c r="S76" s="35" t="n"/>
      <c r="T76" s="35" t="n"/>
      <c r="U76" s="35" t="inlineStr">
        <is>
          <t>Not Started</t>
        </is>
      </c>
      <c r="V76" s="37">
        <f>IF(U76="Not Started",0%,IF(U76="Started",50%,IF(U76="Ready for review",70%,IF(U76="Reviewed - Content",80%,IF(U76="Reviewed - Format",90%,IF(U76="Done",100%,""))))))</f>
        <v/>
      </c>
      <c r="W76" t="inlineStr">
        <is>
          <t>2026-07-07</t>
        </is>
      </c>
      <c r="X76" t="inlineStr">
        <is>
          <t>Cursor / tender-response (batch)</t>
        </is>
      </c>
      <c r="Y76" t="inlineStr">
        <is>
          <t>Met</t>
        </is>
      </c>
      <c r="Z76" t="inlineStr">
        <is>
          <t>Verified</t>
        </is>
      </c>
      <c r="AA76" t="inlineStr">
        <is>
          <t>Verify: Søgning i dropdown-felter ved registrering — vurderet opfyldt (tool: 1. Fully met).</t>
        </is>
      </c>
      <c r="AB76" t="inlineStr">
        <is>
          <t>ADN: Requirement contains the word "All" but i cant come up with anywhere, where we dont support this.</t>
        </is>
      </c>
      <c r="AC76" t="inlineStr">
        <is>
          <t>docs/tender-reference/extracted/KUM-SLKS/Bilag 3 - Kravspecifikation.txt; docs/tender-reference/extracted/Nationalbanken/Bilag 3.i Leverandørens Løsningsbeskrivelse.txt; docs/tender-reference/extracted/KK Tender tool.txt</t>
        </is>
      </c>
      <c r="AD76" t="inlineStr">
        <is>
          <t>Anton: Confirm verify-tekst; opdatér review status efter tjek.</t>
        </is>
      </c>
      <c r="AE76" t="inlineStr"/>
      <c r="AF76" t="inlineStr">
        <is>
          <t>Draft</t>
        </is>
      </c>
      <c r="AG76" t="inlineStr">
        <is>
          <t>uim-esdh-full-2026-07-07</t>
        </is>
      </c>
    </row>
    <row r="77" ht="48" customHeight="1">
      <c r="A77" s="35" t="n">
        <v>76</v>
      </c>
      <c r="B77" s="35" t="inlineStr">
        <is>
          <t>MK-72</t>
        </is>
      </c>
      <c r="C77" s="35" t="inlineStr">
        <is>
          <t>Bilag 1.b</t>
        </is>
      </c>
      <c r="D77" s="35" t="inlineStr">
        <is>
          <t>Søgning</t>
        </is>
      </c>
      <c r="E77" s="35" t="inlineStr">
        <is>
          <t>Søgning på alle niveauer i journalplan</t>
        </is>
      </c>
      <c r="F77" s="35" t="inlineStr">
        <is>
          <t>ESDH-løsningen skal understøtte, at der kan søges på alle niveauer i journalplanen.</t>
        </is>
      </c>
      <c r="G77" s="35" t="inlineStr">
        <is>
          <t>Mindstekrav</t>
        </is>
      </c>
      <c r="H77" s="35">
        <f>IF(G77="Evalueringskrav","Answer",(IF(G77="Krav","Check",(IF(G77="Mindstekrav","Verify","")))))</f>
        <v/>
      </c>
      <c r="I77" s="35" t="inlineStr">
        <is>
          <t>Ja</t>
        </is>
      </c>
      <c r="J77" s="35" t="n"/>
      <c r="K77" s="47" t="n"/>
      <c r="L77" s="35" t="inlineStr">
        <is>
          <t>Anton</t>
        </is>
      </c>
      <c r="M77" s="35" t="n"/>
      <c r="N77" s="35" t="n"/>
      <c r="O77" s="35" t="inlineStr">
        <is>
          <t>1. Fully met</t>
        </is>
      </c>
      <c r="P77" s="35" t="inlineStr">
        <is>
          <t>ADN: We got the commitment on KUM</t>
        </is>
      </c>
      <c r="Q77" s="35" t="n"/>
      <c r="R77" s="35" t="n"/>
      <c r="S77" s="35" t="n"/>
      <c r="T77" s="35" t="n"/>
      <c r="U77" s="35" t="inlineStr">
        <is>
          <t>Not Started</t>
        </is>
      </c>
      <c r="V77" s="37">
        <f>IF(U77="Not Started",0%,IF(U77="Started",50%,IF(U77="Ready for review",70%,IF(U77="Reviewed - Content",80%,IF(U77="Reviewed - Format",90%,IF(U77="Done",100%,""))))))</f>
        <v/>
      </c>
      <c r="W77" t="inlineStr">
        <is>
          <t>2026-07-07</t>
        </is>
      </c>
      <c r="X77" t="inlineStr">
        <is>
          <t>Cursor / tender-response (batch)</t>
        </is>
      </c>
      <c r="Y77" t="inlineStr">
        <is>
          <t>Met</t>
        </is>
      </c>
      <c r="Z77" t="inlineStr">
        <is>
          <t>Verified</t>
        </is>
      </c>
      <c r="AA77" t="inlineStr">
        <is>
          <t>Verify: Søgning på alle niveauer i journalplan — vurderet opfyldt (tool: 1. Fully met).</t>
        </is>
      </c>
      <c r="AB77" t="inlineStr">
        <is>
          <t>ADN: We got the commitment on KUM</t>
        </is>
      </c>
      <c r="AC77" t="inlineStr">
        <is>
          <t>docs/tender-reference/extracted/KUM-SLKS/Bilag 3 - Kravspecifikation.txt; docs/tender-reference/extracted/Nationalbanken/Bilag 3.i Leverandørens Løsningsbeskrivelse.txt; docs/tender-reference/extracted/KK Tender tool.txt</t>
        </is>
      </c>
      <c r="AD77" t="inlineStr">
        <is>
          <t>Anton: Confirm verify-tekst; opdatér review status efter tjek.</t>
        </is>
      </c>
      <c r="AE77" t="inlineStr"/>
      <c r="AF77" t="inlineStr">
        <is>
          <t>Draft</t>
        </is>
      </c>
      <c r="AG77" t="inlineStr">
        <is>
          <t>uim-esdh-full-2026-07-07</t>
        </is>
      </c>
    </row>
    <row r="78" ht="48" customHeight="1">
      <c r="A78" s="35" t="n">
        <v>77</v>
      </c>
      <c r="B78" s="35" t="inlineStr">
        <is>
          <t>MK-73</t>
        </is>
      </c>
      <c r="C78" s="35" t="inlineStr">
        <is>
          <t>Bilag 1.b</t>
        </is>
      </c>
      <c r="D78" s="35" t="inlineStr">
        <is>
          <t>Søgning</t>
        </is>
      </c>
      <c r="E78" s="35" t="inlineStr">
        <is>
          <t>Søgning på tværs af Entiteter</t>
        </is>
      </c>
      <c r="F78" s="35" t="inlineStr">
        <is>
          <t>ESDH-løsningen skal understøtte, at der kan søges på tværs af Entiteter.</t>
        </is>
      </c>
      <c r="G78" s="35" t="inlineStr">
        <is>
          <t>Mindstekrav</t>
        </is>
      </c>
      <c r="H78" s="35">
        <f>IF(G78="Evalueringskrav","Answer",(IF(G78="Krav","Check",(IF(G78="Mindstekrav","Verify","")))))</f>
        <v/>
      </c>
      <c r="I78" s="35" t="inlineStr">
        <is>
          <t>Ja</t>
        </is>
      </c>
      <c r="J78" s="35" t="n"/>
      <c r="K78" s="47" t="n"/>
      <c r="L78" s="35" t="inlineStr">
        <is>
          <t>Anton</t>
        </is>
      </c>
      <c r="M78" s="35" t="n"/>
      <c r="N78" s="35" t="n"/>
      <c r="O78" s="35" t="inlineStr">
        <is>
          <t>1. Fully met</t>
        </is>
      </c>
      <c r="P78" s="35" t="n"/>
      <c r="Q78" s="35" t="n"/>
      <c r="R78" s="35" t="n"/>
      <c r="S78" s="35" t="n"/>
      <c r="T78" s="35" t="n"/>
      <c r="U78" s="35" t="inlineStr">
        <is>
          <t>Not Started</t>
        </is>
      </c>
      <c r="V78" s="37">
        <f>IF(U78="Not Started",0%,IF(U78="Started",50%,IF(U78="Ready for review",70%,IF(U78="Reviewed - Content",80%,IF(U78="Reviewed - Format",90%,IF(U78="Done",100%,""))))))</f>
        <v/>
      </c>
      <c r="W78" t="inlineStr">
        <is>
          <t>2026-07-07</t>
        </is>
      </c>
      <c r="X78" t="inlineStr">
        <is>
          <t>Cursor / tender-response (batch)</t>
        </is>
      </c>
      <c r="Y78" t="inlineStr">
        <is>
          <t>Met</t>
        </is>
      </c>
      <c r="Z78" t="inlineStr">
        <is>
          <t>Verified</t>
        </is>
      </c>
      <c r="AA78" t="inlineStr">
        <is>
          <t>Verify: Søgning på tværs af Entiteter — vurderet opfyldt (tool: 1. Fully met).</t>
        </is>
      </c>
      <c r="AB78" t="inlineStr"/>
      <c r="AC78" t="inlineStr">
        <is>
          <t>docs/tender-reference/extracted/Nationalbanken/Bilag 3.i Leverandørens Løsningsbeskrivelse.txt; docs/tender-reference/extracted/KK Tender tool.txt; docs/tender-reference/extracted/KUM-SLKS/Bilag 3 - Kravspecifikation.txt</t>
        </is>
      </c>
      <c r="AD78" t="inlineStr">
        <is>
          <t>Anton: Confirm verify-tekst; opdatér review status efter tjek.</t>
        </is>
      </c>
      <c r="AE78" t="inlineStr"/>
      <c r="AF78" t="inlineStr">
        <is>
          <t>Draft</t>
        </is>
      </c>
      <c r="AG78" t="inlineStr">
        <is>
          <t>uim-esdh-full-2026-07-07</t>
        </is>
      </c>
    </row>
    <row r="79" ht="64" customHeight="1">
      <c r="A79" s="35" t="n">
        <v>78</v>
      </c>
      <c r="B79" s="35" t="inlineStr">
        <is>
          <t>MK-74</t>
        </is>
      </c>
      <c r="C79" s="35" t="inlineStr">
        <is>
          <t>Bilag 1.b</t>
        </is>
      </c>
      <c r="D79" s="35" t="inlineStr">
        <is>
          <t>Søgning</t>
        </is>
      </c>
      <c r="E79" s="35" t="inlineStr">
        <is>
          <t>Søgebilleder - Entiteter</t>
        </is>
      </c>
      <c r="F79" s="35" t="inlineStr">
        <is>
          <t>ESDH-løsningen skal understøtte, at Kunden kan opsætte og konfigurere søgebilleder for alle Løsningens standard- og Kundeoprettede Entiteter.</t>
        </is>
      </c>
      <c r="G79" s="35" t="inlineStr">
        <is>
          <t>Mindstekrav</t>
        </is>
      </c>
      <c r="H79" s="35">
        <f>IF(G79="Evalueringskrav","Answer",(IF(G79="Krav","Check",(IF(G79="Mindstekrav","Verify","")))))</f>
        <v/>
      </c>
      <c r="I79" s="35" t="inlineStr">
        <is>
          <t>Ja</t>
        </is>
      </c>
      <c r="J79" s="35" t="n"/>
      <c r="K79" s="47" t="n"/>
      <c r="L79" s="35" t="inlineStr">
        <is>
          <t>Claus</t>
        </is>
      </c>
      <c r="M79" s="35" t="n"/>
      <c r="N79" s="35" t="n"/>
      <c r="O79" s="35" t="inlineStr">
        <is>
          <t>2. Partly met</t>
        </is>
      </c>
      <c r="P79" s="35" t="inlineStr">
        <is>
          <t>ADN: Det understøtter vi ikke.
COuld we argue, that it doesnt state it should remember these configurations, and therefore we live up to it?</t>
        </is>
      </c>
      <c r="Q79" s="35" t="n"/>
      <c r="R79" s="35" t="n"/>
      <c r="S79" s="35" t="n"/>
      <c r="T79" s="35" t="n"/>
      <c r="U79" s="35" t="inlineStr">
        <is>
          <t>Not Started</t>
        </is>
      </c>
      <c r="V79" s="37">
        <f>IF(U79="Not Started",0%,IF(U79="Started",50%,IF(U79="Ready for review",70%,IF(U79="Reviewed - Content",80%,IF(U79="Reviewed - Format",90%,IF(U79="Done",100%,""))))))</f>
        <v/>
      </c>
      <c r="W79" t="inlineStr">
        <is>
          <t>2026-07-07</t>
        </is>
      </c>
      <c r="X79" t="inlineStr">
        <is>
          <t>Cursor / tender-response (MCP-enriched)</t>
        </is>
      </c>
      <c r="Y79" t="inlineStr">
        <is>
          <t>Partial</t>
        </is>
      </c>
      <c r="Z79" t="inlineStr">
        <is>
          <t>Lead</t>
        </is>
      </c>
      <c r="AA79" t="inlineStr">
        <is>
          <t>Verify: Søgebilleder - Entiteter — delvist opfyldt; afklar scope og scoring.</t>
        </is>
      </c>
      <c r="AB79" t="inlineStr">
        <is>
          <t>ADN: Det understøtter vi ikke.
COuld we argue, that it doesnt state it should remember these configurations, and therefore we live up to it? | Red flag: Det understøtter vi ikke.</t>
        </is>
      </c>
      <c r="AC79" t="inlineStr">
        <is>
          <t>Ratatoskr: Advanced search (admin-en); Search and Result lists (admin-en) | Wiki: 5.11 release information</t>
        </is>
      </c>
      <c r="AD79" t="inlineStr">
        <is>
          <t>Claus: Afklar delkrav; align tool-rating (O) med AI compliance.</t>
        </is>
      </c>
      <c r="AE79" t="inlineStr"/>
      <c r="AF79" t="inlineStr">
        <is>
          <t>Draft</t>
        </is>
      </c>
      <c r="AG79" t="inlineStr">
        <is>
          <t>uim-esdh-full-2026-07-07</t>
        </is>
      </c>
    </row>
    <row r="80" ht="64" customHeight="1">
      <c r="A80" s="35" t="n">
        <v>79</v>
      </c>
      <c r="B80" s="35" t="inlineStr">
        <is>
          <t>MK-75</t>
        </is>
      </c>
      <c r="C80" s="35" t="inlineStr">
        <is>
          <t>Bilag 1.b</t>
        </is>
      </c>
      <c r="D80" s="35" t="inlineStr">
        <is>
          <t>Søgning</t>
        </is>
      </c>
      <c r="E80" s="35" t="inlineStr">
        <is>
          <t>Søgebilleder - Felter</t>
        </is>
      </c>
      <c r="F80" s="35" t="inlineStr">
        <is>
          <t>ESDH-løsningen skal understøtte, at Kunden selv kan definere og konfigurere, hvilke standard- og Kundeoprettede felter søgebilledet skal indeholde.</t>
        </is>
      </c>
      <c r="G80" s="35" t="inlineStr">
        <is>
          <t>Mindstekrav</t>
        </is>
      </c>
      <c r="H80" s="35">
        <f>IF(G80="Evalueringskrav","Answer",(IF(G80="Krav","Check",(IF(G80="Mindstekrav","Verify","")))))</f>
        <v/>
      </c>
      <c r="I80" s="35" t="inlineStr">
        <is>
          <t>Ja</t>
        </is>
      </c>
      <c r="J80" s="35" t="n"/>
      <c r="K80" s="47" t="n"/>
      <c r="L80" s="35" t="inlineStr">
        <is>
          <t>Claus</t>
        </is>
      </c>
      <c r="M80" s="35" t="n"/>
      <c r="N80" s="35" t="n"/>
      <c r="O80" s="35" t="inlineStr">
        <is>
          <t>2. Partly met</t>
        </is>
      </c>
      <c r="P80" s="35" t="inlineStr">
        <is>
          <t>ADN: Det understøtter vi ikke.
COuld we argue, that it doesnt state it should remember these configurations, and therefore we live up to it?</t>
        </is>
      </c>
      <c r="Q80" s="35" t="n"/>
      <c r="R80" s="35" t="n"/>
      <c r="S80" s="35" t="n"/>
      <c r="T80" s="35" t="n"/>
      <c r="U80" s="35" t="inlineStr">
        <is>
          <t>Not Started</t>
        </is>
      </c>
      <c r="V80" s="37">
        <f>IF(U80="Not Started",0%,IF(U80="Started",50%,IF(U80="Ready for review",70%,IF(U80="Reviewed - Content",80%,IF(U80="Reviewed - Format",90%,IF(U80="Done",100%,""))))))</f>
        <v/>
      </c>
      <c r="W80" t="inlineStr">
        <is>
          <t>2026-07-07</t>
        </is>
      </c>
      <c r="X80" t="inlineStr">
        <is>
          <t>Cursor / tender-response (MCP-enriched)</t>
        </is>
      </c>
      <c r="Y80" t="inlineStr">
        <is>
          <t>Partial</t>
        </is>
      </c>
      <c r="Z80" t="inlineStr">
        <is>
          <t>Lead</t>
        </is>
      </c>
      <c r="AA80" t="inlineStr">
        <is>
          <t>Verify: Søgebilleder - Felter — delvist opfyldt; afklar scope og scoring.</t>
        </is>
      </c>
      <c r="AB80" t="inlineStr">
        <is>
          <t>ADN: Det understøtter vi ikke.
COuld we argue, that it doesnt state it should remember these configurations, and therefore we live up to it? | Red flag: Det understøtter vi ikke</t>
        </is>
      </c>
      <c r="AC80" t="inlineStr">
        <is>
          <t>Ratatoskr: Advanced search (admin-en) | Wiki: Build log hotfix packages</t>
        </is>
      </c>
      <c r="AD80" t="inlineStr">
        <is>
          <t>Claus: Afklar delkrav; align tool-rating (O) med AI compliance.</t>
        </is>
      </c>
      <c r="AE80" t="inlineStr"/>
      <c r="AF80" t="inlineStr">
        <is>
          <t>Draft</t>
        </is>
      </c>
      <c r="AG80" t="inlineStr">
        <is>
          <t>uim-esdh-full-2026-07-07</t>
        </is>
      </c>
    </row>
    <row r="81" ht="96" customHeight="1">
      <c r="A81" s="35" t="n">
        <v>80</v>
      </c>
      <c r="B81" s="35" t="inlineStr">
        <is>
          <t>K-4</t>
        </is>
      </c>
      <c r="C81" s="35" t="inlineStr">
        <is>
          <t>Bilag 1.b</t>
        </is>
      </c>
      <c r="D81" s="35" t="inlineStr">
        <is>
          <t>Søgning</t>
        </is>
      </c>
      <c r="E81" s="35" t="inlineStr">
        <is>
          <t>Søgeoperatorer</t>
        </is>
      </c>
      <c r="F81" s="35" t="inlineStr">
        <is>
          <t>ESDH-løsningen skal understøtte, at Brugere kan anvende følgende søgeoperatorer ved fritekstsøgning og søgning i strukturerede felter:
”Og”, ”Eller” og ”Ikke”-søgning
Større end / mindre end (f.eks. ved dato- eller talfelter)
Indeholder 
Lig med (præcis match)</t>
        </is>
      </c>
      <c r="G81" s="35" t="inlineStr">
        <is>
          <t>Krav</t>
        </is>
      </c>
      <c r="H81" s="35">
        <f>IF(G81="Evalueringskrav","Answer",(IF(G81="Krav","Check",(IF(G81="Mindstekrav","Verify","")))))</f>
        <v/>
      </c>
      <c r="I81" s="35" t="inlineStr">
        <is>
          <t>Ja</t>
        </is>
      </c>
      <c r="J81" s="35" t="n"/>
      <c r="K81" s="47" t="n"/>
      <c r="L81" s="35" t="inlineStr">
        <is>
          <t>Anton</t>
        </is>
      </c>
      <c r="M81" s="35" t="n"/>
      <c r="N81" s="35" t="n"/>
      <c r="O81" s="35" t="inlineStr">
        <is>
          <t>1. Fully met</t>
        </is>
      </c>
      <c r="P81" s="35" t="inlineStr">
        <is>
          <t>ADN: We support this in a combination of global search and advanced search - it isnt specified to be in 1 place.</t>
        </is>
      </c>
      <c r="Q81" s="35" t="n"/>
      <c r="R81" s="35" t="n"/>
      <c r="S81" s="35" t="n"/>
      <c r="T81" s="35" t="n"/>
      <c r="U81" s="35" t="inlineStr">
        <is>
          <t>Not Started</t>
        </is>
      </c>
      <c r="V81" s="37">
        <f>IF(U81="Not Started",0%,IF(U81="Started",50%,IF(U81="Ready for review",70%,IF(U81="Reviewed - Content",80%,IF(U81="Reviewed - Format",90%,IF(U81="Done",100%,""))))))</f>
        <v/>
      </c>
      <c r="W81" t="inlineStr">
        <is>
          <t>2026-07-07</t>
        </is>
      </c>
      <c r="X81" t="inlineStr">
        <is>
          <t>Cursor / tender-response (batch)</t>
        </is>
      </c>
      <c r="Y81" t="inlineStr">
        <is>
          <t>Met</t>
        </is>
      </c>
      <c r="Z81" t="inlineStr">
        <is>
          <t>Verified</t>
        </is>
      </c>
      <c r="AA81" t="inlineStr">
        <is>
          <t>Check: Søgeoperatorer — vurderet opfyldt (tool: 1. Fully met).</t>
        </is>
      </c>
      <c r="AB81" t="inlineStr">
        <is>
          <t>ADN: We support this in a combination of global search and advanced search - it isnt specified to be in 1 place.</t>
        </is>
      </c>
      <c r="AC81" t="inlineStr">
        <is>
          <t>docs/tender-reference/extracted/Nationalbanken/Bilag 3.i Leverandørens Løsningsbeskrivelse.txt; docs/tender-reference/extracted/KK Tender tool.txt; docs/tender-reference/extracted/KUM-SLKS/Bilag 3 - Kravspecifikation.txt</t>
        </is>
      </c>
      <c r="AD81" t="inlineStr">
        <is>
          <t>Anton: Confirm verify-tekst; opdatér review status efter tjek.</t>
        </is>
      </c>
      <c r="AE81" t="inlineStr"/>
      <c r="AF81" t="inlineStr">
        <is>
          <t>Draft</t>
        </is>
      </c>
      <c r="AG81" t="inlineStr">
        <is>
          <t>uim-esdh-full-2026-07-07</t>
        </is>
      </c>
    </row>
    <row r="82" ht="32" customHeight="1">
      <c r="A82" s="35" t="n">
        <v>81</v>
      </c>
      <c r="B82" s="35" t="inlineStr">
        <is>
          <t>K-5</t>
        </is>
      </c>
      <c r="C82" s="35" t="inlineStr">
        <is>
          <t>Bilag 1.b</t>
        </is>
      </c>
      <c r="D82" s="35" t="inlineStr">
        <is>
          <t>Søgning</t>
        </is>
      </c>
      <c r="E82" s="35" t="inlineStr">
        <is>
          <t>Abonnementer</t>
        </is>
      </c>
      <c r="F82" s="35" t="inlineStr">
        <is>
          <t>ESDH-løsningen skal understøtte, at Brugere kan abonnere på søgninger.</t>
        </is>
      </c>
      <c r="G82" s="35" t="inlineStr">
        <is>
          <t>Krav</t>
        </is>
      </c>
      <c r="H82" s="35">
        <f>IF(G82="Evalueringskrav","Answer",(IF(G82="Krav","Check",(IF(G82="Mindstekrav","Verify","")))))</f>
        <v/>
      </c>
      <c r="I82" s="35" t="inlineStr">
        <is>
          <t>Ja</t>
        </is>
      </c>
      <c r="J82" s="35" t="n"/>
      <c r="K82" s="47" t="n"/>
      <c r="L82" s="35" t="inlineStr">
        <is>
          <t>Anton</t>
        </is>
      </c>
      <c r="M82" s="35" t="n"/>
      <c r="N82" s="35" t="n"/>
      <c r="O82" s="35" t="inlineStr">
        <is>
          <t>1. Fully met</t>
        </is>
      </c>
      <c r="P82" s="35" t="n"/>
      <c r="Q82" s="35" t="n"/>
      <c r="R82" s="35" t="n"/>
      <c r="S82" s="35" t="n"/>
      <c r="T82" s="35" t="n"/>
      <c r="U82" s="35" t="inlineStr">
        <is>
          <t>Not Started</t>
        </is>
      </c>
      <c r="V82" s="37">
        <f>IF(U82="Not Started",0%,IF(U82="Started",50%,IF(U82="Ready for review",70%,IF(U82="Reviewed - Content",80%,IF(U82="Reviewed - Format",90%,IF(U82="Done",100%,""))))))</f>
        <v/>
      </c>
      <c r="W82" t="inlineStr">
        <is>
          <t>2026-07-07</t>
        </is>
      </c>
      <c r="X82" t="inlineStr">
        <is>
          <t>Cursor / tender-response (batch)</t>
        </is>
      </c>
      <c r="Y82" t="inlineStr">
        <is>
          <t>Met</t>
        </is>
      </c>
      <c r="Z82" t="inlineStr">
        <is>
          <t>Lead</t>
        </is>
      </c>
      <c r="AA82" t="inlineStr">
        <is>
          <t>Check: Abonnementer — vurderet opfyldt (tool: 1. Fully met).</t>
        </is>
      </c>
      <c r="AB82" t="inlineStr"/>
      <c r="AC82" t="inlineStr">
        <is>
          <t>docs/tender-reference/extracted/KK Tender tool.txt; docs/tender-reference/extracted/KUM-SLKS/Bilag 3 - Kravspecifikation.txt; docs/tender-reference/extracted/Nationalbanken/Bilag 3.i Leverandørens Løsningsbeskrivelse.txt</t>
        </is>
      </c>
      <c r="AD82" t="inlineStr">
        <is>
          <t>Anton: Confirm verify-tekst; opdatér review status efter tjek.</t>
        </is>
      </c>
      <c r="AE82" t="inlineStr"/>
      <c r="AF82" t="inlineStr">
        <is>
          <t>Draft</t>
        </is>
      </c>
      <c r="AG82" t="inlineStr">
        <is>
          <t>uim-esdh-full-2026-07-07</t>
        </is>
      </c>
    </row>
    <row r="83" ht="64" customHeight="1">
      <c r="A83" s="35" t="n">
        <v>82</v>
      </c>
      <c r="B83" s="35" t="inlineStr">
        <is>
          <t>K-6</t>
        </is>
      </c>
      <c r="C83" s="35" t="inlineStr">
        <is>
          <t>Bilag 1.b</t>
        </is>
      </c>
      <c r="D83" s="35" t="inlineStr">
        <is>
          <t>Søgning</t>
        </is>
      </c>
      <c r="E83" s="35" t="inlineStr">
        <is>
          <t>Eksport af søgning</t>
        </is>
      </c>
      <c r="F83" s="35" t="inlineStr">
        <is>
          <t>ESDH-løsningen skal understøtte eksport af det komplette søgeresultat fra brugergrænsefladen til regnearksprogram anvendt af Kundens, men må dog ikke overstige regnearksprogrammets maksimum rækkekapacitet.</t>
        </is>
      </c>
      <c r="G83" s="35" t="inlineStr">
        <is>
          <t>Krav</t>
        </is>
      </c>
      <c r="H83" s="35">
        <f>IF(G83="Evalueringskrav","Answer",(IF(G83="Krav","Check",(IF(G83="Mindstekrav","Verify","")))))</f>
        <v/>
      </c>
      <c r="I83" s="35" t="inlineStr">
        <is>
          <t>Ja</t>
        </is>
      </c>
      <c r="J83" s="35" t="n"/>
      <c r="K83" s="47" t="n"/>
      <c r="L83" s="35" t="inlineStr">
        <is>
          <t>Claus</t>
        </is>
      </c>
      <c r="M83" s="35" t="n"/>
      <c r="N83" s="35" t="n"/>
      <c r="O83" s="35" t="inlineStr">
        <is>
          <t>2. Partly met</t>
        </is>
      </c>
      <c r="P83" s="35" t="inlineStr">
        <is>
          <t>ADN: This means we must support pretty much "unlimited export to Excel"</t>
        </is>
      </c>
      <c r="Q83" s="35" t="n"/>
      <c r="R83" s="35" t="inlineStr">
        <is>
          <t>Yes</t>
        </is>
      </c>
      <c r="S83" s="35" t="n"/>
      <c r="T83" s="35" t="n"/>
      <c r="U83" s="35" t="inlineStr">
        <is>
          <t>Not Started</t>
        </is>
      </c>
      <c r="V83" s="37">
        <f>IF(U83="Not Started",0%,IF(U83="Started",50%,IF(U83="Ready for review",70%,IF(U83="Reviewed - Content",80%,IF(U83="Reviewed - Format",90%,IF(U83="Done",100%,""))))))</f>
        <v/>
      </c>
      <c r="W83" t="inlineStr">
        <is>
          <t>2026-07-07</t>
        </is>
      </c>
      <c r="X83" t="inlineStr">
        <is>
          <t>Cursor / tender-response (MCP-enriched)</t>
        </is>
      </c>
      <c r="Y83" t="inlineStr">
        <is>
          <t>Partial</t>
        </is>
      </c>
      <c r="Z83" t="inlineStr">
        <is>
          <t>Verified</t>
        </is>
      </c>
      <c r="AA83" t="inlineStr">
        <is>
          <t>Check: Eksport af søgning — delvist opfyldt; afklar scope og scoring.</t>
        </is>
      </c>
      <c r="AB83" t="inlineStr">
        <is>
          <t>ADN: This means we must support pretty much "unlimited export to Excel"</t>
        </is>
      </c>
      <c r="AC83" t="inlineStr">
        <is>
          <t>Wiki: 360° settings - internal reference</t>
        </is>
      </c>
      <c r="AD83" t="inlineStr">
        <is>
          <t>Claus: Afklar delkrav; align tool-rating (O) med AI compliance.</t>
        </is>
      </c>
      <c r="AE83" t="inlineStr"/>
      <c r="AF83" t="inlineStr">
        <is>
          <t>Draft</t>
        </is>
      </c>
      <c r="AG83" t="inlineStr">
        <is>
          <t>uim-esdh-full-2026-07-07</t>
        </is>
      </c>
    </row>
    <row r="84" ht="409.5" customHeight="1">
      <c r="A84" s="35" t="n">
        <v>83</v>
      </c>
      <c r="B84" s="35" t="inlineStr">
        <is>
          <t>EK-2</t>
        </is>
      </c>
      <c r="C84" s="35" t="inlineStr">
        <is>
          <t>Bilag 1.b</t>
        </is>
      </c>
      <c r="D84" s="35" t="inlineStr">
        <is>
          <t>Dashboards</t>
        </is>
      </c>
      <c r="E84" s="35" t="inlineStr">
        <is>
          <t>Dashboards</t>
        </is>
      </c>
      <c r="F84" s="35" t="inlineStr">
        <is>
          <t>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t>
        </is>
      </c>
      <c r="G84" s="35" t="inlineStr">
        <is>
          <t>Evalueringskrav</t>
        </is>
      </c>
      <c r="H84" s="35">
        <f>IF(G84="Evalueringskrav","Answer",(IF(G84="Krav","Check",(IF(G84="Mindstekrav","Verify","")))))</f>
        <v/>
      </c>
      <c r="I84" s="35" t="inlineStr">
        <is>
          <t>Ja</t>
        </is>
      </c>
      <c r="J84" s="35" t="n"/>
      <c r="K84" s="47" t="n"/>
      <c r="L84" s="35" t="inlineStr">
        <is>
          <t>Torben</t>
        </is>
      </c>
      <c r="M84" s="35" t="n"/>
      <c r="N84" s="35" t="n"/>
      <c r="O84" s="35" t="n"/>
      <c r="P84" s="35" t="n"/>
      <c r="Q84" s="35" t="n"/>
      <c r="R84" s="35" t="n"/>
      <c r="S84" s="35" t="n"/>
      <c r="T84" s="35" t="n"/>
      <c r="U84" s="35" t="inlineStr">
        <is>
          <t>Not Started</t>
        </is>
      </c>
      <c r="V84" s="37">
        <f>IF(U84="Not Started",0%,IF(U84="Started",50%,IF(U84="Ready for review",70%,IF(U84="Reviewed - Content",80%,IF(U84="Reviewed - Format",90%,IF(U84="Done",100%,""))))))</f>
        <v/>
      </c>
      <c r="W84" t="inlineStr">
        <is>
          <t>2026-07-07</t>
        </is>
      </c>
      <c r="X84" t="inlineStr">
        <is>
          <t>Cursor / tender-response (MCP-enriched)</t>
        </is>
      </c>
      <c r="Y84" t="inlineStr">
        <is>
          <t>Draft needed</t>
        </is>
      </c>
      <c r="Z84" t="inlineStr">
        <is>
          <t>Lead</t>
        </is>
      </c>
      <c r="AA84" t="inlineStr">
        <is>
          <t>Answer: Dashboards — informationskrav; udkast bilag/dokumentation mangler.</t>
        </is>
      </c>
      <c r="AB84" t="inlineStr">
        <is>
          <t>Mangler link til svar-bilag i kolonne T.</t>
        </is>
      </c>
      <c r="AC84" t="inlineStr">
        <is>
          <t>Wiki: Build log hotfix packages</t>
        </is>
      </c>
      <c r="AD84" t="inlineStr">
        <is>
          <t>Torben: Opret/link svar-bilag; draft IK-tekst fra prior art.</t>
        </is>
      </c>
      <c r="AE84" t="inlineStr"/>
      <c r="AF84" t="inlineStr">
        <is>
          <t>Draft</t>
        </is>
      </c>
      <c r="AG84" t="inlineStr">
        <is>
          <t>uim-esdh-full-2026-07-07</t>
        </is>
      </c>
    </row>
    <row r="85" ht="128" customHeight="1">
      <c r="A85" s="35" t="n">
        <v>84</v>
      </c>
      <c r="B85" s="35" t="inlineStr">
        <is>
          <t>MK-76</t>
        </is>
      </c>
      <c r="C85" s="35" t="inlineStr">
        <is>
          <t>Bilag 1.b</t>
        </is>
      </c>
      <c r="D85" s="35" t="inlineStr">
        <is>
          <t>Brugergrænsefladen</t>
        </is>
      </c>
      <c r="E85" s="35" t="inlineStr">
        <is>
          <t>Browser-baseret brugergrænseflade</t>
        </is>
      </c>
      <c r="F85" s="35" t="inlineStr">
        <is>
          <t>ESDH-løsningen skal understøtte afvikling i en af nedenstående standardbrowsere uden løsnings-specifikt plugin: 
Microsoft Edge
Google Chrome</t>
        </is>
      </c>
      <c r="G85" s="35" t="inlineStr">
        <is>
          <t>Mindstekrav</t>
        </is>
      </c>
      <c r="H85" s="35">
        <f>IF(G85="Evalueringskrav","Answer",(IF(G85="Krav","Check",(IF(G85="Mindstekrav","Verify","")))))</f>
        <v/>
      </c>
      <c r="I85" s="35" t="inlineStr">
        <is>
          <t>Ja</t>
        </is>
      </c>
      <c r="J85" s="35" t="n"/>
      <c r="K85" s="47" t="n"/>
      <c r="L85" s="35" t="inlineStr">
        <is>
          <t>Anton</t>
        </is>
      </c>
      <c r="M85" s="35" t="n"/>
      <c r="N85" s="35" t="n"/>
      <c r="O85" s="35" t="inlineStr">
        <is>
          <t>1. Fully met</t>
        </is>
      </c>
      <c r="P85" s="3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t>
        </is>
      </c>
      <c r="Q85" s="35" t="n"/>
      <c r="R85" s="35" t="n"/>
      <c r="S85" s="35" t="n"/>
      <c r="T85" s="35" t="n"/>
      <c r="U85" s="35" t="inlineStr">
        <is>
          <t>Not Started</t>
        </is>
      </c>
      <c r="V85" s="37">
        <f>IF(U85="Not Started",0%,IF(U85="Started",50%,IF(U85="Ready for review",70%,IF(U85="Reviewed - Content",80%,IF(U85="Reviewed - Format",90%,IF(U85="Done",100%,""))))))</f>
        <v/>
      </c>
      <c r="W85" t="inlineStr">
        <is>
          <t>2026-07-07</t>
        </is>
      </c>
      <c r="X85" t="inlineStr">
        <is>
          <t>Cursor / tender-response (MCP-enriched)</t>
        </is>
      </c>
      <c r="Y85" t="inlineStr">
        <is>
          <t>Met</t>
        </is>
      </c>
      <c r="Z85" t="inlineStr">
        <is>
          <t>Verified</t>
        </is>
      </c>
      <c r="AA85" t="inlineStr">
        <is>
          <t>Verify: Browser-baseret brugergrænseflade — vurderet opfyldt (tool: 1. Fully met).</t>
        </is>
      </c>
      <c r="AB8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 | Red flag: Påvirker ikke os - men det her krav er et godt eksempel på en Kunde der beskriver en løsning frem for et behov. Hvorfor skal det være browserbaseret?</t>
        </is>
      </c>
      <c r="AC85" t="inlineStr">
        <is>
          <t>Wiki: Frontend guidelines for modern web applications; BSP design goals and technical changes</t>
        </is>
      </c>
      <c r="AD85" t="inlineStr">
        <is>
          <t>Anton: Confirm verify-tekst; opdatér review status efter tjek.</t>
        </is>
      </c>
      <c r="AE85" t="inlineStr"/>
      <c r="AF85" t="inlineStr">
        <is>
          <t>Draft</t>
        </is>
      </c>
      <c r="AG85" t="inlineStr">
        <is>
          <t>uim-esdh-full-2026-07-07</t>
        </is>
      </c>
    </row>
    <row r="86" ht="96" customHeight="1">
      <c r="A86" s="35" t="n">
        <v>85</v>
      </c>
      <c r="B86" s="35" t="inlineStr">
        <is>
          <t>MK-77</t>
        </is>
      </c>
      <c r="C86" s="35" t="inlineStr">
        <is>
          <t>Bilag 1.b</t>
        </is>
      </c>
      <c r="D86" s="35" t="inlineStr">
        <is>
          <t>Brugergrænsefladen</t>
        </is>
      </c>
      <c r="E86" s="35" t="inlineStr">
        <is>
          <t>Visning af store mængder</t>
        </is>
      </c>
      <c r="F86" s="35"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G86" s="35" t="inlineStr">
        <is>
          <t>Mindstekrav</t>
        </is>
      </c>
      <c r="H86" s="35">
        <f>IF(G86="Evalueringskrav","Answer",(IF(G86="Krav","Check",(IF(G86="Mindstekrav","Verify","")))))</f>
        <v/>
      </c>
      <c r="I86" s="35" t="inlineStr">
        <is>
          <t>Ja</t>
        </is>
      </c>
      <c r="J86" s="35" t="n"/>
      <c r="K86" s="47" t="n"/>
      <c r="L86" s="35" t="inlineStr">
        <is>
          <t>Claus</t>
        </is>
      </c>
      <c r="M86" s="35" t="n"/>
      <c r="N86" s="35" t="n"/>
      <c r="O86" s="35" t="inlineStr">
        <is>
          <t>3. Not able to meet</t>
        </is>
      </c>
      <c r="P86" s="35" t="inlineStr">
        <is>
          <t>ADN: Issue - ”Alle”  og ”ingen begrænsning” i samme sætning..</t>
        </is>
      </c>
      <c r="Q86" s="35" t="n"/>
      <c r="R86" s="35" t="inlineStr">
        <is>
          <t>Yes</t>
        </is>
      </c>
      <c r="S86" s="35" t="n"/>
      <c r="T86" s="35" t="n"/>
      <c r="U86" s="35" t="inlineStr">
        <is>
          <t>Not Started</t>
        </is>
      </c>
      <c r="V86" s="37">
        <f>IF(U86="Not Started",0%,IF(U86="Started",50%,IF(U86="Ready for review",70%,IF(U86="Reviewed - Content",80%,IF(U86="Reviewed - Format",90%,IF(U86="Done",100%,""))))))</f>
        <v/>
      </c>
      <c r="W86" t="inlineStr">
        <is>
          <t>2026-07-07</t>
        </is>
      </c>
      <c r="X86" t="inlineStr">
        <is>
          <t>Cursor / tender-response (MCP-enriched)</t>
        </is>
      </c>
      <c r="Y86" t="inlineStr">
        <is>
          <t>Not met</t>
        </is>
      </c>
      <c r="Z86" t="inlineStr">
        <is>
          <t>Lead</t>
        </is>
      </c>
      <c r="AA86" t="inlineStr">
        <is>
          <t>Verify: Visning af store mængder — gap ift. kravtekst; eskalér commitment eller afklaring.</t>
        </is>
      </c>
      <c r="AB86" t="inlineStr">
        <is>
          <t>ADN: Issue - ”Alle”  og ”ingen begrænsning” i samme sætning.. | Red flag: Issue - ”Alle”  og ”ingen begrænsning” i samme sætning..</t>
        </is>
      </c>
      <c r="AC86" t="inlineStr">
        <is>
          <t>Ratatoskr: Search and Result lists (admin-en) | Wiki: 5.14 release information</t>
        </is>
      </c>
      <c r="AD86" t="inlineStr">
        <is>
          <t>Claus: Commitment/no-bid beslutning; overvej Q&amp;A til ordregiver.</t>
        </is>
      </c>
      <c r="AE86" t="inlineStr"/>
      <c r="AF86" t="inlineStr">
        <is>
          <t>Draft</t>
        </is>
      </c>
      <c r="AG86" t="inlineStr">
        <is>
          <t>uim-esdh-full-2026-07-07</t>
        </is>
      </c>
    </row>
    <row r="87" ht="144" customHeight="1">
      <c r="A87" s="35" t="n">
        <v>86</v>
      </c>
      <c r="B87" s="35" t="inlineStr">
        <is>
          <t>MK-78</t>
        </is>
      </c>
      <c r="C87" s="35" t="inlineStr">
        <is>
          <t>Bilag 1.b</t>
        </is>
      </c>
      <c r="D87" s="35" t="inlineStr">
        <is>
          <t>Brugergrænsefladen</t>
        </is>
      </c>
      <c r="E87" s="35" t="inlineStr">
        <is>
          <t>Genvejstaster</t>
        </is>
      </c>
      <c r="F87" s="35" t="inlineStr">
        <is>
          <t>ESDH-løsningen skal understøtte brugen af genvejstaster, funktionstaster eller tastekombinationer. Genvejstaster skal være dokumenteret i hjælpefunktionen.</t>
        </is>
      </c>
      <c r="G87" s="35" t="inlineStr">
        <is>
          <t>Mindstekrav</t>
        </is>
      </c>
      <c r="H87" s="35">
        <f>IF(G87="Evalueringskrav","Answer",(IF(G87="Krav","Check",(IF(G87="Mindstekrav","Verify","")))))</f>
        <v/>
      </c>
      <c r="I87" s="35" t="inlineStr">
        <is>
          <t>Ja</t>
        </is>
      </c>
      <c r="J87" s="35" t="n"/>
      <c r="K87" s="47" t="n"/>
      <c r="L87" s="35" t="inlineStr">
        <is>
          <t>Anton</t>
        </is>
      </c>
      <c r="M87" s="35" t="n"/>
      <c r="N87" s="35" t="n"/>
      <c r="O87" s="35" t="inlineStr">
        <is>
          <t>1. Fully met</t>
        </is>
      </c>
      <c r="P87" s="35"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t>
        </is>
      </c>
      <c r="Q87" s="35" t="n"/>
      <c r="R87" s="35" t="n"/>
      <c r="S87" s="35" t="n"/>
      <c r="T87" s="35" t="n"/>
      <c r="U87" s="35" t="inlineStr">
        <is>
          <t>Not Started</t>
        </is>
      </c>
      <c r="V87" s="37">
        <f>IF(U87="Not Started",0%,IF(U87="Started",50%,IF(U87="Ready for review",70%,IF(U87="Reviewed - Content",80%,IF(U87="Reviewed - Format",90%,IF(U87="Done",100%,""))))))</f>
        <v/>
      </c>
      <c r="W87" t="inlineStr">
        <is>
          <t>2026-07-07</t>
        </is>
      </c>
      <c r="X87" t="inlineStr">
        <is>
          <t>Cursor / tender-response (MCP-enriched)</t>
        </is>
      </c>
      <c r="Y87" t="inlineStr">
        <is>
          <t>Met</t>
        </is>
      </c>
      <c r="Z87" t="inlineStr">
        <is>
          <t>Lead</t>
        </is>
      </c>
      <c r="AA87" t="inlineStr">
        <is>
          <t>Verify: Genvejstaster — vurderet opfyldt (tool: 1. Fully met).</t>
        </is>
      </c>
      <c r="AB87"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 Red flag: Det her bevæger vi os væk fra, fordi det ikke er særligt WCAG-compliant. MEN - vi skal bemærke de ikke definere det skal gælde alt, eller hvad man skal kunne, så hvis vi har en genvejstast ét sted i løsningen, kan vi principielt sige ja til dette krav.</t>
        </is>
      </c>
      <c r="AC87" t="inlineStr">
        <is>
          <t>No keyboard shortcut documentation in help or wiki</t>
        </is>
      </c>
      <c r="AD87" t="inlineStr">
        <is>
          <t>Anton: Confirm verify-tekst; opdatér review status efter tjek.</t>
        </is>
      </c>
      <c r="AE87" t="inlineStr"/>
      <c r="AF87" t="inlineStr">
        <is>
          <t>Draft</t>
        </is>
      </c>
      <c r="AG87" t="inlineStr">
        <is>
          <t>uim-esdh-full-2026-07-07</t>
        </is>
      </c>
    </row>
    <row r="88" ht="32" customHeight="1">
      <c r="A88" s="35" t="n">
        <v>87</v>
      </c>
      <c r="B88" s="35" t="inlineStr">
        <is>
          <t>MK-79</t>
        </is>
      </c>
      <c r="C88" s="35" t="inlineStr">
        <is>
          <t>Bilag 1.b</t>
        </is>
      </c>
      <c r="D88" s="35" t="inlineStr">
        <is>
          <t>Brugergrænsefladen</t>
        </is>
      </c>
      <c r="E88" s="35" t="inlineStr">
        <is>
          <t>Obligatoriske felter</t>
        </is>
      </c>
      <c r="F88" s="35" t="inlineStr">
        <is>
          <t>ESDH-løsningen skal understøtte en tydelig marker af obligatoriske felter i forbindelse med oprettelse eller redigering af Entiteter.</t>
        </is>
      </c>
      <c r="G88" s="35" t="inlineStr">
        <is>
          <t>Mindstekrav</t>
        </is>
      </c>
      <c r="H88" s="35">
        <f>IF(G88="Evalueringskrav","Answer",(IF(G88="Krav","Check",(IF(G88="Mindstekrav","Verify","")))))</f>
        <v/>
      </c>
      <c r="I88" s="35" t="inlineStr">
        <is>
          <t>Ja</t>
        </is>
      </c>
      <c r="J88" s="35" t="n"/>
      <c r="K88" s="47" t="n"/>
      <c r="L88" s="35" t="inlineStr">
        <is>
          <t>Anton</t>
        </is>
      </c>
      <c r="M88" s="35" t="n"/>
      <c r="N88" s="35" t="n"/>
      <c r="O88" s="35" t="inlineStr">
        <is>
          <t>1. Fully met</t>
        </is>
      </c>
      <c r="P88" s="35" t="n"/>
      <c r="Q88" s="35" t="n"/>
      <c r="R88" s="35" t="n"/>
      <c r="S88" s="35" t="n"/>
      <c r="T88" s="35" t="n"/>
      <c r="U88" s="35" t="inlineStr">
        <is>
          <t>Not Started</t>
        </is>
      </c>
      <c r="V88" s="37">
        <f>IF(U88="Not Started",0%,IF(U88="Started",50%,IF(U88="Ready for review",70%,IF(U88="Reviewed - Content",80%,IF(U88="Reviewed - Format",90%,IF(U88="Done",100%,""))))))</f>
        <v/>
      </c>
      <c r="W88" t="inlineStr">
        <is>
          <t>2026-07-07</t>
        </is>
      </c>
      <c r="X88" t="inlineStr">
        <is>
          <t>Cursor / tender-response (batch)</t>
        </is>
      </c>
      <c r="Y88" t="inlineStr">
        <is>
          <t>Met</t>
        </is>
      </c>
      <c r="Z88" t="inlineStr">
        <is>
          <t>Verified</t>
        </is>
      </c>
      <c r="AA88" t="inlineStr">
        <is>
          <t>Verify: Obligatoriske felter — vurderet opfyldt (tool: 1. Fully met).</t>
        </is>
      </c>
      <c r="AB88" t="inlineStr"/>
      <c r="AC88" t="inlineStr">
        <is>
          <t>docs/tender-reference/extracted/Nationalbanken/Bilag 3.i Leverandørens Løsningsbeskrivelse.txt; docs/product/RFP_Leverandørens_svar_utdrag.txt; docs/tender-reference/extracted/HSØ/02.00-Tietoevry-SSA-L-Bilag 2-Leverandørens beskrivelse av Tjenesten.txt</t>
        </is>
      </c>
      <c r="AD88" t="inlineStr">
        <is>
          <t>Anton: Confirm verify-tekst; opdatér review status efter tjek.</t>
        </is>
      </c>
      <c r="AE88" t="inlineStr"/>
      <c r="AF88" t="inlineStr">
        <is>
          <t>Draft</t>
        </is>
      </c>
      <c r="AG88" t="inlineStr">
        <is>
          <t>uim-esdh-full-2026-07-07</t>
        </is>
      </c>
    </row>
    <row r="89" ht="112" customHeight="1">
      <c r="A89" s="35" t="n">
        <v>88</v>
      </c>
      <c r="B89" s="35" t="inlineStr">
        <is>
          <t>MK-80</t>
        </is>
      </c>
      <c r="C89" s="35" t="inlineStr">
        <is>
          <t>Bilag 1.b</t>
        </is>
      </c>
      <c r="D89" s="35" t="inlineStr">
        <is>
          <t>Brugergrænsefladen</t>
        </is>
      </c>
      <c r="E89" s="35" t="inlineStr">
        <is>
          <t>Masseændring</t>
        </is>
      </c>
      <c r="F89" s="35" t="inlineStr">
        <is>
          <t>ESDH-løsningen skal understøtte, at en Bruger via brugergrænsefladen kan foretage masseændringer af tilknyttede standard- og Kundeoprettede felter på sager, Dokumenter, kontakter og Kundeoprettede Entiteter.</t>
        </is>
      </c>
      <c r="G89" s="35" t="inlineStr">
        <is>
          <t>Mindstekrav</t>
        </is>
      </c>
      <c r="H89" s="35">
        <f>IF(G89="Evalueringskrav","Answer",(IF(G89="Krav","Check",(IF(G89="Mindstekrav","Verify","")))))</f>
        <v/>
      </c>
      <c r="I89" s="35" t="inlineStr">
        <is>
          <t>Ja</t>
        </is>
      </c>
      <c r="J89" s="35" t="n"/>
      <c r="K89" s="47" t="n"/>
      <c r="L89" s="35" t="inlineStr">
        <is>
          <t>Torben</t>
        </is>
      </c>
      <c r="M89" s="35" t="n"/>
      <c r="N89" s="35" t="n"/>
      <c r="O89" s="35" t="inlineStr">
        <is>
          <t>3. Not able to meet</t>
        </is>
      </c>
      <c r="P89" s="35"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Q89" s="35" t="inlineStr">
        <is>
          <t>Yes</t>
        </is>
      </c>
      <c r="R89" s="35" t="n"/>
      <c r="S89" s="35" t="n"/>
      <c r="T89" s="35" t="n"/>
      <c r="U89" s="35" t="inlineStr">
        <is>
          <t>Not Started</t>
        </is>
      </c>
      <c r="V89" s="37">
        <f>IF(U89="Not Started",0%,IF(U89="Started",50%,IF(U89="Ready for review",70%,IF(U89="Reviewed - Content",80%,IF(U89="Reviewed - Format",90%,IF(U89="Done",100%,""))))))</f>
        <v/>
      </c>
      <c r="W89" t="inlineStr">
        <is>
          <t>2026-07-07</t>
        </is>
      </c>
      <c r="X89" t="inlineStr">
        <is>
          <t>Cursor / tender-response (MCP-enriched)</t>
        </is>
      </c>
      <c r="Y89" t="inlineStr">
        <is>
          <t>Not met</t>
        </is>
      </c>
      <c r="Z89" t="inlineStr">
        <is>
          <t>Lead</t>
        </is>
      </c>
      <c r="AA89" t="inlineStr">
        <is>
          <t>Verify: Masseændring — gap ift. kravtekst; eskalér commitment eller afklaring.</t>
        </is>
      </c>
      <c r="AB89"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 | Red flag: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AC89" t="inlineStr">
        <is>
          <t>Wiki: 5.14 release information; 6.0 release information</t>
        </is>
      </c>
      <c r="AD89" t="inlineStr">
        <is>
          <t>Torben: Commitment/no-bid beslutning; overvej Q&amp;A til ordregiver.</t>
        </is>
      </c>
      <c r="AE89" t="inlineStr"/>
      <c r="AF89" t="inlineStr">
        <is>
          <t>Draft</t>
        </is>
      </c>
      <c r="AG89" t="inlineStr">
        <is>
          <t>uim-esdh-full-2026-07-07</t>
        </is>
      </c>
    </row>
    <row r="90" ht="112" customHeight="1">
      <c r="A90" s="35" t="n">
        <v>89</v>
      </c>
      <c r="B90" s="35" t="inlineStr">
        <is>
          <t>MK-81</t>
        </is>
      </c>
      <c r="C90" s="35" t="inlineStr">
        <is>
          <t>Bilag 1.b</t>
        </is>
      </c>
      <c r="D90" s="35" t="inlineStr">
        <is>
          <t>Brugergrænsefladen</t>
        </is>
      </c>
      <c r="E90" s="35" t="inlineStr">
        <is>
          <t>Visuel visning på Dokument metadata</t>
        </is>
      </c>
      <c r="F90" s="35" t="inlineStr">
        <is>
          <t>ESDH-løsningen skal understøtte en visuel adskillelse af indgående og udgående Dokumenter, f.eks. via opmærkning.</t>
        </is>
      </c>
      <c r="G90" s="35" t="inlineStr">
        <is>
          <t>Mindstekrav</t>
        </is>
      </c>
      <c r="H90" s="35">
        <f>IF(G90="Evalueringskrav","Answer",(IF(G90="Krav","Check",(IF(G90="Mindstekrav","Verify","")))))</f>
        <v/>
      </c>
      <c r="I90" s="35" t="inlineStr">
        <is>
          <t>Ja</t>
        </is>
      </c>
      <c r="J90" s="35" t="n"/>
      <c r="K90" s="47" t="n"/>
      <c r="L90" s="35" t="inlineStr">
        <is>
          <t>Anton</t>
        </is>
      </c>
      <c r="M90" s="35" t="n"/>
      <c r="N90" s="35" t="n"/>
      <c r="O90" s="35" t="inlineStr">
        <is>
          <t>1. Fully met</t>
        </is>
      </c>
      <c r="P90" s="35" t="inlineStr">
        <is>
          <t>ADN: Hvornår er noget ”Visuelt adskilt”? - er det nok at der står ”Indgående” og/eller ”Udgående”?
hos os står der "Dokument ind", eller "dokument ud" - det er vel visuelt adskildt.. Jeg kan se at der ikke står det samme?</t>
        </is>
      </c>
      <c r="Q90" s="35" t="n"/>
      <c r="R90" s="35" t="n"/>
      <c r="S90" s="35" t="n"/>
      <c r="T90" s="35" t="n"/>
      <c r="U90" s="35" t="inlineStr">
        <is>
          <t>Not Started</t>
        </is>
      </c>
      <c r="V90" s="37">
        <f>IF(U90="Not Started",0%,IF(U90="Started",50%,IF(U90="Ready for review",70%,IF(U90="Reviewed - Content",80%,IF(U90="Reviewed - Format",90%,IF(U90="Done",100%,""))))))</f>
        <v/>
      </c>
      <c r="W90" t="inlineStr">
        <is>
          <t>2026-07-07</t>
        </is>
      </c>
      <c r="X90" t="inlineStr">
        <is>
          <t>Cursor / tender-response (MCP-enriched)</t>
        </is>
      </c>
      <c r="Y90" t="inlineStr">
        <is>
          <t>Met</t>
        </is>
      </c>
      <c r="Z90" t="inlineStr">
        <is>
          <t>Lead</t>
        </is>
      </c>
      <c r="AA90" t="inlineStr">
        <is>
          <t>Verify: Visuel visning på Dokument metadata — vurderet opfyldt (tool: 1. Fully met).</t>
        </is>
      </c>
      <c r="AB90" t="inlineStr">
        <is>
          <t>ADN: Hvornår er noget ”Visuelt adskilt”? - er det nok at der står ”Indgående” og/eller ”Udgående”?
hos os står der "Dokument ind", eller "dokument ud" - det er vel visuelt adskildt.. Jeg kan se at der ikke står det samme? | Red flag: Hvornår er noget ”Visuelt adskilt”? - er det nok at der står ”Indgående” og/eller ”Udgående”?</t>
        </is>
      </c>
      <c r="AC90" t="inlineStr">
        <is>
          <t>Wiki: 6.8 release information; EDoc Documentation for Support</t>
        </is>
      </c>
      <c r="AD90" t="inlineStr">
        <is>
          <t>Anton: Confirm verify-tekst; opdatér review status efter tjek.</t>
        </is>
      </c>
      <c r="AE90" t="inlineStr"/>
      <c r="AF90" t="inlineStr">
        <is>
          <t>Draft</t>
        </is>
      </c>
      <c r="AG90" t="inlineStr">
        <is>
          <t>uim-esdh-full-2026-07-07</t>
        </is>
      </c>
    </row>
    <row r="91" ht="48" customHeight="1">
      <c r="A91" s="35" t="n">
        <v>90</v>
      </c>
      <c r="B91" s="35" t="inlineStr">
        <is>
          <t>MK-82</t>
        </is>
      </c>
      <c r="C91" s="35" t="inlineStr">
        <is>
          <t>Bilag 1.b</t>
        </is>
      </c>
      <c r="D91" s="35" t="inlineStr">
        <is>
          <t>Brugergrænsefladen</t>
        </is>
      </c>
      <c r="E91" s="35" t="inlineStr">
        <is>
          <t>Markering af obligatoriske felter</t>
        </is>
      </c>
      <c r="F91" s="35" t="inlineStr">
        <is>
          <t>ESDH-løsningen skal understøtte en tydelig markering af, om felter er obligatoriske. Det skal være gældende for Løsningens standard- og Kundeoprettede felter.</t>
        </is>
      </c>
      <c r="G91" s="35" t="inlineStr">
        <is>
          <t>Mindstekrav</t>
        </is>
      </c>
      <c r="H91" s="35">
        <f>IF(G91="Evalueringskrav","Answer",(IF(G91="Krav","Check",(IF(G91="Mindstekrav","Verify","")))))</f>
        <v/>
      </c>
      <c r="I91" s="35" t="inlineStr">
        <is>
          <t>Ja</t>
        </is>
      </c>
      <c r="J91" s="35" t="n"/>
      <c r="K91" s="47" t="n"/>
      <c r="L91" s="35" t="inlineStr">
        <is>
          <t>Anton</t>
        </is>
      </c>
      <c r="M91" s="35" t="n"/>
      <c r="N91" s="35" t="n"/>
      <c r="O91" s="35" t="inlineStr">
        <is>
          <t>1. Fully met</t>
        </is>
      </c>
      <c r="P91" s="35" t="n"/>
      <c r="Q91" s="35" t="n"/>
      <c r="R91" s="35" t="n"/>
      <c r="S91" s="35" t="n"/>
      <c r="T91" s="35" t="n"/>
      <c r="U91" s="35" t="inlineStr">
        <is>
          <t>Not Started</t>
        </is>
      </c>
      <c r="V91" s="37">
        <f>IF(U91="Not Started",0%,IF(U91="Started",50%,IF(U91="Ready for review",70%,IF(U91="Reviewed - Content",80%,IF(U91="Reviewed - Format",90%,IF(U91="Done",100%,""))))))</f>
        <v/>
      </c>
      <c r="W91" t="inlineStr">
        <is>
          <t>2026-07-07</t>
        </is>
      </c>
      <c r="X91" t="inlineStr">
        <is>
          <t>Cursor / tender-response (batch)</t>
        </is>
      </c>
      <c r="Y91" t="inlineStr">
        <is>
          <t>Met</t>
        </is>
      </c>
      <c r="Z91" t="inlineStr">
        <is>
          <t>Verified</t>
        </is>
      </c>
      <c r="AA91" t="inlineStr">
        <is>
          <t>Verify: Markering af obligatoriske felter — vurderet opfyldt (tool: 1. Fully met).</t>
        </is>
      </c>
      <c r="AB91" t="inlineStr"/>
      <c r="AC91" t="inlineStr">
        <is>
          <t>docs/tender-reference/extracted/KK Tender tool.txt; docs/tender-reference/extracted/KUM-SLKS/Bilag 3 - Kravspecifikation.txt; docs/tender-reference/extracted/Nationalbanken/Bilag 3.i Leverandørens Løsningsbeskrivelse.txt</t>
        </is>
      </c>
      <c r="AD91" t="inlineStr">
        <is>
          <t>Anton: Confirm verify-tekst; opdatér review status efter tjek.</t>
        </is>
      </c>
      <c r="AE91" t="inlineStr"/>
      <c r="AF91" t="inlineStr">
        <is>
          <t>Draft</t>
        </is>
      </c>
      <c r="AG91" t="inlineStr">
        <is>
          <t>uim-esdh-full-2026-07-07</t>
        </is>
      </c>
    </row>
    <row r="92" ht="48" customHeight="1">
      <c r="A92" s="35" t="n">
        <v>91</v>
      </c>
      <c r="B92" s="35" t="inlineStr">
        <is>
          <t>MK-83</t>
        </is>
      </c>
      <c r="C92" s="35" t="inlineStr">
        <is>
          <t>Bilag 1.b</t>
        </is>
      </c>
      <c r="D92" s="35" t="inlineStr">
        <is>
          <t>Brugergrænsefladen</t>
        </is>
      </c>
      <c r="E92" s="35" t="inlineStr">
        <is>
          <t>Kolonnevisninger - Standard</t>
        </is>
      </c>
      <c r="F92" s="35" t="inlineStr">
        <is>
          <t>ESDH-løsningen skal understøtte at Kunden kan tilvælge og fravælge kolonnevisninger på sager, Dokumenter, kontakt-billeder.</t>
        </is>
      </c>
      <c r="G92" s="35" t="inlineStr">
        <is>
          <t>Mindstekrav</t>
        </is>
      </c>
      <c r="H92" s="35">
        <f>IF(G92="Evalueringskrav","Answer",(IF(G92="Krav","Check",(IF(G92="Mindstekrav","Verify","")))))</f>
        <v/>
      </c>
      <c r="I92" s="35" t="inlineStr">
        <is>
          <t>Ja</t>
        </is>
      </c>
      <c r="J92" s="35" t="n"/>
      <c r="K92" s="47" t="n"/>
      <c r="L92" s="35" t="inlineStr">
        <is>
          <t>Torben</t>
        </is>
      </c>
      <c r="M92" s="35" t="n"/>
      <c r="N92" s="35" t="n"/>
      <c r="O92" s="35" t="inlineStr">
        <is>
          <t>3. Not able to meet</t>
        </is>
      </c>
      <c r="P92" s="35" t="inlineStr">
        <is>
          <t>ADN Det understøtter vi ikke - jeg tænker de mener kolonner inde i webparts på vores overbliksbilleder.</t>
        </is>
      </c>
      <c r="Q92" s="35" t="n"/>
      <c r="R92" s="35" t="n"/>
      <c r="S92" s="35" t="n"/>
      <c r="T92" s="35" t="n"/>
      <c r="U92" s="35" t="inlineStr">
        <is>
          <t>Not Started</t>
        </is>
      </c>
      <c r="V92" s="37">
        <f>IF(U92="Not Started",0%,IF(U92="Started",50%,IF(U92="Ready for review",70%,IF(U92="Reviewed - Content",80%,IF(U92="Reviewed - Format",90%,IF(U92="Done",100%,""))))))</f>
        <v/>
      </c>
      <c r="W92" t="inlineStr">
        <is>
          <t>2026-07-07</t>
        </is>
      </c>
      <c r="X92" t="inlineStr">
        <is>
          <t>Cursor / tender-response (MCP-enriched)</t>
        </is>
      </c>
      <c r="Y92" t="inlineStr">
        <is>
          <t>Not met</t>
        </is>
      </c>
      <c r="Z92" t="inlineStr">
        <is>
          <t>Lead</t>
        </is>
      </c>
      <c r="AA92" t="inlineStr">
        <is>
          <t>Verify: Kolonnevisninger - Standard — gap ift. kravtekst; eskalér commitment eller afklaring.</t>
        </is>
      </c>
      <c r="AB92" t="inlineStr">
        <is>
          <t>ADN Det understøtter vi ikke - jeg tænker de mener kolonner inde i webparts på vores overbliksbilleder. | Red flag: Det understøtter vi ikke - jeg tænker de mener kolonner inde i webparts på vores overbliksbilleder.</t>
        </is>
      </c>
      <c r="AC92" t="inlineStr">
        <is>
          <t>Wiki: 360° Version 5 changes in detail views and wizards</t>
        </is>
      </c>
      <c r="AD92" t="inlineStr">
        <is>
          <t>Torben: Commitment/no-bid beslutning; overvej Q&amp;A til ordregiver.</t>
        </is>
      </c>
      <c r="AE92" t="inlineStr"/>
      <c r="AF92" t="inlineStr">
        <is>
          <t>Draft</t>
        </is>
      </c>
      <c r="AG92" t="inlineStr">
        <is>
          <t>uim-esdh-full-2026-07-07</t>
        </is>
      </c>
    </row>
    <row r="93" ht="48" customHeight="1">
      <c r="A93" s="35" t="n">
        <v>92</v>
      </c>
      <c r="B93" s="35" t="inlineStr">
        <is>
          <t>MK-84</t>
        </is>
      </c>
      <c r="C93" s="35" t="inlineStr">
        <is>
          <t>Bilag 1.b</t>
        </is>
      </c>
      <c r="D93" s="35" t="inlineStr">
        <is>
          <t>Brugergrænsefladen</t>
        </is>
      </c>
      <c r="E93" s="35" t="inlineStr">
        <is>
          <t>Kolonnevisninger - Kundeoprettede</t>
        </is>
      </c>
      <c r="F93" s="35" t="inlineStr">
        <is>
          <t>ESDH-løsningen skal understøtte, at Kunden kan tilvælge og fravælge kolonnevisninger på Kundeoprettede Entiteter.</t>
        </is>
      </c>
      <c r="G93" s="35" t="inlineStr">
        <is>
          <t>Mindstekrav</t>
        </is>
      </c>
      <c r="H93" s="35">
        <f>IF(G93="Evalueringskrav","Answer",(IF(G93="Krav","Check",(IF(G93="Mindstekrav","Verify","")))))</f>
        <v/>
      </c>
      <c r="I93" s="35" t="inlineStr">
        <is>
          <t>Ja</t>
        </is>
      </c>
      <c r="J93" s="35" t="n"/>
      <c r="K93" s="47" t="n"/>
      <c r="L93" s="35" t="inlineStr">
        <is>
          <t>Torben</t>
        </is>
      </c>
      <c r="M93" s="35" t="n"/>
      <c r="N93" s="35" t="n"/>
      <c r="O93" s="35" t="inlineStr">
        <is>
          <t>3. Not able to meet</t>
        </is>
      </c>
      <c r="P93" s="35" t="inlineStr">
        <is>
          <t>ADN: Det understøtter vi ikke - jeg tænker de mener kolonner inde i webparts på vores overbliksbilleder.</t>
        </is>
      </c>
      <c r="Q93" s="35" t="n"/>
      <c r="R93" s="35" t="n"/>
      <c r="S93" s="35" t="n"/>
      <c r="T93" s="35" t="n"/>
      <c r="U93" s="35" t="inlineStr">
        <is>
          <t>Not Started</t>
        </is>
      </c>
      <c r="V93" s="37">
        <f>IF(U93="Not Started",0%,IF(U93="Started",50%,IF(U93="Ready for review",70%,IF(U93="Reviewed - Content",80%,IF(U93="Reviewed - Format",90%,IF(U93="Done",100%,""))))))</f>
        <v/>
      </c>
      <c r="W93" t="inlineStr">
        <is>
          <t>2026-07-07</t>
        </is>
      </c>
      <c r="X93" t="inlineStr">
        <is>
          <t>Cursor / tender-response (MCP-enriched)</t>
        </is>
      </c>
      <c r="Y93" t="inlineStr">
        <is>
          <t>Not met</t>
        </is>
      </c>
      <c r="Z93" t="inlineStr">
        <is>
          <t>Lead</t>
        </is>
      </c>
      <c r="AA93" t="inlineStr">
        <is>
          <t>Verify: Kolonnevisninger - Kundeoprettede — gap ift. kravtekst; eskalér commitment eller afklaring.</t>
        </is>
      </c>
      <c r="AB93" t="inlineStr">
        <is>
          <t>ADN: Det understøtter vi ikke - jeg tænker de mener kolonner inde i webparts på vores overbliksbilleder. | Red flag: Det understøtter vi ikke - jeg tænker de mener kolonner inde i webparts på vores overbliksbilleder.</t>
        </is>
      </c>
      <c r="AC93" t="inlineStr">
        <is>
          <t>Wiki: 360° Version 5 changes in detail views and wizards</t>
        </is>
      </c>
      <c r="AD93" t="inlineStr">
        <is>
          <t>Torben: Commitment/no-bid beslutning; overvej Q&amp;A til ordregiver.</t>
        </is>
      </c>
      <c r="AE93" t="inlineStr"/>
      <c r="AF93" t="inlineStr">
        <is>
          <t>Draft</t>
        </is>
      </c>
      <c r="AG93" t="inlineStr">
        <is>
          <t>uim-esdh-full-2026-07-07</t>
        </is>
      </c>
    </row>
    <row r="94" ht="64" customHeight="1">
      <c r="A94" s="35" t="n">
        <v>93</v>
      </c>
      <c r="B94" s="35" t="inlineStr">
        <is>
          <t>MK-85</t>
        </is>
      </c>
      <c r="C94" s="35" t="inlineStr">
        <is>
          <t>Bilag 1.b</t>
        </is>
      </c>
      <c r="D94" s="35" t="inlineStr">
        <is>
          <t>Brugergrænsefladen</t>
        </is>
      </c>
      <c r="E94" s="35" t="inlineStr">
        <is>
          <t>Kundeoprettede felter på kolonnevisning</t>
        </is>
      </c>
      <c r="F94" s="35" t="inlineStr">
        <is>
          <t>ESDH-løsningen skal understøtte, at Kundeoprettede felter skal kunne anvendes i kolonnevisningerne på standard Entiteter og Kundeoprettede Entiteter.</t>
        </is>
      </c>
      <c r="G94" s="35" t="inlineStr">
        <is>
          <t>Mindstekrav</t>
        </is>
      </c>
      <c r="H94" s="35">
        <f>IF(G94="Evalueringskrav","Answer",(IF(G94="Krav","Check",(IF(G94="Mindstekrav","Verify","")))))</f>
        <v/>
      </c>
      <c r="I94" s="35" t="inlineStr">
        <is>
          <t>Ja</t>
        </is>
      </c>
      <c r="J94" s="35" t="n"/>
      <c r="K94" s="47" t="n"/>
      <c r="L94" s="35" t="inlineStr">
        <is>
          <t>Torben</t>
        </is>
      </c>
      <c r="M94" s="35" t="n"/>
      <c r="N94" s="35" t="n"/>
      <c r="O94" s="35" t="inlineStr">
        <is>
          <t>3. Not able to meet</t>
        </is>
      </c>
      <c r="P94" s="35" t="inlineStr">
        <is>
          <t>ADN: Det understøtter vi ikke - jeg tænker de mener kolonner inde i webparts på vores overbliksbilleder.Vi gemmer ikke sorteringer og filtreringer</t>
        </is>
      </c>
      <c r="Q94" s="35" t="n"/>
      <c r="R94" s="35" t="n"/>
      <c r="S94" s="35" t="n"/>
      <c r="T94" s="35" t="n"/>
      <c r="U94" s="35" t="inlineStr">
        <is>
          <t>Not Started</t>
        </is>
      </c>
      <c r="V94" s="37">
        <f>IF(U94="Not Started",0%,IF(U94="Started",50%,IF(U94="Ready for review",70%,IF(U94="Reviewed - Content",80%,IF(U94="Reviewed - Format",90%,IF(U94="Done",100%,""))))))</f>
        <v/>
      </c>
      <c r="W94" t="inlineStr">
        <is>
          <t>2026-07-07</t>
        </is>
      </c>
      <c r="X94" t="inlineStr">
        <is>
          <t>Cursor / tender-response (MCP-enriched)</t>
        </is>
      </c>
      <c r="Y94" t="inlineStr">
        <is>
          <t>Not met</t>
        </is>
      </c>
      <c r="Z94" t="inlineStr">
        <is>
          <t>Lead</t>
        </is>
      </c>
      <c r="AA94" t="inlineStr">
        <is>
          <t>Verify: Kundeoprettede felter på kolonnevisning — gap ift. kravtekst; eskalér commitment eller afklaring.</t>
        </is>
      </c>
      <c r="AB94" t="inlineStr">
        <is>
          <t>ADN: Det understøtter vi ikke - jeg tænker de mener kolonner inde i webparts på vores overbliksbilleder.Vi gemmer ikke sorteringer og filtreringer | Red flag: Det understøtter vi ikke - jeg tænker de mener kolonner inde i webparts på vores overbliksbilleder.</t>
        </is>
      </c>
      <c r="AC94" t="inlineStr">
        <is>
          <t>Ratatoskr: Custom fields (admin-en) | Wiki: Build log hotfix packages; 6.0 release information</t>
        </is>
      </c>
      <c r="AD94" t="inlineStr">
        <is>
          <t>Torben: Commitment/no-bid beslutning; overvej Q&amp;A til ordregiver.</t>
        </is>
      </c>
      <c r="AE94" t="inlineStr"/>
      <c r="AF94" t="inlineStr">
        <is>
          <t>Draft</t>
        </is>
      </c>
      <c r="AG94" t="inlineStr">
        <is>
          <t>uim-esdh-full-2026-07-07</t>
        </is>
      </c>
    </row>
    <row r="95" ht="64" customHeight="1">
      <c r="A95" s="35" t="n">
        <v>94</v>
      </c>
      <c r="B95" s="35" t="inlineStr">
        <is>
          <t>MK-86</t>
        </is>
      </c>
      <c r="C95" s="35" t="inlineStr">
        <is>
          <t>Bilag 1.b</t>
        </is>
      </c>
      <c r="D95" s="35" t="inlineStr">
        <is>
          <t>Brugergrænsefladen</t>
        </is>
      </c>
      <c r="E95" s="35" t="inlineStr">
        <is>
          <t>Filtrering og sortering på kolonnevisninger</t>
        </is>
      </c>
      <c r="F95" s="35" t="inlineStr">
        <is>
          <t>ESDH-løsningen skal understøtte filtrering og sortering på kolonnevisninger. Brugerens valgte indstillinger skal kunne gemmes som standardvisning for Brugeren.</t>
        </is>
      </c>
      <c r="G95" s="35" t="inlineStr">
        <is>
          <t>Mindstekrav</t>
        </is>
      </c>
      <c r="H95" s="35">
        <f>IF(G95="Evalueringskrav","Answer",(IF(G95="Krav","Check",(IF(G95="Mindstekrav","Verify","")))))</f>
        <v/>
      </c>
      <c r="I95" s="35" t="inlineStr">
        <is>
          <t>Ja</t>
        </is>
      </c>
      <c r="J95" s="35" t="n"/>
      <c r="K95" s="47" t="n"/>
      <c r="L95" s="35" t="inlineStr">
        <is>
          <t>Torben</t>
        </is>
      </c>
      <c r="M95" s="35" t="n"/>
      <c r="N95" s="35" t="n"/>
      <c r="O95" s="35" t="inlineStr">
        <is>
          <t>3. Not able to meet</t>
        </is>
      </c>
      <c r="P95" s="35" t="inlineStr">
        <is>
          <t>ADN: Det understøtter vi ikke - jeg tænker de mener kolonner inde i webparts på vores overbliksbilleder.Vi gemmer ikke sorteringer og filtreringer</t>
        </is>
      </c>
      <c r="Q95" s="35" t="n"/>
      <c r="R95" s="35" t="n"/>
      <c r="S95" s="35" t="n"/>
      <c r="T95" s="35" t="n"/>
      <c r="U95" s="35" t="inlineStr">
        <is>
          <t>Not Started</t>
        </is>
      </c>
      <c r="V95" s="37">
        <f>IF(U95="Not Started",0%,IF(U95="Started",50%,IF(U95="Ready for review",70%,IF(U95="Reviewed - Content",80%,IF(U95="Reviewed - Format",90%,IF(U95="Done",100%,""))))))</f>
        <v/>
      </c>
      <c r="W95" t="inlineStr">
        <is>
          <t>2026-07-07</t>
        </is>
      </c>
      <c r="X95" t="inlineStr">
        <is>
          <t>Cursor / tender-response (MCP-enriched)</t>
        </is>
      </c>
      <c r="Y95" t="inlineStr">
        <is>
          <t>Not met</t>
        </is>
      </c>
      <c r="Z95" t="inlineStr">
        <is>
          <t>Lead</t>
        </is>
      </c>
      <c r="AA95" t="inlineStr">
        <is>
          <t>Verify: Filtrering og sortering på kolonnevisninger — gap ift. kravtekst; eskalér commitment eller afklaring.</t>
        </is>
      </c>
      <c r="AB95" t="inlineStr">
        <is>
          <t>ADN: Det understøtter vi ikke - jeg tænker de mener kolonner inde i webparts på vores overbliksbilleder.Vi gemmer ikke sorteringer og filtreringer | Red flag: Det understøtter vi ikke - jeg tænker de mener kolonner inde i webparts på vores overbliksbilleder.Vi gemmer ikke sorteringer og filtreringer</t>
        </is>
      </c>
      <c r="AC95" t="inlineStr">
        <is>
          <t>Wiki: Build log hotfix packages; 5.9 release information</t>
        </is>
      </c>
      <c r="AD95" t="inlineStr">
        <is>
          <t>Torben: Commitment/no-bid beslutning; overvej Q&amp;A til ordregiver.</t>
        </is>
      </c>
      <c r="AE95" t="inlineStr"/>
      <c r="AF95" t="inlineStr">
        <is>
          <t>Draft</t>
        </is>
      </c>
      <c r="AG95" t="inlineStr">
        <is>
          <t>uim-esdh-full-2026-07-07</t>
        </is>
      </c>
    </row>
    <row r="96" ht="48" customHeight="1">
      <c r="A96" s="35" t="n">
        <v>95</v>
      </c>
      <c r="B96" s="35" t="inlineStr">
        <is>
          <t>MK-87</t>
        </is>
      </c>
      <c r="C96" s="35" t="inlineStr">
        <is>
          <t>Bilag 1.b</t>
        </is>
      </c>
      <c r="D96" s="35" t="inlineStr">
        <is>
          <t>Brugergrænsefladen</t>
        </is>
      </c>
      <c r="E96" s="35" t="inlineStr">
        <is>
          <t>Faner og widgets</t>
        </is>
      </c>
      <c r="F96" s="35" t="inlineStr">
        <is>
          <t>ESDH-løsningen skal understøtte, at Kunden kan opsætte Kundeoprettede faner/widgets på både standard- og Kundeoprettede Entiteter.</t>
        </is>
      </c>
      <c r="G96" s="35" t="inlineStr">
        <is>
          <t>Mindstekrav</t>
        </is>
      </c>
      <c r="H96" s="35">
        <f>IF(G96="Evalueringskrav","Answer",(IF(G96="Krav","Check",(IF(G96="Mindstekrav","Verify","")))))</f>
        <v/>
      </c>
      <c r="I96" s="35" t="inlineStr">
        <is>
          <t>Ja</t>
        </is>
      </c>
      <c r="J96" s="35" t="n"/>
      <c r="K96" s="47" t="n"/>
      <c r="L96" s="35" t="inlineStr">
        <is>
          <t>Torben</t>
        </is>
      </c>
      <c r="M96" s="35" t="n"/>
      <c r="N96" s="35" t="n"/>
      <c r="O96" s="35" t="inlineStr">
        <is>
          <t>3. Not able to meet</t>
        </is>
      </c>
      <c r="P96" s="35" t="inlineStr">
        <is>
          <t>ADN:  ”kundeoprettede faner” på overbliksbilleder kræver en voldsomt udvidelse af FFUI Overbliksbilleder</t>
        </is>
      </c>
      <c r="Q96" s="35" t="n"/>
      <c r="R96" s="35" t="n"/>
      <c r="S96" s="35" t="n"/>
      <c r="T96" s="35" t="n"/>
      <c r="U96" s="35" t="inlineStr">
        <is>
          <t>Not Started</t>
        </is>
      </c>
      <c r="V96" s="37">
        <f>IF(U96="Not Started",0%,IF(U96="Started",50%,IF(U96="Ready for review",70%,IF(U96="Reviewed - Content",80%,IF(U96="Reviewed - Format",90%,IF(U96="Done",100%,""))))))</f>
        <v/>
      </c>
      <c r="W96" t="inlineStr">
        <is>
          <t>2026-07-07</t>
        </is>
      </c>
      <c r="X96" t="inlineStr">
        <is>
          <t>Cursor / tender-response (MCP-enriched)</t>
        </is>
      </c>
      <c r="Y96" t="inlineStr">
        <is>
          <t>Not met</t>
        </is>
      </c>
      <c r="Z96" t="inlineStr">
        <is>
          <t>Lead</t>
        </is>
      </c>
      <c r="AA96" t="inlineStr">
        <is>
          <t>Verify: Faner og widgets — gap ift. kravtekst; eskalér commitment eller afklaring.</t>
        </is>
      </c>
      <c r="AB96" t="inlineStr">
        <is>
          <t>ADN:  ”kundeoprettede faner” på overbliksbilleder kræver en voldsomt udvidelse af FFUI Overbliksbilleder | Red flag: ”kundeoprettede faner” på overbliksbilleder kræver en voldsomt udvidelse af FFUI Overbliksbilleder</t>
        </is>
      </c>
      <c r="AC96" t="inlineStr">
        <is>
          <t>No custom tabs/widgets on entity overviews documentation</t>
        </is>
      </c>
      <c r="AD96" t="inlineStr">
        <is>
          <t>Torben: Commitment/no-bid beslutning; overvej Q&amp;A til ordregiver.</t>
        </is>
      </c>
      <c r="AE96" t="inlineStr"/>
      <c r="AF96" t="inlineStr">
        <is>
          <t>Draft</t>
        </is>
      </c>
      <c r="AG96" t="inlineStr">
        <is>
          <t>uim-esdh-full-2026-07-07</t>
        </is>
      </c>
    </row>
    <row r="97" ht="96" customHeight="1">
      <c r="A97" s="35" t="n">
        <v>96</v>
      </c>
      <c r="B97" s="35" t="inlineStr">
        <is>
          <t>MK-88</t>
        </is>
      </c>
      <c r="C97" s="35" t="inlineStr">
        <is>
          <t>Bilag 1.b</t>
        </is>
      </c>
      <c r="D97" s="35" t="inlineStr">
        <is>
          <t>Brugergrænsefladen</t>
        </is>
      </c>
      <c r="E97" s="35" t="inlineStr">
        <is>
          <t>Fleksibilitet</t>
        </is>
      </c>
      <c r="F97" s="35" t="inlineStr">
        <is>
          <t>ESDH-løsningen skal understøtte, at Kunden har fuld fleksibilitet til vælge, hvor Kundeoprettede Entiteter og Kundeoprettede felter vises i brugergrænsefladen.</t>
        </is>
      </c>
      <c r="G97" s="35" t="inlineStr">
        <is>
          <t>Mindstekrav</t>
        </is>
      </c>
      <c r="H97" s="35">
        <f>IF(G97="Evalueringskrav","Answer",(IF(G97="Krav","Check",(IF(G97="Mindstekrav","Verify","")))))</f>
        <v/>
      </c>
      <c r="I97" s="35" t="inlineStr">
        <is>
          <t>Ja</t>
        </is>
      </c>
      <c r="J97" s="35" t="n"/>
      <c r="K97" s="47" t="n"/>
      <c r="L97" s="35" t="inlineStr">
        <is>
          <t>Torben</t>
        </is>
      </c>
      <c r="M97" s="35" t="n"/>
      <c r="N97" s="35" t="n"/>
      <c r="O97" s="35" t="inlineStr">
        <is>
          <t>3. Not able to meet</t>
        </is>
      </c>
      <c r="P97" s="35" t="inlineStr">
        <is>
          <t>ADN: Hvis vi nu tolker det her til webparten "brugerdefinerede felter" og webparten: "Ejendomme", "Projekter" og "Aktiviteter" - så kan kunden jo godt på sags- og dokumentoversigter  bestemme hvor disse vises. Vi har det dog ikke på kontaktoverblik.</t>
        </is>
      </c>
      <c r="Q97" s="35" t="n"/>
      <c r="R97" s="35" t="n"/>
      <c r="S97" s="35" t="n"/>
      <c r="T97" s="35" t="n"/>
      <c r="U97" s="35" t="inlineStr">
        <is>
          <t>Not Started</t>
        </is>
      </c>
      <c r="V97" s="37">
        <f>IF(U97="Not Started",0%,IF(U97="Started",50%,IF(U97="Ready for review",70%,IF(U97="Reviewed - Content",80%,IF(U97="Reviewed - Format",90%,IF(U97="Done",100%,""))))))</f>
        <v/>
      </c>
      <c r="W97" t="inlineStr">
        <is>
          <t>2026-07-07</t>
        </is>
      </c>
      <c r="X97" t="inlineStr">
        <is>
          <t>Cursor / tender-response (MCP-enriched)</t>
        </is>
      </c>
      <c r="Y97" t="inlineStr">
        <is>
          <t>Not met</t>
        </is>
      </c>
      <c r="Z97" t="inlineStr">
        <is>
          <t>Lead</t>
        </is>
      </c>
      <c r="AA97" t="inlineStr">
        <is>
          <t>Verify: Fleksibilitet — gap ift. kravtekst; eskalér commitment eller afklaring.</t>
        </is>
      </c>
      <c r="AB97" t="inlineStr">
        <is>
          <t>ADN: Hvis vi nu tolker det her til webparten "brugerdefinerede felter" og webparten: "Ejendomme", "Projekter" og "Aktiviteter" - så kan kunden jo godt på sags- og dokumentoversigter  bestemme hvor disse vises. Vi har det dog ikke på kontaktoverblik. | Red flag: Understøttes ikke</t>
        </is>
      </c>
      <c r="AC97" t="inlineStr">
        <is>
          <t>Wiki: Flexibility initiatives; Full-Flex UI entity creation</t>
        </is>
      </c>
      <c r="AD97" t="inlineStr">
        <is>
          <t>Torben: Commitment/no-bid beslutning; overvej Q&amp;A til ordregiver.</t>
        </is>
      </c>
      <c r="AE97" t="inlineStr"/>
      <c r="AF97" t="inlineStr">
        <is>
          <t>Draft</t>
        </is>
      </c>
      <c r="AG97" t="inlineStr">
        <is>
          <t>uim-esdh-full-2026-07-07</t>
        </is>
      </c>
    </row>
    <row r="98" ht="224" customHeight="1">
      <c r="A98" s="35" t="n">
        <v>97</v>
      </c>
      <c r="B98" s="35" t="inlineStr">
        <is>
          <t>K-7</t>
        </is>
      </c>
      <c r="C98" s="35" t="inlineStr">
        <is>
          <t>Bilag 1.b</t>
        </is>
      </c>
      <c r="D98" s="35" t="inlineStr">
        <is>
          <t>Brugergrænsefladen</t>
        </is>
      </c>
      <c r="E98" s="35" t="inlineStr">
        <is>
          <t>Relationer skal være navigerbare</t>
        </is>
      </c>
      <c r="F98" s="35" t="inlineStr">
        <is>
          <t>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t>
        </is>
      </c>
      <c r="G98" s="35" t="inlineStr">
        <is>
          <t>Krav</t>
        </is>
      </c>
      <c r="H98" s="35">
        <f>IF(G98="Evalueringskrav","Answer",(IF(G98="Krav","Check",(IF(G98="Mindstekrav","Verify","")))))</f>
        <v/>
      </c>
      <c r="I98" s="35" t="inlineStr">
        <is>
          <t>Ja</t>
        </is>
      </c>
      <c r="J98" s="35" t="n"/>
      <c r="K98" s="47" t="n"/>
      <c r="L98" s="35" t="inlineStr">
        <is>
          <t>Anton</t>
        </is>
      </c>
      <c r="M98" s="35" t="n"/>
      <c r="N98" s="35" t="n"/>
      <c r="O98" s="35" t="inlineStr">
        <is>
          <t>1. Fully met</t>
        </is>
      </c>
      <c r="P98" s="35" t="n"/>
      <c r="Q98" s="35" t="n"/>
      <c r="R98" s="35" t="n"/>
      <c r="S98" s="35" t="n"/>
      <c r="T98" s="35" t="n"/>
      <c r="U98" s="35" t="inlineStr">
        <is>
          <t>Not Started</t>
        </is>
      </c>
      <c r="V98" s="37">
        <f>IF(U98="Not Started",0%,IF(U98="Started",50%,IF(U98="Ready for review",70%,IF(U98="Reviewed - Content",80%,IF(U98="Reviewed - Format",90%,IF(U98="Done",100%,""))))))</f>
        <v/>
      </c>
      <c r="W98" t="inlineStr">
        <is>
          <t>2026-07-07</t>
        </is>
      </c>
      <c r="X98" t="inlineStr">
        <is>
          <t>Cursor / tender-response (batch)</t>
        </is>
      </c>
      <c r="Y98" t="inlineStr">
        <is>
          <t>Met</t>
        </is>
      </c>
      <c r="Z98" t="inlineStr">
        <is>
          <t>Verified</t>
        </is>
      </c>
      <c r="AA98" t="inlineStr">
        <is>
          <t>Check: Relationer skal være navigerbare — vurderet opfyldt (tool: 1. Fully met).</t>
        </is>
      </c>
      <c r="AB98" t="inlineStr"/>
      <c r="AC98" t="inlineStr">
        <is>
          <t>docs/tender-reference/extracted/Nationalbanken/Bilag 3.i Leverandørens Løsningsbeskrivelse.txt; docs/tender-reference/extracted/KK Tender tool.txt; docs/tender-reference/extracted/KUM-SLKS/Bilag 3 - Kravspecifikation.txt</t>
        </is>
      </c>
      <c r="AD98" t="inlineStr">
        <is>
          <t>Anton: Confirm verify-tekst; opdatér review status efter tjek.</t>
        </is>
      </c>
      <c r="AE98" t="inlineStr"/>
      <c r="AF98" t="inlineStr">
        <is>
          <t>Draft</t>
        </is>
      </c>
      <c r="AG98" t="inlineStr">
        <is>
          <t>uim-esdh-full-2026-07-07</t>
        </is>
      </c>
    </row>
    <row r="99" ht="409.5" customHeight="1">
      <c r="A99" s="35" t="n">
        <v>98</v>
      </c>
      <c r="B99" s="35" t="inlineStr">
        <is>
          <t>EK-3</t>
        </is>
      </c>
      <c r="C99" s="35" t="inlineStr">
        <is>
          <t>Bilag 1.b</t>
        </is>
      </c>
      <c r="D99" s="35" t="inlineStr">
        <is>
          <t>Brugergrænsefladen</t>
        </is>
      </c>
      <c r="E99" s="35" t="inlineStr">
        <is>
          <t>Bruger-grænseflade</t>
        </is>
      </c>
      <c r="F99" s="35" t="inlineStr">
        <is>
          <t>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t>
        </is>
      </c>
      <c r="G99" s="35" t="inlineStr">
        <is>
          <t>Evalueringskrav</t>
        </is>
      </c>
      <c r="H99" s="35">
        <f>IF(G99="Evalueringskrav","Answer",(IF(G99="Krav","Check",(IF(G99="Mindstekrav","Verify","")))))</f>
        <v/>
      </c>
      <c r="I99" s="35" t="inlineStr">
        <is>
          <t>Ja</t>
        </is>
      </c>
      <c r="J99" s="35" t="n"/>
      <c r="K99" s="47" t="n"/>
      <c r="L99" s="35" t="inlineStr">
        <is>
          <t>Claus</t>
        </is>
      </c>
      <c r="M99" s="35" t="n"/>
      <c r="N99" s="35" t="n"/>
      <c r="O99" s="35" t="n"/>
      <c r="P99" s="35" t="n"/>
      <c r="Q99" s="35" t="n"/>
      <c r="R99" s="35" t="n"/>
      <c r="S99" s="35" t="n"/>
      <c r="T99" s="35" t="n"/>
      <c r="U99" s="35" t="inlineStr">
        <is>
          <t>Not Started</t>
        </is>
      </c>
      <c r="V99" s="37">
        <f>IF(U99="Not Started",0%,IF(U99="Started",50%,IF(U99="Ready for review",70%,IF(U99="Reviewed - Content",80%,IF(U99="Reviewed - Format",90%,IF(U99="Done",100%,""))))))</f>
        <v/>
      </c>
      <c r="W99" t="inlineStr">
        <is>
          <t>2026-07-07</t>
        </is>
      </c>
      <c r="X99" t="inlineStr">
        <is>
          <t>Cursor / tender-response (MCP-enriched)</t>
        </is>
      </c>
      <c r="Y99" t="inlineStr">
        <is>
          <t>Draft needed</t>
        </is>
      </c>
      <c r="Z99" t="inlineStr">
        <is>
          <t>Lead</t>
        </is>
      </c>
      <c r="AA99" t="inlineStr">
        <is>
          <t>Answer: Bruger-grænseflade — informationskrav; udkast bilag/dokumentation mangler.</t>
        </is>
      </c>
      <c r="AB99" t="inlineStr">
        <is>
          <t>Mangler link til svar-bilag i kolonne T.</t>
        </is>
      </c>
      <c r="AC99" t="inlineStr">
        <is>
          <t>Wiki: Full-Flex UI entity creation; Flexibility initiatives</t>
        </is>
      </c>
      <c r="AD99" t="inlineStr">
        <is>
          <t>Claus: Opret/link svar-bilag; draft IK-tekst fra prior art.</t>
        </is>
      </c>
      <c r="AE99" t="inlineStr"/>
      <c r="AF99" t="inlineStr">
        <is>
          <t>Draft</t>
        </is>
      </c>
      <c r="AG99" t="inlineStr">
        <is>
          <t>uim-esdh-full-2026-07-07</t>
        </is>
      </c>
    </row>
    <row r="100" ht="48" customHeight="1">
      <c r="A100" s="35" t="n">
        <v>99</v>
      </c>
      <c r="B100" s="35" t="inlineStr">
        <is>
          <t>MK-89</t>
        </is>
      </c>
      <c r="C100" s="35" t="inlineStr">
        <is>
          <t>Bilag 1.b</t>
        </is>
      </c>
      <c r="D100" s="35" t="inlineStr">
        <is>
          <t>Aktindsigt</t>
        </is>
      </c>
      <c r="E100" s="35" t="inlineStr">
        <is>
          <t>Oprettelse og behandling af aktindsigter</t>
        </is>
      </c>
      <c r="F100" s="35" t="inlineStr">
        <is>
          <t>ESDH-løsningen skal understøtte oprettelse og behandling af aktindsigter som sagstyper i ESDH-løsningen i henhold til både Forvaltningsloven og Offentlighedsloven.</t>
        </is>
      </c>
      <c r="G100" s="35" t="inlineStr">
        <is>
          <t>Mindstekrav</t>
        </is>
      </c>
      <c r="H100" s="35">
        <f>IF(G100="Evalueringskrav","Answer",(IF(G100="Krav","Check",(IF(G100="Mindstekrav","Verify","")))))</f>
        <v/>
      </c>
      <c r="I100" s="35" t="inlineStr">
        <is>
          <t>Ja</t>
        </is>
      </c>
      <c r="J100" s="35" t="n"/>
      <c r="K100" s="47" t="n"/>
      <c r="L100" s="35" t="inlineStr">
        <is>
          <t>Anton</t>
        </is>
      </c>
      <c r="M100" s="35" t="n"/>
      <c r="N100" s="35" t="n"/>
      <c r="O100" s="35" t="inlineStr">
        <is>
          <t>1. Fully met</t>
        </is>
      </c>
      <c r="P100" s="35" t="n"/>
      <c r="Q100" s="35" t="n"/>
      <c r="R100" s="35" t="n"/>
      <c r="S100" s="35" t="n"/>
      <c r="T100" s="35" t="n"/>
      <c r="U100" s="35" t="inlineStr">
        <is>
          <t>Not Started</t>
        </is>
      </c>
      <c r="V100" s="37">
        <f>IF(U100="Not Started",0%,IF(U100="Started",50%,IF(U100="Ready for review",70%,IF(U100="Reviewed - Content",80%,IF(U100="Reviewed - Format",90%,IF(U100="Done",100%,""))))))</f>
        <v/>
      </c>
      <c r="W100" t="inlineStr">
        <is>
          <t>2026-07-07</t>
        </is>
      </c>
      <c r="X100" t="inlineStr">
        <is>
          <t>Cursor / tender-response (batch)</t>
        </is>
      </c>
      <c r="Y100" t="inlineStr">
        <is>
          <t>Met</t>
        </is>
      </c>
      <c r="Z100" t="inlineStr">
        <is>
          <t>Verified</t>
        </is>
      </c>
      <c r="AA100" t="inlineStr">
        <is>
          <t>Verify: Oprettelse og behandling af aktindsigter — vurderet opfyldt (tool: 1. Fully met).</t>
        </is>
      </c>
      <c r="AB100" t="inlineStr"/>
      <c r="AC100" t="inlineStr">
        <is>
          <t>docs/tender-reference/extracted/KK Tender tool.txt; docs/tender-reference/extracted/Nationalbanken/Bilag 3.i Leverandørens Løsningsbeskrivelse.txt; docs/tender-reference/extracted/KUM-SLKS/Bilag 3 - Kravspecifikation.txt</t>
        </is>
      </c>
      <c r="AD100" t="inlineStr">
        <is>
          <t>Anton: Confirm verify-tekst; opdatér review status efter tjek.</t>
        </is>
      </c>
      <c r="AE100" t="inlineStr"/>
      <c r="AF100" t="inlineStr">
        <is>
          <t>Draft</t>
        </is>
      </c>
      <c r="AG100" t="inlineStr">
        <is>
          <t>uim-esdh-full-2026-07-07</t>
        </is>
      </c>
    </row>
    <row r="101" ht="409.5" customHeight="1">
      <c r="A101" s="35" t="n">
        <v>100</v>
      </c>
      <c r="B101" s="35" t="inlineStr">
        <is>
          <t>EK-4</t>
        </is>
      </c>
      <c r="C101" s="35" t="inlineStr">
        <is>
          <t>Bilag 1.b</t>
        </is>
      </c>
      <c r="D101" s="35" t="inlineStr">
        <is>
          <t>Aktindsigt</t>
        </is>
      </c>
      <c r="E101" s="35" t="inlineStr">
        <is>
          <t>Aktindsigt</t>
        </is>
      </c>
      <c r="F101" s="35" t="inlineStr">
        <is>
          <t>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t>
        </is>
      </c>
      <c r="G101" s="35" t="inlineStr">
        <is>
          <t>Evalueringskrav</t>
        </is>
      </c>
      <c r="H101" s="35">
        <f>IF(G101="Evalueringskrav","Answer",(IF(G101="Krav","Check",(IF(G101="Mindstekrav","Verify","")))))</f>
        <v/>
      </c>
      <c r="I101" s="35" t="inlineStr">
        <is>
          <t>Ja</t>
        </is>
      </c>
      <c r="J101" s="35" t="n"/>
      <c r="K101" s="47" t="n"/>
      <c r="L101" s="35" t="inlineStr">
        <is>
          <t>Hans</t>
        </is>
      </c>
      <c r="M101" s="35" t="n"/>
      <c r="N101" s="35" t="n"/>
      <c r="O101" s="35" t="n"/>
      <c r="P101" s="35" t="n"/>
      <c r="Q101" s="35" t="n"/>
      <c r="R101" s="35" t="n"/>
      <c r="S101" s="35" t="n"/>
      <c r="T101" s="35" t="n"/>
      <c r="U101" s="35" t="inlineStr">
        <is>
          <t>Not Started</t>
        </is>
      </c>
      <c r="V101" s="37">
        <f>IF(U101="Not Started",0%,IF(U101="Started",50%,IF(U101="Ready for review",70%,IF(U101="Reviewed - Content",80%,IF(U101="Reviewed - Format",90%,IF(U101="Done",100%,""))))))</f>
        <v/>
      </c>
      <c r="W101" t="inlineStr">
        <is>
          <t>2026-07-07</t>
        </is>
      </c>
      <c r="X101" t="inlineStr">
        <is>
          <t>Cursor / tender-response (MCP-enriched)</t>
        </is>
      </c>
      <c r="Y101" t="inlineStr">
        <is>
          <t>Draft needed</t>
        </is>
      </c>
      <c r="Z101" t="inlineStr">
        <is>
          <t>Verified</t>
        </is>
      </c>
      <c r="AA101" t="inlineStr">
        <is>
          <t>Answer: Aktindsigt — informationskrav; udkast bilag/dokumentation mangler.</t>
        </is>
      </c>
      <c r="AB101" t="inlineStr">
        <is>
          <t>Mangler link til svar-bilag i kolonne T.</t>
        </is>
      </c>
      <c r="AC101" t="inlineStr">
        <is>
          <t>Ratatoskr: 360° Information Act Request (admin-en); Automatic IFAR process (admin-en) | Wiki: Changes to module names and availability; 360° eInnsyn export</t>
        </is>
      </c>
      <c r="AD101" t="inlineStr">
        <is>
          <t>Hans: Opret/link svar-bilag; draft IK-tekst fra prior art.</t>
        </is>
      </c>
      <c r="AE101" t="inlineStr"/>
      <c r="AF101" t="inlineStr">
        <is>
          <t>Draft</t>
        </is>
      </c>
      <c r="AG101" t="inlineStr">
        <is>
          <t>uim-esdh-full-2026-07-07</t>
        </is>
      </c>
    </row>
    <row r="102" ht="48" customHeight="1">
      <c r="A102" s="35" t="n">
        <v>101</v>
      </c>
      <c r="B102" s="35" t="inlineStr">
        <is>
          <t>MK-90</t>
        </is>
      </c>
      <c r="C102" s="35" t="inlineStr">
        <is>
          <t>Bilag 1.b</t>
        </is>
      </c>
      <c r="D102" s="35" t="inlineStr">
        <is>
          <t>Godkendelses- og høringsflow</t>
        </is>
      </c>
      <c r="E102" s="35" t="inlineStr">
        <is>
          <t>Godkendelsesflow, sekventielt eller parallelt</t>
        </is>
      </c>
      <c r="F102" s="35" t="inlineStr">
        <is>
          <t>ESDH-løsningen skal understøtte, at der kan sendes en eller flere Filer i godkendelsesflows til en eller flere modtagere, enten sekventielt, parallelt eller som en kombination af begge.</t>
        </is>
      </c>
      <c r="G102" s="35" t="inlineStr">
        <is>
          <t>Mindstekrav</t>
        </is>
      </c>
      <c r="H102" s="35">
        <f>IF(G102="Evalueringskrav","Answer",(IF(G102="Krav","Check",(IF(G102="Mindstekrav","Verify","")))))</f>
        <v/>
      </c>
      <c r="I102" s="35" t="inlineStr">
        <is>
          <t>Ja</t>
        </is>
      </c>
      <c r="J102" s="35" t="n"/>
      <c r="K102" s="47" t="n"/>
      <c r="L102" s="35" t="inlineStr">
        <is>
          <t>Anton</t>
        </is>
      </c>
      <c r="M102" s="35" t="n"/>
      <c r="N102" s="35" t="n"/>
      <c r="O102" s="35" t="inlineStr">
        <is>
          <t>1. Fully met</t>
        </is>
      </c>
      <c r="P102" s="35" t="n"/>
      <c r="Q102" s="35" t="n"/>
      <c r="R102" s="35" t="n"/>
      <c r="S102" s="35" t="n"/>
      <c r="T102" s="35" t="n"/>
      <c r="U102" s="35" t="inlineStr">
        <is>
          <t>Not Started</t>
        </is>
      </c>
      <c r="V102" s="37">
        <f>IF(U102="Not Started",0%,IF(U102="Started",50%,IF(U102="Ready for review",70%,IF(U102="Reviewed - Content",80%,IF(U102="Reviewed - Format",90%,IF(U102="Done",100%,""))))))</f>
        <v/>
      </c>
      <c r="W102" t="inlineStr">
        <is>
          <t>2026-07-07</t>
        </is>
      </c>
      <c r="X102" t="inlineStr">
        <is>
          <t>Cursor / tender-response (batch)</t>
        </is>
      </c>
      <c r="Y102" t="inlineStr">
        <is>
          <t>Met</t>
        </is>
      </c>
      <c r="Z102" t="inlineStr">
        <is>
          <t>Verified</t>
        </is>
      </c>
      <c r="AA102" t="inlineStr">
        <is>
          <t>Verify: Godkendelsesflow, sekventielt eller parallelt — vurderet opfyldt (tool: 1. Fully met).</t>
        </is>
      </c>
      <c r="AB102" t="inlineStr"/>
      <c r="AC102" t="inlineStr">
        <is>
          <t>docs/tender-reference/extracted/Nationalbanken/Bilag 3.i Leverandørens Løsningsbeskrivelse.txt; docs/tender-reference/extracted/KUM-SLKS/Bilag 3 - Kravspecifikation.txt; docs/tender-reference/extracted/KK Tender tool.txt</t>
        </is>
      </c>
      <c r="AD102" t="inlineStr">
        <is>
          <t>Anton: Confirm verify-tekst; opdatér review status efter tjek.</t>
        </is>
      </c>
      <c r="AE102" t="inlineStr"/>
      <c r="AF102" t="inlineStr">
        <is>
          <t>Draft</t>
        </is>
      </c>
      <c r="AG102" t="inlineStr">
        <is>
          <t>uim-esdh-full-2026-07-07</t>
        </is>
      </c>
    </row>
    <row r="103" ht="48" customHeight="1">
      <c r="A103" s="35" t="n">
        <v>102</v>
      </c>
      <c r="B103" s="35" t="inlineStr">
        <is>
          <t>MK-91</t>
        </is>
      </c>
      <c r="C103" s="35" t="inlineStr">
        <is>
          <t>Bilag 1.b</t>
        </is>
      </c>
      <c r="D103" s="35" t="inlineStr">
        <is>
          <t>Godkendelses- og høringsflow</t>
        </is>
      </c>
      <c r="E103" s="35" t="inlineStr">
        <is>
          <t>Handling i godkendelsesflowet</t>
        </is>
      </c>
      <c r="F103" s="35" t="inlineStr">
        <is>
          <t>ESDH-løsningen skal understøtte forskellige statusser i godkendelsesflowet.</t>
        </is>
      </c>
      <c r="G103" s="35" t="inlineStr">
        <is>
          <t>Mindstekrav</t>
        </is>
      </c>
      <c r="H103" s="35">
        <f>IF(G103="Evalueringskrav","Answer",(IF(G103="Krav","Check",(IF(G103="Mindstekrav","Verify","")))))</f>
        <v/>
      </c>
      <c r="I103" s="35" t="inlineStr">
        <is>
          <t>Ja</t>
        </is>
      </c>
      <c r="J103" s="35" t="n"/>
      <c r="K103" s="47" t="n"/>
      <c r="L103" s="35" t="inlineStr">
        <is>
          <t>Anton</t>
        </is>
      </c>
      <c r="M103" s="35" t="n"/>
      <c r="N103" s="35" t="n"/>
      <c r="O103" s="35" t="inlineStr">
        <is>
          <t>1. Fully met</t>
        </is>
      </c>
      <c r="P103" s="35" t="n"/>
      <c r="Q103" s="35" t="n"/>
      <c r="R103" s="35" t="n"/>
      <c r="S103" s="35" t="n"/>
      <c r="T103" s="35" t="n"/>
      <c r="U103" s="35" t="inlineStr">
        <is>
          <t>Not Started</t>
        </is>
      </c>
      <c r="V103" s="37">
        <f>IF(U103="Not Started",0%,IF(U103="Started",50%,IF(U103="Ready for review",70%,IF(U103="Reviewed - Content",80%,IF(U103="Reviewed - Format",90%,IF(U103="Done",100%,""))))))</f>
        <v/>
      </c>
      <c r="W103" t="inlineStr">
        <is>
          <t>2026-07-07</t>
        </is>
      </c>
      <c r="X103" t="inlineStr">
        <is>
          <t>Cursor / tender-response (batch)</t>
        </is>
      </c>
      <c r="Y103" t="inlineStr">
        <is>
          <t>Met</t>
        </is>
      </c>
      <c r="Z103" t="inlineStr">
        <is>
          <t>Verified</t>
        </is>
      </c>
      <c r="AA103" t="inlineStr">
        <is>
          <t>Verify: Handling i godkendelsesflowet — vurderet opfyldt (tool: 1. Fully met).</t>
        </is>
      </c>
      <c r="AB103" t="inlineStr"/>
      <c r="AC103" t="inlineStr">
        <is>
          <t>docs/tender-reference/extracted/KUM-SLKS/Bilag 3 - Kravspecifikation.txt; docs/tender-reference/extracted/Nationalbanken/Bilag 3.i Leverandørens Løsningsbeskrivelse.txt; docs/tender-reference/extracted/KK Tender tool.txt</t>
        </is>
      </c>
      <c r="AD103" t="inlineStr">
        <is>
          <t>Anton: Confirm verify-tekst; opdatér review status efter tjek.</t>
        </is>
      </c>
      <c r="AE103" t="inlineStr"/>
      <c r="AF103" t="inlineStr">
        <is>
          <t>Draft</t>
        </is>
      </c>
      <c r="AG103" t="inlineStr">
        <is>
          <t>uim-esdh-full-2026-07-07</t>
        </is>
      </c>
    </row>
    <row r="104" ht="64" customHeight="1">
      <c r="A104" s="35" t="n">
        <v>103</v>
      </c>
      <c r="B104" s="35" t="inlineStr">
        <is>
          <t>MK-92</t>
        </is>
      </c>
      <c r="C104" s="35" t="inlineStr">
        <is>
          <t>Bilag 1.b</t>
        </is>
      </c>
      <c r="D104" s="35" t="inlineStr">
        <is>
          <t>Godkendelses- og høringsflow</t>
        </is>
      </c>
      <c r="E104" s="35" t="inlineStr">
        <is>
          <t>Tilføjelse af godkendelsesled</t>
        </is>
      </c>
      <c r="F104" s="35" t="inlineStr">
        <is>
          <t>ESDH-løsningen skal understøtte, at Brugeren, der har initieret godkendelsen eller det aktive godkendelsesled, kan tilføje flere godkendelsesled. Tilføjelse af godkendelsesled må ikke medføre, at de øvrige godkendelsesled bliver ændret.</t>
        </is>
      </c>
      <c r="G104" s="35" t="inlineStr">
        <is>
          <t>Mindstekrav</t>
        </is>
      </c>
      <c r="H104" s="35">
        <f>IF(G104="Evalueringskrav","Answer",(IF(G104="Krav","Check",(IF(G104="Mindstekrav","Verify","")))))</f>
        <v/>
      </c>
      <c r="I104" s="35" t="inlineStr">
        <is>
          <t>Ja</t>
        </is>
      </c>
      <c r="J104" s="35" t="n"/>
      <c r="K104" s="47" t="n"/>
      <c r="L104" s="35" t="inlineStr">
        <is>
          <t>Anton</t>
        </is>
      </c>
      <c r="M104" s="35" t="n"/>
      <c r="N104" s="35" t="n"/>
      <c r="O104" s="35" t="inlineStr">
        <is>
          <t>1. Fully met</t>
        </is>
      </c>
      <c r="P104" s="35" t="n"/>
      <c r="Q104" s="35" t="n"/>
      <c r="R104" s="35" t="n"/>
      <c r="S104" s="35" t="n"/>
      <c r="T104" s="35" t="n"/>
      <c r="U104" s="35" t="inlineStr">
        <is>
          <t>Not Started</t>
        </is>
      </c>
      <c r="V104" s="37">
        <f>IF(U104="Not Started",0%,IF(U104="Started",50%,IF(U104="Ready for review",70%,IF(U104="Reviewed - Content",80%,IF(U104="Reviewed - Format",90%,IF(U104="Done",100%,""))))))</f>
        <v/>
      </c>
      <c r="W104" t="inlineStr">
        <is>
          <t>2026-07-07</t>
        </is>
      </c>
      <c r="X104" t="inlineStr">
        <is>
          <t>Cursor / tender-response (batch)</t>
        </is>
      </c>
      <c r="Y104" t="inlineStr">
        <is>
          <t>Met</t>
        </is>
      </c>
      <c r="Z104" t="inlineStr">
        <is>
          <t>Verified</t>
        </is>
      </c>
      <c r="AA104" t="inlineStr">
        <is>
          <t>Verify: Tilføjelse af godkendelsesled — vurderet opfyldt (tool: 1. Fully met).</t>
        </is>
      </c>
      <c r="AB104" t="inlineStr"/>
      <c r="AC104" t="inlineStr">
        <is>
          <t>docs/tender-reference/extracted/Nationalbanken/Bilag 3.i Leverandørens Løsningsbeskrivelse.txt; docs/tender-reference/extracted/KUM-SLKS/Bilag 3 - Kravspecifikation.txt; docs/tender-reference/extracted/KK Tender tool.txt</t>
        </is>
      </c>
      <c r="AD104" t="inlineStr">
        <is>
          <t>Anton: Confirm verify-tekst; opdatér review status efter tjek.</t>
        </is>
      </c>
      <c r="AE104" t="inlineStr"/>
      <c r="AF104" t="inlineStr">
        <is>
          <t>Draft</t>
        </is>
      </c>
      <c r="AG104" t="inlineStr">
        <is>
          <t>uim-esdh-full-2026-07-07</t>
        </is>
      </c>
    </row>
    <row r="105" ht="64" customHeight="1">
      <c r="A105" s="35" t="n">
        <v>104</v>
      </c>
      <c r="B105" s="35" t="inlineStr">
        <is>
          <t>MK-93</t>
        </is>
      </c>
      <c r="C105" s="35" t="inlineStr">
        <is>
          <t>Bilag 1.b</t>
        </is>
      </c>
      <c r="D105" s="35" t="inlineStr">
        <is>
          <t>Godkendelses- og høringsflow</t>
        </is>
      </c>
      <c r="E105" s="35" t="inlineStr">
        <is>
          <t>E-mail-Advisering godkendelsesflow</t>
        </is>
      </c>
      <c r="F105" s="35" t="inlineStr">
        <is>
          <t>ESDH-løsningen skal understøtte, at det aktive godkendelsesled modtager en mailadvisering med et klikbart link til de relevante Filer i ESDH-løsningen.</t>
        </is>
      </c>
      <c r="G105" s="35" t="inlineStr">
        <is>
          <t>Mindstekrav</t>
        </is>
      </c>
      <c r="H105" s="35">
        <f>IF(G105="Evalueringskrav","Answer",(IF(G105="Krav","Check",(IF(G105="Mindstekrav","Verify","")))))</f>
        <v/>
      </c>
      <c r="I105" s="35" t="inlineStr">
        <is>
          <t>Ja</t>
        </is>
      </c>
      <c r="J105" s="35" t="n"/>
      <c r="K105" s="47" t="n"/>
      <c r="L105" s="35" t="inlineStr">
        <is>
          <t>Anton</t>
        </is>
      </c>
      <c r="M105" s="35" t="n"/>
      <c r="N105" s="35" t="n"/>
      <c r="O105" s="35" t="inlineStr">
        <is>
          <t>1. Fully met</t>
        </is>
      </c>
      <c r="P105" s="35" t="n"/>
      <c r="Q105" s="35" t="n"/>
      <c r="R105" s="35" t="n"/>
      <c r="S105" s="35" t="n"/>
      <c r="T105" s="35" t="n"/>
      <c r="U105" s="35" t="inlineStr">
        <is>
          <t>Not Started</t>
        </is>
      </c>
      <c r="V105" s="37">
        <f>IF(U105="Not Started",0%,IF(U105="Started",50%,IF(U105="Ready for review",70%,IF(U105="Reviewed - Content",80%,IF(U105="Reviewed - Format",90%,IF(U105="Done",100%,""))))))</f>
        <v/>
      </c>
      <c r="W105" t="inlineStr">
        <is>
          <t>2026-07-07</t>
        </is>
      </c>
      <c r="X105" t="inlineStr">
        <is>
          <t>Cursor / tender-response (batch)</t>
        </is>
      </c>
      <c r="Y105" t="inlineStr">
        <is>
          <t>Met</t>
        </is>
      </c>
      <c r="Z105" t="inlineStr">
        <is>
          <t>Verified</t>
        </is>
      </c>
      <c r="AA105" t="inlineStr">
        <is>
          <t>Verify: E-mail-Advisering godkendelsesflow — vurderet opfyldt (tool: 1. Fully met).</t>
        </is>
      </c>
      <c r="AB105" t="inlineStr"/>
      <c r="AC105" t="inlineStr">
        <is>
          <t>docs/tender-reference/extracted/Nationalbanken/Bilag 3.i Leverandørens Løsningsbeskrivelse.txt; docs/tender-reference/extracted/KK Tender tool.txt; docs/tender-reference/extracted/KUM-SLKS/Bilag 3 - Kravspecifikation.txt</t>
        </is>
      </c>
      <c r="AD105" t="inlineStr">
        <is>
          <t>Anton: Confirm verify-tekst; opdatér review status efter tjek.</t>
        </is>
      </c>
      <c r="AE105" t="inlineStr"/>
      <c r="AF105" t="inlineStr">
        <is>
          <t>Draft</t>
        </is>
      </c>
      <c r="AG105" t="inlineStr">
        <is>
          <t>uim-esdh-full-2026-07-07</t>
        </is>
      </c>
    </row>
    <row r="106" ht="48" customHeight="1">
      <c r="A106" s="35" t="n">
        <v>105</v>
      </c>
      <c r="B106" s="35" t="inlineStr">
        <is>
          <t>MK-94</t>
        </is>
      </c>
      <c r="C106" s="35" t="inlineStr">
        <is>
          <t>Bilag 1.b</t>
        </is>
      </c>
      <c r="D106" s="35" t="inlineStr">
        <is>
          <t>Godkendelses- og høringsflow</t>
        </is>
      </c>
      <c r="E106" s="35" t="inlineStr">
        <is>
          <t>Log i Godkendelsesflow</t>
        </is>
      </c>
      <c r="F106" s="35" t="inlineStr">
        <is>
          <t>ESDH-løsningen skal understøtte logning af alle handlinger relateret til godkendelsesflowet, f.eks. ændringer, godkendelser, tilbagesendelser og tilføjelser.</t>
        </is>
      </c>
      <c r="G106" s="35" t="inlineStr">
        <is>
          <t>Mindstekrav</t>
        </is>
      </c>
      <c r="H106" s="35">
        <f>IF(G106="Evalueringskrav","Answer",(IF(G106="Krav","Check",(IF(G106="Mindstekrav","Verify","")))))</f>
        <v/>
      </c>
      <c r="I106" s="35" t="inlineStr">
        <is>
          <t>Ja</t>
        </is>
      </c>
      <c r="J106" s="35" t="n"/>
      <c r="K106" s="47" t="n"/>
      <c r="L106" s="35" t="inlineStr">
        <is>
          <t>Anton</t>
        </is>
      </c>
      <c r="M106" s="35" t="n"/>
      <c r="N106" s="35" t="n"/>
      <c r="O106" s="35" t="inlineStr">
        <is>
          <t>1. Fully met</t>
        </is>
      </c>
      <c r="P106" s="35" t="n"/>
      <c r="Q106" s="35" t="n"/>
      <c r="R106" s="35" t="n"/>
      <c r="S106" s="35" t="n"/>
      <c r="T106" s="35" t="n"/>
      <c r="U106" s="35" t="inlineStr">
        <is>
          <t>Not Started</t>
        </is>
      </c>
      <c r="V106" s="37">
        <f>IF(U106="Not Started",0%,IF(U106="Started",50%,IF(U106="Ready for review",70%,IF(U106="Reviewed - Content",80%,IF(U106="Reviewed - Format",90%,IF(U106="Done",100%,""))))))</f>
        <v/>
      </c>
      <c r="W106" t="inlineStr">
        <is>
          <t>2026-07-07</t>
        </is>
      </c>
      <c r="X106" t="inlineStr">
        <is>
          <t>Cursor / tender-response (batch)</t>
        </is>
      </c>
      <c r="Y106" t="inlineStr">
        <is>
          <t>Met</t>
        </is>
      </c>
      <c r="Z106" t="inlineStr">
        <is>
          <t>Verified</t>
        </is>
      </c>
      <c r="AA106" t="inlineStr">
        <is>
          <t>Verify: Log i Godkendelsesflow — vurderet opfyldt (tool: 1. Fully met).</t>
        </is>
      </c>
      <c r="AB106" t="inlineStr"/>
      <c r="AC106" t="inlineStr">
        <is>
          <t>docs/tender-reference/extracted/Nationalbanken/Bilag 3.i Leverandørens Løsningsbeskrivelse.txt; docs/tender-reference/extracted/KK Tender tool.txt; docs/tender-reference/extracted/KUM-SLKS/Bilag 1 - Tidsplan.txt</t>
        </is>
      </c>
      <c r="AD106" t="inlineStr">
        <is>
          <t>Anton: Confirm verify-tekst; opdatér review status efter tjek.</t>
        </is>
      </c>
      <c r="AE106" t="inlineStr"/>
      <c r="AF106" t="inlineStr">
        <is>
          <t>Draft</t>
        </is>
      </c>
      <c r="AG106" t="inlineStr">
        <is>
          <t>uim-esdh-full-2026-07-07</t>
        </is>
      </c>
    </row>
    <row r="107" ht="48" customHeight="1">
      <c r="A107" s="35" t="n">
        <v>106</v>
      </c>
      <c r="B107" s="35" t="inlineStr">
        <is>
          <t>MK-95</t>
        </is>
      </c>
      <c r="C107" s="35" t="inlineStr">
        <is>
          <t>Bilag 1.b</t>
        </is>
      </c>
      <c r="D107" s="35" t="inlineStr">
        <is>
          <t>Godkendelses- og høringsflow</t>
        </is>
      </c>
      <c r="E107" s="35" t="inlineStr">
        <is>
          <t>Høringsflow, sekventielt eller parallelt</t>
        </is>
      </c>
      <c r="F107" s="35" t="inlineStr">
        <is>
          <t>ESDH-løsningen skal understøtte, at der kan sendes en eller flere Filer i høringsflow til en eller flere modtagere parallelt.</t>
        </is>
      </c>
      <c r="G107" s="35" t="inlineStr">
        <is>
          <t>Mindstekrav</t>
        </is>
      </c>
      <c r="H107" s="35">
        <f>IF(G107="Evalueringskrav","Answer",(IF(G107="Krav","Check",(IF(G107="Mindstekrav","Verify","")))))</f>
        <v/>
      </c>
      <c r="I107" s="35" t="inlineStr">
        <is>
          <t>Ja</t>
        </is>
      </c>
      <c r="J107" s="35" t="n"/>
      <c r="K107" s="47" t="n"/>
      <c r="L107" s="35" t="inlineStr">
        <is>
          <t>Anton</t>
        </is>
      </c>
      <c r="M107" s="35" t="n"/>
      <c r="N107" s="35" t="n"/>
      <c r="O107" s="35" t="inlineStr">
        <is>
          <t>1. Fully met</t>
        </is>
      </c>
      <c r="P107" s="35" t="n"/>
      <c r="Q107" s="35" t="n"/>
      <c r="R107" s="35" t="n"/>
      <c r="S107" s="35" t="n"/>
      <c r="T107" s="35" t="n"/>
      <c r="U107" s="35" t="inlineStr">
        <is>
          <t>Not Started</t>
        </is>
      </c>
      <c r="V107" s="37">
        <f>IF(U107="Not Started",0%,IF(U107="Started",50%,IF(U107="Ready for review",70%,IF(U107="Reviewed - Content",80%,IF(U107="Reviewed - Format",90%,IF(U107="Done",100%,""))))))</f>
        <v/>
      </c>
      <c r="W107" t="inlineStr">
        <is>
          <t>2026-07-07</t>
        </is>
      </c>
      <c r="X107" t="inlineStr">
        <is>
          <t>Cursor / tender-response (batch)</t>
        </is>
      </c>
      <c r="Y107" t="inlineStr">
        <is>
          <t>Met</t>
        </is>
      </c>
      <c r="Z107" t="inlineStr">
        <is>
          <t>Verified</t>
        </is>
      </c>
      <c r="AA107" t="inlineStr">
        <is>
          <t>Verify: Høringsflow, sekventielt eller parallelt — vurderet opfyldt (tool: 1. Fully met).</t>
        </is>
      </c>
      <c r="AB107" t="inlineStr"/>
      <c r="AC107" t="inlineStr">
        <is>
          <t>docs/tender-reference/extracted/KUM-SLKS/Bilag 3 - Kravspecifikation.txt; docs/tender-reference/extracted/Nationalbanken/Bilag 3.i Leverandørens Løsningsbeskrivelse.txt; docs/product/RFP_Leverandørens_svar_utdrag.txt</t>
        </is>
      </c>
      <c r="AD107" t="inlineStr">
        <is>
          <t>Anton: Confirm verify-tekst; opdatér review status efter tjek.</t>
        </is>
      </c>
      <c r="AE107" t="inlineStr"/>
      <c r="AF107" t="inlineStr">
        <is>
          <t>Draft</t>
        </is>
      </c>
      <c r="AG107" t="inlineStr">
        <is>
          <t>uim-esdh-full-2026-07-07</t>
        </is>
      </c>
    </row>
    <row r="108" ht="32" customHeight="1">
      <c r="A108" s="35" t="n">
        <v>107</v>
      </c>
      <c r="B108" s="35" t="inlineStr">
        <is>
          <t>MK-96</t>
        </is>
      </c>
      <c r="C108" s="35" t="inlineStr">
        <is>
          <t>Bilag 1.b</t>
        </is>
      </c>
      <c r="D108" s="35" t="inlineStr">
        <is>
          <t>Godkendelses- og høringsflow</t>
        </is>
      </c>
      <c r="E108" s="35" t="inlineStr">
        <is>
          <t>Handling i høringsflowet</t>
        </is>
      </c>
      <c r="F108" s="35" t="inlineStr">
        <is>
          <t>ESDH-løsningen skal understøtte forskellige statusser i høringsflowet.</t>
        </is>
      </c>
      <c r="G108" s="35" t="inlineStr">
        <is>
          <t>Mindstekrav</t>
        </is>
      </c>
      <c r="H108" s="35">
        <f>IF(G108="Evalueringskrav","Answer",(IF(G108="Krav","Check",(IF(G108="Mindstekrav","Verify","")))))</f>
        <v/>
      </c>
      <c r="I108" s="35" t="inlineStr">
        <is>
          <t>Ja</t>
        </is>
      </c>
      <c r="J108" s="35" t="n"/>
      <c r="K108" s="47" t="n"/>
      <c r="L108" s="35" t="inlineStr">
        <is>
          <t>Anton</t>
        </is>
      </c>
      <c r="M108" s="35" t="n"/>
      <c r="N108" s="35" t="n"/>
      <c r="O108" s="35" t="inlineStr">
        <is>
          <t>1. Fully met</t>
        </is>
      </c>
      <c r="P108" s="35" t="n"/>
      <c r="Q108" s="35" t="n"/>
      <c r="R108" s="35" t="n"/>
      <c r="S108" s="35" t="n"/>
      <c r="T108" s="35" t="n"/>
      <c r="U108" s="35" t="inlineStr">
        <is>
          <t>Not Started</t>
        </is>
      </c>
      <c r="V108" s="37">
        <f>IF(U108="Not Started",0%,IF(U108="Started",50%,IF(U108="Ready for review",70%,IF(U108="Reviewed - Content",80%,IF(U108="Reviewed - Format",90%,IF(U108="Done",100%,""))))))</f>
        <v/>
      </c>
      <c r="W108" t="inlineStr">
        <is>
          <t>2026-07-07</t>
        </is>
      </c>
      <c r="X108" t="inlineStr">
        <is>
          <t>Cursor / tender-response (batch)</t>
        </is>
      </c>
      <c r="Y108" t="inlineStr">
        <is>
          <t>Met</t>
        </is>
      </c>
      <c r="Z108" t="inlineStr">
        <is>
          <t>Verified</t>
        </is>
      </c>
      <c r="AA108" t="inlineStr">
        <is>
          <t>Verify: Handling i høringsflowet — vurderet opfyldt (tool: 1. Fully met).</t>
        </is>
      </c>
      <c r="AB108" t="inlineStr"/>
      <c r="AC108" t="inlineStr">
        <is>
          <t>docs/tender-reference/extracted/KUM-SLKS/Bilag 3 - Kravspecifikation.txt; docs/tender-reference/extracted/Nationalbanken/Bilag 3.i Leverandørens Løsningsbeskrivelse.txt; docs/tender-reference/extracted/KK Tender tool.txt</t>
        </is>
      </c>
      <c r="AD108" t="inlineStr">
        <is>
          <t>Anton: Confirm verify-tekst; opdatér review status efter tjek.</t>
        </is>
      </c>
      <c r="AE108" t="inlineStr"/>
      <c r="AF108" t="inlineStr">
        <is>
          <t>Draft</t>
        </is>
      </c>
      <c r="AG108" t="inlineStr">
        <is>
          <t>uim-esdh-full-2026-07-07</t>
        </is>
      </c>
    </row>
    <row r="109" ht="48" customHeight="1">
      <c r="A109" s="35" t="n">
        <v>108</v>
      </c>
      <c r="B109" s="35" t="inlineStr">
        <is>
          <t>MK-97</t>
        </is>
      </c>
      <c r="C109" s="35" t="inlineStr">
        <is>
          <t>Bilag 1.b</t>
        </is>
      </c>
      <c r="D109" s="35" t="inlineStr">
        <is>
          <t>Godkendelses- og høringsflow</t>
        </is>
      </c>
      <c r="E109" s="35" t="inlineStr">
        <is>
          <t>E-mail-Advisering høring</t>
        </is>
      </c>
      <c r="F109" s="35" t="inlineStr">
        <is>
          <t>ESDH-løsningen skal understøtte, at de aktive høringsdeltagere modtager en mailadvisering med et klikbart link til relevante Filer i ESDH-løsningen.</t>
        </is>
      </c>
      <c r="G109" s="35" t="inlineStr">
        <is>
          <t>Mindstekrav</t>
        </is>
      </c>
      <c r="H109" s="35">
        <f>IF(G109="Evalueringskrav","Answer",(IF(G109="Krav","Check",(IF(G109="Mindstekrav","Verify","")))))</f>
        <v/>
      </c>
      <c r="I109" s="35" t="inlineStr">
        <is>
          <t>Ja</t>
        </is>
      </c>
      <c r="J109" s="35" t="n"/>
      <c r="K109" s="47" t="n"/>
      <c r="L109" s="35" t="inlineStr">
        <is>
          <t>Anton</t>
        </is>
      </c>
      <c r="M109" s="35" t="n"/>
      <c r="N109" s="35" t="n"/>
      <c r="O109" s="35" t="inlineStr">
        <is>
          <t>1. Fully met</t>
        </is>
      </c>
      <c r="P109" s="35" t="n"/>
      <c r="Q109" s="35" t="n"/>
      <c r="R109" s="35" t="n"/>
      <c r="S109" s="35" t="n"/>
      <c r="T109" s="35" t="n"/>
      <c r="U109" s="35" t="inlineStr">
        <is>
          <t>Not Started</t>
        </is>
      </c>
      <c r="V109" s="37">
        <f>IF(U109="Not Started",0%,IF(U109="Started",50%,IF(U109="Ready for review",70%,IF(U109="Reviewed - Content",80%,IF(U109="Reviewed - Format",90%,IF(U109="Done",100%,""))))))</f>
        <v/>
      </c>
      <c r="W109" t="inlineStr">
        <is>
          <t>2026-07-07</t>
        </is>
      </c>
      <c r="X109" t="inlineStr">
        <is>
          <t>Cursor / tender-response (batch)</t>
        </is>
      </c>
      <c r="Y109" t="inlineStr">
        <is>
          <t>Met</t>
        </is>
      </c>
      <c r="Z109" t="inlineStr">
        <is>
          <t>Verified</t>
        </is>
      </c>
      <c r="AA109" t="inlineStr">
        <is>
          <t>Verify: E-mail-Advisering høring — vurderet opfyldt (tool: 1. Fully met).</t>
        </is>
      </c>
      <c r="AB109" t="inlineStr"/>
      <c r="AC109" t="inlineStr">
        <is>
          <t>docs/tender-reference/extracted/Nationalbanken/Bilag 3.i Leverandørens Løsningsbeskrivelse.txt; docs/tender-reference/extracted/KK Tender tool.txt; docs/tender-reference/extracted/KUM-SLKS/Bilag 3 - Kravspecifikation.txt</t>
        </is>
      </c>
      <c r="AD109" t="inlineStr">
        <is>
          <t>Anton: Confirm verify-tekst; opdatér review status efter tjek.</t>
        </is>
      </c>
      <c r="AE109" t="inlineStr"/>
      <c r="AF109" t="inlineStr">
        <is>
          <t>Draft</t>
        </is>
      </c>
      <c r="AG109" t="inlineStr">
        <is>
          <t>uim-esdh-full-2026-07-07</t>
        </is>
      </c>
    </row>
    <row r="110" ht="32" customHeight="1">
      <c r="A110" s="35" t="n">
        <v>109</v>
      </c>
      <c r="B110" s="35" t="inlineStr">
        <is>
          <t>MK-98</t>
        </is>
      </c>
      <c r="C110" s="35" t="inlineStr">
        <is>
          <t>Bilag 1.b</t>
        </is>
      </c>
      <c r="D110" s="35" t="inlineStr">
        <is>
          <t>Godkendelses- og høringsflow</t>
        </is>
      </c>
      <c r="E110" s="35" t="inlineStr">
        <is>
          <t>Log i høringsflow</t>
        </is>
      </c>
      <c r="F110" s="35" t="inlineStr">
        <is>
          <t>ESDH-løsningen skal understøtte logning af alle handlinger relateret til høringsflowet.</t>
        </is>
      </c>
      <c r="G110" s="35" t="inlineStr">
        <is>
          <t>Mindstekrav</t>
        </is>
      </c>
      <c r="H110" s="35">
        <f>IF(G110="Evalueringskrav","Answer",(IF(G110="Krav","Check",(IF(G110="Mindstekrav","Verify","")))))</f>
        <v/>
      </c>
      <c r="I110" s="35" t="inlineStr">
        <is>
          <t>Ja</t>
        </is>
      </c>
      <c r="J110" s="35" t="n"/>
      <c r="K110" s="47" t="n"/>
      <c r="L110" s="35" t="inlineStr">
        <is>
          <t>Anton</t>
        </is>
      </c>
      <c r="M110" s="35" t="n"/>
      <c r="N110" s="35" t="n"/>
      <c r="O110" s="35" t="inlineStr">
        <is>
          <t>1. Fully met</t>
        </is>
      </c>
      <c r="P110" s="35" t="n"/>
      <c r="Q110" s="35" t="n"/>
      <c r="R110" s="35" t="n"/>
      <c r="S110" s="35" t="n"/>
      <c r="T110" s="35" t="n"/>
      <c r="U110" s="35" t="inlineStr">
        <is>
          <t>Not Started</t>
        </is>
      </c>
      <c r="V110" s="37">
        <f>IF(U110="Not Started",0%,IF(U110="Started",50%,IF(U110="Ready for review",70%,IF(U110="Reviewed - Content",80%,IF(U110="Reviewed - Format",90%,IF(U110="Done",100%,""))))))</f>
        <v/>
      </c>
      <c r="W110" t="inlineStr">
        <is>
          <t>2026-07-07</t>
        </is>
      </c>
      <c r="X110" t="inlineStr">
        <is>
          <t>Cursor / tender-response (batch)</t>
        </is>
      </c>
      <c r="Y110" t="inlineStr">
        <is>
          <t>Met</t>
        </is>
      </c>
      <c r="Z110" t="inlineStr">
        <is>
          <t>Verified</t>
        </is>
      </c>
      <c r="AA110" t="inlineStr">
        <is>
          <t>Verify: Log i høringsflow — vurderet opfyldt (tool: 1. Fully met).</t>
        </is>
      </c>
      <c r="AB110" t="inlineStr"/>
      <c r="AC110" t="inlineStr">
        <is>
          <t>docs/tender-reference/extracted/KK Tender tool.txt; docs/tender-reference/extracted/KUM-SLKS/Bilag 1 - Tidsplan.txt; docs/tender-reference/extracted/Nationalbanken/Bilag 3.i Leverandørens Løsningsbeskrivelse.txt</t>
        </is>
      </c>
      <c r="AD110" t="inlineStr">
        <is>
          <t>Anton: Confirm verify-tekst; opdatér review status efter tjek.</t>
        </is>
      </c>
      <c r="AE110" t="inlineStr"/>
      <c r="AF110" t="inlineStr">
        <is>
          <t>Draft</t>
        </is>
      </c>
      <c r="AG110" t="inlineStr">
        <is>
          <t>uim-esdh-full-2026-07-07</t>
        </is>
      </c>
    </row>
    <row r="111" ht="64" customHeight="1">
      <c r="A111" s="35" t="n">
        <v>110</v>
      </c>
      <c r="B111" s="35" t="inlineStr">
        <is>
          <t>MK-99</t>
        </is>
      </c>
      <c r="C111" s="35" t="inlineStr">
        <is>
          <t>Bilag 1.b</t>
        </is>
      </c>
      <c r="D111" s="35" t="inlineStr">
        <is>
          <t>Godkendelses- og høringsflow</t>
        </is>
      </c>
      <c r="E111" s="35" t="inlineStr">
        <is>
          <t>Historisk Dokument - godkendelsesflow</t>
        </is>
      </c>
      <c r="F111" s="35" t="inlineStr">
        <is>
          <t>ESDH-løsningen skal understøtte, at der automatisk dannes et Dokument med en tilknyttet Fil, hvortil historikken af godkendelsesflowet er dokumenteret.</t>
        </is>
      </c>
      <c r="G111" s="35" t="inlineStr">
        <is>
          <t>Mindstekrav</t>
        </is>
      </c>
      <c r="H111" s="35">
        <f>IF(G111="Evalueringskrav","Answer",(IF(G111="Krav","Check",(IF(G111="Mindstekrav","Verify","")))))</f>
        <v/>
      </c>
      <c r="I111" s="35" t="inlineStr">
        <is>
          <t>Ja</t>
        </is>
      </c>
      <c r="J111" s="35" t="n"/>
      <c r="K111" s="47" t="n"/>
      <c r="L111" s="35" t="inlineStr">
        <is>
          <t>Torben</t>
        </is>
      </c>
      <c r="M111" s="35" t="n"/>
      <c r="N111" s="35" t="n"/>
      <c r="O111" s="35" t="inlineStr">
        <is>
          <t>3. Not able to meet</t>
        </is>
      </c>
      <c r="P111" s="35" t="inlineStr">
        <is>
          <t>ADN ”automatisk dannes” sker ikke. vi har muligheden for manuelt at gøre dette. - Vores workflowrapport løser måske behovet, men produceres ikke automatisk.</t>
        </is>
      </c>
      <c r="Q111" s="35" t="n"/>
      <c r="R111" s="35" t="n"/>
      <c r="S111" s="35" t="n"/>
      <c r="T111" s="35" t="n"/>
      <c r="U111" s="35" t="inlineStr">
        <is>
          <t>Not Started</t>
        </is>
      </c>
      <c r="V111" s="37">
        <f>IF(U111="Not Started",0%,IF(U111="Started",50%,IF(U111="Ready for review",70%,IF(U111="Reviewed - Content",80%,IF(U111="Reviewed - Format",90%,IF(U111="Done",100%,""))))))</f>
        <v/>
      </c>
      <c r="W111" t="inlineStr">
        <is>
          <t>2026-07-07</t>
        </is>
      </c>
      <c r="X111" t="inlineStr">
        <is>
          <t>Cursor / tender-response (MCP-enriched)</t>
        </is>
      </c>
      <c r="Y111" t="inlineStr">
        <is>
          <t>Not met</t>
        </is>
      </c>
      <c r="Z111" t="inlineStr">
        <is>
          <t>Lead</t>
        </is>
      </c>
      <c r="AA111" t="inlineStr">
        <is>
          <t>Verify: Historisk Dokument - godkendelsesflow — gap ift. kravtekst; eskalér commitment eller afklaring.</t>
        </is>
      </c>
      <c r="AB111" t="inlineStr">
        <is>
          <t>ADN ”automatisk dannes” sker ikke. vi har muligheden for manuelt at gøre dette. - Vores workflowrapport løser måske behovet, men produceres ikke automatisk. | Red flag: ”automatisk dannes” sker ikke. vi har muligheden for manuelt at gøre dette.</t>
        </is>
      </c>
      <c r="AC111" t="inlineStr">
        <is>
          <t>Ratatoskr: Workflow (admin-en) | Wiki: 360° settings - internal reference; Implementation Process</t>
        </is>
      </c>
      <c r="AD111" t="inlineStr">
        <is>
          <t>Torben: Commitment/no-bid beslutning; overvej Q&amp;A til ordregiver.</t>
        </is>
      </c>
      <c r="AE111" t="inlineStr"/>
      <c r="AF111" t="inlineStr">
        <is>
          <t>Draft</t>
        </is>
      </c>
      <c r="AG111" t="inlineStr">
        <is>
          <t>uim-esdh-full-2026-07-07</t>
        </is>
      </c>
    </row>
    <row r="112" ht="64" customHeight="1">
      <c r="A112" s="35" t="n">
        <v>111</v>
      </c>
      <c r="B112" s="35" t="inlineStr">
        <is>
          <t>MK-100</t>
        </is>
      </c>
      <c r="C112" s="35" t="inlineStr">
        <is>
          <t>Bilag 1.b</t>
        </is>
      </c>
      <c r="D112" s="35" t="inlineStr">
        <is>
          <t>Godkendelses- og høringsflow</t>
        </is>
      </c>
      <c r="E112" s="35" t="inlineStr">
        <is>
          <t>Historisk Dokument - høring</t>
        </is>
      </c>
      <c r="F112" s="35" t="inlineStr">
        <is>
          <t>ESDH-løsningen skal understøtte, at der automatisk dannes et Dokument med en tilknyttet Fil, hvortil historikken af høringsflowet er dokumenteret.</t>
        </is>
      </c>
      <c r="G112" s="35" t="inlineStr">
        <is>
          <t>Mindstekrav</t>
        </is>
      </c>
      <c r="H112" s="35">
        <f>IF(G112="Evalueringskrav","Answer",(IF(G112="Krav","Check",(IF(G112="Mindstekrav","Verify","")))))</f>
        <v/>
      </c>
      <c r="I112" s="35" t="inlineStr">
        <is>
          <t>Ja</t>
        </is>
      </c>
      <c r="J112" s="35" t="n"/>
      <c r="K112" s="47" t="n"/>
      <c r="L112" s="35" t="inlineStr">
        <is>
          <t>Torben</t>
        </is>
      </c>
      <c r="M112" s="35" t="n"/>
      <c r="N112" s="35" t="n"/>
      <c r="O112" s="35" t="inlineStr">
        <is>
          <t>3. Not able to meet</t>
        </is>
      </c>
      <c r="P112" s="35" t="inlineStr">
        <is>
          <t>ADN ”automatisk dannes” sker ikke. vi har muligheden for manuelt at gøre dette. - Vores workflowrapport løser måske behovet, men produceres ikke automatisk.</t>
        </is>
      </c>
      <c r="Q112" s="35" t="n"/>
      <c r="R112" s="35" t="n"/>
      <c r="S112" s="35" t="n"/>
      <c r="T112" s="35" t="n"/>
      <c r="U112" s="35" t="inlineStr">
        <is>
          <t>Not Started</t>
        </is>
      </c>
      <c r="V112" s="37">
        <f>IF(U112="Not Started",0%,IF(U112="Started",50%,IF(U112="Ready for review",70%,IF(U112="Reviewed - Content",80%,IF(U112="Reviewed - Format",90%,IF(U112="Done",100%,""))))))</f>
        <v/>
      </c>
      <c r="W112" t="inlineStr">
        <is>
          <t>2026-07-07</t>
        </is>
      </c>
      <c r="X112" t="inlineStr">
        <is>
          <t>Cursor / tender-response (MCP-enriched)</t>
        </is>
      </c>
      <c r="Y112" t="inlineStr">
        <is>
          <t>Not met</t>
        </is>
      </c>
      <c r="Z112" t="inlineStr">
        <is>
          <t>Lead</t>
        </is>
      </c>
      <c r="AA112" t="inlineStr">
        <is>
          <t>Verify: Historisk Dokument - høring — gap ift. kravtekst; eskalér commitment eller afklaring.</t>
        </is>
      </c>
      <c r="AB112" t="inlineStr">
        <is>
          <t>ADN ”automatisk dannes” sker ikke. vi har muligheden for manuelt at gøre dette. - Vores workflowrapport løser måske behovet, men produceres ikke automatisk. | Red flag: ”automatisk dannes” sker ikke. vi har muligheden for manuelt at gøre dette.</t>
        </is>
      </c>
      <c r="AC112" t="inlineStr">
        <is>
          <t>Ratatoskr: Workflow (admin-en) | Wiki: Build log hotfix packages</t>
        </is>
      </c>
      <c r="AD112" t="inlineStr">
        <is>
          <t>Torben: Commitment/no-bid beslutning; overvej Q&amp;A til ordregiver.</t>
        </is>
      </c>
      <c r="AE112" t="inlineStr"/>
      <c r="AF112" t="inlineStr">
        <is>
          <t>Draft</t>
        </is>
      </c>
      <c r="AG112" t="inlineStr">
        <is>
          <t>uim-esdh-full-2026-07-07</t>
        </is>
      </c>
    </row>
    <row r="113" ht="48" customHeight="1">
      <c r="A113" s="35" t="n">
        <v>112</v>
      </c>
      <c r="B113" s="35" t="inlineStr">
        <is>
          <t>MK-101</t>
        </is>
      </c>
      <c r="C113" s="35" t="inlineStr">
        <is>
          <t>Bilag 1.b</t>
        </is>
      </c>
      <c r="D113" s="35" t="inlineStr">
        <is>
          <t>Opgavestyring</t>
        </is>
      </c>
      <c r="E113" s="35" t="inlineStr">
        <is>
          <t>Overblik over opgaver</t>
        </is>
      </c>
      <c r="F113" s="35" t="inlineStr">
        <is>
          <t>ESDH-løsningen skal understøtte et fuldstændigt overblik over alle igangværende og planlagte opgaver, som er tildelt en specifik Bruger eller afdeling/team eller er knyttet til en specifik sag.</t>
        </is>
      </c>
      <c r="G113" s="35" t="inlineStr">
        <is>
          <t>Mindstekrav</t>
        </is>
      </c>
      <c r="H113" s="35">
        <f>IF(G113="Evalueringskrav","Answer",(IF(G113="Krav","Check",(IF(G113="Mindstekrav","Verify","")))))</f>
        <v/>
      </c>
      <c r="I113" s="35" t="inlineStr">
        <is>
          <t>Ja</t>
        </is>
      </c>
      <c r="J113" s="35" t="n"/>
      <c r="K113" s="47" t="n"/>
      <c r="L113" s="35" t="inlineStr">
        <is>
          <t>Anton</t>
        </is>
      </c>
      <c r="M113" s="35" t="n"/>
      <c r="N113" s="35" t="n"/>
      <c r="O113" s="35" t="inlineStr">
        <is>
          <t>1. Fully met</t>
        </is>
      </c>
      <c r="P113" s="35" t="n"/>
      <c r="Q113" s="35" t="n"/>
      <c r="R113" s="35" t="n"/>
      <c r="S113" s="35" t="n"/>
      <c r="T113" s="35" t="n"/>
      <c r="U113" s="35" t="inlineStr">
        <is>
          <t>Not Started</t>
        </is>
      </c>
      <c r="V113" s="37">
        <f>IF(U113="Not Started",0%,IF(U113="Started",50%,IF(U113="Ready for review",70%,IF(U113="Reviewed - Content",80%,IF(U113="Reviewed - Format",90%,IF(U113="Done",100%,""))))))</f>
        <v/>
      </c>
      <c r="W113" t="inlineStr">
        <is>
          <t>2026-07-07</t>
        </is>
      </c>
      <c r="X113" t="inlineStr">
        <is>
          <t>Cursor / tender-response (batch)</t>
        </is>
      </c>
      <c r="Y113" t="inlineStr">
        <is>
          <t>Met</t>
        </is>
      </c>
      <c r="Z113" t="inlineStr">
        <is>
          <t>Verified</t>
        </is>
      </c>
      <c r="AA113" t="inlineStr">
        <is>
          <t>Verify: Overblik over opgaver — vurderet opfyldt (tool: 1. Fully met).</t>
        </is>
      </c>
      <c r="AB113" t="inlineStr"/>
      <c r="AC113" t="inlineStr">
        <is>
          <t>docs/tender-reference/extracted/Nationalbanken/Bilag 3.i Leverandørens Løsningsbeskrivelse.txt; docs/tender-reference/extracted/KUM-SLKS/Bilag 3 - Kravspecifikation.txt; docs/tender-reference/extracted/KK Tender tool.txt</t>
        </is>
      </c>
      <c r="AD113" t="inlineStr">
        <is>
          <t>Anton: Confirm verify-tekst; opdatér review status efter tjek.</t>
        </is>
      </c>
      <c r="AE113" t="inlineStr"/>
      <c r="AF113" t="inlineStr">
        <is>
          <t>Draft</t>
        </is>
      </c>
      <c r="AG113" t="inlineStr">
        <is>
          <t>uim-esdh-full-2026-07-07</t>
        </is>
      </c>
    </row>
    <row r="114" ht="160" customHeight="1">
      <c r="A114" s="35" t="n">
        <v>113</v>
      </c>
      <c r="B114" s="35" t="inlineStr">
        <is>
          <t>MK-102</t>
        </is>
      </c>
      <c r="C114" s="35" t="inlineStr">
        <is>
          <t>Bilag 1.b</t>
        </is>
      </c>
      <c r="D114" s="35" t="inlineStr">
        <is>
          <t>Opgavestyring</t>
        </is>
      </c>
      <c r="E114" s="35" t="inlineStr">
        <is>
          <t>Friststyring</t>
        </is>
      </c>
      <c r="F114" s="35" t="inlineStr">
        <is>
          <t>ESDH-løsningen skal understøtte friststyring, hvor den ansvarlige Bruger for en opgave kan opsætte individuelle frister. Det skal være muligt at konfigurere notifikationerne fleksibelt i forhold til både opgavens deadline og status.</t>
        </is>
      </c>
      <c r="G114" s="35" t="inlineStr">
        <is>
          <t>Mindstekrav</t>
        </is>
      </c>
      <c r="H114" s="35">
        <f>IF(G114="Evalueringskrav","Answer",(IF(G114="Krav","Check",(IF(G114="Mindstekrav","Verify","")))))</f>
        <v/>
      </c>
      <c r="I114" s="35" t="inlineStr">
        <is>
          <t>Ja</t>
        </is>
      </c>
      <c r="J114" s="35" t="n"/>
      <c r="K114" s="47" t="n"/>
      <c r="L114" s="35" t="inlineStr">
        <is>
          <t>Eva</t>
        </is>
      </c>
      <c r="M114" s="35" t="n"/>
      <c r="N114" s="35" t="n"/>
      <c r="O114" s="35" t="n"/>
      <c r="P114" s="35" t="inlineStr">
        <is>
          <t xml:space="preserve">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t>
        </is>
      </c>
      <c r="Q114" s="35" t="n"/>
      <c r="R114" s="35" t="n"/>
      <c r="S114" s="35" t="n"/>
      <c r="T114" s="35" t="n"/>
      <c r="U114" s="35" t="inlineStr">
        <is>
          <t>Not Started</t>
        </is>
      </c>
      <c r="V114" s="37">
        <f>IF(U114="Not Started",0%,IF(U114="Started",50%,IF(U114="Ready for review",70%,IF(U114="Reviewed - Content",80%,IF(U114="Reviewed - Format",90%,IF(U114="Done",100%,""))))))</f>
        <v/>
      </c>
      <c r="W114" t="inlineStr">
        <is>
          <t>2026-07-07</t>
        </is>
      </c>
      <c r="X114" t="inlineStr">
        <is>
          <t>Cursor / tender-response (MCP-enriched)</t>
        </is>
      </c>
      <c r="Y114" t="inlineStr">
        <is>
          <t>Clarify</t>
        </is>
      </c>
      <c r="Z114" t="inlineStr">
        <is>
          <t>Lead</t>
        </is>
      </c>
      <c r="AA114" t="inlineStr">
        <is>
          <t>Verify: Friststyring — kræver produkt-/team-afklaring (ingen tool-rating).</t>
        </is>
      </c>
      <c r="AB114" t="inlineStr">
        <is>
          <t>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 Red flag: Jeg bryder mig ikke om denne formulering - er bekymret for at den kan bruges imod os i en implementering</t>
        </is>
      </c>
      <c r="AC114" t="inlineStr">
        <is>
          <t>Ratatoskr: Reminder (admin-en) | Wiki: 5.13 release information; 360° Flow - Demo setup</t>
        </is>
      </c>
      <c r="AD114" t="inlineStr">
        <is>
          <t>Eva: Udfyld tool-rating (O) og evidens; gennemgå AI-kladde.</t>
        </is>
      </c>
      <c r="AE114" t="inlineStr"/>
      <c r="AF114" t="inlineStr">
        <is>
          <t>Draft</t>
        </is>
      </c>
      <c r="AG114" t="inlineStr">
        <is>
          <t>uim-esdh-full-2026-07-07</t>
        </is>
      </c>
    </row>
    <row r="115" ht="96" customHeight="1">
      <c r="A115" s="35" t="n">
        <v>114</v>
      </c>
      <c r="B115" s="35" t="inlineStr">
        <is>
          <t>MK-103</t>
        </is>
      </c>
      <c r="C115" s="35" t="inlineStr">
        <is>
          <t>Bilag 1.b</t>
        </is>
      </c>
      <c r="D115" s="35" t="inlineStr">
        <is>
          <t>Opgavestyring</t>
        </is>
      </c>
      <c r="E115" s="35" t="inlineStr">
        <is>
          <t>Advisering på opgaver</t>
        </is>
      </c>
      <c r="F115" s="35"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G115" s="35" t="inlineStr">
        <is>
          <t>Mindstekrav</t>
        </is>
      </c>
      <c r="H115" s="35">
        <f>IF(G115="Evalueringskrav","Answer",(IF(G115="Krav","Check",(IF(G115="Mindstekrav","Verify","")))))</f>
        <v/>
      </c>
      <c r="I115" s="35" t="inlineStr">
        <is>
          <t>Ja</t>
        </is>
      </c>
      <c r="J115" s="35" t="n"/>
      <c r="K115" s="47" t="n"/>
      <c r="L115" s="35" t="inlineStr">
        <is>
          <t>Eva</t>
        </is>
      </c>
      <c r="M115" s="35" t="n"/>
      <c r="N115" s="35" t="n"/>
      <c r="O115" s="35" t="n"/>
      <c r="P115" s="35" t="inlineStr">
        <is>
          <t>ADN Jeg bryder mig ikke om denne formulering - er bekymret for at den kan bruges imod os i en implementering
Hvad vil det sige at "konfigurere notifikation fleksibelt ift. deadline og status"?</t>
        </is>
      </c>
      <c r="Q115" s="35" t="n"/>
      <c r="R115" s="35" t="n"/>
      <c r="S115" s="35" t="n"/>
      <c r="T115" s="35" t="n"/>
      <c r="U115" s="35" t="inlineStr">
        <is>
          <t>Not Started</t>
        </is>
      </c>
      <c r="V115" s="37">
        <f>IF(U115="Not Started",0%,IF(U115="Started",50%,IF(U115="Ready for review",70%,IF(U115="Reviewed - Content",80%,IF(U115="Reviewed - Format",90%,IF(U115="Done",100%,""))))))</f>
        <v/>
      </c>
      <c r="W115" t="inlineStr">
        <is>
          <t>2026-07-07</t>
        </is>
      </c>
      <c r="X115" t="inlineStr">
        <is>
          <t>Cursor / tender-response (MCP-enriched)</t>
        </is>
      </c>
      <c r="Y115" t="inlineStr">
        <is>
          <t>Clarify</t>
        </is>
      </c>
      <c r="Z115" t="inlineStr">
        <is>
          <t>Lead</t>
        </is>
      </c>
      <c r="AA115" t="inlineStr">
        <is>
          <t>Verify: Advisering på opgaver — kræver produkt-/team-afklaring (ingen tool-rating).</t>
        </is>
      </c>
      <c r="AB115" t="inlineStr">
        <is>
          <t>ADN Jeg bryder mig ikke om denne formulering - er bekymret for at den kan bruges imod os i en implementering
Hvad vil det sige at "konfigurere notifikation fleksibelt ift. deadline og status"? | Red flag: Jeg bryder mig ikke om denne formulering - er bekymret for at den kan bruges imod os i en implementering</t>
        </is>
      </c>
      <c r="AC115" t="inlineStr">
        <is>
          <t>Ratatoskr: Reminder (admin-en) | Wiki: Build log hotfix packages</t>
        </is>
      </c>
      <c r="AD115" t="inlineStr">
        <is>
          <t>Eva: Udfyld tool-rating (O) og evidens; gennemgå AI-kladde.</t>
        </is>
      </c>
      <c r="AE115" t="inlineStr"/>
      <c r="AF115" t="inlineStr">
        <is>
          <t>Draft</t>
        </is>
      </c>
      <c r="AG115" t="inlineStr">
        <is>
          <t>uim-esdh-full-2026-07-07</t>
        </is>
      </c>
    </row>
    <row r="116" ht="32" customHeight="1">
      <c r="A116" s="35" t="n">
        <v>115</v>
      </c>
      <c r="B116" s="35" t="inlineStr">
        <is>
          <t>MK-104</t>
        </is>
      </c>
      <c r="C116" s="35" t="inlineStr">
        <is>
          <t>Bilag 1.b</t>
        </is>
      </c>
      <c r="D116" s="35" t="inlineStr">
        <is>
          <t>Notifikationer</t>
        </is>
      </c>
      <c r="E116" s="35" t="inlineStr">
        <is>
          <t>Notifikation på frister</t>
        </is>
      </c>
      <c r="F116" s="35" t="inlineStr">
        <is>
          <t>ESDH-løsningen skal understøtte notifikationer, når en frist nærmer sig eller overskrides.</t>
        </is>
      </c>
      <c r="G116" s="35" t="inlineStr">
        <is>
          <t>Mindstekrav</t>
        </is>
      </c>
      <c r="H116" s="35">
        <f>IF(G116="Evalueringskrav","Answer",(IF(G116="Krav","Check",(IF(G116="Mindstekrav","Verify","")))))</f>
        <v/>
      </c>
      <c r="I116" s="35" t="inlineStr">
        <is>
          <t>Ja</t>
        </is>
      </c>
      <c r="J116" s="35" t="n"/>
      <c r="K116" s="47" t="n"/>
      <c r="L116" s="35" t="inlineStr">
        <is>
          <t>Anton</t>
        </is>
      </c>
      <c r="M116" s="35" t="n"/>
      <c r="N116" s="35" t="n"/>
      <c r="O116" s="35" t="inlineStr">
        <is>
          <t>1. Fully met</t>
        </is>
      </c>
      <c r="P116" s="35" t="n"/>
      <c r="Q116" s="35" t="n"/>
      <c r="R116" s="35" t="n"/>
      <c r="S116" s="35" t="n"/>
      <c r="T116" s="35" t="n"/>
      <c r="U116" s="35" t="inlineStr">
        <is>
          <t>Not Started</t>
        </is>
      </c>
      <c r="V116" s="37">
        <f>IF(U116="Not Started",0%,IF(U116="Started",50%,IF(U116="Ready for review",70%,IF(U116="Reviewed - Content",80%,IF(U116="Reviewed - Format",90%,IF(U116="Done",100%,""))))))</f>
        <v/>
      </c>
      <c r="W116" t="inlineStr">
        <is>
          <t>2026-07-07</t>
        </is>
      </c>
      <c r="X116" t="inlineStr">
        <is>
          <t>Cursor / tender-response (batch)</t>
        </is>
      </c>
      <c r="Y116" t="inlineStr">
        <is>
          <t>Met</t>
        </is>
      </c>
      <c r="Z116" t="inlineStr">
        <is>
          <t>Verified</t>
        </is>
      </c>
      <c r="AA116" t="inlineStr">
        <is>
          <t>Verify: Notifikation på frister — vurderet opfyldt (tool: 1. Fully met).</t>
        </is>
      </c>
      <c r="AB116" t="inlineStr"/>
      <c r="AC116" t="inlineStr">
        <is>
          <t>docs/tender-reference/extracted/KK Tender tool.txt; docs/tender-reference/extracted/Nationalbanken/Bilag 3.i Leverandørens Løsningsbeskrivelse.txt; docs/product/RFP_Leverandørens_svar_utdrag.txt</t>
        </is>
      </c>
      <c r="AD116" t="inlineStr">
        <is>
          <t>Anton: Confirm verify-tekst; opdatér review status efter tjek.</t>
        </is>
      </c>
      <c r="AE116" t="inlineStr"/>
      <c r="AF116" t="inlineStr">
        <is>
          <t>Draft</t>
        </is>
      </c>
      <c r="AG116" t="inlineStr">
        <is>
          <t>uim-esdh-full-2026-07-07</t>
        </is>
      </c>
    </row>
    <row r="117" ht="80" customHeight="1">
      <c r="A117" s="35" t="n">
        <v>116</v>
      </c>
      <c r="B117" s="35" t="inlineStr">
        <is>
          <t>K-8</t>
        </is>
      </c>
      <c r="C117" s="35" t="inlineStr">
        <is>
          <t>Bilag 1.b</t>
        </is>
      </c>
      <c r="D117" s="35" t="inlineStr">
        <is>
          <t>Notifikationer</t>
        </is>
      </c>
      <c r="E117" s="35" t="inlineStr">
        <is>
          <t>Notifikationer</t>
        </is>
      </c>
      <c r="F117" s="35" t="inlineStr">
        <is>
          <t>ESDH-løsningen skal understøtte, at Brugere kan vælge at modtage notifikationer om handlinger, godkendelser, anmodninger om akter, frister og ændringer på relevante sager. Den enkelte Bruger skal selv kunne vælge notifikationskanal, eksempelvis systemnotifikationer eller e-mail.</t>
        </is>
      </c>
      <c r="G117" s="35" t="inlineStr">
        <is>
          <t>Krav</t>
        </is>
      </c>
      <c r="H117" s="35">
        <f>IF(G117="Evalueringskrav","Answer",(IF(G117="Krav","Check",(IF(G117="Mindstekrav","Verify","")))))</f>
        <v/>
      </c>
      <c r="I117" s="35" t="inlineStr">
        <is>
          <t>Ja</t>
        </is>
      </c>
      <c r="J117" s="35" t="n"/>
      <c r="K117" s="47" t="n"/>
      <c r="L117" s="35" t="inlineStr">
        <is>
          <t>Anton</t>
        </is>
      </c>
      <c r="M117" s="35" t="n"/>
      <c r="N117" s="35" t="n"/>
      <c r="O117" s="35" t="inlineStr">
        <is>
          <t>1. Fully met</t>
        </is>
      </c>
      <c r="P117" s="35" t="n"/>
      <c r="Q117" s="35" t="n"/>
      <c r="R117" s="35" t="n"/>
      <c r="S117" s="35" t="n"/>
      <c r="T117" s="35" t="n"/>
      <c r="U117" s="35" t="inlineStr">
        <is>
          <t>Not Started</t>
        </is>
      </c>
      <c r="V117" s="37">
        <f>IF(U117="Not Started",0%,IF(U117="Started",50%,IF(U117="Ready for review",70%,IF(U117="Reviewed - Content",80%,IF(U117="Reviewed - Format",90%,IF(U117="Done",100%,""))))))</f>
        <v/>
      </c>
      <c r="W117" t="inlineStr">
        <is>
          <t>2026-07-07</t>
        </is>
      </c>
      <c r="X117" t="inlineStr">
        <is>
          <t>Cursor / tender-response (batch)</t>
        </is>
      </c>
      <c r="Y117" t="inlineStr">
        <is>
          <t>Met</t>
        </is>
      </c>
      <c r="Z117" t="inlineStr">
        <is>
          <t>Verified</t>
        </is>
      </c>
      <c r="AA117" t="inlineStr">
        <is>
          <t>Check: Notifikationer — vurderet opfyldt (tool: 1. Fully met).</t>
        </is>
      </c>
      <c r="AB117" t="inlineStr"/>
      <c r="AC117" t="inlineStr">
        <is>
          <t>docs/tender-reference/extracted/Nationalbanken/Bilag 3.i Leverandørens Løsningsbeskrivelse.txt; docs/tender-reference/extracted/KK Tender tool.txt; docs/tender-reference/extracted/KUM-SLKS/Bilag 3 - Kravspecifikation.txt</t>
        </is>
      </c>
      <c r="AD117" t="inlineStr">
        <is>
          <t>Anton: Confirm verify-tekst; opdatér review status efter tjek.</t>
        </is>
      </c>
      <c r="AE117" t="inlineStr"/>
      <c r="AF117" t="inlineStr">
        <is>
          <t>Draft</t>
        </is>
      </c>
      <c r="AG117" t="inlineStr">
        <is>
          <t>uim-esdh-full-2026-07-07</t>
        </is>
      </c>
    </row>
    <row r="118" ht="64" customHeight="1">
      <c r="A118" s="35" t="n">
        <v>117</v>
      </c>
      <c r="B118" s="35" t="inlineStr">
        <is>
          <t>MK-105</t>
        </is>
      </c>
      <c r="C118" s="35" t="inlineStr">
        <is>
          <t>Bilag 1.b</t>
        </is>
      </c>
      <c r="D118" s="35" t="inlineStr">
        <is>
          <t>Administratormodul</t>
        </is>
      </c>
      <c r="E118" s="35" t="inlineStr">
        <is>
          <t>Administratormodul</t>
        </is>
      </c>
      <c r="F118" s="35" t="inlineStr">
        <is>
          <t>ESDH-løsningen skal understøtte et administratormodul, hvor hele ESDH-løsningen kan administreres.</t>
        </is>
      </c>
      <c r="G118" s="35" t="inlineStr">
        <is>
          <t>Mindstekrav</t>
        </is>
      </c>
      <c r="H118" s="35">
        <f>IF(G118="Evalueringskrav","Answer",(IF(G118="Krav","Check",(IF(G118="Mindstekrav","Verify","")))))</f>
        <v/>
      </c>
      <c r="I118" s="35" t="inlineStr">
        <is>
          <t>Ja</t>
        </is>
      </c>
      <c r="J118" s="35" t="n"/>
      <c r="K118" s="47" t="n"/>
      <c r="L118" s="35" t="inlineStr">
        <is>
          <t>Anton</t>
        </is>
      </c>
      <c r="M118" s="35" t="n"/>
      <c r="N118" s="35" t="n"/>
      <c r="O118" s="35" t="inlineStr">
        <is>
          <t>1. Fully met</t>
        </is>
      </c>
      <c r="P118" s="35" t="inlineStr">
        <is>
          <t>"Hele løsningen" - men nu når processer ikke er en del af det her udbud, så er det jo ligegyldigt at dele af processerne stadig vedligeholdes i Visual Studio</t>
        </is>
      </c>
      <c r="Q118" s="35" t="n"/>
      <c r="R118" s="35" t="inlineStr">
        <is>
          <t>Yes</t>
        </is>
      </c>
      <c r="S118" s="35" t="n"/>
      <c r="T118" s="35" t="n"/>
      <c r="U118" s="35" t="inlineStr">
        <is>
          <t>Not Started</t>
        </is>
      </c>
      <c r="V118" s="37">
        <f>IF(U118="Not Started",0%,IF(U118="Started",50%,IF(U118="Ready for review",70%,IF(U118="Reviewed - Content",80%,IF(U118="Reviewed - Format",90%,IF(U118="Done",100%,""))))))</f>
        <v/>
      </c>
      <c r="W118" t="inlineStr">
        <is>
          <t>2026-07-07</t>
        </is>
      </c>
      <c r="X118" t="inlineStr">
        <is>
          <t>Cursor / tender-response (batch)</t>
        </is>
      </c>
      <c r="Y118" t="inlineStr">
        <is>
          <t>Met</t>
        </is>
      </c>
      <c r="Z118" t="inlineStr">
        <is>
          <t>Verified</t>
        </is>
      </c>
      <c r="AA118" t="inlineStr">
        <is>
          <t>Verify: Administratormodul — vurderet opfyldt (tool: 1. Fully met).</t>
        </is>
      </c>
      <c r="AB118" t="inlineStr">
        <is>
          <t>"Hele løsningen" - men nu når processer ikke er en del af det her udbud, så er det jo ligegyldigt at dele af processerne stadig vedligeholdes i Visual Studio</t>
        </is>
      </c>
      <c r="AC118" t="inlineStr">
        <is>
          <t>docs/tender-reference/extracted/NND/02.01-Tieto-Bilag 2-Vedlegg-Leverandørens utfyllende svar til kravtabell.txt; docs/tender-reference/extracted/Nationalbanken/Bilag 3.i Leverandørens Løsningsbeskrivelse.txt; docs/product/RFP_Leverandørens_svar_utdrag.txt</t>
        </is>
      </c>
      <c r="AD118" t="inlineStr">
        <is>
          <t>Anton: Confirm verify-tekst; opdatér review status efter tjek.</t>
        </is>
      </c>
      <c r="AE118" t="inlineStr"/>
      <c r="AF118" t="inlineStr">
        <is>
          <t>Draft</t>
        </is>
      </c>
      <c r="AG118" t="inlineStr">
        <is>
          <t>uim-esdh-full-2026-07-07</t>
        </is>
      </c>
    </row>
    <row r="119" ht="112" customHeight="1">
      <c r="A119" s="35" t="n">
        <v>118</v>
      </c>
      <c r="B119" s="35" t="inlineStr">
        <is>
          <t>MK-106</t>
        </is>
      </c>
      <c r="C119" s="35" t="inlineStr">
        <is>
          <t>Bilag 1.b</t>
        </is>
      </c>
      <c r="D119" s="35" t="inlineStr">
        <is>
          <t>Administratormodul</t>
        </is>
      </c>
      <c r="E119" s="35" t="inlineStr">
        <is>
          <t>Metadata</t>
        </is>
      </c>
      <c r="F119" s="35" t="inlineStr">
        <is>
          <t>ESDH-løsningen skal understøtte, at følgende metadatafelter kan konfigureres i administratormodulet:
Kodetabelfelter. 
Datofelter
Tekstfelter
Talfelter
Typer</t>
        </is>
      </c>
      <c r="G119" s="35" t="inlineStr">
        <is>
          <t>Mindstekrav</t>
        </is>
      </c>
      <c r="H119" s="35">
        <f>IF(G119="Evalueringskrav","Answer",(IF(G119="Krav","Check",(IF(G119="Mindstekrav","Verify","")))))</f>
        <v/>
      </c>
      <c r="I119" s="35" t="inlineStr">
        <is>
          <t>Ja</t>
        </is>
      </c>
      <c r="J119" s="35" t="n"/>
      <c r="K119" s="47" t="n"/>
      <c r="L119" s="35" t="inlineStr">
        <is>
          <t>Anton</t>
        </is>
      </c>
      <c r="M119" s="35" t="n"/>
      <c r="N119" s="35" t="n"/>
      <c r="O119" s="35" t="inlineStr">
        <is>
          <t>1. Fully met</t>
        </is>
      </c>
      <c r="P119" s="35" t="n"/>
      <c r="Q119" s="35" t="n"/>
      <c r="R119" s="35" t="n"/>
      <c r="S119" s="35" t="n"/>
      <c r="T119" s="35" t="n"/>
      <c r="U119" s="35" t="inlineStr">
        <is>
          <t>Not Started</t>
        </is>
      </c>
      <c r="V119" s="37">
        <f>IF(U119="Not Started",0%,IF(U119="Started",50%,IF(U119="Ready for review",70%,IF(U119="Reviewed - Content",80%,IF(U119="Reviewed - Format",90%,IF(U119="Done",100%,""))))))</f>
        <v/>
      </c>
      <c r="W119" t="inlineStr">
        <is>
          <t>2026-07-07</t>
        </is>
      </c>
      <c r="X119" t="inlineStr">
        <is>
          <t>Cursor / tender-response (batch)</t>
        </is>
      </c>
      <c r="Y119" t="inlineStr">
        <is>
          <t>Met</t>
        </is>
      </c>
      <c r="Z119" t="inlineStr">
        <is>
          <t>Verified</t>
        </is>
      </c>
      <c r="AA119" t="inlineStr">
        <is>
          <t>Verify: Metadata — vurderet opfyldt (tool: 1. Fully met).</t>
        </is>
      </c>
      <c r="AB119" t="inlineStr"/>
      <c r="AC119" t="inlineStr">
        <is>
          <t>docs/tender-reference/extracted/KUM-SLKS/Bilag 3 - Kravspecifikation.txt; docs/tender-reference/extracted/NND/02.01-Tieto-Bilag 2-Vedlegg-Leverandørens utfyllende svar til kravtabell.txt; docs/product/RFP_Leverandørens_svar_utdrag.txt</t>
        </is>
      </c>
      <c r="AD119" t="inlineStr">
        <is>
          <t>Anton: Confirm verify-tekst; opdatér review status efter tjek.</t>
        </is>
      </c>
      <c r="AE119" t="inlineStr"/>
      <c r="AF119" t="inlineStr">
        <is>
          <t>Draft</t>
        </is>
      </c>
      <c r="AG119" t="inlineStr">
        <is>
          <t>uim-esdh-full-2026-07-07</t>
        </is>
      </c>
    </row>
    <row r="120" ht="64" customHeight="1">
      <c r="A120" s="35" t="n">
        <v>119</v>
      </c>
      <c r="B120" s="35" t="inlineStr">
        <is>
          <t>MK-107</t>
        </is>
      </c>
      <c r="C120" s="35" t="inlineStr">
        <is>
          <t>Bilag 1.b</t>
        </is>
      </c>
      <c r="D120" s="35" t="inlineStr">
        <is>
          <t>Administratormodul</t>
        </is>
      </c>
      <c r="E120" s="35" t="inlineStr">
        <is>
          <t>Vedligeholdelse af organisationshierarki</t>
        </is>
      </c>
      <c r="F120" s="35" t="inlineStr">
        <is>
          <t>ESDH-løsningen skal understøtte, at Kunden via administratormodulet kan oprette, ændre og deaktivere organisationshierarkiet i ESDH-løsningen.</t>
        </is>
      </c>
      <c r="G120" s="35" t="inlineStr">
        <is>
          <t>Mindstekrav</t>
        </is>
      </c>
      <c r="H120" s="35">
        <f>IF(G120="Evalueringskrav","Answer",(IF(G120="Krav","Check",(IF(G120="Mindstekrav","Verify","")))))</f>
        <v/>
      </c>
      <c r="I120" s="35" t="inlineStr">
        <is>
          <t>Ja</t>
        </is>
      </c>
      <c r="J120" s="35" t="n"/>
      <c r="K120" s="47" t="n"/>
      <c r="L120" s="35" t="inlineStr">
        <is>
          <t>Anton</t>
        </is>
      </c>
      <c r="M120" s="35" t="n"/>
      <c r="N120" s="35" t="n"/>
      <c r="O120" s="35" t="inlineStr">
        <is>
          <t>1. Fully met</t>
        </is>
      </c>
      <c r="P120" s="35" t="inlineStr">
        <is>
          <t>ADN: Kunden har ikke defineret hvad "Administratormodulet" er - så vi kan tolke det bredt til "Administratorrettigheder" og dermed opfylde kravet.</t>
        </is>
      </c>
      <c r="Q120" s="35" t="n"/>
      <c r="R120" s="35" t="inlineStr">
        <is>
          <t>Yes</t>
        </is>
      </c>
      <c r="S120" s="35" t="n"/>
      <c r="T120" s="35" t="n"/>
      <c r="U120" s="35" t="inlineStr">
        <is>
          <t>Not Started</t>
        </is>
      </c>
      <c r="V120" s="37">
        <f>IF(U120="Not Started",0%,IF(U120="Started",50%,IF(U120="Ready for review",70%,IF(U120="Reviewed - Content",80%,IF(U120="Reviewed - Format",90%,IF(U120="Done",100%,""))))))</f>
        <v/>
      </c>
      <c r="W120" t="inlineStr">
        <is>
          <t>2026-07-07</t>
        </is>
      </c>
      <c r="X120" t="inlineStr">
        <is>
          <t>Cursor / tender-response (batch)</t>
        </is>
      </c>
      <c r="Y120" t="inlineStr">
        <is>
          <t>Met</t>
        </is>
      </c>
      <c r="Z120" t="inlineStr">
        <is>
          <t>Verified</t>
        </is>
      </c>
      <c r="AA120" t="inlineStr">
        <is>
          <t>Verify: Vedligeholdelse af organisationshierarki — vurderet opfyldt (tool: 1. Fully met).</t>
        </is>
      </c>
      <c r="AB120" t="inlineStr">
        <is>
          <t>ADN: Kunden har ikke defineret hvad "Administratormodulet" er - så vi kan tolke det bredt til "Administratorrettigheder" og dermed opfylde kravet.</t>
        </is>
      </c>
      <c r="AC120" t="inlineStr">
        <is>
          <t>docs/tender-reference/extracted/KUM-SLKS/Bilag 3 - Kravspecifikation.txt; docs/tender-reference/extracted/Nationalbanken/Bilag 3.i Leverandørens Løsningsbeskrivelse.txt; docs/tender-reference/extracted/KUM-SLKS/Bilag 3 - 11.8 - Kravspecifikation - Processtyring (1).txt</t>
        </is>
      </c>
      <c r="AD120" t="inlineStr">
        <is>
          <t>Anton: Confirm verify-tekst; opdatér review status efter tjek.</t>
        </is>
      </c>
      <c r="AE120" t="inlineStr"/>
      <c r="AF120" t="inlineStr">
        <is>
          <t>Draft</t>
        </is>
      </c>
      <c r="AG120" t="inlineStr">
        <is>
          <t>uim-esdh-full-2026-07-07</t>
        </is>
      </c>
    </row>
    <row r="121" ht="48" customHeight="1">
      <c r="A121" s="35" t="n">
        <v>120</v>
      </c>
      <c r="B121" s="35" t="inlineStr">
        <is>
          <t>MK-108</t>
        </is>
      </c>
      <c r="C121" s="35" t="inlineStr">
        <is>
          <t>Bilag 1.b</t>
        </is>
      </c>
      <c r="D121" s="35" t="inlineStr">
        <is>
          <t>Administratormodul</t>
        </is>
      </c>
      <c r="E121" s="35" t="inlineStr">
        <is>
          <t>Begrænsning og tilføjelse af filformater</t>
        </is>
      </c>
      <c r="F121" s="35" t="inlineStr">
        <is>
          <t>ESDH-løsningen skal understøtte, at Kunden via administratormodulet kan konfigurere, hvilke filformater der må gemmes i ESDH-løsningen, så uønskede formater afvises ved forsøg på upload.</t>
        </is>
      </c>
      <c r="G121" s="35" t="inlineStr">
        <is>
          <t>Mindstekrav</t>
        </is>
      </c>
      <c r="H121" s="35">
        <f>IF(G121="Evalueringskrav","Answer",(IF(G121="Krav","Check",(IF(G121="Mindstekrav","Verify","")))))</f>
        <v/>
      </c>
      <c r="I121" s="35" t="inlineStr">
        <is>
          <t>Ja</t>
        </is>
      </c>
      <c r="J121" s="35" t="n"/>
      <c r="K121" s="47" t="n"/>
      <c r="L121" s="35" t="inlineStr">
        <is>
          <t>Anton</t>
        </is>
      </c>
      <c r="M121" s="35" t="n"/>
      <c r="N121" s="35" t="n"/>
      <c r="O121" s="35" t="inlineStr">
        <is>
          <t>1. Fully met</t>
        </is>
      </c>
      <c r="P121" s="35" t="n"/>
      <c r="Q121" s="35" t="n"/>
      <c r="R121" s="35" t="n"/>
      <c r="S121" s="35" t="n"/>
      <c r="T121" s="35" t="n"/>
      <c r="U121" s="35" t="inlineStr">
        <is>
          <t>Not Started</t>
        </is>
      </c>
      <c r="V121" s="37">
        <f>IF(U121="Not Started",0%,IF(U121="Started",50%,IF(U121="Ready for review",70%,IF(U121="Reviewed - Content",80%,IF(U121="Reviewed - Format",90%,IF(U121="Done",100%,""))))))</f>
        <v/>
      </c>
      <c r="W121" t="inlineStr">
        <is>
          <t>2026-07-07</t>
        </is>
      </c>
      <c r="X121" t="inlineStr">
        <is>
          <t>Cursor / tender-response (batch)</t>
        </is>
      </c>
      <c r="Y121" t="inlineStr">
        <is>
          <t>Met</t>
        </is>
      </c>
      <c r="Z121" t="inlineStr">
        <is>
          <t>Verified</t>
        </is>
      </c>
      <c r="AA121" t="inlineStr">
        <is>
          <t>Verify: Begrænsning og tilføjelse af filformater — vurderet opfyldt (tool: 1. Fully met).</t>
        </is>
      </c>
      <c r="AB121" t="inlineStr"/>
      <c r="AC121" t="inlineStr">
        <is>
          <t>docs/tender-reference/extracted/Nationalbanken/Bilag 3.i Leverandørens Løsningsbeskrivelse.txt; docs/tender-reference/extracted/KK Tender tool.txt; docs/tender-reference/extracted/KUM-SLKS/Bilag 3 - Kravspecifikation.txt</t>
        </is>
      </c>
      <c r="AD121" t="inlineStr">
        <is>
          <t>Anton: Confirm verify-tekst; opdatér review status efter tjek.</t>
        </is>
      </c>
      <c r="AE121" t="inlineStr"/>
      <c r="AF121" t="inlineStr">
        <is>
          <t>Draft</t>
        </is>
      </c>
      <c r="AG121" t="inlineStr">
        <is>
          <t>uim-esdh-full-2026-07-07</t>
        </is>
      </c>
    </row>
    <row r="122" ht="48" customHeight="1">
      <c r="A122" s="35" t="n">
        <v>121</v>
      </c>
      <c r="B122" s="35" t="inlineStr">
        <is>
          <t>MK-109</t>
        </is>
      </c>
      <c r="C122" s="35" t="inlineStr">
        <is>
          <t>Bilag 1.b</t>
        </is>
      </c>
      <c r="D122" s="35" t="inlineStr">
        <is>
          <t>Administratormodul</t>
        </is>
      </c>
      <c r="E122" s="35" t="inlineStr">
        <is>
          <t>Kundeoprettede felter</t>
        </is>
      </c>
      <c r="F122" s="35" t="inlineStr">
        <is>
          <t>ESDH-løsningen skal understøtte, at Administrator via no-code kan oprette og vedligeholde Kundeoprettede felter på både standard- og Kundeoprettede Entiteter.</t>
        </is>
      </c>
      <c r="G122" s="35" t="inlineStr">
        <is>
          <t>Mindstekrav</t>
        </is>
      </c>
      <c r="H122" s="35">
        <f>IF(G122="Evalueringskrav","Answer",(IF(G122="Krav","Check",(IF(G122="Mindstekrav","Verify","")))))</f>
        <v/>
      </c>
      <c r="I122" s="35" t="inlineStr">
        <is>
          <t>Ja</t>
        </is>
      </c>
      <c r="J122" s="35" t="n"/>
      <c r="K122" s="47" t="n"/>
      <c r="L122" s="35" t="inlineStr">
        <is>
          <t>Anton</t>
        </is>
      </c>
      <c r="M122" s="35" t="n"/>
      <c r="N122" s="35" t="n"/>
      <c r="O122" s="35" t="inlineStr">
        <is>
          <t>1. Fully met</t>
        </is>
      </c>
      <c r="P122" s="35" t="n"/>
      <c r="Q122" s="35" t="n"/>
      <c r="R122" s="35" t="n"/>
      <c r="S122" s="35" t="n"/>
      <c r="T122" s="35" t="n"/>
      <c r="U122" s="35" t="inlineStr">
        <is>
          <t>Not Started</t>
        </is>
      </c>
      <c r="V122" s="37">
        <f>IF(U122="Not Started",0%,IF(U122="Started",50%,IF(U122="Ready for review",70%,IF(U122="Reviewed - Content",80%,IF(U122="Reviewed - Format",90%,IF(U122="Done",100%,""))))))</f>
        <v/>
      </c>
      <c r="W122" t="inlineStr">
        <is>
          <t>2026-07-07</t>
        </is>
      </c>
      <c r="X122" t="inlineStr">
        <is>
          <t>Cursor / tender-response (batch)</t>
        </is>
      </c>
      <c r="Y122" t="inlineStr">
        <is>
          <t>Met</t>
        </is>
      </c>
      <c r="Z122" t="inlineStr">
        <is>
          <t>Verified</t>
        </is>
      </c>
      <c r="AA122" t="inlineStr">
        <is>
          <t>Verify: Kundeoprettede felter — vurderet opfyldt (tool: 1. Fully met).</t>
        </is>
      </c>
      <c r="AB122" t="inlineStr"/>
      <c r="AC122" t="inlineStr">
        <is>
          <t>docs/tender-reference/extracted/KK Tender tool.txt; docs/tender-reference/extracted/Nationalbanken/Bilag 3.i Leverandørens Løsningsbeskrivelse.txt; docs/product/RFP_Leverandørens_svar_utdrag.txt</t>
        </is>
      </c>
      <c r="AD122" t="inlineStr">
        <is>
          <t>Anton: Confirm verify-tekst; opdatér review status efter tjek.</t>
        </is>
      </c>
      <c r="AE122" t="inlineStr"/>
      <c r="AF122" t="inlineStr">
        <is>
          <t>Draft</t>
        </is>
      </c>
      <c r="AG122" t="inlineStr">
        <is>
          <t>uim-esdh-full-2026-07-07</t>
        </is>
      </c>
    </row>
    <row r="123" ht="32" customHeight="1">
      <c r="A123" s="35" t="n">
        <v>122</v>
      </c>
      <c r="B123" s="35" t="inlineStr">
        <is>
          <t>MK-110</t>
        </is>
      </c>
      <c r="C123" s="35" t="inlineStr">
        <is>
          <t>Bilag 1.b</t>
        </is>
      </c>
      <c r="D123" s="35" t="inlineStr">
        <is>
          <t>Administratormodul</t>
        </is>
      </c>
      <c r="E123" s="35" t="inlineStr">
        <is>
          <t>Brugergrænseflade</t>
        </is>
      </c>
      <c r="F123" s="35" t="inlineStr">
        <is>
          <t>ESDH-løsningen skal understøtte Konfiguration via en fuldskærmsbaseret brugergrænseflade.</t>
        </is>
      </c>
      <c r="G123" s="35" t="inlineStr">
        <is>
          <t>Mindstekrav</t>
        </is>
      </c>
      <c r="H123" s="35">
        <f>IF(G123="Evalueringskrav","Answer",(IF(G123="Krav","Check",(IF(G123="Mindstekrav","Verify","")))))</f>
        <v/>
      </c>
      <c r="I123" s="35" t="inlineStr">
        <is>
          <t>Ja</t>
        </is>
      </c>
      <c r="J123" s="35" t="n"/>
      <c r="K123" s="47" t="n"/>
      <c r="L123" s="35" t="inlineStr">
        <is>
          <t>Anton</t>
        </is>
      </c>
      <c r="M123" s="35" t="n"/>
      <c r="N123" s="35" t="n"/>
      <c r="O123" s="35" t="inlineStr">
        <is>
          <t>1. Fully met</t>
        </is>
      </c>
      <c r="P123" s="35" t="n"/>
      <c r="Q123" s="35" t="n"/>
      <c r="R123" s="35" t="n"/>
      <c r="S123" s="35" t="n"/>
      <c r="T123" s="35" t="n"/>
      <c r="U123" s="35" t="inlineStr">
        <is>
          <t>Not Started</t>
        </is>
      </c>
      <c r="V123" s="37">
        <f>IF(U123="Not Started",0%,IF(U123="Started",50%,IF(U123="Ready for review",70%,IF(U123="Reviewed - Content",80%,IF(U123="Reviewed - Format",90%,IF(U123="Done",100%,""))))))</f>
        <v/>
      </c>
      <c r="W123" t="inlineStr">
        <is>
          <t>2026-07-07</t>
        </is>
      </c>
      <c r="X123" t="inlineStr">
        <is>
          <t>Cursor / tender-response (batch)</t>
        </is>
      </c>
      <c r="Y123" t="inlineStr">
        <is>
          <t>Met</t>
        </is>
      </c>
      <c r="Z123" t="inlineStr">
        <is>
          <t>Lead</t>
        </is>
      </c>
      <c r="AA123" t="inlineStr">
        <is>
          <t>Verify: Brugergrænseflade — vurderet opfyldt (tool: 1. Fully met).</t>
        </is>
      </c>
      <c r="AB123" t="inlineStr"/>
      <c r="AC123" t="inlineStr">
        <is>
          <t>docs/tender-reference/extracted/KK Tender tool.txt; docs/tender-reference/extracted/KUM-SLKS/Bilag 3 - 11.8 - Kravspecifikation - Processtyring (1).txt; docs/tender-reference/extracted/KUM-SLKS/Bilag 3 - Kravspecifikation.txt</t>
        </is>
      </c>
      <c r="AD123" t="inlineStr">
        <is>
          <t>Anton: Confirm verify-tekst; opdatér review status efter tjek.</t>
        </is>
      </c>
      <c r="AE123" t="inlineStr"/>
      <c r="AF123" t="inlineStr">
        <is>
          <t>Draft</t>
        </is>
      </c>
      <c r="AG123" t="inlineStr">
        <is>
          <t>uim-esdh-full-2026-07-07</t>
        </is>
      </c>
    </row>
    <row r="124" ht="48" customHeight="1">
      <c r="A124" s="35" t="n">
        <v>123</v>
      </c>
      <c r="B124" s="35" t="inlineStr">
        <is>
          <t>MK-111</t>
        </is>
      </c>
      <c r="C124" s="35" t="inlineStr">
        <is>
          <t>Bilag 1.b</t>
        </is>
      </c>
      <c r="D124" s="35" t="inlineStr">
        <is>
          <t>Administratormodul</t>
        </is>
      </c>
      <c r="E124" s="35" t="inlineStr">
        <is>
          <t>Systemopdateringer</t>
        </is>
      </c>
      <c r="F124" s="35" t="inlineStr">
        <is>
          <t>ESDH-løsningen skal understøtte, at alle Konfigurationer bevares ved systemopdateringer eller opgraderinger.</t>
        </is>
      </c>
      <c r="G124" s="35" t="inlineStr">
        <is>
          <t>Mindstekrav</t>
        </is>
      </c>
      <c r="H124" s="35">
        <f>IF(G124="Evalueringskrav","Answer",(IF(G124="Krav","Check",(IF(G124="Mindstekrav","Verify","")))))</f>
        <v/>
      </c>
      <c r="I124" s="35" t="inlineStr">
        <is>
          <t>Ja</t>
        </is>
      </c>
      <c r="J124" s="35" t="n"/>
      <c r="K124" s="47" t="n"/>
      <c r="L124" s="35" t="inlineStr">
        <is>
          <t>Eva</t>
        </is>
      </c>
      <c r="M124" s="35" t="n"/>
      <c r="N124" s="35" t="n"/>
      <c r="O124" s="35" t="n"/>
      <c r="P124" s="35" t="inlineStr">
        <is>
          <t>ADN: Det her har historisk givet problemer hvis kunden konfigurerede videre på standard-elementer.</t>
        </is>
      </c>
      <c r="Q124" s="35" t="n"/>
      <c r="R124" s="35" t="inlineStr">
        <is>
          <t>Yes</t>
        </is>
      </c>
      <c r="S124" s="35" t="n"/>
      <c r="T124" s="35" t="n"/>
      <c r="U124" s="35" t="inlineStr">
        <is>
          <t>Not Started</t>
        </is>
      </c>
      <c r="V124" s="37">
        <f>IF(U124="Not Started",0%,IF(U124="Started",50%,IF(U124="Ready for review",70%,IF(U124="Reviewed - Content",80%,IF(U124="Reviewed - Format",90%,IF(U124="Done",100%,""))))))</f>
        <v/>
      </c>
      <c r="W124" t="inlineStr">
        <is>
          <t>2026-07-07</t>
        </is>
      </c>
      <c r="X124" t="inlineStr">
        <is>
          <t>Cursor / tender-response (MCP-enriched)</t>
        </is>
      </c>
      <c r="Y124" t="inlineStr">
        <is>
          <t>Clarify</t>
        </is>
      </c>
      <c r="Z124" t="inlineStr">
        <is>
          <t>Lead</t>
        </is>
      </c>
      <c r="AA124" t="inlineStr">
        <is>
          <t>Verify: Systemopdateringer — kræver produkt-/team-afklaring (ingen tool-rating).</t>
        </is>
      </c>
      <c r="AB124" t="inlineStr">
        <is>
          <t>ADN: Det her har historisk givet problemer hvis kunden konfigurerede videre på standard-elementer. | Red flag: Det her har historisk givet problemer hvis kunden konfigurerede videre på standard-elementer.</t>
        </is>
      </c>
      <c r="AC124" t="inlineStr">
        <is>
          <t>Wiki: 6.10 release information; SubSetupConfig</t>
        </is>
      </c>
      <c r="AD124" t="inlineStr">
        <is>
          <t>Eva: Udfyld tool-rating (O) og evidens; gennemgå AI-kladde.</t>
        </is>
      </c>
      <c r="AE124" t="inlineStr"/>
      <c r="AF124" t="inlineStr">
        <is>
          <t>Draft</t>
        </is>
      </c>
      <c r="AG124" t="inlineStr">
        <is>
          <t>uim-esdh-full-2026-07-07</t>
        </is>
      </c>
    </row>
    <row r="125" ht="32" customHeight="1">
      <c r="A125" s="35" t="n">
        <v>124</v>
      </c>
      <c r="B125" s="35" t="inlineStr">
        <is>
          <t>MK-112</t>
        </is>
      </c>
      <c r="C125" s="35" t="inlineStr">
        <is>
          <t>Bilag 1.b</t>
        </is>
      </c>
      <c r="D125" s="35" t="inlineStr">
        <is>
          <t>Administratormodul</t>
        </is>
      </c>
      <c r="E125" s="35" t="inlineStr">
        <is>
          <t>No-code</t>
        </is>
      </c>
      <c r="F125" s="35" t="inlineStr">
        <is>
          <t>ESDH-løsningens administratormodul skal understøtte fuld no-code funktionalitet.</t>
        </is>
      </c>
      <c r="G125" s="35" t="inlineStr">
        <is>
          <t>Mindstekrav</t>
        </is>
      </c>
      <c r="H125" s="35">
        <f>IF(G125="Evalueringskrav","Answer",(IF(G125="Krav","Check",(IF(G125="Mindstekrav","Verify","")))))</f>
        <v/>
      </c>
      <c r="I125" s="35" t="inlineStr">
        <is>
          <t>Ja</t>
        </is>
      </c>
      <c r="J125" s="35" t="n"/>
      <c r="K125" s="47" t="n"/>
      <c r="L125" s="35" t="inlineStr">
        <is>
          <t>Anton</t>
        </is>
      </c>
      <c r="M125" s="35" t="n"/>
      <c r="N125" s="35" t="n"/>
      <c r="O125" s="35" t="inlineStr">
        <is>
          <t>1. Fully met</t>
        </is>
      </c>
      <c r="P125" s="35" t="n"/>
      <c r="Q125" s="35" t="n"/>
      <c r="R125" s="35" t="n"/>
      <c r="S125" s="35" t="n"/>
      <c r="T125" s="35" t="n"/>
      <c r="U125" s="35" t="inlineStr">
        <is>
          <t>Not Started</t>
        </is>
      </c>
      <c r="V125" s="37">
        <f>IF(U125="Not Started",0%,IF(U125="Started",50%,IF(U125="Ready for review",70%,IF(U125="Reviewed - Content",80%,IF(U125="Reviewed - Format",90%,IF(U125="Done",100%,""))))))</f>
        <v/>
      </c>
      <c r="W125" t="inlineStr">
        <is>
          <t>2026-07-07</t>
        </is>
      </c>
      <c r="X125" t="inlineStr">
        <is>
          <t>Cursor / tender-response (batch)</t>
        </is>
      </c>
      <c r="Y125" t="inlineStr">
        <is>
          <t>Met</t>
        </is>
      </c>
      <c r="Z125" t="inlineStr">
        <is>
          <t>Verified</t>
        </is>
      </c>
      <c r="AA125" t="inlineStr">
        <is>
          <t>Verify: No-code — vurderet opfyldt (tool: 1. Fully met).</t>
        </is>
      </c>
      <c r="AB125" t="inlineStr"/>
      <c r="AC125" t="inlineStr">
        <is>
          <t>docs/tender-reference/extracted/KK Tender tool.txt; docs/tender-reference/extracted/KUM-SLKS/Bilag 3 - Kravspecifikation.txt; docs/tender-reference/extracted/Nationalbanken/Bilag 3.i Leverandørens Løsningsbeskrivelse.txt</t>
        </is>
      </c>
      <c r="AD125" t="inlineStr">
        <is>
          <t>Anton: Confirm verify-tekst; opdatér review status efter tjek.</t>
        </is>
      </c>
      <c r="AE125" t="inlineStr"/>
      <c r="AF125" t="inlineStr">
        <is>
          <t>Draft</t>
        </is>
      </c>
      <c r="AG125" t="inlineStr">
        <is>
          <t>uim-esdh-full-2026-07-07</t>
        </is>
      </c>
    </row>
    <row r="126" ht="48" customHeight="1">
      <c r="A126" s="35" t="n">
        <v>125</v>
      </c>
      <c r="B126" s="35" t="inlineStr">
        <is>
          <t>MK-113</t>
        </is>
      </c>
      <c r="C126" s="35" t="inlineStr">
        <is>
          <t>Bilag 1.b</t>
        </is>
      </c>
      <c r="D126" s="35" t="inlineStr">
        <is>
          <t>Administratormodul</t>
        </is>
      </c>
      <c r="E126" s="35" t="inlineStr">
        <is>
          <t>Feltlængde</t>
        </is>
      </c>
      <c r="F126" s="35" t="inlineStr">
        <is>
          <t>ESDH-løsningen skal understøtte, at tekstfelters længde som minimum kan indeholde 3500 karakterer for indtastningen af den fulde tekst f.eks. kommentarfelter og øvrige fritekst-felter i Løsningen.</t>
        </is>
      </c>
      <c r="G126" s="35" t="inlineStr">
        <is>
          <t>Mindstekrav</t>
        </is>
      </c>
      <c r="H126" s="35">
        <f>IF(G126="Evalueringskrav","Answer",(IF(G126="Krav","Check",(IF(G126="Mindstekrav","Verify","")))))</f>
        <v/>
      </c>
      <c r="I126" s="35" t="inlineStr">
        <is>
          <t>Ja</t>
        </is>
      </c>
      <c r="J126" s="35" t="n"/>
      <c r="K126" s="47" t="n"/>
      <c r="L126" s="35" t="inlineStr">
        <is>
          <t>Eva</t>
        </is>
      </c>
      <c r="M126" s="35" t="n"/>
      <c r="N126" s="35" t="n"/>
      <c r="O126" s="35" t="inlineStr">
        <is>
          <t>3. Not able to meet</t>
        </is>
      </c>
      <c r="P126" s="35" t="inlineStr">
        <is>
          <t>ADN: "Alle tekstfelter" hvilket betyder alle felter i løsningen skal kunne indeholde 3500 anslag.</t>
        </is>
      </c>
      <c r="Q126" s="35" t="n"/>
      <c r="R126" s="35" t="n"/>
      <c r="S126" s="35" t="n"/>
      <c r="T126" s="35" t="n"/>
      <c r="U126" s="35" t="inlineStr">
        <is>
          <t>Not Started</t>
        </is>
      </c>
      <c r="V126" s="37">
        <f>IF(U126="Not Started",0%,IF(U126="Started",50%,IF(U126="Ready for review",70%,IF(U126="Reviewed - Content",80%,IF(U126="Reviewed - Format",90%,IF(U126="Done",100%,""))))))</f>
        <v/>
      </c>
      <c r="W126" t="inlineStr">
        <is>
          <t>2026-07-07</t>
        </is>
      </c>
      <c r="X126" t="inlineStr">
        <is>
          <t>Cursor / tender-response (MCP-enriched)</t>
        </is>
      </c>
      <c r="Y126" t="inlineStr">
        <is>
          <t>Not met</t>
        </is>
      </c>
      <c r="Z126" t="inlineStr">
        <is>
          <t>Lead</t>
        </is>
      </c>
      <c r="AA126" t="inlineStr">
        <is>
          <t>Verify: Feltlængde — gap ift. kravtekst; eskalér commitment eller afklaring.</t>
        </is>
      </c>
      <c r="AB126" t="inlineStr">
        <is>
          <t>ADN: "Alle tekstfelter" hvilket betyder alle felter i løsningen skal kunne indeholde 3500 anslag. | Red flag: Det ved jeg simpelthen ikke om vi understøtter i alle fritekstfelter i løsningen..</t>
        </is>
      </c>
      <c r="AC126" t="inlineStr">
        <is>
          <t>Wiki: Virtual metadata</t>
        </is>
      </c>
      <c r="AD126" t="inlineStr">
        <is>
          <t>Eva: Commitment/no-bid beslutning; overvej Q&amp;A til ordregiver.</t>
        </is>
      </c>
      <c r="AE126" t="inlineStr"/>
      <c r="AF126" t="inlineStr">
        <is>
          <t>Draft</t>
        </is>
      </c>
      <c r="AG126" t="inlineStr">
        <is>
          <t>uim-esdh-full-2026-07-07</t>
        </is>
      </c>
    </row>
    <row r="127" ht="32" customHeight="1">
      <c r="A127" s="35" t="n">
        <v>126</v>
      </c>
      <c r="B127" s="35" t="inlineStr">
        <is>
          <t>MK-114</t>
        </is>
      </c>
      <c r="C127" s="35" t="inlineStr">
        <is>
          <t>Bilag 1.b</t>
        </is>
      </c>
      <c r="D127" s="35" t="inlineStr">
        <is>
          <t>Administratormodul</t>
        </is>
      </c>
      <c r="E127" s="35" t="inlineStr">
        <is>
          <t>Administration af partsroller</t>
        </is>
      </c>
      <c r="F127" s="35" t="inlineStr">
        <is>
          <t>ESDH-løsningen skal understøtte, at Administrator kan oprette, ændre og administrere partsroller.</t>
        </is>
      </c>
      <c r="G127" s="35" t="inlineStr">
        <is>
          <t>Mindstekrav</t>
        </is>
      </c>
      <c r="H127" s="35">
        <f>IF(G127="Evalueringskrav","Answer",(IF(G127="Krav","Check",(IF(G127="Mindstekrav","Verify","")))))</f>
        <v/>
      </c>
      <c r="I127" s="35" t="inlineStr">
        <is>
          <t>Ja</t>
        </is>
      </c>
      <c r="J127" s="35" t="n"/>
      <c r="K127" s="47" t="n"/>
      <c r="L127" s="35" t="inlineStr">
        <is>
          <t>Anton</t>
        </is>
      </c>
      <c r="M127" s="35" t="n"/>
      <c r="N127" s="35" t="n"/>
      <c r="O127" s="35" t="inlineStr">
        <is>
          <t>1. Fully met</t>
        </is>
      </c>
      <c r="P127" s="35" t="n"/>
      <c r="Q127" s="35" t="n"/>
      <c r="R127" s="35" t="n"/>
      <c r="S127" s="35" t="n"/>
      <c r="T127" s="35" t="n"/>
      <c r="U127" s="35" t="inlineStr">
        <is>
          <t>Not Started</t>
        </is>
      </c>
      <c r="V127" s="37">
        <f>IF(U127="Not Started",0%,IF(U127="Started",50%,IF(U127="Ready for review",70%,IF(U127="Reviewed - Content",80%,IF(U127="Reviewed - Format",90%,IF(U127="Done",100%,""))))))</f>
        <v/>
      </c>
      <c r="W127" t="inlineStr">
        <is>
          <t>2026-07-07</t>
        </is>
      </c>
      <c r="X127" t="inlineStr">
        <is>
          <t>Cursor / tender-response (batch)</t>
        </is>
      </c>
      <c r="Y127" t="inlineStr">
        <is>
          <t>Met</t>
        </is>
      </c>
      <c r="Z127" t="inlineStr">
        <is>
          <t>Verified</t>
        </is>
      </c>
      <c r="AA127" t="inlineStr">
        <is>
          <t>Verify: Administration af partsroller — vurderet opfyldt (tool: 1. Fully met).</t>
        </is>
      </c>
      <c r="AB127" t="inlineStr"/>
      <c r="AC127" t="inlineStr">
        <is>
          <t>docs/tender-reference/extracted/KUM-SLKS/Bilag 3 - Kravspecifikation.txt; docs/tender-reference/extracted/Nationalbanken/Bilag 3.i Leverandørens Løsningsbeskrivelse.txt; docs/tender-reference/extracted/KUM-SLKS/Bilag 3 - 11.8 - Kravspecifikation - Processtyring (1).txt</t>
        </is>
      </c>
      <c r="AD127" t="inlineStr">
        <is>
          <t>Anton: Confirm verify-tekst; opdatér review status efter tjek.</t>
        </is>
      </c>
      <c r="AE127" t="inlineStr"/>
      <c r="AF127" t="inlineStr">
        <is>
          <t>Draft</t>
        </is>
      </c>
      <c r="AG127" t="inlineStr">
        <is>
          <t>uim-esdh-full-2026-07-07</t>
        </is>
      </c>
    </row>
    <row r="128" ht="48" customHeight="1">
      <c r="A128" s="35" t="n">
        <v>127</v>
      </c>
      <c r="B128" s="35" t="inlineStr">
        <is>
          <t>MK-115</t>
        </is>
      </c>
      <c r="C128" s="35" t="inlineStr">
        <is>
          <t>Bilag 1.b</t>
        </is>
      </c>
      <c r="D128" s="35" t="inlineStr">
        <is>
          <t>Administratormodul</t>
        </is>
      </c>
      <c r="E128" s="35" t="inlineStr">
        <is>
          <t>Journalplan – Oprettelse og vedligeholdelse</t>
        </is>
      </c>
      <c r="F128" s="35" t="inlineStr">
        <is>
          <t>ESDH-løsningen skal understøtte, at Administrator kan oprette og vedligeholde journalplanen, handlingsfacetter og emneordslister.</t>
        </is>
      </c>
      <c r="G128" s="35" t="inlineStr">
        <is>
          <t>Mindstekrav</t>
        </is>
      </c>
      <c r="H128" s="35">
        <f>IF(G128="Evalueringskrav","Answer",(IF(G128="Krav","Check",(IF(G128="Mindstekrav","Verify","")))))</f>
        <v/>
      </c>
      <c r="I128" s="35" t="inlineStr">
        <is>
          <t>Ja</t>
        </is>
      </c>
      <c r="J128" s="35" t="n"/>
      <c r="K128" s="47" t="n"/>
      <c r="L128" s="35" t="inlineStr">
        <is>
          <t>Anton</t>
        </is>
      </c>
      <c r="M128" s="35" t="n"/>
      <c r="N128" s="35" t="n"/>
      <c r="O128" s="35" t="inlineStr">
        <is>
          <t>1. Fully met</t>
        </is>
      </c>
      <c r="P128" s="35" t="n"/>
      <c r="Q128" s="35" t="n"/>
      <c r="R128" s="35" t="n"/>
      <c r="S128" s="35" t="n"/>
      <c r="T128" s="35" t="n"/>
      <c r="U128" s="35" t="inlineStr">
        <is>
          <t>Not Started</t>
        </is>
      </c>
      <c r="V128" s="37">
        <f>IF(U128="Not Started",0%,IF(U128="Started",50%,IF(U128="Ready for review",70%,IF(U128="Reviewed - Content",80%,IF(U128="Reviewed - Format",90%,IF(U128="Done",100%,""))))))</f>
        <v/>
      </c>
      <c r="W128" t="inlineStr">
        <is>
          <t>2026-07-07</t>
        </is>
      </c>
      <c r="X128" t="inlineStr">
        <is>
          <t>Cursor / tender-response (batch)</t>
        </is>
      </c>
      <c r="Y128" t="inlineStr">
        <is>
          <t>Met</t>
        </is>
      </c>
      <c r="Z128" t="inlineStr">
        <is>
          <t>Verified</t>
        </is>
      </c>
      <c r="AA128" t="inlineStr">
        <is>
          <t>Verify: Journalplan – Oprettelse og vedligeholdelse — vurderet opfyldt (tool: 1. Fully met).</t>
        </is>
      </c>
      <c r="AB128" t="inlineStr"/>
      <c r="AC128" t="inlineStr">
        <is>
          <t>docs/tender-reference/extracted/Nationalbanken/Bilag 3.i Leverandørens Løsningsbeskrivelse.txt; docs/tender-reference/extracted/KUM-SLKS/Bilag 3 - Kravspecifikation.txt; docs/tender-reference/extracted/KK Tender tool.txt</t>
        </is>
      </c>
      <c r="AD128" t="inlineStr">
        <is>
          <t>Anton: Confirm verify-tekst; opdatér review status efter tjek.</t>
        </is>
      </c>
      <c r="AE128" t="inlineStr"/>
      <c r="AF128" t="inlineStr">
        <is>
          <t>Draft</t>
        </is>
      </c>
      <c r="AG128" t="inlineStr">
        <is>
          <t>uim-esdh-full-2026-07-07</t>
        </is>
      </c>
    </row>
    <row r="129" ht="32" customHeight="1">
      <c r="A129" s="35" t="n">
        <v>128</v>
      </c>
      <c r="B129" s="35" t="inlineStr">
        <is>
          <t>MK-116</t>
        </is>
      </c>
      <c r="C129" s="35" t="inlineStr">
        <is>
          <t>Bilag 1.b</t>
        </is>
      </c>
      <c r="D129" s="35" t="inlineStr">
        <is>
          <t>Administratormodul</t>
        </is>
      </c>
      <c r="E129" s="35" t="inlineStr">
        <is>
          <t>Journalplan – Antal niveauer</t>
        </is>
      </c>
      <c r="F129" s="35" t="inlineStr">
        <is>
          <t>ESDH-løsningen skal understøtte, at Administrator kan konfigurere journalplanen med færre end tre niveauer.</t>
        </is>
      </c>
      <c r="G129" s="35" t="inlineStr">
        <is>
          <t>Mindstekrav</t>
        </is>
      </c>
      <c r="H129" s="35">
        <f>IF(G129="Evalueringskrav","Answer",(IF(G129="Krav","Check",(IF(G129="Mindstekrav","Verify","")))))</f>
        <v/>
      </c>
      <c r="I129" s="35" t="inlineStr">
        <is>
          <t>Ja</t>
        </is>
      </c>
      <c r="J129" s="35" t="n"/>
      <c r="K129" s="47" t="n"/>
      <c r="L129" s="35" t="inlineStr">
        <is>
          <t>Anton</t>
        </is>
      </c>
      <c r="M129" s="35" t="n"/>
      <c r="N129" s="35" t="n"/>
      <c r="O129" s="35" t="inlineStr">
        <is>
          <t>1. Fully met</t>
        </is>
      </c>
      <c r="P129" s="35" t="n"/>
      <c r="Q129" s="35" t="n"/>
      <c r="R129" s="35" t="n"/>
      <c r="S129" s="35" t="n"/>
      <c r="T129" s="35" t="n"/>
      <c r="U129" s="35" t="inlineStr">
        <is>
          <t>Not Started</t>
        </is>
      </c>
      <c r="V129" s="37">
        <f>IF(U129="Not Started",0%,IF(U129="Started",50%,IF(U129="Ready for review",70%,IF(U129="Reviewed - Content",80%,IF(U129="Reviewed - Format",90%,IF(U129="Done",100%,""))))))</f>
        <v/>
      </c>
      <c r="W129" t="inlineStr">
        <is>
          <t>2026-07-07</t>
        </is>
      </c>
      <c r="X129" t="inlineStr">
        <is>
          <t>Cursor / tender-response (batch)</t>
        </is>
      </c>
      <c r="Y129" t="inlineStr">
        <is>
          <t>Met</t>
        </is>
      </c>
      <c r="Z129" t="inlineStr">
        <is>
          <t>Verified</t>
        </is>
      </c>
      <c r="AA129" t="inlineStr">
        <is>
          <t>Verify: Journalplan – Antal niveauer — vurderet opfyldt (tool: 1. Fully met).</t>
        </is>
      </c>
      <c r="AB129" t="inlineStr"/>
      <c r="AC129" t="inlineStr">
        <is>
          <t>docs/tender-reference/extracted/KUM-SLKS/Bilag 3 - Kravspecifikation.txt; docs/tender-reference/extracted/Nationalbanken/Bilag 3.i Leverandørens Løsningsbeskrivelse.txt; docs/product/RFP_Leverandørens_svar_utdrag.txt</t>
        </is>
      </c>
      <c r="AD129" t="inlineStr">
        <is>
          <t>Anton: Confirm verify-tekst; opdatér review status efter tjek.</t>
        </is>
      </c>
      <c r="AE129" t="inlineStr"/>
      <c r="AF129" t="inlineStr">
        <is>
          <t>Draft</t>
        </is>
      </c>
      <c r="AG129" t="inlineStr">
        <is>
          <t>uim-esdh-full-2026-07-07</t>
        </is>
      </c>
    </row>
    <row r="130" ht="32" customHeight="1">
      <c r="A130" s="35" t="n">
        <v>129</v>
      </c>
      <c r="B130" s="35" t="inlineStr">
        <is>
          <t>MK-117</t>
        </is>
      </c>
      <c r="C130" s="35" t="inlineStr">
        <is>
          <t>Bilag 1.b</t>
        </is>
      </c>
      <c r="D130" s="35" t="inlineStr">
        <is>
          <t>Administratormodul</t>
        </is>
      </c>
      <c r="E130" s="35" t="inlineStr">
        <is>
          <t>Slettepolitikker</t>
        </is>
      </c>
      <c r="F130" s="35" t="inlineStr">
        <is>
          <t>ESDH-løsningen skal understøtte, at Administrator kan konfigurere slettepolitikker, bevaringskoder og klassifikationskoder.</t>
        </is>
      </c>
      <c r="G130" s="35" t="inlineStr">
        <is>
          <t>Mindstekrav</t>
        </is>
      </c>
      <c r="H130" s="35">
        <f>IF(G130="Evalueringskrav","Answer",(IF(G130="Krav","Check",(IF(G130="Mindstekrav","Verify","")))))</f>
        <v/>
      </c>
      <c r="I130" s="35" t="inlineStr">
        <is>
          <t>Ja</t>
        </is>
      </c>
      <c r="J130" s="35" t="n"/>
      <c r="K130" s="47" t="n"/>
      <c r="L130" s="35" t="inlineStr">
        <is>
          <t>Anton</t>
        </is>
      </c>
      <c r="M130" s="35" t="n"/>
      <c r="N130" s="35" t="n"/>
      <c r="O130" s="35" t="inlineStr">
        <is>
          <t>1. Fully met</t>
        </is>
      </c>
      <c r="P130" s="35" t="n"/>
      <c r="Q130" s="35" t="n"/>
      <c r="R130" s="35" t="n"/>
      <c r="S130" s="35" t="n"/>
      <c r="T130" s="35" t="n"/>
      <c r="U130" s="35" t="inlineStr">
        <is>
          <t>Not Started</t>
        </is>
      </c>
      <c r="V130" s="37">
        <f>IF(U130="Not Started",0%,IF(U130="Started",50%,IF(U130="Ready for review",70%,IF(U130="Reviewed - Content",80%,IF(U130="Reviewed - Format",90%,IF(U130="Done",100%,""))))))</f>
        <v/>
      </c>
      <c r="W130" t="inlineStr">
        <is>
          <t>2026-07-07</t>
        </is>
      </c>
      <c r="X130" t="inlineStr">
        <is>
          <t>Cursor / tender-response (batch)</t>
        </is>
      </c>
      <c r="Y130" t="inlineStr">
        <is>
          <t>Met</t>
        </is>
      </c>
      <c r="Z130" t="inlineStr">
        <is>
          <t>Verified</t>
        </is>
      </c>
      <c r="AA130" t="inlineStr">
        <is>
          <t>Verify: Slettepolitikker — vurderet opfyldt (tool: 1. Fully met).</t>
        </is>
      </c>
      <c r="AB130" t="inlineStr"/>
      <c r="AC130" t="inlineStr">
        <is>
          <t>docs/tender-reference/extracted/Nationalbanken/Bilag 3.i Leverandørens Løsningsbeskrivelse.txt; docs/product/RFP_Leverandørens_svar_utdrag.txt; docs/tender-reference/extracted/HSØ/02.00-Tietoevry-SSA-L-Bilag 2-Leverandørens beskrivelse av Tjenesten.txt</t>
        </is>
      </c>
      <c r="AD130" t="inlineStr">
        <is>
          <t>Anton: Confirm verify-tekst; opdatér review status efter tjek.</t>
        </is>
      </c>
      <c r="AE130" t="inlineStr"/>
      <c r="AF130" t="inlineStr">
        <is>
          <t>Draft</t>
        </is>
      </c>
      <c r="AG130" t="inlineStr">
        <is>
          <t>uim-esdh-full-2026-07-07</t>
        </is>
      </c>
    </row>
    <row r="131" ht="64" customHeight="1">
      <c r="A131" s="35" t="n">
        <v>130</v>
      </c>
      <c r="B131" s="35" t="inlineStr">
        <is>
          <t>MK-118</t>
        </is>
      </c>
      <c r="C131" s="35" t="inlineStr">
        <is>
          <t>Bilag 1.b</t>
        </is>
      </c>
      <c r="D131" s="35" t="inlineStr">
        <is>
          <t>Administratormodul</t>
        </is>
      </c>
      <c r="E131" s="35" t="inlineStr">
        <is>
          <t>Administration og brugergrænseflade</t>
        </is>
      </c>
      <c r="F131" s="35" t="inlineStr">
        <is>
          <t>ESDH-løsningen skal understøtte, at Administrator kan konfigurere hele ESDH-løsningens brugergrænseflade.</t>
        </is>
      </c>
      <c r="G131" s="35" t="inlineStr">
        <is>
          <t>Mindstekrav</t>
        </is>
      </c>
      <c r="H131" s="35">
        <f>IF(G131="Evalueringskrav","Answer",(IF(G131="Krav","Check",(IF(G131="Mindstekrav","Verify","")))))</f>
        <v/>
      </c>
      <c r="I131" s="35" t="inlineStr">
        <is>
          <t>Ja</t>
        </is>
      </c>
      <c r="J131" s="35" t="n"/>
      <c r="K131" s="47" t="n"/>
      <c r="L131" s="35" t="inlineStr">
        <is>
          <t>Eva</t>
        </is>
      </c>
      <c r="M131" s="35" t="n"/>
      <c r="N131" s="35" t="n"/>
      <c r="O131" s="35" t="inlineStr">
        <is>
          <t>3. Not able to meet</t>
        </is>
      </c>
      <c r="P131" s="35" t="inlineStr">
        <is>
          <t>ADN: Insane requirement without limits and for eternal enterpretation.. "Brugergrænseflade" is not defined in the deffinitions.</t>
        </is>
      </c>
      <c r="Q131" s="35" t="n"/>
      <c r="R131" s="35" t="n"/>
      <c r="S131" s="35" t="n"/>
      <c r="T131" s="35" t="n"/>
      <c r="U131" s="35" t="inlineStr">
        <is>
          <t>Not Started</t>
        </is>
      </c>
      <c r="V131" s="37">
        <f>IF(U131="Not Started",0%,IF(U131="Started",50%,IF(U131="Ready for review",70%,IF(U131="Reviewed - Content",80%,IF(U131="Reviewed - Format",90%,IF(U131="Done",100%,""))))))</f>
        <v/>
      </c>
      <c r="W131" t="inlineStr">
        <is>
          <t>2026-07-07</t>
        </is>
      </c>
      <c r="X131" t="inlineStr">
        <is>
          <t>Cursor / tender-response (MCP-enriched)</t>
        </is>
      </c>
      <c r="Y131" t="inlineStr">
        <is>
          <t>Not met</t>
        </is>
      </c>
      <c r="Z131" t="inlineStr">
        <is>
          <t>Lead</t>
        </is>
      </c>
      <c r="AA131" t="inlineStr">
        <is>
          <t>Verify: Administration og brugergrænseflade — gap ift. kravtekst; eskalér commitment eller afklaring.</t>
        </is>
      </c>
      <c r="AB131" t="inlineStr">
        <is>
          <t>ADN: Insane requirement without limits and for eternal enterpretation.. "Brugergrænseflade" is not defined in the deffinitions. | Red flag: ”hele brugergrænsefladen” kan tolkes skidt af en ondsindet modpart.</t>
        </is>
      </c>
      <c r="AC131" t="inlineStr">
        <is>
          <t>Ratatoskr: Welcome to 360° Administrator (admin-en) | Wiki: 5.0 Functional news and QnA</t>
        </is>
      </c>
      <c r="AD131" t="inlineStr">
        <is>
          <t>Eva: Commitment/no-bid beslutning; overvej Q&amp;A til ordregiver.</t>
        </is>
      </c>
      <c r="AE131" t="inlineStr"/>
      <c r="AF131" t="inlineStr">
        <is>
          <t>Draft</t>
        </is>
      </c>
      <c r="AG131" t="inlineStr">
        <is>
          <t>uim-esdh-full-2026-07-07</t>
        </is>
      </c>
    </row>
    <row r="132" ht="48" customHeight="1">
      <c r="A132" s="35" t="n">
        <v>131</v>
      </c>
      <c r="B132" s="35" t="inlineStr">
        <is>
          <t>MK-119</t>
        </is>
      </c>
      <c r="C132" s="35" t="inlineStr">
        <is>
          <t>Bilag 1.b</t>
        </is>
      </c>
      <c r="D132" s="35" t="inlineStr">
        <is>
          <t>Administratormodul</t>
        </is>
      </c>
      <c r="E132" s="35" t="inlineStr">
        <is>
          <t>Konfiguration af sags- og kontakttyper</t>
        </is>
      </c>
      <c r="F132" s="35" t="inlineStr">
        <is>
          <t>ESDH-løsningen skal understøtte, at Administrator kan konfigurere og vedligeholde alle sags- og kontakttyper.</t>
        </is>
      </c>
      <c r="G132" s="35" t="inlineStr">
        <is>
          <t>Mindstekrav</t>
        </is>
      </c>
      <c r="H132" s="35">
        <f>IF(G132="Evalueringskrav","Answer",(IF(G132="Krav","Check",(IF(G132="Mindstekrav","Verify","")))))</f>
        <v/>
      </c>
      <c r="I132" s="35" t="inlineStr">
        <is>
          <t>Ja</t>
        </is>
      </c>
      <c r="J132" s="35" t="n"/>
      <c r="K132" s="47" t="n"/>
      <c r="L132" s="35" t="inlineStr">
        <is>
          <t>Anton</t>
        </is>
      </c>
      <c r="M132" s="35" t="n"/>
      <c r="N132" s="35" t="n"/>
      <c r="O132" s="35" t="inlineStr">
        <is>
          <t>1. Fully met</t>
        </is>
      </c>
      <c r="P132" s="35" t="n"/>
      <c r="Q132" s="35" t="n"/>
      <c r="R132" s="35" t="n"/>
      <c r="S132" s="35" t="n"/>
      <c r="T132" s="35" t="n"/>
      <c r="U132" s="35" t="inlineStr">
        <is>
          <t>Not Started</t>
        </is>
      </c>
      <c r="V132" s="37">
        <f>IF(U132="Not Started",0%,IF(U132="Started",50%,IF(U132="Ready for review",70%,IF(U132="Reviewed - Content",80%,IF(U132="Reviewed - Format",90%,IF(U132="Done",100%,""))))))</f>
        <v/>
      </c>
      <c r="W132" t="inlineStr">
        <is>
          <t>2026-07-07</t>
        </is>
      </c>
      <c r="X132" t="inlineStr">
        <is>
          <t>Cursor / tender-response (batch)</t>
        </is>
      </c>
      <c r="Y132" t="inlineStr">
        <is>
          <t>Met</t>
        </is>
      </c>
      <c r="Z132" t="inlineStr">
        <is>
          <t>Verified</t>
        </is>
      </c>
      <c r="AA132" t="inlineStr">
        <is>
          <t>Verify: Konfiguration af sags- og kontakttyper — vurderet opfyldt (tool: 1. Fully met).</t>
        </is>
      </c>
      <c r="AB132" t="inlineStr"/>
      <c r="AC132" t="inlineStr">
        <is>
          <t>docs/tender-reference/extracted/Nationalbanken/Bilag 3.i Leverandørens Løsningsbeskrivelse.txt; docs/tender-reference/extracted/KK Tender tool.txt; docs/tender-reference/extracted/KUM-SLKS/Bilag 1 - Tidsplan.txt</t>
        </is>
      </c>
      <c r="AD132" t="inlineStr">
        <is>
          <t>Anton: Confirm verify-tekst; opdatér review status efter tjek.</t>
        </is>
      </c>
      <c r="AE132" t="inlineStr"/>
      <c r="AF132" t="inlineStr">
        <is>
          <t>Draft</t>
        </is>
      </c>
      <c r="AG132" t="inlineStr">
        <is>
          <t>uim-esdh-full-2026-07-07</t>
        </is>
      </c>
    </row>
    <row r="133" ht="48" customHeight="1">
      <c r="A133" s="35" t="n">
        <v>132</v>
      </c>
      <c r="B133" s="35" t="inlineStr">
        <is>
          <t>MK-120</t>
        </is>
      </c>
      <c r="C133" s="35" t="inlineStr">
        <is>
          <t>Bilag 1.b</t>
        </is>
      </c>
      <c r="D133" s="35" t="inlineStr">
        <is>
          <t>Administratormodul</t>
        </is>
      </c>
      <c r="E133" s="35" t="inlineStr">
        <is>
          <t>Konfiguration af sagsnummerformat</t>
        </is>
      </c>
      <c r="F133" s="35" t="inlineStr">
        <is>
          <t>ESDH-løsningen skal understøtte, at Administrator kan konfigurere sagsnummerformatet.</t>
        </is>
      </c>
      <c r="G133" s="35" t="inlineStr">
        <is>
          <t>Mindstekrav</t>
        </is>
      </c>
      <c r="H133" s="35">
        <f>IF(G133="Evalueringskrav","Answer",(IF(G133="Krav","Check",(IF(G133="Mindstekrav","Verify","")))))</f>
        <v/>
      </c>
      <c r="I133" s="35" t="inlineStr">
        <is>
          <t>Ja</t>
        </is>
      </c>
      <c r="J133" s="35" t="n"/>
      <c r="K133" s="47" t="n"/>
      <c r="L133" s="35" t="inlineStr">
        <is>
          <t>Anton</t>
        </is>
      </c>
      <c r="M133" s="35" t="n"/>
      <c r="N133" s="35" t="n"/>
      <c r="O133" s="35" t="inlineStr">
        <is>
          <t>1. Fully met</t>
        </is>
      </c>
      <c r="P133" s="35" t="n"/>
      <c r="Q133" s="35" t="n"/>
      <c r="R133" s="35" t="n"/>
      <c r="S133" s="35" t="n"/>
      <c r="T133" s="35" t="n"/>
      <c r="U133" s="35" t="inlineStr">
        <is>
          <t>Not Started</t>
        </is>
      </c>
      <c r="V133" s="37">
        <f>IF(U133="Not Started",0%,IF(U133="Started",50%,IF(U133="Ready for review",70%,IF(U133="Reviewed - Content",80%,IF(U133="Reviewed - Format",90%,IF(U133="Done",100%,""))))))</f>
        <v/>
      </c>
      <c r="W133" t="inlineStr">
        <is>
          <t>2026-07-07</t>
        </is>
      </c>
      <c r="X133" t="inlineStr">
        <is>
          <t>Cursor / tender-response (batch)</t>
        </is>
      </c>
      <c r="Y133" t="inlineStr">
        <is>
          <t>Met</t>
        </is>
      </c>
      <c r="Z133" t="inlineStr">
        <is>
          <t>Verified</t>
        </is>
      </c>
      <c r="AA133" t="inlineStr">
        <is>
          <t>Verify: Konfiguration af sagsnummerformat — vurderet opfyldt (tool: 1. Fully met).</t>
        </is>
      </c>
      <c r="AB133" t="inlineStr"/>
      <c r="AC133" t="inlineStr">
        <is>
          <t>docs/tender-reference/extracted/KK Tender tool.txt; docs/tender-reference/extracted/KUM-SLKS/Bilag 1 - Tidsplan.txt; docs/tender-reference/extracted/KUM-SLKS/Bilag 3 - 11.8 - Kravspecifikation - Processtyring (1).txt</t>
        </is>
      </c>
      <c r="AD133" t="inlineStr">
        <is>
          <t>Anton: Confirm verify-tekst; opdatér review status efter tjek.</t>
        </is>
      </c>
      <c r="AE133" t="inlineStr"/>
      <c r="AF133" t="inlineStr">
        <is>
          <t>Draft</t>
        </is>
      </c>
      <c r="AG133" t="inlineStr">
        <is>
          <t>uim-esdh-full-2026-07-07</t>
        </is>
      </c>
    </row>
    <row r="134" ht="48" customHeight="1">
      <c r="A134" s="35" t="n">
        <v>133</v>
      </c>
      <c r="B134" s="35" t="inlineStr">
        <is>
          <t>MK-121</t>
        </is>
      </c>
      <c r="C134" s="35" t="inlineStr">
        <is>
          <t>Bilag 1.b</t>
        </is>
      </c>
      <c r="D134" s="35" t="inlineStr">
        <is>
          <t>Administratormodul</t>
        </is>
      </c>
      <c r="E134" s="35" t="inlineStr">
        <is>
          <t>Oprettelse af egne sags- og kontakttyper</t>
        </is>
      </c>
      <c r="F134" s="35" t="inlineStr">
        <is>
          <t>ESDH-løsningen skal understøtte, at Administrator kan oprette, konfigurere og vedligeholde egne sags- og kontakttyper.</t>
        </is>
      </c>
      <c r="G134" s="35" t="inlineStr">
        <is>
          <t>Mindstekrav</t>
        </is>
      </c>
      <c r="H134" s="35">
        <f>IF(G134="Evalueringskrav","Answer",(IF(G134="Krav","Check",(IF(G134="Mindstekrav","Verify","")))))</f>
        <v/>
      </c>
      <c r="I134" s="35" t="inlineStr">
        <is>
          <t>Ja</t>
        </is>
      </c>
      <c r="J134" s="35" t="n"/>
      <c r="K134" s="47" t="n"/>
      <c r="L134" s="35" t="inlineStr">
        <is>
          <t>Anton</t>
        </is>
      </c>
      <c r="M134" s="35" t="n"/>
      <c r="N134" s="35" t="n"/>
      <c r="O134" s="35" t="inlineStr">
        <is>
          <t>1. Fully met</t>
        </is>
      </c>
      <c r="P134" s="35" t="inlineStr">
        <is>
          <t>Adn: We got commitment for FFUI contacts in KUM tender</t>
        </is>
      </c>
      <c r="Q134" s="35" t="n"/>
      <c r="R134" s="35" t="n"/>
      <c r="S134" s="35" t="n"/>
      <c r="T134" s="35" t="n"/>
      <c r="U134" s="35" t="inlineStr">
        <is>
          <t>Not Started</t>
        </is>
      </c>
      <c r="V134" s="37">
        <f>IF(U134="Not Started",0%,IF(U134="Started",50%,IF(U134="Ready for review",70%,IF(U134="Reviewed - Content",80%,IF(U134="Reviewed - Format",90%,IF(U134="Done",100%,""))))))</f>
        <v/>
      </c>
      <c r="W134" t="inlineStr">
        <is>
          <t>2026-07-07</t>
        </is>
      </c>
      <c r="X134" t="inlineStr">
        <is>
          <t>Cursor / tender-response (batch)</t>
        </is>
      </c>
      <c r="Y134" t="inlineStr">
        <is>
          <t>Met</t>
        </is>
      </c>
      <c r="Z134" t="inlineStr">
        <is>
          <t>Verified</t>
        </is>
      </c>
      <c r="AA134" t="inlineStr">
        <is>
          <t>Verify: Oprettelse af egne sags- og kontakttyper — vurderet opfyldt (tool: 1. Fully met).</t>
        </is>
      </c>
      <c r="AB134" t="inlineStr">
        <is>
          <t>Adn: We got commitment for FFUI contacts in KUM tender</t>
        </is>
      </c>
      <c r="AC134" t="inlineStr">
        <is>
          <t>docs/tender-reference/extracted/Nationalbanken/Bilag 3.i Leverandørens Løsningsbeskrivelse.txt; docs/tender-reference/extracted/KK Tender tool.txt; docs/tender-reference/extracted/KUM-SLKS/Bilag 3 - Kravspecifikation.txt</t>
        </is>
      </c>
      <c r="AD134" t="inlineStr">
        <is>
          <t>Anton: Confirm verify-tekst; opdatér review status efter tjek.</t>
        </is>
      </c>
      <c r="AE134" t="inlineStr"/>
      <c r="AF134" t="inlineStr">
        <is>
          <t>Draft</t>
        </is>
      </c>
      <c r="AG134" t="inlineStr">
        <is>
          <t>uim-esdh-full-2026-07-07</t>
        </is>
      </c>
    </row>
    <row r="135" ht="32" customHeight="1">
      <c r="A135" s="35" t="n">
        <v>134</v>
      </c>
      <c r="B135" s="35" t="inlineStr">
        <is>
          <t>MK-122</t>
        </is>
      </c>
      <c r="C135" s="35" t="inlineStr">
        <is>
          <t>Bilag 1.b</t>
        </is>
      </c>
      <c r="D135" s="35" t="inlineStr">
        <is>
          <t>Administratormodul</t>
        </is>
      </c>
      <c r="E135" s="35" t="inlineStr">
        <is>
          <t>Fristtyper</t>
        </is>
      </c>
      <c r="F135" s="35" t="inlineStr">
        <is>
          <t>ESDH-løsningen skal understøtte, at Administrator kan oprette og vedligeholde fristtyper på sager.</t>
        </is>
      </c>
      <c r="G135" s="35" t="inlineStr">
        <is>
          <t>Mindstekrav</t>
        </is>
      </c>
      <c r="H135" s="35">
        <f>IF(G135="Evalueringskrav","Answer",(IF(G135="Krav","Check",(IF(G135="Mindstekrav","Verify","")))))</f>
        <v/>
      </c>
      <c r="I135" s="35" t="inlineStr">
        <is>
          <t>Ja</t>
        </is>
      </c>
      <c r="J135" s="35" t="n"/>
      <c r="K135" s="47" t="n"/>
      <c r="L135" s="35" t="inlineStr">
        <is>
          <t>Anton</t>
        </is>
      </c>
      <c r="M135" s="35" t="n"/>
      <c r="N135" s="35" t="n"/>
      <c r="O135" s="35" t="inlineStr">
        <is>
          <t>1. Fully met</t>
        </is>
      </c>
      <c r="P135" s="35" t="inlineStr">
        <is>
          <t xml:space="preserve">ADN: Configure custom field og "frist" called fristtype </t>
        </is>
      </c>
      <c r="Q135" s="35" t="n"/>
      <c r="R135" s="35" t="n"/>
      <c r="S135" s="35" t="n"/>
      <c r="T135" s="35" t="n"/>
      <c r="U135" s="35" t="inlineStr">
        <is>
          <t>Not Started</t>
        </is>
      </c>
      <c r="V135" s="37">
        <f>IF(U135="Not Started",0%,IF(U135="Started",50%,IF(U135="Ready for review",70%,IF(U135="Reviewed - Content",80%,IF(U135="Reviewed - Format",90%,IF(U135="Done",100%,""))))))</f>
        <v/>
      </c>
      <c r="W135" t="inlineStr">
        <is>
          <t>2026-07-07</t>
        </is>
      </c>
      <c r="X135" t="inlineStr">
        <is>
          <t>Cursor / tender-response (batch)</t>
        </is>
      </c>
      <c r="Y135" t="inlineStr">
        <is>
          <t>Met</t>
        </is>
      </c>
      <c r="Z135" t="inlineStr">
        <is>
          <t>Verified</t>
        </is>
      </c>
      <c r="AA135" t="inlineStr">
        <is>
          <t>Verify: Fristtyper — vurderet opfyldt (tool: 1. Fully met).</t>
        </is>
      </c>
      <c r="AB135" t="inlineStr">
        <is>
          <t>ADN: Configure custom field og "frist" called fristtype</t>
        </is>
      </c>
      <c r="AC135" t="inlineStr">
        <is>
          <t>docs/tender-reference/extracted/KK Tender tool.txt; docs/tender-reference/extracted/KUM-SLKS/Bilag 3 - 11.8 - Kravspecifikation - Processtyring (1).txt; docs/tender-reference/extracted/KUM-SLKS/Bilag 3 - Kravspecifikation.txt</t>
        </is>
      </c>
      <c r="AD135" t="inlineStr">
        <is>
          <t>Anton: Confirm verify-tekst; opdatér review status efter tjek.</t>
        </is>
      </c>
      <c r="AE135" t="inlineStr"/>
      <c r="AF135" t="inlineStr">
        <is>
          <t>Draft</t>
        </is>
      </c>
      <c r="AG135" t="inlineStr">
        <is>
          <t>uim-esdh-full-2026-07-07</t>
        </is>
      </c>
    </row>
    <row r="136" ht="32" customHeight="1">
      <c r="A136" s="35" t="n">
        <v>135</v>
      </c>
      <c r="B136" s="35" t="inlineStr">
        <is>
          <t>MK-123</t>
        </is>
      </c>
      <c r="C136" s="35" t="inlineStr">
        <is>
          <t>Bilag 1.b</t>
        </is>
      </c>
      <c r="D136" s="35" t="inlineStr">
        <is>
          <t>Administratormodul</t>
        </is>
      </c>
      <c r="E136" s="35" t="inlineStr">
        <is>
          <t>Rapport over Brugere</t>
        </is>
      </c>
      <c r="F136" s="35" t="inlineStr">
        <is>
          <t>ESDH-løsningen skal understøtte, at Administrator kan generere rapporter over Brugeres adgangsrettigheder.</t>
        </is>
      </c>
      <c r="G136" s="35" t="inlineStr">
        <is>
          <t>Mindstekrav</t>
        </is>
      </c>
      <c r="H136" s="35">
        <f>IF(G136="Evalueringskrav","Answer",(IF(G136="Krav","Check",(IF(G136="Mindstekrav","Verify","")))))</f>
        <v/>
      </c>
      <c r="I136" s="35" t="inlineStr">
        <is>
          <t>Ja</t>
        </is>
      </c>
      <c r="J136" s="35" t="n"/>
      <c r="K136" s="47" t="n"/>
      <c r="L136" s="35" t="inlineStr">
        <is>
          <t>Anton</t>
        </is>
      </c>
      <c r="M136" s="35" t="n"/>
      <c r="N136" s="35" t="n"/>
      <c r="O136" s="35" t="inlineStr">
        <is>
          <t>1. Fully met</t>
        </is>
      </c>
      <c r="P136" s="35" t="n"/>
      <c r="Q136" s="35" t="n"/>
      <c r="R136" s="35" t="n"/>
      <c r="S136" s="35" t="n"/>
      <c r="T136" s="35" t="n"/>
      <c r="U136" s="35" t="inlineStr">
        <is>
          <t>Not Started</t>
        </is>
      </c>
      <c r="V136" s="37">
        <f>IF(U136="Not Started",0%,IF(U136="Started",50%,IF(U136="Ready for review",70%,IF(U136="Reviewed - Content",80%,IF(U136="Reviewed - Format",90%,IF(U136="Done",100%,""))))))</f>
        <v/>
      </c>
      <c r="W136" t="inlineStr">
        <is>
          <t>2026-07-07</t>
        </is>
      </c>
      <c r="X136" t="inlineStr">
        <is>
          <t>Cursor / tender-response (batch)</t>
        </is>
      </c>
      <c r="Y136" t="inlineStr">
        <is>
          <t>Met</t>
        </is>
      </c>
      <c r="Z136" t="inlineStr">
        <is>
          <t>Verified</t>
        </is>
      </c>
      <c r="AA136" t="inlineStr">
        <is>
          <t>Verify: Rapport over Brugere — vurderet opfyldt (tool: 1. Fully met).</t>
        </is>
      </c>
      <c r="AB136" t="inlineStr"/>
      <c r="AC136" t="inlineStr">
        <is>
          <t>docs/tender-reference/extracted/Nationalbanken/Bilag 3.i Leverandørens Løsningsbeskrivelse.txt; docs/tender-reference/extracted/KK Tender tool.txt; docs/tender-reference/extracted/KUM-SLKS/Bilag 3 - Kravspecifikation.txt</t>
        </is>
      </c>
      <c r="AD136" t="inlineStr">
        <is>
          <t>Anton: Confirm verify-tekst; opdatér review status efter tjek.</t>
        </is>
      </c>
      <c r="AE136" t="inlineStr"/>
      <c r="AF136" t="inlineStr">
        <is>
          <t>Draft</t>
        </is>
      </c>
      <c r="AG136" t="inlineStr">
        <is>
          <t>uim-esdh-full-2026-07-07</t>
        </is>
      </c>
    </row>
    <row r="137" ht="32" customHeight="1">
      <c r="A137" s="35" t="n">
        <v>136</v>
      </c>
      <c r="B137" s="35" t="inlineStr">
        <is>
          <t>MK-124</t>
        </is>
      </c>
      <c r="C137" s="35" t="inlineStr">
        <is>
          <t>Bilag 1.b</t>
        </is>
      </c>
      <c r="D137" s="35" t="inlineStr">
        <is>
          <t>Administratormodul</t>
        </is>
      </c>
      <c r="E137" s="35" t="inlineStr">
        <is>
          <t>Unikke ID</t>
        </is>
      </c>
      <c r="F137" s="35" t="inlineStr">
        <is>
          <t>ESDH-løsningen skal understøtte, at Administrator kan definere unikke ID'er til Kundeoprettede felter, værdilister, tabeller og Entiteter.</t>
        </is>
      </c>
      <c r="G137" s="35" t="inlineStr">
        <is>
          <t>Mindstekrav</t>
        </is>
      </c>
      <c r="H137" s="35">
        <f>IF(G137="Evalueringskrav","Answer",(IF(G137="Krav","Check",(IF(G137="Mindstekrav","Verify","")))))</f>
        <v/>
      </c>
      <c r="I137" s="35" t="inlineStr">
        <is>
          <t>Ja</t>
        </is>
      </c>
      <c r="J137" s="35" t="n"/>
      <c r="K137" s="47" t="n"/>
      <c r="L137" s="35" t="inlineStr">
        <is>
          <t>Torben</t>
        </is>
      </c>
      <c r="M137" s="35" t="n"/>
      <c r="N137" s="35" t="n"/>
      <c r="O137" s="35" t="n"/>
      <c r="P137" s="35" t="inlineStr">
        <is>
          <t>ADN: Could a unique ID be the title?</t>
        </is>
      </c>
      <c r="Q137" s="35" t="n"/>
      <c r="R137" s="35" t="n"/>
      <c r="S137" s="35" t="n"/>
      <c r="T137" s="35" t="n"/>
      <c r="U137" s="35" t="inlineStr">
        <is>
          <t>Not Started</t>
        </is>
      </c>
      <c r="V137" s="37">
        <f>IF(U137="Not Started",0%,IF(U137="Started",50%,IF(U137="Ready for review",70%,IF(U137="Reviewed - Content",80%,IF(U137="Reviewed - Format",90%,IF(U137="Done",100%,""))))))</f>
        <v/>
      </c>
      <c r="W137" t="inlineStr">
        <is>
          <t>2026-07-07</t>
        </is>
      </c>
      <c r="X137" t="inlineStr">
        <is>
          <t>Cursor / tender-response (batch)</t>
        </is>
      </c>
      <c r="Y137" t="inlineStr">
        <is>
          <t>Clarify</t>
        </is>
      </c>
      <c r="Z137" t="inlineStr">
        <is>
          <t>Verified</t>
        </is>
      </c>
      <c r="AA137" t="inlineStr">
        <is>
          <t>Verify: Unikke ID — kræver produkt-/team-afklaring (ingen tool-rating).</t>
        </is>
      </c>
      <c r="AB137" t="inlineStr">
        <is>
          <t>ADN: Could a unique ID be the title?</t>
        </is>
      </c>
      <c r="AC137" t="inlineStr">
        <is>
          <t>docs/tender-reference/extracted/KK Tender tool.txt; docs/tender-reference/extracted/Nationalbanken/Bilag 3.i Leverandørens Løsningsbeskrivelse.txt; docs/product/RFP_Leverandørens_svar_utdrag.txt</t>
        </is>
      </c>
      <c r="AD137" t="inlineStr">
        <is>
          <t>Torben: Udfyld tool-rating (O) og evidens; gennemgå AI-kladde.</t>
        </is>
      </c>
      <c r="AE137" t="inlineStr"/>
      <c r="AF137" t="inlineStr">
        <is>
          <t>Draft</t>
        </is>
      </c>
      <c r="AG137" t="inlineStr">
        <is>
          <t>uim-esdh-full-2026-07-07</t>
        </is>
      </c>
    </row>
    <row r="138" ht="64" customHeight="1">
      <c r="A138" s="35" t="n">
        <v>137</v>
      </c>
      <c r="B138" s="35" t="inlineStr">
        <is>
          <t>K-9</t>
        </is>
      </c>
      <c r="C138" s="35" t="inlineStr">
        <is>
          <t>Bilag 1.b</t>
        </is>
      </c>
      <c r="D138" s="35" t="inlineStr">
        <is>
          <t>Administratormodul</t>
        </is>
      </c>
      <c r="E138" s="35" t="inlineStr">
        <is>
          <t>Navngivning</t>
        </is>
      </c>
      <c r="F138" s="35" t="inlineStr">
        <is>
          <t>ESDH-løsningen skal understøtte, at Kunden ved oprettelse af egne Kundeoprettede felter, værdilister og tabeller kan angive ID og navngivning i ét og samme oprettelsesbillede.</t>
        </is>
      </c>
      <c r="G138" s="35" t="inlineStr">
        <is>
          <t>Krav</t>
        </is>
      </c>
      <c r="H138" s="35">
        <f>IF(G138="Evalueringskrav","Answer",(IF(G138="Krav","Check",(IF(G138="Mindstekrav","Verify","")))))</f>
        <v/>
      </c>
      <c r="I138" s="35" t="inlineStr">
        <is>
          <t>Ja</t>
        </is>
      </c>
      <c r="J138" s="35" t="n"/>
      <c r="K138" s="47" t="n"/>
      <c r="L138" s="35" t="inlineStr">
        <is>
          <t>Torben</t>
        </is>
      </c>
      <c r="M138" s="35" t="n"/>
      <c r="N138" s="35" t="n"/>
      <c r="O138" s="35" t="n"/>
      <c r="P138" s="35" t="inlineStr">
        <is>
          <t>ADN: Could a unique ID be the title?
TAO:Jeg læser blot at man skal kunne angive id og værdi i samme billede, ikke samme felt. Så ok for kodetabeller osv</t>
        </is>
      </c>
      <c r="Q138" s="35" t="n"/>
      <c r="R138" s="35" t="n"/>
      <c r="S138" s="35" t="n"/>
      <c r="T138" s="35" t="n"/>
      <c r="U138" s="35" t="inlineStr">
        <is>
          <t>Not Started</t>
        </is>
      </c>
      <c r="V138" s="37">
        <f>IF(U138="Not Started",0%,IF(U138="Started",50%,IF(U138="Ready for review",70%,IF(U138="Reviewed - Content",80%,IF(U138="Reviewed - Format",90%,IF(U138="Done",100%,""))))))</f>
        <v/>
      </c>
      <c r="W138" t="inlineStr">
        <is>
          <t>2026-07-07</t>
        </is>
      </c>
      <c r="X138" t="inlineStr">
        <is>
          <t>Cursor / tender-response (batch)</t>
        </is>
      </c>
      <c r="Y138" t="inlineStr">
        <is>
          <t>Clarify</t>
        </is>
      </c>
      <c r="Z138" t="inlineStr">
        <is>
          <t>Verified</t>
        </is>
      </c>
      <c r="AA138" t="inlineStr">
        <is>
          <t>Check: Navngivning — kræver produkt-/team-afklaring (ingen tool-rating).</t>
        </is>
      </c>
      <c r="AB138" t="inlineStr">
        <is>
          <t>ADN: Could a unique ID be the title?
TAO:Jeg læser blot at man skal kunne angive id og værdi i samme billede, ikke samme felt. Så ok for kodetabeller osv</t>
        </is>
      </c>
      <c r="AC138" t="inlineStr">
        <is>
          <t>docs/tender-reference/extracted/KK Tender tool.txt; docs/tender-reference/extracted/KUM-SLKS/Bilag 3 - Kravspecifikation.txt; docs/product/RFP_Leverandørens_svar_utdrag.txt</t>
        </is>
      </c>
      <c r="AD138" t="inlineStr">
        <is>
          <t>Torben: Udfyld tool-rating (O) og evidens; gennemgå AI-kladde.</t>
        </is>
      </c>
      <c r="AE138" t="inlineStr"/>
      <c r="AF138" t="inlineStr">
        <is>
          <t>Draft</t>
        </is>
      </c>
      <c r="AG138" t="inlineStr">
        <is>
          <t>uim-esdh-full-2026-07-07</t>
        </is>
      </c>
    </row>
    <row r="139" ht="64" customHeight="1">
      <c r="A139" s="35" t="n">
        <v>138</v>
      </c>
      <c r="B139" s="35" t="inlineStr">
        <is>
          <t>K-10</t>
        </is>
      </c>
      <c r="C139" s="35" t="inlineStr">
        <is>
          <t>Bilag 1.b</t>
        </is>
      </c>
      <c r="D139" s="35" t="inlineStr">
        <is>
          <t>Administratormodul</t>
        </is>
      </c>
      <c r="E139" s="35" t="inlineStr">
        <is>
          <t>Journalplan</t>
        </is>
      </c>
      <c r="F139" s="35" t="inlineStr">
        <is>
          <t>ESDH-løsningen skal understøtte, at en Administrator kan tilknytte fast metadata til journalplanen i form af adgangsgrupper og adgangsbegrænsning, når der vælges en foruddefineret journalplansværdi.</t>
        </is>
      </c>
      <c r="G139" s="35" t="inlineStr">
        <is>
          <t>Krav</t>
        </is>
      </c>
      <c r="H139" s="35">
        <f>IF(G139="Evalueringskrav","Answer",(IF(G139="Krav","Check",(IF(G139="Mindstekrav","Verify","")))))</f>
        <v/>
      </c>
      <c r="I139" s="35" t="inlineStr">
        <is>
          <t>Ja</t>
        </is>
      </c>
      <c r="J139" s="35" t="n"/>
      <c r="K139" s="47" t="n"/>
      <c r="L139" s="35" t="inlineStr">
        <is>
          <t>Anton</t>
        </is>
      </c>
      <c r="M139" s="35" t="n"/>
      <c r="N139" s="35" t="n"/>
      <c r="O139" s="35" t="inlineStr">
        <is>
          <t>3. Not able to meet</t>
        </is>
      </c>
      <c r="P139" s="35" t="inlineStr">
        <is>
          <t>ADN: with FFUI on cases - i can based on the archive (part of the journalplan) set an accessgroup and thereby control access. Is that enough to say yes?</t>
        </is>
      </c>
      <c r="Q139" s="35" t="n"/>
      <c r="R139" s="35" t="n"/>
      <c r="S139" s="35" t="n"/>
      <c r="T139" s="35" t="n"/>
      <c r="U139" s="35" t="inlineStr">
        <is>
          <t>Not Started</t>
        </is>
      </c>
      <c r="V139" s="37">
        <f>IF(U139="Not Started",0%,IF(U139="Started",50%,IF(U139="Ready for review",70%,IF(U139="Reviewed - Content",80%,IF(U139="Reviewed - Format",90%,IF(U139="Done",100%,""))))))</f>
        <v/>
      </c>
      <c r="W139" t="inlineStr">
        <is>
          <t>2026-07-07</t>
        </is>
      </c>
      <c r="X139" t="inlineStr">
        <is>
          <t>Cursor / tender-response (MCP-enriched)</t>
        </is>
      </c>
      <c r="Y139" t="inlineStr">
        <is>
          <t>Not met</t>
        </is>
      </c>
      <c r="Z139" t="inlineStr">
        <is>
          <t>Lead</t>
        </is>
      </c>
      <c r="AA139" t="inlineStr">
        <is>
          <t>Check: Journalplan — gap ift. kravtekst; eskalér commitment eller afklaring.</t>
        </is>
      </c>
      <c r="AB139" t="inlineStr">
        <is>
          <t>ADN: with FFUI on cases - i can based on the archive (part of the journalplan) set an accessgroup and thereby control access. Is that enough to say yes? | Red flag: Kan vi ikke</t>
        </is>
      </c>
      <c r="AC139" t="inlineStr">
        <is>
          <t>Wiki: 360° settings - internal reference; 6.0 release information</t>
        </is>
      </c>
      <c r="AD139" t="inlineStr">
        <is>
          <t>Anton: Commitment/no-bid beslutning; overvej Q&amp;A til ordregiver.</t>
        </is>
      </c>
      <c r="AE139" t="inlineStr"/>
      <c r="AF139" t="inlineStr">
        <is>
          <t>Draft</t>
        </is>
      </c>
      <c r="AG139" t="inlineStr">
        <is>
          <t>uim-esdh-full-2026-07-07</t>
        </is>
      </c>
    </row>
    <row r="140" ht="80" customHeight="1">
      <c r="A140" s="35" t="n">
        <v>139</v>
      </c>
      <c r="B140" s="35" t="inlineStr">
        <is>
          <t>K-11</t>
        </is>
      </c>
      <c r="C140" s="35" t="inlineStr">
        <is>
          <t>Bilag 1.b</t>
        </is>
      </c>
      <c r="D140" s="35" t="inlineStr">
        <is>
          <t>Administratormodul</t>
        </is>
      </c>
      <c r="E140" s="35" t="inlineStr">
        <is>
          <t>Import og eksport af Konfiguration - brugergrænsefladen</t>
        </is>
      </c>
      <c r="F140" s="35" t="inlineStr">
        <is>
          <t>ESDH-løsningen skal understøtte, at Kundens Konfiguration af brugergrænsefladen kan eksporteres og importeres på tværs af Kundens it-miljøer (f.eks. fra et test- eller udviklingsmiljø til pre-produktions- og produktionsmiljøet).</t>
        </is>
      </c>
      <c r="G140" s="35" t="inlineStr">
        <is>
          <t>Krav</t>
        </is>
      </c>
      <c r="H140" s="35">
        <f>IF(G140="Evalueringskrav","Answer",(IF(G140="Krav","Check",(IF(G140="Mindstekrav","Verify","")))))</f>
        <v/>
      </c>
      <c r="I140" s="35" t="inlineStr">
        <is>
          <t>Ja</t>
        </is>
      </c>
      <c r="J140" s="35" t="n"/>
      <c r="K140" s="47" t="n"/>
      <c r="L140" s="35" t="inlineStr">
        <is>
          <t>Anton</t>
        </is>
      </c>
      <c r="M140" s="35" t="n"/>
      <c r="N140" s="35" t="n"/>
      <c r="O140" s="35" t="inlineStr">
        <is>
          <t>3. Not able to meet</t>
        </is>
      </c>
      <c r="P140" s="35" t="inlineStr">
        <is>
          <t>ADN: We dont have that. "Import/Eksort UI"</t>
        </is>
      </c>
      <c r="Q140" s="35" t="n"/>
      <c r="R140" s="35" t="n"/>
      <c r="S140" s="35" t="n"/>
      <c r="T140" s="35" t="n"/>
      <c r="U140" s="35" t="inlineStr">
        <is>
          <t>Not Started</t>
        </is>
      </c>
      <c r="V140" s="37">
        <f>IF(U140="Not Started",0%,IF(U140="Started",50%,IF(U140="Ready for review",70%,IF(U140="Reviewed - Content",80%,IF(U140="Reviewed - Format",90%,IF(U140="Done",100%,""))))))</f>
        <v/>
      </c>
      <c r="W140" t="inlineStr">
        <is>
          <t>2026-07-07</t>
        </is>
      </c>
      <c r="X140" t="inlineStr">
        <is>
          <t>Cursor / tender-response (MCP-enriched)</t>
        </is>
      </c>
      <c r="Y140" t="inlineStr">
        <is>
          <t>Not met</t>
        </is>
      </c>
      <c r="Z140" t="inlineStr">
        <is>
          <t>Lead</t>
        </is>
      </c>
      <c r="AA140" t="inlineStr">
        <is>
          <t>Check: Import og eksport af Konfiguration - brugergrænsefladen — gap ift. kravtekst; eskalér commitment eller afklaring.</t>
        </is>
      </c>
      <c r="AB140" t="inlineStr">
        <is>
          <t>ADN: We dont have that. "Import/Eksort UI" | Red flag: Kan vi ikke</t>
        </is>
      </c>
      <c r="AC140" t="inlineStr">
        <is>
          <t>Wiki: 360° AutoSaver - Technical documentation; Feature Toggles 2025-2026</t>
        </is>
      </c>
      <c r="AD140" t="inlineStr">
        <is>
          <t>Anton: Commitment/no-bid beslutning; overvej Q&amp;A til ordregiver.</t>
        </is>
      </c>
      <c r="AE140" t="inlineStr"/>
      <c r="AF140" t="inlineStr">
        <is>
          <t>Draft</t>
        </is>
      </c>
      <c r="AG140" t="inlineStr">
        <is>
          <t>uim-esdh-full-2026-07-07</t>
        </is>
      </c>
    </row>
    <row r="141" ht="80" customHeight="1">
      <c r="A141" s="35" t="n">
        <v>140</v>
      </c>
      <c r="B141" s="35" t="inlineStr">
        <is>
          <t>K-12</t>
        </is>
      </c>
      <c r="C141" s="35" t="inlineStr">
        <is>
          <t>Bilag 1.b</t>
        </is>
      </c>
      <c r="D141" s="35" t="inlineStr">
        <is>
          <t>Administratormodul</t>
        </is>
      </c>
      <c r="E141" s="35" t="inlineStr">
        <is>
          <t>Import og eksport af Konfiguration - Administratormodul</t>
        </is>
      </c>
      <c r="F141" s="35" t="inlineStr">
        <is>
          <t>ESDH-løsningen skal understøtte, at Kundens Konfiguration fra administratormodulet kan eksporteres og importeres på tværs af Kundens it-miljøer (f.eks. fra et test- eller udviklingsmiljø til pre-produktions- og produktionsmiljøet).</t>
        </is>
      </c>
      <c r="G141" s="35" t="inlineStr">
        <is>
          <t>Krav</t>
        </is>
      </c>
      <c r="H141" s="35">
        <f>IF(G141="Evalueringskrav","Answer",(IF(G141="Krav","Check",(IF(G141="Mindstekrav","Verify","")))))</f>
        <v/>
      </c>
      <c r="I141" s="35" t="inlineStr">
        <is>
          <t>Ja</t>
        </is>
      </c>
      <c r="J141" s="35" t="n"/>
      <c r="K141" s="47" t="n"/>
      <c r="L141" s="35" t="inlineStr">
        <is>
          <t>Anton</t>
        </is>
      </c>
      <c r="M141" s="35" t="n"/>
      <c r="N141" s="35" t="n"/>
      <c r="O141" s="35" t="inlineStr">
        <is>
          <t>3. Not able to meet</t>
        </is>
      </c>
      <c r="P141" s="35" t="inlineStr">
        <is>
          <t>ADN: We dont have that "Import/Export webadmin"</t>
        </is>
      </c>
      <c r="Q141" s="35" t="n"/>
      <c r="R141" s="35" t="n"/>
      <c r="S141" s="35" t="n"/>
      <c r="T141" s="35" t="n"/>
      <c r="U141" s="35" t="inlineStr">
        <is>
          <t>Not Started</t>
        </is>
      </c>
      <c r="V141" s="37">
        <f>IF(U141="Not Started",0%,IF(U141="Started",50%,IF(U141="Ready for review",70%,IF(U141="Reviewed - Content",80%,IF(U141="Reviewed - Format",90%,IF(U141="Done",100%,""))))))</f>
        <v/>
      </c>
      <c r="W141" t="inlineStr">
        <is>
          <t>2026-07-07</t>
        </is>
      </c>
      <c r="X141" t="inlineStr">
        <is>
          <t>Cursor / tender-response (MCP-enriched)</t>
        </is>
      </c>
      <c r="Y141" t="inlineStr">
        <is>
          <t>Not met</t>
        </is>
      </c>
      <c r="Z141" t="inlineStr">
        <is>
          <t>Lead</t>
        </is>
      </c>
      <c r="AA141" t="inlineStr">
        <is>
          <t>Check: Import og eksport af Konfiguration - Administratormodul — gap ift. kravtekst; eskalér commitment eller afklaring.</t>
        </is>
      </c>
      <c r="AB141" t="inlineStr">
        <is>
          <t>ADN: We dont have that "Import/Export webadmin" | Red flag: Kan vi ikke</t>
        </is>
      </c>
      <c r="AC141" t="inlineStr">
        <is>
          <t>Wiki: EArchive 360°; Feature Toggles 2025-2026</t>
        </is>
      </c>
      <c r="AD141" t="inlineStr">
        <is>
          <t>Anton: Commitment/no-bid beslutning; overvej Q&amp;A til ordregiver.</t>
        </is>
      </c>
      <c r="AE141" t="inlineStr"/>
      <c r="AF141" t="inlineStr">
        <is>
          <t>Draft</t>
        </is>
      </c>
      <c r="AG141" t="inlineStr">
        <is>
          <t>uim-esdh-full-2026-07-07</t>
        </is>
      </c>
    </row>
    <row r="142" ht="48" customHeight="1">
      <c r="A142" s="35" t="n">
        <v>141</v>
      </c>
      <c r="B142" s="35" t="inlineStr">
        <is>
          <t>K-13</t>
        </is>
      </c>
      <c r="C142" s="35" t="inlineStr">
        <is>
          <t>Bilag 1.b</t>
        </is>
      </c>
      <c r="D142" s="35" t="inlineStr">
        <is>
          <t>Administratormodul</t>
        </is>
      </c>
      <c r="E142" s="35" t="inlineStr">
        <is>
          <t>Moduler</t>
        </is>
      </c>
      <c r="F142" s="35" t="inlineStr">
        <is>
          <t>ESDH-løsningen skal understøtte, at Løsningens tilknyttede moduler kan administreres i Løsningens administratormodul i form af opsætning og vedligeholdelse.</t>
        </is>
      </c>
      <c r="G142" s="35" t="inlineStr">
        <is>
          <t>Krav</t>
        </is>
      </c>
      <c r="H142" s="35">
        <f>IF(G142="Evalueringskrav","Answer",(IF(G142="Krav","Check",(IF(G142="Mindstekrav","Verify","")))))</f>
        <v/>
      </c>
      <c r="I142" s="35" t="inlineStr">
        <is>
          <t>Ja</t>
        </is>
      </c>
      <c r="J142" s="35" t="n"/>
      <c r="K142" s="47" t="n"/>
      <c r="L142" s="35" t="inlineStr">
        <is>
          <t>Anton</t>
        </is>
      </c>
      <c r="M142" s="35" t="n"/>
      <c r="N142" s="35" t="n"/>
      <c r="O142" s="35" t="inlineStr">
        <is>
          <t>1. Fully met</t>
        </is>
      </c>
      <c r="P142" s="35" t="n"/>
      <c r="Q142" s="35" t="n"/>
      <c r="R142" s="35" t="n"/>
      <c r="S142" s="35" t="n"/>
      <c r="T142" s="35" t="n"/>
      <c r="U142" s="35" t="inlineStr">
        <is>
          <t>Not Started</t>
        </is>
      </c>
      <c r="V142" s="37">
        <f>IF(U142="Not Started",0%,IF(U142="Started",50%,IF(U142="Ready for review",70%,IF(U142="Reviewed - Content",80%,IF(U142="Reviewed - Format",90%,IF(U142="Done",100%,""))))))</f>
        <v/>
      </c>
      <c r="W142" t="inlineStr">
        <is>
          <t>2026-07-07</t>
        </is>
      </c>
      <c r="X142" t="inlineStr">
        <is>
          <t>Cursor / tender-response (MCP-enriched)</t>
        </is>
      </c>
      <c r="Y142" t="inlineStr">
        <is>
          <t>Met</t>
        </is>
      </c>
      <c r="Z142" t="inlineStr">
        <is>
          <t>Lead</t>
        </is>
      </c>
      <c r="AA142" t="inlineStr">
        <is>
          <t>Check: Moduler — vurderet opfyldt (tool: 1. Fully met).</t>
        </is>
      </c>
      <c r="AB142" t="inlineStr">
        <is>
          <t>Red flag: Kan vi ikke</t>
        </is>
      </c>
      <c r="AC142" t="inlineStr">
        <is>
          <t>Ratatoskr: 360° Modules (admin-en) | Wiki: Module overview</t>
        </is>
      </c>
      <c r="AD142" t="inlineStr">
        <is>
          <t>Anton: Confirm verify-tekst; opdatér review status efter tjek.</t>
        </is>
      </c>
      <c r="AE142" t="inlineStr"/>
      <c r="AF142" t="inlineStr">
        <is>
          <t>Draft</t>
        </is>
      </c>
      <c r="AG142" t="inlineStr">
        <is>
          <t>uim-esdh-full-2026-07-07</t>
        </is>
      </c>
    </row>
    <row r="143" ht="32" customHeight="1">
      <c r="A143" s="35" t="n">
        <v>142</v>
      </c>
      <c r="B143" s="35" t="inlineStr">
        <is>
          <t>K-14</t>
        </is>
      </c>
      <c r="C143" s="35" t="inlineStr">
        <is>
          <t>Bilag 1.b</t>
        </is>
      </c>
      <c r="D143" s="35" t="inlineStr">
        <is>
          <t>Administratormodul</t>
        </is>
      </c>
      <c r="E143" s="35" t="inlineStr">
        <is>
          <t>Ensartet datoformat</t>
        </is>
      </c>
      <c r="F143" s="35" t="inlineStr">
        <is>
          <t>ESDH-løsningen skal understøtte, at en Administrator kan opsætte visning af datoformatet i Løsningen.</t>
        </is>
      </c>
      <c r="G143" s="35" t="inlineStr">
        <is>
          <t>Krav</t>
        </is>
      </c>
      <c r="H143" s="35">
        <f>IF(G143="Evalueringskrav","Answer",(IF(G143="Krav","Check",(IF(G143="Mindstekrav","Verify","")))))</f>
        <v/>
      </c>
      <c r="I143" s="35" t="inlineStr">
        <is>
          <t>Ja</t>
        </is>
      </c>
      <c r="J143" s="35" t="n"/>
      <c r="K143" s="47" t="n"/>
      <c r="L143" s="35" t="inlineStr">
        <is>
          <t>Anton</t>
        </is>
      </c>
      <c r="M143" s="35" t="n"/>
      <c r="N143" s="35" t="n"/>
      <c r="O143" s="35" t="inlineStr">
        <is>
          <t>3. Not able to meet</t>
        </is>
      </c>
      <c r="P143" s="35" t="inlineStr">
        <is>
          <t>ADN: We dont have that. - i dont understand why they want it.</t>
        </is>
      </c>
      <c r="Q143" s="35" t="n"/>
      <c r="R143" s="35" t="n"/>
      <c r="S143" s="35" t="n"/>
      <c r="T143" s="35" t="n"/>
      <c r="U143" s="35" t="inlineStr">
        <is>
          <t>Not Started</t>
        </is>
      </c>
      <c r="V143" s="37">
        <f>IF(U143="Not Started",0%,IF(U143="Started",50%,IF(U143="Ready for review",70%,IF(U143="Reviewed - Content",80%,IF(U143="Reviewed - Format",90%,IF(U143="Done",100%,""))))))</f>
        <v/>
      </c>
      <c r="W143" t="inlineStr">
        <is>
          <t>2026-07-07</t>
        </is>
      </c>
      <c r="X143" t="inlineStr">
        <is>
          <t>Cursor / tender-response (MCP-enriched)</t>
        </is>
      </c>
      <c r="Y143" t="inlineStr">
        <is>
          <t>Not met</t>
        </is>
      </c>
      <c r="Z143" t="inlineStr">
        <is>
          <t>Lead</t>
        </is>
      </c>
      <c r="AA143" t="inlineStr">
        <is>
          <t>Check: Ensartet datoformat — gap ift. kravtekst; eskalér commitment eller afklaring.</t>
        </is>
      </c>
      <c r="AB143" t="inlineStr">
        <is>
          <t>ADN: We dont have that. - i dont understand why they want it.</t>
        </is>
      </c>
      <c r="AC143" t="inlineStr">
        <is>
          <t>Wiki: Coding Standards and Quality Requirements for Development</t>
        </is>
      </c>
      <c r="AD143" t="inlineStr">
        <is>
          <t>Anton: Commitment/no-bid beslutning; overvej Q&amp;A til ordregiver.</t>
        </is>
      </c>
      <c r="AE143" t="inlineStr"/>
      <c r="AF143" t="inlineStr">
        <is>
          <t>Draft</t>
        </is>
      </c>
      <c r="AG143" t="inlineStr">
        <is>
          <t>uim-esdh-full-2026-07-07</t>
        </is>
      </c>
    </row>
    <row r="144" ht="409.5" customHeight="1">
      <c r="A144" s="35" t="n">
        <v>143</v>
      </c>
      <c r="B144" s="35" t="inlineStr">
        <is>
          <t>EK-5</t>
        </is>
      </c>
      <c r="C144" s="35" t="inlineStr">
        <is>
          <t>Bilag 1.b</t>
        </is>
      </c>
      <c r="D144" s="35" t="inlineStr">
        <is>
          <t>Administratormodul</t>
        </is>
      </c>
      <c r="E144" s="35" t="inlineStr">
        <is>
          <t>Administrator-modul</t>
        </is>
      </c>
      <c r="F144" s="35" t="inlineStr">
        <is>
          <t>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t>
        </is>
      </c>
      <c r="G144" s="35" t="inlineStr">
        <is>
          <t>Evalueringskrav</t>
        </is>
      </c>
      <c r="H144" s="35">
        <f>IF(G144="Evalueringskrav","Answer",(IF(G144="Krav","Check",(IF(G144="Mindstekrav","Verify","")))))</f>
        <v/>
      </c>
      <c r="I144" s="35" t="inlineStr">
        <is>
          <t>Ja</t>
        </is>
      </c>
      <c r="J144" s="35" t="n"/>
      <c r="K144" s="47" t="n"/>
      <c r="L144" s="35" t="inlineStr">
        <is>
          <t>Torben</t>
        </is>
      </c>
      <c r="M144" s="35" t="n"/>
      <c r="N144" s="35" t="n"/>
      <c r="O144" s="35" t="n"/>
      <c r="P144" s="35" t="n"/>
      <c r="Q144" s="35" t="n"/>
      <c r="R144" s="35" t="n"/>
      <c r="S144" s="35" t="n"/>
      <c r="T144" s="35" t="n"/>
      <c r="U144" s="35" t="inlineStr">
        <is>
          <t>Not Started</t>
        </is>
      </c>
      <c r="V144" s="37">
        <f>IF(U144="Not Started",0%,IF(U144="Started",50%,IF(U144="Ready for review",70%,IF(U144="Reviewed - Content",80%,IF(U144="Reviewed - Format",90%,IF(U144="Done",100%,""))))))</f>
        <v/>
      </c>
      <c r="W144" t="inlineStr">
        <is>
          <t>2026-07-07</t>
        </is>
      </c>
      <c r="X144" t="inlineStr">
        <is>
          <t>Cursor / tender-response (MCP-enriched)</t>
        </is>
      </c>
      <c r="Y144" t="inlineStr">
        <is>
          <t>Draft needed</t>
        </is>
      </c>
      <c r="Z144" t="inlineStr">
        <is>
          <t>Lead</t>
        </is>
      </c>
      <c r="AA144" t="inlineStr">
        <is>
          <t>Answer: Administrator-modul — informationskrav; udkast bilag/dokumentation mangler.</t>
        </is>
      </c>
      <c r="AB144" t="inlineStr">
        <is>
          <t>Mangler link til svar-bilag i kolonne T.</t>
        </is>
      </c>
      <c r="AC144" t="inlineStr">
        <is>
          <t>Ratatoskr: Welcome to 360° Administrator (admin-en); Custom fields (admin-en) | Wiki: 360° settings - internal reference</t>
        </is>
      </c>
      <c r="AD144" t="inlineStr">
        <is>
          <t>Torben: Opret/link svar-bilag; draft IK-tekst fra prior art.</t>
        </is>
      </c>
      <c r="AE144" t="inlineStr"/>
      <c r="AF144" t="inlineStr">
        <is>
          <t>Draft</t>
        </is>
      </c>
      <c r="AG144" t="inlineStr">
        <is>
          <t>uim-esdh-full-2026-07-07</t>
        </is>
      </c>
    </row>
    <row r="145" ht="409.5" customHeight="1">
      <c r="A145" s="35" t="n">
        <v>144</v>
      </c>
      <c r="B145" s="35" t="inlineStr">
        <is>
          <t>EK-6</t>
        </is>
      </c>
      <c r="C145" s="35" t="inlineStr">
        <is>
          <t>Bilag 1.b</t>
        </is>
      </c>
      <c r="D145" s="35" t="inlineStr">
        <is>
          <t>Administratormodul</t>
        </is>
      </c>
      <c r="E145" s="35" t="inlineStr">
        <is>
          <t>Datamodel</t>
        </is>
      </c>
      <c r="F145" s="35" t="inlineStr">
        <is>
          <t>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t>
        </is>
      </c>
      <c r="G145" s="35" t="inlineStr">
        <is>
          <t>Evalueringskrav</t>
        </is>
      </c>
      <c r="H145" s="35">
        <f>IF(G145="Evalueringskrav","Answer",(IF(G145="Krav","Check",(IF(G145="Mindstekrav","Verify","")))))</f>
        <v/>
      </c>
      <c r="I145" s="35" t="inlineStr">
        <is>
          <t>Ja</t>
        </is>
      </c>
      <c r="J145" s="35" t="n"/>
      <c r="K145" s="47" t="n"/>
      <c r="L145" s="35" t="inlineStr">
        <is>
          <t>Torben</t>
        </is>
      </c>
      <c r="M145" s="35" t="n"/>
      <c r="N145" s="35" t="n"/>
      <c r="O145" s="35" t="n"/>
      <c r="P145" s="35" t="n"/>
      <c r="Q145" s="35" t="n"/>
      <c r="R145" s="35" t="n"/>
      <c r="S145" s="35" t="n"/>
      <c r="T145" s="35" t="n"/>
      <c r="U145" s="35" t="inlineStr">
        <is>
          <t>Not Started</t>
        </is>
      </c>
      <c r="V145" s="37">
        <f>IF(U145="Not Started",0%,IF(U145="Started",50%,IF(U145="Ready for review",70%,IF(U145="Reviewed - Content",80%,IF(U145="Reviewed - Format",90%,IF(U145="Done",100%,""))))))</f>
        <v/>
      </c>
      <c r="W145" t="inlineStr">
        <is>
          <t>2026-07-07</t>
        </is>
      </c>
      <c r="X145" t="inlineStr">
        <is>
          <t>Cursor / tender-response (MCP-enriched)</t>
        </is>
      </c>
      <c r="Y145" t="inlineStr">
        <is>
          <t>Draft needed</t>
        </is>
      </c>
      <c r="Z145" t="inlineStr">
        <is>
          <t>Lead</t>
        </is>
      </c>
      <c r="AA145" t="inlineStr">
        <is>
          <t>Answer: Datamodel — informationskrav; udkast bilag/dokumentation mangler.</t>
        </is>
      </c>
      <c r="AB145" t="inlineStr">
        <is>
          <t>Mangler link til svar-bilag i kolonne T.</t>
        </is>
      </c>
      <c r="AC145" t="inlineStr">
        <is>
          <t>Ratatoskr: Custom fields (admin-en) | Wiki: Virtual metadata; 360° AutoSaver - Technical documentation</t>
        </is>
      </c>
      <c r="AD145" t="inlineStr">
        <is>
          <t>Torben: Opret/link svar-bilag; draft IK-tekst fra prior art.</t>
        </is>
      </c>
      <c r="AE145" t="inlineStr"/>
      <c r="AF145" t="inlineStr">
        <is>
          <t>Draft</t>
        </is>
      </c>
      <c r="AG145" t="inlineStr">
        <is>
          <t>uim-esdh-full-2026-07-07</t>
        </is>
      </c>
    </row>
    <row r="146" ht="409.5" customHeight="1">
      <c r="A146" s="35" t="n">
        <v>145</v>
      </c>
      <c r="B146" s="35" t="inlineStr">
        <is>
          <t>EK-7</t>
        </is>
      </c>
      <c r="C146" s="35" t="inlineStr">
        <is>
          <t>Bilag 1.b</t>
        </is>
      </c>
      <c r="D146" s="35" t="inlineStr">
        <is>
          <t>Administratormodul</t>
        </is>
      </c>
      <c r="E146" s="35" t="inlineStr">
        <is>
          <t>Konfiguration af bruger-grænseflade</t>
        </is>
      </c>
      <c r="F146" s="35" t="inlineStr">
        <is>
          <t>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t>
        </is>
      </c>
      <c r="G146" s="35" t="inlineStr">
        <is>
          <t>Evalueringskrav</t>
        </is>
      </c>
      <c r="H146" s="35">
        <f>IF(G146="Evalueringskrav","Answer",(IF(G146="Krav","Check",(IF(G146="Mindstekrav","Verify","")))))</f>
        <v/>
      </c>
      <c r="I146" s="35" t="inlineStr">
        <is>
          <t>Ja</t>
        </is>
      </c>
      <c r="J146" s="35" t="n"/>
      <c r="K146" s="47" t="n"/>
      <c r="L146" s="35" t="inlineStr">
        <is>
          <t>Torben</t>
        </is>
      </c>
      <c r="M146" s="35" t="n"/>
      <c r="N146" s="35" t="n"/>
      <c r="O146" s="35" t="n"/>
      <c r="P146" s="35" t="n"/>
      <c r="Q146" s="35" t="n"/>
      <c r="R146" s="35" t="n"/>
      <c r="S146" s="35" t="n"/>
      <c r="T146" s="35" t="n"/>
      <c r="U146" s="35" t="inlineStr">
        <is>
          <t>Not Started</t>
        </is>
      </c>
      <c r="V146" s="37">
        <f>IF(U146="Not Started",0%,IF(U146="Started",50%,IF(U146="Ready for review",70%,IF(U146="Reviewed - Content",80%,IF(U146="Reviewed - Format",90%,IF(U146="Done",100%,""))))))</f>
        <v/>
      </c>
      <c r="W146" t="inlineStr">
        <is>
          <t>2026-07-07</t>
        </is>
      </c>
      <c r="X146" t="inlineStr">
        <is>
          <t>Cursor / tender-response (MCP-enriched)</t>
        </is>
      </c>
      <c r="Y146" t="inlineStr">
        <is>
          <t>Draft needed</t>
        </is>
      </c>
      <c r="Z146" t="inlineStr">
        <is>
          <t>Verified</t>
        </is>
      </c>
      <c r="AA146" t="inlineStr">
        <is>
          <t>Answer: Konfiguration af bruger-grænseflade — informationskrav; udkast bilag/dokumentation mangler.</t>
        </is>
      </c>
      <c r="AB146" t="inlineStr">
        <is>
          <t>Mangler link til svar-bilag i kolonne T.</t>
        </is>
      </c>
      <c r="AC146" t="inlineStr">
        <is>
          <t>Wiki: Full-Flex UI entity creation; Flexibility initiatives</t>
        </is>
      </c>
      <c r="AD146" t="inlineStr">
        <is>
          <t>Torben: Opret/link svar-bilag; draft IK-tekst fra prior art.</t>
        </is>
      </c>
      <c r="AE146" t="inlineStr"/>
      <c r="AF146" t="inlineStr">
        <is>
          <t>Draft</t>
        </is>
      </c>
      <c r="AG146" t="inlineStr">
        <is>
          <t>uim-esdh-full-2026-07-07</t>
        </is>
      </c>
    </row>
    <row r="147" ht="409.5" customHeight="1">
      <c r="A147" s="35" t="n">
        <v>146</v>
      </c>
      <c r="B147" s="35" t="inlineStr">
        <is>
          <t>EK-8</t>
        </is>
      </c>
      <c r="C147" s="35" t="inlineStr">
        <is>
          <t>Bilag 1.b</t>
        </is>
      </c>
      <c r="D147" s="35" t="inlineStr">
        <is>
          <t>Administratormodul</t>
        </is>
      </c>
      <c r="E147" s="35" t="inlineStr">
        <is>
          <t>Afgørelses-modul</t>
        </is>
      </c>
      <c r="F147" s="35" t="inlineStr">
        <is>
          <t>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t>
        </is>
      </c>
      <c r="G147" s="35" t="inlineStr">
        <is>
          <t>Evalueringskrav</t>
        </is>
      </c>
      <c r="H147" s="35">
        <f>IF(G147="Evalueringskrav","Answer",(IF(G147="Krav","Check",(IF(G147="Mindstekrav","Verify","")))))</f>
        <v/>
      </c>
      <c r="I147" s="35" t="inlineStr">
        <is>
          <t>Ja</t>
        </is>
      </c>
      <c r="J147" s="35" t="n"/>
      <c r="K147" s="47" t="n"/>
      <c r="L147" s="35" t="inlineStr">
        <is>
          <t>Claus</t>
        </is>
      </c>
      <c r="M147" s="35" t="n"/>
      <c r="N147" s="35" t="n"/>
      <c r="O147" s="35" t="n"/>
      <c r="P147" s="35" t="n"/>
      <c r="Q147" s="35" t="n"/>
      <c r="R147" s="35" t="n"/>
      <c r="S147" s="35" t="n"/>
      <c r="T147" s="35" t="n"/>
      <c r="U147" s="35" t="inlineStr">
        <is>
          <t>Not Started</t>
        </is>
      </c>
      <c r="V147" s="37">
        <f>IF(U147="Not Started",0%,IF(U147="Started",50%,IF(U147="Ready for review",70%,IF(U147="Reviewed - Content",80%,IF(U147="Reviewed - Format",90%,IF(U147="Done",100%,""))))))</f>
        <v/>
      </c>
      <c r="W147" t="inlineStr">
        <is>
          <t>2026-07-07</t>
        </is>
      </c>
      <c r="X147" t="inlineStr">
        <is>
          <t>Cursor / tender-response (MCP-enriched)</t>
        </is>
      </c>
      <c r="Y147" t="inlineStr">
        <is>
          <t>Draft needed</t>
        </is>
      </c>
      <c r="Z147" t="inlineStr">
        <is>
          <t>Lead</t>
        </is>
      </c>
      <c r="AA147" t="inlineStr">
        <is>
          <t>Answer: Afgørelses-modul — informationskrav; udkast bilag/dokumentation mangler.</t>
        </is>
      </c>
      <c r="AB147" t="inlineStr">
        <is>
          <t>Mangler link til svar-bilag i kolonne T.</t>
        </is>
      </c>
      <c r="AC147" t="inlineStr">
        <is>
          <t>Wiki: Build log hotfix packages</t>
        </is>
      </c>
      <c r="AD147" t="inlineStr">
        <is>
          <t>Claus: Opret/link svar-bilag; draft IK-tekst fra prior art.</t>
        </is>
      </c>
      <c r="AE147" t="inlineStr"/>
      <c r="AF147" t="inlineStr">
        <is>
          <t>Draft</t>
        </is>
      </c>
      <c r="AG147" t="inlineStr">
        <is>
          <t>uim-esdh-full-2026-07-07</t>
        </is>
      </c>
    </row>
    <row r="148" ht="32" customHeight="1">
      <c r="A148" s="35" t="n">
        <v>147</v>
      </c>
      <c r="B148" s="35" t="inlineStr">
        <is>
          <t>MK-125</t>
        </is>
      </c>
      <c r="C148" s="35" t="inlineStr">
        <is>
          <t>Bilag 1.b</t>
        </is>
      </c>
      <c r="D148" s="35" t="inlineStr">
        <is>
          <t>Adgangsstyring</t>
        </is>
      </c>
      <c r="E148" s="35" t="inlineStr">
        <is>
          <t>Adgangsstyring på Entiteter</t>
        </is>
      </c>
      <c r="F148" s="35" t="inlineStr">
        <is>
          <t>ESDH-løsningen skal understøtte, at der kan sættes adgangsrettigheder på sager, Dokumenter og kontakter.</t>
        </is>
      </c>
      <c r="G148" s="35" t="inlineStr">
        <is>
          <t>Mindstekrav</t>
        </is>
      </c>
      <c r="H148" s="35">
        <f>IF(G148="Evalueringskrav","Answer",(IF(G148="Krav","Check",(IF(G148="Mindstekrav","Verify","")))))</f>
        <v/>
      </c>
      <c r="I148" s="35" t="inlineStr">
        <is>
          <t>Ja</t>
        </is>
      </c>
      <c r="J148" s="35" t="n"/>
      <c r="K148" s="47" t="n"/>
      <c r="L148" s="35" t="inlineStr">
        <is>
          <t>Anton</t>
        </is>
      </c>
      <c r="M148" s="35" t="n"/>
      <c r="N148" s="35" t="n"/>
      <c r="O148" s="35" t="inlineStr">
        <is>
          <t>1. Fully met</t>
        </is>
      </c>
      <c r="P148" s="35" t="n"/>
      <c r="Q148" s="35" t="n"/>
      <c r="R148" s="35" t="n"/>
      <c r="S148" s="35" t="n"/>
      <c r="T148" s="35" t="n"/>
      <c r="U148" s="35" t="inlineStr">
        <is>
          <t>Not Started</t>
        </is>
      </c>
      <c r="V148" s="37">
        <f>IF(U148="Not Started",0%,IF(U148="Started",50%,IF(U148="Ready for review",70%,IF(U148="Reviewed - Content",80%,IF(U148="Reviewed - Format",90%,IF(U148="Done",100%,""))))))</f>
        <v/>
      </c>
      <c r="W148" t="inlineStr">
        <is>
          <t>2026-07-07</t>
        </is>
      </c>
      <c r="X148" t="inlineStr">
        <is>
          <t>Cursor / tender-response (batch)</t>
        </is>
      </c>
      <c r="Y148" t="inlineStr">
        <is>
          <t>Met</t>
        </is>
      </c>
      <c r="Z148" t="inlineStr">
        <is>
          <t>Verified</t>
        </is>
      </c>
      <c r="AA148" t="inlineStr">
        <is>
          <t>Verify: Adgangsstyring på Entiteter — vurderet opfyldt (tool: 1. Fully met).</t>
        </is>
      </c>
      <c r="AB148" t="inlineStr"/>
      <c r="AC148" t="inlineStr">
        <is>
          <t>docs/tender-reference/extracted/Nationalbanken/Bilag 3.i Leverandørens Løsningsbeskrivelse.txt; docs/tender-reference/extracted/KUM-SLKS/Bilag 3 - Kravspecifikation.txt; docs/tender-reference/extracted/Nationalbanken/Bilag 9.i Leverandørens løsningsbeskrivelse.txt</t>
        </is>
      </c>
      <c r="AD148" t="inlineStr">
        <is>
          <t>Anton: Confirm verify-tekst; opdatér review status efter tjek.</t>
        </is>
      </c>
      <c r="AE148" t="inlineStr"/>
      <c r="AF148" t="inlineStr">
        <is>
          <t>Draft</t>
        </is>
      </c>
      <c r="AG148" t="inlineStr">
        <is>
          <t>uim-esdh-full-2026-07-07</t>
        </is>
      </c>
    </row>
    <row r="149" ht="64" customHeight="1">
      <c r="A149" s="35" t="n">
        <v>148</v>
      </c>
      <c r="B149" s="35" t="inlineStr">
        <is>
          <t>MK-126</t>
        </is>
      </c>
      <c r="C149" s="35" t="inlineStr">
        <is>
          <t>Bilag 1.b</t>
        </is>
      </c>
      <c r="D149" s="35" t="inlineStr">
        <is>
          <t>Adgangsstyring</t>
        </is>
      </c>
      <c r="E149" s="35" t="inlineStr">
        <is>
          <t>Nedarvning af rettigheder fra sag til Dokumenter</t>
        </is>
      </c>
      <c r="F149" s="35" t="inlineStr">
        <is>
          <t>ESDH-løsningen skal understøtte, at rettigheder fra en sag kan nedarves til sagens tilknyttede Dokumenter og Filer.</t>
        </is>
      </c>
      <c r="G149" s="35" t="inlineStr">
        <is>
          <t>Mindstekrav</t>
        </is>
      </c>
      <c r="H149" s="35">
        <f>IF(G149="Evalueringskrav","Answer",(IF(G149="Krav","Check",(IF(G149="Mindstekrav","Verify","")))))</f>
        <v/>
      </c>
      <c r="I149" s="35" t="inlineStr">
        <is>
          <t>Ja</t>
        </is>
      </c>
      <c r="J149" s="35" t="n"/>
      <c r="K149" s="47" t="n"/>
      <c r="L149" s="35" t="inlineStr">
        <is>
          <t>Anton</t>
        </is>
      </c>
      <c r="M149" s="35" t="n"/>
      <c r="N149" s="35" t="n"/>
      <c r="O149" s="35" t="inlineStr">
        <is>
          <t>1. Fully met</t>
        </is>
      </c>
      <c r="P149" s="35" t="inlineStr">
        <is>
          <t>ADN: Case_Accessgroup could be used - or just "Inherit accessgroup"</t>
        </is>
      </c>
      <c r="Q149" s="35" t="n"/>
      <c r="R149" s="35" t="n"/>
      <c r="S149" s="35" t="n"/>
      <c r="T149" s="35" t="n"/>
      <c r="U149" s="35" t="inlineStr">
        <is>
          <t>Not Started</t>
        </is>
      </c>
      <c r="V149" s="37">
        <f>IF(U149="Not Started",0%,IF(U149="Started",50%,IF(U149="Ready for review",70%,IF(U149="Reviewed - Content",80%,IF(U149="Reviewed - Format",90%,IF(U149="Done",100%,""))))))</f>
        <v/>
      </c>
      <c r="W149" t="inlineStr">
        <is>
          <t>2026-07-07</t>
        </is>
      </c>
      <c r="X149" t="inlineStr">
        <is>
          <t>Cursor / tender-response (batch)</t>
        </is>
      </c>
      <c r="Y149" t="inlineStr">
        <is>
          <t>Met</t>
        </is>
      </c>
      <c r="Z149" t="inlineStr">
        <is>
          <t>Verified</t>
        </is>
      </c>
      <c r="AA149" t="inlineStr">
        <is>
          <t>Verify: Nedarvning af rettigheder fra sag til Dokumenter — vurderet opfyldt (tool: 1. Fully met).</t>
        </is>
      </c>
      <c r="AB149" t="inlineStr">
        <is>
          <t>ADN: Case_Accessgroup could be used - or just "Inherit accessgroup"</t>
        </is>
      </c>
      <c r="AC149" t="inlineStr">
        <is>
          <t>docs/tender-reference/extracted/Nationalbanken/Bilag 3.i Leverandørens Løsningsbeskrivelse.txt; docs/tender-reference/extracted/KK Tender tool.txt; docs/tender-reference/extracted/KUM-SLKS/Bilag 3 - Kravspecifikation.txt</t>
        </is>
      </c>
      <c r="AD149" t="inlineStr">
        <is>
          <t>Anton: Confirm verify-tekst; opdatér review status efter tjek.</t>
        </is>
      </c>
      <c r="AE149" t="inlineStr"/>
      <c r="AF149" t="inlineStr">
        <is>
          <t>Draft</t>
        </is>
      </c>
      <c r="AG149" t="inlineStr">
        <is>
          <t>uim-esdh-full-2026-07-07</t>
        </is>
      </c>
    </row>
    <row r="150" ht="48" customHeight="1">
      <c r="A150" s="35" t="n">
        <v>149</v>
      </c>
      <c r="B150" s="35" t="inlineStr">
        <is>
          <t>MK-127</t>
        </is>
      </c>
      <c r="C150" s="35" t="inlineStr">
        <is>
          <t>Bilag 1.b</t>
        </is>
      </c>
      <c r="D150" s="35" t="inlineStr">
        <is>
          <t>Adgangsstyring</t>
        </is>
      </c>
      <c r="E150" s="35" t="inlineStr">
        <is>
          <t>Begrænsning af adgangsrettigheder</t>
        </is>
      </c>
      <c r="F150" s="35" t="inlineStr">
        <is>
          <t>ESDH-løsningen skal understøtte, at adgangsrettigheden til Entiteter kan begrænses eller gøres fortrolig ad hoc af en Bruger, direkte i brugergrænsefladen.</t>
        </is>
      </c>
      <c r="G150" s="35" t="inlineStr">
        <is>
          <t>Mindstekrav</t>
        </is>
      </c>
      <c r="H150" s="35">
        <f>IF(G150="Evalueringskrav","Answer",(IF(G150="Krav","Check",(IF(G150="Mindstekrav","Verify","")))))</f>
        <v/>
      </c>
      <c r="I150" s="35" t="inlineStr">
        <is>
          <t>Ja</t>
        </is>
      </c>
      <c r="J150" s="35" t="n"/>
      <c r="K150" s="47" t="n"/>
      <c r="L150" s="35" t="inlineStr">
        <is>
          <t>Anton</t>
        </is>
      </c>
      <c r="M150" s="35" t="n"/>
      <c r="N150" s="35" t="n"/>
      <c r="O150" s="35" t="inlineStr">
        <is>
          <t>1. Fully met</t>
        </is>
      </c>
      <c r="P150" s="35" t="n"/>
      <c r="Q150" s="35" t="n"/>
      <c r="R150" s="35" t="n"/>
      <c r="S150" s="35" t="n"/>
      <c r="T150" s="35" t="n"/>
      <c r="U150" s="35" t="inlineStr">
        <is>
          <t>Not Started</t>
        </is>
      </c>
      <c r="V150" s="37">
        <f>IF(U150="Not Started",0%,IF(U150="Started",50%,IF(U150="Ready for review",70%,IF(U150="Reviewed - Content",80%,IF(U150="Reviewed - Format",90%,IF(U150="Done",100%,""))))))</f>
        <v/>
      </c>
      <c r="W150" t="inlineStr">
        <is>
          <t>2026-07-07</t>
        </is>
      </c>
      <c r="X150" t="inlineStr">
        <is>
          <t>Cursor / tender-response (batch)</t>
        </is>
      </c>
      <c r="Y150" t="inlineStr">
        <is>
          <t>Met</t>
        </is>
      </c>
      <c r="Z150" t="inlineStr">
        <is>
          <t>Verified</t>
        </is>
      </c>
      <c r="AA150" t="inlineStr">
        <is>
          <t>Verify: Begrænsning af adgangsrettigheder — vurderet opfyldt (tool: 1. Fully met).</t>
        </is>
      </c>
      <c r="AB150" t="inlineStr"/>
      <c r="AC150" t="inlineStr">
        <is>
          <t>docs/tender-reference/extracted/Nationalbanken/Bilag 3.i Leverandørens Løsningsbeskrivelse.txt; docs/tender-reference/extracted/KK Tender tool.txt; docs/tender-reference/extracted/KUM-SLKS/Bilag 3 - Kravspecifikation.txt</t>
        </is>
      </c>
      <c r="AD150" t="inlineStr">
        <is>
          <t>Anton: Confirm verify-tekst; opdatér review status efter tjek.</t>
        </is>
      </c>
      <c r="AE150" t="inlineStr"/>
      <c r="AF150" t="inlineStr">
        <is>
          <t>Draft</t>
        </is>
      </c>
      <c r="AG150" t="inlineStr">
        <is>
          <t>uim-esdh-full-2026-07-07</t>
        </is>
      </c>
    </row>
    <row r="151" ht="80" customHeight="1">
      <c r="A151" s="35" t="n">
        <v>150</v>
      </c>
      <c r="B151" s="35" t="inlineStr">
        <is>
          <t>MK-128</t>
        </is>
      </c>
      <c r="C151" s="35" t="inlineStr">
        <is>
          <t>Bilag 1.b</t>
        </is>
      </c>
      <c r="D151" s="35" t="inlineStr">
        <is>
          <t>Adgangsstyring</t>
        </is>
      </c>
      <c r="E151" s="35" t="inlineStr">
        <is>
          <t>Differentierede adgangsrettigheder</t>
        </is>
      </c>
      <c r="F151" s="35" t="inlineStr">
        <is>
          <t>ESDH-løsningen skal understøtte differentierede adgangsrettigheder på alle standard og Kundeoprettede Entiteter, så der kan tildeles rettigheder til at: 
Læse
Skrive</t>
        </is>
      </c>
      <c r="G151" s="35" t="inlineStr">
        <is>
          <t>Mindstekrav</t>
        </is>
      </c>
      <c r="H151" s="35">
        <f>IF(G151="Evalueringskrav","Answer",(IF(G151="Krav","Check",(IF(G151="Mindstekrav","Verify","")))))</f>
        <v/>
      </c>
      <c r="I151" s="35" t="inlineStr">
        <is>
          <t>Ja</t>
        </is>
      </c>
      <c r="J151" s="35" t="n"/>
      <c r="K151" s="47" t="n"/>
      <c r="L151" s="35" t="inlineStr">
        <is>
          <t>Anton</t>
        </is>
      </c>
      <c r="M151" s="35" t="n"/>
      <c r="N151" s="35" t="n"/>
      <c r="O151" s="35" t="inlineStr">
        <is>
          <t>1. Fully met</t>
        </is>
      </c>
      <c r="P151" s="35" t="n"/>
      <c r="Q151" s="35" t="n"/>
      <c r="R151" s="35" t="n"/>
      <c r="S151" s="35" t="n"/>
      <c r="T151" s="35" t="n"/>
      <c r="U151" s="35" t="inlineStr">
        <is>
          <t>Not Started</t>
        </is>
      </c>
      <c r="V151" s="37">
        <f>IF(U151="Not Started",0%,IF(U151="Started",50%,IF(U151="Ready for review",70%,IF(U151="Reviewed - Content",80%,IF(U151="Reviewed - Format",90%,IF(U151="Done",100%,""))))))</f>
        <v/>
      </c>
      <c r="W151" t="inlineStr">
        <is>
          <t>2026-07-07</t>
        </is>
      </c>
      <c r="X151" t="inlineStr">
        <is>
          <t>Cursor / tender-response (batch)</t>
        </is>
      </c>
      <c r="Y151" t="inlineStr">
        <is>
          <t>Met</t>
        </is>
      </c>
      <c r="Z151" t="inlineStr">
        <is>
          <t>Verified</t>
        </is>
      </c>
      <c r="AA151" t="inlineStr">
        <is>
          <t>Verify: Differentierede adgangsrettigheder — vurderet opfyldt (tool: 1. Fully met).</t>
        </is>
      </c>
      <c r="AB151" t="inlineStr"/>
      <c r="AC151" t="inlineStr">
        <is>
          <t>docs/tender-reference/extracted/Nationalbanken/Bilag 3.i Leverandørens Løsningsbeskrivelse.txt; docs/tender-reference/extracted/KUM-SLKS/Bilag 3 - Kravspecifikation.txt; docs/tender-reference/extracted/KK Tender tool.txt</t>
        </is>
      </c>
      <c r="AD151" t="inlineStr">
        <is>
          <t>Anton: Confirm verify-tekst; opdatér review status efter tjek.</t>
        </is>
      </c>
      <c r="AE151" t="inlineStr"/>
      <c r="AF151" t="inlineStr">
        <is>
          <t>Draft</t>
        </is>
      </c>
      <c r="AG151" t="inlineStr">
        <is>
          <t>uim-esdh-full-2026-07-07</t>
        </is>
      </c>
    </row>
    <row r="152" ht="48" customHeight="1">
      <c r="A152" s="35" t="n">
        <v>151</v>
      </c>
      <c r="B152" s="35" t="inlineStr">
        <is>
          <t>MK-129</t>
        </is>
      </c>
      <c r="C152" s="35" t="inlineStr">
        <is>
          <t>Bilag 1.b</t>
        </is>
      </c>
      <c r="D152" s="35" t="inlineStr">
        <is>
          <t>Adgangsstyring</t>
        </is>
      </c>
      <c r="E152" s="35" t="inlineStr">
        <is>
          <t>Visning af Brugere</t>
        </is>
      </c>
      <c r="F152" s="35" t="inlineStr">
        <is>
          <t>ESDH-løsningen skal understøtte, at det i brugergrænsefladen kan ses, hvilke Brugere eller adgangsgrupper, der har adgang til den konkrete sag, Dokument eller kontakt.</t>
        </is>
      </c>
      <c r="G152" s="35" t="inlineStr">
        <is>
          <t>Mindstekrav</t>
        </is>
      </c>
      <c r="H152" s="35">
        <f>IF(G152="Evalueringskrav","Answer",(IF(G152="Krav","Check",(IF(G152="Mindstekrav","Verify","")))))</f>
        <v/>
      </c>
      <c r="I152" s="35" t="inlineStr">
        <is>
          <t>Ja</t>
        </is>
      </c>
      <c r="J152" s="35" t="n"/>
      <c r="K152" s="47" t="n"/>
      <c r="L152" s="35" t="inlineStr">
        <is>
          <t>Anton</t>
        </is>
      </c>
      <c r="M152" s="35" t="n"/>
      <c r="N152" s="35" t="n"/>
      <c r="O152" s="35" t="inlineStr">
        <is>
          <t>1. Fully met</t>
        </is>
      </c>
      <c r="P152" s="35" t="n"/>
      <c r="Q152" s="35" t="n"/>
      <c r="R152" s="35" t="n"/>
      <c r="S152" s="35" t="n"/>
      <c r="T152" s="35" t="n"/>
      <c r="U152" s="35" t="inlineStr">
        <is>
          <t>Not Started</t>
        </is>
      </c>
      <c r="V152" s="37">
        <f>IF(U152="Not Started",0%,IF(U152="Started",50%,IF(U152="Ready for review",70%,IF(U152="Reviewed - Content",80%,IF(U152="Reviewed - Format",90%,IF(U152="Done",100%,""))))))</f>
        <v/>
      </c>
      <c r="W152" t="inlineStr">
        <is>
          <t>2026-07-07</t>
        </is>
      </c>
      <c r="X152" t="inlineStr">
        <is>
          <t>Cursor / tender-response (batch)</t>
        </is>
      </c>
      <c r="Y152" t="inlineStr">
        <is>
          <t>Met</t>
        </is>
      </c>
      <c r="Z152" t="inlineStr">
        <is>
          <t>Verified</t>
        </is>
      </c>
      <c r="AA152" t="inlineStr">
        <is>
          <t>Verify: Visning af Brugere — vurderet opfyldt (tool: 1. Fully met).</t>
        </is>
      </c>
      <c r="AB152" t="inlineStr"/>
      <c r="AC152" t="inlineStr">
        <is>
          <t>docs/tender-reference/extracted/KUM-SLKS/Bilag 3 - Kravspecifikation.txt; docs/tender-reference/extracted/Nationalbanken/Bilag 3.i Leverandørens Løsningsbeskrivelse.txt; docs/tender-reference/extracted/KK Tender tool.txt</t>
        </is>
      </c>
      <c r="AD152" t="inlineStr">
        <is>
          <t>Anton: Confirm verify-tekst; opdatér review status efter tjek.</t>
        </is>
      </c>
      <c r="AE152" t="inlineStr"/>
      <c r="AF152" t="inlineStr">
        <is>
          <t>Draft</t>
        </is>
      </c>
      <c r="AG152" t="inlineStr">
        <is>
          <t>uim-esdh-full-2026-07-07</t>
        </is>
      </c>
    </row>
    <row r="153" ht="48" customHeight="1">
      <c r="A153" s="35" t="n">
        <v>152</v>
      </c>
      <c r="B153" s="35" t="inlineStr">
        <is>
          <t>MK-130</t>
        </is>
      </c>
      <c r="C153" s="35" t="inlineStr">
        <is>
          <t>Bilag 1.b</t>
        </is>
      </c>
      <c r="D153" s="35" t="inlineStr">
        <is>
          <t>Adgangsstyring</t>
        </is>
      </c>
      <c r="E153" s="35" t="inlineStr">
        <is>
          <t>Adgangsstyring af kontakter</t>
        </is>
      </c>
      <c r="F153" s="35" t="inlineStr">
        <is>
          <t>ESDH-løsningen skal understøtte, at adgangen til kontakter kan begrænses, således at udvalgte kontakter kun kan tilgås af Brugere med de nødvendige adgangsrettigheder.</t>
        </is>
      </c>
      <c r="G153" s="35" t="inlineStr">
        <is>
          <t>Mindstekrav</t>
        </is>
      </c>
      <c r="H153" s="35">
        <f>IF(G153="Evalueringskrav","Answer",(IF(G153="Krav","Check",(IF(G153="Mindstekrav","Verify","")))))</f>
        <v/>
      </c>
      <c r="I153" s="35" t="inlineStr">
        <is>
          <t>Ja</t>
        </is>
      </c>
      <c r="J153" s="35" t="n"/>
      <c r="K153" s="47" t="n"/>
      <c r="L153" s="35" t="inlineStr">
        <is>
          <t>Anton</t>
        </is>
      </c>
      <c r="M153" s="35" t="n"/>
      <c r="N153" s="35" t="n"/>
      <c r="O153" s="35" t="inlineStr">
        <is>
          <t>1. Fully met</t>
        </is>
      </c>
      <c r="P153" s="35" t="n"/>
      <c r="Q153" s="35" t="n"/>
      <c r="R153" s="35" t="n"/>
      <c r="S153" s="35" t="n"/>
      <c r="T153" s="35" t="n"/>
      <c r="U153" s="35" t="inlineStr">
        <is>
          <t>Not Started</t>
        </is>
      </c>
      <c r="V153" s="37">
        <f>IF(U153="Not Started",0%,IF(U153="Started",50%,IF(U153="Ready for review",70%,IF(U153="Reviewed - Content",80%,IF(U153="Reviewed - Format",90%,IF(U153="Done",100%,""))))))</f>
        <v/>
      </c>
      <c r="W153" t="inlineStr">
        <is>
          <t>2026-07-07</t>
        </is>
      </c>
      <c r="X153" t="inlineStr">
        <is>
          <t>Cursor / tender-response (batch)</t>
        </is>
      </c>
      <c r="Y153" t="inlineStr">
        <is>
          <t>Met</t>
        </is>
      </c>
      <c r="Z153" t="inlineStr">
        <is>
          <t>Verified</t>
        </is>
      </c>
      <c r="AA153" t="inlineStr">
        <is>
          <t>Verify: Adgangsstyring af kontakter — vurderet opfyldt (tool: 1. Fully met).</t>
        </is>
      </c>
      <c r="AB153" t="inlineStr"/>
      <c r="AC153" t="inlineStr">
        <is>
          <t>docs/tender-reference/extracted/Nationalbanken/Bilag 3.i Leverandørens Løsningsbeskrivelse.txt; docs/tender-reference/extracted/KUM-SLKS/Bilag 3 - Kravspecifikation.txt; docs/tender-reference/extracted/KK Tender tool.txt</t>
        </is>
      </c>
      <c r="AD153" t="inlineStr">
        <is>
          <t>Anton: Confirm verify-tekst; opdatér review status efter tjek.</t>
        </is>
      </c>
      <c r="AE153" t="inlineStr"/>
      <c r="AF153" t="inlineStr">
        <is>
          <t>Draft</t>
        </is>
      </c>
      <c r="AG153" t="inlineStr">
        <is>
          <t>uim-esdh-full-2026-07-07</t>
        </is>
      </c>
    </row>
    <row r="154" ht="48" customHeight="1">
      <c r="A154" s="35" t="n">
        <v>153</v>
      </c>
      <c r="B154" s="35" t="inlineStr">
        <is>
          <t>MK-131</t>
        </is>
      </c>
      <c r="C154" s="35" t="inlineStr">
        <is>
          <t>Bilag 1.b</t>
        </is>
      </c>
      <c r="D154" s="35" t="inlineStr">
        <is>
          <t>Adgangsstyring</t>
        </is>
      </c>
      <c r="E154" s="35" t="inlineStr">
        <is>
          <t>Organisatorisk adgang</t>
        </is>
      </c>
      <c r="F154" s="35" t="inlineStr">
        <is>
          <t>ESDH-løsningen skal understøtte, at sager, Dokumenter og kontakter kan oprettes med en organisatorisk adgang, så Brugere fra flere Myndigheder kan tilgå disse.</t>
        </is>
      </c>
      <c r="G154" s="35" t="inlineStr">
        <is>
          <t>Mindstekrav</t>
        </is>
      </c>
      <c r="H154" s="35">
        <f>IF(G154="Evalueringskrav","Answer",(IF(G154="Krav","Check",(IF(G154="Mindstekrav","Verify","")))))</f>
        <v/>
      </c>
      <c r="I154" s="35" t="inlineStr">
        <is>
          <t>Ja</t>
        </is>
      </c>
      <c r="J154" s="35" t="n"/>
      <c r="K154" s="47" t="n"/>
      <c r="L154" s="35" t="inlineStr">
        <is>
          <t>Anton</t>
        </is>
      </c>
      <c r="M154" s="35" t="n"/>
      <c r="N154" s="35" t="n"/>
      <c r="O154" s="35" t="inlineStr">
        <is>
          <t>1. Fully met</t>
        </is>
      </c>
      <c r="P154" s="35" t="n"/>
      <c r="Q154" s="35" t="n"/>
      <c r="R154" s="35" t="n"/>
      <c r="S154" s="35" t="n"/>
      <c r="T154" s="35" t="n"/>
      <c r="U154" s="35" t="inlineStr">
        <is>
          <t>Not Started</t>
        </is>
      </c>
      <c r="V154" s="37">
        <f>IF(U154="Not Started",0%,IF(U154="Started",50%,IF(U154="Ready for review",70%,IF(U154="Reviewed - Content",80%,IF(U154="Reviewed - Format",90%,IF(U154="Done",100%,""))))))</f>
        <v/>
      </c>
      <c r="W154" t="inlineStr">
        <is>
          <t>2026-07-07</t>
        </is>
      </c>
      <c r="X154" t="inlineStr">
        <is>
          <t>Cursor / tender-response (batch)</t>
        </is>
      </c>
      <c r="Y154" t="inlineStr">
        <is>
          <t>Met</t>
        </is>
      </c>
      <c r="Z154" t="inlineStr">
        <is>
          <t>Verified</t>
        </is>
      </c>
      <c r="AA154" t="inlineStr">
        <is>
          <t>Verify: Organisatorisk adgang — vurderet opfyldt (tool: 1. Fully met).</t>
        </is>
      </c>
      <c r="AB154" t="inlineStr"/>
      <c r="AC154" t="inlineStr">
        <is>
          <t>docs/tender-reference/extracted/KUM-SLKS/Bilag 3 - Kravspecifikation.txt; docs/tender-reference/extracted/Nationalbanken/Bilag 3.i Leverandørens Løsningsbeskrivelse.txt; docs/tender-reference/extracted/KK Tender tool.txt</t>
        </is>
      </c>
      <c r="AD154" t="inlineStr">
        <is>
          <t>Anton: Confirm verify-tekst; opdatér review status efter tjek.</t>
        </is>
      </c>
      <c r="AE154" t="inlineStr"/>
      <c r="AF154" t="inlineStr">
        <is>
          <t>Draft</t>
        </is>
      </c>
      <c r="AG154" t="inlineStr">
        <is>
          <t>uim-esdh-full-2026-07-07</t>
        </is>
      </c>
    </row>
    <row r="155" ht="48" customHeight="1">
      <c r="A155" s="35" t="n">
        <v>154</v>
      </c>
      <c r="B155" s="35" t="inlineStr">
        <is>
          <t>MK-132</t>
        </is>
      </c>
      <c r="C155" s="35" t="inlineStr">
        <is>
          <t>Bilag 1.b</t>
        </is>
      </c>
      <c r="D155" s="35" t="inlineStr">
        <is>
          <t>Adgangsstyring</t>
        </is>
      </c>
      <c r="E155" s="35" t="inlineStr">
        <is>
          <t>Fravigelse af adgangsrettigheder</t>
        </is>
      </c>
      <c r="F155" s="35" t="inlineStr">
        <is>
          <t>ESDH-løsningen skal understøtte, at Administratoren eller en anden udvalgt Bruger har adgang til alle Entiteter oprettet i databasen uagtet påsatte adgangsrettigheder.</t>
        </is>
      </c>
      <c r="G155" s="35" t="inlineStr">
        <is>
          <t>Mindstekrav</t>
        </is>
      </c>
      <c r="H155" s="35">
        <f>IF(G155="Evalueringskrav","Answer",(IF(G155="Krav","Check",(IF(G155="Mindstekrav","Verify","")))))</f>
        <v/>
      </c>
      <c r="I155" s="35" t="inlineStr">
        <is>
          <t>Ja</t>
        </is>
      </c>
      <c r="J155" s="35" t="n"/>
      <c r="K155" s="47" t="n"/>
      <c r="L155" s="35" t="inlineStr">
        <is>
          <t>Anton</t>
        </is>
      </c>
      <c r="M155" s="35" t="n"/>
      <c r="N155" s="35" t="n"/>
      <c r="O155" s="35" t="inlineStr">
        <is>
          <t>1. Fully met</t>
        </is>
      </c>
      <c r="P155" s="35" t="inlineStr">
        <is>
          <t>ADN: Configure contact matrixes with ADMIN-lines</t>
        </is>
      </c>
      <c r="Q155" s="35" t="n"/>
      <c r="R155" s="35" t="n"/>
      <c r="S155" s="35" t="n"/>
      <c r="T155" s="35" t="n"/>
      <c r="U155" s="35" t="inlineStr">
        <is>
          <t>Not Started</t>
        </is>
      </c>
      <c r="V155" s="37">
        <f>IF(U155="Not Started",0%,IF(U155="Started",50%,IF(U155="Ready for review",70%,IF(U155="Reviewed - Content",80%,IF(U155="Reviewed - Format",90%,IF(U155="Done",100%,""))))))</f>
        <v/>
      </c>
      <c r="W155" t="inlineStr">
        <is>
          <t>2026-07-07</t>
        </is>
      </c>
      <c r="X155" t="inlineStr">
        <is>
          <t>Cursor / tender-response (batch)</t>
        </is>
      </c>
      <c r="Y155" t="inlineStr">
        <is>
          <t>Met</t>
        </is>
      </c>
      <c r="Z155" t="inlineStr">
        <is>
          <t>Verified</t>
        </is>
      </c>
      <c r="AA155" t="inlineStr">
        <is>
          <t>Verify: Fravigelse af adgangsrettigheder — vurderet opfyldt (tool: 1. Fully met).</t>
        </is>
      </c>
      <c r="AB155" t="inlineStr">
        <is>
          <t>ADN: Configure contact matrixes with ADMIN-lines</t>
        </is>
      </c>
      <c r="AC155" t="inlineStr">
        <is>
          <t>docs/tender-reference/extracted/Nationalbanken/Bilag 3.i Leverandørens Løsningsbeskrivelse.txt; docs/tender-reference/extracted/KUM-SLKS/Bilag 3 - Kravspecifikation.txt; docs/product/RFP_Leverandørens_svar_utdrag.txt</t>
        </is>
      </c>
      <c r="AD155" t="inlineStr">
        <is>
          <t>Anton: Confirm verify-tekst; opdatér review status efter tjek.</t>
        </is>
      </c>
      <c r="AE155" t="inlineStr"/>
      <c r="AF155" t="inlineStr">
        <is>
          <t>Draft</t>
        </is>
      </c>
      <c r="AG155" t="inlineStr">
        <is>
          <t>uim-esdh-full-2026-07-07</t>
        </is>
      </c>
    </row>
    <row r="156" ht="80" customHeight="1">
      <c r="A156" s="35" t="n">
        <v>155</v>
      </c>
      <c r="B156" s="35" t="inlineStr">
        <is>
          <t>MK-133</t>
        </is>
      </c>
      <c r="C156" s="35" t="inlineStr">
        <is>
          <t>Bilag 1.b</t>
        </is>
      </c>
      <c r="D156" s="35" t="inlineStr">
        <is>
          <t>Adgangsstyring</t>
        </is>
      </c>
      <c r="E156" s="35" t="inlineStr">
        <is>
          <t>Kontrol af adgangsrettigheder</t>
        </is>
      </c>
      <c r="F156" s="35"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G156" s="35" t="inlineStr">
        <is>
          <t>Mindstekrav</t>
        </is>
      </c>
      <c r="H156" s="35">
        <f>IF(G156="Evalueringskrav","Answer",(IF(G156="Krav","Check",(IF(G156="Mindstekrav","Verify","")))))</f>
        <v/>
      </c>
      <c r="I156" s="35" t="inlineStr">
        <is>
          <t>Ja</t>
        </is>
      </c>
      <c r="J156" s="35" t="n"/>
      <c r="K156" s="47" t="n"/>
      <c r="L156" s="35" t="inlineStr">
        <is>
          <t>Eva</t>
        </is>
      </c>
      <c r="M156" s="35" t="n"/>
      <c r="N156" s="35" t="n"/>
      <c r="O156" s="35" t="inlineStr">
        <is>
          <t>3. Not able to meet</t>
        </is>
      </c>
      <c r="P156" s="35" t="inlineStr">
        <is>
          <t>ADN: We dont have that. Could we extract this information with Management Reporting API?</t>
        </is>
      </c>
      <c r="Q156" s="35" t="n"/>
      <c r="R156" s="35" t="n"/>
      <c r="S156" s="35" t="n"/>
      <c r="T156" s="35" t="n"/>
      <c r="U156" s="35" t="inlineStr">
        <is>
          <t>Not Started</t>
        </is>
      </c>
      <c r="V156" s="37">
        <f>IF(U156="Not Started",0%,IF(U156="Started",50%,IF(U156="Ready for review",70%,IF(U156="Reviewed - Content",80%,IF(U156="Reviewed - Format",90%,IF(U156="Done",100%,""))))))</f>
        <v/>
      </c>
      <c r="W156" t="inlineStr">
        <is>
          <t>2026-07-07</t>
        </is>
      </c>
      <c r="X156" t="inlineStr">
        <is>
          <t>Cursor / tender-response (MCP-enriched)</t>
        </is>
      </c>
      <c r="Y156" t="inlineStr">
        <is>
          <t>Not met</t>
        </is>
      </c>
      <c r="Z156" t="inlineStr">
        <is>
          <t>Lead</t>
        </is>
      </c>
      <c r="AA156" t="inlineStr">
        <is>
          <t>Verify: Kontrol af adgangsrettigheder — gap ift. kravtekst; eskalér commitment eller afklaring.</t>
        </is>
      </c>
      <c r="AB156" t="inlineStr">
        <is>
          <t>ADN: We dont have that. Could we extract this information with Management Reporting API? | Red flag: Har vi ikke</t>
        </is>
      </c>
      <c r="AC156" t="inlineStr">
        <is>
          <t>Wiki: 360° settings - internal reference</t>
        </is>
      </c>
      <c r="AD156" t="inlineStr">
        <is>
          <t>Eva: Commitment/no-bid beslutning; overvej Q&amp;A til ordregiver.</t>
        </is>
      </c>
      <c r="AE156" t="inlineStr"/>
      <c r="AF156" t="inlineStr">
        <is>
          <t>Draft</t>
        </is>
      </c>
      <c r="AG156" t="inlineStr">
        <is>
          <t>uim-esdh-full-2026-07-07</t>
        </is>
      </c>
    </row>
    <row r="157" ht="64" customHeight="1">
      <c r="A157" s="35" t="n">
        <v>156</v>
      </c>
      <c r="B157" s="35" t="inlineStr">
        <is>
          <t>MK-134</t>
        </is>
      </c>
      <c r="C157" s="35" t="inlineStr">
        <is>
          <t>Bilag 1.b</t>
        </is>
      </c>
      <c r="D157" s="35" t="inlineStr">
        <is>
          <t>Adgangsstyring</t>
        </is>
      </c>
      <c r="E157" s="35" t="inlineStr">
        <is>
          <t>Adgangsstyring på Kundeoprettede Entiteter</t>
        </is>
      </c>
      <c r="F157" s="35" t="inlineStr">
        <is>
          <t>ESDH-løsningen skal understøtte, at der kan tildeles adgangsrettigheder til Kundeoprettede Entiteter.</t>
        </is>
      </c>
      <c r="G157" s="35" t="inlineStr">
        <is>
          <t>Mindstekrav</t>
        </is>
      </c>
      <c r="H157" s="35">
        <f>IF(G157="Evalueringskrav","Answer",(IF(G157="Krav","Check",(IF(G157="Mindstekrav","Verify","")))))</f>
        <v/>
      </c>
      <c r="I157" s="35" t="inlineStr">
        <is>
          <t>Ja</t>
        </is>
      </c>
      <c r="J157" s="35" t="n"/>
      <c r="K157" s="47" t="n"/>
      <c r="L157" s="35" t="inlineStr">
        <is>
          <t>Anton</t>
        </is>
      </c>
      <c r="M157" s="35" t="n"/>
      <c r="N157" s="35" t="n"/>
      <c r="O157" s="35" t="inlineStr">
        <is>
          <t>1. Fully met</t>
        </is>
      </c>
      <c r="P157" s="35" t="n"/>
      <c r="Q157" s="35" t="n"/>
      <c r="R157" s="35" t="n"/>
      <c r="S157" s="35" t="n"/>
      <c r="T157" s="35" t="n"/>
      <c r="U157" s="35" t="inlineStr">
        <is>
          <t>Not Started</t>
        </is>
      </c>
      <c r="V157" s="37">
        <f>IF(U157="Not Started",0%,IF(U157="Started",50%,IF(U157="Ready for review",70%,IF(U157="Reviewed - Content",80%,IF(U157="Reviewed - Format",90%,IF(U157="Done",100%,""))))))</f>
        <v/>
      </c>
      <c r="W157" t="inlineStr">
        <is>
          <t>2026-07-07</t>
        </is>
      </c>
      <c r="X157" t="inlineStr">
        <is>
          <t>Cursor / tender-response (batch)</t>
        </is>
      </c>
      <c r="Y157" t="inlineStr">
        <is>
          <t>Met</t>
        </is>
      </c>
      <c r="Z157" t="inlineStr">
        <is>
          <t>Verified</t>
        </is>
      </c>
      <c r="AA157" t="inlineStr">
        <is>
          <t>Verify: Adgangsstyring på Kundeoprettede Entiteter — vurderet opfyldt (tool: 1. Fully met).</t>
        </is>
      </c>
      <c r="AB157" t="inlineStr"/>
      <c r="AC157" t="inlineStr">
        <is>
          <t>docs/tender-reference/extracted/Nationalbanken/Bilag 3.i Leverandørens Løsningsbeskrivelse.txt; docs/tender-reference/extracted/KUM-SLKS/Bilag 3 - Kravspecifikation.txt; docs/tender-reference/extracted/Nationalbanken/Bilag 9.i Leverandørens løsningsbeskrivelse.txt</t>
        </is>
      </c>
      <c r="AD157" t="inlineStr">
        <is>
          <t>Anton: Confirm verify-tekst; opdatér review status efter tjek.</t>
        </is>
      </c>
      <c r="AE157" t="inlineStr"/>
      <c r="AF157" t="inlineStr">
        <is>
          <t>Draft</t>
        </is>
      </c>
      <c r="AG157" t="inlineStr">
        <is>
          <t>uim-esdh-full-2026-07-07</t>
        </is>
      </c>
    </row>
    <row r="158" ht="48" customHeight="1">
      <c r="A158" s="35" t="n">
        <v>157</v>
      </c>
      <c r="B158" s="35" t="inlineStr">
        <is>
          <t>MK-135</t>
        </is>
      </c>
      <c r="C158" s="35" t="inlineStr">
        <is>
          <t>Bilag 1.b</t>
        </is>
      </c>
      <c r="D158" s="35" t="inlineStr">
        <is>
          <t>Adgangsstyring</t>
        </is>
      </c>
      <c r="E158" s="35" t="inlineStr">
        <is>
          <t>Begrænsning af adgangsrettigheder</t>
        </is>
      </c>
      <c r="F158" s="35" t="inlineStr">
        <is>
          <t>ESDH-løsningen skal understøtte, at en Bruger direkte i brugergrænsefladen kan begrænse adgangen til Kundeoprettede Entiteter ad hoc.</t>
        </is>
      </c>
      <c r="G158" s="35" t="inlineStr">
        <is>
          <t>Mindstekrav</t>
        </is>
      </c>
      <c r="H158" s="35">
        <f>IF(G158="Evalueringskrav","Answer",(IF(G158="Krav","Check",(IF(G158="Mindstekrav","Verify","")))))</f>
        <v/>
      </c>
      <c r="I158" s="35" t="inlineStr">
        <is>
          <t>Ja</t>
        </is>
      </c>
      <c r="J158" s="35" t="n"/>
      <c r="K158" s="47" t="n"/>
      <c r="L158" s="35" t="inlineStr">
        <is>
          <t>Anton</t>
        </is>
      </c>
      <c r="M158" s="35" t="n"/>
      <c r="N158" s="35" t="n"/>
      <c r="O158" s="35" t="inlineStr">
        <is>
          <t>1. Fully met</t>
        </is>
      </c>
      <c r="P158" s="35" t="n"/>
      <c r="Q158" s="35" t="n"/>
      <c r="R158" s="35" t="n"/>
      <c r="S158" s="35" t="n"/>
      <c r="T158" s="35" t="n"/>
      <c r="U158" s="35" t="inlineStr">
        <is>
          <t>Not Started</t>
        </is>
      </c>
      <c r="V158" s="37">
        <f>IF(U158="Not Started",0%,IF(U158="Started",50%,IF(U158="Ready for review",70%,IF(U158="Reviewed - Content",80%,IF(U158="Reviewed - Format",90%,IF(U158="Done",100%,""))))))</f>
        <v/>
      </c>
      <c r="W158" t="inlineStr">
        <is>
          <t>2026-07-07</t>
        </is>
      </c>
      <c r="X158" t="inlineStr">
        <is>
          <t>Cursor / tender-response (MCP-enriched)</t>
        </is>
      </c>
      <c r="Y158" t="inlineStr">
        <is>
          <t>Met</t>
        </is>
      </c>
      <c r="Z158" t="inlineStr">
        <is>
          <t>Lead</t>
        </is>
      </c>
      <c r="AA158" t="inlineStr">
        <is>
          <t>Verify: Begrænsning af adgangsrettigheder — vurderet opfyldt (tool: 1. Fully met).</t>
        </is>
      </c>
      <c r="AB158" t="inlineStr">
        <is>
          <t>Red flag: Begrænser muligheden for at bruge ”Case accessgroup” der ellers passer på deres MK’s</t>
        </is>
      </c>
      <c r="AC158" t="inlineStr">
        <is>
          <t>Ratatoskr: Access group (admin-en) | Wiki: Integration users</t>
        </is>
      </c>
      <c r="AD158" t="inlineStr">
        <is>
          <t>Anton: Confirm verify-tekst; opdatér review status efter tjek.</t>
        </is>
      </c>
      <c r="AE158" t="inlineStr"/>
      <c r="AF158" t="inlineStr">
        <is>
          <t>Draft</t>
        </is>
      </c>
      <c r="AG158" t="inlineStr">
        <is>
          <t>uim-esdh-full-2026-07-07</t>
        </is>
      </c>
    </row>
    <row r="159" ht="64" customHeight="1">
      <c r="A159" s="35" t="n">
        <v>158</v>
      </c>
      <c r="B159" s="35" t="inlineStr">
        <is>
          <t>K-15</t>
        </is>
      </c>
      <c r="C159" s="35" t="inlineStr">
        <is>
          <t>Bilag 1.b</t>
        </is>
      </c>
      <c r="D159" s="35" t="inlineStr">
        <is>
          <t>Adgangsstyring</t>
        </is>
      </c>
      <c r="E159" s="35" t="inlineStr">
        <is>
          <t>Dokumentadgang uafhængigt af sagsadgang</t>
        </is>
      </c>
      <c r="F159" s="35"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G159" s="35" t="inlineStr">
        <is>
          <t>Krav</t>
        </is>
      </c>
      <c r="H159" s="35">
        <f>IF(G159="Evalueringskrav","Answer",(IF(G159="Krav","Check",(IF(G159="Mindstekrav","Verify","")))))</f>
        <v/>
      </c>
      <c r="I159" s="35" t="inlineStr">
        <is>
          <t>Ja</t>
        </is>
      </c>
      <c r="J159" s="35" t="n"/>
      <c r="K159" s="47" t="n"/>
      <c r="L159" s="35" t="inlineStr">
        <is>
          <t>Anton</t>
        </is>
      </c>
      <c r="M159" s="35" t="n"/>
      <c r="N159" s="35" t="n"/>
      <c r="O159" s="35" t="inlineStr">
        <is>
          <t>1. Fully met</t>
        </is>
      </c>
      <c r="P159" s="35" t="inlineStr">
        <is>
          <t>ADN: If we use Grant on Document level, we support this</t>
        </is>
      </c>
      <c r="Q159" s="35" t="n"/>
      <c r="R159" s="35" t="n"/>
      <c r="S159" s="35" t="n"/>
      <c r="T159" s="35" t="n"/>
      <c r="U159" s="35" t="inlineStr">
        <is>
          <t>Not Started</t>
        </is>
      </c>
      <c r="V159" s="37">
        <f>IF(U159="Not Started",0%,IF(U159="Started",50%,IF(U159="Ready for review",70%,IF(U159="Reviewed - Content",80%,IF(U159="Reviewed - Format",90%,IF(U159="Done",100%,""))))))</f>
        <v/>
      </c>
      <c r="W159" t="inlineStr">
        <is>
          <t>2026-07-07</t>
        </is>
      </c>
      <c r="X159" t="inlineStr">
        <is>
          <t>Cursor / tender-response (batch)</t>
        </is>
      </c>
      <c r="Y159" t="inlineStr">
        <is>
          <t>Met</t>
        </is>
      </c>
      <c r="Z159" t="inlineStr">
        <is>
          <t>Verified</t>
        </is>
      </c>
      <c r="AA159" t="inlineStr">
        <is>
          <t>Check: Dokumentadgang uafhængigt af sagsadgang — vurderet opfyldt (tool: 1. Fully met).</t>
        </is>
      </c>
      <c r="AB159" t="inlineStr">
        <is>
          <t>ADN: If we use Grant on Document level, we support this</t>
        </is>
      </c>
      <c r="AC159" t="inlineStr">
        <is>
          <t>docs/tender-reference/extracted/KK Tender tool.txt; docs/tender-reference/extracted/KUM-SLKS/Bilag 3 - Kravspecifikation.txt; docs/tender-reference/extracted/Nationalbanken/Bilag 3.i Leverandørens Løsningsbeskrivelse.txt</t>
        </is>
      </c>
      <c r="AD159" t="inlineStr">
        <is>
          <t>Anton: Confirm verify-tekst; opdatér review status efter tjek.</t>
        </is>
      </c>
      <c r="AE159" t="inlineStr"/>
      <c r="AF159" t="inlineStr">
        <is>
          <t>Draft</t>
        </is>
      </c>
      <c r="AG159" t="inlineStr">
        <is>
          <t>uim-esdh-full-2026-07-07</t>
        </is>
      </c>
    </row>
    <row r="160" ht="409.5" customHeight="1">
      <c r="A160" s="35" t="n">
        <v>159</v>
      </c>
      <c r="B160" s="35" t="inlineStr">
        <is>
          <t>EK-9</t>
        </is>
      </c>
      <c r="C160" s="35" t="inlineStr">
        <is>
          <t>Bilag 1.b</t>
        </is>
      </c>
      <c r="D160" s="35" t="inlineStr">
        <is>
          <t>Adgangsstyring</t>
        </is>
      </c>
      <c r="E160" s="35" t="inlineStr">
        <is>
          <t>Organisatoriske rolle/ rettigheder</t>
        </is>
      </c>
      <c r="F160" s="35" t="inlineStr">
        <is>
          <t>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t>
        </is>
      </c>
      <c r="G160" s="35" t="inlineStr">
        <is>
          <t>Evalueringskrav</t>
        </is>
      </c>
      <c r="H160" s="35">
        <f>IF(G160="Evalueringskrav","Answer",(IF(G160="Krav","Check",(IF(G160="Mindstekrav","Verify","")))))</f>
        <v/>
      </c>
      <c r="I160" s="35" t="inlineStr">
        <is>
          <t>Ja</t>
        </is>
      </c>
      <c r="J160" s="35" t="n"/>
      <c r="K160" s="47" t="n"/>
      <c r="L160" s="35" t="inlineStr">
        <is>
          <t>Hans</t>
        </is>
      </c>
      <c r="M160" s="35" t="n"/>
      <c r="N160" s="35" t="n"/>
      <c r="O160" s="35" t="n"/>
      <c r="P160" s="35" t="n"/>
      <c r="Q160" s="35" t="n"/>
      <c r="R160" s="35" t="n"/>
      <c r="S160" s="35" t="n"/>
      <c r="T160" s="35" t="n"/>
      <c r="U160" s="35" t="inlineStr">
        <is>
          <t>Not Started</t>
        </is>
      </c>
      <c r="V160" s="37">
        <f>IF(U160="Not Started",0%,IF(U160="Started",50%,IF(U160="Ready for review",70%,IF(U160="Reviewed - Content",80%,IF(U160="Reviewed - Format",90%,IF(U160="Done",100%,""))))))</f>
        <v/>
      </c>
      <c r="W160" t="inlineStr">
        <is>
          <t>2026-07-07</t>
        </is>
      </c>
      <c r="X160" t="inlineStr">
        <is>
          <t>Cursor / tender-response (MCP-enriched)</t>
        </is>
      </c>
      <c r="Y160" t="inlineStr">
        <is>
          <t>Draft needed</t>
        </is>
      </c>
      <c r="Z160" t="inlineStr">
        <is>
          <t>Lead</t>
        </is>
      </c>
      <c r="AA160" t="inlineStr">
        <is>
          <t>Answer: Organisatoriske rolle/ rettigheder — informationskrav; udkast bilag/dokumentation mangler.</t>
        </is>
      </c>
      <c r="AB160" t="inlineStr">
        <is>
          <t>Mangler link til svar-bilag i kolonne T.</t>
        </is>
      </c>
      <c r="AC160" t="inlineStr">
        <is>
          <t>Ratatoskr: Access group (admin-en) | Wiki: User management for Online services; 5.1 release information</t>
        </is>
      </c>
      <c r="AD160" t="inlineStr">
        <is>
          <t>Hans: Opret/link svar-bilag; draft IK-tekst fra prior art.</t>
        </is>
      </c>
      <c r="AE160" t="inlineStr"/>
      <c r="AF160" t="inlineStr">
        <is>
          <t>Draft</t>
        </is>
      </c>
      <c r="AG160" t="inlineStr">
        <is>
          <t>uim-esdh-full-2026-07-07</t>
        </is>
      </c>
    </row>
    <row r="161" ht="409.5" customHeight="1">
      <c r="A161" s="35" t="n">
        <v>160</v>
      </c>
      <c r="B161" s="35" t="inlineStr">
        <is>
          <t>EK-10</t>
        </is>
      </c>
      <c r="C161" s="35" t="inlineStr">
        <is>
          <t>Bilag 1.b</t>
        </is>
      </c>
      <c r="D161" s="35" t="inlineStr">
        <is>
          <t>Logning af brugergrænseflade</t>
        </is>
      </c>
      <c r="E161" s="35" t="inlineStr">
        <is>
          <t>Brugerrettet logning og sagsgang i brugergrænsefladen</t>
        </is>
      </c>
      <c r="F161" s="35" t="inlineStr">
        <is>
          <t>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t>
        </is>
      </c>
      <c r="G161" s="35" t="inlineStr">
        <is>
          <t>Evalueringskrav</t>
        </is>
      </c>
      <c r="H161" s="35">
        <f>IF(G161="Evalueringskrav","Answer",(IF(G161="Krav","Check",(IF(G161="Mindstekrav","Verify","")))))</f>
        <v/>
      </c>
      <c r="I161" s="35" t="inlineStr">
        <is>
          <t>Ja</t>
        </is>
      </c>
      <c r="J161" s="35" t="n"/>
      <c r="K161" s="47" t="n"/>
      <c r="L161" s="35" t="inlineStr">
        <is>
          <t>Hans</t>
        </is>
      </c>
      <c r="M161" s="35" t="n"/>
      <c r="N161" s="35" t="n"/>
      <c r="O161" s="35" t="n"/>
      <c r="P161" s="35" t="n"/>
      <c r="Q161" s="35" t="n"/>
      <c r="R161" s="35" t="n"/>
      <c r="S161" s="35" t="n"/>
      <c r="T161" s="35" t="n"/>
      <c r="U161" s="35" t="inlineStr">
        <is>
          <t>Not Started</t>
        </is>
      </c>
      <c r="V161" s="37">
        <f>IF(U161="Not Started",0%,IF(U161="Started",50%,IF(U161="Ready for review",70%,IF(U161="Reviewed - Content",80%,IF(U161="Reviewed - Format",90%,IF(U161="Done",100%,""))))))</f>
        <v/>
      </c>
      <c r="W161" t="inlineStr">
        <is>
          <t>2026-07-07</t>
        </is>
      </c>
      <c r="X161" t="inlineStr">
        <is>
          <t>Cursor / tender-response (MCP-enriched)</t>
        </is>
      </c>
      <c r="Y161" t="inlineStr">
        <is>
          <t>Draft needed</t>
        </is>
      </c>
      <c r="Z161" t="inlineStr">
        <is>
          <t>Verified</t>
        </is>
      </c>
      <c r="AA161" t="inlineStr">
        <is>
          <t>Answer: Brugerrettet logning og sagsgang i brugergrænsefladen — informationskrav; udkast bilag/dokumentation mangler.</t>
        </is>
      </c>
      <c r="AB161" t="inlineStr">
        <is>
          <t>Mangler link til svar-bilag i kolonne T.</t>
        </is>
      </c>
      <c r="AC161" t="inlineStr">
        <is>
          <t>Ratatoskr: Audit trails (admin-en); Entity Log Messages (admin-en) | Wiki: 360° Online Security Specifications customer version</t>
        </is>
      </c>
      <c r="AD161" t="inlineStr">
        <is>
          <t>Hans: Opret/link svar-bilag; draft IK-tekst fra prior art.</t>
        </is>
      </c>
      <c r="AE161" t="inlineStr"/>
      <c r="AF161" t="inlineStr">
        <is>
          <t>Draft</t>
        </is>
      </c>
      <c r="AG161" t="inlineStr">
        <is>
          <t>uim-esdh-full-2026-07-07</t>
        </is>
      </c>
    </row>
    <row r="162" ht="64" customHeight="1">
      <c r="A162" s="35" t="n">
        <v>161</v>
      </c>
      <c r="B162" s="35" t="inlineStr">
        <is>
          <t>MK-136</t>
        </is>
      </c>
      <c r="C162" s="35" t="inlineStr">
        <is>
          <t>Bilag 1.b</t>
        </is>
      </c>
      <c r="D162" s="35" t="inlineStr">
        <is>
          <t>Adgang til data</t>
        </is>
      </c>
      <c r="E162" s="35" t="inlineStr">
        <is>
          <t>Adgang til data</t>
        </is>
      </c>
      <c r="F162" s="35" t="inlineStr">
        <is>
          <t>ESDH-løsningen skal understøtte, at data skal kunne tilgås og udtrækkes udenom leverandørspecifikke værktøjer, således at fremtidig migrering til en anden platform kan gennemføres med begrænset kompleksitet og uden tab af data.</t>
        </is>
      </c>
      <c r="G162" s="35" t="inlineStr">
        <is>
          <t>Mindstekrav</t>
        </is>
      </c>
      <c r="H162" s="35">
        <f>IF(G162="Evalueringskrav","Answer",(IF(G162="Krav","Check",(IF(G162="Mindstekrav","Verify","")))))</f>
        <v/>
      </c>
      <c r="I162" s="35" t="inlineStr">
        <is>
          <t>Ja</t>
        </is>
      </c>
      <c r="J162" s="35" t="n"/>
      <c r="K162" s="47" t="n"/>
      <c r="L162" s="35" t="n"/>
      <c r="M162" s="35" t="n"/>
      <c r="N162" s="35" t="n"/>
      <c r="O162" s="35" t="n"/>
      <c r="P162" s="35" t="inlineStr">
        <is>
          <t>ADN:  Kan det lade sig gøre at trække data ud uden Leverandørspecifikke værktøjer?</t>
        </is>
      </c>
      <c r="Q162" s="35" t="n"/>
      <c r="R162" s="35" t="n"/>
      <c r="S162" s="35" t="n"/>
      <c r="T162" s="35" t="n"/>
      <c r="U162" s="35" t="inlineStr">
        <is>
          <t>Not Started</t>
        </is>
      </c>
      <c r="V162" s="37">
        <f>IF(U162="Not Started",0%,IF(U162="Started",50%,IF(U162="Ready for review",70%,IF(U162="Reviewed - Content",80%,IF(U162="Reviewed - Format",90%,IF(U162="Done",100%,""))))))</f>
        <v/>
      </c>
      <c r="W162" t="inlineStr">
        <is>
          <t>2026-07-07</t>
        </is>
      </c>
      <c r="X162" t="inlineStr">
        <is>
          <t>Cursor / tender-response (MCP-enriched)</t>
        </is>
      </c>
      <c r="Y162" t="inlineStr">
        <is>
          <t>Clarify</t>
        </is>
      </c>
      <c r="Z162" t="inlineStr">
        <is>
          <t>Lead</t>
        </is>
      </c>
      <c r="AA162" t="inlineStr">
        <is>
          <t>Verify: Adgang til data — kræver produkt-/team-afklaring (ingen tool-rating).</t>
        </is>
      </c>
      <c r="AB162" t="inlineStr">
        <is>
          <t>ADN:  Kan det lade sig gøre at trække data ud uden Leverandørspecifikke værktøjer? | Red flag: Kan det lade sig gøre at trække data ud uden?</t>
        </is>
      </c>
      <c r="AC162" t="inlineStr">
        <is>
          <t>Ratatoskr: SIF (Simple Integration Framework) (admin-en) | Wiki: How to: Migrate From On-Premise to Online; Simple Integration Framework (SIF)</t>
        </is>
      </c>
      <c r="AD162" t="inlineStr">
        <is>
          <t>Owner: Udfyld tool-rating (O) og evidens; gennemgå AI-kladde.</t>
        </is>
      </c>
      <c r="AE162" t="inlineStr"/>
      <c r="AF162" t="inlineStr">
        <is>
          <t>Draft</t>
        </is>
      </c>
      <c r="AG162" t="inlineStr">
        <is>
          <t>uim-esdh-full-2026-07-07</t>
        </is>
      </c>
    </row>
    <row r="163" ht="32" customHeight="1">
      <c r="A163" s="35" t="n">
        <v>162</v>
      </c>
      <c r="B163" s="35" t="inlineStr">
        <is>
          <t>MK-137</t>
        </is>
      </c>
      <c r="C163" s="35" t="inlineStr">
        <is>
          <t>Bilag 1.b</t>
        </is>
      </c>
      <c r="D163" s="35" t="inlineStr">
        <is>
          <t>Office-Integration</t>
        </is>
      </c>
      <c r="E163" s="35" t="inlineStr">
        <is>
          <t>Integration til Microsoft Office</t>
        </is>
      </c>
      <c r="F163" s="35" t="inlineStr">
        <is>
          <t>Leverandøren skal have integration til Microsoft Office applikationerne: Word, Excel og PowerPoint.</t>
        </is>
      </c>
      <c r="G163" s="35" t="inlineStr">
        <is>
          <t>Mindstekrav</t>
        </is>
      </c>
      <c r="H163" s="35">
        <f>IF(G163="Evalueringskrav","Answer",(IF(G163="Krav","Check",(IF(G163="Mindstekrav","Verify","")))))</f>
        <v/>
      </c>
      <c r="I163" s="35" t="inlineStr">
        <is>
          <t>Ja</t>
        </is>
      </c>
      <c r="J163" s="35" t="n"/>
      <c r="K163" s="47" t="n"/>
      <c r="L163" s="35" t="inlineStr">
        <is>
          <t>Anton</t>
        </is>
      </c>
      <c r="M163" s="35" t="n"/>
      <c r="N163" s="35" t="n"/>
      <c r="O163" s="35" t="inlineStr">
        <is>
          <t>1. Fully met</t>
        </is>
      </c>
      <c r="P163" s="35" t="n"/>
      <c r="Q163" s="35" t="n"/>
      <c r="R163" s="35" t="n"/>
      <c r="S163" s="35" t="n"/>
      <c r="T163" s="35" t="n"/>
      <c r="U163" s="35" t="inlineStr">
        <is>
          <t>Not Started</t>
        </is>
      </c>
      <c r="V163" s="37">
        <f>IF(U163="Not Started",0%,IF(U163="Started",50%,IF(U163="Ready for review",70%,IF(U163="Reviewed - Content",80%,IF(U163="Reviewed - Format",90%,IF(U163="Done",100%,""))))))</f>
        <v/>
      </c>
      <c r="W163" t="inlineStr">
        <is>
          <t>2026-07-07</t>
        </is>
      </c>
      <c r="X163" t="inlineStr">
        <is>
          <t>Cursor / tender-response (batch)</t>
        </is>
      </c>
      <c r="Y163" t="inlineStr">
        <is>
          <t>Met</t>
        </is>
      </c>
      <c r="Z163" t="inlineStr">
        <is>
          <t>Verified</t>
        </is>
      </c>
      <c r="AA163" t="inlineStr">
        <is>
          <t>Verify: Integration til Microsoft Office — vurderet opfyldt (tool: 1. Fully met).</t>
        </is>
      </c>
      <c r="AB163" t="inlineStr"/>
      <c r="AC163" t="inlineStr">
        <is>
          <t>docs/product/Public_360_Release_Overview_Since_5.12.md; docs/product/RFP_Leverandørens_svar_utdrag.txt; docs/tender-reference/extracted/HSØ/02.00-Tietoevry-SSA-L-Bilag 2-Leverandørens beskrivelse av Tjenesten.txt</t>
        </is>
      </c>
      <c r="AD163" t="inlineStr">
        <is>
          <t>Anton: Confirm verify-tekst; opdatér review status efter tjek.</t>
        </is>
      </c>
      <c r="AE163" t="inlineStr"/>
      <c r="AF163" t="inlineStr">
        <is>
          <t>Draft</t>
        </is>
      </c>
      <c r="AG163" t="inlineStr">
        <is>
          <t>uim-esdh-full-2026-07-07</t>
        </is>
      </c>
    </row>
    <row r="164" ht="80" customHeight="1">
      <c r="A164" s="35" t="n">
        <v>163</v>
      </c>
      <c r="B164" s="35" t="inlineStr">
        <is>
          <t>MK-138</t>
        </is>
      </c>
      <c r="C164" s="35" t="inlineStr">
        <is>
          <t>Bilag 1.b</t>
        </is>
      </c>
      <c r="D164" s="35" t="inlineStr">
        <is>
          <t>Office-Integration</t>
        </is>
      </c>
      <c r="E164" s="35" t="inlineStr">
        <is>
          <t>Understøttelse af filtyperne: Microsoft PowerPoint, Word og Excel</t>
        </is>
      </c>
      <c r="F164" s="35" t="inlineStr">
        <is>
          <t>ESDH-løsningen skal understøtte Standardintegration til Microsoft PowerPoint, Word og Excel, så Filer kan oprettes, redigeres og journaliseres direkte fra Microsoft PowerPoint, Word og Excel.</t>
        </is>
      </c>
      <c r="G164" s="35" t="inlineStr">
        <is>
          <t>Mindstekrav</t>
        </is>
      </c>
      <c r="H164" s="35">
        <f>IF(G164="Evalueringskrav","Answer",(IF(G164="Krav","Check",(IF(G164="Mindstekrav","Verify","")))))</f>
        <v/>
      </c>
      <c r="I164" s="35" t="inlineStr">
        <is>
          <t>Ja</t>
        </is>
      </c>
      <c r="J164" s="35" t="n"/>
      <c r="K164" s="47" t="n"/>
      <c r="L164" s="35" t="inlineStr">
        <is>
          <t>Anton</t>
        </is>
      </c>
      <c r="M164" s="35" t="n"/>
      <c r="N164" s="35" t="n"/>
      <c r="O164" s="35" t="inlineStr">
        <is>
          <t>1. Fully met</t>
        </is>
      </c>
      <c r="P164" s="35" t="n"/>
      <c r="Q164" s="35" t="n"/>
      <c r="R164" s="35" t="n"/>
      <c r="S164" s="35" t="n"/>
      <c r="T164" s="35" t="n"/>
      <c r="U164" s="35" t="inlineStr">
        <is>
          <t>Not Started</t>
        </is>
      </c>
      <c r="V164" s="37">
        <f>IF(U164="Not Started",0%,IF(U164="Started",50%,IF(U164="Ready for review",70%,IF(U164="Reviewed - Content",80%,IF(U164="Reviewed - Format",90%,IF(U164="Done",100%,""))))))</f>
        <v/>
      </c>
      <c r="W164" t="inlineStr">
        <is>
          <t>2026-07-07</t>
        </is>
      </c>
      <c r="X164" t="inlineStr">
        <is>
          <t>Cursor / tender-response (batch)</t>
        </is>
      </c>
      <c r="Y164" t="inlineStr">
        <is>
          <t>Met</t>
        </is>
      </c>
      <c r="Z164" t="inlineStr">
        <is>
          <t>Verified</t>
        </is>
      </c>
      <c r="AA164" t="inlineStr">
        <is>
          <t>Verify: Understøttelse af filtyperne: Microsoft PowerPoint, Word og Excel — vurderet opfyldt (tool: 1. Fully met).</t>
        </is>
      </c>
      <c r="AB164" t="inlineStr"/>
      <c r="AC164" t="inlineStr">
        <is>
          <t>docs/tender-reference/extracted/Nationalbanken/Bilag 3.i Leverandørens Løsningsbeskrivelse.txt; docs/tender-reference/extracted/KK Tender tool.txt; docs/tender-reference/extracted/KUM-SLKS/Bilag 3 - Kravspecifikation.txt</t>
        </is>
      </c>
      <c r="AD164" t="inlineStr">
        <is>
          <t>Anton: Confirm verify-tekst; opdatér review status efter tjek.</t>
        </is>
      </c>
      <c r="AE164" t="inlineStr"/>
      <c r="AF164" t="inlineStr">
        <is>
          <t>Draft</t>
        </is>
      </c>
      <c r="AG164" t="inlineStr">
        <is>
          <t>uim-esdh-full-2026-07-07</t>
        </is>
      </c>
    </row>
    <row r="165" ht="32" customHeight="1">
      <c r="A165" s="35" t="n">
        <v>164</v>
      </c>
      <c r="B165" s="35" t="inlineStr">
        <is>
          <t>MK-139</t>
        </is>
      </c>
      <c r="C165" s="35" t="inlineStr">
        <is>
          <t>Bilag 1.b</t>
        </is>
      </c>
      <c r="D165" s="35" t="inlineStr">
        <is>
          <t>Office-Integration</t>
        </is>
      </c>
      <c r="E165" s="35" t="inlineStr">
        <is>
          <t>Journalisering på sag</t>
        </is>
      </c>
      <c r="F165" s="35" t="inlineStr">
        <is>
          <t>ESDH-løsningen skal understøtte, at en Fil kan journaliseres på en ny eller eksisterende sag direkte fra Word, Excel og PowerPoint.</t>
        </is>
      </c>
      <c r="G165" s="35" t="inlineStr">
        <is>
          <t>Mindstekrav</t>
        </is>
      </c>
      <c r="H165" s="35">
        <f>IF(G165="Evalueringskrav","Answer",(IF(G165="Krav","Check",(IF(G165="Mindstekrav","Verify","")))))</f>
        <v/>
      </c>
      <c r="I165" s="35" t="inlineStr">
        <is>
          <t>Ja</t>
        </is>
      </c>
      <c r="J165" s="35" t="n"/>
      <c r="K165" s="47" t="n"/>
      <c r="L165" s="35" t="inlineStr">
        <is>
          <t>Anton</t>
        </is>
      </c>
      <c r="M165" s="35" t="n"/>
      <c r="N165" s="35" t="n"/>
      <c r="O165" s="35" t="inlineStr">
        <is>
          <t>1. Fully met</t>
        </is>
      </c>
      <c r="P165" s="35" t="n"/>
      <c r="Q165" s="35" t="n"/>
      <c r="R165" s="35" t="n"/>
      <c r="S165" s="35" t="n"/>
      <c r="T165" s="35" t="n"/>
      <c r="U165" s="35" t="inlineStr">
        <is>
          <t>Not Started</t>
        </is>
      </c>
      <c r="V165" s="37">
        <f>IF(U165="Not Started",0%,IF(U165="Started",50%,IF(U165="Ready for review",70%,IF(U165="Reviewed - Content",80%,IF(U165="Reviewed - Format",90%,IF(U165="Done",100%,""))))))</f>
        <v/>
      </c>
      <c r="W165" t="inlineStr">
        <is>
          <t>2026-07-07</t>
        </is>
      </c>
      <c r="X165" t="inlineStr">
        <is>
          <t>Cursor / tender-response (batch)</t>
        </is>
      </c>
      <c r="Y165" t="inlineStr">
        <is>
          <t>Met</t>
        </is>
      </c>
      <c r="Z165" t="inlineStr">
        <is>
          <t>Verified</t>
        </is>
      </c>
      <c r="AA165" t="inlineStr">
        <is>
          <t>Verify: Journalisering på sag — vurderet opfyldt (tool: 1. Fully met).</t>
        </is>
      </c>
      <c r="AB165" t="inlineStr"/>
      <c r="AC165" t="inlineStr">
        <is>
          <t>docs/tender-reference/extracted/Nationalbanken/Bilag 3.i Leverandørens Løsningsbeskrivelse.txt; docs/tender-reference/extracted/KK Tender tool.txt; docs/tender-reference/extracted/KUM-SLKS/Bilag 3 - Kravspecifikation.txt</t>
        </is>
      </c>
      <c r="AD165" t="inlineStr">
        <is>
          <t>Anton: Confirm verify-tekst; opdatér review status efter tjek.</t>
        </is>
      </c>
      <c r="AE165" t="inlineStr"/>
      <c r="AF165" t="inlineStr">
        <is>
          <t>Draft</t>
        </is>
      </c>
      <c r="AG165" t="inlineStr">
        <is>
          <t>uim-esdh-full-2026-07-07</t>
        </is>
      </c>
    </row>
    <row r="166" ht="48" customHeight="1">
      <c r="A166" s="35" t="n">
        <v>165</v>
      </c>
      <c r="B166" s="35" t="inlineStr">
        <is>
          <t>MK-140</t>
        </is>
      </c>
      <c r="C166" s="35" t="inlineStr">
        <is>
          <t>Bilag 1.b</t>
        </is>
      </c>
      <c r="D166" s="35" t="inlineStr">
        <is>
          <t>Office-Integration</t>
        </is>
      </c>
      <c r="E166" s="35" t="inlineStr">
        <is>
          <t>Dokumentskabelon</t>
        </is>
      </c>
      <c r="F166" s="35" t="inlineStr">
        <is>
          <t>ESDH-løsningen skal understøtte, at Filer kan oprettes baseret på dokumentskabeloner i ESDH-løsningen med brug af flettefelter fra ESDH-løsningen.</t>
        </is>
      </c>
      <c r="G166" s="35" t="inlineStr">
        <is>
          <t>Mindstekrav</t>
        </is>
      </c>
      <c r="H166" s="35">
        <f>IF(G166="Evalueringskrav","Answer",(IF(G166="Krav","Check",(IF(G166="Mindstekrav","Verify","")))))</f>
        <v/>
      </c>
      <c r="I166" s="35" t="inlineStr">
        <is>
          <t>Ja</t>
        </is>
      </c>
      <c r="J166" s="35" t="n"/>
      <c r="K166" s="47" t="n"/>
      <c r="L166" s="35" t="inlineStr">
        <is>
          <t>Anton</t>
        </is>
      </c>
      <c r="M166" s="35" t="n"/>
      <c r="N166" s="35" t="n"/>
      <c r="O166" s="35" t="inlineStr">
        <is>
          <t>1. Fully met</t>
        </is>
      </c>
      <c r="P166" s="35" t="n"/>
      <c r="Q166" s="35" t="n"/>
      <c r="R166" s="35" t="n"/>
      <c r="S166" s="35" t="n"/>
      <c r="T166" s="35" t="n"/>
      <c r="U166" s="35" t="inlineStr">
        <is>
          <t>Not Started</t>
        </is>
      </c>
      <c r="V166" s="37">
        <f>IF(U166="Not Started",0%,IF(U166="Started",50%,IF(U166="Ready for review",70%,IF(U166="Reviewed - Content",80%,IF(U166="Reviewed - Format",90%,IF(U166="Done",100%,""))))))</f>
        <v/>
      </c>
      <c r="W166" t="inlineStr">
        <is>
          <t>2026-07-07</t>
        </is>
      </c>
      <c r="X166" t="inlineStr">
        <is>
          <t>Cursor / tender-response (batch)</t>
        </is>
      </c>
      <c r="Y166" t="inlineStr">
        <is>
          <t>Met</t>
        </is>
      </c>
      <c r="Z166" t="inlineStr">
        <is>
          <t>Verified</t>
        </is>
      </c>
      <c r="AA166" t="inlineStr">
        <is>
          <t>Verify: Dokumentskabelon — vurderet opfyldt (tool: 1. Fully met).</t>
        </is>
      </c>
      <c r="AB166" t="inlineStr"/>
      <c r="AC166" t="inlineStr">
        <is>
          <t>docs/tender-reference/extracted/KUM-SLKS/Bilag 3 - Kravspecifikation.txt; docs/tender-reference/extracted/Nationalbanken/Bilag 3.i Leverandørens Løsningsbeskrivelse.txt; docs/tender-reference/extracted/KK Tender tool.txt</t>
        </is>
      </c>
      <c r="AD166" t="inlineStr">
        <is>
          <t>Anton: Confirm verify-tekst; opdatér review status efter tjek.</t>
        </is>
      </c>
      <c r="AE166" t="inlineStr"/>
      <c r="AF166" t="inlineStr">
        <is>
          <t>Draft</t>
        </is>
      </c>
      <c r="AG166" t="inlineStr">
        <is>
          <t>uim-esdh-full-2026-07-07</t>
        </is>
      </c>
    </row>
    <row r="167" ht="64" customHeight="1">
      <c r="A167" s="35" t="n">
        <v>166</v>
      </c>
      <c r="B167" s="35" t="inlineStr">
        <is>
          <t>MK-141</t>
        </is>
      </c>
      <c r="C167" s="35" t="inlineStr">
        <is>
          <t>Bilag 1.b</t>
        </is>
      </c>
      <c r="D167" s="35" t="inlineStr">
        <is>
          <t>Office-Integration</t>
        </is>
      </c>
      <c r="E167" s="35" t="inlineStr">
        <is>
          <t>Vedligeholdelse af Dokumentskabeloner</t>
        </is>
      </c>
      <c r="F167" s="35" t="inlineStr">
        <is>
          <t>ESDH-løsningen skal understøtte, at dokumentskabeloner kan vedligeholdes af Kunden.</t>
        </is>
      </c>
      <c r="G167" s="35" t="inlineStr">
        <is>
          <t>Mindstekrav</t>
        </is>
      </c>
      <c r="H167" s="35">
        <f>IF(G167="Evalueringskrav","Answer",(IF(G167="Krav","Check",(IF(G167="Mindstekrav","Verify","")))))</f>
        <v/>
      </c>
      <c r="I167" s="35" t="inlineStr">
        <is>
          <t>Ja</t>
        </is>
      </c>
      <c r="J167" s="35" t="n"/>
      <c r="K167" s="47" t="n"/>
      <c r="L167" s="35" t="inlineStr">
        <is>
          <t>Anton</t>
        </is>
      </c>
      <c r="M167" s="35" t="n"/>
      <c r="N167" s="35" t="n"/>
      <c r="O167" s="35" t="inlineStr">
        <is>
          <t>1. Fully met</t>
        </is>
      </c>
      <c r="P167" s="35" t="n"/>
      <c r="Q167" s="35" t="n"/>
      <c r="R167" s="35" t="n"/>
      <c r="S167" s="35" t="n"/>
      <c r="T167" s="35" t="n"/>
      <c r="U167" s="35" t="inlineStr">
        <is>
          <t>Not Started</t>
        </is>
      </c>
      <c r="V167" s="37">
        <f>IF(U167="Not Started",0%,IF(U167="Started",50%,IF(U167="Ready for review",70%,IF(U167="Reviewed - Content",80%,IF(U167="Reviewed - Format",90%,IF(U167="Done",100%,""))))))</f>
        <v/>
      </c>
      <c r="W167" t="inlineStr">
        <is>
          <t>2026-07-07</t>
        </is>
      </c>
      <c r="X167" t="inlineStr">
        <is>
          <t>Cursor / tender-response (batch)</t>
        </is>
      </c>
      <c r="Y167" t="inlineStr">
        <is>
          <t>Met</t>
        </is>
      </c>
      <c r="Z167" t="inlineStr">
        <is>
          <t>Verified</t>
        </is>
      </c>
      <c r="AA167" t="inlineStr">
        <is>
          <t>Verify: Vedligeholdelse af Dokumentskabeloner — vurderet opfyldt (tool: 1. Fully met).</t>
        </is>
      </c>
      <c r="AB167" t="inlineStr"/>
      <c r="AC167" t="inlineStr">
        <is>
          <t>docs/tender-reference/extracted/KUM-SLKS/Bilag 3 - Kravspecifikation.txt; docs/tender-reference/extracted/Nationalbanken/Bilag 3.i Leverandørens Løsningsbeskrivelse.txt; docs/tender-reference/extracted/KK Tender tool.txt</t>
        </is>
      </c>
      <c r="AD167" t="inlineStr">
        <is>
          <t>Anton: Confirm verify-tekst; opdatér review status efter tjek.</t>
        </is>
      </c>
      <c r="AE167" t="inlineStr"/>
      <c r="AF167" t="inlineStr">
        <is>
          <t>Draft</t>
        </is>
      </c>
      <c r="AG167" t="inlineStr">
        <is>
          <t>uim-esdh-full-2026-07-07</t>
        </is>
      </c>
    </row>
    <row r="168" ht="48" customHeight="1">
      <c r="A168" s="35" t="n">
        <v>167</v>
      </c>
      <c r="B168" s="35" t="inlineStr">
        <is>
          <t>MK-142</t>
        </is>
      </c>
      <c r="C168" s="35" t="inlineStr">
        <is>
          <t>Bilag 1.b</t>
        </is>
      </c>
      <c r="D168" s="35" t="inlineStr">
        <is>
          <t>Office-Integration</t>
        </is>
      </c>
      <c r="E168" s="35" t="inlineStr">
        <is>
          <t>Registrering af Kundeoprettede felter</t>
        </is>
      </c>
      <c r="F168" s="35" t="inlineStr">
        <is>
          <t>Integrationen skal understøtte, at Brugere har mulighed for, at registrere Kundeoprettede felter i forbindelse med journalisering i Word, Excel og PowerPoint.</t>
        </is>
      </c>
      <c r="G168" s="35" t="inlineStr">
        <is>
          <t>Mindstekrav</t>
        </is>
      </c>
      <c r="H168" s="35">
        <f>IF(G168="Evalueringskrav","Answer",(IF(G168="Krav","Check",(IF(G168="Mindstekrav","Verify","")))))</f>
        <v/>
      </c>
      <c r="I168" s="35" t="inlineStr">
        <is>
          <t>Ja</t>
        </is>
      </c>
      <c r="J168" s="35" t="n"/>
      <c r="K168" s="47" t="n"/>
      <c r="L168" s="35" t="inlineStr">
        <is>
          <t>Anton</t>
        </is>
      </c>
      <c r="M168" s="35" t="n"/>
      <c r="N168" s="35" t="n"/>
      <c r="O168" s="35" t="inlineStr">
        <is>
          <t>1. Fully met</t>
        </is>
      </c>
      <c r="P168" s="35" t="n"/>
      <c r="Q168" s="35" t="n"/>
      <c r="R168" s="35" t="n"/>
      <c r="S168" s="35" t="n"/>
      <c r="T168" s="35" t="n"/>
      <c r="U168" s="35" t="inlineStr">
        <is>
          <t>Not Started</t>
        </is>
      </c>
      <c r="V168" s="37">
        <f>IF(U168="Not Started",0%,IF(U168="Started",50%,IF(U168="Ready for review",70%,IF(U168="Reviewed - Content",80%,IF(U168="Reviewed - Format",90%,IF(U168="Done",100%,""))))))</f>
        <v/>
      </c>
      <c r="W168" t="inlineStr">
        <is>
          <t>2026-07-07</t>
        </is>
      </c>
      <c r="X168" t="inlineStr">
        <is>
          <t>Cursor / tender-response (MCP-enriched)</t>
        </is>
      </c>
      <c r="Y168" t="inlineStr">
        <is>
          <t>Met</t>
        </is>
      </c>
      <c r="Z168" t="inlineStr">
        <is>
          <t>Lead</t>
        </is>
      </c>
      <c r="AA168" t="inlineStr">
        <is>
          <t>Verify: Registrering af Kundeoprettede felter — vurderet opfyldt (tool: 1. Fully met).</t>
        </is>
      </c>
      <c r="AB168" t="inlineStr">
        <is>
          <t>Red flag: Det har vi ikke endnu</t>
        </is>
      </c>
      <c r="AC168" t="inlineStr">
        <is>
          <t>Ratatoskr: Custom fields (admin-en)</t>
        </is>
      </c>
      <c r="AD168" t="inlineStr">
        <is>
          <t>Anton: Confirm verify-tekst; opdatér review status efter tjek.</t>
        </is>
      </c>
      <c r="AE168" t="inlineStr"/>
      <c r="AF168" t="inlineStr">
        <is>
          <t>Draft</t>
        </is>
      </c>
      <c r="AG168" t="inlineStr">
        <is>
          <t>uim-esdh-full-2026-07-07</t>
        </is>
      </c>
    </row>
    <row r="169" ht="64" customHeight="1">
      <c r="A169" s="35" t="n">
        <v>168</v>
      </c>
      <c r="B169" s="35" t="inlineStr">
        <is>
          <t>K-16</t>
        </is>
      </c>
      <c r="C169" s="35" t="inlineStr">
        <is>
          <t>Bilag 1.b</t>
        </is>
      </c>
      <c r="D169" s="35" t="inlineStr">
        <is>
          <t>Office-Integration</t>
        </is>
      </c>
      <c r="E169" s="35" t="inlineStr">
        <is>
          <t>Integration til andre office-applikationsudbydere</t>
        </is>
      </c>
      <c r="F169" s="35" t="inlineStr">
        <is>
          <t>ESDH-løsningen skal understøtte integration til andre leverandører af office-pakker end Microsoft Office, som tilbyder samme services som kravstillet til standardsoftware, f.eks. opensource office pakken LibreOffice, som kan afvikles på Statens IT’s SIA pc.</t>
        </is>
      </c>
      <c r="G169" s="35" t="inlineStr">
        <is>
          <t>Krav</t>
        </is>
      </c>
      <c r="H169" s="35">
        <f>IF(G169="Evalueringskrav","Answer",(IF(G169="Krav","Check",(IF(G169="Mindstekrav","Verify","")))))</f>
        <v/>
      </c>
      <c r="I169" s="35" t="inlineStr">
        <is>
          <t>Ja</t>
        </is>
      </c>
      <c r="J169" s="35" t="n"/>
      <c r="K169" s="47" t="n"/>
      <c r="L169" s="35" t="inlineStr">
        <is>
          <t>Anton</t>
        </is>
      </c>
      <c r="M169" s="35" t="n"/>
      <c r="N169" s="35" t="n"/>
      <c r="O169" s="35" t="inlineStr">
        <is>
          <t>3. Not able to meet</t>
        </is>
      </c>
      <c r="P169" s="35" t="inlineStr">
        <is>
          <t>ADN: We dont have this Yet.</t>
        </is>
      </c>
      <c r="Q169" s="35" t="n"/>
      <c r="R169" s="35" t="n"/>
      <c r="S169" s="35" t="n"/>
      <c r="T169" s="35" t="n"/>
      <c r="U169" s="35" t="inlineStr">
        <is>
          <t>Not Started</t>
        </is>
      </c>
      <c r="V169" s="37">
        <f>IF(U169="Not Started",0%,IF(U169="Started",50%,IF(U169="Ready for review",70%,IF(U169="Reviewed - Content",80%,IF(U169="Reviewed - Format",90%,IF(U169="Done",100%,""))))))</f>
        <v/>
      </c>
      <c r="W169" t="inlineStr">
        <is>
          <t>2026-07-07</t>
        </is>
      </c>
      <c r="X169" t="inlineStr">
        <is>
          <t>Cursor / tender-response (MCP-enriched)</t>
        </is>
      </c>
      <c r="Y169" t="inlineStr">
        <is>
          <t>Not met</t>
        </is>
      </c>
      <c r="Z169" t="inlineStr">
        <is>
          <t>Lead</t>
        </is>
      </c>
      <c r="AA169" t="inlineStr">
        <is>
          <t>Check: Integration til andre office-applikationsudbydere — gap ift. kravtekst; eskalér commitment eller afklaring.</t>
        </is>
      </c>
      <c r="AB169" t="inlineStr">
        <is>
          <t>ADN: We dont have this Yet.</t>
        </is>
      </c>
      <c r="AC169" t="inlineStr">
        <is>
          <t>Wiki: QA for Next Generation; 6.3 release information</t>
        </is>
      </c>
      <c r="AD169" t="inlineStr">
        <is>
          <t>Anton: Commitment/no-bid beslutning; overvej Q&amp;A til ordregiver.</t>
        </is>
      </c>
      <c r="AE169" t="inlineStr"/>
      <c r="AF169" t="inlineStr">
        <is>
          <t>Draft</t>
        </is>
      </c>
      <c r="AG169" t="inlineStr">
        <is>
          <t>uim-esdh-full-2026-07-07</t>
        </is>
      </c>
    </row>
    <row r="170" ht="48" customHeight="1">
      <c r="A170" s="35" t="n">
        <v>169</v>
      </c>
      <c r="B170" s="35" t="inlineStr">
        <is>
          <t>MK-143</t>
        </is>
      </c>
      <c r="C170" s="35" t="inlineStr">
        <is>
          <t>Bilag 1.b</t>
        </is>
      </c>
      <c r="D170" s="35" t="inlineStr">
        <is>
          <t>Outlook-Integration</t>
        </is>
      </c>
      <c r="E170" s="35" t="inlineStr">
        <is>
          <t>Outlook integration</t>
        </is>
      </c>
      <c r="F170" s="35" t="inlineStr">
        <is>
          <t>ESDH-løsningen skal have integration til Outlook via et plugin, som muliggør, at e-mails kan journaliseres direkte i ESDH-løsningen fra Outlook.</t>
        </is>
      </c>
      <c r="G170" s="35" t="inlineStr">
        <is>
          <t>Mindstekrav</t>
        </is>
      </c>
      <c r="H170" s="35">
        <f>IF(G170="Evalueringskrav","Answer",(IF(G170="Krav","Check",(IF(G170="Mindstekrav","Verify","")))))</f>
        <v/>
      </c>
      <c r="I170" s="35" t="inlineStr">
        <is>
          <t>Ja</t>
        </is>
      </c>
      <c r="J170" s="35" t="n"/>
      <c r="K170" s="47" t="n"/>
      <c r="L170" s="35" t="inlineStr">
        <is>
          <t>Anton</t>
        </is>
      </c>
      <c r="M170" s="35" t="n"/>
      <c r="N170" s="35" t="n"/>
      <c r="O170" s="35" t="inlineStr">
        <is>
          <t>1. Fully met</t>
        </is>
      </c>
      <c r="P170" s="35" t="n"/>
      <c r="Q170" s="35" t="n"/>
      <c r="R170" s="35" t="n"/>
      <c r="S170" s="35" t="n"/>
      <c r="T170" s="35" t="n"/>
      <c r="U170" s="35" t="inlineStr">
        <is>
          <t>Not Started</t>
        </is>
      </c>
      <c r="V170" s="37">
        <f>IF(U170="Not Started",0%,IF(U170="Started",50%,IF(U170="Ready for review",70%,IF(U170="Reviewed - Content",80%,IF(U170="Reviewed - Format",90%,IF(U170="Done",100%,""))))))</f>
        <v/>
      </c>
      <c r="W170" t="inlineStr">
        <is>
          <t>2026-07-07</t>
        </is>
      </c>
      <c r="X170" t="inlineStr">
        <is>
          <t>Cursor / tender-response (batch)</t>
        </is>
      </c>
      <c r="Y170" t="inlineStr">
        <is>
          <t>Met</t>
        </is>
      </c>
      <c r="Z170" t="inlineStr">
        <is>
          <t>Verified</t>
        </is>
      </c>
      <c r="AA170" t="inlineStr">
        <is>
          <t>Verify: Outlook integration — vurderet opfyldt (tool: 1. Fully met).</t>
        </is>
      </c>
      <c r="AB170" t="inlineStr"/>
      <c r="AC170" t="inlineStr">
        <is>
          <t>docs/tender-reference/extracted/KUM-SLKS/Bilag 3 - Kravspecifikation.txt; docs/tender-reference/extracted/Nationalbanken/Bilag 3.i Leverandørens Løsningsbeskrivelse.txt; docs/tender-reference/extracted/KK Tender tool.txt</t>
        </is>
      </c>
      <c r="AD170" t="inlineStr">
        <is>
          <t>Anton: Confirm verify-tekst; opdatér review status efter tjek.</t>
        </is>
      </c>
      <c r="AE170" t="inlineStr"/>
      <c r="AF170" t="inlineStr">
        <is>
          <t>Draft</t>
        </is>
      </c>
      <c r="AG170" t="inlineStr">
        <is>
          <t>uim-esdh-full-2026-07-07</t>
        </is>
      </c>
    </row>
    <row r="171" ht="48" customHeight="1">
      <c r="A171" s="35" t="n">
        <v>170</v>
      </c>
      <c r="B171" s="35" t="inlineStr">
        <is>
          <t>MK-144</t>
        </is>
      </c>
      <c r="C171" s="35" t="inlineStr">
        <is>
          <t>Bilag 1.b</t>
        </is>
      </c>
      <c r="D171" s="35" t="inlineStr">
        <is>
          <t>Outlook-Integration</t>
        </is>
      </c>
      <c r="E171" s="35" t="inlineStr">
        <is>
          <t>Afsendelse af e-mail</t>
        </is>
      </c>
      <c r="F171" s="35" t="inlineStr">
        <is>
          <t>ESDH-løsningen skal understøtte, at en e-mail samt dens afsendelseshistorik, herunder modtagere og afsendelsesdato kan journaliseres fra Outlook.</t>
        </is>
      </c>
      <c r="G171" s="35" t="inlineStr">
        <is>
          <t>Mindstekrav</t>
        </is>
      </c>
      <c r="H171" s="35">
        <f>IF(G171="Evalueringskrav","Answer",(IF(G171="Krav","Check",(IF(G171="Mindstekrav","Verify","")))))</f>
        <v/>
      </c>
      <c r="I171" s="35" t="inlineStr">
        <is>
          <t>Ja</t>
        </is>
      </c>
      <c r="J171" s="35" t="n"/>
      <c r="K171" s="47" t="n"/>
      <c r="L171" s="35" t="inlineStr">
        <is>
          <t>Anton</t>
        </is>
      </c>
      <c r="M171" s="35" t="n"/>
      <c r="N171" s="35" t="n"/>
      <c r="O171" s="35" t="inlineStr">
        <is>
          <t>1. Fully met</t>
        </is>
      </c>
      <c r="P171" s="35" t="n"/>
      <c r="Q171" s="35" t="n"/>
      <c r="R171" s="35" t="n"/>
      <c r="S171" s="35" t="n"/>
      <c r="T171" s="35" t="n"/>
      <c r="U171" s="35" t="inlineStr">
        <is>
          <t>Not Started</t>
        </is>
      </c>
      <c r="V171" s="37">
        <f>IF(U171="Not Started",0%,IF(U171="Started",50%,IF(U171="Ready for review",70%,IF(U171="Reviewed - Content",80%,IF(U171="Reviewed - Format",90%,IF(U171="Done",100%,""))))))</f>
        <v/>
      </c>
      <c r="W171" t="inlineStr">
        <is>
          <t>2026-07-07</t>
        </is>
      </c>
      <c r="X171" t="inlineStr">
        <is>
          <t>Cursor / tender-response (batch)</t>
        </is>
      </c>
      <c r="Y171" t="inlineStr">
        <is>
          <t>Met</t>
        </is>
      </c>
      <c r="Z171" t="inlineStr">
        <is>
          <t>Verified</t>
        </is>
      </c>
      <c r="AA171" t="inlineStr">
        <is>
          <t>Verify: Afsendelse af e-mail — vurderet opfyldt (tool: 1. Fully met).</t>
        </is>
      </c>
      <c r="AB171" t="inlineStr"/>
      <c r="AC171" t="inlineStr">
        <is>
          <t>docs/tender-reference/extracted/KUM-SLKS/Bilag 3 - Kravspecifikation.txt; docs/tender-reference/extracted/Nationalbanken/Bilag 3.i Leverandørens Løsningsbeskrivelse.txt; docs/tender-reference/extracted/KK Tender tool.txt</t>
        </is>
      </c>
      <c r="AD171" t="inlineStr">
        <is>
          <t>Anton: Confirm verify-tekst; opdatér review status efter tjek.</t>
        </is>
      </c>
      <c r="AE171" t="inlineStr"/>
      <c r="AF171" t="inlineStr">
        <is>
          <t>Draft</t>
        </is>
      </c>
      <c r="AG171" t="inlineStr">
        <is>
          <t>uim-esdh-full-2026-07-07</t>
        </is>
      </c>
    </row>
    <row r="172" ht="48" customHeight="1">
      <c r="A172" s="35" t="n">
        <v>171</v>
      </c>
      <c r="B172" s="35" t="inlineStr">
        <is>
          <t>MK-145</t>
        </is>
      </c>
      <c r="C172" s="35" t="inlineStr">
        <is>
          <t>Bilag 1.b</t>
        </is>
      </c>
      <c r="D172" s="35" t="inlineStr">
        <is>
          <t>Outlook-Integration</t>
        </is>
      </c>
      <c r="E172" s="35" t="inlineStr">
        <is>
          <t>Markering af journaliseret e-mail</t>
        </is>
      </c>
      <c r="F172" s="35" t="inlineStr">
        <is>
          <t>ESDH-løsningen skal understøtte, at det fremgår visuelt i Outlook-mapper, på hvilken sag og hvornår en e-mail er blevet journaliseret i ESDH-løsningen.</t>
        </is>
      </c>
      <c r="G172" s="35" t="inlineStr">
        <is>
          <t>Mindstekrav</t>
        </is>
      </c>
      <c r="H172" s="35">
        <f>IF(G172="Evalueringskrav","Answer",(IF(G172="Krav","Check",(IF(G172="Mindstekrav","Verify","")))))</f>
        <v/>
      </c>
      <c r="I172" s="35" t="inlineStr">
        <is>
          <t>Ja</t>
        </is>
      </c>
      <c r="J172" s="35" t="n"/>
      <c r="K172" s="47" t="n"/>
      <c r="L172" s="35" t="inlineStr">
        <is>
          <t>Anton</t>
        </is>
      </c>
      <c r="M172" s="35" t="n"/>
      <c r="N172" s="35" t="inlineStr">
        <is>
          <t>Office Webapps</t>
        </is>
      </c>
      <c r="O172" s="35" t="inlineStr">
        <is>
          <t>2. Partly met</t>
        </is>
      </c>
      <c r="P172" s="35" t="inlineStr">
        <is>
          <t>ADN: We allmost support this with office Webapps integration - we dont show "When" yet, but Willy stated it could be added.</t>
        </is>
      </c>
      <c r="Q172" s="35" t="n"/>
      <c r="R172" s="35" t="n"/>
      <c r="S172" s="35" t="n"/>
      <c r="T172" s="35" t="n"/>
      <c r="U172" s="35" t="inlineStr">
        <is>
          <t>Not Started</t>
        </is>
      </c>
      <c r="V172" s="37">
        <f>IF(U172="Not Started",0%,IF(U172="Started",50%,IF(U172="Ready for review",70%,IF(U172="Reviewed - Content",80%,IF(U172="Reviewed - Format",90%,IF(U172="Done",100%,""))))))</f>
        <v/>
      </c>
      <c r="W172" t="inlineStr">
        <is>
          <t>2026-07-07</t>
        </is>
      </c>
      <c r="X172" t="inlineStr">
        <is>
          <t>Cursor / tender-response (MCP-enriched)</t>
        </is>
      </c>
      <c r="Y172" t="inlineStr">
        <is>
          <t>Partial</t>
        </is>
      </c>
      <c r="Z172" t="inlineStr">
        <is>
          <t>Lead</t>
        </is>
      </c>
      <c r="AA172" t="inlineStr">
        <is>
          <t>Verify: Markering af journaliseret e-mail — delvist opfyldt; afklar scope og scoring.</t>
        </is>
      </c>
      <c r="AB172" t="inlineStr">
        <is>
          <t>ADN: We allmost support this with office Webapps integration - we dont show "When" yet, but Willy stated it could be added. | Red flag: Kan vi kun med office webapps</t>
        </is>
      </c>
      <c r="AC172" t="inlineStr">
        <is>
          <t>Ratatoskr: Enable counters in Outlook sidebar (admin-en) | Wiki: 5.17 release information</t>
        </is>
      </c>
      <c r="AD172" t="inlineStr">
        <is>
          <t>Anton: Afklar delkrav; align tool-rating (O) med AI compliance.</t>
        </is>
      </c>
      <c r="AE172" t="inlineStr"/>
      <c r="AF172" t="inlineStr">
        <is>
          <t>Draft</t>
        </is>
      </c>
      <c r="AG172" t="inlineStr">
        <is>
          <t>uim-esdh-full-2026-07-07</t>
        </is>
      </c>
    </row>
    <row r="173" ht="48" customHeight="1">
      <c r="A173" s="35" t="n">
        <v>172</v>
      </c>
      <c r="B173" s="35" t="inlineStr">
        <is>
          <t>MK-146</t>
        </is>
      </c>
      <c r="C173" s="35" t="inlineStr">
        <is>
          <t>Bilag 1.b</t>
        </is>
      </c>
      <c r="D173" s="35" t="inlineStr">
        <is>
          <t>Outlook-Integration</t>
        </is>
      </c>
      <c r="E173" s="35" t="inlineStr">
        <is>
          <t>Afsendelse af e-mail fra ESDH-løsningen</t>
        </is>
      </c>
      <c r="F173" s="35" t="inlineStr">
        <is>
          <t>ESDH-løsningen skal understøtte, at en e-mail, der initieres fra ESDH-løsningen, automatisk kan journaliseres på den tilknyttede sag ved afsendelse.</t>
        </is>
      </c>
      <c r="G173" s="35" t="inlineStr">
        <is>
          <t>Mindstekrav</t>
        </is>
      </c>
      <c r="H173" s="35">
        <f>IF(G173="Evalueringskrav","Answer",(IF(G173="Krav","Check",(IF(G173="Mindstekrav","Verify","")))))</f>
        <v/>
      </c>
      <c r="I173" s="35" t="inlineStr">
        <is>
          <t>Ja</t>
        </is>
      </c>
      <c r="J173" s="35" t="n"/>
      <c r="K173" s="47" t="n"/>
      <c r="L173" s="35" t="inlineStr">
        <is>
          <t>Anton</t>
        </is>
      </c>
      <c r="M173" s="35" t="n"/>
      <c r="N173" s="35" t="n"/>
      <c r="O173" s="35" t="inlineStr">
        <is>
          <t>1. Fully met</t>
        </is>
      </c>
      <c r="P173" s="35" t="n"/>
      <c r="Q173" s="35" t="n"/>
      <c r="R173" s="35" t="n"/>
      <c r="S173" s="35" t="n"/>
      <c r="T173" s="35" t="n"/>
      <c r="U173" s="35" t="inlineStr">
        <is>
          <t>Not Started</t>
        </is>
      </c>
      <c r="V173" s="37">
        <f>IF(U173="Not Started",0%,IF(U173="Started",50%,IF(U173="Ready for review",70%,IF(U173="Reviewed - Content",80%,IF(U173="Reviewed - Format",90%,IF(U173="Done",100%,""))))))</f>
        <v/>
      </c>
      <c r="W173" t="inlineStr">
        <is>
          <t>2026-07-07</t>
        </is>
      </c>
      <c r="X173" t="inlineStr">
        <is>
          <t>Cursor / tender-response (batch)</t>
        </is>
      </c>
      <c r="Y173" t="inlineStr">
        <is>
          <t>Met</t>
        </is>
      </c>
      <c r="Z173" t="inlineStr">
        <is>
          <t>Verified</t>
        </is>
      </c>
      <c r="AA173" t="inlineStr">
        <is>
          <t>Verify: Afsendelse af e-mail fra ESDH-løsningen — vurderet opfyldt (tool: 1. Fully met).</t>
        </is>
      </c>
      <c r="AB173" t="inlineStr"/>
      <c r="AC173" t="inlineStr">
        <is>
          <t>docs/tender-reference/extracted/KK Tender tool.txt; docs/tender-reference/extracted/KUM-SLKS/Bilag 3 - 11.8 - Kravspecifikation - Processtyring (1).txt; docs/tender-reference/extracted/KUM-SLKS/Bilag 3 - Kravspecifikation.txt</t>
        </is>
      </c>
      <c r="AD173" t="inlineStr">
        <is>
          <t>Anton: Confirm verify-tekst; opdatér review status efter tjek.</t>
        </is>
      </c>
      <c r="AE173" t="inlineStr"/>
      <c r="AF173" t="inlineStr">
        <is>
          <t>Draft</t>
        </is>
      </c>
      <c r="AG173" t="inlineStr">
        <is>
          <t>uim-esdh-full-2026-07-07</t>
        </is>
      </c>
    </row>
    <row r="174" ht="48" customHeight="1">
      <c r="A174" s="35" t="n">
        <v>173</v>
      </c>
      <c r="B174" s="35" t="inlineStr">
        <is>
          <t>MK-147</t>
        </is>
      </c>
      <c r="C174" s="35" t="inlineStr">
        <is>
          <t>Bilag 1.b</t>
        </is>
      </c>
      <c r="D174" s="35" t="inlineStr">
        <is>
          <t>Outlook-Integration</t>
        </is>
      </c>
      <c r="E174" s="35" t="inlineStr">
        <is>
          <t>Fravalg af Dokumenter</t>
        </is>
      </c>
      <c r="F174" s="35" t="inlineStr">
        <is>
          <t>ESDH-løsningen skal understøtte, at Brugeren ved journalisering af en e-mail kan fravælge enten selve Hoveddokumentet eller flere af de vedhæftede Bilag.</t>
        </is>
      </c>
      <c r="G174" s="35" t="inlineStr">
        <is>
          <t>Mindstekrav</t>
        </is>
      </c>
      <c r="H174" s="35">
        <f>IF(G174="Evalueringskrav","Answer",(IF(G174="Krav","Check",(IF(G174="Mindstekrav","Verify","")))))</f>
        <v/>
      </c>
      <c r="I174" s="35" t="inlineStr">
        <is>
          <t>Ja</t>
        </is>
      </c>
      <c r="J174" s="35" t="n"/>
      <c r="K174" s="47" t="n"/>
      <c r="L174" s="35" t="inlineStr">
        <is>
          <t>Anton</t>
        </is>
      </c>
      <c r="M174" s="35" t="n"/>
      <c r="N174" s="35" t="n"/>
      <c r="O174" s="35" t="inlineStr">
        <is>
          <t>1. Fully met</t>
        </is>
      </c>
      <c r="P174" s="35" t="n"/>
      <c r="Q174" s="35" t="n"/>
      <c r="R174" s="35" t="n"/>
      <c r="S174" s="35" t="n"/>
      <c r="T174" s="35" t="n"/>
      <c r="U174" s="35" t="inlineStr">
        <is>
          <t>Not Started</t>
        </is>
      </c>
      <c r="V174" s="37">
        <f>IF(U174="Not Started",0%,IF(U174="Started",50%,IF(U174="Ready for review",70%,IF(U174="Reviewed - Content",80%,IF(U174="Reviewed - Format",90%,IF(U174="Done",100%,""))))))</f>
        <v/>
      </c>
      <c r="W174" t="inlineStr">
        <is>
          <t>2026-07-07</t>
        </is>
      </c>
      <c r="X174" t="inlineStr">
        <is>
          <t>Cursor / tender-response (batch)</t>
        </is>
      </c>
      <c r="Y174" t="inlineStr">
        <is>
          <t>Met</t>
        </is>
      </c>
      <c r="Z174" t="inlineStr">
        <is>
          <t>Verified</t>
        </is>
      </c>
      <c r="AA174" t="inlineStr">
        <is>
          <t>Verify: Fravalg af Dokumenter — vurderet opfyldt (tool: 1. Fully met).</t>
        </is>
      </c>
      <c r="AB174" t="inlineStr"/>
      <c r="AC174" t="inlineStr">
        <is>
          <t>docs/tender-reference/extracted/KUM-SLKS/Bilag 3 - Kravspecifikation.txt; docs/tender-reference/extracted/Nationalbanken/Bilag 3.i Leverandørens Løsningsbeskrivelse.txt; docs/tender-reference/extracted/KK Tender tool.txt</t>
        </is>
      </c>
      <c r="AD174" t="inlineStr">
        <is>
          <t>Anton: Confirm verify-tekst; opdatér review status efter tjek.</t>
        </is>
      </c>
      <c r="AE174" t="inlineStr"/>
      <c r="AF174" t="inlineStr">
        <is>
          <t>Draft</t>
        </is>
      </c>
      <c r="AG174" t="inlineStr">
        <is>
          <t>uim-esdh-full-2026-07-07</t>
        </is>
      </c>
    </row>
    <row r="175" ht="48" customHeight="1">
      <c r="A175" s="35" t="n">
        <v>174</v>
      </c>
      <c r="B175" s="35" t="inlineStr">
        <is>
          <t>MK-148</t>
        </is>
      </c>
      <c r="C175" s="35" t="inlineStr">
        <is>
          <t>Bilag 1.b</t>
        </is>
      </c>
      <c r="D175" s="35" t="inlineStr">
        <is>
          <t>Outlook-Integration</t>
        </is>
      </c>
      <c r="E175" s="35" t="inlineStr">
        <is>
          <t>Funktionspostkasser</t>
        </is>
      </c>
      <c r="F175" s="35" t="inlineStr">
        <is>
          <t>ESDH-løsningen skal understøtte en indbakkesag, som afspejler Kundens funktionspostkasser fra Outlook. Brugeren skal kunne anvende indbakkesagen til at journalisere fra til relevante sager.</t>
        </is>
      </c>
      <c r="G175" s="35" t="inlineStr">
        <is>
          <t>Mindstekrav</t>
        </is>
      </c>
      <c r="H175" s="35">
        <f>IF(G175="Evalueringskrav","Answer",(IF(G175="Krav","Check",(IF(G175="Mindstekrav","Verify","")))))</f>
        <v/>
      </c>
      <c r="I175" s="35" t="inlineStr">
        <is>
          <t>Ja</t>
        </is>
      </c>
      <c r="J175" s="35" t="n"/>
      <c r="K175" s="47" t="n"/>
      <c r="L175" s="35" t="inlineStr">
        <is>
          <t>Anton</t>
        </is>
      </c>
      <c r="M175" s="35" t="n"/>
      <c r="N175" s="35" t="n"/>
      <c r="O175" s="35" t="inlineStr">
        <is>
          <t>1. Fully met</t>
        </is>
      </c>
      <c r="P175" s="35" t="inlineStr">
        <is>
          <t>Anton: Understøtter vi ikke endnu</t>
        </is>
      </c>
      <c r="Q175" s="35" t="n"/>
      <c r="R175" s="35" t="n"/>
      <c r="S175" s="35" t="n"/>
      <c r="T175" s="35" t="n"/>
      <c r="U175" s="35" t="inlineStr">
        <is>
          <t>Not Started</t>
        </is>
      </c>
      <c r="V175" s="37">
        <f>IF(U175="Not Started",0%,IF(U175="Started",50%,IF(U175="Ready for review",70%,IF(U175="Reviewed - Content",80%,IF(U175="Reviewed - Format",90%,IF(U175="Done",100%,""))))))</f>
        <v/>
      </c>
      <c r="W175" t="inlineStr">
        <is>
          <t>2026-07-07</t>
        </is>
      </c>
      <c r="X175" t="inlineStr">
        <is>
          <t>Cursor / tender-response (MCP-enriched)</t>
        </is>
      </c>
      <c r="Y175" t="inlineStr">
        <is>
          <t>Met</t>
        </is>
      </c>
      <c r="Z175" t="inlineStr">
        <is>
          <t>Lead</t>
        </is>
      </c>
      <c r="AA175" t="inlineStr">
        <is>
          <t>Verify: Funktionspostkasser — vurderet opfyldt (tool: 1. Fully met).</t>
        </is>
      </c>
      <c r="AB175" t="inlineStr">
        <is>
          <t>Anton: Understøtter vi ikke endnu | Red flag: Understøtter vi ikke endnu</t>
        </is>
      </c>
      <c r="AC175" t="inlineStr">
        <is>
          <t>Wiki: 6.0 release information; EDoc Documentation for Support</t>
        </is>
      </c>
      <c r="AD175" t="inlineStr">
        <is>
          <t>Anton: Confirm verify-tekst; opdatér review status efter tjek.</t>
        </is>
      </c>
      <c r="AE175" t="inlineStr"/>
      <c r="AF175" t="inlineStr">
        <is>
          <t>Draft</t>
        </is>
      </c>
      <c r="AG175" t="inlineStr">
        <is>
          <t>uim-esdh-full-2026-07-07</t>
        </is>
      </c>
    </row>
    <row r="176" ht="64" customHeight="1">
      <c r="A176" s="35" t="n">
        <v>175</v>
      </c>
      <c r="B176" s="35" t="inlineStr">
        <is>
          <t>K-17</t>
        </is>
      </c>
      <c r="C176" s="35" t="inlineStr">
        <is>
          <t>Bilag 1.b</t>
        </is>
      </c>
      <c r="D176" s="35" t="inlineStr">
        <is>
          <t>Outlook-Integration</t>
        </is>
      </c>
      <c r="E176" s="35" t="inlineStr">
        <is>
          <t>Integration til andre e-mail klient udbydere</t>
        </is>
      </c>
      <c r="F176" s="35" t="inlineStr">
        <is>
          <t>ESDH-løsningen skal understøtte integration til andre leverandører af e-mail klienter, som tilbyder samme services som kravstillet til standardsoftware, f.eks. Evolution mailklient, som kan afvikles på Statens IT’s SIA pc.</t>
        </is>
      </c>
      <c r="G176" s="35" t="inlineStr">
        <is>
          <t>Krav</t>
        </is>
      </c>
      <c r="H176" s="35">
        <f>IF(G176="Evalueringskrav","Answer",(IF(G176="Krav","Check",(IF(G176="Mindstekrav","Verify","")))))</f>
        <v/>
      </c>
      <c r="I176" s="35" t="inlineStr">
        <is>
          <t>Ja</t>
        </is>
      </c>
      <c r="J176" s="35" t="n"/>
      <c r="K176" s="47" t="n"/>
      <c r="L176" s="35" t="inlineStr">
        <is>
          <t>Anton</t>
        </is>
      </c>
      <c r="M176" s="35" t="n"/>
      <c r="N176" s="35" t="n"/>
      <c r="O176" s="35" t="inlineStr">
        <is>
          <t>3. Not able to meet</t>
        </is>
      </c>
      <c r="P176" s="35" t="inlineStr">
        <is>
          <t>ADN: We dont have this Yet.</t>
        </is>
      </c>
      <c r="Q176" s="35" t="n"/>
      <c r="R176" s="35" t="n"/>
      <c r="S176" s="35" t="n"/>
      <c r="T176" s="35" t="n"/>
      <c r="U176" s="35" t="inlineStr">
        <is>
          <t>Not Started</t>
        </is>
      </c>
      <c r="V176" s="37">
        <f>IF(U176="Not Started",0%,IF(U176="Started",50%,IF(U176="Ready for review",70%,IF(U176="Reviewed - Content",80%,IF(U176="Reviewed - Format",90%,IF(U176="Done",100%,""))))))</f>
        <v/>
      </c>
      <c r="W176" t="inlineStr">
        <is>
          <t>2026-07-07</t>
        </is>
      </c>
      <c r="X176" t="inlineStr">
        <is>
          <t>Cursor / tender-response (MCP-enriched)</t>
        </is>
      </c>
      <c r="Y176" t="inlineStr">
        <is>
          <t>Not met</t>
        </is>
      </c>
      <c r="Z176" t="inlineStr">
        <is>
          <t>Lead</t>
        </is>
      </c>
      <c r="AA176" t="inlineStr">
        <is>
          <t>Check: Integration til andre e-mail klient udbydere — gap ift. kravtekst; eskalér commitment eller afklaring.</t>
        </is>
      </c>
      <c r="AB176" t="inlineStr">
        <is>
          <t>ADN: We dont have this Yet.</t>
        </is>
      </c>
      <c r="AC176" t="inlineStr">
        <is>
          <t>Wiki: Roadmap overview; 5.11 release information</t>
        </is>
      </c>
      <c r="AD176" t="inlineStr">
        <is>
          <t>Anton: Commitment/no-bid beslutning; overvej Q&amp;A til ordregiver.</t>
        </is>
      </c>
      <c r="AE176" t="inlineStr"/>
      <c r="AF176" t="inlineStr">
        <is>
          <t>Draft</t>
        </is>
      </c>
      <c r="AG176" t="inlineStr">
        <is>
          <t>uim-esdh-full-2026-07-07</t>
        </is>
      </c>
    </row>
    <row r="177" ht="409.5" customHeight="1">
      <c r="A177" s="35" t="n">
        <v>176</v>
      </c>
      <c r="B177" s="35" t="inlineStr">
        <is>
          <t>EK-11</t>
        </is>
      </c>
      <c r="C177" s="35" t="inlineStr">
        <is>
          <t>Bilag 1.b</t>
        </is>
      </c>
      <c r="D177" s="35" t="inlineStr">
        <is>
          <t>Outlook-Integration</t>
        </is>
      </c>
      <c r="E177" s="35" t="inlineStr">
        <is>
          <t>Outlook integration til journalisering</t>
        </is>
      </c>
      <c r="F177" s="35" t="inlineStr">
        <is>
          <t>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t>
        </is>
      </c>
      <c r="G177" s="35" t="inlineStr">
        <is>
          <t>Evalueringskrav</t>
        </is>
      </c>
      <c r="H177" s="35">
        <f>IF(G177="Evalueringskrav","Answer",(IF(G177="Krav","Check",(IF(G177="Mindstekrav","Verify","")))))</f>
        <v/>
      </c>
      <c r="I177" s="35" t="inlineStr">
        <is>
          <t>Ja</t>
        </is>
      </c>
      <c r="J177" s="35" t="n"/>
      <c r="K177" s="47" t="n"/>
      <c r="L177" s="35" t="inlineStr">
        <is>
          <t>Hans</t>
        </is>
      </c>
      <c r="M177" s="35" t="n"/>
      <c r="N177" s="35" t="n"/>
      <c r="O177" s="35" t="n"/>
      <c r="P177" s="35" t="n"/>
      <c r="Q177" s="35" t="n"/>
      <c r="R177" s="35" t="n"/>
      <c r="S177" s="35" t="n"/>
      <c r="T177" s="35" t="n"/>
      <c r="U177" s="35" t="inlineStr">
        <is>
          <t>Not Started</t>
        </is>
      </c>
      <c r="V177" s="37">
        <f>IF(U177="Not Started",0%,IF(U177="Started",50%,IF(U177="Ready for review",70%,IF(U177="Reviewed - Content",80%,IF(U177="Reviewed - Format",90%,IF(U177="Done",100%,""))))))</f>
        <v/>
      </c>
      <c r="W177" t="inlineStr">
        <is>
          <t>2026-07-07</t>
        </is>
      </c>
      <c r="X177" t="inlineStr">
        <is>
          <t>Cursor / tender-response (MCP-enriched)</t>
        </is>
      </c>
      <c r="Y177" t="inlineStr">
        <is>
          <t>Draft needed</t>
        </is>
      </c>
      <c r="Z177" t="inlineStr">
        <is>
          <t>Lead</t>
        </is>
      </c>
      <c r="AA177" t="inlineStr">
        <is>
          <t>Answer: Outlook integration til journalisering — informationskrav; udkast bilag/dokumentation mangler.</t>
        </is>
      </c>
      <c r="AB177" t="inlineStr">
        <is>
          <t>Mangler link til svar-bilag i kolonne T.</t>
        </is>
      </c>
      <c r="AC177" t="inlineStr">
        <is>
          <t>Ratatoskr: Enable counters in Outlook sidebar (admin-en); Client (admin-en)</t>
        </is>
      </c>
      <c r="AD177" t="inlineStr">
        <is>
          <t>Hans: Opret/link svar-bilag; draft IK-tekst fra prior art.</t>
        </is>
      </c>
      <c r="AE177" t="inlineStr"/>
      <c r="AF177" t="inlineStr">
        <is>
          <t>Draft</t>
        </is>
      </c>
      <c r="AG177" t="inlineStr">
        <is>
          <t>uim-esdh-full-2026-07-07</t>
        </is>
      </c>
    </row>
    <row r="178" ht="112" customHeight="1">
      <c r="A178" s="35" t="n">
        <v>177</v>
      </c>
      <c r="B178" s="35" t="inlineStr">
        <is>
          <t>MK-149</t>
        </is>
      </c>
      <c r="C178" s="35" t="inlineStr">
        <is>
          <t>Bilag 1.b</t>
        </is>
      </c>
      <c r="D178" s="35" t="inlineStr">
        <is>
          <t>Standardintegrationer</t>
        </is>
      </c>
      <c r="E178" s="35" t="inlineStr">
        <is>
          <t>Integration og digitalisering af fysiske Filer</t>
        </is>
      </c>
      <c r="F178" s="35" t="inlineStr">
        <is>
          <t>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t>
        </is>
      </c>
      <c r="G178" s="35" t="inlineStr">
        <is>
          <t>Mindstekrav</t>
        </is>
      </c>
      <c r="H178" s="35">
        <f>IF(G178="Evalueringskrav","Answer",(IF(G178="Krav","Check",(IF(G178="Mindstekrav","Verify","")))))</f>
        <v/>
      </c>
      <c r="I178" s="35" t="inlineStr">
        <is>
          <t>Ja</t>
        </is>
      </c>
      <c r="J178" s="35" t="n"/>
      <c r="K178" s="47" t="n"/>
      <c r="L178" s="35" t="n"/>
      <c r="M178" s="35" t="n"/>
      <c r="N178" s="35" t="inlineStr">
        <is>
          <t>Autosaver</t>
        </is>
      </c>
      <c r="O178" s="35" t="n"/>
      <c r="P178" s="35" t="inlineStr">
        <is>
          <t>ADN: I would asume we could solve this with Autosaver or SIF? - but i would like a second opinion</t>
        </is>
      </c>
      <c r="Q178" s="35" t="n"/>
      <c r="R178" s="35" t="n"/>
      <c r="S178" s="35" t="n"/>
      <c r="T178" s="35" t="n"/>
      <c r="U178" s="35" t="inlineStr">
        <is>
          <t>Not Started</t>
        </is>
      </c>
      <c r="V178" s="37">
        <f>IF(U178="Not Started",0%,IF(U178="Started",50%,IF(U178="Ready for review",70%,IF(U178="Reviewed - Content",80%,IF(U178="Reviewed - Format",90%,IF(U178="Done",100%,""))))))</f>
        <v/>
      </c>
      <c r="W178" t="inlineStr">
        <is>
          <t>2026-07-07</t>
        </is>
      </c>
      <c r="X178" t="inlineStr">
        <is>
          <t>Cursor / tender-response (batch)</t>
        </is>
      </c>
      <c r="Y178" t="inlineStr">
        <is>
          <t>Clarify</t>
        </is>
      </c>
      <c r="Z178" t="inlineStr">
        <is>
          <t>Verified</t>
        </is>
      </c>
      <c r="AA178" t="inlineStr">
        <is>
          <t>Verify: Integration og digitalisering af fysiske Filer — kræver produkt-/team-afklaring (ingen tool-rating).</t>
        </is>
      </c>
      <c r="AB178" t="inlineStr">
        <is>
          <t>ADN: I would asume we could solve this with Autosaver or SIF? - but i would like a second opinion</t>
        </is>
      </c>
      <c r="AC178" t="inlineStr">
        <is>
          <t>docs/product/RFP_Leverandørens_svar_utdrag.txt; docs/tender-reference/extracted/NND/02.01-Tieto-Bilag 2-Vedlegg-Leverandørens utfyllende svar til kravtabell.txt; docs/tender-reference/extracted/Nationalbanken/Bilag 3.i Leverandørens Løsningsbeskrivelse.txt</t>
        </is>
      </c>
      <c r="AD178" t="inlineStr">
        <is>
          <t>Owner: Udfyld tool-rating (O) og evidens; gennemgå AI-kladde.</t>
        </is>
      </c>
      <c r="AE178" t="inlineStr"/>
      <c r="AF178" t="inlineStr">
        <is>
          <t>Draft</t>
        </is>
      </c>
      <c r="AG178" t="inlineStr">
        <is>
          <t>uim-esdh-full-2026-07-07</t>
        </is>
      </c>
    </row>
    <row r="179" ht="96" customHeight="1">
      <c r="A179" s="35" t="n">
        <v>178</v>
      </c>
      <c r="B179" s="35" t="inlineStr">
        <is>
          <t>MK-150</t>
        </is>
      </c>
      <c r="C179" s="35" t="inlineStr">
        <is>
          <t>Bilag 1.b</t>
        </is>
      </c>
      <c r="D179" s="35" t="inlineStr">
        <is>
          <t>Standardintegrationer</t>
        </is>
      </c>
      <c r="E179" s="35" t="inlineStr">
        <is>
          <t>Eksisterende skannere</t>
        </is>
      </c>
      <c r="F179" s="35" t="inlineStr">
        <is>
          <t>Scanningsløsningen skal kunne benyttes på følgende fysiske skannere: 
Kodak Legal Size Flatbed Accessory 
KODAK I4650
RICOH fi-7600</t>
        </is>
      </c>
      <c r="G179" s="35" t="inlineStr">
        <is>
          <t>Mindstekrav</t>
        </is>
      </c>
      <c r="H179" s="35">
        <f>IF(G179="Evalueringskrav","Answer",(IF(G179="Krav","Check",(IF(G179="Mindstekrav","Verify","")))))</f>
        <v/>
      </c>
      <c r="I179" s="35" t="inlineStr">
        <is>
          <t>Ja</t>
        </is>
      </c>
      <c r="J179" s="35" t="n"/>
      <c r="K179" s="47" t="n"/>
      <c r="L179" s="35" t="n"/>
      <c r="M179" s="35" t="n"/>
      <c r="N179" s="35" t="inlineStr">
        <is>
          <t>Scanning</t>
        </is>
      </c>
      <c r="O179" s="35" t="inlineStr">
        <is>
          <t>2. Partly met</t>
        </is>
      </c>
      <c r="P179" s="35" t="inlineStr">
        <is>
          <t>ADN: No clue
TAO: Kan vi slippe ud af at understøtte faktisk skanning, vi hænger på regningen fra Scansolutions i den eksisterende kontrakt. De fleste andre entreer selv med Scansolitions og kofax licenser</t>
        </is>
      </c>
      <c r="Q179" s="35" t="n"/>
      <c r="R179" s="35" t="n"/>
      <c r="S179" s="35" t="n"/>
      <c r="T179" s="35" t="n"/>
      <c r="U179" s="35" t="inlineStr">
        <is>
          <t>Not Started</t>
        </is>
      </c>
      <c r="V179" s="37">
        <f>IF(U179="Not Started",0%,IF(U179="Started",50%,IF(U179="Ready for review",70%,IF(U179="Reviewed - Content",80%,IF(U179="Reviewed - Format",90%,IF(U179="Done",100%,""))))))</f>
        <v/>
      </c>
      <c r="W179" t="inlineStr">
        <is>
          <t>2026-07-07</t>
        </is>
      </c>
      <c r="X179" t="inlineStr">
        <is>
          <t>Cursor / tender-response (MCP-enriched)</t>
        </is>
      </c>
      <c r="Y179" t="inlineStr">
        <is>
          <t>Partial</t>
        </is>
      </c>
      <c r="Z179" t="inlineStr">
        <is>
          <t>Lead</t>
        </is>
      </c>
      <c r="AA179" t="inlineStr">
        <is>
          <t>Verify: Eksisterende skannere — delvist opfyldt; afklar scope og scoring.</t>
        </is>
      </c>
      <c r="AB179" t="inlineStr">
        <is>
          <t>ADN: No clue
TAO: Kan vi slippe ud af at understøtte faktisk skanning, vi hænger på regningen fra Scansolutions i den eksisterende kontrakt. De fleste andre entreer selv med Scansolitions og kofax licenser | Red flag: Ingen ide</t>
        </is>
      </c>
      <c r="AC179" t="inlineStr">
        <is>
          <t>No scanner hardware compatibility documentation (Kodak/Ricoh models)</t>
        </is>
      </c>
      <c r="AD179" t="inlineStr">
        <is>
          <t>Owner: Afklar delkrav; align tool-rating (O) med AI compliance.</t>
        </is>
      </c>
      <c r="AE179" t="inlineStr"/>
      <c r="AF179" t="inlineStr">
        <is>
          <t>Draft</t>
        </is>
      </c>
      <c r="AG179" t="inlineStr">
        <is>
          <t>uim-esdh-full-2026-07-07</t>
        </is>
      </c>
    </row>
    <row r="180" ht="64" customHeight="1">
      <c r="A180" s="35" t="n">
        <v>179</v>
      </c>
      <c r="B180" s="35" t="inlineStr">
        <is>
          <t>MK-151</t>
        </is>
      </c>
      <c r="C180" s="35" t="inlineStr">
        <is>
          <t>Bilag 1.b</t>
        </is>
      </c>
      <c r="D180" s="35" t="inlineStr">
        <is>
          <t>Standardintegrationer</t>
        </is>
      </c>
      <c r="E180" s="35" t="inlineStr">
        <is>
          <t>Indbakke</t>
        </is>
      </c>
      <c r="F180" s="35" t="inlineStr">
        <is>
          <t>De skannede Dokumenter skal ende i en ”skanningsindbakke” i ESDH-løsningen, hvor man kan modtage skannede Dokumenter til en afdeling, team eller til enkeltpersoner. Scannede Dokumenter til enkeltpersoner skal også kunne ses af afdelingen/teamet.</t>
        </is>
      </c>
      <c r="G180" s="35" t="inlineStr">
        <is>
          <t>Mindstekrav</t>
        </is>
      </c>
      <c r="H180" s="35">
        <f>IF(G180="Evalueringskrav","Answer",(IF(G180="Krav","Check",(IF(G180="Mindstekrav","Verify","")))))</f>
        <v/>
      </c>
      <c r="I180" s="35" t="inlineStr">
        <is>
          <t>Ja</t>
        </is>
      </c>
      <c r="J180" s="35" t="n"/>
      <c r="K180" s="47" t="n"/>
      <c r="L180" s="35" t="n"/>
      <c r="M180" s="35" t="n"/>
      <c r="N180" s="35" t="inlineStr">
        <is>
          <t>Scanning</t>
        </is>
      </c>
      <c r="O180" s="35" t="inlineStr">
        <is>
          <t>2. Partly met</t>
        </is>
      </c>
      <c r="P180" s="35" t="inlineStr">
        <is>
          <t>ADN: Unsure if we can scan to individuals?
TAO: Der er QR koder til individer, det er værre med teams, er de beskrevet andet steds? hvis team = orgenhed så ok</t>
        </is>
      </c>
      <c r="Q180" s="35" t="n"/>
      <c r="R180" s="35" t="n"/>
      <c r="S180" s="35" t="n"/>
      <c r="T180" s="35" t="n"/>
      <c r="U180" s="35" t="inlineStr">
        <is>
          <t>Not Started</t>
        </is>
      </c>
      <c r="V180" s="37">
        <f>IF(U180="Not Started",0%,IF(U180="Started",50%,IF(U180="Ready for review",70%,IF(U180="Reviewed - Content",80%,IF(U180="Reviewed - Format",90%,IF(U180="Done",100%,""))))))</f>
        <v/>
      </c>
      <c r="W180" t="inlineStr">
        <is>
          <t>2026-07-07</t>
        </is>
      </c>
      <c r="X180" t="inlineStr">
        <is>
          <t>Cursor / tender-response (MCP-enriched)</t>
        </is>
      </c>
      <c r="Y180" t="inlineStr">
        <is>
          <t>Partial</t>
        </is>
      </c>
      <c r="Z180" t="inlineStr">
        <is>
          <t>Lead</t>
        </is>
      </c>
      <c r="AA180" t="inlineStr">
        <is>
          <t>Verify: Indbakke — delvist opfyldt; afklar scope og scoring.</t>
        </is>
      </c>
      <c r="AB180" t="inlineStr">
        <is>
          <t>ADN: Unsure if we can scan to individuals?
TAO: Der er QR koder til individer, det er værre med teams, er de beskrevet andet steds? hvis team = orgenhed så ok | Red flag: Ved ikke om vi understøtter til enkeltpersoner..?</t>
        </is>
      </c>
      <c r="AC180" t="inlineStr">
        <is>
          <t>Wiki: 5.16 release information; 5.18 release information</t>
        </is>
      </c>
      <c r="AD180" t="inlineStr">
        <is>
          <t>Owner: Afklar delkrav; align tool-rating (O) med AI compliance.</t>
        </is>
      </c>
      <c r="AE180" t="inlineStr"/>
      <c r="AF180" t="inlineStr">
        <is>
          <t>Draft</t>
        </is>
      </c>
      <c r="AG180" t="inlineStr">
        <is>
          <t>uim-esdh-full-2026-07-07</t>
        </is>
      </c>
    </row>
    <row r="181" ht="80" customHeight="1">
      <c r="A181" s="35" t="n">
        <v>180</v>
      </c>
      <c r="B181" s="35" t="inlineStr">
        <is>
          <t>MK-152</t>
        </is>
      </c>
      <c r="C181" s="35" t="inlineStr">
        <is>
          <t>Bilag 1.b</t>
        </is>
      </c>
      <c r="D181" s="35" t="inlineStr">
        <is>
          <t>Standardintegrationer</t>
        </is>
      </c>
      <c r="E181" s="35" t="inlineStr">
        <is>
          <t>Præjournalisering af skannet post</t>
        </is>
      </c>
      <c r="F181" s="35" t="inlineStr">
        <is>
          <t>Det skal være muligt at præjournalisere skannet post i ESDH-løsningen. Løsningen skal understøtte, at en Bruger kan angive en afsender og dokumenttitel i den præjournaliserede post.</t>
        </is>
      </c>
      <c r="G181" s="35" t="inlineStr">
        <is>
          <t>Mindstekrav</t>
        </is>
      </c>
      <c r="H181" s="35">
        <f>IF(G181="Evalueringskrav","Answer",(IF(G181="Krav","Check",(IF(G181="Mindstekrav","Verify","")))))</f>
        <v/>
      </c>
      <c r="I181" s="35" t="inlineStr">
        <is>
          <t>Ja</t>
        </is>
      </c>
      <c r="J181" s="35" t="n"/>
      <c r="K181" s="47" t="n"/>
      <c r="L181" s="35" t="inlineStr">
        <is>
          <t>Anton</t>
        </is>
      </c>
      <c r="M181" s="35" t="n"/>
      <c r="N181" s="35" t="inlineStr">
        <is>
          <t>Scanning</t>
        </is>
      </c>
      <c r="O181" s="35" t="inlineStr">
        <is>
          <t>2. Partly met</t>
        </is>
      </c>
      <c r="P181" s="35" t="inlineStr">
        <is>
          <t>ADN: This must be solved by scanning solution to unregistered documents
TAO: Vi har ikke en fungrende standard import for Dansk skanning, må få commitment på import ud fra det format scansolutions leverer.</t>
        </is>
      </c>
      <c r="Q181" s="35" t="inlineStr">
        <is>
          <t>Yes</t>
        </is>
      </c>
      <c r="R181" s="35" t="n"/>
      <c r="S181" s="35" t="n"/>
      <c r="T181" s="35" t="n"/>
      <c r="U181" s="35" t="inlineStr">
        <is>
          <t>Not Started</t>
        </is>
      </c>
      <c r="V181" s="37">
        <f>IF(U181="Not Started",0%,IF(U181="Started",50%,IF(U181="Ready for review",70%,IF(U181="Reviewed - Content",80%,IF(U181="Reviewed - Format",90%,IF(U181="Done",100%,""))))))</f>
        <v/>
      </c>
      <c r="W181" t="inlineStr">
        <is>
          <t>2026-07-07</t>
        </is>
      </c>
      <c r="X181" t="inlineStr">
        <is>
          <t>Cursor / tender-response (MCP-enriched)</t>
        </is>
      </c>
      <c r="Y181" t="inlineStr">
        <is>
          <t>Partial</t>
        </is>
      </c>
      <c r="Z181" t="inlineStr">
        <is>
          <t>Lead</t>
        </is>
      </c>
      <c r="AA181" t="inlineStr">
        <is>
          <t>Verify: Præjournalisering af skannet post — delvist opfyldt; afklar scope og scoring.</t>
        </is>
      </c>
      <c r="AB181" t="inlineStr">
        <is>
          <t>ADN: This must be solved by scanning solution to unregistered documents
TAO: Vi har ikke en fungrende standard import for Dansk skanning, må få commitment på import ud fra det format scansolutions leverer.</t>
        </is>
      </c>
      <c r="AC181" t="inlineStr">
        <is>
          <t>Wiki: 5.8 release information; 6.2 release information</t>
        </is>
      </c>
      <c r="AD181" t="inlineStr">
        <is>
          <t>Anton: Afklar delkrav; align tool-rating (O) med AI compliance.</t>
        </is>
      </c>
      <c r="AE181" t="inlineStr"/>
      <c r="AF181" t="inlineStr">
        <is>
          <t>Draft</t>
        </is>
      </c>
      <c r="AG181" t="inlineStr">
        <is>
          <t>uim-esdh-full-2026-07-07</t>
        </is>
      </c>
    </row>
    <row r="182" ht="48" customHeight="1">
      <c r="A182" s="35" t="n">
        <v>181</v>
      </c>
      <c r="B182" s="35" t="inlineStr">
        <is>
          <t>MK-153</t>
        </is>
      </c>
      <c r="C182" s="35" t="inlineStr">
        <is>
          <t>Bilag 1.b</t>
        </is>
      </c>
      <c r="D182" s="35" t="inlineStr">
        <is>
          <t>Standardintegrationer</t>
        </is>
      </c>
      <c r="E182" s="35" t="inlineStr">
        <is>
          <t>Sortering</t>
        </is>
      </c>
      <c r="F182" s="35" t="inlineStr">
        <is>
          <t>Dokumenterne skal sorteres og skannes med eksempelvis skilleark eller lignende løsning, som sikrer at Dokumenterne ender hos den rigtige person/afdeling/team i ESDH-løsningen.</t>
        </is>
      </c>
      <c r="G182" s="35" t="inlineStr">
        <is>
          <t>Mindstekrav</t>
        </is>
      </c>
      <c r="H182" s="35">
        <f>IF(G182="Evalueringskrav","Answer",(IF(G182="Krav","Check",(IF(G182="Mindstekrav","Verify","")))))</f>
        <v/>
      </c>
      <c r="I182" s="35" t="inlineStr">
        <is>
          <t>Ja</t>
        </is>
      </c>
      <c r="J182" s="35" t="n"/>
      <c r="K182" s="47" t="n"/>
      <c r="L182" s="35" t="n"/>
      <c r="M182" s="35" t="n"/>
      <c r="N182" s="35" t="n"/>
      <c r="O182" s="35" t="n"/>
      <c r="P182" s="35" t="inlineStr">
        <is>
          <t>ADN: Unsure if we can scan to individuals?</t>
        </is>
      </c>
      <c r="Q182" s="35" t="n"/>
      <c r="R182" s="35" t="n"/>
      <c r="S182" s="35" t="n"/>
      <c r="T182" s="35" t="n"/>
      <c r="U182" s="35" t="inlineStr">
        <is>
          <t>Not Started</t>
        </is>
      </c>
      <c r="V182" s="37">
        <f>IF(U182="Not Started",0%,IF(U182="Started",50%,IF(U182="Ready for review",70%,IF(U182="Reviewed - Content",80%,IF(U182="Reviewed - Format",90%,IF(U182="Done",100%,""))))))</f>
        <v/>
      </c>
      <c r="W182" t="inlineStr">
        <is>
          <t>2026-07-07</t>
        </is>
      </c>
      <c r="X182" t="inlineStr">
        <is>
          <t>Cursor / tender-response (MCP-enriched)</t>
        </is>
      </c>
      <c r="Y182" t="inlineStr">
        <is>
          <t>Clarify</t>
        </is>
      </c>
      <c r="Z182" t="inlineStr">
        <is>
          <t>Lead</t>
        </is>
      </c>
      <c r="AA182" t="inlineStr">
        <is>
          <t>Verify: Sortering — kræver produkt-/team-afklaring (ingen tool-rating).</t>
        </is>
      </c>
      <c r="AB182" t="inlineStr">
        <is>
          <t>ADN: Unsure if we can scan to individuals? | Red flag: Igen person</t>
        </is>
      </c>
      <c r="AC182" t="inlineStr">
        <is>
          <t>Wiki: EDoc Documentation for Support; 5.16 release information</t>
        </is>
      </c>
      <c r="AD182" t="inlineStr">
        <is>
          <t>Owner: Udfyld tool-rating (O) og evidens; gennemgå AI-kladde.</t>
        </is>
      </c>
      <c r="AE182" t="inlineStr"/>
      <c r="AF182" t="inlineStr">
        <is>
          <t>Draft</t>
        </is>
      </c>
      <c r="AG182" t="inlineStr">
        <is>
          <t>uim-esdh-full-2026-07-07</t>
        </is>
      </c>
    </row>
    <row r="183" ht="48" customHeight="1">
      <c r="A183" s="35" t="n">
        <v>182</v>
      </c>
      <c r="B183" s="35" t="inlineStr">
        <is>
          <t>MK-154</t>
        </is>
      </c>
      <c r="C183" s="35" t="inlineStr">
        <is>
          <t>Bilag 1.b</t>
        </is>
      </c>
      <c r="D183" s="35" t="inlineStr">
        <is>
          <t>Standardintegrationer</t>
        </is>
      </c>
      <c r="E183" s="35" t="inlineStr">
        <is>
          <t>Videreforsendelse</t>
        </is>
      </c>
      <c r="F183" s="35" t="inlineStr">
        <is>
          <t>ESDH-løsningen skal understøtte, at en Bruger kan videresende/omfordele indscannet post til en anden afdeling eller en anden person.</t>
        </is>
      </c>
      <c r="G183" s="35" t="inlineStr">
        <is>
          <t>Mindstekrav</t>
        </is>
      </c>
      <c r="H183" s="35">
        <f>IF(G183="Evalueringskrav","Answer",(IF(G183="Krav","Check",(IF(G183="Mindstekrav","Verify","")))))</f>
        <v/>
      </c>
      <c r="I183" s="35" t="inlineStr">
        <is>
          <t>Ja</t>
        </is>
      </c>
      <c r="J183" s="35" t="n"/>
      <c r="K183" s="47" t="n"/>
      <c r="L183" s="35" t="inlineStr">
        <is>
          <t>Anton</t>
        </is>
      </c>
      <c r="M183" s="35" t="n"/>
      <c r="N183" s="35" t="n"/>
      <c r="O183" s="35" t="inlineStr">
        <is>
          <t>1. Fully met</t>
        </is>
      </c>
      <c r="P183" s="35" t="n"/>
      <c r="Q183" s="35" t="n"/>
      <c r="R183" s="35" t="n"/>
      <c r="S183" s="35" t="n"/>
      <c r="T183" s="35" t="n"/>
      <c r="U183" s="35" t="inlineStr">
        <is>
          <t>Not Started</t>
        </is>
      </c>
      <c r="V183" s="37">
        <f>IF(U183="Not Started",0%,IF(U183="Started",50%,IF(U183="Ready for review",70%,IF(U183="Reviewed - Content",80%,IF(U183="Reviewed - Format",90%,IF(U183="Done",100%,""))))))</f>
        <v/>
      </c>
      <c r="W183" t="inlineStr">
        <is>
          <t>2026-07-07</t>
        </is>
      </c>
      <c r="X183" t="inlineStr">
        <is>
          <t>Cursor / tender-response (batch)</t>
        </is>
      </c>
      <c r="Y183" t="inlineStr">
        <is>
          <t>Met</t>
        </is>
      </c>
      <c r="Z183" t="inlineStr">
        <is>
          <t>Verified</t>
        </is>
      </c>
      <c r="AA183" t="inlineStr">
        <is>
          <t>Verify: Videreforsendelse — vurderet opfyldt (tool: 1. Fully met).</t>
        </is>
      </c>
      <c r="AB183" t="inlineStr"/>
      <c r="AC183" t="inlineStr">
        <is>
          <t>docs/tender-reference/extracted/KUM-SLKS/Bilag 3 - Kravspecifikation.txt; docs/tender-reference/extracted/NND/02.01-Tieto-Bilag 2-Vedlegg-Leverandørens utfyllende svar til kravtabell.txt; docs/tender-reference/extracted/Nationalbanken/Bilag 3.i Leverandørens Løsningsbeskrivelse.txt</t>
        </is>
      </c>
      <c r="AD183" t="inlineStr">
        <is>
          <t>Anton: Confirm verify-tekst; opdatér review status efter tjek.</t>
        </is>
      </c>
      <c r="AE183" t="inlineStr"/>
      <c r="AF183" t="inlineStr">
        <is>
          <t>Draft</t>
        </is>
      </c>
      <c r="AG183" t="inlineStr">
        <is>
          <t>uim-esdh-full-2026-07-07</t>
        </is>
      </c>
    </row>
    <row r="184" ht="48" customHeight="1">
      <c r="A184" s="35" t="n">
        <v>183</v>
      </c>
      <c r="B184" s="35" t="inlineStr">
        <is>
          <t>MK-155</t>
        </is>
      </c>
      <c r="C184" s="35" t="inlineStr">
        <is>
          <t>Bilag 1.b</t>
        </is>
      </c>
      <c r="D184" s="35" t="inlineStr">
        <is>
          <t>Standardintegrationer</t>
        </is>
      </c>
      <c r="E184" s="35" t="inlineStr">
        <is>
          <t>Flettefelter</t>
        </is>
      </c>
      <c r="F184" s="35" t="inlineStr">
        <is>
          <t>ESDH-løsningen skal understøtte oprettelse af Filer med flettefelter, således at relevante oplysninger fra en sag automatisk kan indsættes i en Fil.</t>
        </is>
      </c>
      <c r="G184" s="35" t="inlineStr">
        <is>
          <t>Mindstekrav</t>
        </is>
      </c>
      <c r="H184" s="35">
        <f>IF(G184="Evalueringskrav","Answer",(IF(G184="Krav","Check",(IF(G184="Mindstekrav","Verify","")))))</f>
        <v/>
      </c>
      <c r="I184" s="35" t="inlineStr">
        <is>
          <t>Ja</t>
        </is>
      </c>
      <c r="J184" s="35" t="n"/>
      <c r="K184" s="47" t="n"/>
      <c r="L184" s="35" t="inlineStr">
        <is>
          <t>Anton</t>
        </is>
      </c>
      <c r="M184" s="35" t="n"/>
      <c r="N184" s="35" t="n"/>
      <c r="O184" s="35" t="inlineStr">
        <is>
          <t>1. Fully met</t>
        </is>
      </c>
      <c r="P184" s="35" t="n"/>
      <c r="Q184" s="35" t="n"/>
      <c r="R184" s="35" t="n"/>
      <c r="S184" s="35" t="n"/>
      <c r="T184" s="35" t="n"/>
      <c r="U184" s="35" t="inlineStr">
        <is>
          <t>Not Started</t>
        </is>
      </c>
      <c r="V184" s="37">
        <f>IF(U184="Not Started",0%,IF(U184="Started",50%,IF(U184="Ready for review",70%,IF(U184="Reviewed - Content",80%,IF(U184="Reviewed - Format",90%,IF(U184="Done",100%,""))))))</f>
        <v/>
      </c>
      <c r="W184" t="inlineStr">
        <is>
          <t>2026-07-07</t>
        </is>
      </c>
      <c r="X184" t="inlineStr">
        <is>
          <t>Cursor / tender-response (batch)</t>
        </is>
      </c>
      <c r="Y184" t="inlineStr">
        <is>
          <t>Met</t>
        </is>
      </c>
      <c r="Z184" t="inlineStr">
        <is>
          <t>Verified</t>
        </is>
      </c>
      <c r="AA184" t="inlineStr">
        <is>
          <t>Verify: Flettefelter — vurderet opfyldt (tool: 1. Fully met).</t>
        </is>
      </c>
      <c r="AB184" t="inlineStr"/>
      <c r="AC184" t="inlineStr">
        <is>
          <t>docs/tender-reference/extracted/KUM-SLKS/Bilag 3 - Kravspecifikation.txt; docs/tender-reference/extracted/Nationalbanken/Bilag 3.i Leverandørens Løsningsbeskrivelse.txt; docs/tender-reference/extracted/KK Tender tool.txt</t>
        </is>
      </c>
      <c r="AD184" t="inlineStr">
        <is>
          <t>Anton: Confirm verify-tekst; opdatér review status efter tjek.</t>
        </is>
      </c>
      <c r="AE184" t="inlineStr"/>
      <c r="AF184" t="inlineStr">
        <is>
          <t>Draft</t>
        </is>
      </c>
      <c r="AG184" t="inlineStr">
        <is>
          <t>uim-esdh-full-2026-07-07</t>
        </is>
      </c>
    </row>
    <row r="185" ht="80" customHeight="1">
      <c r="A185" s="35" t="n">
        <v>184</v>
      </c>
      <c r="B185" s="35" t="inlineStr">
        <is>
          <t>MK-156</t>
        </is>
      </c>
      <c r="C185" s="35" t="inlineStr">
        <is>
          <t>Bilag 1.b</t>
        </is>
      </c>
      <c r="D185" s="35" t="inlineStr">
        <is>
          <t>Standardintegrationer</t>
        </is>
      </c>
      <c r="E185" s="35" t="inlineStr">
        <is>
          <t>Registrering af metadata</t>
        </is>
      </c>
      <c r="F185" s="35" t="inlineStr">
        <is>
          <t>ESDH-løsningen skal understøtte, at Filer kan tilknyttes et Dokument med relevante metadata: dokumenttitel, dokumenttype, dokumentdato, dokumentstatus, dokumentkategori, modtager, klassifikation, oprettelsestidspunkt, sagsnummer, relation til sag, ansvarlig sagsbehandler og ansvarlig enhed.</t>
        </is>
      </c>
      <c r="G185" s="35" t="inlineStr">
        <is>
          <t>Mindstekrav</t>
        </is>
      </c>
      <c r="H185" s="35">
        <f>IF(G185="Evalueringskrav","Answer",(IF(G185="Krav","Check",(IF(G185="Mindstekrav","Verify","")))))</f>
        <v/>
      </c>
      <c r="I185" s="35" t="inlineStr">
        <is>
          <t>Ja</t>
        </is>
      </c>
      <c r="J185" s="35" t="n"/>
      <c r="K185" s="47" t="n"/>
      <c r="L185" s="35" t="inlineStr">
        <is>
          <t>Anton</t>
        </is>
      </c>
      <c r="M185" s="35" t="n"/>
      <c r="N185" s="35" t="n"/>
      <c r="O185" s="35" t="inlineStr">
        <is>
          <t>1. Fully met</t>
        </is>
      </c>
      <c r="P185" s="35" t="n"/>
      <c r="Q185" s="35" t="n"/>
      <c r="R185" s="35" t="n"/>
      <c r="S185" s="35" t="n"/>
      <c r="T185" s="35" t="n"/>
      <c r="U185" s="35" t="inlineStr">
        <is>
          <t>Not Started</t>
        </is>
      </c>
      <c r="V185" s="37">
        <f>IF(U185="Not Started",0%,IF(U185="Started",50%,IF(U185="Ready for review",70%,IF(U185="Reviewed - Content",80%,IF(U185="Reviewed - Format",90%,IF(U185="Done",100%,""))))))</f>
        <v/>
      </c>
      <c r="W185" t="inlineStr">
        <is>
          <t>2026-07-07</t>
        </is>
      </c>
      <c r="X185" t="inlineStr">
        <is>
          <t>Cursor / tender-response (batch)</t>
        </is>
      </c>
      <c r="Y185" t="inlineStr">
        <is>
          <t>Met</t>
        </is>
      </c>
      <c r="Z185" t="inlineStr">
        <is>
          <t>Verified</t>
        </is>
      </c>
      <c r="AA185" t="inlineStr">
        <is>
          <t>Verify: Registrering af metadata — vurderet opfyldt (tool: 1. Fully met).</t>
        </is>
      </c>
      <c r="AB185" t="inlineStr"/>
      <c r="AC185" t="inlineStr">
        <is>
          <t>docs/tender-reference/extracted/KUM-SLKS/Bilag 3 - Kravspecifikation.txt; docs/tender-reference/extracted/Nationalbanken/Bilag 3.i Leverandørens Løsningsbeskrivelse.txt; docs/tender-reference/extracted/KK Tender tool.txt</t>
        </is>
      </c>
      <c r="AD185" t="inlineStr">
        <is>
          <t>Anton: Confirm verify-tekst; opdatér review status efter tjek.</t>
        </is>
      </c>
      <c r="AE185" t="inlineStr"/>
      <c r="AF185" t="inlineStr">
        <is>
          <t>Draft</t>
        </is>
      </c>
      <c r="AG185" t="inlineStr">
        <is>
          <t>uim-esdh-full-2026-07-07</t>
        </is>
      </c>
    </row>
    <row r="186" ht="176" customHeight="1">
      <c r="A186" s="35" t="n">
        <v>185</v>
      </c>
      <c r="B186" s="35" t="inlineStr">
        <is>
          <t>MK-157</t>
        </is>
      </c>
      <c r="C186" s="35" t="inlineStr">
        <is>
          <t>Bilag 1.b</t>
        </is>
      </c>
      <c r="D186" s="35" t="inlineStr">
        <is>
          <t>Standardintegrationer</t>
        </is>
      </c>
      <c r="E186" s="35" t="inlineStr">
        <is>
          <t>Fuld tovejs-integration med Digital Post</t>
        </is>
      </c>
      <c r="F186" s="35" t="inlineStr">
        <is>
          <t>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t>
        </is>
      </c>
      <c r="G186" s="35" t="inlineStr">
        <is>
          <t>Mindstekrav</t>
        </is>
      </c>
      <c r="H186" s="35">
        <f>IF(G186="Evalueringskrav","Answer",(IF(G186="Krav","Check",(IF(G186="Mindstekrav","Verify","")))))</f>
        <v/>
      </c>
      <c r="I186" s="35" t="inlineStr">
        <is>
          <t>Ja</t>
        </is>
      </c>
      <c r="J186" s="35" t="n"/>
      <c r="K186" s="47" t="n"/>
      <c r="L186" s="35" t="inlineStr">
        <is>
          <t>Anton</t>
        </is>
      </c>
      <c r="M186" s="35" t="inlineStr">
        <is>
          <t>Tajinder</t>
        </is>
      </c>
      <c r="N186" s="35" t="inlineStr">
        <is>
          <t>NgDP</t>
        </is>
      </c>
      <c r="O186" s="35" t="inlineStr">
        <is>
          <t>2. Partly met</t>
        </is>
      </c>
      <c r="P186" s="35" t="inlineStr">
        <is>
          <t>ADN: We support everything besides "Complete parameter setup" - we support what is needed, but not "Complete". Saying Yes comes with a Risc according to Tajinder.</t>
        </is>
      </c>
      <c r="Q186" s="35" t="n"/>
      <c r="R186" s="35" t="inlineStr">
        <is>
          <t>Yes</t>
        </is>
      </c>
      <c r="S186" s="35" t="n"/>
      <c r="T186" s="35" t="n"/>
      <c r="U186" s="35" t="inlineStr">
        <is>
          <t>Not Started</t>
        </is>
      </c>
      <c r="V186" s="37">
        <f>IF(U186="Not Started",0%,IF(U186="Started",50%,IF(U186="Ready for review",70%,IF(U186="Reviewed - Content",80%,IF(U186="Reviewed - Format",90%,IF(U186="Done",100%,""))))))</f>
        <v/>
      </c>
      <c r="W186" t="inlineStr">
        <is>
          <t>2026-07-07</t>
        </is>
      </c>
      <c r="X186" t="inlineStr">
        <is>
          <t>Cursor / tender-response (MCP-enriched)</t>
        </is>
      </c>
      <c r="Y186" t="inlineStr">
        <is>
          <t>Partial</t>
        </is>
      </c>
      <c r="Z186" t="inlineStr">
        <is>
          <t>Verified</t>
        </is>
      </c>
      <c r="AA186" t="inlineStr">
        <is>
          <t>Verify: Fuld tovejs-integration med Digital Post — delvist opfyldt; afklar scope og scoring.</t>
        </is>
      </c>
      <c r="AB186" t="inlineStr">
        <is>
          <t>ADN: We support everything besides "Complete parameter setup" - we support what is needed, but not "Complete". Saying Yes comes with a Risc according to Tajinder.</t>
        </is>
      </c>
      <c r="AC186" t="inlineStr">
        <is>
          <t>Ratatoskr: 360° Integration with eFormidling (admin-en); 360° Dispatch adapter: NgDP adapter (DK) (admin-en) | Wiki: 360° Integration with eFormidling; Integrasjonspunktet and eFormidling for Support</t>
        </is>
      </c>
      <c r="AD186" t="inlineStr">
        <is>
          <t>Anton: Afklar delkrav; align tool-rating (O) med AI compliance.</t>
        </is>
      </c>
      <c r="AE186" t="inlineStr"/>
      <c r="AF186" t="inlineStr">
        <is>
          <t>Draft</t>
        </is>
      </c>
      <c r="AG186" t="inlineStr">
        <is>
          <t>uim-esdh-full-2026-07-07</t>
        </is>
      </c>
    </row>
    <row r="187" ht="32" customHeight="1">
      <c r="A187" s="35" t="n">
        <v>186</v>
      </c>
      <c r="B187" s="35" t="inlineStr">
        <is>
          <t>MK-158</t>
        </is>
      </c>
      <c r="C187" s="35" t="inlineStr">
        <is>
          <t>Bilag 1.b</t>
        </is>
      </c>
      <c r="D187" s="35" t="inlineStr">
        <is>
          <t>Standardintegrationer</t>
        </is>
      </c>
      <c r="E187" s="35" t="inlineStr">
        <is>
          <t>CPR-integration</t>
        </is>
      </c>
      <c r="F187" s="35" t="inlineStr">
        <is>
          <t>ESDH-løsningen skal have integration til CPR-registeret, for at sikre import af CPR-kontakter via onlineopslag og batchkørsler.</t>
        </is>
      </c>
      <c r="G187" s="35" t="inlineStr">
        <is>
          <t>Mindstekrav</t>
        </is>
      </c>
      <c r="H187" s="35">
        <f>IF(G187="Evalueringskrav","Answer",(IF(G187="Krav","Check",(IF(G187="Mindstekrav","Verify","")))))</f>
        <v/>
      </c>
      <c r="I187" s="35" t="inlineStr">
        <is>
          <t>Ja</t>
        </is>
      </c>
      <c r="J187" s="35" t="n"/>
      <c r="K187" s="47" t="n"/>
      <c r="L187" s="35" t="inlineStr">
        <is>
          <t>Anton</t>
        </is>
      </c>
      <c r="M187" s="35" t="n"/>
      <c r="N187" s="35" t="inlineStr">
        <is>
          <t>CPR</t>
        </is>
      </c>
      <c r="O187" s="35" t="inlineStr">
        <is>
          <t>1. Fully met</t>
        </is>
      </c>
      <c r="P187" s="35" t="n"/>
      <c r="Q187" s="35" t="n"/>
      <c r="R187" s="35" t="n"/>
      <c r="S187" s="35" t="n"/>
      <c r="T187" s="35" t="n"/>
      <c r="U187" s="35" t="inlineStr">
        <is>
          <t>Not Started</t>
        </is>
      </c>
      <c r="V187" s="37">
        <f>IF(U187="Not Started",0%,IF(U187="Started",50%,IF(U187="Ready for review",70%,IF(U187="Reviewed - Content",80%,IF(U187="Reviewed - Format",90%,IF(U187="Done",100%,""))))))</f>
        <v/>
      </c>
      <c r="W187" t="inlineStr">
        <is>
          <t>2026-07-07</t>
        </is>
      </c>
      <c r="X187" t="inlineStr">
        <is>
          <t>Cursor / tender-response (batch)</t>
        </is>
      </c>
      <c r="Y187" t="inlineStr">
        <is>
          <t>Met</t>
        </is>
      </c>
      <c r="Z187" t="inlineStr">
        <is>
          <t>Verified</t>
        </is>
      </c>
      <c r="AA187" t="inlineStr">
        <is>
          <t>Verify: CPR-integration — vurderet opfyldt (tool: 1. Fully met).</t>
        </is>
      </c>
      <c r="AB187" t="inlineStr"/>
      <c r="AC187" t="inlineStr">
        <is>
          <t>docs/product/RFP_Leverandørens_svar_utdrag.txt; docs/tender-reference/extracted/HSØ/02.00-Tietoevry-SSA-L-Bilag 2-Leverandørens beskrivelse av Tjenesten.txt; docs/tender-reference/extracted/NND/02.01-Tieto-Bilag 2-Vedlegg-Leverandørens utfyllende svar til kravtabell.txt</t>
        </is>
      </c>
      <c r="AD187" t="inlineStr">
        <is>
          <t>Anton: Confirm verify-tekst; opdatér review status efter tjek.</t>
        </is>
      </c>
      <c r="AE187" t="inlineStr"/>
      <c r="AF187" t="inlineStr">
        <is>
          <t>Draft</t>
        </is>
      </c>
      <c r="AG187" t="inlineStr">
        <is>
          <t>uim-esdh-full-2026-07-07</t>
        </is>
      </c>
    </row>
    <row r="188" ht="32" customHeight="1">
      <c r="A188" s="35" t="n">
        <v>187</v>
      </c>
      <c r="B188" s="35" t="inlineStr">
        <is>
          <t>MK-159</t>
        </is>
      </c>
      <c r="C188" s="35" t="inlineStr">
        <is>
          <t>Bilag 1.b</t>
        </is>
      </c>
      <c r="D188" s="35" t="inlineStr">
        <is>
          <t>Standardintegrationer</t>
        </is>
      </c>
      <c r="E188" s="35" t="inlineStr">
        <is>
          <t>CVR-integration</t>
        </is>
      </c>
      <c r="F188" s="35" t="inlineStr">
        <is>
          <t>ESDH-løsningen skal have integration til CVR, for at sikre import af CVR-kontakter via onlineopslag og batchkørsler.</t>
        </is>
      </c>
      <c r="G188" s="35" t="inlineStr">
        <is>
          <t>Mindstekrav</t>
        </is>
      </c>
      <c r="H188" s="35">
        <f>IF(G188="Evalueringskrav","Answer",(IF(G188="Krav","Check",(IF(G188="Mindstekrav","Verify","")))))</f>
        <v/>
      </c>
      <c r="I188" s="35" t="inlineStr">
        <is>
          <t>Ja</t>
        </is>
      </c>
      <c r="J188" s="35" t="n"/>
      <c r="K188" s="47" t="n"/>
      <c r="L188" s="35" t="inlineStr">
        <is>
          <t>Anton</t>
        </is>
      </c>
      <c r="M188" s="35" t="n"/>
      <c r="N188" s="35" t="inlineStr">
        <is>
          <t>CVR</t>
        </is>
      </c>
      <c r="O188" s="35" t="inlineStr">
        <is>
          <t>1. Fully met</t>
        </is>
      </c>
      <c r="P188" s="35" t="n"/>
      <c r="Q188" s="35" t="n"/>
      <c r="R188" s="35" t="n"/>
      <c r="S188" s="35" t="n"/>
      <c r="T188" s="35" t="n"/>
      <c r="U188" s="35" t="inlineStr">
        <is>
          <t>Not Started</t>
        </is>
      </c>
      <c r="V188" s="37">
        <f>IF(U188="Not Started",0%,IF(U188="Started",50%,IF(U188="Ready for review",70%,IF(U188="Reviewed - Content",80%,IF(U188="Reviewed - Format",90%,IF(U188="Done",100%,""))))))</f>
        <v/>
      </c>
      <c r="W188" t="inlineStr">
        <is>
          <t>2026-07-07</t>
        </is>
      </c>
      <c r="X188" t="inlineStr">
        <is>
          <t>Cursor / tender-response (batch)</t>
        </is>
      </c>
      <c r="Y188" t="inlineStr">
        <is>
          <t>Met</t>
        </is>
      </c>
      <c r="Z188" t="inlineStr">
        <is>
          <t>Verified</t>
        </is>
      </c>
      <c r="AA188" t="inlineStr">
        <is>
          <t>Verify: CVR-integration — vurderet opfyldt (tool: 1. Fully met).</t>
        </is>
      </c>
      <c r="AB188" t="inlineStr"/>
      <c r="AC188" t="inlineStr">
        <is>
          <t>docs/product/RFP_Leverandørens_svar_utdrag.txt; docs/tender-reference/extracted/HSØ/02.00-Tietoevry-SSA-L-Bilag 2-Leverandørens beskrivelse av Tjenesten.txt; docs/tender-reference/extracted/NND/02.01-Tieto-Bilag 2-Vedlegg-Leverandørens utfyllende svar til kravtabell.txt</t>
        </is>
      </c>
      <c r="AD188" t="inlineStr">
        <is>
          <t>Anton: Confirm verify-tekst; opdatér review status efter tjek.</t>
        </is>
      </c>
      <c r="AE188" t="inlineStr"/>
      <c r="AF188" t="inlineStr">
        <is>
          <t>Draft</t>
        </is>
      </c>
      <c r="AG188" t="inlineStr">
        <is>
          <t>uim-esdh-full-2026-07-07</t>
        </is>
      </c>
    </row>
    <row r="189" ht="240" customHeight="1">
      <c r="A189" s="35" t="n">
        <v>188</v>
      </c>
      <c r="B189" s="35" t="inlineStr">
        <is>
          <t>MK-160</t>
        </is>
      </c>
      <c r="C189" s="35" t="inlineStr">
        <is>
          <t>Bilag 1.b</t>
        </is>
      </c>
      <c r="D189" s="35" t="inlineStr">
        <is>
          <t>Standardintegrationer</t>
        </is>
      </c>
      <c r="E189" s="35" t="inlineStr">
        <is>
          <t>Udlæsning af data til analytiske formål</t>
        </is>
      </c>
      <c r="F189" s="35" t="inlineStr">
        <is>
          <t>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t>
        </is>
      </c>
      <c r="G189" s="35" t="inlineStr">
        <is>
          <t>Mindstekrav</t>
        </is>
      </c>
      <c r="H189" s="35">
        <f>IF(G189="Evalueringskrav","Answer",(IF(G189="Krav","Check",(IF(G189="Mindstekrav","Verify","")))))</f>
        <v/>
      </c>
      <c r="I189" s="35" t="inlineStr">
        <is>
          <t>Ja</t>
        </is>
      </c>
      <c r="J189" s="35" t="n"/>
      <c r="K189" s="47" t="n"/>
      <c r="L189" s="35" t="n"/>
      <c r="M189" s="35" t="n"/>
      <c r="N189" s="35" t="n"/>
      <c r="O189" s="35" t="n"/>
      <c r="P189" s="35" t="inlineStr">
        <is>
          <t>TAO: Hvordan kan vi levere dokumentation på et mindstekrav?</t>
        </is>
      </c>
      <c r="Q189" s="35" t="n"/>
      <c r="R189" s="35" t="n"/>
      <c r="S189" s="35" t="n"/>
      <c r="T189" s="35" t="n"/>
      <c r="U189" s="35" t="inlineStr">
        <is>
          <t>Not Started</t>
        </is>
      </c>
      <c r="V189" s="37">
        <f>IF(U189="Not Started",0%,IF(U189="Started",50%,IF(U189="Ready for review",70%,IF(U189="Reviewed - Content",80%,IF(U189="Reviewed - Format",90%,IF(U189="Done",100%,""))))))</f>
        <v/>
      </c>
      <c r="W189" t="inlineStr">
        <is>
          <t>2026-07-07</t>
        </is>
      </c>
      <c r="X189" t="inlineStr">
        <is>
          <t>Cursor / tender-response (batch)</t>
        </is>
      </c>
      <c r="Y189" t="inlineStr">
        <is>
          <t>Clarify</t>
        </is>
      </c>
      <c r="Z189" t="inlineStr">
        <is>
          <t>Verified</t>
        </is>
      </c>
      <c r="AA189" t="inlineStr">
        <is>
          <t>Verify: Udlæsning af data til analytiske formål — kræver produkt-/team-afklaring (ingen tool-rating).</t>
        </is>
      </c>
      <c r="AB189" t="inlineStr">
        <is>
          <t>TAO: Hvordan kan vi levere dokumentation på et mindstekrav?</t>
        </is>
      </c>
      <c r="AC189" t="inlineStr">
        <is>
          <t>docs/tender-reference/extracted/Nationalbanken/Bilag 3.i Leverandørens Løsningsbeskrivelse.txt; docs/tender-reference/extracted/KK Tender tool.txt; docs/tender-reference/extracted/KUM-SLKS/Bilag 3 - Kravspecifikation.txt</t>
        </is>
      </c>
      <c r="AD189" t="inlineStr">
        <is>
          <t>Owner: Udfyld tool-rating (O) og evidens; gennemgå AI-kladde.</t>
        </is>
      </c>
      <c r="AE189" t="inlineStr"/>
      <c r="AF189" t="inlineStr">
        <is>
          <t>Draft</t>
        </is>
      </c>
      <c r="AG189" t="inlineStr">
        <is>
          <t>uim-esdh-full-2026-07-07</t>
        </is>
      </c>
    </row>
    <row r="190" ht="48" customHeight="1">
      <c r="A190" s="35" t="n">
        <v>189</v>
      </c>
      <c r="B190" s="35" t="inlineStr">
        <is>
          <t>MK-161</t>
        </is>
      </c>
      <c r="C190" s="35" t="inlineStr">
        <is>
          <t>Bilag 1.b</t>
        </is>
      </c>
      <c r="D190" s="35" t="inlineStr">
        <is>
          <t>Standardintegrationer</t>
        </is>
      </c>
      <c r="E190" s="35" t="inlineStr">
        <is>
          <t>Integration til dokumentbibliotek</t>
        </is>
      </c>
      <c r="F190" s="35" t="inlineStr">
        <is>
          <t>ESDH-løsningen skal have integration til Dynamics Template fra Omnidocs.</t>
        </is>
      </c>
      <c r="G190" s="35" t="inlineStr">
        <is>
          <t>Mindstekrav</t>
        </is>
      </c>
      <c r="H190" s="35">
        <f>IF(G190="Evalueringskrav","Answer",(IF(G190="Krav","Check",(IF(G190="Mindstekrav","Verify","")))))</f>
        <v/>
      </c>
      <c r="I190" s="35" t="inlineStr">
        <is>
          <t>Ja</t>
        </is>
      </c>
      <c r="J190" s="35" t="n"/>
      <c r="K190" s="47" t="n"/>
      <c r="L190" s="35" t="inlineStr">
        <is>
          <t>Anton</t>
        </is>
      </c>
      <c r="M190" s="35" t="n"/>
      <c r="N190" s="35" t="inlineStr">
        <is>
          <t>Template Connect</t>
        </is>
      </c>
      <c r="O190" s="35" t="inlineStr">
        <is>
          <t>1. Fully met</t>
        </is>
      </c>
      <c r="P190" s="35" t="n"/>
      <c r="Q190" s="35" t="n"/>
      <c r="R190" s="35" t="n"/>
      <c r="S190" s="35" t="n"/>
      <c r="T190" s="35" t="n"/>
      <c r="U190" s="35" t="inlineStr">
        <is>
          <t>Not Started</t>
        </is>
      </c>
      <c r="V190" s="37">
        <f>IF(U190="Not Started",0%,IF(U190="Started",50%,IF(U190="Ready for review",70%,IF(U190="Reviewed - Content",80%,IF(U190="Reviewed - Format",90%,IF(U190="Done",100%,""))))))</f>
        <v/>
      </c>
      <c r="W190" t="inlineStr">
        <is>
          <t>2026-07-07</t>
        </is>
      </c>
      <c r="X190" t="inlineStr">
        <is>
          <t>Cursor / tender-response (batch)</t>
        </is>
      </c>
      <c r="Y190" t="inlineStr">
        <is>
          <t>Met</t>
        </is>
      </c>
      <c r="Z190" t="inlineStr">
        <is>
          <t>Lead</t>
        </is>
      </c>
      <c r="AA190" t="inlineStr">
        <is>
          <t>Verify: Integration til dokumentbibliotek — vurderet opfyldt (tool: 1. Fully met).</t>
        </is>
      </c>
      <c r="AB190" t="inlineStr"/>
      <c r="AC190" t="inlineStr">
        <is>
          <t>docs/tender-reference/extracted/HSØ/02.00-Tietoevry-SSA-L-Bilag 2-Leverandørens beskrivelse av Tjenesten.txt; docs/tender-reference/extracted/NND/02.01-Tieto-Bilag 2-Vedlegg-Leverandørens utfyllende svar til kravtabell.txt; docs/product/360_Information_Act_Request_DRAFT.md</t>
        </is>
      </c>
      <c r="AD190" t="inlineStr">
        <is>
          <t>Anton: Confirm verify-tekst; opdatér review status efter tjek.</t>
        </is>
      </c>
      <c r="AE190" t="inlineStr"/>
      <c r="AF190" t="inlineStr">
        <is>
          <t>Draft</t>
        </is>
      </c>
      <c r="AG190" t="inlineStr">
        <is>
          <t>uim-esdh-full-2026-07-07</t>
        </is>
      </c>
    </row>
    <row r="191" ht="409.5" customHeight="1">
      <c r="A191" s="35" t="n">
        <v>190</v>
      </c>
      <c r="B191" s="35" t="inlineStr">
        <is>
          <t>EK-12</t>
        </is>
      </c>
      <c r="C191" s="35" t="inlineStr">
        <is>
          <t>Bilag 1.b</t>
        </is>
      </c>
      <c r="D191" s="35" t="inlineStr">
        <is>
          <t>Standardintegrationer</t>
        </is>
      </c>
      <c r="E191" s="35" t="inlineStr">
        <is>
          <t>ESDH Standard API</t>
        </is>
      </c>
      <c r="F191" s="35" t="inlineStr">
        <is>
          <t>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den tilbudte ESDH-løsnings API understøtter envejs- og tovejsintegrationer.
Leverandøren skal gennem konkrete skærmbilleder demonstrere om og hvordan ESDH-løsningen understøtter de stillede krav og møder Kundens behov.
Leverandøren skal redegøre for: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t>
        </is>
      </c>
      <c r="G191" s="35" t="inlineStr">
        <is>
          <t>Evalueringskrav</t>
        </is>
      </c>
      <c r="H191" s="35">
        <f>IF(G191="Evalueringskrav","Answer",(IF(G191="Krav","Check",(IF(G191="Mindstekrav","Verify","")))))</f>
        <v/>
      </c>
      <c r="I191" s="35" t="inlineStr">
        <is>
          <t>Ja</t>
        </is>
      </c>
      <c r="J191" s="35" t="n"/>
      <c r="K191" s="47" t="n"/>
      <c r="L191" s="35" t="inlineStr">
        <is>
          <t>Claus</t>
        </is>
      </c>
      <c r="M191" s="35" t="n"/>
      <c r="N191" s="35" t="n"/>
      <c r="O191" s="35" t="n"/>
      <c r="P191" s="35" t="n"/>
      <c r="Q191" s="35" t="n"/>
      <c r="R191" s="35" t="n"/>
      <c r="S191" s="35" t="n"/>
      <c r="T191" s="35" t="n"/>
      <c r="U191" s="35" t="inlineStr">
        <is>
          <t>Not Started</t>
        </is>
      </c>
      <c r="V191" s="37">
        <f>IF(U191="Not Started",0%,IF(U191="Started",50%,IF(U191="Ready for review",70%,IF(U191="Reviewed - Content",80%,IF(U191="Reviewed - Format",90%,IF(U191="Done",100%,""))))))</f>
        <v/>
      </c>
      <c r="W191" t="inlineStr">
        <is>
          <t>2026-07-07</t>
        </is>
      </c>
      <c r="X191" t="inlineStr">
        <is>
          <t>Cursor / tender-response (MCP-enriched)</t>
        </is>
      </c>
      <c r="Y191" t="inlineStr">
        <is>
          <t>Draft needed</t>
        </is>
      </c>
      <c r="Z191" t="inlineStr">
        <is>
          <t>Verified</t>
        </is>
      </c>
      <c r="AA191" t="inlineStr">
        <is>
          <t>Answer: ESDH Standard API — informationskrav; udkast bilag/dokumentation mangler.</t>
        </is>
      </c>
      <c r="AB191" t="inlineStr">
        <is>
          <t>Mangler link til svar-bilag i kolonne T.</t>
        </is>
      </c>
      <c r="AC191" t="inlineStr">
        <is>
          <t>Ratatoskr: SIF (Simple Integration Framework) (admin-en) | Wiki: Simple Integration Framework (SIF); SIF API for internal developers</t>
        </is>
      </c>
      <c r="AD191" t="inlineStr">
        <is>
          <t>Claus: Opret/link svar-bilag; draft IK-tekst fra prior art.</t>
        </is>
      </c>
      <c r="AE191" t="inlineStr"/>
      <c r="AF191" t="inlineStr">
        <is>
          <t>Draft</t>
        </is>
      </c>
      <c r="AG191" t="inlineStr">
        <is>
          <t>uim-esdh-full-2026-07-07</t>
        </is>
      </c>
    </row>
    <row r="192" ht="192" customHeight="1">
      <c r="A192" s="35" t="n">
        <v>191</v>
      </c>
      <c r="B192" s="35" t="inlineStr">
        <is>
          <t>MK-162</t>
        </is>
      </c>
      <c r="C192" s="35" t="inlineStr">
        <is>
          <t>Bilag 1.b</t>
        </is>
      </c>
      <c r="D192" s="35" t="inlineStr">
        <is>
          <t>Identitets og rettighedsstyring</t>
        </is>
      </c>
      <c r="E192" s="35" t="inlineStr">
        <is>
          <t>Integration til Kundens Active Directory og Single Sign-On</t>
        </is>
      </c>
      <c r="F192" s="35" t="inlineStr">
        <is>
          <t>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t>
        </is>
      </c>
      <c r="G192" s="35" t="inlineStr">
        <is>
          <t>Mindstekrav</t>
        </is>
      </c>
      <c r="H192" s="35">
        <f>IF(G192="Evalueringskrav","Answer",(IF(G192="Krav","Check",(IF(G192="Mindstekrav","Verify","")))))</f>
        <v/>
      </c>
      <c r="I192" s="35" t="inlineStr">
        <is>
          <t>Ja</t>
        </is>
      </c>
      <c r="J192" s="35" t="n"/>
      <c r="K192" s="47" t="n"/>
      <c r="L192" s="35" t="n"/>
      <c r="M192" s="35" t="n"/>
      <c r="N192" s="35" t="n"/>
      <c r="O192" s="35" t="inlineStr">
        <is>
          <t>1. Fully met</t>
        </is>
      </c>
      <c r="P192" s="35" t="inlineStr">
        <is>
          <t>TAO: Deaktivering ja, men hvad menes så med nedlæggelse. Man sletter jo ikke brugere af historik hensyn.</t>
        </is>
      </c>
      <c r="Q192" s="35" t="n"/>
      <c r="R192" s="35" t="inlineStr">
        <is>
          <t>Yes</t>
        </is>
      </c>
      <c r="S192" s="35" t="n"/>
      <c r="T192" s="35" t="n"/>
      <c r="U192" s="35" t="inlineStr">
        <is>
          <t>Not Started</t>
        </is>
      </c>
      <c r="V192" s="37">
        <f>IF(U192="Not Started",0%,IF(U192="Started",50%,IF(U192="Ready for review",70%,IF(U192="Reviewed - Content",80%,IF(U192="Reviewed - Format",90%,IF(U192="Done",100%,""))))))</f>
        <v/>
      </c>
      <c r="W192" t="inlineStr">
        <is>
          <t>2026-07-07</t>
        </is>
      </c>
      <c r="X192" t="inlineStr">
        <is>
          <t>Cursor / tender-response (batch)</t>
        </is>
      </c>
      <c r="Y192" t="inlineStr">
        <is>
          <t>Met</t>
        </is>
      </c>
      <c r="Z192" t="inlineStr">
        <is>
          <t>Verified</t>
        </is>
      </c>
      <c r="AA192" t="inlineStr">
        <is>
          <t>Verify: Integration til Kundens Active Directory og Single Sign-On — vurderet opfyldt (tool: 1. Fully met).</t>
        </is>
      </c>
      <c r="AB192" t="inlineStr">
        <is>
          <t>TAO: Deaktivering ja, men hvad menes så med nedlæggelse. Man sletter jo ikke brugere af historik hensyn.</t>
        </is>
      </c>
      <c r="AC192" t="inlineStr">
        <is>
          <t>docs/tender-reference/extracted/NND/02.01-Tieto-Bilag 2-Vedlegg-Leverandørens utfyllende svar til kravtabell.txt; docs/product/RFP_Leverandørens_svar_utdrag.txt; docs/tender-reference/extracted/HSØ/02.00-Tietoevry-SSA-L-Bilag 2-Leverandørens beskrivelse av Tjenesten.txt</t>
        </is>
      </c>
      <c r="AD192" t="inlineStr">
        <is>
          <t>Owner: Confirm verify-tekst; opdatér review status efter tjek.</t>
        </is>
      </c>
      <c r="AE192" t="inlineStr"/>
      <c r="AF192" t="inlineStr">
        <is>
          <t>Draft</t>
        </is>
      </c>
      <c r="AG192" t="inlineStr">
        <is>
          <t>uim-esdh-full-2026-07-07</t>
        </is>
      </c>
    </row>
    <row r="193" ht="48" customHeight="1">
      <c r="A193" s="35" t="n">
        <v>192</v>
      </c>
      <c r="B193" s="35" t="inlineStr">
        <is>
          <t>MK-163</t>
        </is>
      </c>
      <c r="C193" s="35" t="inlineStr">
        <is>
          <t>Bilag 1.b</t>
        </is>
      </c>
      <c r="D193" s="35" t="inlineStr">
        <is>
          <t>Identitets og rettighedsstyring</t>
        </is>
      </c>
      <c r="E193" s="35" t="inlineStr">
        <is>
          <t>Administration af rettigheder</t>
        </is>
      </c>
      <c r="F193" s="35" t="inlineStr">
        <is>
          <t>ESDH-løsningen skal understøtte, at Kunden via administratormodulet har mulighed for at administrere rettigheder, som ligger udover Active Directorys sikkerhed- og rettighedsstyring.</t>
        </is>
      </c>
      <c r="G193" s="35" t="inlineStr">
        <is>
          <t>Mindstekrav</t>
        </is>
      </c>
      <c r="H193" s="35">
        <f>IF(G193="Evalueringskrav","Answer",(IF(G193="Krav","Check",(IF(G193="Mindstekrav","Verify","")))))</f>
        <v/>
      </c>
      <c r="I193" s="35" t="inlineStr">
        <is>
          <t>Ja</t>
        </is>
      </c>
      <c r="J193" s="35" t="n"/>
      <c r="K193" s="47" t="n"/>
      <c r="L193" s="35" t="inlineStr">
        <is>
          <t>Torben</t>
        </is>
      </c>
      <c r="M193" s="35" t="n"/>
      <c r="N193" s="35" t="n"/>
      <c r="O193" s="35" t="inlineStr">
        <is>
          <t>1. Fully met</t>
        </is>
      </c>
      <c r="P193" s="35" t="n"/>
      <c r="Q193" s="35" t="n"/>
      <c r="R193" s="35" t="n"/>
      <c r="S193" s="35" t="n"/>
      <c r="T193" s="35" t="n"/>
      <c r="U193" s="35" t="inlineStr">
        <is>
          <t>Not Started</t>
        </is>
      </c>
      <c r="V193" s="37">
        <f>IF(U193="Not Started",0%,IF(U193="Started",50%,IF(U193="Ready for review",70%,IF(U193="Reviewed - Content",80%,IF(U193="Reviewed - Format",90%,IF(U193="Done",100%,""))))))</f>
        <v/>
      </c>
      <c r="W193" t="inlineStr">
        <is>
          <t>2026-07-07</t>
        </is>
      </c>
      <c r="X193" t="inlineStr">
        <is>
          <t>Cursor / tender-response (batch)</t>
        </is>
      </c>
      <c r="Y193" t="inlineStr">
        <is>
          <t>Met</t>
        </is>
      </c>
      <c r="Z193" t="inlineStr">
        <is>
          <t>Verified</t>
        </is>
      </c>
      <c r="AA193" t="inlineStr">
        <is>
          <t>Verify: Administration af rettigheder — vurderet opfyldt (tool: 1. Fully met).</t>
        </is>
      </c>
      <c r="AB193" t="inlineStr"/>
      <c r="AC193" t="inlineStr">
        <is>
          <t>docs/tender-reference/extracted/KUM-SLKS/Bilag 3 - Kravspecifikation.txt; docs/tender-reference/extracted/Nationalbanken/Bilag 3.i Leverandørens Løsningsbeskrivelse.txt; docs/tender-reference/extracted/KK Tender tool.txt</t>
        </is>
      </c>
      <c r="AD193" t="inlineStr">
        <is>
          <t>Torben: Confirm verify-tekst; opdatér review status efter tjek.</t>
        </is>
      </c>
      <c r="AE193" t="inlineStr"/>
      <c r="AF193" t="inlineStr">
        <is>
          <t>Draft</t>
        </is>
      </c>
      <c r="AG193" t="inlineStr">
        <is>
          <t>uim-esdh-full-2026-07-07</t>
        </is>
      </c>
    </row>
    <row r="194" ht="48" customHeight="1">
      <c r="A194" s="35" t="n">
        <v>193</v>
      </c>
      <c r="B194" s="35" t="inlineStr">
        <is>
          <t>MK-164</t>
        </is>
      </c>
      <c r="C194" s="35" t="inlineStr">
        <is>
          <t>Bilag 1.b</t>
        </is>
      </c>
      <c r="D194" s="35" t="inlineStr">
        <is>
          <t>Forsendelser</t>
        </is>
      </c>
      <c r="E194" s="35" t="inlineStr">
        <is>
          <t>Digital Post - opsætning</t>
        </is>
      </c>
      <c r="F194" s="35" t="inlineStr">
        <is>
          <t>ESDH-løsningen skal understøtte, at alle nødvendige parametre kan anvendes til opsætning og Konfiguration af Digital Post, f.eks. afsendersystem, Myndighedsprofil og afsendertype.</t>
        </is>
      </c>
      <c r="G194" s="35" t="inlineStr">
        <is>
          <t>Mindstekrav</t>
        </is>
      </c>
      <c r="H194" s="35">
        <f>IF(G194="Evalueringskrav","Answer",(IF(G194="Krav","Check",(IF(G194="Mindstekrav","Verify","")))))</f>
        <v/>
      </c>
      <c r="I194" s="35" t="inlineStr">
        <is>
          <t>Ja</t>
        </is>
      </c>
      <c r="J194" s="35" t="n"/>
      <c r="K194" s="47" t="n"/>
      <c r="L194" s="35" t="inlineStr">
        <is>
          <t>Torben</t>
        </is>
      </c>
      <c r="M194" s="35" t="n"/>
      <c r="N194" s="35" t="n"/>
      <c r="O194" s="35" t="inlineStr">
        <is>
          <t>1. Fully met</t>
        </is>
      </c>
      <c r="P194" s="35" t="inlineStr">
        <is>
          <t>TAO: Ok standard</t>
        </is>
      </c>
      <c r="Q194" s="35" t="n"/>
      <c r="R194" s="35" t="n"/>
      <c r="S194" s="35" t="n"/>
      <c r="T194" s="35" t="n"/>
      <c r="U194" s="35" t="inlineStr">
        <is>
          <t>Not Started</t>
        </is>
      </c>
      <c r="V194" s="37">
        <f>IF(U194="Not Started",0%,IF(U194="Started",50%,IF(U194="Ready for review",70%,IF(U194="Reviewed - Content",80%,IF(U194="Reviewed - Format",90%,IF(U194="Done",100%,""))))))</f>
        <v/>
      </c>
      <c r="W194" t="inlineStr">
        <is>
          <t>2026-07-07</t>
        </is>
      </c>
      <c r="X194" t="inlineStr">
        <is>
          <t>Cursor / tender-response (batch)</t>
        </is>
      </c>
      <c r="Y194" t="inlineStr">
        <is>
          <t>Met</t>
        </is>
      </c>
      <c r="Z194" t="inlineStr">
        <is>
          <t>Verified</t>
        </is>
      </c>
      <c r="AA194" t="inlineStr">
        <is>
          <t>Verify: Digital Post - opsætning — vurderet opfyldt (tool: 1. Fully met).</t>
        </is>
      </c>
      <c r="AB194" t="inlineStr">
        <is>
          <t>TAO: Ok standard</t>
        </is>
      </c>
      <c r="AC194" t="inlineStr">
        <is>
          <t>docs/tender-reference/extracted/KK Tender tool.txt; docs/tender-reference/extracted/Nationalbanken/Bilag 3.i Leverandørens Løsningsbeskrivelse.txt; docs/product/RFP_Leverandørens_svar_utdrag.txt</t>
        </is>
      </c>
      <c r="AD194" t="inlineStr">
        <is>
          <t>Torben: Confirm verify-tekst; opdatér review status efter tjek.</t>
        </is>
      </c>
      <c r="AE194" t="inlineStr"/>
      <c r="AF194" t="inlineStr">
        <is>
          <t>Draft</t>
        </is>
      </c>
      <c r="AG194" t="inlineStr">
        <is>
          <t>uim-esdh-full-2026-07-07</t>
        </is>
      </c>
    </row>
    <row r="195" ht="96" customHeight="1">
      <c r="A195" s="35" t="n">
        <v>194</v>
      </c>
      <c r="B195" s="35" t="inlineStr">
        <is>
          <t>MK-165</t>
        </is>
      </c>
      <c r="C195" s="35" t="inlineStr">
        <is>
          <t>Bilag 1.b</t>
        </is>
      </c>
      <c r="D195" s="35" t="inlineStr">
        <is>
          <t>Forsendelser</t>
        </is>
      </c>
      <c r="E195" s="35" t="inlineStr">
        <is>
          <t>Fjernprint – opsætning</t>
        </is>
      </c>
      <c r="F195" s="35" t="inlineStr">
        <is>
          <t>ESDH-løsningen skal understøtte, at alle nødvendige parametre kan anvendes til opsætning og Konfiguration af fjernprint.</t>
        </is>
      </c>
      <c r="G195" s="35" t="inlineStr">
        <is>
          <t>Mindstekrav</t>
        </is>
      </c>
      <c r="H195" s="35">
        <f>IF(G195="Evalueringskrav","Answer",(IF(G195="Krav","Check",(IF(G195="Mindstekrav","Verify","")))))</f>
        <v/>
      </c>
      <c r="I195" s="35" t="inlineStr">
        <is>
          <t>Ja</t>
        </is>
      </c>
      <c r="J195" s="35" t="n"/>
      <c r="K195" s="47" t="n"/>
      <c r="L195" s="35" t="n"/>
      <c r="M195" s="35" t="n"/>
      <c r="N195" s="35" t="inlineStr">
        <is>
          <t>Strålfors</t>
        </is>
      </c>
      <c r="O195" s="35" t="inlineStr">
        <is>
          <t>2. Partly met</t>
        </is>
      </c>
      <c r="P195" s="35" t="inlineStr">
        <is>
          <t>Anton: Ikke sikker - kender ikke nogen kunder der har det, men mon ikke vi kan understøtte det
Tao: Strålfors, blev det standard med AST?
Adn: Tajinder sagde Ja, strålfors blev std. med AST</t>
        </is>
      </c>
      <c r="Q195" s="35" t="inlineStr">
        <is>
          <t>Yes</t>
        </is>
      </c>
      <c r="R195" s="35" t="n"/>
      <c r="S195" s="35" t="n"/>
      <c r="T195" s="35" t="n"/>
      <c r="U195" s="35" t="inlineStr">
        <is>
          <t>Not Started</t>
        </is>
      </c>
      <c r="V195" s="37">
        <f>IF(U195="Not Started",0%,IF(U195="Started",50%,IF(U195="Ready for review",70%,IF(U195="Reviewed - Content",80%,IF(U195="Reviewed - Format",90%,IF(U195="Done",100%,""))))))</f>
        <v/>
      </c>
      <c r="W195" t="inlineStr">
        <is>
          <t>2026-07-07</t>
        </is>
      </c>
      <c r="X195" t="inlineStr">
        <is>
          <t>Cursor / tender-response (MCP-enriched)</t>
        </is>
      </c>
      <c r="Y195" t="inlineStr">
        <is>
          <t>Partial</t>
        </is>
      </c>
      <c r="Z195" t="inlineStr">
        <is>
          <t>Lead</t>
        </is>
      </c>
      <c r="AA195" t="inlineStr">
        <is>
          <t>Verify: Fjernprint – opsætning — delvist opfyldt; afklar scope og scoring.</t>
        </is>
      </c>
      <c r="AB195" t="inlineStr">
        <is>
          <t>Anton: Ikke sikker - kender ikke nogen kunder der har det, men mon ikke vi kan understøtte det
Tao: Strålfors, blev det standard med AST?
Adn: Tajinder sagde Ja, strålfors blev std. med AST | Red flag: Ikke sikker - kender ikke nogen kunder der har det, men mon ikke vi kan understøtte det</t>
        </is>
      </c>
      <c r="AC195" t="inlineStr">
        <is>
          <t>Ratatoskr: Dispatch settings (admin-en); 360° Dispatch adapter: SvarUt (NO) (admin-en)</t>
        </is>
      </c>
      <c r="AD195" t="inlineStr">
        <is>
          <t>Owner: Afklar delkrav; align tool-rating (O) med AI compliance.</t>
        </is>
      </c>
      <c r="AE195" t="inlineStr"/>
      <c r="AF195" t="inlineStr">
        <is>
          <t>Draft</t>
        </is>
      </c>
      <c r="AG195" t="inlineStr">
        <is>
          <t>uim-esdh-full-2026-07-07</t>
        </is>
      </c>
    </row>
    <row r="196" ht="48" customHeight="1">
      <c r="A196" s="35" t="n">
        <v>195</v>
      </c>
      <c r="B196" s="35" t="inlineStr">
        <is>
          <t>MK-166</t>
        </is>
      </c>
      <c r="C196" s="35" t="inlineStr">
        <is>
          <t>Bilag 1.b</t>
        </is>
      </c>
      <c r="D196" s="35" t="inlineStr">
        <is>
          <t>Forsendelser</t>
        </is>
      </c>
      <c r="E196" s="35" t="inlineStr">
        <is>
          <t>Forsendelseskanaler – Digital Post</t>
        </is>
      </c>
      <c r="F196" s="35" t="inlineStr">
        <is>
          <t>ESDH-løsningen skal understøtte afsendelse af Digital Post direkte fra ESDH-løsningens brugergrænseflade, og at afsendelsen journaliseres som en del af samme proces.</t>
        </is>
      </c>
      <c r="G196" s="35" t="inlineStr">
        <is>
          <t>Mindstekrav</t>
        </is>
      </c>
      <c r="H196" s="35">
        <f>IF(G196="Evalueringskrav","Answer",(IF(G196="Krav","Check",(IF(G196="Mindstekrav","Verify","")))))</f>
        <v/>
      </c>
      <c r="I196" s="35" t="inlineStr">
        <is>
          <t>Ja</t>
        </is>
      </c>
      <c r="J196" s="35" t="n"/>
      <c r="K196" s="47" t="n"/>
      <c r="L196" s="35" t="inlineStr">
        <is>
          <t>Anton</t>
        </is>
      </c>
      <c r="M196" s="35" t="n"/>
      <c r="N196" s="35" t="n"/>
      <c r="O196" s="35" t="inlineStr">
        <is>
          <t>1. Fully met</t>
        </is>
      </c>
      <c r="P196" s="35" t="n"/>
      <c r="Q196" s="35" t="n"/>
      <c r="R196" s="35" t="n"/>
      <c r="S196" s="35" t="n"/>
      <c r="T196" s="35" t="n"/>
      <c r="U196" s="35" t="inlineStr">
        <is>
          <t>Not Started</t>
        </is>
      </c>
      <c r="V196" s="37">
        <f>IF(U196="Not Started",0%,IF(U196="Started",50%,IF(U196="Ready for review",70%,IF(U196="Reviewed - Content",80%,IF(U196="Reviewed - Format",90%,IF(U196="Done",100%,""))))))</f>
        <v/>
      </c>
      <c r="W196" t="inlineStr">
        <is>
          <t>2026-07-07</t>
        </is>
      </c>
      <c r="X196" t="inlineStr">
        <is>
          <t>Cursor / tender-response (batch)</t>
        </is>
      </c>
      <c r="Y196" t="inlineStr">
        <is>
          <t>Met</t>
        </is>
      </c>
      <c r="Z196" t="inlineStr">
        <is>
          <t>Verified</t>
        </is>
      </c>
      <c r="AA196" t="inlineStr">
        <is>
          <t>Verify: Forsendelseskanaler – Digital Post — vurderet opfyldt (tool: 1. Fully met).</t>
        </is>
      </c>
      <c r="AB196" t="inlineStr"/>
      <c r="AC196" t="inlineStr">
        <is>
          <t>docs/tender-reference/extracted/KK Tender tool.txt; docs/tender-reference/extracted/Nationalbanken/Bilag 3.i Leverandørens Løsningsbeskrivelse.txt; docs/tender-reference/extracted/KUM-SLKS/Bilag 3 - Kravspecifikation.txt</t>
        </is>
      </c>
      <c r="AD196" t="inlineStr">
        <is>
          <t>Anton: Confirm verify-tekst; opdatér review status efter tjek.</t>
        </is>
      </c>
      <c r="AE196" t="inlineStr"/>
      <c r="AF196" t="inlineStr">
        <is>
          <t>Draft</t>
        </is>
      </c>
      <c r="AG196" t="inlineStr">
        <is>
          <t>uim-esdh-full-2026-07-07</t>
        </is>
      </c>
    </row>
    <row r="197" ht="48" customHeight="1">
      <c r="A197" s="35" t="n">
        <v>196</v>
      </c>
      <c r="B197" s="35" t="inlineStr">
        <is>
          <t>MK-167</t>
        </is>
      </c>
      <c r="C197" s="35" t="inlineStr">
        <is>
          <t>Bilag 1.b</t>
        </is>
      </c>
      <c r="D197" s="35" t="inlineStr">
        <is>
          <t>Forsendelser</t>
        </is>
      </c>
      <c r="E197" s="35" t="inlineStr">
        <is>
          <t>Forsendelseskanaler</t>
        </is>
      </c>
      <c r="F197" s="35" t="inlineStr">
        <is>
          <t>ESDH-løsningen skal understøtte afsendelse af fysisk post direkte fra ESDH-løsningen, og at afsendelsen journaliseres som en del af samme proces.</t>
        </is>
      </c>
      <c r="G197" s="35" t="inlineStr">
        <is>
          <t>Mindstekrav</t>
        </is>
      </c>
      <c r="H197" s="35">
        <f>IF(G197="Evalueringskrav","Answer",(IF(G197="Krav","Check",(IF(G197="Mindstekrav","Verify","")))))</f>
        <v/>
      </c>
      <c r="I197" s="35" t="inlineStr">
        <is>
          <t>Ja</t>
        </is>
      </c>
      <c r="J197" s="35" t="n"/>
      <c r="K197" s="47" t="n"/>
      <c r="L197" s="35" t="inlineStr">
        <is>
          <t>Anton</t>
        </is>
      </c>
      <c r="M197" s="35" t="n"/>
      <c r="N197" s="35" t="inlineStr">
        <is>
          <t>Strålfors</t>
        </is>
      </c>
      <c r="O197" s="35" t="inlineStr">
        <is>
          <t>2. Partly met</t>
        </is>
      </c>
      <c r="P197" s="35" t="inlineStr">
        <is>
          <t xml:space="preserve">Adn: This can be solved with Strålfors </t>
        </is>
      </c>
      <c r="Q197" s="35" t="inlineStr">
        <is>
          <t>Yes</t>
        </is>
      </c>
      <c r="R197" s="35" t="n"/>
      <c r="S197" s="35" t="n"/>
      <c r="T197" s="35" t="n"/>
      <c r="U197" s="35" t="inlineStr">
        <is>
          <t>Not Started</t>
        </is>
      </c>
      <c r="V197" s="37">
        <f>IF(U197="Not Started",0%,IF(U197="Started",50%,IF(U197="Ready for review",70%,IF(U197="Reviewed - Content",80%,IF(U197="Reviewed - Format",90%,IF(U197="Done",100%,""))))))</f>
        <v/>
      </c>
      <c r="W197" t="inlineStr">
        <is>
          <t>2026-07-07</t>
        </is>
      </c>
      <c r="X197" t="inlineStr">
        <is>
          <t>Cursor / tender-response (MCP-enriched)</t>
        </is>
      </c>
      <c r="Y197" t="inlineStr">
        <is>
          <t>Partial</t>
        </is>
      </c>
      <c r="Z197" t="inlineStr">
        <is>
          <t>Lead</t>
        </is>
      </c>
      <c r="AA197" t="inlineStr">
        <is>
          <t>Verify: Forsendelseskanaler — delvist opfyldt; afklar scope og scoring.</t>
        </is>
      </c>
      <c r="AB197" t="inlineStr">
        <is>
          <t>Adn: This can be solved with Strålfors</t>
        </is>
      </c>
      <c r="AC197" t="inlineStr">
        <is>
          <t>Ratatoskr: Document Dispatch channel (admin-en); 360° Dispatch adapter: SvarUt (NO) (admin-en) | Wiki: 6.0 release information</t>
        </is>
      </c>
      <c r="AD197" t="inlineStr">
        <is>
          <t>Anton: Afklar delkrav; align tool-rating (O) med AI compliance.</t>
        </is>
      </c>
      <c r="AE197" t="inlineStr"/>
      <c r="AF197" t="inlineStr">
        <is>
          <t>Draft</t>
        </is>
      </c>
      <c r="AG197" t="inlineStr">
        <is>
          <t>uim-esdh-full-2026-07-07</t>
        </is>
      </c>
    </row>
    <row r="198" ht="80" customHeight="1">
      <c r="A198" s="35" t="n">
        <v>197</v>
      </c>
      <c r="B198" s="35" t="inlineStr">
        <is>
          <t>MK-168</t>
        </is>
      </c>
      <c r="C198" s="35" t="inlineStr">
        <is>
          <t>Bilag 1.b</t>
        </is>
      </c>
      <c r="D198" s="35" t="inlineStr">
        <is>
          <t>Forsendelser</t>
        </is>
      </c>
      <c r="E198" s="35" t="inlineStr">
        <is>
          <t>Automatisk valg af forsendelseskanal</t>
        </is>
      </c>
      <c r="F198" s="35"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G198" s="35" t="inlineStr">
        <is>
          <t>Mindstekrav</t>
        </is>
      </c>
      <c r="H198" s="35">
        <f>IF(G198="Evalueringskrav","Answer",(IF(G198="Krav","Check",(IF(G198="Mindstekrav","Verify","")))))</f>
        <v/>
      </c>
      <c r="I198" s="35" t="inlineStr">
        <is>
          <t>Ja</t>
        </is>
      </c>
      <c r="J198" s="35" t="n"/>
      <c r="K198" s="47" t="n"/>
      <c r="L198" s="35" t="n"/>
      <c r="M198" s="35" t="n"/>
      <c r="N198" s="35" t="n"/>
      <c r="O198" s="35" t="inlineStr">
        <is>
          <t>3. Not able to meet</t>
        </is>
      </c>
      <c r="P198" s="35" t="inlineStr">
        <is>
          <t>Anton: Understøtter vi ikke - vi skifter ikke automatisk til næste forsendelseskanal hvis den første fejler.</t>
        </is>
      </c>
      <c r="Q198" s="35" t="n"/>
      <c r="R198" s="35" t="n"/>
      <c r="S198" s="35" t="n"/>
      <c r="T198" s="35" t="n"/>
      <c r="U198" s="35" t="inlineStr">
        <is>
          <t>Not Started</t>
        </is>
      </c>
      <c r="V198" s="37">
        <f>IF(U198="Not Started",0%,IF(U198="Started",50%,IF(U198="Ready for review",70%,IF(U198="Reviewed - Content",80%,IF(U198="Reviewed - Format",90%,IF(U198="Done",100%,""))))))</f>
        <v/>
      </c>
      <c r="W198" t="inlineStr">
        <is>
          <t>2026-07-07</t>
        </is>
      </c>
      <c r="X198" t="inlineStr">
        <is>
          <t>Cursor / tender-response (MCP-enriched)</t>
        </is>
      </c>
      <c r="Y198" t="inlineStr">
        <is>
          <t>Not met</t>
        </is>
      </c>
      <c r="Z198" t="inlineStr">
        <is>
          <t>Lead</t>
        </is>
      </c>
      <c r="AA198" t="inlineStr">
        <is>
          <t>Verify: Automatisk valg af forsendelseskanal — gap ift. kravtekst; eskalér commitment eller afklaring.</t>
        </is>
      </c>
      <c r="AB198" t="inlineStr">
        <is>
          <t>Anton: Understøtter vi ikke - vi skifter ikke automatisk til næste forsendelseskanal hvis den første fejler. | Red flag: Understøtter vi ikke - vi skifter ikke automatisk til næste forsendelseskanal hvis den første fejler.</t>
        </is>
      </c>
      <c r="AC198" t="inlineStr">
        <is>
          <t>Ratatoskr: Dispatch settings (admin-en) | Wiki: 5.16 release information; Feature Toggles 2025-2026</t>
        </is>
      </c>
      <c r="AD198" t="inlineStr">
        <is>
          <t>Owner: Commitment/no-bid beslutning; overvej Q&amp;A til ordregiver.</t>
        </is>
      </c>
      <c r="AE198" t="inlineStr"/>
      <c r="AF198" t="inlineStr">
        <is>
          <t>Draft</t>
        </is>
      </c>
      <c r="AG198" t="inlineStr">
        <is>
          <t>uim-esdh-full-2026-07-07</t>
        </is>
      </c>
    </row>
    <row r="199" ht="64" customHeight="1">
      <c r="A199" s="35" t="n">
        <v>198</v>
      </c>
      <c r="B199" s="35" t="inlineStr">
        <is>
          <t>MK-169</t>
        </is>
      </c>
      <c r="C199" s="35" t="inlineStr">
        <is>
          <t>Bilag 1.b</t>
        </is>
      </c>
      <c r="D199" s="35" t="inlineStr">
        <is>
          <t>Forsendelser</t>
        </is>
      </c>
      <c r="E199" s="35" t="inlineStr">
        <is>
          <t>Advisering vil fejl i forsendelse</t>
        </is>
      </c>
      <c r="F199" s="35" t="inlineStr">
        <is>
          <t>ESDH-løsningen skal understøtte, at hvis en forsendelse fejler skal Brugeren adviseres om dette.</t>
        </is>
      </c>
      <c r="G199" s="35" t="inlineStr">
        <is>
          <t>Mindstekrav</t>
        </is>
      </c>
      <c r="H199" s="35">
        <f>IF(G199="Evalueringskrav","Answer",(IF(G199="Krav","Check",(IF(G199="Mindstekrav","Verify","")))))</f>
        <v/>
      </c>
      <c r="I199" s="35" t="inlineStr">
        <is>
          <t>Ja</t>
        </is>
      </c>
      <c r="J199" s="35" t="n"/>
      <c r="K199" s="47" t="n"/>
      <c r="L199" s="35" t="n"/>
      <c r="M199" s="35" t="n"/>
      <c r="N199" s="35" t="n"/>
      <c r="O199" s="35" t="inlineStr">
        <is>
          <t>3. Not able to meet</t>
        </is>
      </c>
      <c r="P199" s="35" t="inlineStr">
        <is>
          <t>ADN: Har vi ikke
Kan mad advokere for, at en advisering også kan være noget visuelt på sagen? og dermed leve op til kravet?</t>
        </is>
      </c>
      <c r="Q199" s="35" t="n"/>
      <c r="R199" s="35" t="n"/>
      <c r="S199" s="35" t="n"/>
      <c r="T199" s="35" t="n"/>
      <c r="U199" s="35" t="inlineStr">
        <is>
          <t>Not Started</t>
        </is>
      </c>
      <c r="V199" s="37">
        <f>IF(U199="Not Started",0%,IF(U199="Started",50%,IF(U199="Ready for review",70%,IF(U199="Reviewed - Content",80%,IF(U199="Reviewed - Format",90%,IF(U199="Done",100%,""))))))</f>
        <v/>
      </c>
      <c r="W199" t="inlineStr">
        <is>
          <t>2026-07-07</t>
        </is>
      </c>
      <c r="X199" t="inlineStr">
        <is>
          <t>Cursor / tender-response (MCP-enriched)</t>
        </is>
      </c>
      <c r="Y199" t="inlineStr">
        <is>
          <t>Not met</t>
        </is>
      </c>
      <c r="Z199" t="inlineStr">
        <is>
          <t>Lead</t>
        </is>
      </c>
      <c r="AA199" t="inlineStr">
        <is>
          <t>Verify: Advisering vil fejl i forsendelse — gap ift. kravtekst; eskalér commitment eller afklaring.</t>
        </is>
      </c>
      <c r="AB199" t="inlineStr">
        <is>
          <t>ADN: Har vi ikke
Kan mad advokere for, at en advisering også kan være noget visuelt på sagen? og dermed leve op til kravet? | Red flag: Har vi ikke</t>
        </is>
      </c>
      <c r="AC199" t="inlineStr">
        <is>
          <t>Ratatoskr: Dispatch status (admin-en) | Wiki: 6.6 release information; Build log hotfix packages</t>
        </is>
      </c>
      <c r="AD199" t="inlineStr">
        <is>
          <t>Owner: Commitment/no-bid beslutning; overvej Q&amp;A til ordregiver.</t>
        </is>
      </c>
      <c r="AE199" t="inlineStr"/>
      <c r="AF199" t="inlineStr">
        <is>
          <t>Draft</t>
        </is>
      </c>
      <c r="AG199" t="inlineStr">
        <is>
          <t>uim-esdh-full-2026-07-07</t>
        </is>
      </c>
    </row>
    <row r="200" ht="80" customHeight="1">
      <c r="A200" s="35" t="n">
        <v>199</v>
      </c>
      <c r="B200" s="35" t="inlineStr">
        <is>
          <t>K-18</t>
        </is>
      </c>
      <c r="C200" s="35" t="inlineStr">
        <is>
          <t>Bilag 1.b</t>
        </is>
      </c>
      <c r="D200" s="35" t="inlineStr">
        <is>
          <t>Forsendelser</t>
        </is>
      </c>
      <c r="E200" s="35" t="inlineStr">
        <is>
          <t>Store forsendelser</t>
        </is>
      </c>
      <c r="F200" s="35" t="inlineStr">
        <is>
          <t>ESDH-løsningen skal understøtte en forsendelsesproces, hvor forsendelsen er større end, hvad der kan sendes i Digital Post. 
ESDH-løsningen skal sikre, at forsendelsen bliver sendt afsted f.eks. i flere mindre forsendelser uden manuel håndtering ved sagsbehandler.</t>
        </is>
      </c>
      <c r="G200" s="35" t="inlineStr">
        <is>
          <t>Krav</t>
        </is>
      </c>
      <c r="H200" s="35">
        <f>IF(G200="Evalueringskrav","Answer",(IF(G200="Krav","Check",(IF(G200="Mindstekrav","Verify","")))))</f>
        <v/>
      </c>
      <c r="I200" s="35" t="inlineStr">
        <is>
          <t>Ja</t>
        </is>
      </c>
      <c r="J200" s="35" t="n"/>
      <c r="K200" s="47" t="n"/>
      <c r="L200" s="35" t="n"/>
      <c r="M200" s="35" t="n"/>
      <c r="N200" s="35" t="n"/>
      <c r="O200" s="35" t="inlineStr">
        <is>
          <t>3. Not able to meet</t>
        </is>
      </c>
      <c r="P200" s="35" t="inlineStr">
        <is>
          <t>TAO: Vi har offentlig link i Online men er ikke adgang on-prem (og er det sikkert nok jf andre krav). Vi kan ikke dele forsendelsen op til mit kendskab.</t>
        </is>
      </c>
      <c r="Q200" s="35" t="n"/>
      <c r="R200" s="35" t="n"/>
      <c r="S200" s="35" t="n"/>
      <c r="T200" s="35" t="n"/>
      <c r="U200" s="35" t="inlineStr">
        <is>
          <t>Not Started</t>
        </is>
      </c>
      <c r="V200" s="37">
        <f>IF(U200="Not Started",0%,IF(U200="Started",50%,IF(U200="Ready for review",70%,IF(U200="Reviewed - Content",80%,IF(U200="Reviewed - Format",90%,IF(U200="Done",100%,""))))))</f>
        <v/>
      </c>
      <c r="W200" t="inlineStr">
        <is>
          <t>2026-07-07</t>
        </is>
      </c>
      <c r="X200" t="inlineStr">
        <is>
          <t>Cursor / tender-response (MCP-enriched)</t>
        </is>
      </c>
      <c r="Y200" t="inlineStr">
        <is>
          <t>Not met</t>
        </is>
      </c>
      <c r="Z200" t="inlineStr">
        <is>
          <t>Lead</t>
        </is>
      </c>
      <c r="AA200" t="inlineStr">
        <is>
          <t>Check: Store forsendelser — gap ift. kravtekst; eskalér commitment eller afklaring.</t>
        </is>
      </c>
      <c r="AB200" t="inlineStr">
        <is>
          <t>TAO: Vi har offentlig link i Online men er ikke adgang on-prem (og er det sikkert nok jf andre krav). Vi kan ikke dele forsendelsen op til mit kendskab.</t>
        </is>
      </c>
      <c r="AC200" t="inlineStr">
        <is>
          <t>Wiki: 6.4 release information; Build log hotfix packages</t>
        </is>
      </c>
      <c r="AD200" t="inlineStr">
        <is>
          <t>Owner: Commitment/no-bid beslutning; overvej Q&amp;A til ordregiver.</t>
        </is>
      </c>
      <c r="AE200" t="inlineStr"/>
      <c r="AF200" t="inlineStr">
        <is>
          <t>Draft</t>
        </is>
      </c>
      <c r="AG200" t="inlineStr">
        <is>
          <t>uim-esdh-full-2026-07-07</t>
        </is>
      </c>
    </row>
    <row r="201" ht="80" customHeight="1">
      <c r="A201" s="35" t="n">
        <v>200</v>
      </c>
      <c r="B201" s="35" t="inlineStr">
        <is>
          <t>MK-170</t>
        </is>
      </c>
      <c r="C201" s="35" t="inlineStr">
        <is>
          <t>Bilag 1.b</t>
        </is>
      </c>
      <c r="D201" s="35" t="inlineStr">
        <is>
          <t>Konvertering og datamigrering</t>
        </is>
      </c>
      <c r="E201" s="35" t="inlineStr">
        <is>
          <t>Understøttelse af Kundens datamigrering</t>
        </is>
      </c>
      <c r="F201" s="35"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G201" s="35" t="inlineStr">
        <is>
          <t>Mindstekrav</t>
        </is>
      </c>
      <c r="H201" s="35">
        <f>IF(G201="Evalueringskrav","Answer",(IF(G201="Krav","Check",(IF(G201="Mindstekrav","Verify","")))))</f>
        <v/>
      </c>
      <c r="I201" s="35" t="inlineStr">
        <is>
          <t>Ja</t>
        </is>
      </c>
      <c r="J201" s="35" t="n"/>
      <c r="K201" s="47" t="n"/>
      <c r="L201" s="35" t="inlineStr">
        <is>
          <t>Kaare</t>
        </is>
      </c>
      <c r="M201" s="35" t="n"/>
      <c r="N201" s="35" t="n"/>
      <c r="O201" s="35" t="n"/>
      <c r="P201" s="35" t="inlineStr">
        <is>
          <t>ADN: bemærk! vi skal "Understøtte" ikke udfører. Vi skal dog stille "importmekanisme" til rådighed.</t>
        </is>
      </c>
      <c r="Q201" s="35" t="n"/>
      <c r="R201" s="35" t="n"/>
      <c r="S201" s="35" t="n"/>
      <c r="T201" s="35" t="n"/>
      <c r="U201" s="35" t="inlineStr">
        <is>
          <t>Not Started</t>
        </is>
      </c>
      <c r="V201" s="37">
        <f>IF(U201="Not Started",0%,IF(U201="Started",50%,IF(U201="Ready for review",70%,IF(U201="Reviewed - Content",80%,IF(U201="Reviewed - Format",90%,IF(U201="Done",100%,""))))))</f>
        <v/>
      </c>
      <c r="W201" t="inlineStr">
        <is>
          <t>2026-07-07</t>
        </is>
      </c>
      <c r="X201" t="inlineStr">
        <is>
          <t>Cursor / tender-response (MCP-enriched)</t>
        </is>
      </c>
      <c r="Y201" t="inlineStr">
        <is>
          <t>Clarify</t>
        </is>
      </c>
      <c r="Z201" t="inlineStr">
        <is>
          <t>Lead</t>
        </is>
      </c>
      <c r="AA201" t="inlineStr">
        <is>
          <t>Verify: Understøttelse af Kundens datamigrering — kræver produkt-/team-afklaring (ingen tool-rating).</t>
        </is>
      </c>
      <c r="AB201" t="inlineStr">
        <is>
          <t>ADN: bemærk! vi skal "Understøtte" ikke udfører. Vi skal dog stille "importmekanisme" til rådighed. | Red flag: Ser ikke ud til at F2 er på bordet for udskiftning også</t>
        </is>
      </c>
      <c r="AC201" t="inlineStr">
        <is>
          <t>Wiki: Consultancy; How to: Migrate From On-Premise to Online</t>
        </is>
      </c>
      <c r="AD201" t="inlineStr">
        <is>
          <t>Kaare: Udfyld tool-rating (O) og evidens; gennemgå AI-kladde.</t>
        </is>
      </c>
      <c r="AE201" t="inlineStr"/>
      <c r="AF201" t="inlineStr">
        <is>
          <t>Draft</t>
        </is>
      </c>
      <c r="AG201" t="inlineStr">
        <is>
          <t>uim-esdh-full-2026-07-07</t>
        </is>
      </c>
    </row>
    <row r="202" ht="64" customHeight="1">
      <c r="A202" s="35" t="n">
        <v>201</v>
      </c>
      <c r="B202" s="35" t="inlineStr">
        <is>
          <t>MK-171</t>
        </is>
      </c>
      <c r="C202" s="35" t="inlineStr">
        <is>
          <t>Bilag 1.b</t>
        </is>
      </c>
      <c r="D202" s="35" t="inlineStr">
        <is>
          <t>Konvertering og datamigrering</t>
        </is>
      </c>
      <c r="E202" s="35" t="inlineStr">
        <is>
          <t>Nødvendig dokumentation</t>
        </is>
      </c>
      <c r="F202" s="35" t="inlineStr">
        <is>
          <t>Leverandøren skal stille den nødvendige dokumentation, herunder Datamodel, datadefinitioner, metadata, valideringsregler og øvrig tekniske specifikationer, der er nødvendige for planlægning og gennemførelse af migreringen.</t>
        </is>
      </c>
      <c r="G202" s="35" t="inlineStr">
        <is>
          <t>Mindstekrav</t>
        </is>
      </c>
      <c r="H202" s="35">
        <f>IF(G202="Evalueringskrav","Answer",(IF(G202="Krav","Check",(IF(G202="Mindstekrav","Verify","")))))</f>
        <v/>
      </c>
      <c r="I202" s="35" t="inlineStr">
        <is>
          <t>Ja</t>
        </is>
      </c>
      <c r="J202" s="35" t="n"/>
      <c r="K202" s="47" t="n"/>
      <c r="L202" s="35" t="inlineStr">
        <is>
          <t>Kaare</t>
        </is>
      </c>
      <c r="M202" s="35" t="n"/>
      <c r="N202" s="35" t="n"/>
      <c r="O202" s="35" t="n"/>
      <c r="P202" s="35" t="inlineStr">
        <is>
          <t>ADN: COuld this be interpretated so, that customer and hosting partner will do the migration?</t>
        </is>
      </c>
      <c r="Q202" s="35" t="n"/>
      <c r="R202" s="35" t="n"/>
      <c r="S202" s="35" t="n"/>
      <c r="T202" s="35" t="n"/>
      <c r="U202" s="35" t="inlineStr">
        <is>
          <t>Not Started</t>
        </is>
      </c>
      <c r="V202" s="37">
        <f>IF(U202="Not Started",0%,IF(U202="Started",50%,IF(U202="Ready for review",70%,IF(U202="Reviewed - Content",80%,IF(U202="Reviewed - Format",90%,IF(U202="Done",100%,""))))))</f>
        <v/>
      </c>
      <c r="W202" t="inlineStr">
        <is>
          <t>2026-07-07</t>
        </is>
      </c>
      <c r="X202" t="inlineStr">
        <is>
          <t>Cursor / tender-response (batch)</t>
        </is>
      </c>
      <c r="Y202" t="inlineStr">
        <is>
          <t>Clarify</t>
        </is>
      </c>
      <c r="Z202" t="inlineStr">
        <is>
          <t>Verified</t>
        </is>
      </c>
      <c r="AA202" t="inlineStr">
        <is>
          <t>Verify: Nødvendig dokumentation — kræver produkt-/team-afklaring (ingen tool-rating).</t>
        </is>
      </c>
      <c r="AB202" t="inlineStr">
        <is>
          <t>ADN: COuld this be interpretated so, that customer and hosting partner will do the migration?</t>
        </is>
      </c>
      <c r="AC202" t="inlineStr">
        <is>
          <t>docs/tender-reference/extracted/KK Tender tool.txt; docs/tender-reference/extracted/KUM-SLKS/Bilag 1 - Tidsplan.txt; docs/tender-reference/extracted/Nationalbanken/Bilag 3.i Leverandørens Løsningsbeskrivelse.txt</t>
        </is>
      </c>
      <c r="AD202" t="inlineStr">
        <is>
          <t>Kaare: Udfyld tool-rating (O) og evidens; gennemgå AI-kladde.</t>
        </is>
      </c>
      <c r="AE202" t="inlineStr"/>
      <c r="AF202" t="inlineStr">
        <is>
          <t>Draft</t>
        </is>
      </c>
      <c r="AG202" t="inlineStr">
        <is>
          <t>uim-esdh-full-2026-07-07</t>
        </is>
      </c>
    </row>
    <row r="203" ht="64" customHeight="1">
      <c r="A203" s="35" t="n">
        <v>202</v>
      </c>
      <c r="B203" s="35" t="inlineStr">
        <is>
          <t>MK-172</t>
        </is>
      </c>
      <c r="C203" s="35" t="inlineStr">
        <is>
          <t>Bilag 1.b</t>
        </is>
      </c>
      <c r="D203" s="35" t="inlineStr">
        <is>
          <t>Konvertering og datamigrering</t>
        </is>
      </c>
      <c r="E203" s="35" t="inlineStr">
        <is>
          <t>Kortlægning af mapningsregler</t>
        </is>
      </c>
      <c r="F203" s="35" t="inlineStr">
        <is>
          <t>Leverandøren skal bistå med afklaring af kortlægning mellem eksisterende og ny Datamodel, specifikation af indlæsningsformater samt deltage i relevante workshops, planlægning, prøvemigreringer og valideringsaktiviteter. Kunden skal godkende mapningsreglerne.</t>
        </is>
      </c>
      <c r="G203" s="35" t="inlineStr">
        <is>
          <t>Mindstekrav</t>
        </is>
      </c>
      <c r="H203" s="35">
        <f>IF(G203="Evalueringskrav","Answer",(IF(G203="Krav","Check",(IF(G203="Mindstekrav","Verify","")))))</f>
        <v/>
      </c>
      <c r="I203" s="35" t="inlineStr">
        <is>
          <t>Ja</t>
        </is>
      </c>
      <c r="J203" s="35" t="n"/>
      <c r="K203" s="47" t="n"/>
      <c r="L203" s="35" t="inlineStr">
        <is>
          <t>Kaare</t>
        </is>
      </c>
      <c r="M203" s="35" t="n"/>
      <c r="N203" s="35" t="n"/>
      <c r="O203" s="35" t="n"/>
      <c r="P203" s="35" t="n"/>
      <c r="Q203" s="35" t="n"/>
      <c r="R203" s="35" t="n"/>
      <c r="S203" s="35" t="n"/>
      <c r="T203" s="35" t="n"/>
      <c r="U203" s="35" t="inlineStr">
        <is>
          <t>Not Started</t>
        </is>
      </c>
      <c r="V203" s="37">
        <f>IF(U203="Not Started",0%,IF(U203="Started",50%,IF(U203="Ready for review",70%,IF(U203="Reviewed - Content",80%,IF(U203="Reviewed - Format",90%,IF(U203="Done",100%,""))))))</f>
        <v/>
      </c>
      <c r="W203" t="inlineStr">
        <is>
          <t>2026-07-07</t>
        </is>
      </c>
      <c r="X203" t="inlineStr">
        <is>
          <t>Cursor / tender-response (batch)</t>
        </is>
      </c>
      <c r="Y203" t="inlineStr">
        <is>
          <t>Clarify</t>
        </is>
      </c>
      <c r="Z203" t="inlineStr">
        <is>
          <t>Verified</t>
        </is>
      </c>
      <c r="AA203" t="inlineStr">
        <is>
          <t>Verify: Kortlægning af mapningsregler — kræver produkt-/team-afklaring (ingen tool-rating).</t>
        </is>
      </c>
      <c r="AB203" t="inlineStr"/>
      <c r="AC203" t="inlineStr">
        <is>
          <t>docs/tender-reference/extracted/Nationalbanken/Bilag 3.i Leverandørens Løsningsbeskrivelse.txt; docs/tender-reference/extracted/KK Tender tool.txt; docs/tender-reference/extracted/KUM-SLKS/Bilag 1 - Tidsplan.txt</t>
        </is>
      </c>
      <c r="AD203" t="inlineStr">
        <is>
          <t>Kaare: Udfyld tool-rating (O) og evidens; gennemgå AI-kladde.</t>
        </is>
      </c>
      <c r="AE203" t="inlineStr"/>
      <c r="AF203" t="inlineStr">
        <is>
          <t>Draft</t>
        </is>
      </c>
      <c r="AG203" t="inlineStr">
        <is>
          <t>uim-esdh-full-2026-07-07</t>
        </is>
      </c>
    </row>
    <row r="204" ht="48" customHeight="1">
      <c r="A204" s="35" t="n">
        <v>203</v>
      </c>
      <c r="B204" s="35" t="inlineStr">
        <is>
          <t>MK-173</t>
        </is>
      </c>
      <c r="C204" s="35" t="inlineStr">
        <is>
          <t>Bilag 1.b</t>
        </is>
      </c>
      <c r="D204" s="35" t="inlineStr">
        <is>
          <t>Konvertering og datamigrering</t>
        </is>
      </c>
      <c r="E204" s="35" t="inlineStr">
        <is>
          <t>Dokumentation af begrænsninger</t>
        </is>
      </c>
      <c r="F204" s="35" t="inlineStr">
        <is>
          <t>Leverandøren skal dokumentere eventuelle begrænsninger ved import af data, herunder krav til datakvalitet, referentiel integritet og rækkefølge for indlæsning af dataentiteter.</t>
        </is>
      </c>
      <c r="G204" s="35" t="inlineStr">
        <is>
          <t>Mindstekrav</t>
        </is>
      </c>
      <c r="H204" s="35">
        <f>IF(G204="Evalueringskrav","Answer",(IF(G204="Krav","Check",(IF(G204="Mindstekrav","Verify","")))))</f>
        <v/>
      </c>
      <c r="I204" s="35" t="inlineStr">
        <is>
          <t>Ja</t>
        </is>
      </c>
      <c r="J204" s="35" t="n"/>
      <c r="K204" s="47" t="n"/>
      <c r="L204" s="35" t="inlineStr">
        <is>
          <t>Kaare</t>
        </is>
      </c>
      <c r="M204" s="35" t="n"/>
      <c r="N204" s="35" t="n"/>
      <c r="O204" s="35" t="n"/>
      <c r="P204" s="35" t="n"/>
      <c r="Q204" s="35" t="n"/>
      <c r="R204" s="35" t="n"/>
      <c r="S204" s="35" t="n"/>
      <c r="T204" s="35" t="n"/>
      <c r="U204" s="35" t="inlineStr">
        <is>
          <t>Not Started</t>
        </is>
      </c>
      <c r="V204" s="37">
        <f>IF(U204="Not Started",0%,IF(U204="Started",50%,IF(U204="Ready for review",70%,IF(U204="Reviewed - Content",80%,IF(U204="Reviewed - Format",90%,IF(U204="Done",100%,""))))))</f>
        <v/>
      </c>
      <c r="W204" t="inlineStr">
        <is>
          <t>2026-07-07</t>
        </is>
      </c>
      <c r="X204" t="inlineStr">
        <is>
          <t>Cursor / tender-response (batch)</t>
        </is>
      </c>
      <c r="Y204" t="inlineStr">
        <is>
          <t>Clarify</t>
        </is>
      </c>
      <c r="Z204" t="inlineStr">
        <is>
          <t>Verified</t>
        </is>
      </c>
      <c r="AA204" t="inlineStr">
        <is>
          <t>Verify: Dokumentation af begrænsninger — kræver produkt-/team-afklaring (ingen tool-rating).</t>
        </is>
      </c>
      <c r="AB204" t="inlineStr"/>
      <c r="AC204" t="inlineStr">
        <is>
          <t>docs/tender-reference/extracted/KK Tender tool.txt; docs/tender-reference/extracted/Nationalbanken/Bilag 3.i Leverandørens Løsningsbeskrivelse.txt; docs/product/RFP_Leverandørens_svar_utdrag.txt</t>
        </is>
      </c>
      <c r="AD204" t="inlineStr">
        <is>
          <t>Kaare: Udfyld tool-rating (O) og evidens; gennemgå AI-kladde.</t>
        </is>
      </c>
      <c r="AE204" t="inlineStr"/>
      <c r="AF204" t="inlineStr">
        <is>
          <t>Draft</t>
        </is>
      </c>
      <c r="AG204" t="inlineStr">
        <is>
          <t>uim-esdh-full-2026-07-07</t>
        </is>
      </c>
    </row>
    <row r="205" ht="32" customHeight="1">
      <c r="A205" s="35" t="n">
        <v>204</v>
      </c>
      <c r="B205" s="35" t="inlineStr">
        <is>
          <t>MK-174</t>
        </is>
      </c>
      <c r="C205" s="35" t="inlineStr">
        <is>
          <t>Bilag 1.b</t>
        </is>
      </c>
      <c r="D205" s="35" t="inlineStr">
        <is>
          <t>Konvertering og datamigrering</t>
        </is>
      </c>
      <c r="E205" s="35" t="inlineStr">
        <is>
          <t>Konverteringsmiljø</t>
        </is>
      </c>
      <c r="F205" s="35" t="inlineStr">
        <is>
          <t>Leverandøren skal stille et konverteringsmiljø til rådighed hos SIT, hvor Kunden kan gennemføre og validere konverteringen.</t>
        </is>
      </c>
      <c r="G205" s="35" t="inlineStr">
        <is>
          <t>Mindstekrav</t>
        </is>
      </c>
      <c r="H205" s="35">
        <f>IF(G205="Evalueringskrav","Answer",(IF(G205="Krav","Check",(IF(G205="Mindstekrav","Verify","")))))</f>
        <v/>
      </c>
      <c r="I205" s="35" t="inlineStr">
        <is>
          <t>Ja</t>
        </is>
      </c>
      <c r="J205" s="35" t="n"/>
      <c r="K205" s="47" t="n"/>
      <c r="L205" s="35" t="inlineStr">
        <is>
          <t>Kaare</t>
        </is>
      </c>
      <c r="M205" s="35" t="n"/>
      <c r="N205" s="35" t="n"/>
      <c r="O205" s="35" t="n"/>
      <c r="P205" s="35" t="inlineStr">
        <is>
          <t>ADN: Kan vi som leverandør stille et konverteringsmiljø til rådighed hos SIT?</t>
        </is>
      </c>
      <c r="Q205" s="35" t="n"/>
      <c r="R205" s="35" t="n"/>
      <c r="S205" s="35" t="n"/>
      <c r="T205" s="35" t="n"/>
      <c r="U205" s="35" t="inlineStr">
        <is>
          <t>Not Started</t>
        </is>
      </c>
      <c r="V205" s="37">
        <f>IF(U205="Not Started",0%,IF(U205="Started",50%,IF(U205="Ready for review",70%,IF(U205="Reviewed - Content",80%,IF(U205="Reviewed - Format",90%,IF(U205="Done",100%,""))))))</f>
        <v/>
      </c>
      <c r="W205" t="inlineStr">
        <is>
          <t>2026-07-07</t>
        </is>
      </c>
      <c r="X205" t="inlineStr">
        <is>
          <t>Cursor / tender-response (batch)</t>
        </is>
      </c>
      <c r="Y205" t="inlineStr">
        <is>
          <t>Clarify</t>
        </is>
      </c>
      <c r="Z205" t="inlineStr">
        <is>
          <t>Verified</t>
        </is>
      </c>
      <c r="AA205" t="inlineStr">
        <is>
          <t>Verify: Konverteringsmiljø — kræver produkt-/team-afklaring (ingen tool-rating).</t>
        </is>
      </c>
      <c r="AB205" t="inlineStr">
        <is>
          <t>ADN: Kan vi som leverandør stille et konverteringsmiljø til rådighed hos SIT?</t>
        </is>
      </c>
      <c r="AC2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05" t="inlineStr">
        <is>
          <t>Kaare: Udfyld tool-rating (O) og evidens; gennemgå AI-kladde.</t>
        </is>
      </c>
      <c r="AE205" t="inlineStr"/>
      <c r="AF205" t="inlineStr">
        <is>
          <t>Draft</t>
        </is>
      </c>
      <c r="AG205" t="inlineStr">
        <is>
          <t>uim-esdh-full-2026-07-07</t>
        </is>
      </c>
    </row>
    <row r="206" ht="288" customHeight="1">
      <c r="A206" s="35" t="n">
        <v>205</v>
      </c>
      <c r="B206" s="35" t="inlineStr">
        <is>
          <t>MK-175</t>
        </is>
      </c>
      <c r="C206" s="35" t="inlineStr">
        <is>
          <t>Bilag 1.b</t>
        </is>
      </c>
      <c r="D206" s="35" t="inlineStr">
        <is>
          <t>Miljøer</t>
        </is>
      </c>
      <c r="E206" s="35" t="inlineStr">
        <is>
          <t>Opsætning af miljøer</t>
        </is>
      </c>
      <c r="F206" s="35" t="inlineStr">
        <is>
          <t>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t>
        </is>
      </c>
      <c r="G206" s="35" t="inlineStr">
        <is>
          <t>Mindstekrav</t>
        </is>
      </c>
      <c r="H206" s="35">
        <f>IF(G206="Evalueringskrav","Answer",(IF(G206="Krav","Check",(IF(G206="Mindstekrav","Verify","")))))</f>
        <v/>
      </c>
      <c r="I206" s="35" t="inlineStr">
        <is>
          <t>Ja</t>
        </is>
      </c>
      <c r="J206" s="35" t="n"/>
      <c r="K206" s="47" t="n"/>
      <c r="L206" s="35" t="inlineStr">
        <is>
          <t>CloudOps</t>
        </is>
      </c>
      <c r="M206" s="35" t="n"/>
      <c r="N206" s="35" t="n"/>
      <c r="O206" s="35" t="n"/>
      <c r="P206" s="35" t="inlineStr">
        <is>
          <t>Anton: Leverandøren kan vel ikke sikre etablering af miljøer når SIT er driftsleverandør?</t>
        </is>
      </c>
      <c r="Q206" s="35" t="n"/>
      <c r="R206" s="35" t="n"/>
      <c r="S206" s="35" t="n"/>
      <c r="T206" s="35" t="n"/>
      <c r="U206" s="35" t="inlineStr">
        <is>
          <t>Not Started</t>
        </is>
      </c>
      <c r="V206" s="37">
        <f>IF(U206="Not Started",0%,IF(U206="Started",50%,IF(U206="Ready for review",70%,IF(U206="Reviewed - Content",80%,IF(U206="Reviewed - Format",90%,IF(U206="Done",100%,""))))))</f>
        <v/>
      </c>
      <c r="W206" t="inlineStr">
        <is>
          <t>2026-07-07</t>
        </is>
      </c>
      <c r="X206" t="inlineStr">
        <is>
          <t>Cursor / tender-response (MCP-enriched)</t>
        </is>
      </c>
      <c r="Y206" t="inlineStr">
        <is>
          <t>Clarify</t>
        </is>
      </c>
      <c r="Z206" t="inlineStr">
        <is>
          <t>Lead</t>
        </is>
      </c>
      <c r="AA206" t="inlineStr">
        <is>
          <t>Verify: Opsætning af miljøer — kræver produkt-/team-afklaring (ingen tool-rating).</t>
        </is>
      </c>
      <c r="AB206" t="inlineStr">
        <is>
          <t>Anton: Leverandøren kan vel ikke sikre etablering af miljøer når SIT er driftsleverandør? | Red flag: Leverandøren kan vel ikke sikre etablering af miljøer når SIT er driftsleverandør?</t>
        </is>
      </c>
      <c r="AC206" t="inlineStr">
        <is>
          <t>Wiki: Endpoint configuration; Core-testing process</t>
        </is>
      </c>
      <c r="AD206" t="inlineStr">
        <is>
          <t>CloudOps: Udfyld tool-rating (O) og evidens; gennemgå AI-kladde.</t>
        </is>
      </c>
      <c r="AE206" t="inlineStr"/>
      <c r="AF206" t="inlineStr">
        <is>
          <t>Draft</t>
        </is>
      </c>
      <c r="AG206" t="inlineStr">
        <is>
          <t>uim-esdh-full-2026-07-07</t>
        </is>
      </c>
    </row>
    <row r="207" ht="64" customHeight="1">
      <c r="A207" s="35" t="n">
        <v>206</v>
      </c>
      <c r="B207" s="35" t="inlineStr">
        <is>
          <t>MK-176</t>
        </is>
      </c>
      <c r="C207" s="35" t="inlineStr">
        <is>
          <t>Bilag 1.b</t>
        </is>
      </c>
      <c r="D207" s="35" t="inlineStr">
        <is>
          <t>Drift</t>
        </is>
      </c>
      <c r="E207" s="35" t="inlineStr">
        <is>
          <t>Driftsmiljø</t>
        </is>
      </c>
      <c r="F207" s="35" t="inlineStr">
        <is>
          <t>Leverandøren skal sikre, at den tilbudte ESDH-løsning fuldt ud kan etableres, konfigureres og driftes på hos SIT på deres virtualiseringsplatform, med henblik på at opnå maksimal tilgængelighed og oppetid.</t>
        </is>
      </c>
      <c r="G207" s="35" t="inlineStr">
        <is>
          <t>Mindstekrav</t>
        </is>
      </c>
      <c r="H207" s="35">
        <f>IF(G207="Evalueringskrav","Answer",(IF(G207="Krav","Check",(IF(G207="Mindstekrav","Verify","")))))</f>
        <v/>
      </c>
      <c r="I207" s="35" t="inlineStr">
        <is>
          <t>Ja</t>
        </is>
      </c>
      <c r="J207" s="35" t="n"/>
      <c r="K207" s="47" t="n"/>
      <c r="L207" s="35" t="inlineStr">
        <is>
          <t>CloudOps</t>
        </is>
      </c>
      <c r="M207" s="35" t="n"/>
      <c r="N207" s="35" t="n"/>
      <c r="O207" s="35" t="n"/>
      <c r="P207" s="35" t="n"/>
      <c r="Q207" s="35" t="n"/>
      <c r="R207" s="35" t="n"/>
      <c r="S207" s="35" t="n"/>
      <c r="T207" s="35" t="n"/>
      <c r="U207" s="35" t="inlineStr">
        <is>
          <t>Not Started</t>
        </is>
      </c>
      <c r="V207" s="37">
        <f>IF(U207="Not Started",0%,IF(U207="Started",50%,IF(U207="Ready for review",70%,IF(U207="Reviewed - Content",80%,IF(U207="Reviewed - Format",90%,IF(U207="Done",100%,""))))))</f>
        <v/>
      </c>
      <c r="W207" t="inlineStr">
        <is>
          <t>2026-07-07</t>
        </is>
      </c>
      <c r="X207" t="inlineStr">
        <is>
          <t>Cursor / tender-response (batch)</t>
        </is>
      </c>
      <c r="Y207" t="inlineStr">
        <is>
          <t>Clarify</t>
        </is>
      </c>
      <c r="Z207" t="inlineStr">
        <is>
          <t>Verified</t>
        </is>
      </c>
      <c r="AA207" t="inlineStr">
        <is>
          <t>Verify: Driftsmiljø — kræver produkt-/team-afklaring (ingen tool-rating).</t>
        </is>
      </c>
      <c r="AB207" t="inlineStr"/>
      <c r="AC207" t="inlineStr">
        <is>
          <t>docs/tender-reference/extracted/KK Tender tool.txt; docs/product/RFP_Leverandørens_svar_utdrag.txt; docs/tender-reference/extracted/KUM-SLKS/Bilag 3 - Kravspecifikation.txt</t>
        </is>
      </c>
      <c r="AD207" t="inlineStr">
        <is>
          <t>CloudOps: Udfyld tool-rating (O) og evidens; gennemgå AI-kladde.</t>
        </is>
      </c>
      <c r="AE207" t="inlineStr"/>
      <c r="AF207" t="inlineStr">
        <is>
          <t>Draft</t>
        </is>
      </c>
      <c r="AG207" t="inlineStr">
        <is>
          <t>uim-esdh-full-2026-07-07</t>
        </is>
      </c>
    </row>
    <row r="208" ht="80" customHeight="1">
      <c r="A208" s="35" t="n">
        <v>207</v>
      </c>
      <c r="B208" s="35" t="inlineStr">
        <is>
          <t>MK-177</t>
        </is>
      </c>
      <c r="C208" s="35" t="inlineStr">
        <is>
          <t>Bilag 1.b</t>
        </is>
      </c>
      <c r="D208" s="35" t="inlineStr">
        <is>
          <t>Drift</t>
        </is>
      </c>
      <c r="E208" s="35" t="inlineStr">
        <is>
          <t>Driftsmodel</t>
        </is>
      </c>
      <c r="F208" s="35" t="inlineStr">
        <is>
          <t>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t>
        </is>
      </c>
      <c r="G208" s="35" t="inlineStr">
        <is>
          <t>Mindstekrav</t>
        </is>
      </c>
      <c r="H208" s="35">
        <f>IF(G208="Evalueringskrav","Answer",(IF(G208="Krav","Check",(IF(G208="Mindstekrav","Verify","")))))</f>
        <v/>
      </c>
      <c r="I208" s="35" t="inlineStr">
        <is>
          <t>Ja</t>
        </is>
      </c>
      <c r="J208" s="35" t="n"/>
      <c r="K208" s="47" t="n"/>
      <c r="L208" s="35" t="inlineStr">
        <is>
          <t>CloudOps</t>
        </is>
      </c>
      <c r="M208" s="35" t="n"/>
      <c r="N208" s="35" t="n"/>
      <c r="O208" s="35" t="n"/>
      <c r="P208" s="35" t="n"/>
      <c r="Q208" s="35" t="n"/>
      <c r="R208" s="35" t="n"/>
      <c r="S208" s="35" t="n"/>
      <c r="T208" s="35" t="n"/>
      <c r="U208" s="35" t="inlineStr">
        <is>
          <t>Not Started</t>
        </is>
      </c>
      <c r="V208" s="37">
        <f>IF(U208="Not Started",0%,IF(U208="Started",50%,IF(U208="Ready for review",70%,IF(U208="Reviewed - Content",80%,IF(U208="Reviewed - Format",90%,IF(U208="Done",100%,""))))))</f>
        <v/>
      </c>
      <c r="W208" t="inlineStr">
        <is>
          <t>2026-07-07</t>
        </is>
      </c>
      <c r="X208" t="inlineStr">
        <is>
          <t>Cursor / tender-response (batch)</t>
        </is>
      </c>
      <c r="Y208" t="inlineStr">
        <is>
          <t>Clarify</t>
        </is>
      </c>
      <c r="Z208" t="inlineStr">
        <is>
          <t>Verified</t>
        </is>
      </c>
      <c r="AA208" t="inlineStr">
        <is>
          <t>Verify: Driftsmodel — kræver produkt-/team-afklaring (ingen tool-rating).</t>
        </is>
      </c>
      <c r="AB208" t="inlineStr"/>
      <c r="AC208" t="inlineStr">
        <is>
          <t>docs/tender-reference/extracted/Nationalbanken/Bilag 3.i Leverandørens Løsningsbeskrivelse.txt; docs/tender-reference/extracted/NND/02.01-Tieto-Bilag 2-Vedlegg-Leverandørens utfyllende svar til kravtabell.txt; docs/product/RFP_Leverandørens_svar_utdrag.txt</t>
        </is>
      </c>
      <c r="AD208" t="inlineStr">
        <is>
          <t>CloudOps: Udfyld tool-rating (O) og evidens; gennemgå AI-kladde.</t>
        </is>
      </c>
      <c r="AE208" t="inlineStr"/>
      <c r="AF208" t="inlineStr">
        <is>
          <t>Draft</t>
        </is>
      </c>
      <c r="AG208" t="inlineStr">
        <is>
          <t>uim-esdh-full-2026-07-07</t>
        </is>
      </c>
    </row>
    <row r="209" ht="96" customHeight="1">
      <c r="A209" s="35" t="n">
        <v>208</v>
      </c>
      <c r="B209" s="35" t="inlineStr">
        <is>
          <t>MK-178</t>
        </is>
      </c>
      <c r="C209" s="35" t="inlineStr">
        <is>
          <t>Bilag 1.b</t>
        </is>
      </c>
      <c r="D209" s="35" t="inlineStr">
        <is>
          <t>Backup &amp; restore</t>
        </is>
      </c>
      <c r="E209" s="35" t="inlineStr">
        <is>
          <t>Backup &amp; restore</t>
        </is>
      </c>
      <c r="F209" s="35" t="inlineStr">
        <is>
          <t>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t>
        </is>
      </c>
      <c r="G209" s="35" t="inlineStr">
        <is>
          <t>Mindstekrav</t>
        </is>
      </c>
      <c r="H209" s="35">
        <f>IF(G209="Evalueringskrav","Answer",(IF(G209="Krav","Check",(IF(G209="Mindstekrav","Verify","")))))</f>
        <v/>
      </c>
      <c r="I209" s="35" t="inlineStr">
        <is>
          <t>Ja</t>
        </is>
      </c>
      <c r="J209" s="35" t="n"/>
      <c r="K209" s="47" t="n"/>
      <c r="L209" s="35" t="inlineStr">
        <is>
          <t>CloudOps</t>
        </is>
      </c>
      <c r="M209" s="35" t="n"/>
      <c r="N209" s="35" t="n"/>
      <c r="O209" s="35" t="n"/>
      <c r="P209" s="35" t="n"/>
      <c r="Q209" s="35" t="n"/>
      <c r="R209" s="35" t="n"/>
      <c r="S209" s="35" t="n"/>
      <c r="T209" s="35" t="n"/>
      <c r="U209" s="35" t="inlineStr">
        <is>
          <t>Not Started</t>
        </is>
      </c>
      <c r="V209" s="37">
        <f>IF(U209="Not Started",0%,IF(U209="Started",50%,IF(U209="Ready for review",70%,IF(U209="Reviewed - Content",80%,IF(U209="Reviewed - Format",90%,IF(U209="Done",100%,""))))))</f>
        <v/>
      </c>
      <c r="W209" t="inlineStr">
        <is>
          <t>2026-07-07</t>
        </is>
      </c>
      <c r="X209" t="inlineStr">
        <is>
          <t>Cursor / tender-response (batch)</t>
        </is>
      </c>
      <c r="Y209" t="inlineStr">
        <is>
          <t>Clarify</t>
        </is>
      </c>
      <c r="Z209" t="inlineStr">
        <is>
          <t>Verified</t>
        </is>
      </c>
      <c r="AA209" t="inlineStr">
        <is>
          <t>Verify: Backup &amp; restore — kræver produkt-/team-afklaring (ingen tool-rating).</t>
        </is>
      </c>
      <c r="AB209" t="inlineStr"/>
      <c r="AC209" t="inlineStr">
        <is>
          <t>docs/tender-reference/extracted/KK Tender tool.txt; docs/tender-reference/extracted/Nationalbanken/Bilag 3.i Leverandørens Løsningsbeskrivelse.txt; docs/product/RFP_Leverandørens_svar_utdrag.txt</t>
        </is>
      </c>
      <c r="AD209" t="inlineStr">
        <is>
          <t>CloudOps: Udfyld tool-rating (O) og evidens; gennemgå AI-kladde.</t>
        </is>
      </c>
      <c r="AE209" t="inlineStr"/>
      <c r="AF209" t="inlineStr">
        <is>
          <t>Draft</t>
        </is>
      </c>
      <c r="AG209" t="inlineStr">
        <is>
          <t>uim-esdh-full-2026-07-07</t>
        </is>
      </c>
    </row>
    <row r="210" ht="48" customHeight="1">
      <c r="A210" s="35" t="n">
        <v>209</v>
      </c>
      <c r="B210" s="35" t="inlineStr">
        <is>
          <t>MK-179</t>
        </is>
      </c>
      <c r="C210" s="35" t="inlineStr">
        <is>
          <t>Bilag 1.b</t>
        </is>
      </c>
      <c r="D210" s="35" t="inlineStr">
        <is>
          <t>Backup &amp; restore</t>
        </is>
      </c>
      <c r="E210" s="35" t="inlineStr">
        <is>
          <t>Brugervejledning</t>
        </is>
      </c>
      <c r="F210" s="35" t="inlineStr">
        <is>
          <t>ESDH-løsningen skal understøtte danske brugervejledninger. Brugervejledningerne skal automatisk opdateres af Leverandøren i forbindelse med nye versioner af Løsningen.</t>
        </is>
      </c>
      <c r="G210" s="35" t="inlineStr">
        <is>
          <t>Mindstekrav</t>
        </is>
      </c>
      <c r="H210" s="35">
        <f>IF(G210="Evalueringskrav","Answer",(IF(G210="Krav","Check",(IF(G210="Mindstekrav","Verify","")))))</f>
        <v/>
      </c>
      <c r="I210" s="35" t="inlineStr">
        <is>
          <t>Ja</t>
        </is>
      </c>
      <c r="J210" s="35" t="n"/>
      <c r="K210" s="47" t="n"/>
      <c r="L210" s="35" t="inlineStr">
        <is>
          <t>Anton</t>
        </is>
      </c>
      <c r="M210" s="35" t="n"/>
      <c r="N210" s="35" t="n"/>
      <c r="O210" s="35" t="inlineStr">
        <is>
          <t>1. Fully met</t>
        </is>
      </c>
      <c r="P210" s="35" t="inlineStr">
        <is>
          <t>Adn: Onlinehjælp</t>
        </is>
      </c>
      <c r="Q210" s="35" t="n"/>
      <c r="R210" s="35" t="n"/>
      <c r="S210" s="35" t="n"/>
      <c r="T210" s="35" t="n"/>
      <c r="U210" s="35" t="inlineStr">
        <is>
          <t>Not Started</t>
        </is>
      </c>
      <c r="V210" s="37">
        <f>IF(U210="Not Started",0%,IF(U210="Started",50%,IF(U210="Ready for review",70%,IF(U210="Reviewed - Content",80%,IF(U210="Reviewed - Format",90%,IF(U210="Done",100%,""))))))</f>
        <v/>
      </c>
      <c r="W210" t="inlineStr">
        <is>
          <t>2026-07-07</t>
        </is>
      </c>
      <c r="X210" t="inlineStr">
        <is>
          <t>Cursor / tender-response (batch)</t>
        </is>
      </c>
      <c r="Y210" t="inlineStr">
        <is>
          <t>Met</t>
        </is>
      </c>
      <c r="Z210" t="inlineStr">
        <is>
          <t>Verified</t>
        </is>
      </c>
      <c r="AA210" t="inlineStr">
        <is>
          <t>Verify: Brugervejledning — vurderet opfyldt (tool: 1. Fully met).</t>
        </is>
      </c>
      <c r="AB210" t="inlineStr">
        <is>
          <t>Adn: Onlinehjælp</t>
        </is>
      </c>
      <c r="AC210" t="inlineStr">
        <is>
          <t>docs/tender-reference/extracted/Nationalbanken/Bilag 3.i Leverandørens Løsningsbeskrivelse.txt; docs/tender-reference/extracted/KK Tender tool.txt; docs/tender-reference/extracted/KUM-SLKS/Bilag 3 - Kravspecifikation.txt</t>
        </is>
      </c>
      <c r="AD210" t="inlineStr">
        <is>
          <t>Anton: Confirm verify-tekst; opdatér review status efter tjek.</t>
        </is>
      </c>
      <c r="AE210" t="inlineStr"/>
      <c r="AF210" t="inlineStr">
        <is>
          <t>Draft</t>
        </is>
      </c>
      <c r="AG210" t="inlineStr">
        <is>
          <t>uim-esdh-full-2026-07-07</t>
        </is>
      </c>
    </row>
    <row r="211" ht="64" customHeight="1">
      <c r="A211" s="35" t="n">
        <v>210</v>
      </c>
      <c r="B211" s="35" t="inlineStr">
        <is>
          <t>MK-180</t>
        </is>
      </c>
      <c r="C211" s="35" t="inlineStr">
        <is>
          <t>Bilag 1.b</t>
        </is>
      </c>
      <c r="D211" s="35" t="inlineStr">
        <is>
          <t>Backup &amp; restore</t>
        </is>
      </c>
      <c r="E211" s="35" t="inlineStr">
        <is>
          <t>Brugervejledning fra brugergrænsefladen</t>
        </is>
      </c>
      <c r="F211" s="35" t="inlineStr">
        <is>
          <t>ESDH-løsningen skal understøtte, at Brugeren kan tilgå brugervejledningen direkte fra brugergrænsefladen.</t>
        </is>
      </c>
      <c r="G211" s="35" t="inlineStr">
        <is>
          <t>Mindstekrav</t>
        </is>
      </c>
      <c r="H211" s="35">
        <f>IF(G211="Evalueringskrav","Answer",(IF(G211="Krav","Check",(IF(G211="Mindstekrav","Verify","")))))</f>
        <v/>
      </c>
      <c r="I211" s="35" t="inlineStr">
        <is>
          <t>Ja</t>
        </is>
      </c>
      <c r="J211" s="35" t="n"/>
      <c r="K211" s="47" t="n"/>
      <c r="L211" s="35" t="inlineStr">
        <is>
          <t>Anton</t>
        </is>
      </c>
      <c r="M211" s="35" t="n"/>
      <c r="N211" s="35" t="n"/>
      <c r="O211" s="35" t="inlineStr">
        <is>
          <t>1. Fully met</t>
        </is>
      </c>
      <c r="P211" s="35" t="inlineStr">
        <is>
          <t>Adn: Onlinehjælp</t>
        </is>
      </c>
      <c r="Q211" s="35" t="n"/>
      <c r="R211" s="35" t="n"/>
      <c r="S211" s="35" t="n"/>
      <c r="T211" s="35" t="n"/>
      <c r="U211" s="35" t="inlineStr">
        <is>
          <t>Not Started</t>
        </is>
      </c>
      <c r="V211" s="37">
        <f>IF(U211="Not Started",0%,IF(U211="Started",50%,IF(U211="Ready for review",70%,IF(U211="Reviewed - Content",80%,IF(U211="Reviewed - Format",90%,IF(U211="Done",100%,""))))))</f>
        <v/>
      </c>
      <c r="W211" t="inlineStr">
        <is>
          <t>2026-07-07</t>
        </is>
      </c>
      <c r="X211" t="inlineStr">
        <is>
          <t>Cursor / tender-response (batch)</t>
        </is>
      </c>
      <c r="Y211" t="inlineStr">
        <is>
          <t>Met</t>
        </is>
      </c>
      <c r="Z211" t="inlineStr">
        <is>
          <t>Verified</t>
        </is>
      </c>
      <c r="AA211" t="inlineStr">
        <is>
          <t>Verify: Brugervejledning fra brugergrænsefladen — vurderet opfyldt (tool: 1. Fully met).</t>
        </is>
      </c>
      <c r="AB211" t="inlineStr">
        <is>
          <t>Adn: Onlinehjælp</t>
        </is>
      </c>
      <c r="AC211" t="inlineStr">
        <is>
          <t>docs/tender-reference/extracted/KUM-SLKS/Bilag 3 - Kravspecifikation.txt; docs/tender-reference/extracted/Nationalbanken/Bilag 3.i Leverandørens Løsningsbeskrivelse.txt; docs/tender-reference/extracted/KK Tender tool.txt</t>
        </is>
      </c>
      <c r="AD211" t="inlineStr">
        <is>
          <t>Anton: Confirm verify-tekst; opdatér review status efter tjek.</t>
        </is>
      </c>
      <c r="AE211" t="inlineStr"/>
      <c r="AF211" t="inlineStr">
        <is>
          <t>Draft</t>
        </is>
      </c>
      <c r="AG211" t="inlineStr">
        <is>
          <t>uim-esdh-full-2026-07-07</t>
        </is>
      </c>
    </row>
    <row r="212" ht="48" customHeight="1">
      <c r="A212" s="35" t="n">
        <v>211</v>
      </c>
      <c r="B212" s="35" t="inlineStr">
        <is>
          <t>MK-181</t>
        </is>
      </c>
      <c r="C212" s="35" t="inlineStr">
        <is>
          <t>Bilag 1.b</t>
        </is>
      </c>
      <c r="D212" s="35" t="inlineStr">
        <is>
          <t>Backup &amp; restore</t>
        </is>
      </c>
      <c r="E212" s="35" t="inlineStr">
        <is>
          <t>Sprog</t>
        </is>
      </c>
      <c r="F212" s="35" t="inlineStr">
        <is>
          <t>ESDH-løsningen skal understøtte alt dokumentationen på dansk, foruden den tekniske dokumentation, medmindre andet aftales.</t>
        </is>
      </c>
      <c r="G212" s="35" t="inlineStr">
        <is>
          <t>Mindstekrav</t>
        </is>
      </c>
      <c r="H212" s="35">
        <f>IF(G212="Evalueringskrav","Answer",(IF(G212="Krav","Check",(IF(G212="Mindstekrav","Verify","")))))</f>
        <v/>
      </c>
      <c r="I212" s="35" t="inlineStr">
        <is>
          <t>Ja</t>
        </is>
      </c>
      <c r="J212" s="35" t="n"/>
      <c r="K212" s="47" t="n"/>
      <c r="L212" s="35" t="inlineStr">
        <is>
          <t>Anton</t>
        </is>
      </c>
      <c r="M212" s="35" t="n"/>
      <c r="N212" s="35" t="n"/>
      <c r="O212" s="35" t="inlineStr">
        <is>
          <t>2. Partly met</t>
        </is>
      </c>
      <c r="P212" s="35" t="inlineStr">
        <is>
          <t>Adn: Kan vi argumentere for, at admin-hjælpen er teknisk? - hvis vi kan, kan vi sige fuldt opfyldt.</t>
        </is>
      </c>
      <c r="Q212" s="35" t="n"/>
      <c r="R212" s="35" t="n"/>
      <c r="S212" s="35" t="n"/>
      <c r="T212" s="35" t="n"/>
      <c r="U212" s="35" t="inlineStr">
        <is>
          <t>Not Started</t>
        </is>
      </c>
      <c r="V212" s="37">
        <f>IF(U212="Not Started",0%,IF(U212="Started",50%,IF(U212="Ready for review",70%,IF(U212="Reviewed - Content",80%,IF(U212="Reviewed - Format",90%,IF(U212="Done",100%,""))))))</f>
        <v/>
      </c>
      <c r="W212" t="inlineStr">
        <is>
          <t>2026-07-07</t>
        </is>
      </c>
      <c r="X212" t="inlineStr">
        <is>
          <t>Cursor / tender-response (MCP-enriched)</t>
        </is>
      </c>
      <c r="Y212" t="inlineStr">
        <is>
          <t>Partial</t>
        </is>
      </c>
      <c r="Z212" t="inlineStr">
        <is>
          <t>Lead</t>
        </is>
      </c>
      <c r="AA212" t="inlineStr">
        <is>
          <t>Verify: Sprog — delvist opfyldt; afklar scope og scoring.</t>
        </is>
      </c>
      <c r="AB212" t="inlineStr">
        <is>
          <t>Adn: Kan vi argumentere for, at admin-hjælpen er teknisk? - hvis vi kan, kan vi sige fuldt opfyldt.</t>
        </is>
      </c>
      <c r="AC212" t="inlineStr">
        <is>
          <t>Wiki: Product documentation</t>
        </is>
      </c>
      <c r="AD212" t="inlineStr">
        <is>
          <t>Anton: Afklar delkrav; align tool-rating (O) med AI compliance.</t>
        </is>
      </c>
      <c r="AE212" t="inlineStr"/>
      <c r="AF212" t="inlineStr">
        <is>
          <t>Draft</t>
        </is>
      </c>
      <c r="AG212" t="inlineStr">
        <is>
          <t>uim-esdh-full-2026-07-07</t>
        </is>
      </c>
    </row>
    <row r="213" ht="32" customHeight="1">
      <c r="A213" s="35" t="n">
        <v>212</v>
      </c>
      <c r="B213" s="35" t="inlineStr">
        <is>
          <t>MK-182</t>
        </is>
      </c>
      <c r="C213" s="35" t="inlineStr">
        <is>
          <t>Bilag 1.b</t>
        </is>
      </c>
      <c r="D213" s="35" t="inlineStr">
        <is>
          <t>Backup &amp; restore</t>
        </is>
      </c>
      <c r="E213" s="35" t="inlineStr">
        <is>
          <t>Step by step vejledninger</t>
        </is>
      </c>
      <c r="F213" s="35" t="inlineStr">
        <is>
          <t>ESDH-løsningen skal understøtte, at brugervejledningerne præsenteres som step by step vejledninger.</t>
        </is>
      </c>
      <c r="G213" s="35" t="inlineStr">
        <is>
          <t>Mindstekrav</t>
        </is>
      </c>
      <c r="H213" s="35">
        <f>IF(G213="Evalueringskrav","Answer",(IF(G213="Krav","Check",(IF(G213="Mindstekrav","Verify","")))))</f>
        <v/>
      </c>
      <c r="I213" s="35" t="inlineStr">
        <is>
          <t>Ja</t>
        </is>
      </c>
      <c r="J213" s="35" t="n"/>
      <c r="K213" s="47" t="n"/>
      <c r="L213" s="35" t="inlineStr">
        <is>
          <t>Anton</t>
        </is>
      </c>
      <c r="M213" s="35" t="n"/>
      <c r="N213" s="35" t="n"/>
      <c r="O213" s="35" t="inlineStr">
        <is>
          <t>1. Fully met</t>
        </is>
      </c>
      <c r="P213" s="35" t="n"/>
      <c r="Q213" s="35" t="n"/>
      <c r="R213" s="35" t="n"/>
      <c r="S213" s="35" t="n"/>
      <c r="T213" s="35" t="n"/>
      <c r="U213" s="35" t="inlineStr">
        <is>
          <t>Not Started</t>
        </is>
      </c>
      <c r="V213" s="37">
        <f>IF(U213="Not Started",0%,IF(U213="Started",50%,IF(U213="Ready for review",70%,IF(U213="Reviewed - Content",80%,IF(U213="Reviewed - Format",90%,IF(U213="Done",100%,""))))))</f>
        <v/>
      </c>
      <c r="W213" t="inlineStr">
        <is>
          <t>2026-07-07</t>
        </is>
      </c>
      <c r="X213" t="inlineStr">
        <is>
          <t>Cursor / tender-response (batch)</t>
        </is>
      </c>
      <c r="Y213" t="inlineStr">
        <is>
          <t>Met</t>
        </is>
      </c>
      <c r="Z213" t="inlineStr">
        <is>
          <t>Verified</t>
        </is>
      </c>
      <c r="AA213" t="inlineStr">
        <is>
          <t>Verify: Step by step vejledninger — vurderet opfyldt (tool: 1. Fully met).</t>
        </is>
      </c>
      <c r="AB213" t="inlineStr"/>
      <c r="AC213" t="inlineStr">
        <is>
          <t>docs/tender-reference/extracted/Nationalbanken/Bilag 3.i Leverandørens Løsningsbeskrivelse.txt; docs/tender-reference/extracted/KK Tender tool.txt; docs/tender-reference/extracted/Nationalbanken/Bilag 1.i Leverandørens Løsningsbeskrivelse.txt</t>
        </is>
      </c>
      <c r="AD213" t="inlineStr">
        <is>
          <t>Anton: Confirm verify-tekst; opdatér review status efter tjek.</t>
        </is>
      </c>
      <c r="AE213" t="inlineStr"/>
      <c r="AF213" t="inlineStr">
        <is>
          <t>Draft</t>
        </is>
      </c>
      <c r="AG213" t="inlineStr">
        <is>
          <t>uim-esdh-full-2026-07-07</t>
        </is>
      </c>
    </row>
    <row r="214" ht="48" customHeight="1">
      <c r="A214" s="35" t="n">
        <v>213</v>
      </c>
      <c r="B214" s="35" t="inlineStr">
        <is>
          <t>MK-183</t>
        </is>
      </c>
      <c r="C214" s="35" t="inlineStr">
        <is>
          <t>Bilag 1.b</t>
        </is>
      </c>
      <c r="D214" s="35" t="inlineStr">
        <is>
          <t>Backup &amp; restore</t>
        </is>
      </c>
      <c r="E214" s="35" t="inlineStr">
        <is>
          <t>Opdatering af dokumentation</t>
        </is>
      </c>
      <c r="F214" s="35" t="inlineStr">
        <is>
          <t>ESDH-løsningen skal understøtte opdateret dokumentation, herunder releasenotes, forud for installation af en opgradering af ESDH-løsningen i testmiljøet.</t>
        </is>
      </c>
      <c r="G214" s="35" t="inlineStr">
        <is>
          <t>Mindstekrav</t>
        </is>
      </c>
      <c r="H214" s="35">
        <f>IF(G214="Evalueringskrav","Answer",(IF(G214="Krav","Check",(IF(G214="Mindstekrav","Verify","")))))</f>
        <v/>
      </c>
      <c r="I214" s="35" t="inlineStr">
        <is>
          <t>Ja</t>
        </is>
      </c>
      <c r="J214" s="35" t="n"/>
      <c r="K214" s="47" t="n"/>
      <c r="L214" s="35" t="inlineStr">
        <is>
          <t>Anton</t>
        </is>
      </c>
      <c r="M214" s="35" t="n"/>
      <c r="N214" s="35" t="n"/>
      <c r="O214" s="35" t="inlineStr">
        <is>
          <t>1. Fully met</t>
        </is>
      </c>
      <c r="P214" s="35" t="n"/>
      <c r="Q214" s="35" t="n"/>
      <c r="R214" s="35" t="n"/>
      <c r="S214" s="35" t="n"/>
      <c r="T214" s="35" t="n"/>
      <c r="U214" s="35" t="inlineStr">
        <is>
          <t>Not Started</t>
        </is>
      </c>
      <c r="V214" s="37">
        <f>IF(U214="Not Started",0%,IF(U214="Started",50%,IF(U214="Ready for review",70%,IF(U214="Reviewed - Content",80%,IF(U214="Reviewed - Format",90%,IF(U214="Done",100%,""))))))</f>
        <v/>
      </c>
      <c r="W214" t="inlineStr">
        <is>
          <t>2026-07-07</t>
        </is>
      </c>
      <c r="X214" t="inlineStr">
        <is>
          <t>Cursor / tender-response (batch)</t>
        </is>
      </c>
      <c r="Y214" t="inlineStr">
        <is>
          <t>Met</t>
        </is>
      </c>
      <c r="Z214" t="inlineStr">
        <is>
          <t>Verified</t>
        </is>
      </c>
      <c r="AA214" t="inlineStr">
        <is>
          <t>Verify: Opdatering af dokumentation — vurderet opfyldt (tool: 1. Fully met).</t>
        </is>
      </c>
      <c r="AB214" t="inlineStr"/>
      <c r="AC214" t="inlineStr">
        <is>
          <t>docs/tender-reference/extracted/Nationalbanken/Bilag 1.i Leverandørens Løsningsbeskrivelse.txt; docs/tender-reference/extracted/Nationalbanken/Bilag 3.i Leverandørens Løsningsbeskrivelse.txt; docs/tender-reference/extracted/KK Tender tool.txt</t>
        </is>
      </c>
      <c r="AD214" t="inlineStr">
        <is>
          <t>Anton: Confirm verify-tekst; opdatér review status efter tjek.</t>
        </is>
      </c>
      <c r="AE214" t="inlineStr"/>
      <c r="AF214" t="inlineStr">
        <is>
          <t>Draft</t>
        </is>
      </c>
      <c r="AG214" t="inlineStr">
        <is>
          <t>uim-esdh-full-2026-07-07</t>
        </is>
      </c>
    </row>
    <row r="215" ht="64" customHeight="1">
      <c r="A215" s="35" t="n">
        <v>214</v>
      </c>
      <c r="B215" s="35" t="inlineStr">
        <is>
          <t>MK-184</t>
        </is>
      </c>
      <c r="C215" s="35" t="inlineStr">
        <is>
          <t>Bilag 1.b</t>
        </is>
      </c>
      <c r="D215" s="35" t="inlineStr">
        <is>
          <t>Backup &amp; restore</t>
        </is>
      </c>
      <c r="E215" s="35" t="inlineStr">
        <is>
          <t>Administratorvejledning</t>
        </is>
      </c>
      <c r="F215" s="35" t="inlineStr">
        <is>
          <t>ESDH-løsningen skal understøtte en administratorvejledning, der på en brugervenlig måde beskriver, hvordan ESDH-løsningen administreres. Vejledningen skal give Administratoren den nødvendige viden til at kunne administrere og konfigurere Løsningen.</t>
        </is>
      </c>
      <c r="G215" s="35" t="inlineStr">
        <is>
          <t>Mindstekrav</t>
        </is>
      </c>
      <c r="H215" s="35">
        <f>IF(G215="Evalueringskrav","Answer",(IF(G215="Krav","Check",(IF(G215="Mindstekrav","Verify","")))))</f>
        <v/>
      </c>
      <c r="I215" s="35" t="inlineStr">
        <is>
          <t>Ja</t>
        </is>
      </c>
      <c r="J215" s="35" t="n"/>
      <c r="K215" s="47" t="n"/>
      <c r="L215" s="35" t="inlineStr">
        <is>
          <t>Anton</t>
        </is>
      </c>
      <c r="M215" s="35" t="n"/>
      <c r="N215" s="35" t="n"/>
      <c r="O215" s="35" t="inlineStr">
        <is>
          <t>1. Fully met</t>
        </is>
      </c>
      <c r="P215" s="35" t="n"/>
      <c r="Q215" s="35" t="n"/>
      <c r="R215" s="35" t="n"/>
      <c r="S215" s="35" t="n"/>
      <c r="T215" s="35" t="n"/>
      <c r="U215" s="35" t="inlineStr">
        <is>
          <t>Not Started</t>
        </is>
      </c>
      <c r="V215" s="37">
        <f>IF(U215="Not Started",0%,IF(U215="Started",50%,IF(U215="Ready for review",70%,IF(U215="Reviewed - Content",80%,IF(U215="Reviewed - Format",90%,IF(U215="Done",100%,""))))))</f>
        <v/>
      </c>
      <c r="W215" t="inlineStr">
        <is>
          <t>2026-07-07</t>
        </is>
      </c>
      <c r="X215" t="inlineStr">
        <is>
          <t>Cursor / tender-response (batch)</t>
        </is>
      </c>
      <c r="Y215" t="inlineStr">
        <is>
          <t>Met</t>
        </is>
      </c>
      <c r="Z215" t="inlineStr">
        <is>
          <t>Verified</t>
        </is>
      </c>
      <c r="AA215" t="inlineStr">
        <is>
          <t>Verify: Administratorvejledning — vurderet opfyldt (tool: 1. Fully met).</t>
        </is>
      </c>
      <c r="AB215" t="inlineStr"/>
      <c r="AC215" t="inlineStr">
        <is>
          <t>docs/tender-reference/extracted/Nationalbanken/Bilag 3.i Leverandørens Løsningsbeskrivelse.txt; docs/product/RFP_Leverandørens_svar_utdrag.txt; docs/tender-reference/extracted/HSØ/02.00-Tietoevry-SSA-L-Bilag 2-Leverandørens beskrivelse av Tjenesten.txt</t>
        </is>
      </c>
      <c r="AD215" t="inlineStr">
        <is>
          <t>Anton: Confirm verify-tekst; opdatér review status efter tjek.</t>
        </is>
      </c>
      <c r="AE215" t="inlineStr"/>
      <c r="AF215" t="inlineStr">
        <is>
          <t>Draft</t>
        </is>
      </c>
      <c r="AG215" t="inlineStr">
        <is>
          <t>uim-esdh-full-2026-07-07</t>
        </is>
      </c>
    </row>
    <row r="216" ht="80" customHeight="1">
      <c r="A216" s="35" t="n">
        <v>215</v>
      </c>
      <c r="B216" s="35" t="inlineStr">
        <is>
          <t>MK-185</t>
        </is>
      </c>
      <c r="C216" s="35" t="inlineStr">
        <is>
          <t>Bilag 1.b</t>
        </is>
      </c>
      <c r="D216" s="35" t="inlineStr">
        <is>
          <t>Backup &amp; restore</t>
        </is>
      </c>
      <c r="E216" s="35" t="inlineStr">
        <is>
          <t>Dokumentation af API</t>
        </is>
      </c>
      <c r="F216" s="35" t="inlineStr">
        <is>
          <t>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t>
        </is>
      </c>
      <c r="G216" s="35" t="inlineStr">
        <is>
          <t>Mindstekrav</t>
        </is>
      </c>
      <c r="H216" s="35">
        <f>IF(G216="Evalueringskrav","Answer",(IF(G216="Krav","Check",(IF(G216="Mindstekrav","Verify","")))))</f>
        <v/>
      </c>
      <c r="I216" s="35" t="inlineStr">
        <is>
          <t>Ja</t>
        </is>
      </c>
      <c r="J216" s="35" t="n"/>
      <c r="K216" s="47" t="n"/>
      <c r="L216" s="35" t="inlineStr">
        <is>
          <t>Anton</t>
        </is>
      </c>
      <c r="M216" s="35" t="n"/>
      <c r="N216" s="35" t="n"/>
      <c r="O216" s="35" t="inlineStr">
        <is>
          <t>1. Fully met</t>
        </is>
      </c>
      <c r="P216" s="35" t="n"/>
      <c r="Q216" s="35" t="n"/>
      <c r="R216" s="35" t="n"/>
      <c r="S216" s="35" t="n"/>
      <c r="T216" s="35" t="n"/>
      <c r="U216" s="35" t="inlineStr">
        <is>
          <t>Not Started</t>
        </is>
      </c>
      <c r="V216" s="37">
        <f>IF(U216="Not Started",0%,IF(U216="Started",50%,IF(U216="Ready for review",70%,IF(U216="Reviewed - Content",80%,IF(U216="Reviewed - Format",90%,IF(U216="Done",100%,""))))))</f>
        <v/>
      </c>
      <c r="W216" t="inlineStr">
        <is>
          <t>2026-07-07</t>
        </is>
      </c>
      <c r="X216" t="inlineStr">
        <is>
          <t>Cursor / tender-response (batch)</t>
        </is>
      </c>
      <c r="Y216" t="inlineStr">
        <is>
          <t>Met</t>
        </is>
      </c>
      <c r="Z216" t="inlineStr">
        <is>
          <t>Verified</t>
        </is>
      </c>
      <c r="AA216" t="inlineStr">
        <is>
          <t>Verify: Dokumentation af API — vurderet opfyldt (tool: 1. Fully met).</t>
        </is>
      </c>
      <c r="AB216" t="inlineStr"/>
      <c r="AC216" t="inlineStr">
        <is>
          <t>docs/tender-reference/extracted/KK Tender tool.txt; docs/tender-reference/extracted/KUM-SLKS/Bilag 3 - Kravspecifikation.txt; docs/tender-reference/extracted/Nationalbanken/Bilag 3.i Leverandørens Løsningsbeskrivelse.txt</t>
        </is>
      </c>
      <c r="AD216" t="inlineStr">
        <is>
          <t>Anton: Confirm verify-tekst; opdatér review status efter tjek.</t>
        </is>
      </c>
      <c r="AE216" t="inlineStr"/>
      <c r="AF216" t="inlineStr">
        <is>
          <t>Draft</t>
        </is>
      </c>
      <c r="AG216" t="inlineStr">
        <is>
          <t>uim-esdh-full-2026-07-07</t>
        </is>
      </c>
    </row>
    <row r="217" ht="64" customHeight="1">
      <c r="A217" s="35" t="n">
        <v>216</v>
      </c>
      <c r="B217" s="35" t="inlineStr">
        <is>
          <t>MK-186</t>
        </is>
      </c>
      <c r="C217" s="35" t="inlineStr">
        <is>
          <t>Bilag 1.b</t>
        </is>
      </c>
      <c r="D217" s="35" t="inlineStr">
        <is>
          <t>Backup &amp; restore</t>
        </is>
      </c>
      <c r="E217" s="35" t="inlineStr">
        <is>
          <t>Hypercare</t>
        </is>
      </c>
      <c r="F217" s="35" t="inlineStr">
        <is>
          <t>Leverandøren skal yde hypercare i forbindelse med Overtagelsesdagen for Løsningen. Hypercare skal bestå af et dedikeret supportteam, der står til rådighed i Arbejdstiden (kl. 08.00-16.00) til at håndtere og løse fejl af både funktionel og teknisk karakter.</t>
        </is>
      </c>
      <c r="G217" s="35" t="inlineStr">
        <is>
          <t>Mindstekrav</t>
        </is>
      </c>
      <c r="H217" s="35">
        <f>IF(G217="Evalueringskrav","Answer",(IF(G217="Krav","Check",(IF(G217="Mindstekrav","Verify","")))))</f>
        <v/>
      </c>
      <c r="I217" s="35" t="inlineStr">
        <is>
          <t>Ja</t>
        </is>
      </c>
      <c r="J217" s="35" t="n"/>
      <c r="K217" s="47" t="n"/>
      <c r="L217" s="35" t="inlineStr">
        <is>
          <t>Cristina</t>
        </is>
      </c>
      <c r="M217" s="35" t="n"/>
      <c r="N217" s="35" t="n"/>
      <c r="O217" s="35" t="inlineStr">
        <is>
          <t>1. Fully met</t>
        </is>
      </c>
      <c r="P217" s="35" t="inlineStr">
        <is>
          <t>Hypercare</t>
        </is>
      </c>
      <c r="Q217" s="35" t="n"/>
      <c r="R217" s="35" t="n"/>
      <c r="S217" s="35" t="n"/>
      <c r="T217" s="35" t="n"/>
      <c r="U217" s="35" t="inlineStr">
        <is>
          <t>Not Started</t>
        </is>
      </c>
      <c r="V217" s="37">
        <f>IF(U217="Not Started",0%,IF(U217="Started",50%,IF(U217="Ready for review",70%,IF(U217="Reviewed - Content",80%,IF(U217="Reviewed - Format",90%,IF(U217="Done",100%,""))))))</f>
        <v/>
      </c>
      <c r="W217" t="inlineStr">
        <is>
          <t>2026-07-07</t>
        </is>
      </c>
      <c r="X217" t="inlineStr">
        <is>
          <t>Cursor / tender-response (batch)</t>
        </is>
      </c>
      <c r="Y217" t="inlineStr">
        <is>
          <t>Met</t>
        </is>
      </c>
      <c r="Z217" t="inlineStr">
        <is>
          <t>Verified</t>
        </is>
      </c>
      <c r="AA217" t="inlineStr">
        <is>
          <t>Verify: Hypercare — vurderet opfyldt (tool: 1. Fully met).</t>
        </is>
      </c>
      <c r="AB217" t="inlineStr">
        <is>
          <t>Hypercare</t>
        </is>
      </c>
      <c r="AC217" t="inlineStr">
        <is>
          <t>docs/tender-reference/extracted/KK Tender tool.txt; docs/tender-reference/extracted/KUM-SLKS/Bilag 3 - Kravspecifikation.txt; docs/tender-reference/extracted/Nationalbanken/Bilag 3.i Leverandørens Løsningsbeskrivelse.txt</t>
        </is>
      </c>
      <c r="AD217" t="inlineStr">
        <is>
          <t>Cristina: Confirm verify-tekst; opdatér review status efter tjek.</t>
        </is>
      </c>
      <c r="AE217" t="inlineStr"/>
      <c r="AF217" t="inlineStr">
        <is>
          <t>Draft</t>
        </is>
      </c>
      <c r="AG217" t="inlineStr">
        <is>
          <t>uim-esdh-full-2026-07-07</t>
        </is>
      </c>
    </row>
    <row r="218" ht="32" customHeight="1">
      <c r="A218" s="35" t="n">
        <v>217</v>
      </c>
      <c r="B218" s="35" t="inlineStr">
        <is>
          <t>MK-187</t>
        </is>
      </c>
      <c r="C218" s="35" t="inlineStr">
        <is>
          <t>Bilag 1.b</t>
        </is>
      </c>
      <c r="D218" s="35" t="inlineStr">
        <is>
          <t>Backup &amp; restore</t>
        </is>
      </c>
      <c r="E218" s="35" t="inlineStr">
        <is>
          <t>Varighed af hypercare</t>
        </is>
      </c>
      <c r="F218" s="35" t="inlineStr">
        <is>
          <t>Leverandøren skal yde hypercare i en periode på 10 Arbejdsdage startende på Overtagelsesdagen for Løsningen.</t>
        </is>
      </c>
      <c r="G218" s="35" t="inlineStr">
        <is>
          <t>Mindstekrav</t>
        </is>
      </c>
      <c r="H218" s="35">
        <f>IF(G218="Evalueringskrav","Answer",(IF(G218="Krav","Check",(IF(G218="Mindstekrav","Verify","")))))</f>
        <v/>
      </c>
      <c r="I218" s="35" t="inlineStr">
        <is>
          <t>Ja</t>
        </is>
      </c>
      <c r="J218" s="35" t="n"/>
      <c r="K218" s="47" t="n"/>
      <c r="L218" s="35" t="inlineStr">
        <is>
          <t>Cristina</t>
        </is>
      </c>
      <c r="M218" s="35" t="n"/>
      <c r="N218" s="35" t="n"/>
      <c r="O218" s="35" t="inlineStr">
        <is>
          <t>1. Fully met</t>
        </is>
      </c>
      <c r="P218" s="35" t="inlineStr">
        <is>
          <t>Hypercare</t>
        </is>
      </c>
      <c r="Q218" s="35" t="n"/>
      <c r="R218" s="35" t="n"/>
      <c r="S218" s="35" t="n"/>
      <c r="T218" s="35" t="n"/>
      <c r="U218" s="35" t="inlineStr">
        <is>
          <t>Not Started</t>
        </is>
      </c>
      <c r="V218" s="37">
        <f>IF(U218="Not Started",0%,IF(U218="Started",50%,IF(U218="Ready for review",70%,IF(U218="Reviewed - Content",80%,IF(U218="Reviewed - Format",90%,IF(U218="Done",100%,""))))))</f>
        <v/>
      </c>
      <c r="W218" t="inlineStr">
        <is>
          <t>2026-07-07</t>
        </is>
      </c>
      <c r="X218" t="inlineStr">
        <is>
          <t>Cursor / tender-response (batch)</t>
        </is>
      </c>
      <c r="Y218" t="inlineStr">
        <is>
          <t>Met</t>
        </is>
      </c>
      <c r="Z218" t="inlineStr">
        <is>
          <t>Verified</t>
        </is>
      </c>
      <c r="AA218" t="inlineStr">
        <is>
          <t>Verify: Varighed af hypercare — vurderet opfyldt (tool: 1. Fully met).</t>
        </is>
      </c>
      <c r="AB218" t="inlineStr">
        <is>
          <t>Hypercare</t>
        </is>
      </c>
      <c r="AC218" t="inlineStr">
        <is>
          <t>docs/tender-reference/extracted/KUM-SLKS/Bilag 1 - Tidsplan.txt; docs/tender-reference/extracted/KK Tender tool.txt; docs/tender-reference/extracted/Nationalbanken/Bilag 6.i Implementeringsplan (Leverandørens løsningsbeskrivelse.txt</t>
        </is>
      </c>
      <c r="AD218" t="inlineStr">
        <is>
          <t>Cristina: Confirm verify-tekst; opdatér review status efter tjek.</t>
        </is>
      </c>
      <c r="AE218" t="inlineStr"/>
      <c r="AF218" t="inlineStr">
        <is>
          <t>Draft</t>
        </is>
      </c>
      <c r="AG218" t="inlineStr">
        <is>
          <t>uim-esdh-full-2026-07-07</t>
        </is>
      </c>
    </row>
    <row r="219" ht="64" customHeight="1">
      <c r="A219" s="35" t="n">
        <v>218</v>
      </c>
      <c r="B219" s="35" t="inlineStr">
        <is>
          <t>MK-188</t>
        </is>
      </c>
      <c r="C219" s="35" t="inlineStr">
        <is>
          <t>Bilag 1.b</t>
        </is>
      </c>
      <c r="D219" s="35" t="inlineStr">
        <is>
          <t>Backup &amp; restore</t>
        </is>
      </c>
      <c r="E219" s="35" t="inlineStr">
        <is>
          <t>Forlængelse af hypercare</t>
        </is>
      </c>
      <c r="F219" s="35" t="inlineStr">
        <is>
          <t>Leverandøren skal forlænge hypercare-perioden, hvis der ved udløb af de 5 Dage fortsat er uafsluttede kritiske og alvorlige incidents, jf. Bilag 1.h - Servicemål. Hypercare-perioden skal opretholdes, indtil disse fejl er udbedret og godkendt af Kunden.</t>
        </is>
      </c>
      <c r="G219" s="35" t="inlineStr">
        <is>
          <t>Mindstekrav</t>
        </is>
      </c>
      <c r="H219" s="35">
        <f>IF(G219="Evalueringskrav","Answer",(IF(G219="Krav","Check",(IF(G219="Mindstekrav","Verify","")))))</f>
        <v/>
      </c>
      <c r="I219" s="35" t="inlineStr">
        <is>
          <t>Ja</t>
        </is>
      </c>
      <c r="J219" s="35" t="n"/>
      <c r="K219" s="47" t="n"/>
      <c r="L219" s="35" t="inlineStr">
        <is>
          <t>Cristina</t>
        </is>
      </c>
      <c r="M219" s="35" t="n"/>
      <c r="N219" s="35" t="n"/>
      <c r="O219" s="35" t="inlineStr">
        <is>
          <t>1. Fully met</t>
        </is>
      </c>
      <c r="P219" s="35" t="inlineStr">
        <is>
          <t>Hypercare</t>
        </is>
      </c>
      <c r="Q219" s="35" t="n"/>
      <c r="R219" s="35" t="n"/>
      <c r="S219" s="35" t="n"/>
      <c r="T219" s="35" t="n"/>
      <c r="U219" s="35" t="inlineStr">
        <is>
          <t>Not Started</t>
        </is>
      </c>
      <c r="V219" s="37">
        <f>IF(U219="Not Started",0%,IF(U219="Started",50%,IF(U219="Ready for review",70%,IF(U219="Reviewed - Content",80%,IF(U219="Reviewed - Format",90%,IF(U219="Done",100%,""))))))</f>
        <v/>
      </c>
      <c r="W219" t="inlineStr">
        <is>
          <t>2026-07-07</t>
        </is>
      </c>
      <c r="X219" t="inlineStr">
        <is>
          <t>Cursor / tender-response (batch)</t>
        </is>
      </c>
      <c r="Y219" t="inlineStr">
        <is>
          <t>Met</t>
        </is>
      </c>
      <c r="Z219" t="inlineStr">
        <is>
          <t>Verified</t>
        </is>
      </c>
      <c r="AA219" t="inlineStr">
        <is>
          <t>Verify: Forlængelse af hypercare — vurderet opfyldt (tool: 1. Fully met).</t>
        </is>
      </c>
      <c r="AB219" t="inlineStr">
        <is>
          <t>Hypercare</t>
        </is>
      </c>
      <c r="AC219" t="inlineStr">
        <is>
          <t>docs/tender-reference/extracted/KK Tender tool.txt; docs/tender-reference/extracted/Nationalbanken/Bilag 3.i Leverandørens Løsningsbeskrivelse.txt; docs/tender-reference/extracted/KUM-SLKS/Bilag 1 - Tidsplan.txt</t>
        </is>
      </c>
      <c r="AD219" t="inlineStr">
        <is>
          <t>Cristina: Confirm verify-tekst; opdatér review status efter tjek.</t>
        </is>
      </c>
      <c r="AE219" t="inlineStr"/>
      <c r="AF219" t="inlineStr">
        <is>
          <t>Draft</t>
        </is>
      </c>
      <c r="AG219" t="inlineStr">
        <is>
          <t>uim-esdh-full-2026-07-07</t>
        </is>
      </c>
    </row>
    <row r="220" ht="64" customHeight="1">
      <c r="A220" s="35" t="n">
        <v>219</v>
      </c>
      <c r="B220" s="35" t="inlineStr">
        <is>
          <t>MK-189</t>
        </is>
      </c>
      <c r="C220" s="35" t="inlineStr">
        <is>
          <t>Bilag 1.b</t>
        </is>
      </c>
      <c r="D220" s="35" t="inlineStr">
        <is>
          <t>Backup &amp; restore</t>
        </is>
      </c>
      <c r="E220" s="35" t="inlineStr">
        <is>
          <t>Afslutning af hypercare</t>
        </is>
      </c>
      <c r="F220" s="35" t="inlineStr">
        <is>
          <t>Ved afslutningen af hypercare-perioden skal Leverandøren udarbejde en rapport, der beskriver status og håndtering af samtlige registrerede fejl. Rapporten skal senest overleveres til Kunden ved afslutning af hypercare.</t>
        </is>
      </c>
      <c r="G220" s="35" t="inlineStr">
        <is>
          <t>Mindstekrav</t>
        </is>
      </c>
      <c r="H220" s="35">
        <f>IF(G220="Evalueringskrav","Answer",(IF(G220="Krav","Check",(IF(G220="Mindstekrav","Verify","")))))</f>
        <v/>
      </c>
      <c r="I220" s="35" t="inlineStr">
        <is>
          <t>Ja</t>
        </is>
      </c>
      <c r="J220" s="35" t="n"/>
      <c r="K220" s="47" t="n"/>
      <c r="L220" s="35" t="n"/>
      <c r="M220" s="35" t="n"/>
      <c r="N220" s="35" t="n"/>
      <c r="O220" s="35" t="n"/>
      <c r="P220" s="35" t="inlineStr">
        <is>
          <t>ADN: Kravet er selvmodsigende. Tilføjet i QA fanen. Det kan ikke tidsmæssigt lade sig gøre først at starte når den er overstået, og aflevere inden den er afsluttet.</t>
        </is>
      </c>
      <c r="Q220" s="35" t="n"/>
      <c r="R220" s="35" t="n"/>
      <c r="S220" s="35" t="n"/>
      <c r="T220" s="35" t="n"/>
      <c r="U220" s="35" t="inlineStr">
        <is>
          <t>Not Started</t>
        </is>
      </c>
      <c r="V220" s="37">
        <f>IF(U220="Not Started",0%,IF(U220="Started",50%,IF(U220="Ready for review",70%,IF(U220="Reviewed - Content",80%,IF(U220="Reviewed - Format",90%,IF(U220="Done",100%,""))))))</f>
        <v/>
      </c>
      <c r="W220" t="inlineStr">
        <is>
          <t>2026-07-07</t>
        </is>
      </c>
      <c r="X220" t="inlineStr">
        <is>
          <t>Cursor / tender-response (batch)</t>
        </is>
      </c>
      <c r="Y220" t="inlineStr">
        <is>
          <t>Clarify</t>
        </is>
      </c>
      <c r="Z220" t="inlineStr">
        <is>
          <t>Verified</t>
        </is>
      </c>
      <c r="AA220" t="inlineStr">
        <is>
          <t>Verify: Afslutning af hypercare — kræver produkt-/team-afklaring (ingen tool-rating).</t>
        </is>
      </c>
      <c r="AB220" t="inlineStr">
        <is>
          <t>ADN: Kravet er selvmodsigende. Tilføjet i QA fanen. Det kan ikke tidsmæssigt lade sig gøre først at starte når den er overstået, og aflevere inden den er afsluttet.</t>
        </is>
      </c>
      <c r="AC220" t="inlineStr">
        <is>
          <t>docs/tender-reference/extracted/KK Tender tool.txt; docs/tender-reference/extracted/KUM-SLKS/Bilag 1 - Tidsplan.txt; docs/tender-reference/extracted/Nationalbanken/Bilag 3.i Leverandørens Løsningsbeskrivelse.txt</t>
        </is>
      </c>
      <c r="AD220" t="inlineStr">
        <is>
          <t>Owner: Udfyld tool-rating (O) og evidens; gennemgå AI-kladde.</t>
        </is>
      </c>
      <c r="AE220" t="inlineStr"/>
      <c r="AF220" t="inlineStr">
        <is>
          <t>Draft</t>
        </is>
      </c>
      <c r="AG220" t="inlineStr">
        <is>
          <t>uim-esdh-full-2026-07-07</t>
        </is>
      </c>
    </row>
    <row r="221" ht="48" customHeight="1">
      <c r="A221" s="35" t="n">
        <v>220</v>
      </c>
      <c r="B221" s="35" t="inlineStr">
        <is>
          <t>MK-190</t>
        </is>
      </c>
      <c r="C221" s="35" t="inlineStr">
        <is>
          <t>Bilag 1.b</t>
        </is>
      </c>
      <c r="D221" s="35" t="inlineStr">
        <is>
          <t>Backup &amp; restore</t>
        </is>
      </c>
      <c r="E221" s="35" t="inlineStr">
        <is>
          <t>Møder og statusrapportering</t>
        </is>
      </c>
      <c r="F221" s="35" t="inlineStr">
        <is>
          <t>I hypercare-perioden skal Leverandøren og Kunden afholde daglige statusmøder vedrørende overtagelse af Løsningen og eventuelle fejl, der er meldt ind.</t>
        </is>
      </c>
      <c r="G221" s="35" t="inlineStr">
        <is>
          <t>Mindstekrav</t>
        </is>
      </c>
      <c r="H221" s="35">
        <f>IF(G221="Evalueringskrav","Answer",(IF(G221="Krav","Check",(IF(G221="Mindstekrav","Verify","")))))</f>
        <v/>
      </c>
      <c r="I221" s="35" t="inlineStr">
        <is>
          <t>Ja</t>
        </is>
      </c>
      <c r="J221" s="35" t="n"/>
      <c r="K221" s="47" t="n"/>
      <c r="L221" s="35" t="inlineStr">
        <is>
          <t>Cristina</t>
        </is>
      </c>
      <c r="M221" s="35" t="n"/>
      <c r="N221" s="35" t="n"/>
      <c r="O221" s="35" t="inlineStr">
        <is>
          <t>1. Fully met</t>
        </is>
      </c>
      <c r="P221" s="35" t="inlineStr">
        <is>
          <t>Hypercare</t>
        </is>
      </c>
      <c r="Q221" s="35" t="n"/>
      <c r="R221" s="35" t="n"/>
      <c r="S221" s="35" t="n"/>
      <c r="T221" s="35" t="n"/>
      <c r="U221" s="35" t="inlineStr">
        <is>
          <t>Not Started</t>
        </is>
      </c>
      <c r="V221" s="37">
        <f>IF(U221="Not Started",0%,IF(U221="Started",50%,IF(U221="Ready for review",70%,IF(U221="Reviewed - Content",80%,IF(U221="Reviewed - Format",90%,IF(U221="Done",100%,""))))))</f>
        <v/>
      </c>
      <c r="W221" t="inlineStr">
        <is>
          <t>2026-07-07</t>
        </is>
      </c>
      <c r="X221" t="inlineStr">
        <is>
          <t>Cursor / tender-response (batch)</t>
        </is>
      </c>
      <c r="Y221" t="inlineStr">
        <is>
          <t>Met</t>
        </is>
      </c>
      <c r="Z221" t="inlineStr">
        <is>
          <t>Verified</t>
        </is>
      </c>
      <c r="AA221" t="inlineStr">
        <is>
          <t>Verify: Møder og statusrapportering — vurderet opfyldt (tool: 1. Fully met).</t>
        </is>
      </c>
      <c r="AB221" t="inlineStr">
        <is>
          <t>Hypercare</t>
        </is>
      </c>
      <c r="AC221" t="inlineStr">
        <is>
          <t>docs/tender-reference/extracted/KK Tender tool.txt; docs/tender-reference/extracted/Nationalbanken/Bilag 1.i Leverandørens Løsningsbeskrivelse.txt; docs/tender-reference/extracted/KUM-SLKS/Bilag 1 - Tidsplan.txt</t>
        </is>
      </c>
      <c r="AD221" t="inlineStr">
        <is>
          <t>Cristina: Confirm verify-tekst; opdatér review status efter tjek.</t>
        </is>
      </c>
      <c r="AE221" t="inlineStr"/>
      <c r="AF221" t="inlineStr">
        <is>
          <t>Draft</t>
        </is>
      </c>
      <c r="AG221" t="inlineStr">
        <is>
          <t>uim-esdh-full-2026-07-07</t>
        </is>
      </c>
    </row>
    <row r="222" ht="48" customHeight="1">
      <c r="A222" s="35" t="n">
        <v>221</v>
      </c>
      <c r="B222" s="35" t="inlineStr">
        <is>
          <t>MK-1</t>
        </is>
      </c>
      <c r="C222" s="35" t="inlineStr">
        <is>
          <t>Bilag 1.e</t>
        </is>
      </c>
      <c r="D222" s="35" t="inlineStr">
        <is>
          <t>Lov, cyber- og it-sikkerhed</t>
        </is>
      </c>
      <c r="E222" s="35" t="inlineStr">
        <is>
          <t>GDPR og den danske beskyttelseslov</t>
        </is>
      </c>
      <c r="F222" s="35" t="inlineStr">
        <is>
          <t>Leverandøren skal sikre, at ESDH-løsningen understøtter Kundens forpligtelser i medfør af Databeskyttelseslovgivningen.</t>
        </is>
      </c>
      <c r="G222" s="35" t="inlineStr">
        <is>
          <t>Mindstekrav</t>
        </is>
      </c>
      <c r="H222" s="35">
        <f>IF(G222="Evalueringskrav","Answer",(IF(G222="Krav","Check",(IF(G222="Mindstekrav","Verify","")))))</f>
        <v/>
      </c>
      <c r="I222" s="35" t="inlineStr">
        <is>
          <t>Ja</t>
        </is>
      </c>
      <c r="J222" s="35" t="n"/>
      <c r="K222" s="47" t="n"/>
      <c r="L222" s="35" t="n"/>
      <c r="M222" s="35" t="n"/>
      <c r="N222" s="35" t="n"/>
      <c r="O222" s="35" t="n"/>
      <c r="P222" s="35" t="n"/>
      <c r="Q222" s="35" t="n"/>
      <c r="R222" s="35" t="n"/>
      <c r="S222" s="35" t="n"/>
      <c r="T222" s="35" t="n"/>
      <c r="U222" s="35" t="inlineStr">
        <is>
          <t>Not Started</t>
        </is>
      </c>
      <c r="V222" s="37">
        <f>IF(U222="Not Started",0%,IF(U222="Started",50%,IF(U222="Ready for review",70%,IF(U222="Reviewed - Content",80%,IF(U222="Reviewed - Format",90%,IF(U222="Done",100%,""))))))</f>
        <v/>
      </c>
      <c r="W222" t="inlineStr">
        <is>
          <t>2026-07-07</t>
        </is>
      </c>
      <c r="X222" t="inlineStr">
        <is>
          <t>Cursor / tender-response (batch)</t>
        </is>
      </c>
      <c r="Y222" t="inlineStr">
        <is>
          <t>Clarify</t>
        </is>
      </c>
      <c r="Z222" t="inlineStr">
        <is>
          <t>Verified</t>
        </is>
      </c>
      <c r="AA222" t="inlineStr">
        <is>
          <t>Verify: GDPR og den danske beskyttelseslov — kræver produkt-/team-afklaring (ingen tool-rating).</t>
        </is>
      </c>
      <c r="AB222" t="inlineStr"/>
      <c r="AC222" t="inlineStr">
        <is>
          <t>docs/tender-reference/extracted/KK Tender tool.txt; docs/tender-reference/extracted/Nationalbanken/Bilag 3.i Leverandørens Løsningsbeskrivelse.txt; docs/product/RFP_Leverandørens_svar_utdrag.txt</t>
        </is>
      </c>
      <c r="AD222" t="inlineStr">
        <is>
          <t>Owner: Udfyld tool-rating (O) og evidens; gennemgå AI-kladde.</t>
        </is>
      </c>
      <c r="AE222" t="inlineStr"/>
      <c r="AF222" t="inlineStr">
        <is>
          <t>Draft</t>
        </is>
      </c>
      <c r="AG222" t="inlineStr">
        <is>
          <t>uim-esdh-full-2026-07-07</t>
        </is>
      </c>
    </row>
    <row r="223" ht="32" customHeight="1">
      <c r="A223" s="35" t="n">
        <v>222</v>
      </c>
      <c r="B223" s="35" t="inlineStr">
        <is>
          <t>MK-2</t>
        </is>
      </c>
      <c r="C223" s="35" t="inlineStr">
        <is>
          <t>Bilag 1.e</t>
        </is>
      </c>
      <c r="D223" s="35" t="inlineStr">
        <is>
          <t>Lov, cyber- og it-sikkerhed</t>
        </is>
      </c>
      <c r="E223" s="35" t="inlineStr">
        <is>
          <t>Offentlighedsloven</t>
        </is>
      </c>
      <c r="F223" s="35" t="inlineStr">
        <is>
          <t>Leverandøren skal sikre, at ESDH-løsningen understøtter Kundens forpligtelser i medfør af Offentlighedsloven.</t>
        </is>
      </c>
      <c r="G223" s="35" t="inlineStr">
        <is>
          <t>Mindstekrav</t>
        </is>
      </c>
      <c r="H223" s="35">
        <f>IF(G223="Evalueringskrav","Answer",(IF(G223="Krav","Check",(IF(G223="Mindstekrav","Verify","")))))</f>
        <v/>
      </c>
      <c r="I223" s="35" t="inlineStr">
        <is>
          <t>Ja</t>
        </is>
      </c>
      <c r="J223" s="35" t="n"/>
      <c r="K223" s="47" t="n"/>
      <c r="L223" s="35" t="n"/>
      <c r="M223" s="35" t="n"/>
      <c r="N223" s="35" t="n"/>
      <c r="O223" s="35" t="n"/>
      <c r="P223" s="35" t="n"/>
      <c r="Q223" s="35" t="n"/>
      <c r="R223" s="35" t="n"/>
      <c r="S223" s="35" t="n"/>
      <c r="T223" s="35" t="n"/>
      <c r="U223" s="35" t="inlineStr">
        <is>
          <t>Not Started</t>
        </is>
      </c>
      <c r="V223" s="37">
        <f>IF(U223="Not Started",0%,IF(U223="Started",50%,IF(U223="Ready for review",70%,IF(U223="Reviewed - Content",80%,IF(U223="Reviewed - Format",90%,IF(U223="Done",100%,""))))))</f>
        <v/>
      </c>
      <c r="W223" t="inlineStr">
        <is>
          <t>2026-07-07</t>
        </is>
      </c>
      <c r="X223" t="inlineStr">
        <is>
          <t>Cursor / tender-response (batch)</t>
        </is>
      </c>
      <c r="Y223" t="inlineStr">
        <is>
          <t>Clarify</t>
        </is>
      </c>
      <c r="Z223" t="inlineStr">
        <is>
          <t>Verified</t>
        </is>
      </c>
      <c r="AA223" t="inlineStr">
        <is>
          <t>Verify: Offentlighedsloven — kræver produkt-/team-afklaring (ingen tool-rating).</t>
        </is>
      </c>
      <c r="AB223" t="inlineStr"/>
      <c r="AC223" t="inlineStr">
        <is>
          <t>docs/tender-reference/extracted/KK Tender tool.txt; docs/tender-reference/extracted/Nationalbanken/Bilag 3.i Leverandørens Løsningsbeskrivelse.txt; docs/product/RFP_Leverandørens_svar_utdrag.txt</t>
        </is>
      </c>
      <c r="AD223" t="inlineStr">
        <is>
          <t>Owner: Udfyld tool-rating (O) og evidens; gennemgå AI-kladde.</t>
        </is>
      </c>
      <c r="AE223" t="inlineStr"/>
      <c r="AF223" t="inlineStr">
        <is>
          <t>Draft</t>
        </is>
      </c>
      <c r="AG223" t="inlineStr">
        <is>
          <t>uim-esdh-full-2026-07-07</t>
        </is>
      </c>
    </row>
    <row r="224" ht="32" customHeight="1">
      <c r="A224" s="35" t="n">
        <v>223</v>
      </c>
      <c r="B224" s="35" t="inlineStr">
        <is>
          <t>MK-3</t>
        </is>
      </c>
      <c r="C224" s="35" t="inlineStr">
        <is>
          <t>Bilag 1.e</t>
        </is>
      </c>
      <c r="D224" s="35" t="inlineStr">
        <is>
          <t>Lov, cyber- og it-sikkerhed</t>
        </is>
      </c>
      <c r="E224" s="35" t="inlineStr">
        <is>
          <t>Forvaltningsloven</t>
        </is>
      </c>
      <c r="F224" s="35" t="inlineStr">
        <is>
          <t>Leverandøren skal sikre, at ESDH-løsningen understøtter Kundens forpligtelser i medfør af Forvaltningsloven.</t>
        </is>
      </c>
      <c r="G224" s="35" t="inlineStr">
        <is>
          <t>Mindstekrav</t>
        </is>
      </c>
      <c r="H224" s="35">
        <f>IF(G224="Evalueringskrav","Answer",(IF(G224="Krav","Check",(IF(G224="Mindstekrav","Verify","")))))</f>
        <v/>
      </c>
      <c r="I224" s="35" t="inlineStr">
        <is>
          <t>Ja</t>
        </is>
      </c>
      <c r="J224" s="35" t="n"/>
      <c r="K224" s="47" t="n"/>
      <c r="L224" s="35" t="n"/>
      <c r="M224" s="35" t="n"/>
      <c r="N224" s="35" t="n"/>
      <c r="O224" s="35" t="n"/>
      <c r="P224" s="35" t="n"/>
      <c r="Q224" s="35" t="n"/>
      <c r="R224" s="35" t="n"/>
      <c r="S224" s="35" t="n"/>
      <c r="T224" s="35" t="n"/>
      <c r="U224" s="35" t="inlineStr">
        <is>
          <t>Not Started</t>
        </is>
      </c>
      <c r="V224" s="37">
        <f>IF(U224="Not Started",0%,IF(U224="Started",50%,IF(U224="Ready for review",70%,IF(U224="Reviewed - Content",80%,IF(U224="Reviewed - Format",90%,IF(U224="Done",100%,""))))))</f>
        <v/>
      </c>
      <c r="W224" t="inlineStr">
        <is>
          <t>2026-07-07</t>
        </is>
      </c>
      <c r="X224" t="inlineStr">
        <is>
          <t>Cursor / tender-response (batch)</t>
        </is>
      </c>
      <c r="Y224" t="inlineStr">
        <is>
          <t>Clarify</t>
        </is>
      </c>
      <c r="Z224" t="inlineStr">
        <is>
          <t>Verified</t>
        </is>
      </c>
      <c r="AA224" t="inlineStr">
        <is>
          <t>Verify: Forvaltningsloven — kræver produkt-/team-afklaring (ingen tool-rating).</t>
        </is>
      </c>
      <c r="AB224" t="inlineStr"/>
      <c r="AC224" t="inlineStr">
        <is>
          <t>docs/tender-reference/extracted/KK Tender tool.txt; docs/tender-reference/extracted/Nationalbanken/Bilag 3.i Leverandørens Løsningsbeskrivelse.txt; docs/product/RFP_Leverandørens_svar_utdrag.txt</t>
        </is>
      </c>
      <c r="AD224" t="inlineStr">
        <is>
          <t>Owner: Udfyld tool-rating (O) og evidens; gennemgå AI-kladde.</t>
        </is>
      </c>
      <c r="AE224" t="inlineStr"/>
      <c r="AF224" t="inlineStr">
        <is>
          <t>Draft</t>
        </is>
      </c>
      <c r="AG224" t="inlineStr">
        <is>
          <t>uim-esdh-full-2026-07-07</t>
        </is>
      </c>
    </row>
    <row r="225" ht="32" customHeight="1">
      <c r="A225" s="35" t="n">
        <v>224</v>
      </c>
      <c r="B225" s="35" t="inlineStr">
        <is>
          <t>MK-4</t>
        </is>
      </c>
      <c r="C225" s="35" t="inlineStr">
        <is>
          <t>Bilag 1.e</t>
        </is>
      </c>
      <c r="D225" s="35" t="inlineStr">
        <is>
          <t>Lov, cyber- og it-sikkerhed</t>
        </is>
      </c>
      <c r="E225" s="35" t="inlineStr">
        <is>
          <t>Arkivloven</t>
        </is>
      </c>
      <c r="F225" s="35" t="inlineStr">
        <is>
          <t>Leverandøren skal sikre, at ESDH-løsningen understøtter Kundens forpligtelser i medfør af Arkivloven.</t>
        </is>
      </c>
      <c r="G225" s="35" t="inlineStr">
        <is>
          <t>Mindstekrav</t>
        </is>
      </c>
      <c r="H225" s="35">
        <f>IF(G225="Evalueringskrav","Answer",(IF(G225="Krav","Check",(IF(G225="Mindstekrav","Verify","")))))</f>
        <v/>
      </c>
      <c r="I225" s="35" t="inlineStr">
        <is>
          <t>Ja</t>
        </is>
      </c>
      <c r="J225" s="35" t="n"/>
      <c r="K225" s="47" t="n"/>
      <c r="L225" s="35" t="n"/>
      <c r="M225" s="35" t="n"/>
      <c r="N225" s="35" t="n"/>
      <c r="O225" s="35" t="n"/>
      <c r="P225" s="35" t="n"/>
      <c r="Q225" s="35" t="n"/>
      <c r="R225" s="35" t="n"/>
      <c r="S225" s="35" t="n"/>
      <c r="T225" s="35" t="n"/>
      <c r="U225" s="35" t="inlineStr">
        <is>
          <t>Not Started</t>
        </is>
      </c>
      <c r="V225" s="37">
        <f>IF(U225="Not Started",0%,IF(U225="Started",50%,IF(U225="Ready for review",70%,IF(U225="Reviewed - Content",80%,IF(U225="Reviewed - Format",90%,IF(U225="Done",100%,""))))))</f>
        <v/>
      </c>
      <c r="W225" t="inlineStr">
        <is>
          <t>2026-07-07</t>
        </is>
      </c>
      <c r="X225" t="inlineStr">
        <is>
          <t>Cursor / tender-response (batch)</t>
        </is>
      </c>
      <c r="Y225" t="inlineStr">
        <is>
          <t>Clarify</t>
        </is>
      </c>
      <c r="Z225" t="inlineStr">
        <is>
          <t>Verified</t>
        </is>
      </c>
      <c r="AA225" t="inlineStr">
        <is>
          <t>Verify: Arkivloven — kræver produkt-/team-afklaring (ingen tool-rating).</t>
        </is>
      </c>
      <c r="AB225" t="inlineStr"/>
      <c r="AC225" t="inlineStr">
        <is>
          <t>docs/product/RFP_Leverandørens_svar_utdrag.txt; docs/tender-reference/extracted/HSØ/02.00-Tietoevry-SSA-L-Bilag 2-Leverandørens beskrivelse av Tjenesten.txt; docs/tender-reference/extracted/KK Tender tool.txt</t>
        </is>
      </c>
      <c r="AD225" t="inlineStr">
        <is>
          <t>Owner: Udfyld tool-rating (O) og evidens; gennemgå AI-kladde.</t>
        </is>
      </c>
      <c r="AE225" t="inlineStr"/>
      <c r="AF225" t="inlineStr">
        <is>
          <t>Draft</t>
        </is>
      </c>
      <c r="AG225" t="inlineStr">
        <is>
          <t>uim-esdh-full-2026-07-07</t>
        </is>
      </c>
    </row>
    <row r="226" ht="32" customHeight="1">
      <c r="A226" s="35" t="n">
        <v>225</v>
      </c>
      <c r="B226" s="35" t="inlineStr">
        <is>
          <t>MK-5</t>
        </is>
      </c>
      <c r="C226" s="35" t="inlineStr">
        <is>
          <t>Bilag 1.e</t>
        </is>
      </c>
      <c r="D226" s="35" t="inlineStr">
        <is>
          <t>Lov, cyber- og it-sikkerhed</t>
        </is>
      </c>
      <c r="E226" s="35" t="inlineStr">
        <is>
          <t>NIS2</t>
        </is>
      </c>
      <c r="F226" s="35" t="inlineStr">
        <is>
          <t>Leverandøren skal sikre, at ESDH-løsningen, herunder drift, support og udvikling, understøtter Kundens forpligtelser i medfør af NIS2-direktivet.</t>
        </is>
      </c>
      <c r="G226" s="35" t="inlineStr">
        <is>
          <t>Mindstekrav</t>
        </is>
      </c>
      <c r="H226" s="35">
        <f>IF(G226="Evalueringskrav","Answer",(IF(G226="Krav","Check",(IF(G226="Mindstekrav","Verify","")))))</f>
        <v/>
      </c>
      <c r="I226" s="35" t="inlineStr">
        <is>
          <t>Ja</t>
        </is>
      </c>
      <c r="J226" s="35" t="n"/>
      <c r="K226" s="47" t="n"/>
      <c r="L226" s="35" t="n"/>
      <c r="M226" s="35" t="n"/>
      <c r="N226" s="35" t="n"/>
      <c r="O226" s="35" t="n"/>
      <c r="P226" s="35" t="n"/>
      <c r="Q226" s="35" t="n"/>
      <c r="R226" s="35" t="n"/>
      <c r="S226" s="35" t="n"/>
      <c r="T226" s="35" t="n"/>
      <c r="U226" s="35" t="inlineStr">
        <is>
          <t>Not Started</t>
        </is>
      </c>
      <c r="V226" s="37">
        <f>IF(U226="Not Started",0%,IF(U226="Started",50%,IF(U226="Ready for review",70%,IF(U226="Reviewed - Content",80%,IF(U226="Reviewed - Format",90%,IF(U226="Done",100%,""))))))</f>
        <v/>
      </c>
      <c r="W226" t="inlineStr">
        <is>
          <t>2026-07-07</t>
        </is>
      </c>
      <c r="X226" t="inlineStr">
        <is>
          <t>Cursor / tender-response (batch)</t>
        </is>
      </c>
      <c r="Y226" t="inlineStr">
        <is>
          <t>Clarify</t>
        </is>
      </c>
      <c r="Z226" t="inlineStr">
        <is>
          <t>Verified</t>
        </is>
      </c>
      <c r="AA226" t="inlineStr">
        <is>
          <t>Verify: NIS2 — kræver produkt-/team-afklaring (ingen tool-rating).</t>
        </is>
      </c>
      <c r="AB226" t="inlineStr"/>
      <c r="AC226" t="inlineStr">
        <is>
          <t>docs/tender-reference/extracted/KK Tender tool.txt; docs/tender-reference/extracted/Nationalbanken/Bilag 3.i Leverandørens Løsningsbeskrivelse.txt; docs/product/RFP_Leverandørens_svar_utdrag.txt</t>
        </is>
      </c>
      <c r="AD226" t="inlineStr">
        <is>
          <t>Owner: Udfyld tool-rating (O) og evidens; gennemgå AI-kladde.</t>
        </is>
      </c>
      <c r="AE226" t="inlineStr"/>
      <c r="AF226" t="inlineStr">
        <is>
          <t>Draft</t>
        </is>
      </c>
      <c r="AG226" t="inlineStr">
        <is>
          <t>uim-esdh-full-2026-07-07</t>
        </is>
      </c>
    </row>
    <row r="227" ht="48" customHeight="1">
      <c r="A227" s="35" t="n">
        <v>226</v>
      </c>
      <c r="B227" s="35" t="inlineStr">
        <is>
          <t>MK-6</t>
        </is>
      </c>
      <c r="C227" s="35" t="inlineStr">
        <is>
          <t>Bilag 1.e</t>
        </is>
      </c>
      <c r="D227" s="35" t="inlineStr">
        <is>
          <t>Lov, cyber- og it-sikkerhed</t>
        </is>
      </c>
      <c r="E227" s="35" t="inlineStr">
        <is>
          <t>Statens tekniske minimumskrav</t>
        </is>
      </c>
      <c r="F227" s="35" t="inlineStr">
        <is>
          <t>Leverandøren skal sikre, at EDSH-løsningen opfylder de tekniske minimumskrav til it-sikkerhed for statslige Myndigheder, hvor disse har implikation for ESDH-løsningen.</t>
        </is>
      </c>
      <c r="G227" s="35" t="inlineStr">
        <is>
          <t>Mindstekrav</t>
        </is>
      </c>
      <c r="H227" s="35">
        <f>IF(G227="Evalueringskrav","Answer",(IF(G227="Krav","Check",(IF(G227="Mindstekrav","Verify","")))))</f>
        <v/>
      </c>
      <c r="I227" s="35" t="inlineStr">
        <is>
          <t>Ja</t>
        </is>
      </c>
      <c r="J227" s="35" t="n"/>
      <c r="K227" s="47" t="n"/>
      <c r="L227" s="35" t="n"/>
      <c r="M227" s="35" t="n"/>
      <c r="N227" s="35" t="n"/>
      <c r="O227" s="35" t="n"/>
      <c r="P227" s="35" t="n"/>
      <c r="Q227" s="35" t="n"/>
      <c r="R227" s="35" t="n"/>
      <c r="S227" s="35" t="n"/>
      <c r="T227" s="35" t="n"/>
      <c r="U227" s="35" t="inlineStr">
        <is>
          <t>Not Started</t>
        </is>
      </c>
      <c r="V227" s="37">
        <f>IF(U227="Not Started",0%,IF(U227="Started",50%,IF(U227="Ready for review",70%,IF(U227="Reviewed - Content",80%,IF(U227="Reviewed - Format",90%,IF(U227="Done",100%,""))))))</f>
        <v/>
      </c>
      <c r="W227" t="inlineStr">
        <is>
          <t>2026-07-07</t>
        </is>
      </c>
      <c r="X227" t="inlineStr">
        <is>
          <t>Cursor / tender-response (batch)</t>
        </is>
      </c>
      <c r="Y227" t="inlineStr">
        <is>
          <t>Clarify</t>
        </is>
      </c>
      <c r="Z227" t="inlineStr">
        <is>
          <t>Verified</t>
        </is>
      </c>
      <c r="AA227" t="inlineStr">
        <is>
          <t>Verify: Statens tekniske minimumskrav — kræver produkt-/team-afklaring (ingen tool-rating).</t>
        </is>
      </c>
      <c r="AB227" t="inlineStr"/>
      <c r="AC227" t="inlineStr">
        <is>
          <t>docs/tender-reference/extracted/KK Tender tool.txt; docs/tender-reference/extracted/KUM-SLKS/Bilag 1 - Tidsplan.txt; docs/tender-reference/extracted/KUM-SLKS/Bilag 10 - Producentens standardvilkår.txt</t>
        </is>
      </c>
      <c r="AD227" t="inlineStr">
        <is>
          <t>Owner: Udfyld tool-rating (O) og evidens; gennemgå AI-kladde.</t>
        </is>
      </c>
      <c r="AE227" t="inlineStr"/>
      <c r="AF227" t="inlineStr">
        <is>
          <t>Draft</t>
        </is>
      </c>
      <c r="AG227" t="inlineStr">
        <is>
          <t>uim-esdh-full-2026-07-07</t>
        </is>
      </c>
    </row>
    <row r="228" ht="160" customHeight="1">
      <c r="A228" s="35" t="n">
        <v>227</v>
      </c>
      <c r="B228" s="35" t="inlineStr">
        <is>
          <t>K-1</t>
        </is>
      </c>
      <c r="C228" s="35" t="inlineStr">
        <is>
          <t>Bilag 1.e</t>
        </is>
      </c>
      <c r="D228" s="35" t="inlineStr">
        <is>
          <t>Lov, cyber- og it-sikkerhed</t>
        </is>
      </c>
      <c r="E228" s="35" t="inlineStr">
        <is>
          <t>ISO/IEC 27001:2022 og ISO/IEC 27002:2022 overholdelse</t>
        </is>
      </c>
      <c r="F228" s="35" t="inlineStr">
        <is>
          <t>Leverandøren skal være certificeret ISO/IEC 27001:2022 og ISO/IEC 27002:2022 eller senere relevante versioner. 
Dette inkluderer men er ikke begrænset til at Leverandøren skal efterleve kravene i ISO 27001:2022, Anneks A.:
punkt 5.31 vedrørende Juridiske, lovmæssige, regulatoriske og kontraktlige krav, 
samt punkt 5.34 vedrørende Privatlivsbeskyttelse og beskyttelse af personoplysninger
samt løbende revidere og ajourføre it-sikkerheden i forhold til den til enhver tid gældende version af ISO27001 og ISO27002.</t>
        </is>
      </c>
      <c r="G228" s="35" t="inlineStr">
        <is>
          <t>Krav</t>
        </is>
      </c>
      <c r="H228" s="35">
        <f>IF(G228="Evalueringskrav","Answer",(IF(G228="Krav","Check",(IF(G228="Mindstekrav","Verify","")))))</f>
        <v/>
      </c>
      <c r="I228" s="35" t="inlineStr">
        <is>
          <t>Ja</t>
        </is>
      </c>
      <c r="J228" s="35" t="n"/>
      <c r="K228" s="47" t="n"/>
      <c r="L228" s="35" t="n"/>
      <c r="M228" s="35" t="n"/>
      <c r="N228" s="35" t="n"/>
      <c r="O228" s="35" t="n"/>
      <c r="P228" s="35" t="n"/>
      <c r="Q228" s="35" t="n"/>
      <c r="R228" s="35" t="n"/>
      <c r="S228" s="35" t="n"/>
      <c r="T228" s="35" t="n"/>
      <c r="U228" s="35" t="inlineStr">
        <is>
          <t>Not Started</t>
        </is>
      </c>
      <c r="V228" s="37">
        <f>IF(U228="Not Started",0%,IF(U228="Started",50%,IF(U228="Ready for review",70%,IF(U228="Reviewed - Content",80%,IF(U228="Reviewed - Format",90%,IF(U228="Done",100%,""))))))</f>
        <v/>
      </c>
      <c r="W228" t="inlineStr">
        <is>
          <t>2026-07-07</t>
        </is>
      </c>
      <c r="X228" t="inlineStr">
        <is>
          <t>Cursor / tender-response (batch)</t>
        </is>
      </c>
      <c r="Y228" t="inlineStr">
        <is>
          <t>Clarify</t>
        </is>
      </c>
      <c r="Z228" t="inlineStr">
        <is>
          <t>Verified</t>
        </is>
      </c>
      <c r="AA228" t="inlineStr">
        <is>
          <t>Check: ISO/IEC 27001:2022 og ISO/IEC 27002:2022 overholdelse — kræver produkt-/team-afklaring (ingen tool-rating).</t>
        </is>
      </c>
      <c r="AB228" t="inlineStr"/>
      <c r="AC228" t="inlineStr">
        <is>
          <t>docs/tender-reference/extracted/Nationalbanken/Bilag 3.i Leverandørens Løsningsbeskrivelse.txt; docs/tender-reference/extracted/KK Tender tool.txt; docs/tender-reference/extracted/Nationalbanken/Bilag 9.i Leverandørens løsningsbeskrivelse.txt</t>
        </is>
      </c>
      <c r="AD228" t="inlineStr">
        <is>
          <t>Owner: Udfyld tool-rating (O) og evidens; gennemgå AI-kladde.</t>
        </is>
      </c>
      <c r="AE228" t="inlineStr"/>
      <c r="AF228" t="inlineStr">
        <is>
          <t>Draft</t>
        </is>
      </c>
      <c r="AG228" t="inlineStr">
        <is>
          <t>uim-esdh-full-2026-07-07</t>
        </is>
      </c>
    </row>
    <row r="229" ht="64" customHeight="1">
      <c r="A229" s="35" t="n">
        <v>228</v>
      </c>
      <c r="B229" s="35" t="inlineStr">
        <is>
          <t>K-2</t>
        </is>
      </c>
      <c r="C229" s="35" t="inlineStr">
        <is>
          <t>Bilag 1.e</t>
        </is>
      </c>
      <c r="D229" s="35" t="inlineStr">
        <is>
          <t>Lov, cyber- og it-sikkerhed</t>
        </is>
      </c>
      <c r="E229" s="35" t="inlineStr">
        <is>
          <t>SAMSIK</t>
        </is>
      </c>
      <c r="F229" s="35" t="inlineStr">
        <is>
          <t>Leverandøren skal sikre, at ESDH-løsningen understøtter Kundens forpligtelser i medfør af SAMSIK’s Center for Cybersikkerhed anbefalinger omkring logning – en del af et godt cyberforsvar jf. Cybersikkerhed – Vejledninger, trusselsvurderinger og NIS 2.</t>
        </is>
      </c>
      <c r="G229" s="35" t="inlineStr">
        <is>
          <t>Krav</t>
        </is>
      </c>
      <c r="H229" s="35">
        <f>IF(G229="Evalueringskrav","Answer",(IF(G229="Krav","Check",(IF(G229="Mindstekrav","Verify","")))))</f>
        <v/>
      </c>
      <c r="I229" s="35" t="inlineStr">
        <is>
          <t>Ja</t>
        </is>
      </c>
      <c r="J229" s="35" t="n"/>
      <c r="K229" s="47" t="n"/>
      <c r="L229" s="35" t="n"/>
      <c r="M229" s="35" t="n"/>
      <c r="N229" s="35" t="n"/>
      <c r="O229" s="35" t="n"/>
      <c r="P229" s="35" t="n"/>
      <c r="Q229" s="35" t="n"/>
      <c r="R229" s="35" t="n"/>
      <c r="S229" s="35" t="n"/>
      <c r="T229" s="35" t="n"/>
      <c r="U229" s="35" t="inlineStr">
        <is>
          <t>Not Started</t>
        </is>
      </c>
      <c r="V229" s="37">
        <f>IF(U229="Not Started",0%,IF(U229="Started",50%,IF(U229="Ready for review",70%,IF(U229="Reviewed - Content",80%,IF(U229="Reviewed - Format",90%,IF(U229="Done",100%,""))))))</f>
        <v/>
      </c>
      <c r="W229" t="inlineStr">
        <is>
          <t>2026-07-07</t>
        </is>
      </c>
      <c r="X229" t="inlineStr">
        <is>
          <t>Cursor / tender-response (batch)</t>
        </is>
      </c>
      <c r="Y229" t="inlineStr">
        <is>
          <t>Clarify</t>
        </is>
      </c>
      <c r="Z229" t="inlineStr">
        <is>
          <t>Verified</t>
        </is>
      </c>
      <c r="AA229" t="inlineStr">
        <is>
          <t>Check: SAMSIK — kræver produkt-/team-afklaring (ingen tool-rating).</t>
        </is>
      </c>
      <c r="AB229" t="inlineStr"/>
      <c r="AC229" t="inlineStr">
        <is>
          <t>docs/tender-reference/extracted/Nationalbanken/Bilag 3.i Leverandørens Løsningsbeskrivelse.txt; docs/tender-reference/extracted/KK Tender tool.txt; docs/tender-reference/extracted/HSØ/02.00-Tietoevry-SSA-L-Bilag 2-Leverandørens beskrivelse av Tjenesten.txt</t>
        </is>
      </c>
      <c r="AD229" t="inlineStr">
        <is>
          <t>Owner: Udfyld tool-rating (O) og evidens; gennemgå AI-kladde.</t>
        </is>
      </c>
      <c r="AE229" t="inlineStr"/>
      <c r="AF229" t="inlineStr">
        <is>
          <t>Draft</t>
        </is>
      </c>
      <c r="AG229" t="inlineStr">
        <is>
          <t>uim-esdh-full-2026-07-07</t>
        </is>
      </c>
    </row>
    <row r="230" ht="96" customHeight="1">
      <c r="A230" s="35" t="n">
        <v>229</v>
      </c>
      <c r="B230" s="35" t="inlineStr">
        <is>
          <t>K-3</t>
        </is>
      </c>
      <c r="C230" s="35" t="inlineStr">
        <is>
          <t>Bilag 1.e</t>
        </is>
      </c>
      <c r="D230" s="35" t="inlineStr">
        <is>
          <t>Lov, cyber- og it-sikkerhed</t>
        </is>
      </c>
      <c r="E230" s="35" t="inlineStr">
        <is>
          <t>Understøttelse af brugeraudit for Statens IT</t>
        </is>
      </c>
      <c r="F230" s="35" t="inlineStr">
        <is>
          <t>Leverandøren skal i samarbejde med driftsleverandøren understøtte, at Kunden kan gennemføre regelmæssig brugeraudit af samtlige brugerroller og rettigheder i Løsningen, gennem generering af strukturerede dataudtræk over Brugere, tildelte roller, rettigheder og seneste login/aktivitet, herunder understøttelse af selve gennemførelsen samt fuld dokumentation af auditresultatet.</t>
        </is>
      </c>
      <c r="G230" s="35" t="inlineStr">
        <is>
          <t>Krav</t>
        </is>
      </c>
      <c r="H230" s="35">
        <f>IF(G230="Evalueringskrav","Answer",(IF(G230="Krav","Check",(IF(G230="Mindstekrav","Verify","")))))</f>
        <v/>
      </c>
      <c r="I230" s="35" t="inlineStr">
        <is>
          <t>Ja</t>
        </is>
      </c>
      <c r="J230" s="35" t="n"/>
      <c r="K230" s="47" t="n"/>
      <c r="L230" s="35" t="n"/>
      <c r="M230" s="35" t="n"/>
      <c r="N230" s="35" t="n"/>
      <c r="O230" s="35" t="n"/>
      <c r="P230" s="35" t="n"/>
      <c r="Q230" s="35" t="n"/>
      <c r="R230" s="35" t="n"/>
      <c r="S230" s="35" t="n"/>
      <c r="T230" s="35" t="n"/>
      <c r="U230" s="35" t="inlineStr">
        <is>
          <t>Not Started</t>
        </is>
      </c>
      <c r="V230" s="37">
        <f>IF(U230="Not Started",0%,IF(U230="Started",50%,IF(U230="Ready for review",70%,IF(U230="Reviewed - Content",80%,IF(U230="Reviewed - Format",90%,IF(U230="Done",100%,""))))))</f>
        <v/>
      </c>
      <c r="W230" t="inlineStr">
        <is>
          <t>2026-07-07</t>
        </is>
      </c>
      <c r="X230" t="inlineStr">
        <is>
          <t>Cursor / tender-response (batch)</t>
        </is>
      </c>
      <c r="Y230" t="inlineStr">
        <is>
          <t>Clarify</t>
        </is>
      </c>
      <c r="Z230" t="inlineStr">
        <is>
          <t>Verified</t>
        </is>
      </c>
      <c r="AA230" t="inlineStr">
        <is>
          <t>Check: Understøttelse af brugeraudit for Statens IT — kræver produkt-/team-afklaring (ingen tool-rating).</t>
        </is>
      </c>
      <c r="AB230" t="inlineStr"/>
      <c r="AC230" t="inlineStr">
        <is>
          <t>docs/tender-reference/extracted/Nationalbanken/Bilag 3.i Leverandørens Løsningsbeskrivelse.txt; docs/tender-reference/extracted/KK Tender tool.txt; docs/tender-reference/extracted/KUM-SLKS/Bilag 3 - Kravspecifikation.txt</t>
        </is>
      </c>
      <c r="AD230" t="inlineStr">
        <is>
          <t>Owner: Udfyld tool-rating (O) og evidens; gennemgå AI-kladde.</t>
        </is>
      </c>
      <c r="AE230" t="inlineStr"/>
      <c r="AF230" t="inlineStr">
        <is>
          <t>Draft</t>
        </is>
      </c>
      <c r="AG230" t="inlineStr">
        <is>
          <t>uim-esdh-full-2026-07-07</t>
        </is>
      </c>
    </row>
    <row r="231" ht="288" customHeight="1">
      <c r="A231" s="35" t="n">
        <v>230</v>
      </c>
      <c r="B231" s="35" t="inlineStr">
        <is>
          <t>K-4</t>
        </is>
      </c>
      <c r="C231" s="35" t="inlineStr">
        <is>
          <t>Bilag 1.e</t>
        </is>
      </c>
      <c r="D231" s="35" t="inlineStr">
        <is>
          <t>Risikovurdering</t>
        </is>
      </c>
      <c r="E231" s="35" t="inlineStr">
        <is>
          <t>Risikovurdering</t>
        </is>
      </c>
      <c r="F231" s="35" t="inlineStr">
        <is>
          <t>Leverandørens risikostyring af informationssikkerheden skal baseres på en dokumenteret og regelmæssigt opdateret risikovurdering. 
I relation til Leverandørens risikovurdering gælder det, at
Risikovurderingen skal omfatte de dele af Leverandørens virksomhed, som kan have konsekvenser for informationssikkerheden i ESDH-løsningen og Leveringskontraktens Ydelser i øvrigt. 
Leverandøren skal som minimum opdatere sin risikovurdering én gang årligt samt i forbindelse med forestående ændringer af Leverandørens egne organisatoriske forhold, forestående ændringer af en eventuel Underleverandørs forhold eller forestående ændringer af Løsningen. 
Leverandøren skal orientere Kunden om ændringer i ESDH-løsningen eller Ydelser med henblik på, at Kunden kan foretage fornyede risikovurderinger, herunder i forhold til Kundens tredjepartssystemer, der integrerer med ESDH-løsningen og eventuelt iværksætte ny(e) eller ændrede foranstaltninger på baggrund heraf. 
Leverandøren skal på Kundens anfordring dokumentere sin risikovurdering.</t>
        </is>
      </c>
      <c r="G231" s="35" t="inlineStr">
        <is>
          <t>Krav</t>
        </is>
      </c>
      <c r="H231" s="35">
        <f>IF(G231="Evalueringskrav","Answer",(IF(G231="Krav","Check",(IF(G231="Mindstekrav","Verify","")))))</f>
        <v/>
      </c>
      <c r="I231" s="35" t="inlineStr">
        <is>
          <t>Ja</t>
        </is>
      </c>
      <c r="J231" s="35" t="n"/>
      <c r="K231" s="47" t="n"/>
      <c r="L231" s="35" t="n"/>
      <c r="M231" s="35" t="n"/>
      <c r="N231" s="35" t="n"/>
      <c r="O231" s="35" t="n"/>
      <c r="P231" s="35" t="n"/>
      <c r="Q231" s="35" t="n"/>
      <c r="R231" s="35" t="n"/>
      <c r="S231" s="35" t="n"/>
      <c r="T231" s="35" t="n"/>
      <c r="U231" s="35" t="inlineStr">
        <is>
          <t>Not Started</t>
        </is>
      </c>
      <c r="V231" s="37">
        <f>IF(U231="Not Started",0%,IF(U231="Started",50%,IF(U231="Ready for review",70%,IF(U231="Reviewed - Content",80%,IF(U231="Reviewed - Format",90%,IF(U231="Done",100%,""))))))</f>
        <v/>
      </c>
      <c r="W231" t="inlineStr">
        <is>
          <t>2026-07-07</t>
        </is>
      </c>
      <c r="X231" t="inlineStr">
        <is>
          <t>Cursor / tender-response (batch)</t>
        </is>
      </c>
      <c r="Y231" t="inlineStr">
        <is>
          <t>Clarify</t>
        </is>
      </c>
      <c r="Z231" t="inlineStr">
        <is>
          <t>Verified</t>
        </is>
      </c>
      <c r="AA231" t="inlineStr">
        <is>
          <t>Check: Risikovurdering — kræver produkt-/team-afklaring (ingen tool-rating).</t>
        </is>
      </c>
      <c r="AB231" t="inlineStr"/>
      <c r="AC231" t="inlineStr">
        <is>
          <t>docs/tender-reference/extracted/Nationalbanken/Bilag 3.i Leverandørens Løsningsbeskrivelse.txt; docs/tender-reference/extracted/KK Tender tool.txt; docs/tender-reference/extracted/KUM-SLKS/Bilag 1 - Tidsplan.txt</t>
        </is>
      </c>
      <c r="AD231" t="inlineStr">
        <is>
          <t>Owner: Udfyld tool-rating (O) og evidens; gennemgå AI-kladde.</t>
        </is>
      </c>
      <c r="AE231" t="inlineStr"/>
      <c r="AF231" t="inlineStr">
        <is>
          <t>Draft</t>
        </is>
      </c>
      <c r="AG231" t="inlineStr">
        <is>
          <t>uim-esdh-full-2026-07-07</t>
        </is>
      </c>
    </row>
    <row r="232" ht="64" customHeight="1">
      <c r="A232" s="35" t="n">
        <v>231</v>
      </c>
      <c r="B232" s="35" t="inlineStr">
        <is>
          <t>K-5</t>
        </is>
      </c>
      <c r="C232" s="35" t="inlineStr">
        <is>
          <t>Bilag 1.e</t>
        </is>
      </c>
      <c r="D232" s="35" t="inlineStr">
        <is>
          <t>Risikovurdering</t>
        </is>
      </c>
      <c r="E232" s="35" t="inlineStr">
        <is>
          <t>It-sikkerhed (ISO27001 certificering eller tilsvarende)</t>
        </is>
      </c>
      <c r="F232" s="35" t="inlineStr">
        <is>
          <t>Leverandøren skal være certificeret efter ISO/IEC 27001 og årligt kunne fremvise en uvildig revisionserklæring (f.eks. ISAE 3000) vedrørende it-sikkerhed og databeskyttelse.</t>
        </is>
      </c>
      <c r="G232" s="35" t="inlineStr">
        <is>
          <t>Krav</t>
        </is>
      </c>
      <c r="H232" s="35">
        <f>IF(G232="Evalueringskrav","Answer",(IF(G232="Krav","Check",(IF(G232="Mindstekrav","Verify","")))))</f>
        <v/>
      </c>
      <c r="I232" s="35" t="inlineStr">
        <is>
          <t>Ja</t>
        </is>
      </c>
      <c r="J232" s="35" t="n"/>
      <c r="K232" s="47" t="n"/>
      <c r="L232" s="35" t="n"/>
      <c r="M232" s="35" t="n"/>
      <c r="N232" s="35" t="n"/>
      <c r="O232" s="35" t="n"/>
      <c r="P232" s="35" t="n"/>
      <c r="Q232" s="35" t="n"/>
      <c r="R232" s="35" t="n"/>
      <c r="S232" s="35" t="n"/>
      <c r="T232" s="35" t="n"/>
      <c r="U232" s="35" t="inlineStr">
        <is>
          <t>Not Started</t>
        </is>
      </c>
      <c r="V232" s="37">
        <f>IF(U232="Not Started",0%,IF(U232="Started",50%,IF(U232="Ready for review",70%,IF(U232="Reviewed - Content",80%,IF(U232="Reviewed - Format",90%,IF(U232="Done",100%,""))))))</f>
        <v/>
      </c>
      <c r="W232" t="inlineStr">
        <is>
          <t>2026-07-07</t>
        </is>
      </c>
      <c r="X232" t="inlineStr">
        <is>
          <t>Cursor / tender-response (batch)</t>
        </is>
      </c>
      <c r="Y232" t="inlineStr">
        <is>
          <t>Clarify</t>
        </is>
      </c>
      <c r="Z232" t="inlineStr">
        <is>
          <t>Verified</t>
        </is>
      </c>
      <c r="AA232" t="inlineStr">
        <is>
          <t>Check: It-sikkerhed (ISO27001 certificering eller tilsvarende) — kræver produkt-/team-afklaring (ingen tool-rating).</t>
        </is>
      </c>
      <c r="AB232" t="inlineStr"/>
      <c r="AC232" t="inlineStr">
        <is>
          <t>docs/tender-reference/extracted/HSØ/02.00-Tietoevry-SSA-L-Bilag 2-Leverandørens beskrivelse av Tjenesten.txt; docs/tender-reference/extracted/Nationalbanken/Bilag 9.1 Spørgeskema til brug for Kundens risikovurdering af it- og informationssikkerhed.txt; docs/tender-reference/extracted/KK Tender tool.txt</t>
        </is>
      </c>
      <c r="AD232" t="inlineStr">
        <is>
          <t>Owner: Udfyld tool-rating (O) og evidens; gennemgå AI-kladde.</t>
        </is>
      </c>
      <c r="AE232" t="inlineStr"/>
      <c r="AF232" t="inlineStr">
        <is>
          <t>Draft</t>
        </is>
      </c>
      <c r="AG232" t="inlineStr">
        <is>
          <t>uim-esdh-full-2026-07-07</t>
        </is>
      </c>
    </row>
    <row r="233" ht="96" customHeight="1">
      <c r="A233" s="35" t="n">
        <v>232</v>
      </c>
      <c r="B233" s="35" t="inlineStr">
        <is>
          <t>MK-7</t>
        </is>
      </c>
      <c r="C233" s="35" t="inlineStr">
        <is>
          <t>Bilag 1.e</t>
        </is>
      </c>
      <c r="D233" s="35" t="inlineStr">
        <is>
          <t>Leverandørens og ESDH-løsningens sikkerhed</t>
        </is>
      </c>
      <c r="E233" s="35" t="inlineStr">
        <is>
          <t>Leverandørens single point of contact</t>
        </is>
      </c>
      <c r="F233" s="35" t="inlineStr">
        <is>
          <t>Leverandøren skal oplyse en Single Point of Contact (SPOC) for Leverandørens sikkerhedsorganisation, som er i stand til at sikre en effektiv håndtering ved it-sikkerhedsbrud. Servicemålene for it-sikkerhedsbrud er uddybet i Bilag 1.h Servicemål. Ved aktivering af sikkerhedsberedskabet, skal Leverandøren kunne indgå i Kundens sikkerhedsorganisation.</t>
        </is>
      </c>
      <c r="G233" s="35" t="inlineStr">
        <is>
          <t>Mindstekrav</t>
        </is>
      </c>
      <c r="H233" s="35">
        <f>IF(G233="Evalueringskrav","Answer",(IF(G233="Krav","Check",(IF(G233="Mindstekrav","Verify","")))))</f>
        <v/>
      </c>
      <c r="I233" s="35" t="inlineStr">
        <is>
          <t>Ja</t>
        </is>
      </c>
      <c r="J233" s="35" t="n"/>
      <c r="K233" s="47" t="n"/>
      <c r="L233" s="35" t="n"/>
      <c r="M233" s="35" t="n"/>
      <c r="N233" s="35" t="n"/>
      <c r="O233" s="35" t="n"/>
      <c r="P233" s="35" t="n"/>
      <c r="Q233" s="35" t="n"/>
      <c r="R233" s="35" t="n"/>
      <c r="S233" s="35" t="n"/>
      <c r="T233" s="35" t="n"/>
      <c r="U233" s="35" t="inlineStr">
        <is>
          <t>Not Started</t>
        </is>
      </c>
      <c r="V233" s="37">
        <f>IF(U233="Not Started",0%,IF(U233="Started",50%,IF(U233="Ready for review",70%,IF(U233="Reviewed - Content",80%,IF(U233="Reviewed - Format",90%,IF(U233="Done",100%,""))))))</f>
        <v/>
      </c>
      <c r="W233" t="inlineStr">
        <is>
          <t>2026-07-07</t>
        </is>
      </c>
      <c r="X233" t="inlineStr">
        <is>
          <t>Cursor / tender-response (batch)</t>
        </is>
      </c>
      <c r="Y233" t="inlineStr">
        <is>
          <t>Clarify</t>
        </is>
      </c>
      <c r="Z233" t="inlineStr">
        <is>
          <t>Verified</t>
        </is>
      </c>
      <c r="AA233" t="inlineStr">
        <is>
          <t>Verify: Leverandørens single point of contact — kræver produkt-/team-afklaring (ingen tool-rating).</t>
        </is>
      </c>
      <c r="AB233" t="inlineStr"/>
      <c r="AC233" t="inlineStr">
        <is>
          <t>docs/tender-reference/extracted/KK Tender tool.txt; docs/tender-reference/extracted/Nationalbanken/Bilag 3.i Leverandørens Løsningsbeskrivelse.txt; docs/product/RFP_Leverandørens_svar_utdrag.txt</t>
        </is>
      </c>
      <c r="AD233" t="inlineStr">
        <is>
          <t>Owner: Udfyld tool-rating (O) og evidens; gennemgå AI-kladde.</t>
        </is>
      </c>
      <c r="AE233" t="inlineStr"/>
      <c r="AF233" t="inlineStr">
        <is>
          <t>Draft</t>
        </is>
      </c>
      <c r="AG233" t="inlineStr">
        <is>
          <t>uim-esdh-full-2026-07-07</t>
        </is>
      </c>
    </row>
    <row r="234" ht="112" customHeight="1">
      <c r="A234" s="35" t="n">
        <v>233</v>
      </c>
      <c r="B234" s="35" t="inlineStr">
        <is>
          <t>MK-8</t>
        </is>
      </c>
      <c r="C234" s="35" t="inlineStr">
        <is>
          <t>Bilag 1.e</t>
        </is>
      </c>
      <c r="D234" s="35" t="inlineStr">
        <is>
          <t>Leverandørens og ESDH-løsningens sikkerhed</t>
        </is>
      </c>
      <c r="E234" s="35" t="inlineStr">
        <is>
          <t>Informations-sikkerhed under driftsforstyrrelse</t>
        </is>
      </c>
      <c r="F234" s="35" t="inlineStr">
        <is>
          <t>Leverandøren skal efterleve kravene i ISO 27001, Anneks A, punkt 5.29
Organisationen skal planlægge, hvordan informationssikkerhed opretholdes på et passende niveau under driftsforstyrrelser. 
ESDH Leverandøren skal indgå i et samarbejde med Kunden og driftsleverandøren for at opnå dette.</t>
        </is>
      </c>
      <c r="G234" s="35" t="inlineStr">
        <is>
          <t>Mindstekrav</t>
        </is>
      </c>
      <c r="H234" s="35">
        <f>IF(G234="Evalueringskrav","Answer",(IF(G234="Krav","Check",(IF(G234="Mindstekrav","Verify","")))))</f>
        <v/>
      </c>
      <c r="I234" s="35" t="inlineStr">
        <is>
          <t>Ja</t>
        </is>
      </c>
      <c r="J234" s="35" t="n"/>
      <c r="K234" s="47" t="n"/>
      <c r="L234" s="35" t="n"/>
      <c r="M234" s="35" t="n"/>
      <c r="N234" s="35" t="n"/>
      <c r="O234" s="35" t="n"/>
      <c r="P234" s="35" t="n"/>
      <c r="Q234" s="35" t="n"/>
      <c r="R234" s="35" t="n"/>
      <c r="S234" s="35" t="n"/>
      <c r="T234" s="35" t="n"/>
      <c r="U234" s="35" t="inlineStr">
        <is>
          <t>Not Started</t>
        </is>
      </c>
      <c r="V234" s="37">
        <f>IF(U234="Not Started",0%,IF(U234="Started",50%,IF(U234="Ready for review",70%,IF(U234="Reviewed - Content",80%,IF(U234="Reviewed - Format",90%,IF(U234="Done",100%,""))))))</f>
        <v/>
      </c>
      <c r="W234" t="inlineStr">
        <is>
          <t>2026-07-07</t>
        </is>
      </c>
      <c r="X234" t="inlineStr">
        <is>
          <t>Cursor / tender-response (batch)</t>
        </is>
      </c>
      <c r="Y234" t="inlineStr">
        <is>
          <t>Clarify</t>
        </is>
      </c>
      <c r="Z234" t="inlineStr">
        <is>
          <t>Verified</t>
        </is>
      </c>
      <c r="AA234" t="inlineStr">
        <is>
          <t>Verify: Informations-sikkerhed under driftsforstyrrelse — kræver produkt-/team-afklaring (ingen tool-rating).</t>
        </is>
      </c>
      <c r="AB234" t="inlineStr"/>
      <c r="AC234" t="inlineStr">
        <is>
          <t>docs/tender-reference/extracted/Nationalbanken/Bilag 3.i Leverandørens Løsningsbeskrivelse.txt; docs/tender-reference/extracted/KK Tender tool.txt; docs/tender-reference/extracted/KUM-SLKS/Bilag 3 - Kravspecifikation.txt</t>
        </is>
      </c>
      <c r="AD234" t="inlineStr">
        <is>
          <t>Owner: Udfyld tool-rating (O) og evidens; gennemgå AI-kladde.</t>
        </is>
      </c>
      <c r="AE234" t="inlineStr"/>
      <c r="AF234" t="inlineStr">
        <is>
          <t>Draft</t>
        </is>
      </c>
      <c r="AG234" t="inlineStr">
        <is>
          <t>uim-esdh-full-2026-07-07</t>
        </is>
      </c>
    </row>
    <row r="235" ht="112" customHeight="1">
      <c r="A235" s="35" t="n">
        <v>234</v>
      </c>
      <c r="B235" s="35" t="inlineStr">
        <is>
          <t>MK-9</t>
        </is>
      </c>
      <c r="C235" s="35" t="inlineStr">
        <is>
          <t>Bilag 1.e</t>
        </is>
      </c>
      <c r="D235" s="35" t="inlineStr">
        <is>
          <t>Leverandørens og ESDH-løsningens sikkerhed</t>
        </is>
      </c>
      <c r="E235" s="35" t="inlineStr">
        <is>
          <t>IKT-parathed til understøttelse af business continuity</t>
        </is>
      </c>
      <c r="F235" s="35" t="inlineStr">
        <is>
          <t>Leverandøren skal efterleve kravene i ISO 27001, Anneks A, punkt 5.30.
IKT-parathed skal planlægges, implementeres. Vedligeholdes og testes på grundlag af mål for business continuity og IKT-kontinuitetskrav.
ESDH Leverandøren skal indgå i et samarbejde med Kunden og driftsleverandøren for at opnå dette.</t>
        </is>
      </c>
      <c r="G235" s="35" t="inlineStr">
        <is>
          <t>Mindstekrav</t>
        </is>
      </c>
      <c r="H235" s="35">
        <f>IF(G235="Evalueringskrav","Answer",(IF(G235="Krav","Check",(IF(G235="Mindstekrav","Verify","")))))</f>
        <v/>
      </c>
      <c r="I235" s="35" t="inlineStr">
        <is>
          <t>Ja</t>
        </is>
      </c>
      <c r="J235" s="35" t="n"/>
      <c r="K235" s="47" t="n"/>
      <c r="L235" s="35" t="n"/>
      <c r="M235" s="35" t="n"/>
      <c r="N235" s="35" t="n"/>
      <c r="O235" s="35" t="n"/>
      <c r="P235" s="35" t="n"/>
      <c r="Q235" s="35" t="n"/>
      <c r="R235" s="35" t="n"/>
      <c r="S235" s="35" t="n"/>
      <c r="T235" s="35" t="n"/>
      <c r="U235" s="35" t="inlineStr">
        <is>
          <t>Not Started</t>
        </is>
      </c>
      <c r="V235" s="37">
        <f>IF(U235="Not Started",0%,IF(U235="Started",50%,IF(U235="Ready for review",70%,IF(U235="Reviewed - Content",80%,IF(U235="Reviewed - Format",90%,IF(U235="Done",100%,""))))))</f>
        <v/>
      </c>
      <c r="W235" t="inlineStr">
        <is>
          <t>2026-07-07</t>
        </is>
      </c>
      <c r="X235" t="inlineStr">
        <is>
          <t>Cursor / tender-response (batch)</t>
        </is>
      </c>
      <c r="Y235" t="inlineStr">
        <is>
          <t>Clarify</t>
        </is>
      </c>
      <c r="Z235" t="inlineStr">
        <is>
          <t>Verified</t>
        </is>
      </c>
      <c r="AA235" t="inlineStr">
        <is>
          <t>Verify: IKT-parathed til understøttelse af business continuity — kræver produkt-/team-afklaring (ingen tool-rating).</t>
        </is>
      </c>
      <c r="AB235" t="inlineStr"/>
      <c r="AC235" t="inlineStr">
        <is>
          <t>docs/tender-reference/extracted/Nationalbanken/Bilag 3.i Leverandørens Løsningsbeskrivelse.txt; docs/tender-reference/extracted/KK Tender tool.txt; docs/tender-reference/extracted/KUM-SLKS/Bilag 3 - Kravspecifikation.txt</t>
        </is>
      </c>
      <c r="AD235" t="inlineStr">
        <is>
          <t>Owner: Udfyld tool-rating (O) og evidens; gennemgå AI-kladde.</t>
        </is>
      </c>
      <c r="AE235" t="inlineStr"/>
      <c r="AF235" t="inlineStr">
        <is>
          <t>Draft</t>
        </is>
      </c>
      <c r="AG235" t="inlineStr">
        <is>
          <t>uim-esdh-full-2026-07-07</t>
        </is>
      </c>
    </row>
    <row r="236" ht="96" customHeight="1">
      <c r="A236" s="35" t="n">
        <v>235</v>
      </c>
      <c r="B236" s="35" t="inlineStr">
        <is>
          <t>MK-10</t>
        </is>
      </c>
      <c r="C236" s="35" t="inlineStr">
        <is>
          <t>Bilag 1.e</t>
        </is>
      </c>
      <c r="D236" s="35" t="inlineStr">
        <is>
          <t>Leverandørens og ESDH-løsningens sikkerhed</t>
        </is>
      </c>
      <c r="E236" s="35" t="inlineStr">
        <is>
          <t>Sikkerheds-godkendelse og SIA pc</t>
        </is>
      </c>
      <c r="F236" s="35" t="inlineStr">
        <is>
          <t>Leverandøren skal sikre, at alt personale, der tildeles opgaver i relation til ESDH-løsningen (f.eks. ved udvikling, drift, support eller konsulentbistand), kan opnå og opretholde en gyldig personalsikkerhedsgodkendelse til niveau HEMMELIG.
Ved drift skal det gå gennem Statens IT leverandøradgang.  
adgang til UIM’s infrastruktur.</t>
        </is>
      </c>
      <c r="G236" s="35" t="inlineStr">
        <is>
          <t>Mindstekrav</t>
        </is>
      </c>
      <c r="H236" s="35">
        <f>IF(G236="Evalueringskrav","Answer",(IF(G236="Krav","Check",(IF(G236="Mindstekrav","Verify","")))))</f>
        <v/>
      </c>
      <c r="I236" s="35" t="inlineStr">
        <is>
          <t>Ja</t>
        </is>
      </c>
      <c r="J236" s="35" t="n"/>
      <c r="K236" s="47" t="n"/>
      <c r="L236" s="35" t="n"/>
      <c r="M236" s="35" t="n"/>
      <c r="N236" s="35" t="n"/>
      <c r="O236" s="35" t="n"/>
      <c r="P236" s="35" t="n"/>
      <c r="Q236" s="35" t="n"/>
      <c r="R236" s="35" t="n"/>
      <c r="S236" s="35" t="n"/>
      <c r="T236" s="35" t="n"/>
      <c r="U236" s="35" t="inlineStr">
        <is>
          <t>Not Started</t>
        </is>
      </c>
      <c r="V236" s="37">
        <f>IF(U236="Not Started",0%,IF(U236="Started",50%,IF(U236="Ready for review",70%,IF(U236="Reviewed - Content",80%,IF(U236="Reviewed - Format",90%,IF(U236="Done",100%,""))))))</f>
        <v/>
      </c>
      <c r="W236" t="inlineStr">
        <is>
          <t>2026-07-07</t>
        </is>
      </c>
      <c r="X236" t="inlineStr">
        <is>
          <t>Cursor / tender-response (batch)</t>
        </is>
      </c>
      <c r="Y236" t="inlineStr">
        <is>
          <t>Clarify</t>
        </is>
      </c>
      <c r="Z236" t="inlineStr">
        <is>
          <t>Verified</t>
        </is>
      </c>
      <c r="AA236" t="inlineStr">
        <is>
          <t>Verify: Sikkerheds-godkendelse og SIA pc — kræver produkt-/team-afklaring (ingen tool-rating).</t>
        </is>
      </c>
      <c r="AB236" t="inlineStr"/>
      <c r="AC236" t="inlineStr">
        <is>
          <t>docs/tender-reference/extracted/Nationalbanken/Bilag 3.i Leverandørens Løsningsbeskrivelse.txt; docs/tender-reference/extracted/KK Tender tool.txt; docs/tender-reference/extracted/KUM-SLKS/Bilag 3 - Kravspecifikation.txt</t>
        </is>
      </c>
      <c r="AD236" t="inlineStr">
        <is>
          <t>Owner: Udfyld tool-rating (O) og evidens; gennemgå AI-kladde.</t>
        </is>
      </c>
      <c r="AE236" t="inlineStr"/>
      <c r="AF236" t="inlineStr">
        <is>
          <t>Draft</t>
        </is>
      </c>
      <c r="AG236" t="inlineStr">
        <is>
          <t>uim-esdh-full-2026-07-07</t>
        </is>
      </c>
    </row>
    <row r="237" ht="80" customHeight="1">
      <c r="A237" s="35" t="n">
        <v>236</v>
      </c>
      <c r="B237" s="35" t="inlineStr">
        <is>
          <t>MK-11</t>
        </is>
      </c>
      <c r="C237" s="35" t="inlineStr">
        <is>
          <t>Bilag 1.e</t>
        </is>
      </c>
      <c r="D237" s="35" t="inlineStr">
        <is>
          <t>Leverandørens og ESDH-løsningens sikkerhed</t>
        </is>
      </c>
      <c r="E237" s="35" t="inlineStr">
        <is>
          <t>Databeskyttelse gennem design og standardindstillinger</t>
        </is>
      </c>
      <c r="F237" s="35" t="inlineStr">
        <is>
          <t>Leverandøren skal levere en Løsning, hvor databeskyttelse er indlejret i Løsningen og systemudviklingen, det vil sige at Løsningens måde at realisere de forretningsmæssige mål er designet i overensstemmelse med de grundlæggende principper i databeskyttelsesretten.</t>
        </is>
      </c>
      <c r="G237" s="35" t="inlineStr">
        <is>
          <t>Mindstekrav</t>
        </is>
      </c>
      <c r="H237" s="35">
        <f>IF(G237="Evalueringskrav","Answer",(IF(G237="Krav","Check",(IF(G237="Mindstekrav","Verify","")))))</f>
        <v/>
      </c>
      <c r="I237" s="35" t="inlineStr">
        <is>
          <t>Ja</t>
        </is>
      </c>
      <c r="J237" s="35" t="n"/>
      <c r="K237" s="47" t="n"/>
      <c r="L237" s="35" t="n"/>
      <c r="M237" s="35" t="n"/>
      <c r="N237" s="35" t="n"/>
      <c r="O237" s="35" t="n"/>
      <c r="P237" s="35" t="n"/>
      <c r="Q237" s="35" t="n"/>
      <c r="R237" s="35" t="n"/>
      <c r="S237" s="35" t="n"/>
      <c r="T237" s="35" t="n"/>
      <c r="U237" s="35" t="inlineStr">
        <is>
          <t>Not Started</t>
        </is>
      </c>
      <c r="V237" s="37">
        <f>IF(U237="Not Started",0%,IF(U237="Started",50%,IF(U237="Ready for review",70%,IF(U237="Reviewed - Content",80%,IF(U237="Reviewed - Format",90%,IF(U237="Done",100%,""))))))</f>
        <v/>
      </c>
      <c r="W237" t="inlineStr">
        <is>
          <t>2026-07-07</t>
        </is>
      </c>
      <c r="X237" t="inlineStr">
        <is>
          <t>Cursor / tender-response (batch)</t>
        </is>
      </c>
      <c r="Y237" t="inlineStr">
        <is>
          <t>Clarify</t>
        </is>
      </c>
      <c r="Z237" t="inlineStr">
        <is>
          <t>Verified</t>
        </is>
      </c>
      <c r="AA237" t="inlineStr">
        <is>
          <t>Verify: Databeskyttelse gennem design og standardindstillinger — kræver produkt-/team-afklaring (ingen tool-rating).</t>
        </is>
      </c>
      <c r="AB237" t="inlineStr"/>
      <c r="AC2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37" t="inlineStr">
        <is>
          <t>Owner: Udfyld tool-rating (O) og evidens; gennemgå AI-kladde.</t>
        </is>
      </c>
      <c r="AE237" t="inlineStr"/>
      <c r="AF237" t="inlineStr">
        <is>
          <t>Draft</t>
        </is>
      </c>
      <c r="AG237" t="inlineStr">
        <is>
          <t>uim-esdh-full-2026-07-07</t>
        </is>
      </c>
    </row>
    <row r="238" ht="64" customHeight="1">
      <c r="A238" s="35" t="n">
        <v>237</v>
      </c>
      <c r="B238" s="35" t="inlineStr">
        <is>
          <t>MK-12</t>
        </is>
      </c>
      <c r="C238" s="35" t="inlineStr">
        <is>
          <t>Bilag 1.e</t>
        </is>
      </c>
      <c r="D238" s="35" t="inlineStr">
        <is>
          <t>Leverandørens og ESDH-løsningens sikkerhed</t>
        </is>
      </c>
      <c r="E238" s="35" t="inlineStr">
        <is>
          <t>Virus og malware skanning</t>
        </is>
      </c>
      <c r="F238" s="35" t="inlineStr">
        <is>
          <t>ESDH-løsningen understøtter automatiseret virusscanning af alle Dokumenter ved upload, således at potentielt skadelige Filer identificeres og håndteres, før de gemmes eller gøres tilgængelige i Løsningen.</t>
        </is>
      </c>
      <c r="G238" s="35" t="inlineStr">
        <is>
          <t>Mindstekrav</t>
        </is>
      </c>
      <c r="H238" s="35">
        <f>IF(G238="Evalueringskrav","Answer",(IF(G238="Krav","Check",(IF(G238="Mindstekrav","Verify","")))))</f>
        <v/>
      </c>
      <c r="I238" s="35" t="inlineStr">
        <is>
          <t>Ja</t>
        </is>
      </c>
      <c r="J238" s="35" t="n"/>
      <c r="K238" s="47" t="n"/>
      <c r="L238" s="35" t="n"/>
      <c r="M238" s="35" t="n"/>
      <c r="N238" s="35" t="n"/>
      <c r="O238" s="35" t="n"/>
      <c r="P238" s="35" t="n"/>
      <c r="Q238" s="35" t="n"/>
      <c r="R238" s="35" t="n"/>
      <c r="S238" s="35" t="n"/>
      <c r="T238" s="35" t="n"/>
      <c r="U238" s="35" t="inlineStr">
        <is>
          <t>Not Started</t>
        </is>
      </c>
      <c r="V238" s="37">
        <f>IF(U238="Not Started",0%,IF(U238="Started",50%,IF(U238="Ready for review",70%,IF(U238="Reviewed - Content",80%,IF(U238="Reviewed - Format",90%,IF(U238="Done",100%,""))))))</f>
        <v/>
      </c>
      <c r="W238" t="inlineStr">
        <is>
          <t>2026-07-07</t>
        </is>
      </c>
      <c r="X238" t="inlineStr">
        <is>
          <t>Cursor / tender-response (batch)</t>
        </is>
      </c>
      <c r="Y238" t="inlineStr">
        <is>
          <t>Clarify</t>
        </is>
      </c>
      <c r="Z238" t="inlineStr">
        <is>
          <t>Verified</t>
        </is>
      </c>
      <c r="AA238" t="inlineStr">
        <is>
          <t>Verify: Virus og malware skanning — kræver produkt-/team-afklaring (ingen tool-rating).</t>
        </is>
      </c>
      <c r="AB238" t="inlineStr"/>
      <c r="AC238" t="inlineStr">
        <is>
          <t>docs/tender-reference/extracted/KK Tender tool.txt; docs/tender-reference/extracted/Nationalbanken/Bilag 3.i Leverandørens Løsningsbeskrivelse.txt; docs/tender-reference/extracted/KUM-SLKS/Bilag 3 - Kravspecifikation.txt</t>
        </is>
      </c>
      <c r="AD238" t="inlineStr">
        <is>
          <t>Owner: Udfyld tool-rating (O) og evidens; gennemgå AI-kladde.</t>
        </is>
      </c>
      <c r="AE238" t="inlineStr"/>
      <c r="AF238" t="inlineStr">
        <is>
          <t>Draft</t>
        </is>
      </c>
      <c r="AG238" t="inlineStr">
        <is>
          <t>uim-esdh-full-2026-07-07</t>
        </is>
      </c>
    </row>
    <row r="239" ht="80" customHeight="1">
      <c r="A239" s="35" t="n">
        <v>238</v>
      </c>
      <c r="B239" s="35" t="inlineStr">
        <is>
          <t>MK-13</t>
        </is>
      </c>
      <c r="C239" s="35" t="inlineStr">
        <is>
          <t>Bilag 1.e</t>
        </is>
      </c>
      <c r="D239" s="35" t="inlineStr">
        <is>
          <t>Leverandørens og ESDH-løsningens sikkerhed</t>
        </is>
      </c>
      <c r="E239" s="35" t="inlineStr">
        <is>
          <t>Patch Management</t>
        </is>
      </c>
      <c r="F239" s="35" t="inlineStr">
        <is>
          <t>Leverandøren skal have en dokumenteret patch management-proces, som sikrer, at nødvendige sikkerhedsopdateringer og fejlrettelser til ESDH-løsningen stilles til rådighed for Kunden rettidigt og i et dokumenteret format, således at Kunden eller dennes driftsleverandør kan implementere opdateringerne uden involvering fra Leverandøren.</t>
        </is>
      </c>
      <c r="G239" s="35" t="inlineStr">
        <is>
          <t>Mindstekrav</t>
        </is>
      </c>
      <c r="H239" s="35">
        <f>IF(G239="Evalueringskrav","Answer",(IF(G239="Krav","Check",(IF(G239="Mindstekrav","Verify","")))))</f>
        <v/>
      </c>
      <c r="I239" s="35" t="inlineStr">
        <is>
          <t>Ja</t>
        </is>
      </c>
      <c r="J239" s="35" t="n"/>
      <c r="K239" s="47" t="n"/>
      <c r="L239" s="35" t="n"/>
      <c r="M239" s="35" t="n"/>
      <c r="N239" s="35" t="n"/>
      <c r="O239" s="35" t="n"/>
      <c r="P239" s="35" t="n"/>
      <c r="Q239" s="35" t="n"/>
      <c r="R239" s="35" t="n"/>
      <c r="S239" s="35" t="n"/>
      <c r="T239" s="35" t="n"/>
      <c r="U239" s="35" t="inlineStr">
        <is>
          <t>Not Started</t>
        </is>
      </c>
      <c r="V239" s="37">
        <f>IF(U239="Not Started",0%,IF(U239="Started",50%,IF(U239="Ready for review",70%,IF(U239="Reviewed - Content",80%,IF(U239="Reviewed - Format",90%,IF(U239="Done",100%,""))))))</f>
        <v/>
      </c>
      <c r="W239" t="inlineStr">
        <is>
          <t>2026-07-07</t>
        </is>
      </c>
      <c r="X239" t="inlineStr">
        <is>
          <t>Cursor / tender-response (batch)</t>
        </is>
      </c>
      <c r="Y239" t="inlineStr">
        <is>
          <t>Clarify</t>
        </is>
      </c>
      <c r="Z239" t="inlineStr">
        <is>
          <t>Verified</t>
        </is>
      </c>
      <c r="AA239" t="inlineStr">
        <is>
          <t>Verify: Patch Management — kræver produkt-/team-afklaring (ingen tool-rating).</t>
        </is>
      </c>
      <c r="AB239" t="inlineStr"/>
      <c r="AC239"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39" t="inlineStr">
        <is>
          <t>Owner: Udfyld tool-rating (O) og evidens; gennemgå AI-kladde.</t>
        </is>
      </c>
      <c r="AE239" t="inlineStr"/>
      <c r="AF239" t="inlineStr">
        <is>
          <t>Draft</t>
        </is>
      </c>
      <c r="AG239" t="inlineStr">
        <is>
          <t>uim-esdh-full-2026-07-07</t>
        </is>
      </c>
    </row>
    <row r="240" ht="64" customHeight="1">
      <c r="A240" s="35" t="n">
        <v>239</v>
      </c>
      <c r="B240" s="35" t="inlineStr">
        <is>
          <t>MK-14</t>
        </is>
      </c>
      <c r="C240" s="35" t="inlineStr">
        <is>
          <t>Bilag 1.e</t>
        </is>
      </c>
      <c r="D240" s="35" t="inlineStr">
        <is>
          <t>Leverandørens og ESDH-løsningens sikkerhed</t>
        </is>
      </c>
      <c r="E240" s="35" t="inlineStr">
        <is>
          <t>Konstaterede sårbarheder</t>
        </is>
      </c>
      <c r="F240" s="35" t="inlineStr">
        <is>
          <t>Leverandøren skal uden unødigt ophold orientere Kunden, hvis der konstateres sårbarheder i Leverandørens egen kode eller i anvendte tredjepartskomponenter og underleverandørers kode.</t>
        </is>
      </c>
      <c r="G240" s="35" t="inlineStr">
        <is>
          <t>Mindstekrav</t>
        </is>
      </c>
      <c r="H240" s="35">
        <f>IF(G240="Evalueringskrav","Answer",(IF(G240="Krav","Check",(IF(G240="Mindstekrav","Verify","")))))</f>
        <v/>
      </c>
      <c r="I240" s="35" t="inlineStr">
        <is>
          <t>Ja</t>
        </is>
      </c>
      <c r="J240" s="35" t="n"/>
      <c r="K240" s="47" t="n"/>
      <c r="L240" s="35" t="n"/>
      <c r="M240" s="35" t="n"/>
      <c r="N240" s="35" t="n"/>
      <c r="O240" s="35" t="n"/>
      <c r="P240" s="35" t="n"/>
      <c r="Q240" s="35" t="n"/>
      <c r="R240" s="35" t="n"/>
      <c r="S240" s="35" t="n"/>
      <c r="T240" s="35" t="n"/>
      <c r="U240" s="35" t="inlineStr">
        <is>
          <t>Not Started</t>
        </is>
      </c>
      <c r="V240" s="37">
        <f>IF(U240="Not Started",0%,IF(U240="Started",50%,IF(U240="Ready for review",70%,IF(U240="Reviewed - Content",80%,IF(U240="Reviewed - Format",90%,IF(U240="Done",100%,""))))))</f>
        <v/>
      </c>
      <c r="W240" t="inlineStr">
        <is>
          <t>2026-07-07</t>
        </is>
      </c>
      <c r="X240" t="inlineStr">
        <is>
          <t>Cursor / tender-response (batch)</t>
        </is>
      </c>
      <c r="Y240" t="inlineStr">
        <is>
          <t>Clarify</t>
        </is>
      </c>
      <c r="Z240" t="inlineStr">
        <is>
          <t>Verified</t>
        </is>
      </c>
      <c r="AA240" t="inlineStr">
        <is>
          <t>Verify: Konstaterede sårbarheder — kræver produkt-/team-afklaring (ingen tool-rating).</t>
        </is>
      </c>
      <c r="AB240" t="inlineStr"/>
      <c r="AC240" t="inlineStr">
        <is>
          <t>docs/tender-reference/extracted/KK Tender tool.txt; docs/tender-reference/extracted/Nationalbanken/Underbilag 6B - Testplan og Leverandørens prøveprincipper, metoder og -værktøjer (1).txt; docs/tender-reference/extracted/KUM-SLKS/Bilag 3 - Kravspecifikation.txt</t>
        </is>
      </c>
      <c r="AD240" t="inlineStr">
        <is>
          <t>Owner: Udfyld tool-rating (O) og evidens; gennemgå AI-kladde.</t>
        </is>
      </c>
      <c r="AE240" t="inlineStr"/>
      <c r="AF240" t="inlineStr">
        <is>
          <t>Draft</t>
        </is>
      </c>
      <c r="AG240" t="inlineStr">
        <is>
          <t>uim-esdh-full-2026-07-07</t>
        </is>
      </c>
    </row>
    <row r="241" ht="64" customHeight="1">
      <c r="A241" s="35" t="n">
        <v>240</v>
      </c>
      <c r="B241" s="35" t="inlineStr">
        <is>
          <t>MK-15</t>
        </is>
      </c>
      <c r="C241" s="35" t="inlineStr">
        <is>
          <t>Bilag 1.e</t>
        </is>
      </c>
      <c r="D241" s="35" t="inlineStr">
        <is>
          <t>Leverandørens og ESDH-løsningens sikkerhed</t>
        </is>
      </c>
      <c r="E241" s="35" t="inlineStr">
        <is>
          <t>Release Management</t>
        </is>
      </c>
      <c r="F241" s="35" t="inlineStr">
        <is>
          <t>ESDH-leverandøren skal sikre, at driftsleverandøren og Kunden, i samarbejde, er i stand til at sikre, at nye versioner af ESDH-løsningen kan idriftsættes.</t>
        </is>
      </c>
      <c r="G241" s="35" t="inlineStr">
        <is>
          <t>Mindstekrav</t>
        </is>
      </c>
      <c r="H241" s="35">
        <f>IF(G241="Evalueringskrav","Answer",(IF(G241="Krav","Check",(IF(G241="Mindstekrav","Verify","")))))</f>
        <v/>
      </c>
      <c r="I241" s="35" t="inlineStr">
        <is>
          <t>Ja</t>
        </is>
      </c>
      <c r="J241" s="35" t="n"/>
      <c r="K241" s="47" t="n"/>
      <c r="L241" s="35" t="n"/>
      <c r="M241" s="35" t="n"/>
      <c r="N241" s="35" t="n"/>
      <c r="O241" s="35" t="n"/>
      <c r="P241" s="35" t="n"/>
      <c r="Q241" s="35" t="n"/>
      <c r="R241" s="35" t="n"/>
      <c r="S241" s="35" t="n"/>
      <c r="T241" s="35" t="n"/>
      <c r="U241" s="35" t="inlineStr">
        <is>
          <t>Not Started</t>
        </is>
      </c>
      <c r="V241" s="37">
        <f>IF(U241="Not Started",0%,IF(U241="Started",50%,IF(U241="Ready for review",70%,IF(U241="Reviewed - Content",80%,IF(U241="Reviewed - Format",90%,IF(U241="Done",100%,""))))))</f>
        <v/>
      </c>
      <c r="W241" t="inlineStr">
        <is>
          <t>2026-07-07</t>
        </is>
      </c>
      <c r="X241" t="inlineStr">
        <is>
          <t>Cursor / tender-response (batch)</t>
        </is>
      </c>
      <c r="Y241" t="inlineStr">
        <is>
          <t>Clarify</t>
        </is>
      </c>
      <c r="Z241" t="inlineStr">
        <is>
          <t>Verified</t>
        </is>
      </c>
      <c r="AA241" t="inlineStr">
        <is>
          <t>Verify: Release Management — kræver produkt-/team-afklaring (ingen tool-rating).</t>
        </is>
      </c>
      <c r="AB241" t="inlineStr"/>
      <c r="AC241" t="inlineStr">
        <is>
          <t>docs/tender-reference/extracted/Nationalbanken/Bilag 3.i Leverandørens Løsningsbeskrivelse.txt; docs/tender-reference/extracted/KUM-SLKS/Bilag 1 - Tidsplan.txt; docs/tender-reference/extracted/KUM-SLKS/Bilag 3 - Kravspecifikation.txt</t>
        </is>
      </c>
      <c r="AD241" t="inlineStr">
        <is>
          <t>Owner: Udfyld tool-rating (O) og evidens; gennemgå AI-kladde.</t>
        </is>
      </c>
      <c r="AE241" t="inlineStr"/>
      <c r="AF241" t="inlineStr">
        <is>
          <t>Draft</t>
        </is>
      </c>
      <c r="AG241" t="inlineStr">
        <is>
          <t>uim-esdh-full-2026-07-07</t>
        </is>
      </c>
    </row>
    <row r="242" ht="409.5" customHeight="1">
      <c r="A242" s="35" t="n">
        <v>241</v>
      </c>
      <c r="B242" s="35" t="inlineStr">
        <is>
          <t>MK-16</t>
        </is>
      </c>
      <c r="C242" s="35" t="inlineStr">
        <is>
          <t>Bilag 1.e</t>
        </is>
      </c>
      <c r="D242" s="35" t="inlineStr">
        <is>
          <t>Leverandørens og ESDH-løsningens sikkerhed</t>
        </is>
      </c>
      <c r="E242" s="35" t="inlineStr">
        <is>
          <t>Ledelsessystem for informations-sikkerhedsstyring (ISMS)</t>
        </is>
      </c>
      <c r="F242" s="35" t="inlineStr">
        <is>
          <t>Leverandøren skal med henblik på løbende sikring af informationssikkerhed i tilknytning til levering af Ydelserne opretholde et ledelsessystem for informationssikkerhedsstyring (ISMS) efter den til enhver tid gældende version af ISO27001 standard baseret på en risikostyringsproces. 
Leverandøren skal herunder løbende tilpasse sit ISMS, såfremt Leverandørens opdatering af sin risikovurdering, medfører et behov herfor. 
Leverandørens ISMS skal som minimum: 
Fastlægge interne og eksterne forhold, der har betydning for Leverandørens evne til at opnå de tilsigtede resultater af ledelsessystemet, herunder skal ISMS’et afspejle en forståelse af interessenters behov og forventninger. 
Fastlægge grænserne og anvendelsesområderne for ISMS’et. 
Afspejle at Leverandørens ledelse er forpligtet til at sikre, at Leverandørens informationssikkerhedspolitikker og målsætninger for informationssikkerhed er fastlagt, kommunikeret, opnår de tilsigtede resultater, løbende forbedres og at der er tilgængelige ressourcer hertil, herunder at der er uddelegeret roller og ansvar for informationssikkerheden. 
Fastlægge Leverandørens styring og gennemførelse af vurdering og håndtering af informationssikkerhedsrisici. 
Fastlægge evaluering af informationssikkerheden og den resultatrelaterede effektivitet af ISMS’et, herunder afrapportering på evaluering og effektivitet til Leverandørens topledelse. 
Være dokumenteret og sikre at afvigelser fra ISMS’et håndteres.
Leverandøren skal sikre sig løbende sårbarhedsscanninger på kode og anvendte kodebibliotekter, og hvis der anvendes en containerbaseret Løsning, skal de også scannes for potentielle sårbarheder.</t>
        </is>
      </c>
      <c r="G242" s="35" t="inlineStr">
        <is>
          <t>Mindstekrav</t>
        </is>
      </c>
      <c r="H242" s="35">
        <f>IF(G242="Evalueringskrav","Answer",(IF(G242="Krav","Check",(IF(G242="Mindstekrav","Verify","")))))</f>
        <v/>
      </c>
      <c r="I242" s="35" t="inlineStr">
        <is>
          <t>Ja</t>
        </is>
      </c>
      <c r="J242" s="35" t="n"/>
      <c r="K242" s="47" t="n"/>
      <c r="L242" s="35" t="n"/>
      <c r="M242" s="35" t="n"/>
      <c r="N242" s="35" t="n"/>
      <c r="O242" s="35" t="n"/>
      <c r="P242" s="35" t="n"/>
      <c r="Q242" s="35" t="n"/>
      <c r="R242" s="35" t="n"/>
      <c r="S242" s="35" t="n"/>
      <c r="T242" s="35" t="n"/>
      <c r="U242" s="35" t="inlineStr">
        <is>
          <t>Not Started</t>
        </is>
      </c>
      <c r="V242" s="37">
        <f>IF(U242="Not Started",0%,IF(U242="Started",50%,IF(U242="Ready for review",70%,IF(U242="Reviewed - Content",80%,IF(U242="Reviewed - Format",90%,IF(U242="Done",100%,""))))))</f>
        <v/>
      </c>
      <c r="W242" t="inlineStr">
        <is>
          <t>2026-07-07</t>
        </is>
      </c>
      <c r="X242" t="inlineStr">
        <is>
          <t>Cursor / tender-response (batch)</t>
        </is>
      </c>
      <c r="Y242" t="inlineStr">
        <is>
          <t>Clarify</t>
        </is>
      </c>
      <c r="Z242" t="inlineStr">
        <is>
          <t>Verified</t>
        </is>
      </c>
      <c r="AA242" t="inlineStr">
        <is>
          <t>Verify: Ledelsessystem for informations-sikkerhedsstyring (ISMS) — kræver produkt-/team-afklaring (ingen tool-rating).</t>
        </is>
      </c>
      <c r="AB242" t="inlineStr"/>
      <c r="AC242" t="inlineStr">
        <is>
          <t>docs/tender-reference/extracted/Nationalbanken/Bilag 3.i Leverandørens Løsningsbeskrivelse.txt; docs/tender-reference/extracted/KK Tender tool.txt; docs/tender-reference/extracted/KUM-SLKS/Bilag 3 - Kravspecifikation.txt</t>
        </is>
      </c>
      <c r="AD242" t="inlineStr">
        <is>
          <t>Owner: Udfyld tool-rating (O) og evidens; gennemgå AI-kladde.</t>
        </is>
      </c>
      <c r="AE242" t="inlineStr"/>
      <c r="AF242" t="inlineStr">
        <is>
          <t>Draft</t>
        </is>
      </c>
      <c r="AG242" t="inlineStr">
        <is>
          <t>uim-esdh-full-2026-07-07</t>
        </is>
      </c>
    </row>
    <row r="243" ht="368" customHeight="1">
      <c r="A243" s="35" t="n">
        <v>242</v>
      </c>
      <c r="B243" s="35" t="inlineStr">
        <is>
          <t>K-6</t>
        </is>
      </c>
      <c r="C243" s="35" t="inlineStr">
        <is>
          <t>Bilag 1.e</t>
        </is>
      </c>
      <c r="D243" s="35" t="inlineStr">
        <is>
          <t>Leverandørens og ESDH-løsningens sikkerhed</t>
        </is>
      </c>
      <c r="E243" s="35" t="inlineStr">
        <is>
          <t>Sikkerhedstest, sårbarhedsscanninger og penetrationstest</t>
        </is>
      </c>
      <c r="F243" s="35" t="inlineStr">
        <is>
          <t>Leverandøren skal understøtte, at driftsleverandøren kan gennemføre passende sikkerhedstest af ESDH-løsningen, herunder sårbarhedsscanninger og penetrationstest, uden behov for teknisk bistand fra Leverandøren, herunder at: 
Leverandøren bistår driftsleverandøren med mulighed for at gennemføre systematiske og regelmæssige sårbarhedsscanninger af ESDH-løsningen, herunder ved at stille nødvendig teknisk dokumentation og grænseflader til rådighed. 
Leverandøren har en dokumenteret og effektiv procedure for håndtering af sårbarheder, herunder patch management, hvor identificerede sårbarheder kategoriseres, risikovurderes og adresseres efter en dokumenteret prioriteringsmodel. 
Resultaterne af gennemførte sikkerhedstest, sårbarhedsscanninger og penetrationstest – uanset om de er udført af Leverandøren eller driftsleverandøren – indgår i Leverandørens samlede risikovurdering af ESDH-løsningen. 
Leverandøren foretager sikkerhedstest af ESDH-løsningen. Disse tests skal anvende automatiserede sikkerhedsscanningsværktøjer og omfatte kontrol af almindelige sikkerhedsmæssige svagheder, herunder code-injections. 
Leverandøren gennemfører ovenstående sikkerhedstest før Ibrugtagning af ESDH-løsningen.</t>
        </is>
      </c>
      <c r="G243" s="35" t="inlineStr">
        <is>
          <t>Krav</t>
        </is>
      </c>
      <c r="H243" s="35">
        <f>IF(G243="Evalueringskrav","Answer",(IF(G243="Krav","Check",(IF(G243="Mindstekrav","Verify","")))))</f>
        <v/>
      </c>
      <c r="I243" s="35" t="inlineStr">
        <is>
          <t>Ja</t>
        </is>
      </c>
      <c r="J243" s="35" t="n"/>
      <c r="K243" s="47" t="n"/>
      <c r="L243" s="35" t="n"/>
      <c r="M243" s="35" t="n"/>
      <c r="N243" s="35" t="n"/>
      <c r="O243" s="35" t="n"/>
      <c r="P243" s="35" t="n"/>
      <c r="Q243" s="35" t="n"/>
      <c r="R243" s="35" t="n"/>
      <c r="S243" s="35" t="n"/>
      <c r="T243" s="35" t="n"/>
      <c r="U243" s="35" t="inlineStr">
        <is>
          <t>Not Started</t>
        </is>
      </c>
      <c r="V243" s="37">
        <f>IF(U243="Not Started",0%,IF(U243="Started",50%,IF(U243="Ready for review",70%,IF(U243="Reviewed - Content",80%,IF(U243="Reviewed - Format",90%,IF(U243="Done",100%,""))))))</f>
        <v/>
      </c>
      <c r="W243" t="inlineStr">
        <is>
          <t>2026-07-07</t>
        </is>
      </c>
      <c r="X243" t="inlineStr">
        <is>
          <t>Cursor / tender-response (batch)</t>
        </is>
      </c>
      <c r="Y243" t="inlineStr">
        <is>
          <t>Clarify</t>
        </is>
      </c>
      <c r="Z243" t="inlineStr">
        <is>
          <t>Verified</t>
        </is>
      </c>
      <c r="AA243" t="inlineStr">
        <is>
          <t>Check: Sikkerhedstest, sårbarhedsscanninger og penetrationstest — kræver produkt-/team-afklaring (ingen tool-rating).</t>
        </is>
      </c>
      <c r="AB243" t="inlineStr"/>
      <c r="AC243" t="inlineStr">
        <is>
          <t>docs/tender-reference/extracted/Nationalbanken/Bilag 3.i Leverandørens Løsningsbeskrivelse.txt; docs/tender-reference/extracted/KK Tender tool.txt; docs/tender-reference/extracted/KUM-SLKS/Bilag 1 - Tidsplan.txt</t>
        </is>
      </c>
      <c r="AD243" t="inlineStr">
        <is>
          <t>Owner: Udfyld tool-rating (O) og evidens; gennemgå AI-kladde.</t>
        </is>
      </c>
      <c r="AE243" t="inlineStr"/>
      <c r="AF243" t="inlineStr">
        <is>
          <t>Draft</t>
        </is>
      </c>
      <c r="AG243" t="inlineStr">
        <is>
          <t>uim-esdh-full-2026-07-07</t>
        </is>
      </c>
    </row>
    <row r="244" ht="409.5" customHeight="1">
      <c r="A244" s="35" t="n">
        <v>243</v>
      </c>
      <c r="B244" s="35" t="inlineStr">
        <is>
          <t>K-7</t>
        </is>
      </c>
      <c r="C244" s="35" t="inlineStr">
        <is>
          <t>Bilag 1.e</t>
        </is>
      </c>
      <c r="D244" s="35" t="inlineStr">
        <is>
          <t>Leverandørens og ESDH-løsningens sikkerhed</t>
        </is>
      </c>
      <c r="E244" s="35" t="inlineStr">
        <is>
          <t>Sikkerhedsrapport for ESDH-løsningen</t>
        </is>
      </c>
      <c r="F244" s="35" t="inlineStr">
        <is>
          <t>Leverandøren skal hver måned rapportere, i samarbejde med driftsleverandøren hvor det er nødvendigt, på relevante sikkerhedsmæssige forhold og beskrive status på de sikkerhedsmæssige aspekter. Sikkerhedsrapporten bør jf. GDPR art. 32 indeholde følgende: 
Ændringer i risikobilledet: Dokumentation af nye, eksterne cybertrusler, interne organisatoriske omstruktureringer eller ændrede markedsvilkår, der påvirker virksomhedens samlede risikoprofil.
Adgangsændringer: Løbende registrering af tildelte, ændrede eller slettede brugerrettigheder med særligt fokus på kritiske Administrator- og systemkonti.
Væsentlige driftsforstyrrelser: Logning af og opfølgning på alvorlige systemnedbrud, hardwarefejl eller netværksproblemer, der har påvirket datatilgængeligheden.
Identificerede sårbarheder: Resultater fra tekniske scanninger og penetrationstest, der blotlægger svagheder i applikationer, firewalls eller serverinfrastruktur.
Patchstatus: Aktuel oversigt over udrullede sikkerhedsopdateringer samt en tidslinje for udbedring af kendte softwarefejl i operativsystemer og programmer.
Katastrofeberedskab: Procedurer for hurtig retablering af data samt dokumentation for regelmæssig test af backup-systemer.
Status på afvigelser og handleplaner: En uafhængig opgørelse over udestående sikkerhedsmangler (afvigelser) parret med konkrete, tidsbestemte planer og ansvarlige personer for udbedringen.
Sikkerhedshændelser: En detaljeret oversigt over alle registrerede sikkerhedsbrud eller mistænkelige hændelser i den pågældende rapporteringsperiode.</t>
        </is>
      </c>
      <c r="G244" s="35" t="inlineStr">
        <is>
          <t>Krav</t>
        </is>
      </c>
      <c r="H244" s="35">
        <f>IF(G244="Evalueringskrav","Answer",(IF(G244="Krav","Check",(IF(G244="Mindstekrav","Verify","")))))</f>
        <v/>
      </c>
      <c r="I244" s="35" t="inlineStr">
        <is>
          <t>Ja</t>
        </is>
      </c>
      <c r="J244" s="35" t="n"/>
      <c r="K244" s="47" t="n"/>
      <c r="L244" s="35" t="n"/>
      <c r="M244" s="35" t="n"/>
      <c r="N244" s="35" t="n"/>
      <c r="O244" s="35" t="n"/>
      <c r="P244" s="35" t="n"/>
      <c r="Q244" s="35" t="n"/>
      <c r="R244" s="35" t="n"/>
      <c r="S244" s="35" t="n"/>
      <c r="T244" s="35" t="n"/>
      <c r="U244" s="35" t="inlineStr">
        <is>
          <t>Not Started</t>
        </is>
      </c>
      <c r="V244" s="37">
        <f>IF(U244="Not Started",0%,IF(U244="Started",50%,IF(U244="Ready for review",70%,IF(U244="Reviewed - Content",80%,IF(U244="Reviewed - Format",90%,IF(U244="Done",100%,""))))))</f>
        <v/>
      </c>
      <c r="W244" t="inlineStr">
        <is>
          <t>2026-07-07</t>
        </is>
      </c>
      <c r="X244" t="inlineStr">
        <is>
          <t>Cursor / tender-response (batch)</t>
        </is>
      </c>
      <c r="Y244" t="inlineStr">
        <is>
          <t>Clarify</t>
        </is>
      </c>
      <c r="Z244" t="inlineStr">
        <is>
          <t>Verified</t>
        </is>
      </c>
      <c r="AA244" t="inlineStr">
        <is>
          <t>Check: Sikkerhedsrapport for ESDH-løsningen — kræver produkt-/team-afklaring (ingen tool-rating).</t>
        </is>
      </c>
      <c r="AB244" t="inlineStr"/>
      <c r="AC244" t="inlineStr">
        <is>
          <t>docs/tender-reference/extracted/Nationalbanken/Bilag 3.i Leverandørens Løsningsbeskrivelse.txt; docs/tender-reference/extracted/KK Tender tool.txt; docs/tender-reference/extracted/NND/02.01-Tieto-Bilag 2-Vedlegg-Leverandørens utfyllende svar til kravtabell.txt</t>
        </is>
      </c>
      <c r="AD244" t="inlineStr">
        <is>
          <t>Owner: Udfyld tool-rating (O) og evidens; gennemgå AI-kladde.</t>
        </is>
      </c>
      <c r="AE244" t="inlineStr"/>
      <c r="AF244" t="inlineStr">
        <is>
          <t>Draft</t>
        </is>
      </c>
      <c r="AG244" t="inlineStr">
        <is>
          <t>uim-esdh-full-2026-07-07</t>
        </is>
      </c>
    </row>
    <row r="245" ht="112" customHeight="1">
      <c r="A245" s="35" t="n">
        <v>244</v>
      </c>
      <c r="B245" s="35" t="inlineStr">
        <is>
          <t>K-8</t>
        </is>
      </c>
      <c r="C245" s="35" t="inlineStr">
        <is>
          <t>Bilag 1.e</t>
        </is>
      </c>
      <c r="D245" s="35" t="inlineStr">
        <is>
          <t>Leverandørens og ESDH-løsningens sikkerhed</t>
        </is>
      </c>
      <c r="E245" s="35" t="inlineStr">
        <is>
          <t>Sikker udvikling af ESDH-løsningen</t>
        </is>
      </c>
      <c r="F245" s="35" t="inlineStr">
        <is>
          <t>Leverandøren skal anvende og dokumentere best practice for sikker softwareudvikling (f.eks. OWASP, ISO/IEC 27034 eller tilsvarende).
Leverandøren skal sikre og dokumentere kontrol med it-sikkerheden i softwareleverancekæden (Software Supply Chain Security), herunder styring og godkendelse af anvendte kodebiblioteker og versioner.
Leverandøren skal på anmodning kunne dokumentere overholdelse af disse krav.</t>
        </is>
      </c>
      <c r="G245" s="35" t="inlineStr">
        <is>
          <t>Krav</t>
        </is>
      </c>
      <c r="H245" s="35">
        <f>IF(G245="Evalueringskrav","Answer",(IF(G245="Krav","Check",(IF(G245="Mindstekrav","Verify","")))))</f>
        <v/>
      </c>
      <c r="I245" s="35" t="inlineStr">
        <is>
          <t>Ja</t>
        </is>
      </c>
      <c r="J245" s="35" t="n"/>
      <c r="K245" s="47" t="n"/>
      <c r="L245" s="35" t="n"/>
      <c r="M245" s="35" t="n"/>
      <c r="N245" s="35" t="n"/>
      <c r="O245" s="35" t="n"/>
      <c r="P245" s="35" t="n"/>
      <c r="Q245" s="35" t="n"/>
      <c r="R245" s="35" t="n"/>
      <c r="S245" s="35" t="n"/>
      <c r="T245" s="35" t="n"/>
      <c r="U245" s="35" t="inlineStr">
        <is>
          <t>Not Started</t>
        </is>
      </c>
      <c r="V245" s="37">
        <f>IF(U245="Not Started",0%,IF(U245="Started",50%,IF(U245="Ready for review",70%,IF(U245="Reviewed - Content",80%,IF(U245="Reviewed - Format",90%,IF(U245="Done",100%,""))))))</f>
        <v/>
      </c>
      <c r="W245" t="inlineStr">
        <is>
          <t>2026-07-07</t>
        </is>
      </c>
      <c r="X245" t="inlineStr">
        <is>
          <t>Cursor / tender-response (batch)</t>
        </is>
      </c>
      <c r="Y245" t="inlineStr">
        <is>
          <t>Clarify</t>
        </is>
      </c>
      <c r="Z245" t="inlineStr">
        <is>
          <t>Verified</t>
        </is>
      </c>
      <c r="AA245" t="inlineStr">
        <is>
          <t>Check: Sikker udvikling af ESDH-løsningen — kræver produkt-/team-afklaring (ingen tool-rating).</t>
        </is>
      </c>
      <c r="AB245" t="inlineStr"/>
      <c r="AC24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5" t="inlineStr">
        <is>
          <t>Owner: Udfyld tool-rating (O) og evidens; gennemgå AI-kladde.</t>
        </is>
      </c>
      <c r="AE245" t="inlineStr"/>
      <c r="AF245" t="inlineStr">
        <is>
          <t>Draft</t>
        </is>
      </c>
      <c r="AG245" t="inlineStr">
        <is>
          <t>uim-esdh-full-2026-07-07</t>
        </is>
      </c>
    </row>
    <row r="246" ht="96" customHeight="1">
      <c r="A246" s="35" t="n">
        <v>245</v>
      </c>
      <c r="B246" s="35" t="inlineStr">
        <is>
          <t>MK-17</t>
        </is>
      </c>
      <c r="C246" s="35" t="inlineStr">
        <is>
          <t>Bilag 1.e</t>
        </is>
      </c>
      <c r="D246" s="35" t="inlineStr">
        <is>
          <t>Logning</t>
        </is>
      </c>
      <c r="E246" s="35" t="inlineStr">
        <is>
          <t>Logning og revisionsspor for Brugere</t>
        </is>
      </c>
      <c r="F246" s="35" t="inlineStr">
        <is>
          <t>ESDH-løsningen skal automatisk generere et uforanderligt revisionsspor (logning) af alle brugerhandlinger (søgning, oprettelse, visning, ændring og sletning af data og Dokumenter) så de logges på identiteten i overensstemmelse med forvaltningsretlige principper. Logningen skal indeholde en tidsstempling samt entydig identifikation af den udførende Bruger.</t>
        </is>
      </c>
      <c r="G246" s="35" t="inlineStr">
        <is>
          <t>Mindstekrav</t>
        </is>
      </c>
      <c r="H246" s="35">
        <f>IF(G246="Evalueringskrav","Answer",(IF(G246="Krav","Check",(IF(G246="Mindstekrav","Verify","")))))</f>
        <v/>
      </c>
      <c r="I246" s="35" t="inlineStr">
        <is>
          <t>Ja</t>
        </is>
      </c>
      <c r="J246" s="35" t="n"/>
      <c r="K246" s="47" t="n"/>
      <c r="L246" s="35" t="n"/>
      <c r="M246" s="35" t="n"/>
      <c r="N246" s="35" t="n"/>
      <c r="O246" s="35" t="n"/>
      <c r="P246" s="35" t="n"/>
      <c r="Q246" s="35" t="n"/>
      <c r="R246" s="35" t="n"/>
      <c r="S246" s="35" t="n"/>
      <c r="T246" s="35" t="n"/>
      <c r="U246" s="35" t="inlineStr">
        <is>
          <t>Not Started</t>
        </is>
      </c>
      <c r="V246" s="37">
        <f>IF(U246="Not Started",0%,IF(U246="Started",50%,IF(U246="Ready for review",70%,IF(U246="Reviewed - Content",80%,IF(U246="Reviewed - Format",90%,IF(U246="Done",100%,""))))))</f>
        <v/>
      </c>
      <c r="W246" t="inlineStr">
        <is>
          <t>2026-07-07</t>
        </is>
      </c>
      <c r="X246" t="inlineStr">
        <is>
          <t>Cursor / tender-response (batch)</t>
        </is>
      </c>
      <c r="Y246" t="inlineStr">
        <is>
          <t>Clarify</t>
        </is>
      </c>
      <c r="Z246" t="inlineStr">
        <is>
          <t>Verified</t>
        </is>
      </c>
      <c r="AA246" t="inlineStr">
        <is>
          <t>Verify: Logning og revisionsspor for Brugere — kræver produkt-/team-afklaring (ingen tool-rating).</t>
        </is>
      </c>
      <c r="AB246" t="inlineStr"/>
      <c r="AC246" t="inlineStr">
        <is>
          <t>docs/tender-reference/extracted/KK Tender tool.txt; docs/tender-reference/extracted/Nationalbanken/Bilag 3.i Leverandørens Løsningsbeskrivelse.txt; docs/tender-reference/extracted/KUM-SLKS/Bilag 3 - Kravspecifikation.txt</t>
        </is>
      </c>
      <c r="AD246" t="inlineStr">
        <is>
          <t>Owner: Udfyld tool-rating (O) og evidens; gennemgå AI-kladde.</t>
        </is>
      </c>
      <c r="AE246" t="inlineStr"/>
      <c r="AF246" t="inlineStr">
        <is>
          <t>Draft</t>
        </is>
      </c>
      <c r="AG246" t="inlineStr">
        <is>
          <t>uim-esdh-full-2026-07-07</t>
        </is>
      </c>
    </row>
    <row r="247" ht="128" customHeight="1">
      <c r="A247" s="35" t="n">
        <v>246</v>
      </c>
      <c r="B247" s="35" t="inlineStr">
        <is>
          <t>MK-18</t>
        </is>
      </c>
      <c r="C247" s="35" t="inlineStr">
        <is>
          <t>Bilag 1.e</t>
        </is>
      </c>
      <c r="D247" s="35" t="inlineStr">
        <is>
          <t>Logning</t>
        </is>
      </c>
      <c r="E247" s="35" t="inlineStr">
        <is>
          <t>Logning og revisionsspor for Administrator</t>
        </is>
      </c>
      <c r="F247" s="35" t="inlineStr">
        <is>
          <t>ESDH-løsningen skal automatisk generere et uforanderligt revisionsspor (logning) af alle administratorhandlinger (søgning, oprettelse, visning, ændring og sletning af data og Dokumenter) så de logges på identiteten i overensstemmelse med forvaltningsretlige principper. Dette gør sig også gældende både for databaseaktiviteter foretaget i ESDH-løsningen og direkte i databaseadministrationsværktøjet. Logningen skal indeholde en tidsstempling samt entydig identifikation af den udførende Bruger.</t>
        </is>
      </c>
      <c r="G247" s="35" t="inlineStr">
        <is>
          <t>Mindstekrav</t>
        </is>
      </c>
      <c r="H247" s="35">
        <f>IF(G247="Evalueringskrav","Answer",(IF(G247="Krav","Check",(IF(G247="Mindstekrav","Verify","")))))</f>
        <v/>
      </c>
      <c r="I247" s="35" t="inlineStr">
        <is>
          <t>Ja</t>
        </is>
      </c>
      <c r="J247" s="35" t="n"/>
      <c r="K247" s="47" t="n"/>
      <c r="L247" s="35" t="n"/>
      <c r="M247" s="35" t="n"/>
      <c r="N247" s="35" t="n"/>
      <c r="O247" s="35" t="n"/>
      <c r="P247" s="35" t="n"/>
      <c r="Q247" s="35" t="n"/>
      <c r="R247" s="35" t="n"/>
      <c r="S247" s="35" t="n"/>
      <c r="T247" s="35" t="n"/>
      <c r="U247" s="35" t="inlineStr">
        <is>
          <t>Not Started</t>
        </is>
      </c>
      <c r="V247" s="37">
        <f>IF(U247="Not Started",0%,IF(U247="Started",50%,IF(U247="Ready for review",70%,IF(U247="Reviewed - Content",80%,IF(U247="Reviewed - Format",90%,IF(U247="Done",100%,""))))))</f>
        <v/>
      </c>
      <c r="W247" t="inlineStr">
        <is>
          <t>2026-07-07</t>
        </is>
      </c>
      <c r="X247" t="inlineStr">
        <is>
          <t>Cursor / tender-response (batch)</t>
        </is>
      </c>
      <c r="Y247" t="inlineStr">
        <is>
          <t>Clarify</t>
        </is>
      </c>
      <c r="Z247" t="inlineStr">
        <is>
          <t>Verified</t>
        </is>
      </c>
      <c r="AA247" t="inlineStr">
        <is>
          <t>Verify: Logning og revisionsspor for Administrator — kræver produkt-/team-afklaring (ingen tool-rating).</t>
        </is>
      </c>
      <c r="AB247" t="inlineStr"/>
      <c r="AC24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7" t="inlineStr">
        <is>
          <t>Owner: Udfyld tool-rating (O) og evidens; gennemgå AI-kladde.</t>
        </is>
      </c>
      <c r="AE247" t="inlineStr"/>
      <c r="AF247" t="inlineStr">
        <is>
          <t>Draft</t>
        </is>
      </c>
      <c r="AG247" t="inlineStr">
        <is>
          <t>uim-esdh-full-2026-07-07</t>
        </is>
      </c>
    </row>
    <row r="248" ht="64" customHeight="1">
      <c r="A248" s="35" t="n">
        <v>247</v>
      </c>
      <c r="B248" s="35" t="inlineStr">
        <is>
          <t>MK-19</t>
        </is>
      </c>
      <c r="C248" s="35" t="inlineStr">
        <is>
          <t>Bilag 1.e</t>
        </is>
      </c>
      <c r="D248" s="35" t="inlineStr">
        <is>
          <t>Logning</t>
        </is>
      </c>
      <c r="E248" s="35" t="inlineStr">
        <is>
          <t>Overvågning af aktiviteter</t>
        </is>
      </c>
      <c r="F248" s="35" t="inlineStr">
        <is>
          <t>ESDH-løsningen skal generere og opretholde detaljerede security logs, som dokumenterer alle sikkerhedsrelevante hændelser, herunder loginforsøg, ændringer i rettigheder, adgang til følsomme data samt fejl og alarmer.</t>
        </is>
      </c>
      <c r="G248" s="35" t="inlineStr">
        <is>
          <t>Mindstekrav</t>
        </is>
      </c>
      <c r="H248" s="35">
        <f>IF(G248="Evalueringskrav","Answer",(IF(G248="Krav","Check",(IF(G248="Mindstekrav","Verify","")))))</f>
        <v/>
      </c>
      <c r="I248" s="35" t="inlineStr">
        <is>
          <t>Ja</t>
        </is>
      </c>
      <c r="J248" s="35" t="n"/>
      <c r="K248" s="47" t="n"/>
      <c r="L248" s="35" t="n"/>
      <c r="M248" s="35" t="n"/>
      <c r="N248" s="35" t="n"/>
      <c r="O248" s="35" t="n"/>
      <c r="P248" s="35" t="n"/>
      <c r="Q248" s="35" t="n"/>
      <c r="R248" s="35" t="n"/>
      <c r="S248" s="35" t="n"/>
      <c r="T248" s="35" t="n"/>
      <c r="U248" s="35" t="inlineStr">
        <is>
          <t>Not Started</t>
        </is>
      </c>
      <c r="V248" s="37">
        <f>IF(U248="Not Started",0%,IF(U248="Started",50%,IF(U248="Ready for review",70%,IF(U248="Reviewed - Content",80%,IF(U248="Reviewed - Format",90%,IF(U248="Done",100%,""))))))</f>
        <v/>
      </c>
      <c r="W248" t="inlineStr">
        <is>
          <t>2026-07-07</t>
        </is>
      </c>
      <c r="X248" t="inlineStr">
        <is>
          <t>Cursor / tender-response (batch)</t>
        </is>
      </c>
      <c r="Y248" t="inlineStr">
        <is>
          <t>Clarify</t>
        </is>
      </c>
      <c r="Z248" t="inlineStr">
        <is>
          <t>Verified</t>
        </is>
      </c>
      <c r="AA248" t="inlineStr">
        <is>
          <t>Verify: Overvågning af aktiviteter — kræver produkt-/team-afklaring (ingen tool-rating).</t>
        </is>
      </c>
      <c r="AB248" t="inlineStr"/>
      <c r="AC248" t="inlineStr">
        <is>
          <t>docs/tender-reference/extracted/KK Tender tool.txt; docs/tender-reference/extracted/Nationalbanken/Bilag 3.i Leverandørens Løsningsbeskrivelse.txt; docs/tender-reference/extracted/Nationalbanken/Bilag 9.i Leverandørens løsningsbeskrivelse.txt</t>
        </is>
      </c>
      <c r="AD248" t="inlineStr">
        <is>
          <t>Owner: Udfyld tool-rating (O) og evidens; gennemgå AI-kladde.</t>
        </is>
      </c>
      <c r="AE248" t="inlineStr"/>
      <c r="AF248" t="inlineStr">
        <is>
          <t>Draft</t>
        </is>
      </c>
      <c r="AG248" t="inlineStr">
        <is>
          <t>uim-esdh-full-2026-07-07</t>
        </is>
      </c>
    </row>
    <row r="249" ht="64" customHeight="1">
      <c r="A249" s="35" t="n">
        <v>248</v>
      </c>
      <c r="B249" s="35" t="inlineStr">
        <is>
          <t>MK-20</t>
        </is>
      </c>
      <c r="C249" s="35" t="inlineStr">
        <is>
          <t>Bilag 1.e</t>
        </is>
      </c>
      <c r="D249" s="35" t="inlineStr">
        <is>
          <t>Logning</t>
        </is>
      </c>
      <c r="E249" s="35" t="inlineStr">
        <is>
          <t>Adskillelse af logs og systemsporbarhed</t>
        </is>
      </c>
      <c r="F249" s="35" t="inlineStr">
        <is>
          <t>Leverandøren skal sikre, at systemlogs i ESDH-løsningen genereres og lagres adskilt i formålsbestemte og separate logs, samt implementere en unik identifikator på tværs af alle logtyper, f.eks. eventlogs, security logs m.fl. som sikrer fuld sporbarhed af den enkelte transaktion.</t>
        </is>
      </c>
      <c r="G249" s="35" t="inlineStr">
        <is>
          <t>Mindstekrav</t>
        </is>
      </c>
      <c r="H249" s="35">
        <f>IF(G249="Evalueringskrav","Answer",(IF(G249="Krav","Check",(IF(G249="Mindstekrav","Verify","")))))</f>
        <v/>
      </c>
      <c r="I249" s="35" t="inlineStr">
        <is>
          <t>Ja</t>
        </is>
      </c>
      <c r="J249" s="35" t="n"/>
      <c r="K249" s="47" t="n"/>
      <c r="L249" s="35" t="n"/>
      <c r="M249" s="35" t="n"/>
      <c r="N249" s="35" t="n"/>
      <c r="O249" s="35" t="n"/>
      <c r="P249" s="35" t="n"/>
      <c r="Q249" s="35" t="n"/>
      <c r="R249" s="35" t="n"/>
      <c r="S249" s="35" t="n"/>
      <c r="T249" s="35" t="n"/>
      <c r="U249" s="35" t="inlineStr">
        <is>
          <t>Not Started</t>
        </is>
      </c>
      <c r="V249" s="37">
        <f>IF(U249="Not Started",0%,IF(U249="Started",50%,IF(U249="Ready for review",70%,IF(U249="Reviewed - Content",80%,IF(U249="Reviewed - Format",90%,IF(U249="Done",100%,""))))))</f>
        <v/>
      </c>
      <c r="W249" t="inlineStr">
        <is>
          <t>2026-07-07</t>
        </is>
      </c>
      <c r="X249" t="inlineStr">
        <is>
          <t>Cursor / tender-response (batch)</t>
        </is>
      </c>
      <c r="Y249" t="inlineStr">
        <is>
          <t>Clarify</t>
        </is>
      </c>
      <c r="Z249" t="inlineStr">
        <is>
          <t>Verified</t>
        </is>
      </c>
      <c r="AA249" t="inlineStr">
        <is>
          <t>Verify: Adskillelse af logs og systemsporbarhed — kræver produkt-/team-afklaring (ingen tool-rating).</t>
        </is>
      </c>
      <c r="AB249" t="inlineStr"/>
      <c r="AC249" t="inlineStr">
        <is>
          <t>docs/tender-reference/extracted/KK Tender tool.txt; docs/tender-reference/extracted/Nationalbanken/Bilag 3.i Leverandørens Løsningsbeskrivelse.txt; docs/tender-reference/extracted/HSØ/02.00-Tietoevry-SSA-L-Bilag 2-Leverandørens beskrivelse av Tjenesten.txt</t>
        </is>
      </c>
      <c r="AD249" t="inlineStr">
        <is>
          <t>Owner: Udfyld tool-rating (O) og evidens; gennemgå AI-kladde.</t>
        </is>
      </c>
      <c r="AE249" t="inlineStr"/>
      <c r="AF249" t="inlineStr">
        <is>
          <t>Draft</t>
        </is>
      </c>
      <c r="AG249" t="inlineStr">
        <is>
          <t>uim-esdh-full-2026-07-07</t>
        </is>
      </c>
    </row>
    <row r="250" ht="32" customHeight="1">
      <c r="A250" s="35" t="n">
        <v>249</v>
      </c>
      <c r="B250" s="35" t="inlineStr">
        <is>
          <t>MK-21</t>
        </is>
      </c>
      <c r="C250" s="35" t="inlineStr">
        <is>
          <t>Bilag 1.e</t>
        </is>
      </c>
      <c r="D250" s="35" t="inlineStr">
        <is>
          <t>Logning</t>
        </is>
      </c>
      <c r="E250" s="35" t="inlineStr">
        <is>
          <t>ESDH log</t>
        </is>
      </c>
      <c r="F250" s="35" t="inlineStr">
        <is>
          <t>Leverandøren skal sikre, at ESDH-løsningen genererer og lagrer egne applikationsspecifikke logs.</t>
        </is>
      </c>
      <c r="G250" s="35" t="inlineStr">
        <is>
          <t>Mindstekrav</t>
        </is>
      </c>
      <c r="H250" s="35">
        <f>IF(G250="Evalueringskrav","Answer",(IF(G250="Krav","Check",(IF(G250="Mindstekrav","Verify","")))))</f>
        <v/>
      </c>
      <c r="I250" s="35" t="inlineStr">
        <is>
          <t>Ja</t>
        </is>
      </c>
      <c r="J250" s="35" t="n"/>
      <c r="K250" s="47" t="n"/>
      <c r="L250" s="35" t="n"/>
      <c r="M250" s="35" t="n"/>
      <c r="N250" s="35" t="n"/>
      <c r="O250" s="35" t="n"/>
      <c r="P250" s="35" t="n"/>
      <c r="Q250" s="35" t="n"/>
      <c r="R250" s="35" t="n"/>
      <c r="S250" s="35" t="n"/>
      <c r="T250" s="35" t="n"/>
      <c r="U250" s="35" t="inlineStr">
        <is>
          <t>Not Started</t>
        </is>
      </c>
      <c r="V250" s="37">
        <f>IF(U250="Not Started",0%,IF(U250="Started",50%,IF(U250="Ready for review",70%,IF(U250="Reviewed - Content",80%,IF(U250="Reviewed - Format",90%,IF(U250="Done",100%,""))))))</f>
        <v/>
      </c>
      <c r="W250" t="inlineStr">
        <is>
          <t>2026-07-07</t>
        </is>
      </c>
      <c r="X250" t="inlineStr">
        <is>
          <t>Cursor / tender-response (batch)</t>
        </is>
      </c>
      <c r="Y250" t="inlineStr">
        <is>
          <t>Clarify</t>
        </is>
      </c>
      <c r="Z250" t="inlineStr">
        <is>
          <t>Verified</t>
        </is>
      </c>
      <c r="AA250" t="inlineStr">
        <is>
          <t>Verify: ESDH log — kræver produkt-/team-afklaring (ingen tool-rating).</t>
        </is>
      </c>
      <c r="AB250" t="inlineStr"/>
      <c r="AC250" t="inlineStr">
        <is>
          <t>docs/tender-reference/extracted/NND/02.01-Tieto-Bilag 2-Vedlegg-Leverandørens utfyllende svar til kravtabell.txt; docs/product/RFP_Leverandørens_svar_utdrag.txt; docs/tender-reference/extracted/HSØ/02.00-Tietoevry-SSA-L-Bilag 2-Leverandørens beskrivelse av Tjenesten.txt</t>
        </is>
      </c>
      <c r="AD250" t="inlineStr">
        <is>
          <t>Owner: Udfyld tool-rating (O) og evidens; gennemgå AI-kladde.</t>
        </is>
      </c>
      <c r="AE250" t="inlineStr"/>
      <c r="AF250" t="inlineStr">
        <is>
          <t>Draft</t>
        </is>
      </c>
      <c r="AG250" t="inlineStr">
        <is>
          <t>uim-esdh-full-2026-07-07</t>
        </is>
      </c>
    </row>
    <row r="251" ht="80" customHeight="1">
      <c r="A251" s="35" t="n">
        <v>250</v>
      </c>
      <c r="B251" s="35" t="inlineStr">
        <is>
          <t>MK-22</t>
        </is>
      </c>
      <c r="C251" s="35" t="inlineStr">
        <is>
          <t>Bilag 1.e</t>
        </is>
      </c>
      <c r="D251" s="35" t="inlineStr">
        <is>
          <t>Logning</t>
        </is>
      </c>
      <c r="E251" s="35" t="inlineStr">
        <is>
          <t>Beskyttelse af Log</t>
        </is>
      </c>
      <c r="F251" s="35" t="inlineStr">
        <is>
          <t>ESDH-løsningens samtlige komponenter (egenudviklede- og tredjepartskomponenter) skal understøtte, at logfiler ikke kan manipuleres i Løsningen. Alle logs skal være uforanderlige, og kunne tilgås af autoriserede Administratorer med henblik på revision, overvågning og hændelseshåndtering.</t>
        </is>
      </c>
      <c r="G251" s="35" t="inlineStr">
        <is>
          <t>Mindstekrav</t>
        </is>
      </c>
      <c r="H251" s="35">
        <f>IF(G251="Evalueringskrav","Answer",(IF(G251="Krav","Check",(IF(G251="Mindstekrav","Verify","")))))</f>
        <v/>
      </c>
      <c r="I251" s="35" t="inlineStr">
        <is>
          <t>Ja</t>
        </is>
      </c>
      <c r="J251" s="35" t="n"/>
      <c r="K251" s="47" t="n"/>
      <c r="L251" s="35" t="n"/>
      <c r="M251" s="35" t="n"/>
      <c r="N251" s="35" t="n"/>
      <c r="O251" s="35" t="n"/>
      <c r="P251" s="35" t="n"/>
      <c r="Q251" s="35" t="n"/>
      <c r="R251" s="35" t="n"/>
      <c r="S251" s="35" t="n"/>
      <c r="T251" s="35" t="n"/>
      <c r="U251" s="35" t="inlineStr">
        <is>
          <t>Not Started</t>
        </is>
      </c>
      <c r="V251" s="37">
        <f>IF(U251="Not Started",0%,IF(U251="Started",50%,IF(U251="Ready for review",70%,IF(U251="Reviewed - Content",80%,IF(U251="Reviewed - Format",90%,IF(U251="Done",100%,""))))))</f>
        <v/>
      </c>
      <c r="W251" t="inlineStr">
        <is>
          <t>2026-07-07</t>
        </is>
      </c>
      <c r="X251" t="inlineStr">
        <is>
          <t>Cursor / tender-response (batch)</t>
        </is>
      </c>
      <c r="Y251" t="inlineStr">
        <is>
          <t>Clarify</t>
        </is>
      </c>
      <c r="Z251" t="inlineStr">
        <is>
          <t>Verified</t>
        </is>
      </c>
      <c r="AA251" t="inlineStr">
        <is>
          <t>Verify: Beskyttelse af Log — kræver produkt-/team-afklaring (ingen tool-rating).</t>
        </is>
      </c>
      <c r="AB251" t="inlineStr"/>
      <c r="AC251" t="inlineStr">
        <is>
          <t>docs/tender-reference/extracted/KK Tender tool.txt; docs/tender-reference/extracted/NND/02.01-Tieto-Bilag 2-Vedlegg-Leverandørens utfyllende svar til kravtabell.txt; docs/tender-reference/extracted/Nationalbanken/Bilag 3.i Leverandørens Løsningsbeskrivelse.txt</t>
        </is>
      </c>
      <c r="AD251" t="inlineStr">
        <is>
          <t>Owner: Udfyld tool-rating (O) og evidens; gennemgå AI-kladde.</t>
        </is>
      </c>
      <c r="AE251" t="inlineStr"/>
      <c r="AF251" t="inlineStr">
        <is>
          <t>Draft</t>
        </is>
      </c>
      <c r="AG251" t="inlineStr">
        <is>
          <t>uim-esdh-full-2026-07-07</t>
        </is>
      </c>
    </row>
    <row r="252" ht="48" customHeight="1">
      <c r="A252" s="35" t="n">
        <v>251</v>
      </c>
      <c r="B252" s="35" t="inlineStr">
        <is>
          <t>MK-23</t>
        </is>
      </c>
      <c r="C252" s="35" t="inlineStr">
        <is>
          <t>Bilag 1.e</t>
        </is>
      </c>
      <c r="D252" s="35" t="inlineStr">
        <is>
          <t>Logning</t>
        </is>
      </c>
      <c r="E252" s="35" t="inlineStr">
        <is>
          <t>Eksport af Log</t>
        </is>
      </c>
      <c r="F252" s="35" t="inlineStr">
        <is>
          <t>ESDH-løsningen skal understøtte, at alle handlinger i ESDH-løsningen kan eksporteres ud i tredjepartsprodukt eller til et filformat, hvor logfilerne ikke kan manipuleres.</t>
        </is>
      </c>
      <c r="G252" s="35" t="inlineStr">
        <is>
          <t>Mindstekrav</t>
        </is>
      </c>
      <c r="H252" s="35">
        <f>IF(G252="Evalueringskrav","Answer",(IF(G252="Krav","Check",(IF(G252="Mindstekrav","Verify","")))))</f>
        <v/>
      </c>
      <c r="I252" s="35" t="inlineStr">
        <is>
          <t>Ja</t>
        </is>
      </c>
      <c r="J252" s="35" t="n"/>
      <c r="K252" s="47" t="n"/>
      <c r="L252" s="35" t="inlineStr">
        <is>
          <t>Torben</t>
        </is>
      </c>
      <c r="M252" s="35" t="n"/>
      <c r="N252" s="35" t="n"/>
      <c r="O252" s="35" t="inlineStr">
        <is>
          <t>2. Partly met</t>
        </is>
      </c>
      <c r="P252" s="35" t="inlineStr">
        <is>
          <t>TAO: Logger ikke alle handlinger, eksporterer som sådan ikke log, via fx log-shipping. Det vi logger i eventlog, kan læses via API</t>
        </is>
      </c>
      <c r="Q252" s="35" t="n"/>
      <c r="R252" s="35" t="n"/>
      <c r="S252" s="35" t="n"/>
      <c r="T252" s="35" t="n"/>
      <c r="U252" s="35" t="inlineStr">
        <is>
          <t>Not Started</t>
        </is>
      </c>
      <c r="V252" s="37">
        <f>IF(U252="Not Started",0%,IF(U252="Started",50%,IF(U252="Ready for review",70%,IF(U252="Reviewed - Content",80%,IF(U252="Reviewed - Format",90%,IF(U252="Done",100%,""))))))</f>
        <v/>
      </c>
      <c r="W252" t="inlineStr">
        <is>
          <t>2026-07-07</t>
        </is>
      </c>
      <c r="X252" t="inlineStr">
        <is>
          <t>Cursor / tender-response (MCP-enriched)</t>
        </is>
      </c>
      <c r="Y252" t="inlineStr">
        <is>
          <t>Partial</t>
        </is>
      </c>
      <c r="Z252" t="inlineStr">
        <is>
          <t>Lead</t>
        </is>
      </c>
      <c r="AA252" t="inlineStr">
        <is>
          <t>Verify: Eksport af Log — delvist opfyldt; afklar scope og scoring.</t>
        </is>
      </c>
      <c r="AB252" t="inlineStr">
        <is>
          <t>TAO: Logger ikke alle handlinger, eksporterer som sådan ikke log, via fx log-shipping. Det vi logger i eventlog, kan læses via API</t>
        </is>
      </c>
      <c r="AC252" t="inlineStr">
        <is>
          <t>Ratatoskr: Generate audit log (admin-en) | Wiki: 360° Online Security Specifications customer version; Cloud Automation Factory Management Portal</t>
        </is>
      </c>
      <c r="AD252" t="inlineStr">
        <is>
          <t>Torben: Afklar delkrav; align tool-rating (O) med AI compliance.</t>
        </is>
      </c>
      <c r="AE252" t="inlineStr"/>
      <c r="AF252" t="inlineStr">
        <is>
          <t>Draft</t>
        </is>
      </c>
      <c r="AG252" t="inlineStr">
        <is>
          <t>uim-esdh-full-2026-07-07</t>
        </is>
      </c>
    </row>
    <row r="253" ht="64" customHeight="1">
      <c r="A253" s="35" t="n">
        <v>252</v>
      </c>
      <c r="B253" s="35" t="inlineStr">
        <is>
          <t>MK-24</t>
        </is>
      </c>
      <c r="C253" s="35" t="inlineStr">
        <is>
          <t>Bilag 1.e</t>
        </is>
      </c>
      <c r="D253" s="35" t="inlineStr">
        <is>
          <t>Logning</t>
        </is>
      </c>
      <c r="E253" s="35" t="inlineStr">
        <is>
          <t>Log ved eksport af en given Entitet</t>
        </is>
      </c>
      <c r="F253" s="35" t="inlineStr">
        <is>
          <t>ESDH-løsningen skal understøtte, at eksport logges i administratormodulet eller på den Entitet, hvor eksporten er foretaget.</t>
        </is>
      </c>
      <c r="G253" s="35" t="inlineStr">
        <is>
          <t>Mindstekrav</t>
        </is>
      </c>
      <c r="H253" s="35">
        <f>IF(G253="Evalueringskrav","Answer",(IF(G253="Krav","Check",(IF(G253="Mindstekrav","Verify","")))))</f>
        <v/>
      </c>
      <c r="I253" s="35" t="inlineStr">
        <is>
          <t>Ja</t>
        </is>
      </c>
      <c r="J253" s="35" t="n"/>
      <c r="K253" s="47" t="n"/>
      <c r="L253" s="35" t="inlineStr">
        <is>
          <t>Torben</t>
        </is>
      </c>
      <c r="M253" s="35" t="n"/>
      <c r="N253" s="35" t="n"/>
      <c r="O253" s="35" t="inlineStr">
        <is>
          <t>2. Partly met</t>
        </is>
      </c>
      <c r="P253" s="35" t="inlineStr">
        <is>
          <t>TAO:Vi logger kun SIF læsninger i læseloggen hvis de foretages med Bearer Authentication kald. Den kan siges at være i admin fordi man har audit rapporterne til at vise læsningen.</t>
        </is>
      </c>
      <c r="Q253" s="35" t="n"/>
      <c r="R253" s="35" t="n"/>
      <c r="S253" s="35" t="n"/>
      <c r="T253" s="35" t="n"/>
      <c r="U253" s="35" t="inlineStr">
        <is>
          <t>Not Started</t>
        </is>
      </c>
      <c r="V253" s="37">
        <f>IF(U253="Not Started",0%,IF(U253="Started",50%,IF(U253="Ready for review",70%,IF(U253="Reviewed - Content",80%,IF(U253="Reviewed - Format",90%,IF(U253="Done",100%,""))))))</f>
        <v/>
      </c>
      <c r="W253" t="inlineStr">
        <is>
          <t>2026-07-07</t>
        </is>
      </c>
      <c r="X253" t="inlineStr">
        <is>
          <t>Cursor / tender-response (MCP-enriched)</t>
        </is>
      </c>
      <c r="Y253" t="inlineStr">
        <is>
          <t>Partial</t>
        </is>
      </c>
      <c r="Z253" t="inlineStr">
        <is>
          <t>Lead</t>
        </is>
      </c>
      <c r="AA253" t="inlineStr">
        <is>
          <t>Verify: Log ved eksport af en given Entitet — delvist opfyldt; afklar scope og scoring.</t>
        </is>
      </c>
      <c r="AB253" t="inlineStr">
        <is>
          <t>TAO:Vi logger kun SIF læsninger i læseloggen hvis de foretages med Bearer Authentication kald. Den kan siges at være i admin fordi man har audit rapporterne til at vise læsningen.</t>
        </is>
      </c>
      <c r="AC253" t="inlineStr">
        <is>
          <t>Ratatoskr: Audit trails (admin-en) | Wiki: 6.8 release information; Feature Toggles 2025-2026</t>
        </is>
      </c>
      <c r="AD253" t="inlineStr">
        <is>
          <t>Torben: Afklar delkrav; align tool-rating (O) med AI compliance.</t>
        </is>
      </c>
      <c r="AE253" t="inlineStr"/>
      <c r="AF253" t="inlineStr">
        <is>
          <t>Draft</t>
        </is>
      </c>
      <c r="AG253" t="inlineStr">
        <is>
          <t>uim-esdh-full-2026-07-07</t>
        </is>
      </c>
    </row>
    <row r="254" ht="192" customHeight="1">
      <c r="A254" s="35" t="n">
        <v>253</v>
      </c>
      <c r="B254" s="35" t="inlineStr">
        <is>
          <t>K-9</t>
        </is>
      </c>
      <c r="C254" s="35" t="inlineStr">
        <is>
          <t>Bilag 1.e</t>
        </is>
      </c>
      <c r="D254" s="35" t="inlineStr">
        <is>
          <t>Logning</t>
        </is>
      </c>
      <c r="E254" s="35" t="inlineStr">
        <is>
          <t>Brug af standard logformat</t>
        </is>
      </c>
      <c r="F254" s="35" t="inlineStr">
        <is>
          <t>ESDH-løsningen skal kunne aflevere applikations-, sikkerheds-, integrations- og driftslogs i strukturerede, maskinlæsbare logformater, der kan indlæses i Kundens centrale log-, overvågnings- og SIEM-platforme, herunder ELK-stack, Zabbix og/eller tilsvarende SIEM-løsninger. Logs skal som minimum kunne leveres i JSON Lines / NDJSON og/eller Syslog efter RFC 5424, og sikkerhedsrelaterede hændelser bør kunne mappes til anerkendte SIEM-formater såsom CEF, LEEF eller Elastic Common Schema (ECS). Logformatet skal være dokumenteret, versionsstyret og stabilt over tid, og alle loghændelser skal indeholde entydige felter for tidspunkt, logniveau, hændelsestype, systemkomponent, bruger-/serviceidentitet, korrelations-id, kilde, resultat/status og relevant forretningskontekst.</t>
        </is>
      </c>
      <c r="G254" s="35" t="inlineStr">
        <is>
          <t>Krav</t>
        </is>
      </c>
      <c r="H254" s="35">
        <f>IF(G254="Evalueringskrav","Answer",(IF(G254="Krav","Check",(IF(G254="Mindstekrav","Verify","")))))</f>
        <v/>
      </c>
      <c r="I254" s="35" t="inlineStr">
        <is>
          <t>Ja</t>
        </is>
      </c>
      <c r="J254" s="35" t="n"/>
      <c r="K254" s="47" t="n"/>
      <c r="L254" s="35" t="n"/>
      <c r="M254" s="35" t="n"/>
      <c r="N254" s="35" t="n"/>
      <c r="O254" s="35" t="n"/>
      <c r="P254" s="35" t="n"/>
      <c r="Q254" s="35" t="n"/>
      <c r="R254" s="35" t="n"/>
      <c r="S254" s="35" t="n"/>
      <c r="T254" s="35" t="n"/>
      <c r="U254" s="35" t="inlineStr">
        <is>
          <t>Not Started</t>
        </is>
      </c>
      <c r="V254" s="37">
        <f>IF(U254="Not Started",0%,IF(U254="Started",50%,IF(U254="Ready for review",70%,IF(U254="Reviewed - Content",80%,IF(U254="Reviewed - Format",90%,IF(U254="Done",100%,""))))))</f>
        <v/>
      </c>
      <c r="W254" t="inlineStr">
        <is>
          <t>2026-07-07</t>
        </is>
      </c>
      <c r="X254" t="inlineStr">
        <is>
          <t>Cursor / tender-response (batch)</t>
        </is>
      </c>
      <c r="Y254" t="inlineStr">
        <is>
          <t>Clarify</t>
        </is>
      </c>
      <c r="Z254" t="inlineStr">
        <is>
          <t>Verified</t>
        </is>
      </c>
      <c r="AA254" t="inlineStr">
        <is>
          <t>Check: Brug af standard logformat — kræver produkt-/team-afklaring (ingen tool-rating).</t>
        </is>
      </c>
      <c r="AB254" t="inlineStr"/>
      <c r="AC254" t="inlineStr">
        <is>
          <t>docs/tender-reference/extracted/KK Tender tool.txt; docs/tender-reference/extracted/Nationalbanken/Bilag 3.i Leverandørens Løsningsbeskrivelse.txt; docs/product/RFP_Leverandørens_svar_utdrag.txt</t>
        </is>
      </c>
      <c r="AD254" t="inlineStr">
        <is>
          <t>Owner: Udfyld tool-rating (O) og evidens; gennemgå AI-kladde.</t>
        </is>
      </c>
      <c r="AE254" t="inlineStr"/>
      <c r="AF254" t="inlineStr">
        <is>
          <t>Draft</t>
        </is>
      </c>
      <c r="AG254" t="inlineStr">
        <is>
          <t>uim-esdh-full-2026-07-07</t>
        </is>
      </c>
    </row>
    <row r="255" ht="48" customHeight="1">
      <c r="A255" s="35" t="n">
        <v>254</v>
      </c>
      <c r="B255" s="35" t="inlineStr">
        <is>
          <t>MK-25</t>
        </is>
      </c>
      <c r="C255" s="35" t="inlineStr">
        <is>
          <t>Bilag 1.e</t>
        </is>
      </c>
      <c r="D255" s="35" t="inlineStr">
        <is>
          <t>Kryptering</t>
        </is>
      </c>
      <c r="E255" s="35" t="inlineStr">
        <is>
          <t>HTTPS ved webadgang</t>
        </is>
      </c>
      <c r="F255" s="35" t="inlineStr">
        <is>
          <t>Ved webadgang til ESDH-løsningen anvendes HTTPS med TLS 1.2 (evt. nyere version) eller tilsvarende for at sikre en fortrolig og integritetssikret forbindelse.</t>
        </is>
      </c>
      <c r="G255" s="35" t="inlineStr">
        <is>
          <t>Mindstekrav</t>
        </is>
      </c>
      <c r="H255" s="35">
        <f>IF(G255="Evalueringskrav","Answer",(IF(G255="Krav","Check",(IF(G255="Mindstekrav","Verify","")))))</f>
        <v/>
      </c>
      <c r="I255" s="35" t="inlineStr">
        <is>
          <t>Ja</t>
        </is>
      </c>
      <c r="J255" s="35" t="n"/>
      <c r="K255" s="47" t="n"/>
      <c r="L255" s="35" t="inlineStr">
        <is>
          <t>Torben</t>
        </is>
      </c>
      <c r="M255" s="35" t="n"/>
      <c r="N255" s="35" t="n"/>
      <c r="O255" s="35" t="inlineStr">
        <is>
          <t>1. Fully met</t>
        </is>
      </c>
      <c r="P255" s="35" t="inlineStr">
        <is>
          <t>TAO: Ok standard</t>
        </is>
      </c>
      <c r="Q255" s="35" t="n"/>
      <c r="R255" s="35" t="n"/>
      <c r="S255" s="35" t="n"/>
      <c r="T255" s="35" t="n"/>
      <c r="U255" s="35" t="inlineStr">
        <is>
          <t>Not Started</t>
        </is>
      </c>
      <c r="V255" s="37">
        <f>IF(U255="Not Started",0%,IF(U255="Started",50%,IF(U255="Ready for review",70%,IF(U255="Reviewed - Content",80%,IF(U255="Reviewed - Format",90%,IF(U255="Done",100%,""))))))</f>
        <v/>
      </c>
      <c r="W255" t="inlineStr">
        <is>
          <t>2026-07-07</t>
        </is>
      </c>
      <c r="X255" t="inlineStr">
        <is>
          <t>Cursor / tender-response (batch)</t>
        </is>
      </c>
      <c r="Y255" t="inlineStr">
        <is>
          <t>Met</t>
        </is>
      </c>
      <c r="Z255" t="inlineStr">
        <is>
          <t>Verified</t>
        </is>
      </c>
      <c r="AA255" t="inlineStr">
        <is>
          <t>Verify: HTTPS ved webadgang — vurderet opfyldt (tool: 1. Fully met).</t>
        </is>
      </c>
      <c r="AB255" t="inlineStr">
        <is>
          <t>TAO: Ok standard</t>
        </is>
      </c>
      <c r="AC255" t="inlineStr">
        <is>
          <t>docs/tender-reference/extracted/KK Tender tool.txt; docs/product/RFP_Leverandørens_svar_utdrag.txt; docs/tender-reference/extracted/HSØ/02.00-Tietoevry-SSA-L-Bilag 2-Leverandørens beskrivelse av Tjenesten.txt</t>
        </is>
      </c>
      <c r="AD255" t="inlineStr">
        <is>
          <t>Torben: Confirm verify-tekst; opdatér review status efter tjek.</t>
        </is>
      </c>
      <c r="AE255" t="inlineStr"/>
      <c r="AF255" t="inlineStr">
        <is>
          <t>Draft</t>
        </is>
      </c>
      <c r="AG255" t="inlineStr">
        <is>
          <t>uim-esdh-full-2026-07-07</t>
        </is>
      </c>
    </row>
    <row r="256" ht="48" customHeight="1">
      <c r="A256" s="35" t="n">
        <v>255</v>
      </c>
      <c r="B256" s="35" t="inlineStr">
        <is>
          <t>MK-26</t>
        </is>
      </c>
      <c r="C256" s="35" t="inlineStr">
        <is>
          <t>Bilag 1.e</t>
        </is>
      </c>
      <c r="D256" s="35" t="inlineStr">
        <is>
          <t>Kryptering</t>
        </is>
      </c>
      <c r="E256" s="35" t="inlineStr">
        <is>
          <t>Krypteringsniveau under overførsel</t>
        </is>
      </c>
      <c r="F256" s="35" t="inlineStr">
        <is>
          <t>Data, der overføres til og fra ESDH-løsningen, skal beskyttes ved hjælp af anerkendte krypteringsprotokoller, som minimum TLS 1.2 (evt. nyere version) eller tilsvarende.</t>
        </is>
      </c>
      <c r="G256" s="35" t="inlineStr">
        <is>
          <t>Mindstekrav</t>
        </is>
      </c>
      <c r="H256" s="35">
        <f>IF(G256="Evalueringskrav","Answer",(IF(G256="Krav","Check",(IF(G256="Mindstekrav","Verify","")))))</f>
        <v/>
      </c>
      <c r="I256" s="35" t="inlineStr">
        <is>
          <t>Ja</t>
        </is>
      </c>
      <c r="J256" s="35" t="n"/>
      <c r="K256" s="47" t="n"/>
      <c r="L256" s="35" t="inlineStr">
        <is>
          <t>Torben</t>
        </is>
      </c>
      <c r="M256" s="35" t="n"/>
      <c r="N256" s="35" t="n"/>
      <c r="O256" s="35" t="inlineStr">
        <is>
          <t>1. Fully met</t>
        </is>
      </c>
      <c r="P256" s="35" t="inlineStr">
        <is>
          <t>TAO: OK, https er standard med tls1.2+</t>
        </is>
      </c>
      <c r="Q256" s="35" t="n"/>
      <c r="R256" s="35" t="n"/>
      <c r="S256" s="35" t="n"/>
      <c r="T256" s="35" t="n"/>
      <c r="U256" s="35" t="inlineStr">
        <is>
          <t>Not Started</t>
        </is>
      </c>
      <c r="V256" s="37">
        <f>IF(U256="Not Started",0%,IF(U256="Started",50%,IF(U256="Ready for review",70%,IF(U256="Reviewed - Content",80%,IF(U256="Reviewed - Format",90%,IF(U256="Done",100%,""))))))</f>
        <v/>
      </c>
      <c r="W256" t="inlineStr">
        <is>
          <t>2026-07-07</t>
        </is>
      </c>
      <c r="X256" t="inlineStr">
        <is>
          <t>Cursor / tender-response (batch)</t>
        </is>
      </c>
      <c r="Y256" t="inlineStr">
        <is>
          <t>Met</t>
        </is>
      </c>
      <c r="Z256" t="inlineStr">
        <is>
          <t>Verified</t>
        </is>
      </c>
      <c r="AA256" t="inlineStr">
        <is>
          <t>Verify: Krypteringsniveau under overførsel — vurderet opfyldt (tool: 1. Fully met).</t>
        </is>
      </c>
      <c r="AB256" t="inlineStr">
        <is>
          <t>TAO: OK, https er standard med tls1.2+</t>
        </is>
      </c>
      <c r="AC256" t="inlineStr">
        <is>
          <t>docs/tender-reference/extracted/KK Tender tool.txt; docs/tender-reference/extracted/Nationalbanken/Bilag 3.i Leverandørens Løsningsbeskrivelse.txt; docs/tender-reference/extracted/HSØ/02.00-Tietoevry-SSA-L-Bilag 2-Leverandørens beskrivelse av Tjenesten.txt</t>
        </is>
      </c>
      <c r="AD256" t="inlineStr">
        <is>
          <t>Torben: Confirm verify-tekst; opdatér review status efter tjek.</t>
        </is>
      </c>
      <c r="AE256" t="inlineStr"/>
      <c r="AF256" t="inlineStr">
        <is>
          <t>Draft</t>
        </is>
      </c>
      <c r="AG256" t="inlineStr">
        <is>
          <t>uim-esdh-full-2026-07-07</t>
        </is>
      </c>
    </row>
    <row r="257" ht="64" customHeight="1">
      <c r="A257" s="35" t="n">
        <v>256</v>
      </c>
      <c r="B257" s="35" t="inlineStr">
        <is>
          <t>MK-27</t>
        </is>
      </c>
      <c r="C257" s="35" t="inlineStr">
        <is>
          <t>Bilag 1.e</t>
        </is>
      </c>
      <c r="D257" s="35" t="inlineStr">
        <is>
          <t>Kryptering</t>
        </is>
      </c>
      <c r="E257" s="35" t="inlineStr">
        <is>
          <t>Kryptering ved integration med tredjepartsservices</t>
        </is>
      </c>
      <c r="F257" s="35" t="inlineStr">
        <is>
          <t>Kommunikationen mellem ESDH-løsningen og Standardintegrationer, f.eks. til Digital Post, sker via krypterede forbindelser baseret på anerkendte protokoller, minimum TLS 1.2 (evt. nyere version) eller tilsvarende, og korrekt certifikathåndtering.</t>
        </is>
      </c>
      <c r="G257" s="35" t="inlineStr">
        <is>
          <t>Mindstekrav</t>
        </is>
      </c>
      <c r="H257" s="35">
        <f>IF(G257="Evalueringskrav","Answer",(IF(G257="Krav","Check",(IF(G257="Mindstekrav","Verify","")))))</f>
        <v/>
      </c>
      <c r="I257" s="35" t="inlineStr">
        <is>
          <t>Ja</t>
        </is>
      </c>
      <c r="J257" s="35" t="n"/>
      <c r="K257" s="47" t="n"/>
      <c r="L257" s="35" t="inlineStr">
        <is>
          <t>Torben</t>
        </is>
      </c>
      <c r="M257" s="35" t="n"/>
      <c r="N257" s="35" t="n"/>
      <c r="O257" s="35" t="inlineStr">
        <is>
          <t>1. Fully met</t>
        </is>
      </c>
      <c r="P257" s="35" t="inlineStr">
        <is>
          <t>TAO: Ok, har tjekket CVR også</t>
        </is>
      </c>
      <c r="Q257" s="35" t="n"/>
      <c r="R257" s="35" t="n"/>
      <c r="S257" s="35" t="n"/>
      <c r="T257" s="35" t="n"/>
      <c r="U257" s="35" t="inlineStr">
        <is>
          <t>Not Started</t>
        </is>
      </c>
      <c r="V257" s="37">
        <f>IF(U257="Not Started",0%,IF(U257="Started",50%,IF(U257="Ready for review",70%,IF(U257="Reviewed - Content",80%,IF(U257="Reviewed - Format",90%,IF(U257="Done",100%,""))))))</f>
        <v/>
      </c>
      <c r="W257" t="inlineStr">
        <is>
          <t>2026-07-07</t>
        </is>
      </c>
      <c r="X257" t="inlineStr">
        <is>
          <t>Cursor / tender-response (batch)</t>
        </is>
      </c>
      <c r="Y257" t="inlineStr">
        <is>
          <t>Met</t>
        </is>
      </c>
      <c r="Z257" t="inlineStr">
        <is>
          <t>Verified</t>
        </is>
      </c>
      <c r="AA257" t="inlineStr">
        <is>
          <t>Verify: Kryptering ved integration med tredjepartsservices — vurderet opfyldt (tool: 1. Fully met).</t>
        </is>
      </c>
      <c r="AB257" t="inlineStr">
        <is>
          <t>TAO: Ok, har tjekket CVR også</t>
        </is>
      </c>
      <c r="AC257" t="inlineStr">
        <is>
          <t>docs/tender-reference/extracted/Nationalbanken/Bilag 3.i Leverandørens Løsningsbeskrivelse.txt; docs/tender-reference/extracted/KK Tender tool.txt; docs/product/RFP_Leverandørens_svar_utdrag.txt</t>
        </is>
      </c>
      <c r="AD257" t="inlineStr">
        <is>
          <t>Torben: Confirm verify-tekst; opdatér review status efter tjek.</t>
        </is>
      </c>
      <c r="AE257" t="inlineStr"/>
      <c r="AF257" t="inlineStr">
        <is>
          <t>Draft</t>
        </is>
      </c>
      <c r="AG257" t="inlineStr">
        <is>
          <t>uim-esdh-full-2026-07-07</t>
        </is>
      </c>
    </row>
    <row r="258" ht="112" customHeight="1">
      <c r="A258" s="35" t="n">
        <v>257</v>
      </c>
      <c r="B258" s="35" t="inlineStr">
        <is>
          <t>K-10</t>
        </is>
      </c>
      <c r="C258" s="35" t="inlineStr">
        <is>
          <t>Bilag 1.e</t>
        </is>
      </c>
      <c r="D258" s="35" t="inlineStr">
        <is>
          <t>Kryptering</t>
        </is>
      </c>
      <c r="E258" s="35" t="inlineStr">
        <is>
          <t>Kryptering af data i hvile (encryption at rest)</t>
        </is>
      </c>
      <c r="F258" s="35" t="inlineStr">
        <is>
          <t>Leverandøren skal sikre, at al data lagret i produktionsmiljøet og det miljø som anvendes til migrering (midlertidigt miljø) kan krypteres i hvile, så data er beskyttet selv hvis lagringen kompromitteres. 
Data, der overføres til og fra miljøerne, skal beskyttes med krypteringsprotokoller, minimum TLS 1.2 (evt. nyere version) eller tilsvarende. Løsningen skal understøtte kryptering af alle relevante datatyper.</t>
        </is>
      </c>
      <c r="G258" s="35" t="inlineStr">
        <is>
          <t>Krav</t>
        </is>
      </c>
      <c r="H258" s="35">
        <f>IF(G258="Evalueringskrav","Answer",(IF(G258="Krav","Check",(IF(G258="Mindstekrav","Verify","")))))</f>
        <v/>
      </c>
      <c r="I258" s="35" t="inlineStr">
        <is>
          <t>Ja</t>
        </is>
      </c>
      <c r="J258" s="35" t="n"/>
      <c r="K258" s="47" t="n"/>
      <c r="L258" s="35" t="n"/>
      <c r="M258" s="35" t="n"/>
      <c r="N258" s="35" t="n"/>
      <c r="O258" s="35" t="n"/>
      <c r="P258" s="35" t="n"/>
      <c r="Q258" s="35" t="n"/>
      <c r="R258" s="35" t="n"/>
      <c r="S258" s="35" t="n"/>
      <c r="T258" s="35" t="n"/>
      <c r="U258" s="35" t="inlineStr">
        <is>
          <t>Not Started</t>
        </is>
      </c>
      <c r="V258" s="37">
        <f>IF(U258="Not Started",0%,IF(U258="Started",50%,IF(U258="Ready for review",70%,IF(U258="Reviewed - Content",80%,IF(U258="Reviewed - Format",90%,IF(U258="Done",100%,""))))))</f>
        <v/>
      </c>
      <c r="W258" t="inlineStr">
        <is>
          <t>2026-07-07</t>
        </is>
      </c>
      <c r="X258" t="inlineStr">
        <is>
          <t>Cursor / tender-response (MCP-enriched)</t>
        </is>
      </c>
      <c r="Y258" t="inlineStr">
        <is>
          <t>Clarify</t>
        </is>
      </c>
      <c r="Z258" t="inlineStr">
        <is>
          <t>Lead</t>
        </is>
      </c>
      <c r="AA258" t="inlineStr">
        <is>
          <t>Check: Kryptering af data i hvile (encryption at rest) — kræver produkt-/team-afklaring (ingen tool-rating).</t>
        </is>
      </c>
      <c r="AB258" t="inlineStr">
        <is>
          <t>Red flag: Kan vi ikke</t>
        </is>
      </c>
      <c r="AC258" t="inlineStr">
        <is>
          <t>Wiki: 360° Online Security Specifications customer version; How to: Migrate From On-Premise to Online</t>
        </is>
      </c>
      <c r="AD258" t="inlineStr">
        <is>
          <t>Owner: Udfyld tool-rating (O) og evidens; gennemgå AI-kladde.</t>
        </is>
      </c>
      <c r="AE258" t="inlineStr"/>
      <c r="AF258" t="inlineStr">
        <is>
          <t>Draft</t>
        </is>
      </c>
      <c r="AG258" t="inlineStr">
        <is>
          <t>uim-esdh-full-2026-07-07</t>
        </is>
      </c>
    </row>
    <row r="259" ht="96" customHeight="1">
      <c r="A259" s="35" t="n">
        <v>258</v>
      </c>
      <c r="B259" s="35" t="inlineStr">
        <is>
          <t>K-11</t>
        </is>
      </c>
      <c r="C259" s="35" t="inlineStr">
        <is>
          <t>Bilag 1.e</t>
        </is>
      </c>
      <c r="D259" s="35" t="inlineStr">
        <is>
          <t>Kryptering</t>
        </is>
      </c>
      <c r="E259" s="35" t="inlineStr">
        <is>
          <t>Kryptering af data i ESDH-løsningen (encryption in transit)</t>
        </is>
      </c>
      <c r="F259" s="35" t="inlineStr">
        <is>
          <t>Leverandøren skal sikre, at al data i bevægelse mellem miljøerne kan krypteres. Leverandøren skal ligeledes sikre, at al datatrafik til og fra Løsningen beskyttes med krypteringsprotokoller, minimum TLS 1.2 (evt. nyere version) eller tilsvarende. Det er yderligere essentielt, at kryptering kan omfatte den interne datatrafik mellem ESDH-løsningen og den tilhørende database.</t>
        </is>
      </c>
      <c r="G259" s="35" t="inlineStr">
        <is>
          <t>Krav</t>
        </is>
      </c>
      <c r="H259" s="35">
        <f>IF(G259="Evalueringskrav","Answer",(IF(G259="Krav","Check",(IF(G259="Mindstekrav","Verify","")))))</f>
        <v/>
      </c>
      <c r="I259" s="35" t="inlineStr">
        <is>
          <t>Ja</t>
        </is>
      </c>
      <c r="J259" s="35" t="n"/>
      <c r="K259" s="47" t="n"/>
      <c r="L259" s="35" t="n"/>
      <c r="M259" s="35" t="n"/>
      <c r="N259" s="35" t="n"/>
      <c r="O259" s="35" t="n"/>
      <c r="P259" s="35" t="n"/>
      <c r="Q259" s="35" t="n"/>
      <c r="R259" s="35" t="n"/>
      <c r="S259" s="35" t="n"/>
      <c r="T259" s="35" t="n"/>
      <c r="U259" s="35" t="inlineStr">
        <is>
          <t>Not Started</t>
        </is>
      </c>
      <c r="V259" s="37">
        <f>IF(U259="Not Started",0%,IF(U259="Started",50%,IF(U259="Ready for review",70%,IF(U259="Reviewed - Content",80%,IF(U259="Reviewed - Format",90%,IF(U259="Done",100%,""))))))</f>
        <v/>
      </c>
      <c r="W259" t="inlineStr">
        <is>
          <t>2026-07-07</t>
        </is>
      </c>
      <c r="X259" t="inlineStr">
        <is>
          <t>Cursor / tender-response (MCP-enriched)</t>
        </is>
      </c>
      <c r="Y259" t="inlineStr">
        <is>
          <t>Clarify</t>
        </is>
      </c>
      <c r="Z259" t="inlineStr">
        <is>
          <t>Verified</t>
        </is>
      </c>
      <c r="AA259" t="inlineStr">
        <is>
          <t>Check: Kryptering af data i ESDH-løsningen (encryption in transit) — kræver produkt-/team-afklaring (ingen tool-rating).</t>
        </is>
      </c>
      <c r="AB259" t="inlineStr">
        <is>
          <t>Red flag: Kan vi ikke</t>
        </is>
      </c>
      <c r="AC259" t="inlineStr">
        <is>
          <t>Wiki: 360° Online Security Specifications customer version; ADR-001: Security Approach and Principles for APISIX + Keycloak + OpenBao</t>
        </is>
      </c>
      <c r="AD259" t="inlineStr">
        <is>
          <t>Owner: Udfyld tool-rating (O) og evidens; gennemgå AI-kladde.</t>
        </is>
      </c>
      <c r="AE259" t="inlineStr"/>
      <c r="AF259" t="inlineStr">
        <is>
          <t>Draft</t>
        </is>
      </c>
      <c r="AG259" t="inlineStr">
        <is>
          <t>uim-esdh-full-2026-07-07</t>
        </is>
      </c>
    </row>
    <row r="260" ht="192" customHeight="1">
      <c r="A260" s="35" t="n">
        <v>259</v>
      </c>
      <c r="B260" s="35" t="inlineStr">
        <is>
          <t>K-12</t>
        </is>
      </c>
      <c r="C260" s="35" t="inlineStr">
        <is>
          <t>Bilag 1.e</t>
        </is>
      </c>
      <c r="D260" s="35" t="inlineStr">
        <is>
          <t>Journalisering, records management og metadata</t>
        </is>
      </c>
      <c r="E260" s="35" t="inlineStr">
        <is>
          <t>Understøttelse af principper for journalisering og records management</t>
        </is>
      </c>
      <c r="F260" s="35" t="inlineStr">
        <is>
          <t>ESDH-løsningen skal understøtte principperne i ISO 15489 om records management, således at Dokumenter, sager og øvrige journaliseringspligtige oplysninger kan oprettes, registreres, fastholdes, genfindes og anvendes som pålidelige, autentiske, integrerede og anvendelige records gennem deres livscyklus.
ESDH-løsningen skal som minimum understøtte, at journaliserede oplysninger kan forsynes med relevante oplysninger om kontekst, ansvar, tidspunkt, relationer, hændelser og status, herunder oplysninger der understøtter sporbarhed, dokumentation, aktindsigt, sagsbehandling, bevaring og kassation.
Leverandøren skal på Kundens anmodning kunne redegøre for, hvordan standardsoftwaren understøtter principperne i ISO 15489.</t>
        </is>
      </c>
      <c r="G260" s="35" t="inlineStr">
        <is>
          <t>Krav</t>
        </is>
      </c>
      <c r="H260" s="35">
        <f>IF(G260="Evalueringskrav","Answer",(IF(G260="Krav","Check",(IF(G260="Mindstekrav","Verify","")))))</f>
        <v/>
      </c>
      <c r="I260" s="35" t="inlineStr">
        <is>
          <t>Ja</t>
        </is>
      </c>
      <c r="J260" s="35" t="n"/>
      <c r="K260" s="47" t="n"/>
      <c r="L260" s="35" t="n"/>
      <c r="M260" s="35" t="n"/>
      <c r="N260" s="35" t="n"/>
      <c r="O260" s="35" t="n"/>
      <c r="P260" s="35" t="n"/>
      <c r="Q260" s="35" t="n"/>
      <c r="R260" s="35" t="n"/>
      <c r="S260" s="35" t="n"/>
      <c r="T260" s="35" t="n"/>
      <c r="U260" s="35" t="inlineStr">
        <is>
          <t>Not Started</t>
        </is>
      </c>
      <c r="V260" s="37">
        <f>IF(U260="Not Started",0%,IF(U260="Started",50%,IF(U260="Ready for review",70%,IF(U260="Reviewed - Content",80%,IF(U260="Reviewed - Format",90%,IF(U260="Done",100%,""))))))</f>
        <v/>
      </c>
      <c r="W260" t="inlineStr">
        <is>
          <t>2026-07-07</t>
        </is>
      </c>
      <c r="X260" t="inlineStr">
        <is>
          <t>Cursor / tender-response (MCP-enriched)</t>
        </is>
      </c>
      <c r="Y260" t="inlineStr">
        <is>
          <t>Clarify</t>
        </is>
      </c>
      <c r="Z260" t="inlineStr">
        <is>
          <t>Lead</t>
        </is>
      </c>
      <c r="AA260" t="inlineStr">
        <is>
          <t>Check: Understøttelse af principper for journalisering og records management — kræver produkt-/team-afklaring (ingen tool-rating).</t>
        </is>
      </c>
      <c r="AB260" t="inlineStr">
        <is>
          <t>Red flag: Kan vi ikke</t>
        </is>
      </c>
      <c r="AC260" t="inlineStr">
        <is>
          <t>Ratatoskr: Disposal (admin-en); Classification system and classes (admin-en)</t>
        </is>
      </c>
      <c r="AD260" t="inlineStr">
        <is>
          <t>Owner: Udfyld tool-rating (O) og evidens; gennemgå AI-kladde.</t>
        </is>
      </c>
      <c r="AE260" t="inlineStr"/>
      <c r="AF260" t="inlineStr">
        <is>
          <t>Draft</t>
        </is>
      </c>
      <c r="AG260" t="inlineStr">
        <is>
          <t>uim-esdh-full-2026-07-07</t>
        </is>
      </c>
    </row>
    <row r="261" ht="160" customHeight="1">
      <c r="A261" s="35" t="n">
        <v>260</v>
      </c>
      <c r="B261" s="35" t="inlineStr">
        <is>
          <t>K-13</t>
        </is>
      </c>
      <c r="C261" s="35" t="inlineStr">
        <is>
          <t>Bilag 1.e</t>
        </is>
      </c>
      <c r="D261" s="35" t="inlineStr">
        <is>
          <t>Journalisering, records management og metadata</t>
        </is>
      </c>
      <c r="E261" s="35" t="inlineStr">
        <is>
          <t>Understøttelse af metadata for journalisering</t>
        </is>
      </c>
      <c r="F261" s="35" t="inlineStr">
        <is>
          <t>ESDH-løsningen skal understøtte principperne i ISO 23081 om metadata for records management, således at metadata kan anvendes til at dokumentere journaliserede objekters indhold, kontekst, struktur, relationer, ansvar, hændelser og livscyklus.
ESDH-løsningen skal understøtte, at metadata kan registreres, vedligeholdes, anvendes og udstilles på en måde, der understøtter dokumentation af sagsbehandling, sporbarhed, søgning, genfinding, adgangsstyring, bevaring, kassation og efterfølgende kontrol.
Leverandøren skal på Kundens anmodning kunne redegøre for, hvordan standardsoftwaren understøtter principperne i ISO 23081.</t>
        </is>
      </c>
      <c r="G261" s="35" t="inlineStr">
        <is>
          <t>Krav</t>
        </is>
      </c>
      <c r="H261" s="35">
        <f>IF(G261="Evalueringskrav","Answer",(IF(G261="Krav","Check",(IF(G261="Mindstekrav","Verify","")))))</f>
        <v/>
      </c>
      <c r="I261" s="35" t="inlineStr">
        <is>
          <t>Ja</t>
        </is>
      </c>
      <c r="J261" s="35" t="n"/>
      <c r="K261" s="47" t="n"/>
      <c r="L261" s="35" t="inlineStr">
        <is>
          <t>Morten</t>
        </is>
      </c>
      <c r="M261" s="35" t="n"/>
      <c r="N261" s="35" t="n"/>
      <c r="O261" s="35" t="n"/>
      <c r="P261" s="35" t="n"/>
      <c r="Q261" s="35" t="n"/>
      <c r="R261" s="35" t="n"/>
      <c r="S261" s="35" t="n"/>
      <c r="T261" s="35" t="n"/>
      <c r="U261" s="35" t="inlineStr">
        <is>
          <t>Not Started</t>
        </is>
      </c>
      <c r="V261" s="37">
        <f>IF(U261="Not Started",0%,IF(U261="Started",50%,IF(U261="Ready for review",70%,IF(U261="Reviewed - Content",80%,IF(U261="Reviewed - Format",90%,IF(U261="Done",100%,""))))))</f>
        <v/>
      </c>
      <c r="W261" t="inlineStr">
        <is>
          <t>2026-07-07</t>
        </is>
      </c>
      <c r="X261" t="inlineStr">
        <is>
          <t>Cursor / tender-response (MCP-enriched)</t>
        </is>
      </c>
      <c r="Y261" t="inlineStr">
        <is>
          <t>Clarify</t>
        </is>
      </c>
      <c r="Z261" t="inlineStr">
        <is>
          <t>Lead</t>
        </is>
      </c>
      <c r="AA261" t="inlineStr">
        <is>
          <t>Check: Understøttelse af metadata for journalisering — kræver produkt-/team-afklaring (ingen tool-rating).</t>
        </is>
      </c>
      <c r="AB261" t="inlineStr">
        <is>
          <t>Red flag: Kan vi ikke</t>
        </is>
      </c>
      <c r="AC261" t="inlineStr">
        <is>
          <t>Ratatoskr: Custom fields (admin-en); Audit trails (admin-en) | Wiki: Virtual metadata</t>
        </is>
      </c>
      <c r="AD261" t="inlineStr">
        <is>
          <t>Morten: Udfyld tool-rating (O) og evidens; gennemgå AI-kladde.</t>
        </is>
      </c>
      <c r="AE261" t="inlineStr"/>
      <c r="AF261" t="inlineStr">
        <is>
          <t>Draft</t>
        </is>
      </c>
      <c r="AG261" t="inlineStr">
        <is>
          <t>uim-esdh-full-2026-07-07</t>
        </is>
      </c>
    </row>
    <row r="262" ht="64" customHeight="1">
      <c r="A262" s="35" t="n">
        <v>261</v>
      </c>
      <c r="B262" s="35" t="inlineStr">
        <is>
          <t>K-14</t>
        </is>
      </c>
      <c r="C262" s="35" t="inlineStr">
        <is>
          <t>Bilag 1.e</t>
        </is>
      </c>
      <c r="D262" s="35" t="inlineStr">
        <is>
          <t>Monitorering og alarmering</t>
        </is>
      </c>
      <c r="E262" s="35" t="inlineStr">
        <is>
          <t>Monitorering</t>
        </is>
      </c>
      <c r="F262" s="35" t="inlineStr">
        <is>
          <t>ESDH-leverandøren og driftsleverandøren skal sikre, i samarbejde med Kunden, at ESDH-løsningen (egenudviklede- og tredjepartskomponenter) kan monitoreres, så Kunden eller driftsleverandøren effektivt kan fejlsøge.</t>
        </is>
      </c>
      <c r="G262" s="35" t="inlineStr">
        <is>
          <t>Krav</t>
        </is>
      </c>
      <c r="H262" s="35">
        <f>IF(G262="Evalueringskrav","Answer",(IF(G262="Krav","Check",(IF(G262="Mindstekrav","Verify","")))))</f>
        <v/>
      </c>
      <c r="I262" s="35" t="inlineStr">
        <is>
          <t>Ja</t>
        </is>
      </c>
      <c r="J262" s="35" t="n"/>
      <c r="K262" s="47" t="n"/>
      <c r="L262" s="35" t="n"/>
      <c r="M262" s="35" t="n"/>
      <c r="N262" s="35" t="n"/>
      <c r="O262" s="35" t="n"/>
      <c r="P262" s="35" t="n"/>
      <c r="Q262" s="35" t="n"/>
      <c r="R262" s="35" t="n"/>
      <c r="S262" s="35" t="n"/>
      <c r="T262" s="35" t="n"/>
      <c r="U262" s="35" t="inlineStr">
        <is>
          <t>Not Started</t>
        </is>
      </c>
      <c r="V262" s="37">
        <f>IF(U262="Not Started",0%,IF(U262="Started",50%,IF(U262="Ready for review",70%,IF(U262="Reviewed - Content",80%,IF(U262="Reviewed - Format",90%,IF(U262="Done",100%,""))))))</f>
        <v/>
      </c>
      <c r="W262" t="inlineStr">
        <is>
          <t>2026-07-07</t>
        </is>
      </c>
      <c r="X262" t="inlineStr">
        <is>
          <t>Cursor / tender-response (batch)</t>
        </is>
      </c>
      <c r="Y262" t="inlineStr">
        <is>
          <t>Clarify</t>
        </is>
      </c>
      <c r="Z262" t="inlineStr">
        <is>
          <t>Verified</t>
        </is>
      </c>
      <c r="AA262" t="inlineStr">
        <is>
          <t>Check: Monitorering — kræver produkt-/team-afklaring (ingen tool-rating).</t>
        </is>
      </c>
      <c r="AB262" t="inlineStr"/>
      <c r="AC262" t="inlineStr">
        <is>
          <t>docs/tender-reference/extracted/KUM-SLKS/Bilag 1 - Tidsplan.txt; docs/tender-reference/extracted/NND/02.01-Tieto-Bilag 2-Vedlegg-Leverandørens utfyllende svar til kravtabell.txt; docs/tender-reference/extracted/Nationalbanken/Bilag 3.i Leverandørens Løsningsbeskrivelse.txt</t>
        </is>
      </c>
      <c r="AD262" t="inlineStr">
        <is>
          <t>Owner: Udfyld tool-rating (O) og evidens; gennemgå AI-kladde.</t>
        </is>
      </c>
      <c r="AE262" t="inlineStr"/>
      <c r="AF262" t="inlineStr">
        <is>
          <t>Draft</t>
        </is>
      </c>
      <c r="AG262" t="inlineStr">
        <is>
          <t>uim-esdh-full-2026-07-07</t>
        </is>
      </c>
    </row>
    <row r="263" ht="64" customHeight="1">
      <c r="A263" s="35" t="n">
        <v>262</v>
      </c>
      <c r="B263" s="35" t="inlineStr">
        <is>
          <t>K-15</t>
        </is>
      </c>
      <c r="C263" s="35" t="inlineStr">
        <is>
          <t>Bilag 1.e</t>
        </is>
      </c>
      <c r="D263" s="35" t="inlineStr">
        <is>
          <t>Monitorering og alarmering</t>
        </is>
      </c>
      <c r="E263" s="35" t="inlineStr">
        <is>
          <t>Alarmering</t>
        </is>
      </c>
      <c r="F263" s="35" t="inlineStr">
        <is>
          <t>ESDH-leverandøren og driftsleverandøren skal sikre, i samarbejde med Kunden, at ESDH-løsningen (inkl. egenudviklede- og tredjepartskomponenter) kan fungere sammen med Driftsleverandørens og Kundens værktøjer til alarmering.</t>
        </is>
      </c>
      <c r="G263" s="35" t="inlineStr">
        <is>
          <t>Krav</t>
        </is>
      </c>
      <c r="H263" s="35">
        <f>IF(G263="Evalueringskrav","Answer",(IF(G263="Krav","Check",(IF(G263="Mindstekrav","Verify","")))))</f>
        <v/>
      </c>
      <c r="I263" s="35" t="inlineStr">
        <is>
          <t>Ja</t>
        </is>
      </c>
      <c r="J263" s="35" t="n"/>
      <c r="K263" s="47" t="n"/>
      <c r="L263" s="35" t="n"/>
      <c r="M263" s="35" t="n"/>
      <c r="N263" s="35" t="n"/>
      <c r="O263" s="35" t="n"/>
      <c r="P263" s="35" t="n"/>
      <c r="Q263" s="35" t="n"/>
      <c r="R263" s="35" t="n"/>
      <c r="S263" s="35" t="n"/>
      <c r="T263" s="35" t="n"/>
      <c r="U263" s="35" t="inlineStr">
        <is>
          <t>Not Started</t>
        </is>
      </c>
      <c r="V263" s="37">
        <f>IF(U263="Not Started",0%,IF(U263="Started",50%,IF(U263="Ready for review",70%,IF(U263="Reviewed - Content",80%,IF(U263="Reviewed - Format",90%,IF(U263="Done",100%,""))))))</f>
        <v/>
      </c>
      <c r="W263" t="inlineStr">
        <is>
          <t>2026-07-07</t>
        </is>
      </c>
      <c r="X263" t="inlineStr">
        <is>
          <t>Cursor / tender-response (batch)</t>
        </is>
      </c>
      <c r="Y263" t="inlineStr">
        <is>
          <t>Clarify</t>
        </is>
      </c>
      <c r="Z263" t="inlineStr">
        <is>
          <t>Verified</t>
        </is>
      </c>
      <c r="AA263" t="inlineStr">
        <is>
          <t>Check: Alarmering — kræver produkt-/team-afklaring (ingen tool-rating).</t>
        </is>
      </c>
      <c r="AB263" t="inlineStr"/>
      <c r="AC263" t="inlineStr">
        <is>
          <t>docs/tender-reference/extracted/KUM-SLKS/Bilag 1 - Tidsplan.txt; docs/tender-reference/extracted/Nationalbanken/Bilag 3.i Leverandørens Løsningsbeskrivelse.txt; docs/tender-reference/extracted/KK Tender tool.txt</t>
        </is>
      </c>
      <c r="AD263" t="inlineStr">
        <is>
          <t>Owner: Udfyld tool-rating (O) og evidens; gennemgå AI-kladde.</t>
        </is>
      </c>
      <c r="AE263" t="inlineStr"/>
      <c r="AF263" t="inlineStr">
        <is>
          <t>Draft</t>
        </is>
      </c>
      <c r="AG263" t="inlineStr">
        <is>
          <t>uim-esdh-full-2026-07-07</t>
        </is>
      </c>
    </row>
    <row r="264">
      <c r="A264" s="35" t="n">
        <v>263</v>
      </c>
      <c r="B264" s="35" t="inlineStr">
        <is>
          <t>Tilbudsbrev</t>
        </is>
      </c>
      <c r="C264" s="35" t="inlineStr">
        <is>
          <t>Tilbudsbrev</t>
        </is>
      </c>
      <c r="D264" s="35" t="inlineStr">
        <is>
          <t>Tilbudsbrev</t>
        </is>
      </c>
      <c r="E264" s="35" t="inlineStr">
        <is>
          <t>Tilbudsbrev</t>
        </is>
      </c>
      <c r="F264" s="35" t="inlineStr">
        <is>
          <t>Tilbudsbrev</t>
        </is>
      </c>
      <c r="G264" s="35" t="inlineStr">
        <is>
          <t>Mindstekrav</t>
        </is>
      </c>
      <c r="H264" s="35" t="inlineStr">
        <is>
          <t>Answer</t>
        </is>
      </c>
      <c r="I264" s="35" t="inlineStr">
        <is>
          <t>Nej</t>
        </is>
      </c>
      <c r="J264" s="35" t="n"/>
      <c r="K264" s="47" t="n"/>
      <c r="L264" s="35" t="inlineStr">
        <is>
          <t>Anita</t>
        </is>
      </c>
      <c r="M264" s="35" t="n"/>
      <c r="N264" s="35" t="n"/>
      <c r="O264" s="35" t="n"/>
      <c r="P264" s="35" t="n"/>
      <c r="Q264" s="35" t="n"/>
      <c r="R264" s="35" t="n"/>
      <c r="S264" s="35" t="n"/>
      <c r="T264" s="35" t="n"/>
      <c r="U264" s="35" t="inlineStr">
        <is>
          <t>Not Started</t>
        </is>
      </c>
      <c r="V264" s="37">
        <f>IF(U264="Not Started",0%,IF(U264="Started",50%,IF(U264="Ready for review",70%,IF(U264="Reviewed - Content",80%,IF(U264="Reviewed - Format",90%,IF(U264="Done",100%,""))))))</f>
        <v/>
      </c>
      <c r="W264" t="inlineStr">
        <is>
          <t>2026-07-07</t>
        </is>
      </c>
      <c r="X264" t="inlineStr">
        <is>
          <t>Cursor / tender-response (MCP-enriched)</t>
        </is>
      </c>
      <c r="Y264" t="inlineStr">
        <is>
          <t>Draft needed</t>
        </is>
      </c>
      <c r="Z264" t="inlineStr">
        <is>
          <t>Lead</t>
        </is>
      </c>
      <c r="AA264" t="inlineStr">
        <is>
          <t>Answer: Tilbudsbrev — informationskrav; udkast bilag/dokumentation mangler.</t>
        </is>
      </c>
      <c r="AB264" t="inlineStr">
        <is>
          <t>Mangler link til svar-bilag i kolonne T.</t>
        </is>
      </c>
      <c r="AC264" t="inlineStr">
        <is>
          <t>Administrative tender document; no product help or wiki match</t>
        </is>
      </c>
      <c r="AD264" t="inlineStr">
        <is>
          <t>Anita: Opret/link svar-bilag; draft IK-tekst fra prior art.</t>
        </is>
      </c>
      <c r="AE264" t="inlineStr"/>
      <c r="AF264" t="inlineStr">
        <is>
          <t>Draft</t>
        </is>
      </c>
      <c r="AG264" t="inlineStr">
        <is>
          <t>uim-esdh-full-2026-07-07</t>
        </is>
      </c>
    </row>
    <row r="265" ht="48" customHeight="1">
      <c r="A265" s="35" t="n">
        <v>264</v>
      </c>
      <c r="B265" s="35" t="inlineStr">
        <is>
          <t>Bilag 2 Producentens standardvilkår</t>
        </is>
      </c>
      <c r="C265" s="35" t="inlineStr">
        <is>
          <t>Bilag 2 Producentens standardvilkår</t>
        </is>
      </c>
      <c r="D265" s="35" t="inlineStr">
        <is>
          <t>Bilag 2 Producentens standardvilkår</t>
        </is>
      </c>
      <c r="E265" s="35" t="inlineStr">
        <is>
          <t>Bilag 2 Producentens standardvilkår</t>
        </is>
      </c>
      <c r="F265" s="35" t="inlineStr">
        <is>
          <t>Bilag 2 Producentens standardvilkår</t>
        </is>
      </c>
      <c r="G265" s="35" t="inlineStr">
        <is>
          <t>Mindstekrav</t>
        </is>
      </c>
      <c r="H265" s="35" t="inlineStr">
        <is>
          <t>Answer</t>
        </is>
      </c>
      <c r="I265" s="35" t="inlineStr">
        <is>
          <t>Nej</t>
        </is>
      </c>
      <c r="J265" s="35" t="n"/>
      <c r="K265" s="47" t="n"/>
      <c r="L265" s="35" t="inlineStr">
        <is>
          <t>Anita</t>
        </is>
      </c>
      <c r="M265" s="35" t="n"/>
      <c r="N265" s="35" t="n"/>
      <c r="O265" s="35" t="n"/>
      <c r="P265" s="35" t="n"/>
      <c r="Q265" s="35" t="n"/>
      <c r="R265" s="35" t="n"/>
      <c r="S265" s="35" t="n"/>
      <c r="T265" s="35" t="n"/>
      <c r="U265" s="35" t="inlineStr">
        <is>
          <t>Not Started</t>
        </is>
      </c>
      <c r="V265" s="37">
        <f>IF(U265="Not Started",0%,IF(U265="Started",50%,IF(U265="Ready for review",70%,IF(U265="Reviewed - Content",80%,IF(U265="Reviewed - Format",90%,IF(U265="Done",100%,""))))))</f>
        <v/>
      </c>
      <c r="W265" t="inlineStr">
        <is>
          <t>2026-07-07</t>
        </is>
      </c>
      <c r="X265" t="inlineStr">
        <is>
          <t>Cursor / tender-response (MCP-enriched)</t>
        </is>
      </c>
      <c r="Y265" t="inlineStr">
        <is>
          <t>Draft needed</t>
        </is>
      </c>
      <c r="Z265" t="inlineStr">
        <is>
          <t>Lead</t>
        </is>
      </c>
      <c r="AA265" t="inlineStr">
        <is>
          <t>Answer: Bilag 2 Producentens standardvilkår — informationskrav; udkast bilag/dokumentation mangler.</t>
        </is>
      </c>
      <c r="AB265" t="inlineStr">
        <is>
          <t>Mangler link til svar-bilag i kolonne T.</t>
        </is>
      </c>
      <c r="AC265" t="inlineStr">
        <is>
          <t>Contract terms document; no product help or wiki match</t>
        </is>
      </c>
      <c r="AD265" t="inlineStr">
        <is>
          <t>Anita: Opret/link svar-bilag; draft IK-tekst fra prior art.</t>
        </is>
      </c>
      <c r="AE265" t="inlineStr"/>
      <c r="AF265" t="inlineStr">
        <is>
          <t>Draft</t>
        </is>
      </c>
      <c r="AG265" t="inlineStr">
        <is>
          <t>uim-esdh-full-2026-07-07</t>
        </is>
      </c>
    </row>
    <row r="266" ht="48" customHeight="1">
      <c r="A266" s="35" t="n">
        <v>265</v>
      </c>
      <c r="B266" s="35" t="inlineStr">
        <is>
          <t>Bilag 3 Leverandørens priser</t>
        </is>
      </c>
      <c r="C266" s="35" t="inlineStr">
        <is>
          <t>Bilag 3 Leverandørens priser</t>
        </is>
      </c>
      <c r="D266" s="35" t="inlineStr">
        <is>
          <t>Bilag 3 Leverandørens priser</t>
        </is>
      </c>
      <c r="E266" s="35" t="inlineStr">
        <is>
          <t>Bilag 3 Leverandørens priser</t>
        </is>
      </c>
      <c r="F266" s="35" t="inlineStr">
        <is>
          <t>Bilag 3 Leverandørens priser</t>
        </is>
      </c>
      <c r="G266" s="35" t="inlineStr">
        <is>
          <t>Mindstekrav</t>
        </is>
      </c>
      <c r="H266" s="35" t="inlineStr">
        <is>
          <t>Answer</t>
        </is>
      </c>
      <c r="I266" s="35" t="inlineStr">
        <is>
          <t>Nej</t>
        </is>
      </c>
      <c r="J266" s="35" t="n"/>
      <c r="K266" s="47" t="n"/>
      <c r="L266" s="35" t="inlineStr">
        <is>
          <t>Hans</t>
        </is>
      </c>
      <c r="M266" s="35" t="n"/>
      <c r="N266" s="35" t="n"/>
      <c r="O266" s="35" t="n"/>
      <c r="P266" s="35" t="inlineStr">
        <is>
          <t xml:space="preserve">Der er aspekter af Bilag 1a, der er relevante for prissætningen - bla. Hvordan licenser/brug kan afregnes. </t>
        </is>
      </c>
      <c r="Q266" s="35" t="n"/>
      <c r="R266" s="35" t="n"/>
      <c r="S266" s="35" t="n"/>
      <c r="T266" s="35" t="n"/>
      <c r="U266" s="35" t="inlineStr">
        <is>
          <t>Not Started</t>
        </is>
      </c>
      <c r="V266" s="37">
        <f>IF(U266="Not Started",0%,IF(U266="Started",50%,IF(U266="Ready for review",70%,IF(U266="Reviewed - Content",80%,IF(U266="Reviewed - Format",90%,IF(U266="Done",100%,""))))))</f>
        <v/>
      </c>
      <c r="W266" t="inlineStr">
        <is>
          <t>2026-07-07</t>
        </is>
      </c>
      <c r="X266" t="inlineStr">
        <is>
          <t>Cursor / tender-response (MCP-enriched)</t>
        </is>
      </c>
      <c r="Y266" t="inlineStr">
        <is>
          <t>Draft needed</t>
        </is>
      </c>
      <c r="Z266" t="inlineStr">
        <is>
          <t>Lead</t>
        </is>
      </c>
      <c r="AA266" t="inlineStr">
        <is>
          <t>Answer: Bilag 3 Leverandørens priser — informationskrav; udkast bilag/dokumentation mangler.</t>
        </is>
      </c>
      <c r="AB266" t="inlineStr">
        <is>
          <t>Der er aspekter af Bilag 1a, der er relevante for prissætningen - bla. Hvordan licenser/brug kan afregnes. | Mangler link til svar-bilag i kolonne T.</t>
        </is>
      </c>
      <c r="AC266" t="inlineStr">
        <is>
          <t>Pricing annex; no product help or wiki match</t>
        </is>
      </c>
      <c r="AD266" t="inlineStr">
        <is>
          <t>Hans: Opret/link svar-bilag; draft IK-tekst fra prior art.</t>
        </is>
      </c>
      <c r="AE266" t="inlineStr"/>
      <c r="AF266" t="inlineStr">
        <is>
          <t>Draft</t>
        </is>
      </c>
      <c r="AG266" t="inlineStr">
        <is>
          <t>uim-esdh-full-2026-07-07</t>
        </is>
      </c>
    </row>
    <row r="267">
      <c r="A267" s="35" t="n">
        <v>266</v>
      </c>
      <c r="B267" s="35" t="inlineStr">
        <is>
          <t>ESPD</t>
        </is>
      </c>
      <c r="C267" s="35" t="inlineStr">
        <is>
          <t>ESPD</t>
        </is>
      </c>
      <c r="D267" s="35" t="inlineStr">
        <is>
          <t>ESPD</t>
        </is>
      </c>
      <c r="E267" s="35" t="inlineStr">
        <is>
          <t>ESPD</t>
        </is>
      </c>
      <c r="F267" s="35" t="inlineStr">
        <is>
          <t>ESPD</t>
        </is>
      </c>
      <c r="G267" s="35" t="inlineStr">
        <is>
          <t>Mindstekrav</t>
        </is>
      </c>
      <c r="H267" s="35" t="inlineStr">
        <is>
          <t>Answer</t>
        </is>
      </c>
      <c r="I267" s="35" t="inlineStr">
        <is>
          <t>Nej</t>
        </is>
      </c>
      <c r="J267" s="35" t="n"/>
      <c r="K267" s="47" t="n"/>
      <c r="L267" s="35" t="inlineStr">
        <is>
          <t>Anita</t>
        </is>
      </c>
      <c r="M267" s="35" t="n"/>
      <c r="N267" s="35" t="n"/>
      <c r="O267" s="35" t="n"/>
      <c r="P267" s="35" t="n"/>
      <c r="Q267" s="35" t="n"/>
      <c r="R267" s="35" t="n"/>
      <c r="S267" s="35" t="n"/>
      <c r="T267" s="35" t="n"/>
      <c r="U267" s="35" t="inlineStr">
        <is>
          <t>Not Started</t>
        </is>
      </c>
      <c r="V267" s="37">
        <f>IF(U267="Not Started",0%,IF(U267="Started",50%,IF(U267="Ready for review",70%,IF(U267="Reviewed - Content",80%,IF(U267="Reviewed - Format",90%,IF(U267="Done",100%,""))))))</f>
        <v/>
      </c>
      <c r="W267" t="inlineStr">
        <is>
          <t>2026-07-07</t>
        </is>
      </c>
      <c r="X267" t="inlineStr">
        <is>
          <t>Cursor / tender-response (MCP-enriched)</t>
        </is>
      </c>
      <c r="Y267" t="inlineStr">
        <is>
          <t>Draft needed</t>
        </is>
      </c>
      <c r="Z267" t="inlineStr">
        <is>
          <t>Lead</t>
        </is>
      </c>
      <c r="AA267" t="inlineStr">
        <is>
          <t>Answer: ESPD — informationskrav; udkast bilag/dokumentation mangler.</t>
        </is>
      </c>
      <c r="AB267" t="inlineStr">
        <is>
          <t>Mangler link til svar-bilag i kolonne T.</t>
        </is>
      </c>
      <c r="AC267" t="inlineStr">
        <is>
          <t>ESPD form; no product help or wiki match</t>
        </is>
      </c>
      <c r="AD267" t="inlineStr">
        <is>
          <t>Anita: Opret/link svar-bilag; draft IK-tekst fra prior art.</t>
        </is>
      </c>
      <c r="AE267" t="inlineStr"/>
      <c r="AF267" t="inlineStr">
        <is>
          <t>Draft</t>
        </is>
      </c>
      <c r="AG267" t="inlineStr">
        <is>
          <t>uim-esdh-full-2026-07-07</t>
        </is>
      </c>
    </row>
    <row r="268" ht="48" customHeight="1">
      <c r="A268" s="35" t="n">
        <v>267</v>
      </c>
      <c r="B268" s="35" t="inlineStr">
        <is>
          <t>Bilag 1 - tidsplan og implementering</t>
        </is>
      </c>
      <c r="C268" s="35" t="inlineStr">
        <is>
          <t>Bilag 1</t>
        </is>
      </c>
      <c r="D268" s="35" t="inlineStr">
        <is>
          <t>tidsplan</t>
        </is>
      </c>
      <c r="E268" s="35" t="inlineStr">
        <is>
          <t>tidsplan</t>
        </is>
      </c>
      <c r="F268" s="35" t="inlineStr">
        <is>
          <t>Bilag 1's krav til tidsplanen inkl. Go-live dato d. 1. oktober 2027</t>
        </is>
      </c>
      <c r="G268" s="35" t="inlineStr">
        <is>
          <t>Mindstekrav</t>
        </is>
      </c>
      <c r="H268" s="35" t="inlineStr">
        <is>
          <t>Answer</t>
        </is>
      </c>
      <c r="I268" s="35" t="inlineStr">
        <is>
          <t>Nej</t>
        </is>
      </c>
      <c r="J268" s="35" t="n"/>
      <c r="K268" s="47" t="n"/>
      <c r="L268" s="35" t="inlineStr">
        <is>
          <t>Cristina</t>
        </is>
      </c>
      <c r="M268" s="35" t="n"/>
      <c r="N268" s="35" t="n"/>
      <c r="O268" s="35" t="n"/>
      <c r="P268" s="35" t="n"/>
      <c r="Q268" s="35" t="n"/>
      <c r="R268" s="35" t="n"/>
      <c r="S268" s="35" t="n"/>
      <c r="T268" s="35" t="n"/>
      <c r="U268" s="35" t="inlineStr">
        <is>
          <t>Not Started</t>
        </is>
      </c>
      <c r="V268" s="37">
        <f>IF(U268="Not Started",0%,IF(U268="Started",50%,IF(U268="Ready for review",70%,IF(U268="Reviewed - Content",80%,IF(U268="Reviewed - Format",90%,IF(U268="Done",100%,""))))))</f>
        <v/>
      </c>
      <c r="W268" t="inlineStr">
        <is>
          <t>2026-07-07</t>
        </is>
      </c>
      <c r="X268" t="inlineStr">
        <is>
          <t>Cursor / tender-response (MCP-enriched)</t>
        </is>
      </c>
      <c r="Y268" t="inlineStr">
        <is>
          <t>Draft needed</t>
        </is>
      </c>
      <c r="Z268" t="inlineStr">
        <is>
          <t>Lead</t>
        </is>
      </c>
      <c r="AA268" t="inlineStr">
        <is>
          <t>Answer: tidsplan — informationskrav; udkast bilag/dokumentation mangler.</t>
        </is>
      </c>
      <c r="AB268" t="inlineStr">
        <is>
          <t>Mangler link til svar-bilag i kolonne T.</t>
        </is>
      </c>
      <c r="AC268" t="inlineStr">
        <is>
          <t>Wiki: Implementation Process</t>
        </is>
      </c>
      <c r="AD268" t="inlineStr">
        <is>
          <t>Cristina: Opret/link svar-bilag; draft IK-tekst fra prior art.</t>
        </is>
      </c>
      <c r="AE268" t="inlineStr"/>
      <c r="AF268" t="inlineStr">
        <is>
          <t>Draft</t>
        </is>
      </c>
      <c r="AG268" t="inlineStr">
        <is>
          <t>uim-esdh-full-2026-07-07</t>
        </is>
      </c>
    </row>
    <row r="269" ht="144" customHeight="1">
      <c r="A269" s="35" t="n">
        <v>268</v>
      </c>
      <c r="B269" s="35" t="inlineStr">
        <is>
          <t>Bilag 1 - Optioner</t>
        </is>
      </c>
      <c r="C269" s="35" t="inlineStr">
        <is>
          <t>Bilag 1</t>
        </is>
      </c>
      <c r="D269" s="35" t="inlineStr">
        <is>
          <t>optioner</t>
        </is>
      </c>
      <c r="E269" s="35" t="inlineStr">
        <is>
          <t>optioner</t>
        </is>
      </c>
      <c r="F269"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G269" s="35" t="inlineStr">
        <is>
          <t>Mindstekrav</t>
        </is>
      </c>
      <c r="H269" s="35" t="inlineStr">
        <is>
          <t>Answer</t>
        </is>
      </c>
      <c r="I269" s="35" t="inlineStr">
        <is>
          <t>Nej</t>
        </is>
      </c>
      <c r="J269" s="35" t="n"/>
      <c r="K269" s="47" t="n"/>
      <c r="L269" s="35" t="inlineStr">
        <is>
          <t>Hans</t>
        </is>
      </c>
      <c r="M269" s="35" t="n"/>
      <c r="N269" s="35" t="n"/>
      <c r="O269" s="35" t="n"/>
      <c r="P269"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c r="Q269" s="35" t="n"/>
      <c r="R269" s="35" t="inlineStr">
        <is>
          <t>Yes</t>
        </is>
      </c>
      <c r="S269" s="35" t="n"/>
      <c r="T269" s="35" t="n"/>
      <c r="U269" s="35" t="inlineStr">
        <is>
          <t>Not Started</t>
        </is>
      </c>
      <c r="V269" s="37">
        <f>IF(U269="Not Started",0%,IF(U269="Started",50%,IF(U269="Ready for review",70%,IF(U269="Reviewed - Content",80%,IF(U269="Reviewed - Format",90%,IF(U269="Done",100%,""))))))</f>
        <v/>
      </c>
      <c r="W269" t="inlineStr">
        <is>
          <t>2026-07-07</t>
        </is>
      </c>
      <c r="X269" t="inlineStr">
        <is>
          <t>Cursor / tender-response (MCP-enriched)</t>
        </is>
      </c>
      <c r="Y269" t="inlineStr">
        <is>
          <t>Draft needed</t>
        </is>
      </c>
      <c r="Z269" t="inlineStr">
        <is>
          <t>Lead</t>
        </is>
      </c>
      <c r="AA269" t="inlineStr">
        <is>
          <t>Answer: optioner — informationskrav; udkast bilag/dokumentation mangler.</t>
        </is>
      </c>
      <c r="AB269" t="inlineStr">
        <is>
          <t>OBS: Vi kan stå for ansvaret for deres drift med 20 DAGES varsel.
Option 7 lugter af at vi/KMD evt skal uddanne Deloitte til at håndtere driften for dem.
Vi kan ikke give gå-væk-priser på nogle af disse. De indgår i den evalueringstekniske pris. | Mangler link til svar-bilag i kolonne T.</t>
        </is>
      </c>
      <c r="AC269" t="inlineStr">
        <is>
          <t>Contract options/pricing; no product help or wiki match</t>
        </is>
      </c>
      <c r="AD269" t="inlineStr">
        <is>
          <t>Hans: Opret/link svar-bilag; draft IK-tekst fra prior art.</t>
        </is>
      </c>
      <c r="AE269" t="inlineStr"/>
      <c r="AF269" t="inlineStr">
        <is>
          <t>Draft</t>
        </is>
      </c>
      <c r="AG269" t="inlineStr">
        <is>
          <t>uim-esdh-full-2026-07-07</t>
        </is>
      </c>
    </row>
    <row r="270" ht="64" customHeight="1">
      <c r="A270" s="35" t="n">
        <v>269</v>
      </c>
      <c r="B270" s="35" t="inlineStr">
        <is>
          <t>Bilag 1 - Sikkerhed</t>
        </is>
      </c>
      <c r="C270" s="35" t="inlineStr">
        <is>
          <t>Bilag 1</t>
        </is>
      </c>
      <c r="D270" s="35" t="inlineStr">
        <is>
          <t>Sikkerhedskrav, herunder -godkendelse</t>
        </is>
      </c>
      <c r="E270" s="35" t="inlineStr">
        <is>
          <t>Sikkerhedskrav, herunder -godkendelse</t>
        </is>
      </c>
      <c r="F270" s="35" t="inlineStr">
        <is>
          <t>Verificering af sikkerhedskrav, inkl.:
Leverandørens medarbejdere, der skal understøtte Kunden i Leveringskontraktens levetid, skal sikkerhedsgodkendes jf. Leveringskontrakten pkt. 11.</t>
        </is>
      </c>
      <c r="G270" s="35" t="inlineStr">
        <is>
          <t>Mindstekrav</t>
        </is>
      </c>
      <c r="H270" s="35">
        <f>IF(G270="Evalueringskrav","Answer",(IF(G270="Krav","Check",(IF(G270="Mindstekrav","Verify","")))))</f>
        <v/>
      </c>
      <c r="I270" s="35" t="inlineStr">
        <is>
          <t>Nej</t>
        </is>
      </c>
      <c r="J270" s="35" t="n"/>
      <c r="K270" s="47" t="n"/>
      <c r="L270" s="35" t="inlineStr">
        <is>
          <t>Morten</t>
        </is>
      </c>
      <c r="M270" s="35" t="n"/>
      <c r="N270" s="35" t="n"/>
      <c r="O270" s="35" t="n"/>
      <c r="P270" s="35" t="n"/>
      <c r="Q270" s="35" t="n"/>
      <c r="R270" s="35" t="n"/>
      <c r="S270" s="35" t="n"/>
      <c r="T270" s="35" t="n"/>
      <c r="U270" s="35" t="inlineStr">
        <is>
          <t>Not Started</t>
        </is>
      </c>
      <c r="V270" s="37">
        <f>IF(U270="Not Started",0%,IF(U270="Started",50%,IF(U270="Ready for review",70%,IF(U270="Reviewed - Content",80%,IF(U270="Reviewed - Format",90%,IF(U270="Done",100%,""))))))</f>
        <v/>
      </c>
      <c r="W270" t="inlineStr">
        <is>
          <t>2026-07-07</t>
        </is>
      </c>
      <c r="X270" t="inlineStr">
        <is>
          <t>Cursor / tender-response (MCP-enriched)</t>
        </is>
      </c>
      <c r="Y270" t="inlineStr">
        <is>
          <t>Clarify</t>
        </is>
      </c>
      <c r="Z270" t="inlineStr">
        <is>
          <t>Lead</t>
        </is>
      </c>
      <c r="AA270" t="inlineStr">
        <is>
          <t>Verify: Sikkerhedskrav, herunder -godkendelse — kræver produkt-/team-afklaring (ingen tool-rating).</t>
        </is>
      </c>
      <c r="AB270" t="inlineStr"/>
      <c r="AC270" t="inlineStr">
        <is>
          <t>Wiki: Internal 360; 360° Online Security Specifications customer version</t>
        </is>
      </c>
      <c r="AD270" t="inlineStr">
        <is>
          <t>Morten: Udfyld tool-rating (O) og evidens; gennemgå AI-kladde.</t>
        </is>
      </c>
      <c r="AE270" t="inlineStr"/>
      <c r="AF270" t="inlineStr">
        <is>
          <t>Draft</t>
        </is>
      </c>
      <c r="AG270" t="inlineStr">
        <is>
          <t>uim-esdh-full-2026-07-07</t>
        </is>
      </c>
    </row>
    <row r="271" ht="80" customHeight="1">
      <c r="A271" s="35" t="n">
        <v>270</v>
      </c>
      <c r="B271" s="3" t="inlineStr">
        <is>
          <t>B1.A-1</t>
        </is>
      </c>
      <c r="C271" s="3" t="inlineStr">
        <is>
          <t>Bilag 1.a</t>
        </is>
      </c>
      <c r="D271" s="3" t="inlineStr">
        <is>
          <t>Brugsvilkår (fra 02.06 Oversigt)</t>
        </is>
      </c>
      <c r="E271" s="3" t="inlineStr">
        <is>
          <t>Optælling og afregning af licenser</t>
        </is>
      </c>
      <c r="F271" s="35" t="inlineStr">
        <is>
          <t>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t>
        </is>
      </c>
      <c r="G271" s="3" t="inlineStr">
        <is>
          <t>Mindstekrav</t>
        </is>
      </c>
      <c r="H271" s="35">
        <f>IF(G271="Evalueringskrav","Answer",(IF(G271="Krav","Check",(IF(G271="Mindstekrav","Verify","")))))</f>
        <v/>
      </c>
      <c r="I271" s="35" t="inlineStr">
        <is>
          <t>Nej</t>
        </is>
      </c>
      <c r="J271" s="35" t="n"/>
      <c r="K271" s="47" t="n"/>
      <c r="L271" s="35" t="inlineStr">
        <is>
          <t>Hans</t>
        </is>
      </c>
      <c r="M271" s="35" t="n"/>
      <c r="N271" s="35" t="n"/>
      <c r="O271" s="35" t="n"/>
      <c r="P271" s="35" t="n"/>
      <c r="Q271" s="35" t="n"/>
      <c r="R271" s="35" t="n"/>
      <c r="S271" s="35" t="n"/>
      <c r="T271" s="35" t="n"/>
      <c r="U271" s="35" t="inlineStr">
        <is>
          <t>Not Started</t>
        </is>
      </c>
      <c r="V271" s="37">
        <f>IF(U271="Not Started",0%,IF(U271="Started",50%,IF(U271="Ready for review",70%,IF(U271="Reviewed - Content",80%,IF(U271="Reviewed - Format",90%,IF(U271="Done",100%,""))))))</f>
        <v/>
      </c>
      <c r="W271" t="inlineStr">
        <is>
          <t>2026-07-07</t>
        </is>
      </c>
      <c r="X271" t="inlineStr">
        <is>
          <t>Cursor / tender-response (batch)</t>
        </is>
      </c>
      <c r="Y271" t="inlineStr">
        <is>
          <t>Clarify</t>
        </is>
      </c>
      <c r="Z271" t="inlineStr">
        <is>
          <t>Verified</t>
        </is>
      </c>
      <c r="AA271" t="inlineStr">
        <is>
          <t>Verify: Optælling og afregning af licenser — kræver produkt-/team-afklaring (ingen tool-rating).</t>
        </is>
      </c>
      <c r="AB271" t="inlineStr"/>
      <c r="AC271" t="inlineStr">
        <is>
          <t>docs/tender-reference/extracted/Nationalbanken/Bilag 3.i Leverandørens Løsningsbeskrivelse.txt; docs/tender-reference/extracted/KK Tender tool.txt; docs/tender-reference/extracted/KUM-SLKS/Bilag 10 - Producentens standardvilkår.txt</t>
        </is>
      </c>
      <c r="AD271" t="inlineStr">
        <is>
          <t>Hans: Udfyld tool-rating (O) og evidens; gennemgå AI-kladde.</t>
        </is>
      </c>
      <c r="AE271" t="inlineStr"/>
      <c r="AF271" t="inlineStr">
        <is>
          <t>Draft</t>
        </is>
      </c>
      <c r="AG271" t="inlineStr">
        <is>
          <t>uim-esdh-full-2026-07-07</t>
        </is>
      </c>
    </row>
    <row r="272" ht="96" customHeight="1">
      <c r="A272" s="35" t="n">
        <v>271</v>
      </c>
      <c r="B272" s="3" t="inlineStr">
        <is>
          <t>B1.A-2</t>
        </is>
      </c>
      <c r="C272" s="3" t="inlineStr">
        <is>
          <t>Bilag 1.a</t>
        </is>
      </c>
      <c r="D272" s="3" t="inlineStr">
        <is>
          <t>Brugsvilkår (fra 02.06 Oversigt)</t>
        </is>
      </c>
      <c r="E272" s="3" t="inlineStr">
        <is>
          <t>Afregningsform</t>
        </is>
      </c>
      <c r="F272" s="35" t="inlineStr">
        <is>
          <t>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t>
        </is>
      </c>
      <c r="G272" s="3" t="inlineStr">
        <is>
          <t>Mindstekrav</t>
        </is>
      </c>
      <c r="H272" s="35">
        <f>IF(G272="Evalueringskrav","Answer",(IF(G272="Krav","Check",(IF(G272="Mindstekrav","Verify","")))))</f>
        <v/>
      </c>
      <c r="I272" s="35" t="inlineStr">
        <is>
          <t>Nej</t>
        </is>
      </c>
      <c r="J272" s="35" t="n"/>
      <c r="K272" s="47" t="n"/>
      <c r="L272" s="35" t="inlineStr">
        <is>
          <t>Hans</t>
        </is>
      </c>
      <c r="M272" s="35" t="n"/>
      <c r="N272" s="35" t="n"/>
      <c r="O272" s="35" t="n"/>
      <c r="P272" s="35" t="n"/>
      <c r="Q272" s="35" t="n"/>
      <c r="R272" s="35" t="n"/>
      <c r="S272" s="35" t="n"/>
      <c r="T272" s="35" t="n"/>
      <c r="U272" s="35" t="inlineStr">
        <is>
          <t>Not Started</t>
        </is>
      </c>
      <c r="V272" s="37">
        <f>IF(U272="Not Started",0%,IF(U272="Started",50%,IF(U272="Ready for review",70%,IF(U272="Reviewed - Content",80%,IF(U272="Reviewed - Format",90%,IF(U272="Done",100%,""))))))</f>
        <v/>
      </c>
      <c r="W272" t="inlineStr">
        <is>
          <t>2026-07-07</t>
        </is>
      </c>
      <c r="X272" t="inlineStr">
        <is>
          <t>Cursor / tender-response (batch)</t>
        </is>
      </c>
      <c r="Y272" t="inlineStr">
        <is>
          <t>Clarify</t>
        </is>
      </c>
      <c r="Z272" t="inlineStr">
        <is>
          <t>Verified</t>
        </is>
      </c>
      <c r="AA272" t="inlineStr">
        <is>
          <t>Verify: Afregningsform — kræver produkt-/team-afklaring (ingen tool-rating).</t>
        </is>
      </c>
      <c r="AB272" t="inlineStr"/>
      <c r="AC272" t="inlineStr">
        <is>
          <t>docs/tender-reference/extracted/KK Tender tool.txt; docs/tender-reference/extracted/KUM-SLKS/Bilag 10 - Producentens standardvilkår.txt; docs/tender-reference/extracted/Nationalbanken/Bilag 3.i Leverandørens Løsningsbeskrivelse.txt</t>
        </is>
      </c>
      <c r="AD272" t="inlineStr">
        <is>
          <t>Hans: Udfyld tool-rating (O) og evidens; gennemgå AI-kladde.</t>
        </is>
      </c>
      <c r="AE272" t="inlineStr"/>
      <c r="AF272" t="inlineStr">
        <is>
          <t>Draft</t>
        </is>
      </c>
      <c r="AG272" t="inlineStr">
        <is>
          <t>uim-esdh-full-2026-07-07</t>
        </is>
      </c>
    </row>
    <row r="273" ht="192" customHeight="1">
      <c r="A273" s="35" t="n">
        <v>272</v>
      </c>
      <c r="B273" s="3" t="inlineStr">
        <is>
          <t>B1.A-3</t>
        </is>
      </c>
      <c r="C273" s="3" t="inlineStr">
        <is>
          <t>Bilag 1.a</t>
        </is>
      </c>
      <c r="D273" s="3" t="inlineStr">
        <is>
          <t>Brugsvilkår (fra 02.06 Oversigt)</t>
        </is>
      </c>
      <c r="E273" s="3" t="inlineStr">
        <is>
          <t>Organisatorisk anvendelsesret</t>
        </is>
      </c>
      <c r="F273" s="35" t="inlineStr">
        <is>
          <t>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t>
        </is>
      </c>
      <c r="G273" s="3" t="inlineStr">
        <is>
          <t>Mindstekrav</t>
        </is>
      </c>
      <c r="H273" s="35">
        <f>IF(G273="Evalueringskrav","Answer",(IF(G273="Krav","Check",(IF(G273="Mindstekrav","Verify","")))))</f>
        <v/>
      </c>
      <c r="I273" s="35" t="inlineStr">
        <is>
          <t>Nej</t>
        </is>
      </c>
      <c r="J273" s="35" t="n"/>
      <c r="K273" s="47" t="n"/>
      <c r="L273" s="35" t="inlineStr">
        <is>
          <t>Mandip</t>
        </is>
      </c>
      <c r="M273" s="35" t="n"/>
      <c r="N273" s="35" t="n"/>
      <c r="O273" s="35" t="n"/>
      <c r="P273" s="35" t="inlineStr">
        <is>
          <t xml:space="preserve">Dette betyder, at de kan udvide brugen til hele koncernen, hvis de ønsker. </t>
        </is>
      </c>
      <c r="Q273" s="35" t="n"/>
      <c r="R273" s="35" t="n"/>
      <c r="S273" s="35" t="n"/>
      <c r="T273" s="35" t="n"/>
      <c r="U273" s="35" t="inlineStr">
        <is>
          <t>Not Started</t>
        </is>
      </c>
      <c r="V273" s="37">
        <f>IF(U273="Not Started",0%,IF(U273="Started",50%,IF(U273="Ready for review",70%,IF(U273="Reviewed - Content",80%,IF(U273="Reviewed - Format",90%,IF(U273="Done",100%,""))))))</f>
        <v/>
      </c>
      <c r="W273" t="inlineStr">
        <is>
          <t>2026-07-07</t>
        </is>
      </c>
      <c r="X273" t="inlineStr">
        <is>
          <t>Cursor / tender-response (batch)</t>
        </is>
      </c>
      <c r="Y273" t="inlineStr">
        <is>
          <t>Clarify</t>
        </is>
      </c>
      <c r="Z273" t="inlineStr">
        <is>
          <t>Verified</t>
        </is>
      </c>
      <c r="AA273" t="inlineStr">
        <is>
          <t>Verify: Organisatorisk anvendelsesret — kræver produkt-/team-afklaring (ingen tool-rating).</t>
        </is>
      </c>
      <c r="AB273" t="inlineStr">
        <is>
          <t>Dette betyder, at de kan udvide brugen til hele koncernen, hvis de ønsker.</t>
        </is>
      </c>
      <c r="AC273" t="inlineStr">
        <is>
          <t>docs/tender-reference/extracted/Nationalbanken/Bilag 3.i Leverandørens Løsningsbeskrivelse.txt; docs/tender-reference/extracted/KK Tender tool.txt; docs/tender-reference/extracted/KUM-SLKS/Bilag 10 - Producentens standardvilkår.txt</t>
        </is>
      </c>
      <c r="AD273" t="inlineStr">
        <is>
          <t>Mandip: Udfyld tool-rating (O) og evidens; gennemgå AI-kladde.</t>
        </is>
      </c>
      <c r="AE273" t="inlineStr"/>
      <c r="AF273" t="inlineStr">
        <is>
          <t>Draft</t>
        </is>
      </c>
      <c r="AG273" t="inlineStr">
        <is>
          <t>uim-esdh-full-2026-07-07</t>
        </is>
      </c>
    </row>
    <row r="274" ht="80" customHeight="1">
      <c r="A274" s="35" t="n">
        <v>273</v>
      </c>
      <c r="B274" s="3" t="inlineStr">
        <is>
          <t>B1.A-4</t>
        </is>
      </c>
      <c r="C274" s="3" t="inlineStr">
        <is>
          <t>Bilag 1.a</t>
        </is>
      </c>
      <c r="D274" s="3" t="inlineStr">
        <is>
          <t>Brugsvilkår (fra 02.06 Oversigt)</t>
        </is>
      </c>
      <c r="E274" s="3" t="inlineStr">
        <is>
          <t>Geografisk ret</t>
        </is>
      </c>
      <c r="F274" s="35" t="inlineStr">
        <is>
          <t>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t>
        </is>
      </c>
      <c r="G274" s="3" t="inlineStr">
        <is>
          <t>Mindstekrav</t>
        </is>
      </c>
      <c r="H274" s="35">
        <f>IF(G274="Evalueringskrav","Answer",(IF(G274="Krav","Check",(IF(G274="Mindstekrav","Verify","")))))</f>
        <v/>
      </c>
      <c r="I274" s="35" t="inlineStr">
        <is>
          <t>Nej</t>
        </is>
      </c>
      <c r="J274" s="35" t="n"/>
      <c r="K274" s="47" t="n"/>
      <c r="L274" s="35" t="inlineStr">
        <is>
          <t>Mandip</t>
        </is>
      </c>
      <c r="M274" s="35" t="n"/>
      <c r="N274" s="35" t="n"/>
      <c r="O274" s="35" t="n"/>
      <c r="P274" s="35" t="n"/>
      <c r="Q274" s="35" t="n"/>
      <c r="R274" s="35" t="n"/>
      <c r="S274" s="35" t="n"/>
      <c r="T274" s="35" t="n"/>
      <c r="U274" s="35" t="inlineStr">
        <is>
          <t>Not Started</t>
        </is>
      </c>
      <c r="V274" s="37">
        <f>IF(U274="Not Started",0%,IF(U274="Started",50%,IF(U274="Ready for review",70%,IF(U274="Reviewed - Content",80%,IF(U274="Reviewed - Format",90%,IF(U274="Done",100%,""))))))</f>
        <v/>
      </c>
      <c r="W274" t="inlineStr">
        <is>
          <t>2026-07-07</t>
        </is>
      </c>
      <c r="X274" t="inlineStr">
        <is>
          <t>Cursor / tender-response (batch)</t>
        </is>
      </c>
      <c r="Y274" t="inlineStr">
        <is>
          <t>Clarify</t>
        </is>
      </c>
      <c r="Z274" t="inlineStr">
        <is>
          <t>Verified</t>
        </is>
      </c>
      <c r="AA274" t="inlineStr">
        <is>
          <t>Verify: Geografisk ret — kræver produkt-/team-afklaring (ingen tool-rating).</t>
        </is>
      </c>
      <c r="AB274" t="inlineStr"/>
      <c r="AC27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74" t="inlineStr">
        <is>
          <t>Mandip: Udfyld tool-rating (O) og evidens; gennemgå AI-kladde.</t>
        </is>
      </c>
      <c r="AE274" t="inlineStr"/>
      <c r="AF274" t="inlineStr">
        <is>
          <t>Draft</t>
        </is>
      </c>
      <c r="AG274" t="inlineStr">
        <is>
          <t>uim-esdh-full-2026-07-07</t>
        </is>
      </c>
    </row>
    <row r="275" ht="208" customHeight="1">
      <c r="A275" s="35" t="n">
        <v>274</v>
      </c>
      <c r="B275" s="3" t="inlineStr">
        <is>
          <t>B1.A-5</t>
        </is>
      </c>
      <c r="C275" s="3" t="inlineStr">
        <is>
          <t>Bilag 1.a</t>
        </is>
      </c>
      <c r="D275" s="3" t="inlineStr">
        <is>
          <t>Brugsvilkår (fra 02.06 Oversigt)</t>
        </is>
      </c>
      <c r="E275" s="3" t="inlineStr">
        <is>
          <t>Audit - 60 dages forberedelse</t>
        </is>
      </c>
      <c r="F275" s="35" t="inlineStr">
        <is>
          <t>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t>
        </is>
      </c>
      <c r="G275" s="3" t="inlineStr">
        <is>
          <t>Mindstekrav</t>
        </is>
      </c>
      <c r="H275" s="35">
        <f>IF(G275="Evalueringskrav","Answer",(IF(G275="Krav","Check",(IF(G275="Mindstekrav","Verify","")))))</f>
        <v/>
      </c>
      <c r="I275" s="35" t="inlineStr">
        <is>
          <t>Nej</t>
        </is>
      </c>
      <c r="J275" s="35" t="n"/>
      <c r="K275" s="47" t="n"/>
      <c r="L275" s="35" t="inlineStr">
        <is>
          <t>Hans</t>
        </is>
      </c>
      <c r="M275" s="35" t="n"/>
      <c r="N275" s="35" t="n"/>
      <c r="O275" s="35" t="n"/>
      <c r="P275" s="35" t="inlineStr">
        <is>
          <t>Vi plejer ikke at skulle advisere dem, men vi kan bare udmelde i begyndelsen af året, hvornår vi gør det.</t>
        </is>
      </c>
      <c r="Q275" s="35" t="n"/>
      <c r="R275" s="35" t="n"/>
      <c r="S275" s="35" t="n"/>
      <c r="T275" s="35" t="n"/>
      <c r="U275" s="35" t="inlineStr">
        <is>
          <t>Not Started</t>
        </is>
      </c>
      <c r="V275" s="37">
        <f>IF(U275="Not Started",0%,IF(U275="Started",50%,IF(U275="Ready for review",70%,IF(U275="Reviewed - Content",80%,IF(U275="Reviewed - Format",90%,IF(U275="Done",100%,""))))))</f>
        <v/>
      </c>
      <c r="W275" t="inlineStr">
        <is>
          <t>2026-07-07</t>
        </is>
      </c>
      <c r="X275" t="inlineStr">
        <is>
          <t>Cursor / tender-response (batch)</t>
        </is>
      </c>
      <c r="Y275" t="inlineStr">
        <is>
          <t>Clarify</t>
        </is>
      </c>
      <c r="Z275" t="inlineStr">
        <is>
          <t>Verified</t>
        </is>
      </c>
      <c r="AA275" t="inlineStr">
        <is>
          <t>Verify: Audit - 60 dages forberedelse — kræver produkt-/team-afklaring (ingen tool-rating).</t>
        </is>
      </c>
      <c r="AB275" t="inlineStr">
        <is>
          <t>Vi plejer ikke at skulle advisere dem, men vi kan bare udmelde i begyndelsen af året, hvornår vi gør det.</t>
        </is>
      </c>
      <c r="AC275" t="inlineStr">
        <is>
          <t>docs/tender-reference/extracted/Nationalbanken/Bilag 3.i Leverandørens Løsningsbeskrivelse.txt; docs/tender-reference/extracted/KK Tender tool.txt; docs/tender-reference/extracted/KUM-SLKS/Bilag 10 - Producentens standardvilkår.txt</t>
        </is>
      </c>
      <c r="AD275" t="inlineStr">
        <is>
          <t>Hans: Udfyld tool-rating (O) og evidens; gennemgå AI-kladde.</t>
        </is>
      </c>
      <c r="AE275" t="inlineStr"/>
      <c r="AF275" t="inlineStr">
        <is>
          <t>Draft</t>
        </is>
      </c>
      <c r="AG275" t="inlineStr">
        <is>
          <t>uim-esdh-full-2026-07-07</t>
        </is>
      </c>
    </row>
    <row r="276" ht="80" customHeight="1">
      <c r="A276" s="35" t="n">
        <v>275</v>
      </c>
      <c r="B276" s="3" t="inlineStr">
        <is>
          <t>B1.A-6</t>
        </is>
      </c>
      <c r="C276" s="3" t="inlineStr">
        <is>
          <t>Bilag 1.a</t>
        </is>
      </c>
      <c r="D276" s="3" t="inlineStr">
        <is>
          <t>Brugsvilkår (fra 02.06 Oversigt)</t>
        </is>
      </c>
      <c r="E276" s="3" t="inlineStr">
        <is>
          <t>Audit - konsekvens</t>
        </is>
      </c>
      <c r="F276" s="35" t="inlineStr">
        <is>
          <t>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t>
        </is>
      </c>
      <c r="G276" s="3" t="inlineStr">
        <is>
          <t>Mindstekrav</t>
        </is>
      </c>
      <c r="H276" s="35">
        <f>IF(G276="Evalueringskrav","Answer",(IF(G276="Krav","Check",(IF(G276="Mindstekrav","Verify","")))))</f>
        <v/>
      </c>
      <c r="I276" s="35" t="inlineStr">
        <is>
          <t>Nej</t>
        </is>
      </c>
      <c r="J276" s="35" t="n"/>
      <c r="K276" s="47" t="n"/>
      <c r="L276" s="35" t="inlineStr">
        <is>
          <t>Hans</t>
        </is>
      </c>
      <c r="M276" s="35" t="n"/>
      <c r="N276" s="35" t="n"/>
      <c r="O276" s="35" t="n"/>
      <c r="P276" s="35" t="inlineStr">
        <is>
          <t>Som det er for de fleste kunder i dag.</t>
        </is>
      </c>
      <c r="Q276" s="35" t="n"/>
      <c r="R276" s="35" t="n"/>
      <c r="S276" s="35" t="n"/>
      <c r="T276" s="35" t="n"/>
      <c r="U276" s="35" t="inlineStr">
        <is>
          <t>Not Started</t>
        </is>
      </c>
      <c r="V276" s="37">
        <f>IF(U276="Not Started",0%,IF(U276="Started",50%,IF(U276="Ready for review",70%,IF(U276="Reviewed - Content",80%,IF(U276="Reviewed - Format",90%,IF(U276="Done",100%,""))))))</f>
        <v/>
      </c>
      <c r="W276" t="inlineStr">
        <is>
          <t>2026-07-07</t>
        </is>
      </c>
      <c r="X276" t="inlineStr">
        <is>
          <t>Cursor / tender-response (batch)</t>
        </is>
      </c>
      <c r="Y276" t="inlineStr">
        <is>
          <t>Clarify</t>
        </is>
      </c>
      <c r="Z276" t="inlineStr">
        <is>
          <t>Verified</t>
        </is>
      </c>
      <c r="AA276" t="inlineStr">
        <is>
          <t>Verify: Audit - konsekvens — kræver produkt-/team-afklaring (ingen tool-rating).</t>
        </is>
      </c>
      <c r="AB276" t="inlineStr">
        <is>
          <t>Som det er for de fleste kunder i dag.</t>
        </is>
      </c>
      <c r="AC276" t="inlineStr">
        <is>
          <t>docs/tender-reference/extracted/KK Tender tool.txt; docs/tender-reference/extracted/KUM-SLKS/Bilag 10 - Producentens standardvilkår.txt; docs/tender-reference/extracted/NND/02.01-Tieto-Bilag 2-Vedlegg-Leverandørens utfyllende svar til kravtabell.txt</t>
        </is>
      </c>
      <c r="AD276" t="inlineStr">
        <is>
          <t>Hans: Udfyld tool-rating (O) og evidens; gennemgå AI-kladde.</t>
        </is>
      </c>
      <c r="AE276" t="inlineStr"/>
      <c r="AF276" t="inlineStr">
        <is>
          <t>Draft</t>
        </is>
      </c>
      <c r="AG276" t="inlineStr">
        <is>
          <t>uim-esdh-full-2026-07-07</t>
        </is>
      </c>
    </row>
    <row r="277" ht="64" customHeight="1">
      <c r="A277" s="35" t="n">
        <v>276</v>
      </c>
      <c r="B277" s="3" t="inlineStr">
        <is>
          <t>B1.A-7</t>
        </is>
      </c>
      <c r="C277" s="3" t="inlineStr">
        <is>
          <t>Bilag 1.a</t>
        </is>
      </c>
      <c r="D277" s="3" t="inlineStr">
        <is>
          <t>Brugsvilkår (fra 02.06 Oversigt)</t>
        </is>
      </c>
      <c r="E277" s="3" t="inlineStr">
        <is>
          <t>Dobbeltdrift ved migrering</t>
        </is>
      </c>
      <c r="F277" s="35" t="inlineStr">
        <is>
          <t>Ved migrering af drift fra et system til et andet eller ved skift af driftsleverandør, har Kunden ret til vederlagsfrit at dobbeltdrifte i en periode på op til 4 måneder, hvor systemet migreres fra et driftsmiljø til et andet.</t>
        </is>
      </c>
      <c r="G277" s="3" t="inlineStr">
        <is>
          <t>Mindstekrav</t>
        </is>
      </c>
      <c r="H277" s="35">
        <f>IF(G277="Evalueringskrav","Answer",(IF(G277="Krav","Check",(IF(G277="Mindstekrav","Verify","")))))</f>
        <v/>
      </c>
      <c r="I277" s="35" t="inlineStr">
        <is>
          <t>Nej</t>
        </is>
      </c>
      <c r="J277" s="35" t="n"/>
      <c r="K277" s="47" t="n"/>
      <c r="L277" s="35" t="inlineStr">
        <is>
          <t>Hans</t>
        </is>
      </c>
      <c r="M277" s="35" t="n"/>
      <c r="N277" s="35" t="n"/>
      <c r="O277" s="35" t="n"/>
      <c r="P277" s="35" t="inlineStr">
        <is>
          <t>Prispåvirkning - dette kan være dyrt.</t>
        </is>
      </c>
      <c r="Q277" s="35" t="n"/>
      <c r="R277" s="35" t="n"/>
      <c r="S277" s="35" t="inlineStr">
        <is>
          <t>Yes</t>
        </is>
      </c>
      <c r="T277" s="35" t="n"/>
      <c r="U277" s="35" t="inlineStr">
        <is>
          <t>Not Started</t>
        </is>
      </c>
      <c r="V277" s="37">
        <f>IF(U277="Not Started",0%,IF(U277="Started",50%,IF(U277="Ready for review",70%,IF(U277="Reviewed - Content",80%,IF(U277="Reviewed - Format",90%,IF(U277="Done",100%,""))))))</f>
        <v/>
      </c>
      <c r="W277" t="inlineStr">
        <is>
          <t>2026-07-07</t>
        </is>
      </c>
      <c r="X277" t="inlineStr">
        <is>
          <t>Cursor / tender-response (MCP-enriched)</t>
        </is>
      </c>
      <c r="Y277" t="inlineStr">
        <is>
          <t>Clarify</t>
        </is>
      </c>
      <c r="Z277" t="inlineStr">
        <is>
          <t>Lead</t>
        </is>
      </c>
      <c r="AA277" t="inlineStr">
        <is>
          <t>Verify: Dobbeltdrift ved migrering — kræver produkt-/team-afklaring (ingen tool-rating).</t>
        </is>
      </c>
      <c r="AB277" t="inlineStr">
        <is>
          <t>Prispåvirkning - dette kan være dyrt.</t>
        </is>
      </c>
      <c r="AC277" t="inlineStr">
        <is>
          <t>Contract clause on parallel operation during migration; no product documentation</t>
        </is>
      </c>
      <c r="AD277" t="inlineStr">
        <is>
          <t>Hans: Udfyld tool-rating (O) og evidens; gennemgå AI-kladde.</t>
        </is>
      </c>
      <c r="AE277" t="inlineStr"/>
      <c r="AF277" t="inlineStr">
        <is>
          <t>Draft</t>
        </is>
      </c>
      <c r="AG277" t="inlineStr">
        <is>
          <t>uim-esdh-full-2026-07-07</t>
        </is>
      </c>
    </row>
    <row r="278" ht="128" customHeight="1">
      <c r="A278" s="35" t="n">
        <v>277</v>
      </c>
      <c r="B278" s="3" t="inlineStr">
        <is>
          <t>B1.A-8</t>
        </is>
      </c>
      <c r="C278" s="3" t="inlineStr">
        <is>
          <t>Bilag 1.a</t>
        </is>
      </c>
      <c r="D278" s="3" t="inlineStr">
        <is>
          <t>Brugsvilkår (fra 02.06 Oversigt)</t>
        </is>
      </c>
      <c r="E278" s="3" t="inlineStr">
        <is>
          <t>Data (output)</t>
        </is>
      </c>
      <c r="F278" s="35" t="inlineStr">
        <is>
          <t>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t>
        </is>
      </c>
      <c r="G278" s="3" t="inlineStr">
        <is>
          <t>Mindstekrav</t>
        </is>
      </c>
      <c r="H278" s="35">
        <f>IF(G278="Evalueringskrav","Answer",(IF(G278="Krav","Check",(IF(G278="Mindstekrav","Verify","")))))</f>
        <v/>
      </c>
      <c r="I278" s="35" t="inlineStr">
        <is>
          <t>Nej</t>
        </is>
      </c>
      <c r="J278" s="35" t="n"/>
      <c r="K278" s="47" t="n"/>
      <c r="L278" s="35" t="inlineStr">
        <is>
          <t>Mandip</t>
        </is>
      </c>
      <c r="M278" s="35" t="n"/>
      <c r="N278" s="35" t="n"/>
      <c r="O278" s="35" t="n"/>
      <c r="P278" s="35" t="inlineStr">
        <is>
          <t>Maybe Viktoria?</t>
        </is>
      </c>
      <c r="Q278" s="35" t="n"/>
      <c r="R278" s="35" t="n"/>
      <c r="S278" s="35" t="n"/>
      <c r="T278" s="35" t="n"/>
      <c r="U278" s="35" t="inlineStr">
        <is>
          <t>Not Started</t>
        </is>
      </c>
      <c r="V278" s="37">
        <f>IF(U278="Not Started",0%,IF(U278="Started",50%,IF(U278="Ready for review",70%,IF(U278="Reviewed - Content",80%,IF(U278="Reviewed - Format",90%,IF(U278="Done",100%,""))))))</f>
        <v/>
      </c>
      <c r="W278" t="inlineStr">
        <is>
          <t>2026-07-07</t>
        </is>
      </c>
      <c r="X278" t="inlineStr">
        <is>
          <t>Cursor / tender-response (batch)</t>
        </is>
      </c>
      <c r="Y278" t="inlineStr">
        <is>
          <t>Clarify</t>
        </is>
      </c>
      <c r="Z278" t="inlineStr">
        <is>
          <t>Verified</t>
        </is>
      </c>
      <c r="AA278" t="inlineStr">
        <is>
          <t>Verify: Data (output) — kræver produkt-/team-afklaring (ingen tool-rating).</t>
        </is>
      </c>
      <c r="AB278" t="inlineStr">
        <is>
          <t>Maybe Viktoria?</t>
        </is>
      </c>
      <c r="AC278" t="inlineStr">
        <is>
          <t>docs/tender-reference/extracted/KK Tender tool.txt; docs/tender-reference/extracted/Nationalbanken/Bilag 3.i Leverandørens Løsningsbeskrivelse.txt; docs/tender-reference/extracted/KUM-SLKS/Bilag 3 - Kravspecifikation.txt</t>
        </is>
      </c>
      <c r="AD278" t="inlineStr">
        <is>
          <t>Mandip: Udfyld tool-rating (O) og evidens; gennemgå AI-kladde.</t>
        </is>
      </c>
      <c r="AE278" t="inlineStr"/>
      <c r="AF278" t="inlineStr">
        <is>
          <t>Draft</t>
        </is>
      </c>
      <c r="AG278" t="inlineStr">
        <is>
          <t>uim-esdh-full-2026-07-07</t>
        </is>
      </c>
    </row>
    <row r="279" ht="160" customHeight="1">
      <c r="A279" s="35" t="n">
        <v>278</v>
      </c>
      <c r="B279" s="3" t="inlineStr">
        <is>
          <t>B1.A-9</t>
        </is>
      </c>
      <c r="C279" s="3" t="inlineStr">
        <is>
          <t>Bilag 1.a</t>
        </is>
      </c>
      <c r="D279" s="3" t="inlineStr">
        <is>
          <t>Brugsvilkår (fra 02.06 Oversigt)</t>
        </is>
      </c>
      <c r="E279" s="3" t="inlineStr">
        <is>
          <t>Sikkerhedskopier m.v.</t>
        </is>
      </c>
      <c r="F279"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G279" s="3" t="inlineStr">
        <is>
          <t>Mindstekrav</t>
        </is>
      </c>
      <c r="H279" s="35">
        <f>IF(G279="Evalueringskrav","Answer",(IF(G279="Krav","Check",(IF(G279="Mindstekrav","Verify","")))))</f>
        <v/>
      </c>
      <c r="I279" s="35" t="inlineStr">
        <is>
          <t>Nej</t>
        </is>
      </c>
      <c r="J279" s="35" t="n"/>
      <c r="K279" s="47" t="n"/>
      <c r="L279" s="35" t="inlineStr">
        <is>
          <t>Mandip</t>
        </is>
      </c>
      <c r="M279" s="35" t="n"/>
      <c r="N279" s="35" t="n"/>
      <c r="O279" s="35" t="n"/>
      <c r="P279" s="35" t="inlineStr">
        <is>
          <t>Betyder dette, at de kan få adgang til vores kildekode? At de vil kopiere vores kildekode og gøre med det, hvad de vil? Dette kan vi IKKE leve med.</t>
        </is>
      </c>
      <c r="Q279" s="35" t="n"/>
      <c r="R279" s="35" t="inlineStr">
        <is>
          <t>Yes</t>
        </is>
      </c>
      <c r="S279" s="35" t="n"/>
      <c r="T279" s="35" t="n"/>
      <c r="U279" s="35" t="inlineStr">
        <is>
          <t>Not Started</t>
        </is>
      </c>
      <c r="V279" s="37">
        <f>IF(U279="Not Started",0%,IF(U279="Started",50%,IF(U279="Ready for review",70%,IF(U279="Reviewed - Content",80%,IF(U279="Reviewed - Format",90%,IF(U279="Done",100%,""))))))</f>
        <v/>
      </c>
      <c r="W279" t="inlineStr">
        <is>
          <t>2026-07-07</t>
        </is>
      </c>
      <c r="X279" t="inlineStr">
        <is>
          <t>Cursor / tender-response (MCP-enriched)</t>
        </is>
      </c>
      <c r="Y279" t="inlineStr">
        <is>
          <t>Clarify</t>
        </is>
      </c>
      <c r="Z279" t="inlineStr">
        <is>
          <t>Lead</t>
        </is>
      </c>
      <c r="AA279" t="inlineStr">
        <is>
          <t>Verify: Sikkerhedskopier m.v. — kræver produkt-/team-afklaring (ingen tool-rating).</t>
        </is>
      </c>
      <c r="AB279" t="inlineStr">
        <is>
          <t>Betyder dette, at de kan få adgang til vores kildekode? At de vil kopiere vores kildekode og gøre med det, hvad de vil? Dette kan vi IKKE leve med.</t>
        </is>
      </c>
      <c r="AC279" t="inlineStr">
        <is>
          <t>Wiki: 360° Online Security Specifications customer version</t>
        </is>
      </c>
      <c r="AD279" t="inlineStr">
        <is>
          <t>Mandip: Udfyld tool-rating (O) og evidens; gennemgå AI-kladde.</t>
        </is>
      </c>
      <c r="AE279" t="inlineStr"/>
      <c r="AF279" t="inlineStr">
        <is>
          <t>Draft</t>
        </is>
      </c>
      <c r="AG279" t="inlineStr">
        <is>
          <t>uim-esdh-full-2026-07-07</t>
        </is>
      </c>
    </row>
    <row r="280" ht="96" customHeight="1">
      <c r="A280" s="35" t="n">
        <v>279</v>
      </c>
      <c r="B280" s="3" t="inlineStr">
        <is>
          <t>B1.A-10</t>
        </is>
      </c>
      <c r="C280" s="3" t="inlineStr">
        <is>
          <t>Bilag 1.a</t>
        </is>
      </c>
      <c r="D280" s="3" t="inlineStr">
        <is>
          <t>Brugsvilkår (fra 02.06 Oversigt)</t>
        </is>
      </c>
      <c r="E280" s="3" t="inlineStr">
        <is>
          <t>Kundens driftsleverandører</t>
        </is>
      </c>
      <c r="F280"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G280" s="3" t="inlineStr">
        <is>
          <t>Mindstekrav</t>
        </is>
      </c>
      <c r="H280" s="35">
        <f>IF(G280="Evalueringskrav","Answer",(IF(G280="Krav","Check",(IF(G280="Mindstekrav","Verify","")))))</f>
        <v/>
      </c>
      <c r="I280" s="35" t="inlineStr">
        <is>
          <t>Nej</t>
        </is>
      </c>
      <c r="J280" s="35" t="n"/>
      <c r="K280" s="47" t="n"/>
      <c r="L280" s="35" t="inlineStr">
        <is>
          <t>Mandip</t>
        </is>
      </c>
      <c r="M280" s="35" t="n"/>
      <c r="N280" s="35" t="n"/>
      <c r="O280" s="35" t="n"/>
      <c r="P280" s="35" t="inlineStr">
        <is>
          <t xml:space="preserve">Dette er nok skrevet ind for at Deloitte kan arbejde for dem. </t>
        </is>
      </c>
      <c r="Q280" s="35" t="n"/>
      <c r="R280" s="35" t="n"/>
      <c r="S280" s="35" t="n"/>
      <c r="T280" s="35" t="n"/>
      <c r="U280" s="35" t="inlineStr">
        <is>
          <t>Not Started</t>
        </is>
      </c>
      <c r="V280" s="37">
        <f>IF(U280="Not Started",0%,IF(U280="Started",50%,IF(U280="Ready for review",70%,IF(U280="Reviewed - Content",80%,IF(U280="Reviewed - Format",90%,IF(U280="Done",100%,""))))))</f>
        <v/>
      </c>
      <c r="W280" t="inlineStr">
        <is>
          <t>2026-07-07</t>
        </is>
      </c>
      <c r="X280" t="inlineStr">
        <is>
          <t>Cursor / tender-response (MCP-enriched)</t>
        </is>
      </c>
      <c r="Y280" t="inlineStr">
        <is>
          <t>Clarify</t>
        </is>
      </c>
      <c r="Z280" t="inlineStr">
        <is>
          <t>Lead</t>
        </is>
      </c>
      <c r="AA280" t="inlineStr">
        <is>
          <t>Verify: Kundens driftsleverandører — kræver produkt-/team-afklaring (ingen tool-rating).</t>
        </is>
      </c>
      <c r="AB280" t="inlineStr">
        <is>
          <t>Dette er nok skrevet ind for at Deloitte kan arbejde for dem.</t>
        </is>
      </c>
      <c r="AC280" t="inlineStr">
        <is>
          <t>Wiki: Module overview; Incident Management Third Party Softwares</t>
        </is>
      </c>
      <c r="AD280" t="inlineStr">
        <is>
          <t>Mandip: Udfyld tool-rating (O) og evidens; gennemgå AI-kladde.</t>
        </is>
      </c>
      <c r="AE280" t="inlineStr"/>
      <c r="AF280" t="inlineStr">
        <is>
          <t>Draft</t>
        </is>
      </c>
      <c r="AG280" t="inlineStr">
        <is>
          <t>uim-esdh-full-2026-07-07</t>
        </is>
      </c>
    </row>
    <row r="281" ht="96" customHeight="1">
      <c r="A281" s="35" t="n">
        <v>280</v>
      </c>
      <c r="B281" s="3" t="inlineStr">
        <is>
          <t>B1.A-11</t>
        </is>
      </c>
      <c r="C281" s="3" t="inlineStr">
        <is>
          <t>Bilag 1.a</t>
        </is>
      </c>
      <c r="D281" s="3" t="inlineStr">
        <is>
          <t>Brugsvilkår (udarbejdet af Kunden)</t>
        </is>
      </c>
      <c r="E281" s="3" t="inlineStr">
        <is>
          <t>ESDH Standard API</t>
        </is>
      </c>
      <c r="F281" s="35" t="inlineStr">
        <is>
          <t>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t>
        </is>
      </c>
      <c r="G281" s="3" t="inlineStr">
        <is>
          <t>Mindstekrav</t>
        </is>
      </c>
      <c r="H281" s="35">
        <f>IF(G281="Evalueringskrav","Answer",(IF(G281="Krav","Check",(IF(G281="Mindstekrav","Verify","")))))</f>
        <v/>
      </c>
      <c r="I281" s="35" t="inlineStr">
        <is>
          <t>Nej</t>
        </is>
      </c>
      <c r="J281" s="35" t="n"/>
      <c r="K281" s="47" t="n"/>
      <c r="L281" s="35" t="inlineStr">
        <is>
          <t>Hans</t>
        </is>
      </c>
      <c r="M281" s="35" t="n"/>
      <c r="N281" s="35" t="n"/>
      <c r="O281" s="35" t="n"/>
      <c r="P281" s="35" t="n"/>
      <c r="Q281" s="35" t="n"/>
      <c r="R281" s="35" t="n"/>
      <c r="S281" s="35" t="n"/>
      <c r="T281" s="35" t="n"/>
      <c r="U281" s="35" t="inlineStr">
        <is>
          <t>Not Started</t>
        </is>
      </c>
      <c r="V281" s="37">
        <f>IF(U281="Not Started",0%,IF(U281="Started",50%,IF(U281="Ready for review",70%,IF(U281="Reviewed - Content",80%,IF(U281="Reviewed - Format",90%,IF(U281="Done",100%,""))))))</f>
        <v/>
      </c>
      <c r="W281" t="inlineStr">
        <is>
          <t>2026-07-07</t>
        </is>
      </c>
      <c r="X281" t="inlineStr">
        <is>
          <t>Cursor / tender-response (batch)</t>
        </is>
      </c>
      <c r="Y281" t="inlineStr">
        <is>
          <t>Clarify</t>
        </is>
      </c>
      <c r="Z281" t="inlineStr">
        <is>
          <t>Verified</t>
        </is>
      </c>
      <c r="AA281" t="inlineStr">
        <is>
          <t>Verify: ESDH Standard API — kræver produkt-/team-afklaring (ingen tool-rating).</t>
        </is>
      </c>
      <c r="AB281" t="inlineStr"/>
      <c r="AC281"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1" t="inlineStr">
        <is>
          <t>Hans: Udfyld tool-rating (O) og evidens; gennemgå AI-kladde.</t>
        </is>
      </c>
      <c r="AE281" t="inlineStr"/>
      <c r="AF281" t="inlineStr">
        <is>
          <t>Draft</t>
        </is>
      </c>
      <c r="AG281" t="inlineStr">
        <is>
          <t>uim-esdh-full-2026-07-07</t>
        </is>
      </c>
    </row>
    <row r="282" ht="256" customHeight="1">
      <c r="A282" s="35" t="n">
        <v>281</v>
      </c>
      <c r="B282" s="3" t="inlineStr">
        <is>
          <t>B1.F-1</t>
        </is>
      </c>
      <c r="C282" s="3" t="inlineStr">
        <is>
          <t>Bilag 1.f. Test og prøver</t>
        </is>
      </c>
      <c r="D282" s="3" t="inlineStr">
        <is>
          <t>1.1</t>
        </is>
      </c>
      <c r="E282" s="3" t="inlineStr">
        <is>
          <t>Oversigt over prøver, prøveudførende og miljø</t>
        </is>
      </c>
      <c r="F282" s="35" t="inlineStr">
        <is>
          <t>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t>
        </is>
      </c>
      <c r="G282" s="3" t="inlineStr">
        <is>
          <t>Mindstekrav</t>
        </is>
      </c>
      <c r="H282" s="35">
        <f>IF(G282="Evalueringskrav","Answer",(IF(G282="Krav","Check",(IF(G282="Mindstekrav","Verify","")))))</f>
        <v/>
      </c>
      <c r="I282" s="35" t="inlineStr">
        <is>
          <t>Nej</t>
        </is>
      </c>
      <c r="J282" s="35" t="n"/>
      <c r="K282" s="47" t="n"/>
      <c r="L282" s="35" t="inlineStr">
        <is>
          <t>Cristina</t>
        </is>
      </c>
      <c r="M282" s="35" t="n"/>
      <c r="N282" s="35" t="n"/>
      <c r="O282" s="35" t="n"/>
      <c r="P282" s="35" t="n"/>
      <c r="Q282" s="35" t="n"/>
      <c r="R282" s="35" t="n"/>
      <c r="S282" s="35" t="n"/>
      <c r="T282" s="35" t="n"/>
      <c r="U282" s="35" t="inlineStr">
        <is>
          <t>Not Started</t>
        </is>
      </c>
      <c r="V282" s="37">
        <f>IF(U282="Not Started",0%,IF(U282="Started",50%,IF(U282="Ready for review",70%,IF(U282="Reviewed - Content",80%,IF(U282="Reviewed - Format",90%,IF(U282="Done",100%,""))))))</f>
        <v/>
      </c>
      <c r="W282" t="inlineStr">
        <is>
          <t>2026-07-07</t>
        </is>
      </c>
      <c r="X282" t="inlineStr">
        <is>
          <t>Cursor / tender-response (batch)</t>
        </is>
      </c>
      <c r="Y282" t="inlineStr">
        <is>
          <t>Clarify</t>
        </is>
      </c>
      <c r="Z282" t="inlineStr">
        <is>
          <t>Verified</t>
        </is>
      </c>
      <c r="AA282" t="inlineStr">
        <is>
          <t>Verify: Oversigt over prøver, prøveudførende og miljø — kræver produkt-/team-afklaring (ingen tool-rating).</t>
        </is>
      </c>
      <c r="AB282" t="inlineStr"/>
      <c r="AC282" t="inlineStr">
        <is>
          <t>docs/tender-reference/extracted/KK Tender tool.txt; docs/tender-reference/extracted/KUM-SLKS/Bilag 1 - Tidsplan.txt; docs/tender-reference/extracted/Nationalbanken/Bilag 3.i Leverandørens Løsningsbeskrivelse.txt</t>
        </is>
      </c>
      <c r="AD282" t="inlineStr">
        <is>
          <t>Cristina: Udfyld tool-rating (O) og evidens; gennemgå AI-kladde.</t>
        </is>
      </c>
      <c r="AE282" t="inlineStr"/>
      <c r="AF282" t="inlineStr">
        <is>
          <t>Draft</t>
        </is>
      </c>
      <c r="AG282" t="inlineStr">
        <is>
          <t>uim-esdh-full-2026-07-07</t>
        </is>
      </c>
    </row>
    <row r="283" ht="144" customHeight="1">
      <c r="A283" s="35" t="n">
        <v>282</v>
      </c>
      <c r="B283" s="3" t="inlineStr">
        <is>
          <t>B1.F-2</t>
        </is>
      </c>
      <c r="C283" s="3" t="inlineStr">
        <is>
          <t>Bilag 1.f. Test og prøver</t>
        </is>
      </c>
      <c r="D283" s="3" t="inlineStr">
        <is>
          <t>2.1</t>
        </is>
      </c>
      <c r="E283" s="3" t="inlineStr">
        <is>
          <t>Testdokumentation</t>
        </is>
      </c>
      <c r="F283" s="35" t="inlineStr">
        <is>
          <t>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t>
        </is>
      </c>
      <c r="G283" s="3" t="inlineStr">
        <is>
          <t>Mindstekrav</t>
        </is>
      </c>
      <c r="H283" s="35">
        <f>IF(G283="Evalueringskrav","Answer",(IF(G283="Krav","Check",(IF(G283="Mindstekrav","Verify","")))))</f>
        <v/>
      </c>
      <c r="I283" s="35" t="inlineStr">
        <is>
          <t>Nej</t>
        </is>
      </c>
      <c r="J283" s="35" t="n"/>
      <c r="K283" s="47" t="n"/>
      <c r="L283" s="35" t="inlineStr">
        <is>
          <t>Cristina</t>
        </is>
      </c>
      <c r="M283" s="35" t="n"/>
      <c r="N283" s="35" t="n"/>
      <c r="O283" s="35" t="n"/>
      <c r="P283" s="35" t="n"/>
      <c r="Q283" s="35" t="n"/>
      <c r="R283" s="35" t="n"/>
      <c r="S283" s="35" t="n"/>
      <c r="T283" s="35" t="n"/>
      <c r="U283" s="35" t="inlineStr">
        <is>
          <t>Not Started</t>
        </is>
      </c>
      <c r="V283" s="37">
        <f>IF(U283="Not Started",0%,IF(U283="Started",50%,IF(U283="Ready for review",70%,IF(U283="Reviewed - Content",80%,IF(U283="Reviewed - Format",90%,IF(U283="Done",100%,""))))))</f>
        <v/>
      </c>
      <c r="W283" t="inlineStr">
        <is>
          <t>2026-07-07</t>
        </is>
      </c>
      <c r="X283" t="inlineStr">
        <is>
          <t>Cursor / tender-response (batch)</t>
        </is>
      </c>
      <c r="Y283" t="inlineStr">
        <is>
          <t>Clarify</t>
        </is>
      </c>
      <c r="Z283" t="inlineStr">
        <is>
          <t>Verified</t>
        </is>
      </c>
      <c r="AA283" t="inlineStr">
        <is>
          <t>Verify: Testdokumentation — kræver produkt-/team-afklaring (ingen tool-rating).</t>
        </is>
      </c>
      <c r="AB283" t="inlineStr"/>
      <c r="AC28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3" t="inlineStr">
        <is>
          <t>Cristina: Udfyld tool-rating (O) og evidens; gennemgå AI-kladde.</t>
        </is>
      </c>
      <c r="AE283" t="inlineStr"/>
      <c r="AF283" t="inlineStr">
        <is>
          <t>Draft</t>
        </is>
      </c>
      <c r="AG283" t="inlineStr">
        <is>
          <t>uim-esdh-full-2026-07-07</t>
        </is>
      </c>
    </row>
    <row r="284" ht="409.5" customHeight="1">
      <c r="A284" s="35" t="n">
        <v>283</v>
      </c>
      <c r="B284" s="3" t="inlineStr">
        <is>
          <t>B1.F-3</t>
        </is>
      </c>
      <c r="C284" s="3" t="inlineStr">
        <is>
          <t>Bilag 1.f. Test og prøver</t>
        </is>
      </c>
      <c r="D284" s="3" t="inlineStr">
        <is>
          <t>2.2</t>
        </is>
      </c>
      <c r="E284" s="3" t="inlineStr">
        <is>
          <t>Testplan</t>
        </is>
      </c>
      <c r="F284" s="35" t="inlineStr">
        <is>
          <t>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t>
        </is>
      </c>
      <c r="G284" s="3" t="inlineStr">
        <is>
          <t>Mindstekrav</t>
        </is>
      </c>
      <c r="H284" s="35">
        <f>IF(G284="Evalueringskrav","Answer",(IF(G284="Krav","Check",(IF(G284="Mindstekrav","Verify","")))))</f>
        <v/>
      </c>
      <c r="I284" s="35" t="inlineStr">
        <is>
          <t>Nej</t>
        </is>
      </c>
      <c r="J284" s="35" t="n"/>
      <c r="K284" s="47" t="n"/>
      <c r="L284" s="35" t="inlineStr">
        <is>
          <t>Cristina</t>
        </is>
      </c>
      <c r="M284" s="35" t="n"/>
      <c r="N284" s="35" t="n"/>
      <c r="O284" s="35" t="n"/>
      <c r="P284" s="35" t="n"/>
      <c r="Q284" s="35" t="n"/>
      <c r="R284" s="35" t="n"/>
      <c r="S284" s="35" t="n"/>
      <c r="T284" s="35" t="n"/>
      <c r="U284" s="35" t="inlineStr">
        <is>
          <t>Not Started</t>
        </is>
      </c>
      <c r="V284" s="37">
        <f>IF(U284="Not Started",0%,IF(U284="Started",50%,IF(U284="Ready for review",70%,IF(U284="Reviewed - Content",80%,IF(U284="Reviewed - Format",90%,IF(U284="Done",100%,""))))))</f>
        <v/>
      </c>
      <c r="W284" t="inlineStr">
        <is>
          <t>2026-07-07</t>
        </is>
      </c>
      <c r="X284" t="inlineStr">
        <is>
          <t>Cursor / tender-response (batch)</t>
        </is>
      </c>
      <c r="Y284" t="inlineStr">
        <is>
          <t>Clarify</t>
        </is>
      </c>
      <c r="Z284" t="inlineStr">
        <is>
          <t>Verified</t>
        </is>
      </c>
      <c r="AA284" t="inlineStr">
        <is>
          <t>Verify: Testplan — kræver produkt-/team-afklaring (ingen tool-rating).</t>
        </is>
      </c>
      <c r="AB284" t="inlineStr"/>
      <c r="AC284" t="inlineStr">
        <is>
          <t>docs/tender-reference/extracted/KK Tender tool.txt; docs/tender-reference/extracted/KUM-SLKS/Bilag 1 - Tidsplan.txt; docs/tender-reference/extracted/Nationalbanken/Underbilag 6B - Testplan og Leverandørens prøveprincipper, metoder og -værktøjer (1).txt</t>
        </is>
      </c>
      <c r="AD284" t="inlineStr">
        <is>
          <t>Cristina: Udfyld tool-rating (O) og evidens; gennemgå AI-kladde.</t>
        </is>
      </c>
      <c r="AE284" t="inlineStr"/>
      <c r="AF284" t="inlineStr">
        <is>
          <t>Draft</t>
        </is>
      </c>
      <c r="AG284" t="inlineStr">
        <is>
          <t>uim-esdh-full-2026-07-07</t>
        </is>
      </c>
    </row>
    <row r="285" ht="144" customHeight="1">
      <c r="A285" s="35" t="n">
        <v>284</v>
      </c>
      <c r="B285" s="3" t="inlineStr">
        <is>
          <t>B1.F-4</t>
        </is>
      </c>
      <c r="C285" s="3" t="inlineStr">
        <is>
          <t>Bilag 1.f. Test og prøver</t>
        </is>
      </c>
      <c r="D285" s="3" t="inlineStr">
        <is>
          <t>2.3</t>
        </is>
      </c>
      <c r="E285" s="3" t="inlineStr">
        <is>
          <t>Testcases</t>
        </is>
      </c>
      <c r="F285" s="35" t="inlineStr">
        <is>
          <t>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t>
        </is>
      </c>
      <c r="G285" s="3" t="inlineStr">
        <is>
          <t>Mindstekrav</t>
        </is>
      </c>
      <c r="H285" s="35">
        <f>IF(G285="Evalueringskrav","Answer",(IF(G285="Krav","Check",(IF(G285="Mindstekrav","Verify","")))))</f>
        <v/>
      </c>
      <c r="I285" s="35" t="inlineStr">
        <is>
          <t>Nej</t>
        </is>
      </c>
      <c r="J285" s="35" t="n"/>
      <c r="K285" s="47" t="n"/>
      <c r="L285" s="35" t="inlineStr">
        <is>
          <t>Cristina</t>
        </is>
      </c>
      <c r="M285" s="35" t="n"/>
      <c r="N285" s="35" t="n"/>
      <c r="O285" s="35" t="n"/>
      <c r="P285" s="35" t="n"/>
      <c r="Q285" s="35" t="n"/>
      <c r="R285" s="35" t="n"/>
      <c r="S285" s="35" t="n"/>
      <c r="T285" s="35" t="n"/>
      <c r="U285" s="35" t="inlineStr">
        <is>
          <t>Not Started</t>
        </is>
      </c>
      <c r="V285" s="37">
        <f>IF(U285="Not Started",0%,IF(U285="Started",50%,IF(U285="Ready for review",70%,IF(U285="Reviewed - Content",80%,IF(U285="Reviewed - Format",90%,IF(U285="Done",100%,""))))))</f>
        <v/>
      </c>
      <c r="W285" t="inlineStr">
        <is>
          <t>2026-07-07</t>
        </is>
      </c>
      <c r="X285" t="inlineStr">
        <is>
          <t>Cursor / tender-response (batch)</t>
        </is>
      </c>
      <c r="Y285" t="inlineStr">
        <is>
          <t>Clarify</t>
        </is>
      </c>
      <c r="Z285" t="inlineStr">
        <is>
          <t>Verified</t>
        </is>
      </c>
      <c r="AA285" t="inlineStr">
        <is>
          <t>Verify: Testcases — kræver produkt-/team-afklaring (ingen tool-rating).</t>
        </is>
      </c>
      <c r="AB285" t="inlineStr"/>
      <c r="AC285" t="inlineStr">
        <is>
          <t>docs/tender-reference/extracted/KK Tender tool.txt; docs/tender-reference/extracted/Nationalbanken/Bilag 3.i Leverandørens Løsningsbeskrivelse.txt; docs/tender-reference/extracted/KUM-SLKS/Bilag 1 - Tidsplan.txt</t>
        </is>
      </c>
      <c r="AD285" t="inlineStr">
        <is>
          <t>Cristina: Udfyld tool-rating (O) og evidens; gennemgå AI-kladde.</t>
        </is>
      </c>
      <c r="AE285" t="inlineStr"/>
      <c r="AF285" t="inlineStr">
        <is>
          <t>Draft</t>
        </is>
      </c>
      <c r="AG285" t="inlineStr">
        <is>
          <t>uim-esdh-full-2026-07-07</t>
        </is>
      </c>
    </row>
    <row r="286" ht="409.5" customHeight="1">
      <c r="A286" s="35" t="n">
        <v>285</v>
      </c>
      <c r="B286" s="3" t="inlineStr">
        <is>
          <t>B1.F-5</t>
        </is>
      </c>
      <c r="C286" s="3" t="inlineStr">
        <is>
          <t>Bilag 1.f. Test og prøver</t>
        </is>
      </c>
      <c r="D286" s="3" t="inlineStr">
        <is>
          <t>2.4</t>
        </is>
      </c>
      <c r="E286" s="3" t="inlineStr">
        <is>
          <t>Prøverapport</t>
        </is>
      </c>
      <c r="F286" s="35" t="inlineStr">
        <is>
          <t>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t>
        </is>
      </c>
      <c r="G286" s="3" t="inlineStr">
        <is>
          <t>Mindstekrav</t>
        </is>
      </c>
      <c r="H286" s="35">
        <f>IF(G286="Evalueringskrav","Answer",(IF(G286="Krav","Check",(IF(G286="Mindstekrav","Verify","")))))</f>
        <v/>
      </c>
      <c r="I286" s="35" t="inlineStr">
        <is>
          <t>Nej</t>
        </is>
      </c>
      <c r="J286" s="35" t="n"/>
      <c r="K286" s="47" t="n"/>
      <c r="L286" s="35" t="inlineStr">
        <is>
          <t>Cristina</t>
        </is>
      </c>
      <c r="M286" s="35" t="n"/>
      <c r="N286" s="35" t="n"/>
      <c r="O286" s="35" t="n"/>
      <c r="P286" s="35" t="n"/>
      <c r="Q286" s="35" t="n"/>
      <c r="R286" s="35" t="n"/>
      <c r="S286" s="35" t="n"/>
      <c r="T286" s="35" t="n"/>
      <c r="U286" s="35" t="inlineStr">
        <is>
          <t>Not Started</t>
        </is>
      </c>
      <c r="V286" s="37">
        <f>IF(U286="Not Started",0%,IF(U286="Started",50%,IF(U286="Ready for review",70%,IF(U286="Reviewed - Content",80%,IF(U286="Reviewed - Format",90%,IF(U286="Done",100%,""))))))</f>
        <v/>
      </c>
      <c r="W286" t="inlineStr">
        <is>
          <t>2026-07-07</t>
        </is>
      </c>
      <c r="X286" t="inlineStr">
        <is>
          <t>Cursor / tender-response (batch)</t>
        </is>
      </c>
      <c r="Y286" t="inlineStr">
        <is>
          <t>Clarify</t>
        </is>
      </c>
      <c r="Z286" t="inlineStr">
        <is>
          <t>Verified</t>
        </is>
      </c>
      <c r="AA286" t="inlineStr">
        <is>
          <t>Verify: Prøverapport — kræver produkt-/team-afklaring (ingen tool-rating).</t>
        </is>
      </c>
      <c r="AB286" t="inlineStr"/>
      <c r="AC286" t="inlineStr">
        <is>
          <t>docs/tender-reference/extracted/KUM-SLKS/Bilag 1 - Tidsplan.txt; docs/tender-reference/extracted/Nationalbanken/Underbilag 6B - Testplan og Leverandørens prøveprincipper, metoder og -værktøjer (1).txt; docs/tender-reference/extracted/KK Tender tool.txt</t>
        </is>
      </c>
      <c r="AD286" t="inlineStr">
        <is>
          <t>Cristina: Udfyld tool-rating (O) og evidens; gennemgå AI-kladde.</t>
        </is>
      </c>
      <c r="AE286" t="inlineStr"/>
      <c r="AF286" t="inlineStr">
        <is>
          <t>Draft</t>
        </is>
      </c>
      <c r="AG286" t="inlineStr">
        <is>
          <t>uim-esdh-full-2026-07-07</t>
        </is>
      </c>
    </row>
    <row r="287" ht="128" customHeight="1">
      <c r="A287" s="35" t="n">
        <v>286</v>
      </c>
      <c r="B287" s="3" t="inlineStr">
        <is>
          <t>B1.F-6</t>
        </is>
      </c>
      <c r="C287" s="3" t="inlineStr">
        <is>
          <t>Bilag 1.f. Test og prøver</t>
        </is>
      </c>
      <c r="D287" s="3" t="inlineStr">
        <is>
          <t>2.5</t>
        </is>
      </c>
      <c r="E287" s="3" t="inlineStr">
        <is>
          <t>Testmiljøer</t>
        </is>
      </c>
      <c r="F287" s="35" t="inlineStr">
        <is>
          <t>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t>
        </is>
      </c>
      <c r="G287" s="3" t="inlineStr">
        <is>
          <t>Mindstekrav</t>
        </is>
      </c>
      <c r="H287" s="35">
        <f>IF(G287="Evalueringskrav","Answer",(IF(G287="Krav","Check",(IF(G287="Mindstekrav","Verify","")))))</f>
        <v/>
      </c>
      <c r="I287" s="35" t="inlineStr">
        <is>
          <t>Nej</t>
        </is>
      </c>
      <c r="J287" s="35" t="n"/>
      <c r="K287" s="47" t="n"/>
      <c r="L287" s="35" t="inlineStr">
        <is>
          <t>Cristina</t>
        </is>
      </c>
      <c r="M287" s="35" t="n"/>
      <c r="N287" s="35" t="n"/>
      <c r="O287" s="35" t="n"/>
      <c r="P287" s="35" t="n"/>
      <c r="Q287" s="35" t="n"/>
      <c r="R287" s="35" t="n"/>
      <c r="S287" s="35" t="n"/>
      <c r="T287" s="35" t="n"/>
      <c r="U287" s="35" t="inlineStr">
        <is>
          <t>Not Started</t>
        </is>
      </c>
      <c r="V287" s="37">
        <f>IF(U287="Not Started",0%,IF(U287="Started",50%,IF(U287="Ready for review",70%,IF(U287="Reviewed - Content",80%,IF(U287="Reviewed - Format",90%,IF(U287="Done",100%,""))))))</f>
        <v/>
      </c>
      <c r="W287" t="inlineStr">
        <is>
          <t>2026-07-07</t>
        </is>
      </c>
      <c r="X287" t="inlineStr">
        <is>
          <t>Cursor / tender-response (batch)</t>
        </is>
      </c>
      <c r="Y287" t="inlineStr">
        <is>
          <t>Clarify</t>
        </is>
      </c>
      <c r="Z287" t="inlineStr">
        <is>
          <t>Verified</t>
        </is>
      </c>
      <c r="AA287" t="inlineStr">
        <is>
          <t>Verify: Testmiljøer — kræver produkt-/team-afklaring (ingen tool-rating).</t>
        </is>
      </c>
      <c r="AB287" t="inlineStr"/>
      <c r="AC287" t="inlineStr">
        <is>
          <t>docs/tender-reference/extracted/KK Tender tool.txt; docs/tender-reference/extracted/KUM-SLKS/Bilag 1 - Tidsplan.txt; docs/tender-reference/extracted/Nationalbanken/Bilag 3.i Leverandørens Løsningsbeskrivelse.txt</t>
        </is>
      </c>
      <c r="AD287" t="inlineStr">
        <is>
          <t>Cristina: Udfyld tool-rating (O) og evidens; gennemgå AI-kladde.</t>
        </is>
      </c>
      <c r="AE287" t="inlineStr"/>
      <c r="AF287" t="inlineStr">
        <is>
          <t>Draft</t>
        </is>
      </c>
      <c r="AG287" t="inlineStr">
        <is>
          <t>uim-esdh-full-2026-07-07</t>
        </is>
      </c>
    </row>
    <row r="288" ht="240" customHeight="1">
      <c r="A288" s="35" t="n">
        <v>287</v>
      </c>
      <c r="B288" s="3" t="inlineStr">
        <is>
          <t>B1.F-7</t>
        </is>
      </c>
      <c r="C288" s="3" t="inlineStr">
        <is>
          <t>Bilag 1.f. Test og prøver</t>
        </is>
      </c>
      <c r="D288" s="3" t="inlineStr">
        <is>
          <t>2.6</t>
        </is>
      </c>
      <c r="E288" s="3" t="inlineStr">
        <is>
          <t>Testdata</t>
        </is>
      </c>
      <c r="F288" s="35" t="inlineStr">
        <is>
          <t>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t>
        </is>
      </c>
      <c r="G288" s="3" t="inlineStr">
        <is>
          <t>Mindstekrav</t>
        </is>
      </c>
      <c r="H288" s="35">
        <f>IF(G288="Evalueringskrav","Answer",(IF(G288="Krav","Check",(IF(G288="Mindstekrav","Verify","")))))</f>
        <v/>
      </c>
      <c r="I288" s="35" t="inlineStr">
        <is>
          <t>Nej</t>
        </is>
      </c>
      <c r="J288" s="35" t="n"/>
      <c r="K288" s="47" t="n"/>
      <c r="L288" s="35" t="inlineStr">
        <is>
          <t>Cristina</t>
        </is>
      </c>
      <c r="M288" s="35" t="n"/>
      <c r="N288" s="35" t="n"/>
      <c r="O288" s="35" t="n"/>
      <c r="P288" s="35" t="n"/>
      <c r="Q288" s="35" t="n"/>
      <c r="R288" s="35" t="n"/>
      <c r="S288" s="35" t="n"/>
      <c r="T288" s="35" t="n"/>
      <c r="U288" s="35" t="inlineStr">
        <is>
          <t>Not Started</t>
        </is>
      </c>
      <c r="V288" s="37">
        <f>IF(U288="Not Started",0%,IF(U288="Started",50%,IF(U288="Ready for review",70%,IF(U288="Reviewed - Content",80%,IF(U288="Reviewed - Format",90%,IF(U288="Done",100%,""))))))</f>
        <v/>
      </c>
      <c r="W288" t="inlineStr">
        <is>
          <t>2026-07-07</t>
        </is>
      </c>
      <c r="X288" t="inlineStr">
        <is>
          <t>Cursor / tender-response (batch)</t>
        </is>
      </c>
      <c r="Y288" t="inlineStr">
        <is>
          <t>Clarify</t>
        </is>
      </c>
      <c r="Z288" t="inlineStr">
        <is>
          <t>Verified</t>
        </is>
      </c>
      <c r="AA288" t="inlineStr">
        <is>
          <t>Verify: Testdata — kræver produkt-/team-afklaring (ingen tool-rating).</t>
        </is>
      </c>
      <c r="AB288" t="inlineStr"/>
      <c r="AC288"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8" t="inlineStr">
        <is>
          <t>Cristina: Udfyld tool-rating (O) og evidens; gennemgå AI-kladde.</t>
        </is>
      </c>
      <c r="AE288" t="inlineStr"/>
      <c r="AF288" t="inlineStr">
        <is>
          <t>Draft</t>
        </is>
      </c>
      <c r="AG288" t="inlineStr">
        <is>
          <t>uim-esdh-full-2026-07-07</t>
        </is>
      </c>
    </row>
    <row r="289" ht="80" customHeight="1">
      <c r="A289" s="35" t="n">
        <v>288</v>
      </c>
      <c r="B289" s="3" t="inlineStr">
        <is>
          <t>B1.F-8</t>
        </is>
      </c>
      <c r="C289" s="3" t="inlineStr">
        <is>
          <t>Bilag 1.f. Test og prøver</t>
        </is>
      </c>
      <c r="D289" s="3" t="inlineStr">
        <is>
          <t>2.7</t>
        </is>
      </c>
      <c r="E289" s="3" t="inlineStr">
        <is>
          <t>Roller og ansvar</t>
        </is>
      </c>
      <c r="F289" s="35" t="inlineStr">
        <is>
          <t>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t>
        </is>
      </c>
      <c r="G289" s="3" t="inlineStr">
        <is>
          <t>Mindstekrav</t>
        </is>
      </c>
      <c r="H289" s="35">
        <f>IF(G289="Evalueringskrav","Answer",(IF(G289="Krav","Check",(IF(G289="Mindstekrav","Verify","")))))</f>
        <v/>
      </c>
      <c r="I289" s="35" t="inlineStr">
        <is>
          <t>Nej</t>
        </is>
      </c>
      <c r="J289" s="35" t="n"/>
      <c r="K289" s="47" t="n"/>
      <c r="L289" s="35" t="inlineStr">
        <is>
          <t>Cristina</t>
        </is>
      </c>
      <c r="M289" s="35" t="n"/>
      <c r="N289" s="35" t="n"/>
      <c r="O289" s="35" t="n"/>
      <c r="P289" s="35" t="n"/>
      <c r="Q289" s="35" t="n"/>
      <c r="R289" s="35" t="n"/>
      <c r="S289" s="35" t="n"/>
      <c r="T289" s="35" t="n"/>
      <c r="U289" s="35" t="inlineStr">
        <is>
          <t>Not Started</t>
        </is>
      </c>
      <c r="V289" s="37">
        <f>IF(U289="Not Started",0%,IF(U289="Started",50%,IF(U289="Ready for review",70%,IF(U289="Reviewed - Content",80%,IF(U289="Reviewed - Format",90%,IF(U289="Done",100%,""))))))</f>
        <v/>
      </c>
      <c r="W289" t="inlineStr">
        <is>
          <t>2026-07-07</t>
        </is>
      </c>
      <c r="X289" t="inlineStr">
        <is>
          <t>Cursor / tender-response (batch)</t>
        </is>
      </c>
      <c r="Y289" t="inlineStr">
        <is>
          <t>Clarify</t>
        </is>
      </c>
      <c r="Z289" t="inlineStr">
        <is>
          <t>Verified</t>
        </is>
      </c>
      <c r="AA289" t="inlineStr">
        <is>
          <t>Verify: Roller og ansvar — kræver produkt-/team-afklaring (ingen tool-rating).</t>
        </is>
      </c>
      <c r="AB289" t="inlineStr"/>
      <c r="AC289" t="inlineStr">
        <is>
          <t>docs/tender-reference/extracted/KK Tender tool.txt; docs/tender-reference/extracted/KUM-SLKS/Bilag 1 - Tidsplan.txt; docs/tender-reference/extracted/Nationalbanken/Bilag 3.i Leverandørens Løsningsbeskrivelse.txt</t>
        </is>
      </c>
      <c r="AD289" t="inlineStr">
        <is>
          <t>Cristina: Udfyld tool-rating (O) og evidens; gennemgå AI-kladde.</t>
        </is>
      </c>
      <c r="AE289" t="inlineStr"/>
      <c r="AF289" t="inlineStr">
        <is>
          <t>Draft</t>
        </is>
      </c>
      <c r="AG289" t="inlineStr">
        <is>
          <t>uim-esdh-full-2026-07-07</t>
        </is>
      </c>
    </row>
    <row r="290" ht="176" customHeight="1">
      <c r="A290" s="35" t="n">
        <v>289</v>
      </c>
      <c r="B290" s="3" t="inlineStr">
        <is>
          <t>B1.F-9</t>
        </is>
      </c>
      <c r="C290" s="3" t="inlineStr">
        <is>
          <t>Bilag 1.f. Test og prøver</t>
        </is>
      </c>
      <c r="D290" s="3" t="inlineStr">
        <is>
          <t>2.8</t>
        </is>
      </c>
      <c r="E290" s="3" t="inlineStr">
        <is>
          <t>Kriterier for påbegyndelse af prøver</t>
        </is>
      </c>
      <c r="F290" s="35" t="inlineStr">
        <is>
          <t>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t>
        </is>
      </c>
      <c r="G290" s="3" t="inlineStr">
        <is>
          <t>Mindstekrav</t>
        </is>
      </c>
      <c r="H290" s="35">
        <f>IF(G290="Evalueringskrav","Answer",(IF(G290="Krav","Check",(IF(G290="Mindstekrav","Verify","")))))</f>
        <v/>
      </c>
      <c r="I290" s="35" t="inlineStr">
        <is>
          <t>Nej</t>
        </is>
      </c>
      <c r="J290" s="35" t="n"/>
      <c r="K290" s="47" t="n"/>
      <c r="L290" s="35" t="inlineStr">
        <is>
          <t>Cristina</t>
        </is>
      </c>
      <c r="M290" s="35" t="n"/>
      <c r="N290" s="35" t="n"/>
      <c r="O290" s="35" t="n"/>
      <c r="P290" s="35" t="n"/>
      <c r="Q290" s="35" t="n"/>
      <c r="R290" s="35" t="n"/>
      <c r="S290" s="35" t="n"/>
      <c r="T290" s="35" t="n"/>
      <c r="U290" s="35" t="inlineStr">
        <is>
          <t>Not Started</t>
        </is>
      </c>
      <c r="V290" s="37">
        <f>IF(U290="Not Started",0%,IF(U290="Started",50%,IF(U290="Ready for review",70%,IF(U290="Reviewed - Content",80%,IF(U290="Reviewed - Format",90%,IF(U290="Done",100%,""))))))</f>
        <v/>
      </c>
      <c r="W290" t="inlineStr">
        <is>
          <t>2026-07-07</t>
        </is>
      </c>
      <c r="X290" t="inlineStr">
        <is>
          <t>Cursor / tender-response (batch)</t>
        </is>
      </c>
      <c r="Y290" t="inlineStr">
        <is>
          <t>Clarify</t>
        </is>
      </c>
      <c r="Z290" t="inlineStr">
        <is>
          <t>Verified</t>
        </is>
      </c>
      <c r="AA290" t="inlineStr">
        <is>
          <t>Verify: Kriterier for påbegyndelse af prøver — kræver produkt-/team-afklaring (ingen tool-rating).</t>
        </is>
      </c>
      <c r="AB290" t="inlineStr"/>
      <c r="AC290" t="inlineStr">
        <is>
          <t>docs/tender-reference/extracted/KK Tender tool.txt; docs/tender-reference/extracted/Nationalbanken/Underbilag 6B - Testplan og Leverandørens prøveprincipper, metoder og -værktøjer (1).txt; docs/tender-reference/extracted/KUM-SLKS/Bilag 1 - Tidsplan.txt</t>
        </is>
      </c>
      <c r="AD290" t="inlineStr">
        <is>
          <t>Cristina: Udfyld tool-rating (O) og evidens; gennemgå AI-kladde.</t>
        </is>
      </c>
      <c r="AE290" t="inlineStr"/>
      <c r="AF290" t="inlineStr">
        <is>
          <t>Draft</t>
        </is>
      </c>
      <c r="AG290" t="inlineStr">
        <is>
          <t>uim-esdh-full-2026-07-07</t>
        </is>
      </c>
    </row>
    <row r="291" ht="176" customHeight="1">
      <c r="A291" s="35" t="n">
        <v>290</v>
      </c>
      <c r="B291" s="3" t="inlineStr">
        <is>
          <t>B1.F-10</t>
        </is>
      </c>
      <c r="C291" s="3" t="inlineStr">
        <is>
          <t>Bilag 1.f. Test og prøver</t>
        </is>
      </c>
      <c r="D291" s="3" t="inlineStr">
        <is>
          <t>2.9</t>
        </is>
      </c>
      <c r="E291" s="3" t="inlineStr">
        <is>
          <t>Prøvens afvikling</t>
        </is>
      </c>
      <c r="F291" s="35" t="inlineStr">
        <is>
          <t>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t>
        </is>
      </c>
      <c r="G291" s="3" t="inlineStr">
        <is>
          <t>Mindstekrav</t>
        </is>
      </c>
      <c r="H291" s="35">
        <f>IF(G291="Evalueringskrav","Answer",(IF(G291="Krav","Check",(IF(G291="Mindstekrav","Verify","")))))</f>
        <v/>
      </c>
      <c r="I291" s="35" t="inlineStr">
        <is>
          <t>Nej</t>
        </is>
      </c>
      <c r="J291" s="35" t="n"/>
      <c r="K291" s="47" t="n"/>
      <c r="L291" s="35" t="inlineStr">
        <is>
          <t>Cristina</t>
        </is>
      </c>
      <c r="M291" s="35" t="n"/>
      <c r="N291" s="35" t="n"/>
      <c r="O291" s="35" t="n"/>
      <c r="P291" s="35" t="n"/>
      <c r="Q291" s="35" t="n"/>
      <c r="R291" s="35" t="n"/>
      <c r="S291" s="35" t="n"/>
      <c r="T291" s="35" t="n"/>
      <c r="U291" s="35" t="inlineStr">
        <is>
          <t>Not Started</t>
        </is>
      </c>
      <c r="V291" s="37">
        <f>IF(U291="Not Started",0%,IF(U291="Started",50%,IF(U291="Ready for review",70%,IF(U291="Reviewed - Content",80%,IF(U291="Reviewed - Format",90%,IF(U291="Done",100%,""))))))</f>
        <v/>
      </c>
      <c r="W291" t="inlineStr">
        <is>
          <t>2026-07-07</t>
        </is>
      </c>
      <c r="X291" t="inlineStr">
        <is>
          <t>Cursor / tender-response (batch)</t>
        </is>
      </c>
      <c r="Y291" t="inlineStr">
        <is>
          <t>Clarify</t>
        </is>
      </c>
      <c r="Z291" t="inlineStr">
        <is>
          <t>Verified</t>
        </is>
      </c>
      <c r="AA291" t="inlineStr">
        <is>
          <t>Verify: Prøvens afvikling — kræver produkt-/team-afklaring (ingen tool-rating).</t>
        </is>
      </c>
      <c r="AB291" t="inlineStr"/>
      <c r="AC291" t="inlineStr">
        <is>
          <t>docs/tender-reference/extracted/Nationalbanken/Bilag 3.i Leverandørens Løsningsbeskrivelse.txt; docs/tender-reference/extracted/KUM-SLKS/Bilag 1 - Tidsplan.txt; docs/tender-reference/extracted/KK Tender tool.txt</t>
        </is>
      </c>
      <c r="AD291" t="inlineStr">
        <is>
          <t>Cristina: Udfyld tool-rating (O) og evidens; gennemgå AI-kladde.</t>
        </is>
      </c>
      <c r="AE291" t="inlineStr"/>
      <c r="AF291" t="inlineStr">
        <is>
          <t>Draft</t>
        </is>
      </c>
      <c r="AG291" t="inlineStr">
        <is>
          <t>uim-esdh-full-2026-07-07</t>
        </is>
      </c>
    </row>
    <row r="292" ht="304" customHeight="1">
      <c r="A292" s="35" t="n">
        <v>291</v>
      </c>
      <c r="B292" s="3" t="inlineStr">
        <is>
          <t>B1.F-11</t>
        </is>
      </c>
      <c r="C292" s="3" t="inlineStr">
        <is>
          <t>Bilag 1.f. Test og prøver</t>
        </is>
      </c>
      <c r="D292" s="3" t="inlineStr">
        <is>
          <t>3.1</t>
        </is>
      </c>
      <c r="E292" s="3" t="inlineStr">
        <is>
          <t>Generelle godkendelseskriterier for prøver</t>
        </is>
      </c>
      <c r="F292" s="35" t="inlineStr">
        <is>
          <t>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t>
        </is>
      </c>
      <c r="G292" s="3" t="inlineStr">
        <is>
          <t>Mindstekrav</t>
        </is>
      </c>
      <c r="H292" s="35">
        <f>IF(G292="Evalueringskrav","Answer",(IF(G292="Krav","Check",(IF(G292="Mindstekrav","Verify","")))))</f>
        <v/>
      </c>
      <c r="I292" s="35" t="inlineStr">
        <is>
          <t>Nej</t>
        </is>
      </c>
      <c r="J292" s="35" t="n"/>
      <c r="K292" s="47" t="n"/>
      <c r="L292" s="35" t="inlineStr">
        <is>
          <t>Cristina</t>
        </is>
      </c>
      <c r="M292" s="35" t="n"/>
      <c r="N292" s="35" t="n"/>
      <c r="O292" s="35" t="n"/>
      <c r="P292" s="35" t="n"/>
      <c r="Q292" s="35" t="n"/>
      <c r="R292" s="35" t="n"/>
      <c r="S292" s="35" t="n"/>
      <c r="T292" s="35" t="n"/>
      <c r="U292" s="35" t="inlineStr">
        <is>
          <t>Not Started</t>
        </is>
      </c>
      <c r="V292" s="37">
        <f>IF(U292="Not Started",0%,IF(U292="Started",50%,IF(U292="Ready for review",70%,IF(U292="Reviewed - Content",80%,IF(U292="Reviewed - Format",90%,IF(U292="Done",100%,""))))))</f>
        <v/>
      </c>
      <c r="W292" t="inlineStr">
        <is>
          <t>2026-07-07</t>
        </is>
      </c>
      <c r="X292" t="inlineStr">
        <is>
          <t>Cursor / tender-response (batch)</t>
        </is>
      </c>
      <c r="Y292" t="inlineStr">
        <is>
          <t>Clarify</t>
        </is>
      </c>
      <c r="Z292" t="inlineStr">
        <is>
          <t>Verified</t>
        </is>
      </c>
      <c r="AA292" t="inlineStr">
        <is>
          <t>Verify: Generelle godkendelseskriterier for prøver — kræver produkt-/team-afklaring (ingen tool-rating).</t>
        </is>
      </c>
      <c r="AB292" t="inlineStr"/>
      <c r="AC292" t="inlineStr">
        <is>
          <t>docs/tender-reference/extracted/KK Tender tool.txt; docs/tender-reference/extracted/Nationalbanken/Underbilag 6B - Testplan og Leverandørens prøveprincipper, metoder og -værktøjer (1).txt; docs/tender-reference/extracted/Nationalbanken/Bilag 3.i Leverandørens Løsningsbeskrivelse.txt</t>
        </is>
      </c>
      <c r="AD292" t="inlineStr">
        <is>
          <t>Cristina: Udfyld tool-rating (O) og evidens; gennemgå AI-kladde.</t>
        </is>
      </c>
      <c r="AE292" t="inlineStr"/>
      <c r="AF292" t="inlineStr">
        <is>
          <t>Draft</t>
        </is>
      </c>
      <c r="AG292" t="inlineStr">
        <is>
          <t>uim-esdh-full-2026-07-07</t>
        </is>
      </c>
    </row>
    <row r="293" ht="64" customHeight="1">
      <c r="A293" s="35" t="n">
        <v>292</v>
      </c>
      <c r="B293" s="3" t="inlineStr">
        <is>
          <t>B1.F-12</t>
        </is>
      </c>
      <c r="C293" s="3" t="inlineStr">
        <is>
          <t>Bilag 1.f. Test og prøver</t>
        </is>
      </c>
      <c r="D293" s="3" t="inlineStr">
        <is>
          <t>3.2</t>
        </is>
      </c>
      <c r="E293" s="3" t="inlineStr">
        <is>
          <t>Ikke godkendt prøve</t>
        </is>
      </c>
      <c r="F293" s="35" t="inlineStr">
        <is>
          <t>Ikke godkendt prøve Hvis godkendelseskriterierne for en prøve ikke er opfyldt, eller prøvens testplan ikke er fulgt, har Kunden mulighed for ikke at godkende prøven, hvorefter Kunden vil instruere Leverandøren ift. at gentage prøven. 8</t>
        </is>
      </c>
      <c r="G293" s="3" t="inlineStr">
        <is>
          <t>Mindstekrav</t>
        </is>
      </c>
      <c r="H293" s="35">
        <f>IF(G293="Evalueringskrav","Answer",(IF(G293="Krav","Check",(IF(G293="Mindstekrav","Verify","")))))</f>
        <v/>
      </c>
      <c r="I293" s="35" t="inlineStr">
        <is>
          <t>Nej</t>
        </is>
      </c>
      <c r="J293" s="35" t="n"/>
      <c r="K293" s="47" t="n"/>
      <c r="L293" s="35" t="inlineStr">
        <is>
          <t>Cristina</t>
        </is>
      </c>
      <c r="M293" s="35" t="n"/>
      <c r="N293" s="35" t="n"/>
      <c r="O293" s="35" t="n"/>
      <c r="P293" s="35" t="n"/>
      <c r="Q293" s="35" t="n"/>
      <c r="R293" s="35" t="n"/>
      <c r="S293" s="35" t="n"/>
      <c r="T293" s="35" t="n"/>
      <c r="U293" s="35" t="inlineStr">
        <is>
          <t>Not Started</t>
        </is>
      </c>
      <c r="V293" s="37">
        <f>IF(U293="Not Started",0%,IF(U293="Started",50%,IF(U293="Ready for review",70%,IF(U293="Reviewed - Content",80%,IF(U293="Reviewed - Format",90%,IF(U293="Done",100%,""))))))</f>
        <v/>
      </c>
      <c r="W293" t="inlineStr">
        <is>
          <t>2026-07-07</t>
        </is>
      </c>
      <c r="X293" t="inlineStr">
        <is>
          <t>Cursor / tender-response (batch)</t>
        </is>
      </c>
      <c r="Y293" t="inlineStr">
        <is>
          <t>Clarify</t>
        </is>
      </c>
      <c r="Z293" t="inlineStr">
        <is>
          <t>Verified</t>
        </is>
      </c>
      <c r="AA293" t="inlineStr">
        <is>
          <t>Verify: Ikke godkendt prøve — kræver produkt-/team-afklaring (ingen tool-rating).</t>
        </is>
      </c>
      <c r="AB293" t="inlineStr"/>
      <c r="AC293" t="inlineStr">
        <is>
          <t>docs/tender-reference/extracted/Nationalbanken/Underbilag 6B - Testplan og Leverandørens prøveprincipper, metoder og -værktøjer (1).txt; docs/tender-reference/extracted/Nationalbanken/Bilag 3.i Leverandørens Løsningsbeskrivelse.txt; docs/tender-reference/extracted/KUM-SLKS/Bilag 1 - Tidsplan.txt</t>
        </is>
      </c>
      <c r="AD293" t="inlineStr">
        <is>
          <t>Cristina: Udfyld tool-rating (O) og evidens; gennemgå AI-kladde.</t>
        </is>
      </c>
      <c r="AE293" t="inlineStr"/>
      <c r="AF293" t="inlineStr">
        <is>
          <t>Draft</t>
        </is>
      </c>
      <c r="AG293" t="inlineStr">
        <is>
          <t>uim-esdh-full-2026-07-07</t>
        </is>
      </c>
    </row>
    <row r="294" ht="64" customHeight="1">
      <c r="A294" s="35" t="n">
        <v>293</v>
      </c>
      <c r="B294" s="3" t="inlineStr">
        <is>
          <t>B1.F-13</t>
        </is>
      </c>
      <c r="C294" s="3" t="inlineStr">
        <is>
          <t>Bilag 1.f. Test og prøver</t>
        </is>
      </c>
      <c r="D294" s="3" t="inlineStr">
        <is>
          <t>4.1</t>
        </is>
      </c>
      <c r="E294" s="3" t="inlineStr">
        <is>
          <t>Fejlrapporteringsværktøj</t>
        </is>
      </c>
      <c r="F294" s="35" t="inlineStr">
        <is>
          <t>Fejlrapporteringsværktøj Kunden stiller værktøjet Jira til rådighed, hvori fejl fundet som del af prøver rapporteres. Fejl dokumenteres i Jira, med reference til hvilken testcase, der har afsløret fejlen. Dette sikrer en god proces for gentest ved fejlrettelser.</t>
        </is>
      </c>
      <c r="G294" s="3" t="inlineStr">
        <is>
          <t>Mindstekrav</t>
        </is>
      </c>
      <c r="H294" s="35">
        <f>IF(G294="Evalueringskrav","Answer",(IF(G294="Krav","Check",(IF(G294="Mindstekrav","Verify","")))))</f>
        <v/>
      </c>
      <c r="I294" s="35" t="inlineStr">
        <is>
          <t>Nej</t>
        </is>
      </c>
      <c r="J294" s="35" t="n"/>
      <c r="K294" s="47" t="n"/>
      <c r="L294" s="35" t="inlineStr">
        <is>
          <t>Cristina</t>
        </is>
      </c>
      <c r="M294" s="35" t="n"/>
      <c r="N294" s="35" t="n"/>
      <c r="O294" s="35" t="n"/>
      <c r="P294" s="35" t="n"/>
      <c r="Q294" s="35" t="n"/>
      <c r="R294" s="35" t="n"/>
      <c r="S294" s="35" t="n"/>
      <c r="T294" s="35" t="n"/>
      <c r="U294" s="35" t="inlineStr">
        <is>
          <t>Not Started</t>
        </is>
      </c>
      <c r="V294" s="37">
        <f>IF(U294="Not Started",0%,IF(U294="Started",50%,IF(U294="Ready for review",70%,IF(U294="Reviewed - Content",80%,IF(U294="Reviewed - Format",90%,IF(U294="Done",100%,""))))))</f>
        <v/>
      </c>
      <c r="W294" t="inlineStr">
        <is>
          <t>2026-07-07</t>
        </is>
      </c>
      <c r="X294" t="inlineStr">
        <is>
          <t>Cursor / tender-response (batch)</t>
        </is>
      </c>
      <c r="Y294" t="inlineStr">
        <is>
          <t>Clarify</t>
        </is>
      </c>
      <c r="Z294" t="inlineStr">
        <is>
          <t>Verified</t>
        </is>
      </c>
      <c r="AA294" t="inlineStr">
        <is>
          <t>Verify: Fejlrapporteringsværktøj — kræver produkt-/team-afklaring (ingen tool-rating).</t>
        </is>
      </c>
      <c r="AB294" t="inlineStr"/>
      <c r="AC29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4" t="inlineStr">
        <is>
          <t>Cristina: Udfyld tool-rating (O) og evidens; gennemgå AI-kladde.</t>
        </is>
      </c>
      <c r="AE294" t="inlineStr"/>
      <c r="AF294" t="inlineStr">
        <is>
          <t>Draft</t>
        </is>
      </c>
      <c r="AG294" t="inlineStr">
        <is>
          <t>uim-esdh-full-2026-07-07</t>
        </is>
      </c>
    </row>
    <row r="295" ht="128" customHeight="1">
      <c r="A295" s="35" t="n">
        <v>294</v>
      </c>
      <c r="B295" s="3" t="inlineStr">
        <is>
          <t>B1.F-14</t>
        </is>
      </c>
      <c r="C295" s="3" t="inlineStr">
        <is>
          <t>Bilag 1.f. Test og prøver</t>
        </is>
      </c>
      <c r="D295" s="3" t="inlineStr">
        <is>
          <t>4.2</t>
        </is>
      </c>
      <c r="E295" s="3" t="inlineStr">
        <is>
          <t>Teststyringsværktøj</t>
        </is>
      </c>
      <c r="F295" s="35" t="inlineStr">
        <is>
          <t>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t>
        </is>
      </c>
      <c r="G295" s="3" t="inlineStr">
        <is>
          <t>Mindstekrav</t>
        </is>
      </c>
      <c r="H295" s="35">
        <f>IF(G295="Evalueringskrav","Answer",(IF(G295="Krav","Check",(IF(G295="Mindstekrav","Verify","")))))</f>
        <v/>
      </c>
      <c r="I295" s="35" t="inlineStr">
        <is>
          <t>Nej</t>
        </is>
      </c>
      <c r="J295" s="35" t="n"/>
      <c r="K295" s="47" t="n"/>
      <c r="L295" s="35" t="inlineStr">
        <is>
          <t>Cristina</t>
        </is>
      </c>
      <c r="M295" s="35" t="n"/>
      <c r="N295" s="35" t="n"/>
      <c r="O295" s="35" t="n"/>
      <c r="P295" s="35" t="n"/>
      <c r="Q295" s="35" t="n"/>
      <c r="R295" s="35" t="n"/>
      <c r="S295" s="35" t="n"/>
      <c r="T295" s="35" t="n"/>
      <c r="U295" s="35" t="inlineStr">
        <is>
          <t>Not Started</t>
        </is>
      </c>
      <c r="V295" s="37">
        <f>IF(U295="Not Started",0%,IF(U295="Started",50%,IF(U295="Ready for review",70%,IF(U295="Reviewed - Content",80%,IF(U295="Reviewed - Format",90%,IF(U295="Done",100%,""))))))</f>
        <v/>
      </c>
      <c r="W295" t="inlineStr">
        <is>
          <t>2026-07-07</t>
        </is>
      </c>
      <c r="X295" t="inlineStr">
        <is>
          <t>Cursor / tender-response (batch)</t>
        </is>
      </c>
      <c r="Y295" t="inlineStr">
        <is>
          <t>Clarify</t>
        </is>
      </c>
      <c r="Z295" t="inlineStr">
        <is>
          <t>Verified</t>
        </is>
      </c>
      <c r="AA295" t="inlineStr">
        <is>
          <t>Verify: Teststyringsværktøj — kræver produkt-/team-afklaring (ingen tool-rating).</t>
        </is>
      </c>
      <c r="AB295" t="inlineStr"/>
      <c r="AC295" t="inlineStr">
        <is>
          <t>docs/tender-reference/extracted/Nationalbanken/Bilag 3.i Leverandørens Løsningsbeskrivelse.txt; docs/tender-reference/extracted/KK Tender tool.txt; docs/tender-reference/extracted/Nationalbanken/Bilag 6.i Implementeringsplan (Leverandørens løsningsbeskrivelse.txt</t>
        </is>
      </c>
      <c r="AD295" t="inlineStr">
        <is>
          <t>Cristina: Udfyld tool-rating (O) og evidens; gennemgå AI-kladde.</t>
        </is>
      </c>
      <c r="AE295" t="inlineStr"/>
      <c r="AF295" t="inlineStr">
        <is>
          <t>Draft</t>
        </is>
      </c>
      <c r="AG295" t="inlineStr">
        <is>
          <t>uim-esdh-full-2026-07-07</t>
        </is>
      </c>
    </row>
    <row r="296" ht="48" customHeight="1">
      <c r="A296" s="35" t="n">
        <v>295</v>
      </c>
      <c r="B296" s="3" t="inlineStr">
        <is>
          <t>B1.F-15</t>
        </is>
      </c>
      <c r="C296" s="3" t="inlineStr">
        <is>
          <t>Bilag 1.f. Test og prøver</t>
        </is>
      </c>
      <c r="D296" s="3" t="inlineStr">
        <is>
          <t>4.3</t>
        </is>
      </c>
      <c r="E296" s="3" t="inlineStr">
        <is>
          <t>Testautomatisering</t>
        </is>
      </c>
      <c r="F296" s="35" t="inlineStr">
        <is>
          <t>Testautomatisering Kunden overtager testautomatiseringsscripts udarbejdet af Leverandøren som del af en prøve, hvis testautomatisering er anvendt.</t>
        </is>
      </c>
      <c r="G296" s="3" t="inlineStr">
        <is>
          <t>Mindstekrav</t>
        </is>
      </c>
      <c r="H296" s="35">
        <f>IF(G296="Evalueringskrav","Answer",(IF(G296="Krav","Check",(IF(G296="Mindstekrav","Verify","")))))</f>
        <v/>
      </c>
      <c r="I296" s="35" t="inlineStr">
        <is>
          <t>Nej</t>
        </is>
      </c>
      <c r="J296" s="35" t="n"/>
      <c r="K296" s="47" t="n"/>
      <c r="L296" s="35" t="inlineStr">
        <is>
          <t>Cristina</t>
        </is>
      </c>
      <c r="M296" s="35" t="n"/>
      <c r="N296" s="35" t="n"/>
      <c r="O296" s="35" t="n"/>
      <c r="P296" s="35" t="n"/>
      <c r="Q296" s="35" t="n"/>
      <c r="R296" s="35" t="n"/>
      <c r="S296" s="35" t="n"/>
      <c r="T296" s="35" t="n"/>
      <c r="U296" s="35" t="inlineStr">
        <is>
          <t>Not Started</t>
        </is>
      </c>
      <c r="V296" s="37">
        <f>IF(U296="Not Started",0%,IF(U296="Started",50%,IF(U296="Ready for review",70%,IF(U296="Reviewed - Content",80%,IF(U296="Reviewed - Format",90%,IF(U296="Done",100%,""))))))</f>
        <v/>
      </c>
      <c r="W296" t="inlineStr">
        <is>
          <t>2026-07-07</t>
        </is>
      </c>
      <c r="X296" t="inlineStr">
        <is>
          <t>Cursor / tender-response (batch)</t>
        </is>
      </c>
      <c r="Y296" t="inlineStr">
        <is>
          <t>Clarify</t>
        </is>
      </c>
      <c r="Z296" t="inlineStr">
        <is>
          <t>Verified</t>
        </is>
      </c>
      <c r="AA296" t="inlineStr">
        <is>
          <t>Verify: Testautomatisering — kræver produkt-/team-afklaring (ingen tool-rating).</t>
        </is>
      </c>
      <c r="AB296" t="inlineStr"/>
      <c r="AC296"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296" t="inlineStr">
        <is>
          <t>Cristina: Udfyld tool-rating (O) og evidens; gennemgå AI-kladde.</t>
        </is>
      </c>
      <c r="AE296" t="inlineStr"/>
      <c r="AF296" t="inlineStr">
        <is>
          <t>Draft</t>
        </is>
      </c>
      <c r="AG296" t="inlineStr">
        <is>
          <t>uim-esdh-full-2026-07-07</t>
        </is>
      </c>
    </row>
    <row r="297" ht="80" customHeight="1">
      <c r="A297" s="35" t="n">
        <v>296</v>
      </c>
      <c r="B297" s="3" t="inlineStr">
        <is>
          <t>B1.F-16</t>
        </is>
      </c>
      <c r="C297" s="3" t="inlineStr">
        <is>
          <t>Bilag 1.f. Test og prøver</t>
        </is>
      </c>
      <c r="D297" s="3" t="inlineStr">
        <is>
          <t>4.4</t>
        </is>
      </c>
      <c r="E297" s="3" t="inlineStr">
        <is>
          <t>Tværgående testscenarier, testdata, testkonfiguration og testfunktionalitet</t>
        </is>
      </c>
      <c r="F297" s="35" t="inlineStr">
        <is>
          <t>Tværgående testscenarier, testdata, testkonfiguration og testfunktionalitet Leverandøren skal forud for gennemførelse af prøverne sikre, at testscenarier, testdata, testkonfiguration og testfunktionalitet er udarbejdet i overensstemmelse med nedenstående.</t>
        </is>
      </c>
      <c r="G297" s="3" t="inlineStr">
        <is>
          <t>Mindstekrav</t>
        </is>
      </c>
      <c r="H297" s="35">
        <f>IF(G297="Evalueringskrav","Answer",(IF(G297="Krav","Check",(IF(G297="Mindstekrav","Verify","")))))</f>
        <v/>
      </c>
      <c r="I297" s="35" t="inlineStr">
        <is>
          <t>Nej</t>
        </is>
      </c>
      <c r="J297" s="35" t="n"/>
      <c r="K297" s="47" t="n"/>
      <c r="L297" s="35" t="inlineStr">
        <is>
          <t>Cristina</t>
        </is>
      </c>
      <c r="M297" s="35" t="n"/>
      <c r="N297" s="35" t="n"/>
      <c r="O297" s="35" t="n"/>
      <c r="P297" s="35" t="n"/>
      <c r="Q297" s="35" t="n"/>
      <c r="R297" s="35" t="n"/>
      <c r="S297" s="35" t="n"/>
      <c r="T297" s="35" t="n"/>
      <c r="U297" s="35" t="inlineStr">
        <is>
          <t>Not Started</t>
        </is>
      </c>
      <c r="V297" s="37">
        <f>IF(U297="Not Started",0%,IF(U297="Started",50%,IF(U297="Ready for review",70%,IF(U297="Reviewed - Content",80%,IF(U297="Reviewed - Format",90%,IF(U297="Done",100%,""))))))</f>
        <v/>
      </c>
      <c r="W297" t="inlineStr">
        <is>
          <t>2026-07-07</t>
        </is>
      </c>
      <c r="X297" t="inlineStr">
        <is>
          <t>Cursor / tender-response (batch)</t>
        </is>
      </c>
      <c r="Y297" t="inlineStr">
        <is>
          <t>Clarify</t>
        </is>
      </c>
      <c r="Z297" t="inlineStr">
        <is>
          <t>Verified</t>
        </is>
      </c>
      <c r="AA297" t="inlineStr">
        <is>
          <t>Verify: Tværgående testscenarier, testdata, testkonfiguration og testfunktionalitet — kræver produkt-/team-afklaring (ingen tool-rating).</t>
        </is>
      </c>
      <c r="AB297" t="inlineStr"/>
      <c r="AC297" t="inlineStr">
        <is>
          <t>docs/tender-reference/extracted/Nationalbanken/Underbilag 6B - Testplan og Leverandørens prøveprincipper, metoder og -værktøjer (1).txt; docs/tender-reference/extracted/KUM-SLKS/Bilag 1 - Tidsplan.txt; docs/tender-reference/extracted/Nationalbanken/Bilag 3.i Leverandørens Løsningsbeskrivelse.txt</t>
        </is>
      </c>
      <c r="AD297" t="inlineStr">
        <is>
          <t>Cristina: Udfyld tool-rating (O) og evidens; gennemgå AI-kladde.</t>
        </is>
      </c>
      <c r="AE297" t="inlineStr"/>
      <c r="AF297" t="inlineStr">
        <is>
          <t>Draft</t>
        </is>
      </c>
      <c r="AG297" t="inlineStr">
        <is>
          <t>uim-esdh-full-2026-07-07</t>
        </is>
      </c>
    </row>
    <row r="298" ht="96" customHeight="1">
      <c r="A298" s="35" t="n">
        <v>297</v>
      </c>
      <c r="B298" s="3" t="inlineStr">
        <is>
          <t>B1.F-17</t>
        </is>
      </c>
      <c r="C298" s="3" t="inlineStr">
        <is>
          <t>Bilag 1.f. Test og prøver</t>
        </is>
      </c>
      <c r="D298" s="3" t="inlineStr">
        <is>
          <t>4.5</t>
        </is>
      </c>
      <c r="E298" s="3" t="inlineStr">
        <is>
          <t>Testkonfiguration</t>
        </is>
      </c>
      <c r="F298" s="35" t="inlineStr">
        <is>
          <t>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t>
        </is>
      </c>
      <c r="G298" s="3" t="inlineStr">
        <is>
          <t>Mindstekrav</t>
        </is>
      </c>
      <c r="H298" s="35">
        <f>IF(G298="Evalueringskrav","Answer",(IF(G298="Krav","Check",(IF(G298="Mindstekrav","Verify","")))))</f>
        <v/>
      </c>
      <c r="I298" s="35" t="inlineStr">
        <is>
          <t>Nej</t>
        </is>
      </c>
      <c r="J298" s="35" t="n"/>
      <c r="K298" s="47" t="n"/>
      <c r="L298" s="35" t="inlineStr">
        <is>
          <t>Cristina</t>
        </is>
      </c>
      <c r="M298" s="35" t="n"/>
      <c r="N298" s="35" t="n"/>
      <c r="O298" s="35" t="n"/>
      <c r="P298" s="35" t="n"/>
      <c r="Q298" s="35" t="n"/>
      <c r="R298" s="35" t="n"/>
      <c r="S298" s="35" t="n"/>
      <c r="T298" s="35" t="n"/>
      <c r="U298" s="35" t="inlineStr">
        <is>
          <t>Not Started</t>
        </is>
      </c>
      <c r="V298" s="37">
        <f>IF(U298="Not Started",0%,IF(U298="Started",50%,IF(U298="Ready for review",70%,IF(U298="Reviewed - Content",80%,IF(U298="Reviewed - Format",90%,IF(U298="Done",100%,""))))))</f>
        <v/>
      </c>
      <c r="W298" t="inlineStr">
        <is>
          <t>2026-07-07</t>
        </is>
      </c>
      <c r="X298" t="inlineStr">
        <is>
          <t>Cursor / tender-response (batch)</t>
        </is>
      </c>
      <c r="Y298" t="inlineStr">
        <is>
          <t>Clarify</t>
        </is>
      </c>
      <c r="Z298" t="inlineStr">
        <is>
          <t>Verified</t>
        </is>
      </c>
      <c r="AA298" t="inlineStr">
        <is>
          <t>Verify: Testkonfiguration — kræver produkt-/team-afklaring (ingen tool-rating).</t>
        </is>
      </c>
      <c r="AB298" t="inlineStr"/>
      <c r="AC298"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98" t="inlineStr">
        <is>
          <t>Cristina: Udfyld tool-rating (O) og evidens; gennemgå AI-kladde.</t>
        </is>
      </c>
      <c r="AE298" t="inlineStr"/>
      <c r="AF298" t="inlineStr">
        <is>
          <t>Draft</t>
        </is>
      </c>
      <c r="AG298" t="inlineStr">
        <is>
          <t>uim-esdh-full-2026-07-07</t>
        </is>
      </c>
    </row>
    <row r="299" ht="96" customHeight="1">
      <c r="A299" s="35" t="n">
        <v>298</v>
      </c>
      <c r="B299" s="3" t="inlineStr">
        <is>
          <t>B1.F-18</t>
        </is>
      </c>
      <c r="C299" s="3" t="inlineStr">
        <is>
          <t>Bilag 1.f. Test og prøver</t>
        </is>
      </c>
      <c r="D299" s="3" t="inlineStr">
        <is>
          <t>4.6</t>
        </is>
      </c>
      <c r="E299" s="3" t="inlineStr">
        <is>
          <t>Testfunktionalitet</t>
        </is>
      </c>
      <c r="F299" s="35" t="inlineStr">
        <is>
          <t>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t>
        </is>
      </c>
      <c r="G299" s="3" t="inlineStr">
        <is>
          <t>Mindstekrav</t>
        </is>
      </c>
      <c r="H299" s="35">
        <f>IF(G299="Evalueringskrav","Answer",(IF(G299="Krav","Check",(IF(G299="Mindstekrav","Verify","")))))</f>
        <v/>
      </c>
      <c r="I299" s="35" t="inlineStr">
        <is>
          <t>Nej</t>
        </is>
      </c>
      <c r="J299" s="35" t="n"/>
      <c r="K299" s="47" t="n"/>
      <c r="L299" s="35" t="inlineStr">
        <is>
          <t>Cristina</t>
        </is>
      </c>
      <c r="M299" s="35" t="n"/>
      <c r="N299" s="35" t="n"/>
      <c r="O299" s="35" t="n"/>
      <c r="P299" s="35" t="n"/>
      <c r="Q299" s="35" t="n"/>
      <c r="R299" s="35" t="n"/>
      <c r="S299" s="35" t="n"/>
      <c r="T299" s="35" t="n"/>
      <c r="U299" s="35" t="inlineStr">
        <is>
          <t>Not Started</t>
        </is>
      </c>
      <c r="V299" s="37">
        <f>IF(U299="Not Started",0%,IF(U299="Started",50%,IF(U299="Ready for review",70%,IF(U299="Reviewed - Content",80%,IF(U299="Reviewed - Format",90%,IF(U299="Done",100%,""))))))</f>
        <v/>
      </c>
      <c r="W299" t="inlineStr">
        <is>
          <t>2026-07-07</t>
        </is>
      </c>
      <c r="X299" t="inlineStr">
        <is>
          <t>Cursor / tender-response (batch)</t>
        </is>
      </c>
      <c r="Y299" t="inlineStr">
        <is>
          <t>Clarify</t>
        </is>
      </c>
      <c r="Z299" t="inlineStr">
        <is>
          <t>Verified</t>
        </is>
      </c>
      <c r="AA299" t="inlineStr">
        <is>
          <t>Verify: Testfunktionalitet — kræver produkt-/team-afklaring (ingen tool-rating).</t>
        </is>
      </c>
      <c r="AB299" t="inlineStr"/>
      <c r="AC29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9" t="inlineStr">
        <is>
          <t>Cristina: Udfyld tool-rating (O) og evidens; gennemgå AI-kladde.</t>
        </is>
      </c>
      <c r="AE299" t="inlineStr"/>
      <c r="AF299" t="inlineStr">
        <is>
          <t>Draft</t>
        </is>
      </c>
      <c r="AG299" t="inlineStr">
        <is>
          <t>uim-esdh-full-2026-07-07</t>
        </is>
      </c>
    </row>
    <row r="300" ht="160" customHeight="1">
      <c r="A300" s="35" t="n">
        <v>299</v>
      </c>
      <c r="B300" s="3" t="inlineStr">
        <is>
          <t>B1.F-19</t>
        </is>
      </c>
      <c r="C300" s="3" t="inlineStr">
        <is>
          <t>Bilag 1.f. Test og prøver</t>
        </is>
      </c>
      <c r="D300" s="3" t="inlineStr">
        <is>
          <t>6.1</t>
        </is>
      </c>
      <c r="E300" s="3" t="inlineStr">
        <is>
          <t>Installationsprøvens indhold</t>
        </is>
      </c>
      <c r="F300" s="35" t="inlineStr">
        <is>
          <t>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t>
        </is>
      </c>
      <c r="G300" s="3" t="inlineStr">
        <is>
          <t>Mindstekrav</t>
        </is>
      </c>
      <c r="H300" s="35">
        <f>IF(G300="Evalueringskrav","Answer",(IF(G300="Krav","Check",(IF(G300="Mindstekrav","Verify","")))))</f>
        <v/>
      </c>
      <c r="I300" s="35" t="inlineStr">
        <is>
          <t>Nej</t>
        </is>
      </c>
      <c r="J300" s="35" t="n"/>
      <c r="K300" s="47" t="n"/>
      <c r="L300" s="35" t="inlineStr">
        <is>
          <t>Cristina</t>
        </is>
      </c>
      <c r="M300" s="35" t="n"/>
      <c r="N300" s="35" t="n"/>
      <c r="O300" s="35" t="n"/>
      <c r="P300" s="35" t="n"/>
      <c r="Q300" s="35" t="n"/>
      <c r="R300" s="35" t="n"/>
      <c r="S300" s="35" t="n"/>
      <c r="T300" s="35" t="n"/>
      <c r="U300" s="35" t="inlineStr">
        <is>
          <t>Not Started</t>
        </is>
      </c>
      <c r="V300" s="37">
        <f>IF(U300="Not Started",0%,IF(U300="Started",50%,IF(U300="Ready for review",70%,IF(U300="Reviewed - Content",80%,IF(U300="Reviewed - Format",90%,IF(U300="Done",100%,""))))))</f>
        <v/>
      </c>
      <c r="W300" t="inlineStr">
        <is>
          <t>2026-07-07</t>
        </is>
      </c>
      <c r="X300" t="inlineStr">
        <is>
          <t>Cursor / tender-response (batch)</t>
        </is>
      </c>
      <c r="Y300" t="inlineStr">
        <is>
          <t>Clarify</t>
        </is>
      </c>
      <c r="Z300" t="inlineStr">
        <is>
          <t>Verified</t>
        </is>
      </c>
      <c r="AA300" t="inlineStr">
        <is>
          <t>Verify: Installationsprøvens indhold — kræver produkt-/team-afklaring (ingen tool-rating).</t>
        </is>
      </c>
      <c r="AB300" t="inlineStr"/>
      <c r="AC300"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0" t="inlineStr">
        <is>
          <t>Cristina: Udfyld tool-rating (O) og evidens; gennemgå AI-kladde.</t>
        </is>
      </c>
      <c r="AE300" t="inlineStr"/>
      <c r="AF300" t="inlineStr">
        <is>
          <t>Draft</t>
        </is>
      </c>
      <c r="AG300" t="inlineStr">
        <is>
          <t>uim-esdh-full-2026-07-07</t>
        </is>
      </c>
    </row>
    <row r="301" ht="64" customHeight="1">
      <c r="A301" s="35" t="n">
        <v>300</v>
      </c>
      <c r="B301" s="3" t="inlineStr">
        <is>
          <t>B1.F-20</t>
        </is>
      </c>
      <c r="C301" s="3" t="inlineStr">
        <is>
          <t>Bilag 1.f. Test og prøver</t>
        </is>
      </c>
      <c r="D301" s="3" t="inlineStr">
        <is>
          <t>7.1</t>
        </is>
      </c>
      <c r="E301" s="3" t="inlineStr">
        <is>
          <t>Performanceprøven indhold</t>
        </is>
      </c>
      <c r="F301" s="35" t="inlineStr">
        <is>
          <t>Performanceprøven indhold Performanceprøven skal omfatte: • • • Belastning af ESDH-løsning med 1.000 Brugere, der arbejder samtidig med testen, der udføres. Datagrundlag ESDH-løsningen er tilgængelig i et pre-produktionsmiljø og der findes mindst</t>
        </is>
      </c>
      <c r="G301" s="3" t="inlineStr">
        <is>
          <t>Mindstekrav</t>
        </is>
      </c>
      <c r="H301" s="35">
        <f>IF(G301="Evalueringskrav","Answer",(IF(G301="Krav","Check",(IF(G301="Mindstekrav","Verify","")))))</f>
        <v/>
      </c>
      <c r="I301" s="35" t="inlineStr">
        <is>
          <t>Nej</t>
        </is>
      </c>
      <c r="J301" s="35" t="n"/>
      <c r="K301" s="47" t="n"/>
      <c r="L301" s="35" t="inlineStr">
        <is>
          <t>Cristina</t>
        </is>
      </c>
      <c r="M301" s="35" t="n"/>
      <c r="N301" s="35" t="n"/>
      <c r="O301" s="35" t="n"/>
      <c r="P301" s="35" t="n"/>
      <c r="Q301" s="35" t="n"/>
      <c r="R301" s="35" t="n"/>
      <c r="S301" s="35" t="n"/>
      <c r="T301" s="35" t="n"/>
      <c r="U301" s="35" t="inlineStr">
        <is>
          <t>Not Started</t>
        </is>
      </c>
      <c r="V301" s="37">
        <f>IF(U301="Not Started",0%,IF(U301="Started",50%,IF(U301="Ready for review",70%,IF(U301="Reviewed - Content",80%,IF(U301="Reviewed - Format",90%,IF(U301="Done",100%,""))))))</f>
        <v/>
      </c>
      <c r="W301" t="inlineStr">
        <is>
          <t>2026-07-07</t>
        </is>
      </c>
      <c r="X301" t="inlineStr">
        <is>
          <t>Cursor / tender-response (batch)</t>
        </is>
      </c>
      <c r="Y301" t="inlineStr">
        <is>
          <t>Clarify</t>
        </is>
      </c>
      <c r="Z301" t="inlineStr">
        <is>
          <t>Verified</t>
        </is>
      </c>
      <c r="AA301" t="inlineStr">
        <is>
          <t>Verify: Performanceprøven indhold — kræver produkt-/team-afklaring (ingen tool-rating).</t>
        </is>
      </c>
      <c r="AB301" t="inlineStr"/>
      <c r="AC301"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1" t="inlineStr">
        <is>
          <t>Cristina: Udfyld tool-rating (O) og evidens; gennemgå AI-kladde.</t>
        </is>
      </c>
      <c r="AE301" t="inlineStr"/>
      <c r="AF301" t="inlineStr">
        <is>
          <t>Draft</t>
        </is>
      </c>
      <c r="AG301" t="inlineStr">
        <is>
          <t>uim-esdh-full-2026-07-07</t>
        </is>
      </c>
    </row>
    <row r="302" ht="48" customHeight="1">
      <c r="A302" s="35" t="n">
        <v>301</v>
      </c>
      <c r="B302" s="3" t="inlineStr">
        <is>
          <t>B1.F-21</t>
        </is>
      </c>
      <c r="C302" s="3" t="inlineStr">
        <is>
          <t>Bilag 1.f. Test og prøver</t>
        </is>
      </c>
      <c r="D302" s="3" t="inlineStr">
        <is>
          <t>8.000.000</t>
        </is>
      </c>
      <c r="E302" s="3" t="inlineStr">
        <is>
          <t>Dokumenter i ESDH-løsningen på 2.000.000 sager med samlet 7 terabyte data.</t>
        </is>
      </c>
      <c r="F302" s="35" t="inlineStr">
        <is>
          <t>Dokumenter i ESDH-løsningen på 2.000.000 sager med samlet 7 terabyte data. Test af test i de tre transaktionskategorier, simple, middel og kompleks fra Bilag 1.h Servicemål afsnit 3.4.</t>
        </is>
      </c>
      <c r="G302" s="3" t="inlineStr">
        <is>
          <t>Mindstekrav</t>
        </is>
      </c>
      <c r="H302" s="35">
        <f>IF(G302="Evalueringskrav","Answer",(IF(G302="Krav","Check",(IF(G302="Mindstekrav","Verify","")))))</f>
        <v/>
      </c>
      <c r="I302" s="35" t="inlineStr">
        <is>
          <t>Nej</t>
        </is>
      </c>
      <c r="J302" s="35" t="n"/>
      <c r="K302" s="47" t="n"/>
      <c r="L302" s="35" t="inlineStr">
        <is>
          <t>Cristina</t>
        </is>
      </c>
      <c r="M302" s="35" t="n"/>
      <c r="N302" s="35" t="n"/>
      <c r="O302" s="35" t="n"/>
      <c r="P302" s="35" t="n"/>
      <c r="Q302" s="35" t="n"/>
      <c r="R302" s="35" t="n"/>
      <c r="S302" s="35" t="n"/>
      <c r="T302" s="35" t="n"/>
      <c r="U302" s="35" t="inlineStr">
        <is>
          <t>Not Started</t>
        </is>
      </c>
      <c r="V302" s="37">
        <f>IF(U302="Not Started",0%,IF(U302="Started",50%,IF(U302="Ready for review",70%,IF(U302="Reviewed - Content",80%,IF(U302="Reviewed - Format",90%,IF(U302="Done",100%,""))))))</f>
        <v/>
      </c>
      <c r="W302" t="inlineStr">
        <is>
          <t>2026-07-07</t>
        </is>
      </c>
      <c r="X302" t="inlineStr">
        <is>
          <t>Cursor / tender-response (batch)</t>
        </is>
      </c>
      <c r="Y302" t="inlineStr">
        <is>
          <t>Clarify</t>
        </is>
      </c>
      <c r="Z302" t="inlineStr">
        <is>
          <t>Verified</t>
        </is>
      </c>
      <c r="AA302" t="inlineStr">
        <is>
          <t>Verify: Dokumenter i ESDH-løsningen på 2.000.000 sager med samlet 7 terabyte data. — kræver produkt-/team-afklaring (ingen tool-rating).</t>
        </is>
      </c>
      <c r="AB302" t="inlineStr"/>
      <c r="AC302"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02" t="inlineStr">
        <is>
          <t>Cristina: Udfyld tool-rating (O) og evidens; gennemgå AI-kladde.</t>
        </is>
      </c>
      <c r="AE302" t="inlineStr"/>
      <c r="AF302" t="inlineStr">
        <is>
          <t>Draft</t>
        </is>
      </c>
      <c r="AG302" t="inlineStr">
        <is>
          <t>uim-esdh-full-2026-07-07</t>
        </is>
      </c>
    </row>
    <row r="303" ht="208" customHeight="1">
      <c r="A303" s="35" t="n">
        <v>302</v>
      </c>
      <c r="B303" s="3" t="inlineStr">
        <is>
          <t>B1.F-22</t>
        </is>
      </c>
      <c r="C303" s="3" t="inlineStr">
        <is>
          <t>Bilag 1.f. Test og prøver</t>
        </is>
      </c>
      <c r="D303" s="3" t="inlineStr">
        <is>
          <t>8.1</t>
        </is>
      </c>
      <c r="E303" s="3" t="inlineStr">
        <is>
          <t>Sikkerhedsprøven indhold</t>
        </is>
      </c>
      <c r="F303" s="35" t="inlineStr">
        <is>
          <t>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t>
        </is>
      </c>
      <c r="G303" s="3" t="inlineStr">
        <is>
          <t>Mindstekrav</t>
        </is>
      </c>
      <c r="H303" s="35">
        <f>IF(G303="Evalueringskrav","Answer",(IF(G303="Krav","Check",(IF(G303="Mindstekrav","Verify","")))))</f>
        <v/>
      </c>
      <c r="I303" s="35" t="inlineStr">
        <is>
          <t>Nej</t>
        </is>
      </c>
      <c r="J303" s="35" t="n"/>
      <c r="K303" s="47" t="n"/>
      <c r="L303" s="35" t="inlineStr">
        <is>
          <t>Cristina</t>
        </is>
      </c>
      <c r="M303" s="35" t="n"/>
      <c r="N303" s="35" t="n"/>
      <c r="O303" s="35" t="n"/>
      <c r="P303" s="35" t="n"/>
      <c r="Q303" s="35" t="n"/>
      <c r="R303" s="35" t="n"/>
      <c r="S303" s="35" t="n"/>
      <c r="T303" s="35" t="n"/>
      <c r="U303" s="35" t="inlineStr">
        <is>
          <t>Not Started</t>
        </is>
      </c>
      <c r="V303" s="37">
        <f>IF(U303="Not Started",0%,IF(U303="Started",50%,IF(U303="Ready for review",70%,IF(U303="Reviewed - Content",80%,IF(U303="Reviewed - Format",90%,IF(U303="Done",100%,""))))))</f>
        <v/>
      </c>
      <c r="W303" t="inlineStr">
        <is>
          <t>2026-07-07</t>
        </is>
      </c>
      <c r="X303" t="inlineStr">
        <is>
          <t>Cursor / tender-response (batch)</t>
        </is>
      </c>
      <c r="Y303" t="inlineStr">
        <is>
          <t>Clarify</t>
        </is>
      </c>
      <c r="Z303" t="inlineStr">
        <is>
          <t>Verified</t>
        </is>
      </c>
      <c r="AA303" t="inlineStr">
        <is>
          <t>Verify: Sikkerhedsprøven indhold — kræver produkt-/team-afklaring (ingen tool-rating).</t>
        </is>
      </c>
      <c r="AB303" t="inlineStr"/>
      <c r="AC303" t="inlineStr">
        <is>
          <t>docs/tender-reference/extracted/KK Tender tool.txt; docs/tender-reference/extracted/Nationalbanken/Bilag 3.i Leverandørens Løsningsbeskrivelse.txt; docs/tender-reference/extracted/Nationalbanken/Bilag 9.i Leverandørens løsningsbeskrivelse.txt</t>
        </is>
      </c>
      <c r="AD303" t="inlineStr">
        <is>
          <t>Cristina: Udfyld tool-rating (O) og evidens; gennemgå AI-kladde.</t>
        </is>
      </c>
      <c r="AE303" t="inlineStr"/>
      <c r="AF303" t="inlineStr">
        <is>
          <t>Draft</t>
        </is>
      </c>
      <c r="AG303" t="inlineStr">
        <is>
          <t>uim-esdh-full-2026-07-07</t>
        </is>
      </c>
    </row>
    <row r="304" ht="112" customHeight="1">
      <c r="A304" s="35" t="n">
        <v>303</v>
      </c>
      <c r="B304" s="3" t="inlineStr">
        <is>
          <t>B1.F-23</t>
        </is>
      </c>
      <c r="C304" s="3" t="inlineStr">
        <is>
          <t>Bilag 1.f. Test og prøver</t>
        </is>
      </c>
      <c r="D304" s="3" t="inlineStr">
        <is>
          <t>9.1</t>
        </is>
      </c>
      <c r="E304" s="3" t="inlineStr">
        <is>
          <t>Konverteringsprøven indhold</t>
        </is>
      </c>
      <c r="F304" s="35" t="inlineStr">
        <is>
          <t>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t>
        </is>
      </c>
      <c r="G304" s="3" t="inlineStr">
        <is>
          <t>Mindstekrav</t>
        </is>
      </c>
      <c r="H304" s="35">
        <f>IF(G304="Evalueringskrav","Answer",(IF(G304="Krav","Check",(IF(G304="Mindstekrav","Verify","")))))</f>
        <v/>
      </c>
      <c r="I304" s="35" t="inlineStr">
        <is>
          <t>Nej</t>
        </is>
      </c>
      <c r="J304" s="35" t="n"/>
      <c r="K304" s="47" t="n"/>
      <c r="L304" s="35" t="inlineStr">
        <is>
          <t>Cristina</t>
        </is>
      </c>
      <c r="M304" s="35" t="n"/>
      <c r="N304" s="35" t="n"/>
      <c r="O304" s="35" t="n"/>
      <c r="P304" s="35" t="n"/>
      <c r="Q304" s="35" t="n"/>
      <c r="R304" s="35" t="n"/>
      <c r="S304" s="35" t="n"/>
      <c r="T304" s="35" t="n"/>
      <c r="U304" s="35" t="inlineStr">
        <is>
          <t>Not Started</t>
        </is>
      </c>
      <c r="V304" s="37">
        <f>IF(U304="Not Started",0%,IF(U304="Started",50%,IF(U304="Ready for review",70%,IF(U304="Reviewed - Content",80%,IF(U304="Reviewed - Format",90%,IF(U304="Done",100%,""))))))</f>
        <v/>
      </c>
      <c r="W304" t="inlineStr">
        <is>
          <t>2026-07-07</t>
        </is>
      </c>
      <c r="X304" t="inlineStr">
        <is>
          <t>Cursor / tender-response (batch)</t>
        </is>
      </c>
      <c r="Y304" t="inlineStr">
        <is>
          <t>Clarify</t>
        </is>
      </c>
      <c r="Z304" t="inlineStr">
        <is>
          <t>Verified</t>
        </is>
      </c>
      <c r="AA304" t="inlineStr">
        <is>
          <t>Verify: Konverteringsprøven indhold — kræver produkt-/team-afklaring (ingen tool-rating).</t>
        </is>
      </c>
      <c r="AB304" t="inlineStr"/>
      <c r="AC304"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4" t="inlineStr">
        <is>
          <t>Cristina: Udfyld tool-rating (O) og evidens; gennemgå AI-kladde.</t>
        </is>
      </c>
      <c r="AE304" t="inlineStr"/>
      <c r="AF304" t="inlineStr">
        <is>
          <t>Draft</t>
        </is>
      </c>
      <c r="AG304" t="inlineStr">
        <is>
          <t>uim-esdh-full-2026-07-07</t>
        </is>
      </c>
    </row>
    <row r="305" ht="176" customHeight="1">
      <c r="A305" s="35" t="n">
        <v>304</v>
      </c>
      <c r="B305" s="3" t="inlineStr">
        <is>
          <t>B1.F-24</t>
        </is>
      </c>
      <c r="C305" s="3" t="inlineStr">
        <is>
          <t>Bilag 1.f. Test og prøver</t>
        </is>
      </c>
      <c r="D305" s="3" t="inlineStr">
        <is>
          <t>11.1</t>
        </is>
      </c>
      <c r="E305" s="3" t="inlineStr">
        <is>
          <t>Kriterier for påbegyndelse</t>
        </is>
      </c>
      <c r="F305" s="35" t="inlineStr">
        <is>
          <t>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t>
        </is>
      </c>
      <c r="G305" s="3" t="inlineStr">
        <is>
          <t>Mindstekrav</t>
        </is>
      </c>
      <c r="H305" s="35">
        <f>IF(G305="Evalueringskrav","Answer",(IF(G305="Krav","Check",(IF(G305="Mindstekrav","Verify","")))))</f>
        <v/>
      </c>
      <c r="I305" s="35" t="inlineStr">
        <is>
          <t>Nej</t>
        </is>
      </c>
      <c r="J305" s="35" t="n"/>
      <c r="K305" s="47" t="n"/>
      <c r="L305" s="35" t="inlineStr">
        <is>
          <t>Cristina</t>
        </is>
      </c>
      <c r="M305" s="35" t="n"/>
      <c r="N305" s="35" t="n"/>
      <c r="O305" s="35" t="n"/>
      <c r="P305" s="35" t="n"/>
      <c r="Q305" s="35" t="n"/>
      <c r="R305" s="35" t="n"/>
      <c r="S305" s="35" t="n"/>
      <c r="T305" s="35" t="n"/>
      <c r="U305" s="35" t="inlineStr">
        <is>
          <t>Not Started</t>
        </is>
      </c>
      <c r="V305" s="37">
        <f>IF(U305="Not Started",0%,IF(U305="Started",50%,IF(U305="Ready for review",70%,IF(U305="Reviewed - Content",80%,IF(U305="Reviewed - Format",90%,IF(U305="Done",100%,""))))))</f>
        <v/>
      </c>
      <c r="W305" t="inlineStr">
        <is>
          <t>2026-07-07</t>
        </is>
      </c>
      <c r="X305" t="inlineStr">
        <is>
          <t>Cursor / tender-response (batch)</t>
        </is>
      </c>
      <c r="Y305" t="inlineStr">
        <is>
          <t>Clarify</t>
        </is>
      </c>
      <c r="Z305" t="inlineStr">
        <is>
          <t>Verified</t>
        </is>
      </c>
      <c r="AA305" t="inlineStr">
        <is>
          <t>Verify: Kriterier for påbegyndelse — kræver produkt-/team-afklaring (ingen tool-rating).</t>
        </is>
      </c>
      <c r="AB305" t="inlineStr"/>
      <c r="AC3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305" t="inlineStr">
        <is>
          <t>Cristina: Udfyld tool-rating (O) og evidens; gennemgå AI-kladde.</t>
        </is>
      </c>
      <c r="AE305" t="inlineStr"/>
      <c r="AF305" t="inlineStr">
        <is>
          <t>Draft</t>
        </is>
      </c>
      <c r="AG305" t="inlineStr">
        <is>
          <t>uim-esdh-full-2026-07-07</t>
        </is>
      </c>
    </row>
    <row r="306" ht="144" customHeight="1">
      <c r="A306" s="35" t="n">
        <v>305</v>
      </c>
      <c r="B306" s="3" t="inlineStr">
        <is>
          <t>B1.F-25</t>
        </is>
      </c>
      <c r="C306" s="3" t="inlineStr">
        <is>
          <t>Bilag 1.f. Test og prøver</t>
        </is>
      </c>
      <c r="D306" s="3" t="inlineStr">
        <is>
          <t>11.2</t>
        </is>
      </c>
      <c r="E306" s="3" t="inlineStr">
        <is>
          <t>Overtagelsesprøvens indhold</t>
        </is>
      </c>
      <c r="F306" s="35" t="inlineStr">
        <is>
          <t>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t>
        </is>
      </c>
      <c r="G306" s="3" t="inlineStr">
        <is>
          <t>Mindstekrav</t>
        </is>
      </c>
      <c r="H306" s="35">
        <f>IF(G306="Evalueringskrav","Answer",(IF(G306="Krav","Check",(IF(G306="Mindstekrav","Verify","")))))</f>
        <v/>
      </c>
      <c r="I306" s="35" t="inlineStr">
        <is>
          <t>Nej</t>
        </is>
      </c>
      <c r="J306" s="35" t="n"/>
      <c r="K306" s="47" t="n"/>
      <c r="L306" s="35" t="inlineStr">
        <is>
          <t>Cristina</t>
        </is>
      </c>
      <c r="M306" s="35" t="n"/>
      <c r="N306" s="35" t="n"/>
      <c r="O306" s="35" t="n"/>
      <c r="P306" s="35" t="n"/>
      <c r="Q306" s="35" t="n"/>
      <c r="R306" s="35" t="n"/>
      <c r="S306" s="35" t="n"/>
      <c r="T306" s="35" t="n"/>
      <c r="U306" s="35" t="inlineStr">
        <is>
          <t>Not Started</t>
        </is>
      </c>
      <c r="V306" s="37">
        <f>IF(U306="Not Started",0%,IF(U306="Started",50%,IF(U306="Ready for review",70%,IF(U306="Reviewed - Content",80%,IF(U306="Reviewed - Format",90%,IF(U306="Done",100%,""))))))</f>
        <v/>
      </c>
      <c r="W306" t="inlineStr">
        <is>
          <t>2026-07-07</t>
        </is>
      </c>
      <c r="X306" t="inlineStr">
        <is>
          <t>Cursor / tender-response (batch)</t>
        </is>
      </c>
      <c r="Y306" t="inlineStr">
        <is>
          <t>Clarify</t>
        </is>
      </c>
      <c r="Z306" t="inlineStr">
        <is>
          <t>Verified</t>
        </is>
      </c>
      <c r="AA306" t="inlineStr">
        <is>
          <t>Verify: Overtagelsesprøvens indhold — kræver produkt-/team-afklaring (ingen tool-rating).</t>
        </is>
      </c>
      <c r="AB306" t="inlineStr"/>
      <c r="AC306"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06" t="inlineStr">
        <is>
          <t>Cristina: Udfyld tool-rating (O) og evidens; gennemgå AI-kladde.</t>
        </is>
      </c>
      <c r="AE306" t="inlineStr"/>
      <c r="AF306" t="inlineStr">
        <is>
          <t>Draft</t>
        </is>
      </c>
      <c r="AG306" t="inlineStr">
        <is>
          <t>uim-esdh-full-2026-07-07</t>
        </is>
      </c>
    </row>
    <row r="307" ht="176" customHeight="1">
      <c r="A307" s="35" t="n">
        <v>306</v>
      </c>
      <c r="B307" s="3" t="inlineStr">
        <is>
          <t>B1.F-26</t>
        </is>
      </c>
      <c r="C307" s="3" t="inlineStr">
        <is>
          <t>Bilag 1.f. Test og prøver</t>
        </is>
      </c>
      <c r="D307" s="3" t="inlineStr">
        <is>
          <t>11.3</t>
        </is>
      </c>
      <c r="E307" s="3" t="inlineStr">
        <is>
          <t>Godkendelseskriterier</t>
        </is>
      </c>
      <c r="F307" s="35" t="inlineStr">
        <is>
          <t>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t>
        </is>
      </c>
      <c r="G307" s="3" t="inlineStr">
        <is>
          <t>Mindstekrav</t>
        </is>
      </c>
      <c r="H307" s="35">
        <f>IF(G307="Evalueringskrav","Answer",(IF(G307="Krav","Check",(IF(G307="Mindstekrav","Verify","")))))</f>
        <v/>
      </c>
      <c r="I307" s="35" t="inlineStr">
        <is>
          <t>Nej</t>
        </is>
      </c>
      <c r="J307" s="35" t="n"/>
      <c r="K307" s="47" t="n"/>
      <c r="L307" s="35" t="inlineStr">
        <is>
          <t>Cristina</t>
        </is>
      </c>
      <c r="M307" s="35" t="n"/>
      <c r="N307" s="35" t="n"/>
      <c r="O307" s="35" t="n"/>
      <c r="P307" s="35" t="n"/>
      <c r="Q307" s="35" t="n"/>
      <c r="R307" s="35" t="n"/>
      <c r="S307" s="35" t="n"/>
      <c r="T307" s="35" t="n"/>
      <c r="U307" s="35" t="inlineStr">
        <is>
          <t>Not Started</t>
        </is>
      </c>
      <c r="V307" s="37">
        <f>IF(U307="Not Started",0%,IF(U307="Started",50%,IF(U307="Ready for review",70%,IF(U307="Reviewed - Content",80%,IF(U307="Reviewed - Format",90%,IF(U307="Done",100%,""))))))</f>
        <v/>
      </c>
      <c r="W307" t="inlineStr">
        <is>
          <t>2026-07-07</t>
        </is>
      </c>
      <c r="X307" t="inlineStr">
        <is>
          <t>Cursor / tender-response (batch)</t>
        </is>
      </c>
      <c r="Y307" t="inlineStr">
        <is>
          <t>Clarify</t>
        </is>
      </c>
      <c r="Z307" t="inlineStr">
        <is>
          <t>Verified</t>
        </is>
      </c>
      <c r="AA307" t="inlineStr">
        <is>
          <t>Verify: Godkendelseskriterier — kræver produkt-/team-afklaring (ingen tool-rating).</t>
        </is>
      </c>
      <c r="AB307" t="inlineStr"/>
      <c r="AC30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7" t="inlineStr">
        <is>
          <t>Cristina: Udfyld tool-rating (O) og evidens; gennemgå AI-kladde.</t>
        </is>
      </c>
      <c r="AE307" t="inlineStr"/>
      <c r="AF307" t="inlineStr">
        <is>
          <t>Draft</t>
        </is>
      </c>
      <c r="AG307" t="inlineStr">
        <is>
          <t>uim-esdh-full-2026-07-07</t>
        </is>
      </c>
    </row>
    <row r="308" ht="112" customHeight="1">
      <c r="A308" s="35" t="n">
        <v>307</v>
      </c>
      <c r="B308" s="3" t="inlineStr">
        <is>
          <t>B1.F-27</t>
        </is>
      </c>
      <c r="C308" s="3" t="inlineStr">
        <is>
          <t>Bilag 1.f. Test og prøver</t>
        </is>
      </c>
      <c r="D308" s="3" t="inlineStr">
        <is>
          <t>12.1</t>
        </is>
      </c>
      <c r="E308" s="3" t="inlineStr">
        <is>
          <t>Tidspunkt og periode for gennemførelse</t>
        </is>
      </c>
      <c r="F308" s="35" t="inlineStr">
        <is>
          <t>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t>
        </is>
      </c>
      <c r="G308" s="3" t="inlineStr">
        <is>
          <t>Mindstekrav</t>
        </is>
      </c>
      <c r="H308" s="35">
        <f>IF(G308="Evalueringskrav","Answer",(IF(G308="Krav","Check",(IF(G308="Mindstekrav","Verify","")))))</f>
        <v/>
      </c>
      <c r="I308" s="35" t="inlineStr">
        <is>
          <t>Nej</t>
        </is>
      </c>
      <c r="J308" s="35" t="n"/>
      <c r="K308" s="47" t="n"/>
      <c r="L308" s="35" t="inlineStr">
        <is>
          <t>Cristina</t>
        </is>
      </c>
      <c r="M308" s="35" t="n"/>
      <c r="N308" s="35" t="n"/>
      <c r="O308" s="35" t="n"/>
      <c r="P308" s="35" t="n"/>
      <c r="Q308" s="35" t="n"/>
      <c r="R308" s="35" t="n"/>
      <c r="S308" s="35" t="n"/>
      <c r="T308" s="35" t="n"/>
      <c r="U308" s="35" t="inlineStr">
        <is>
          <t>Not Started</t>
        </is>
      </c>
      <c r="V308" s="37">
        <f>IF(U308="Not Started",0%,IF(U308="Started",50%,IF(U308="Ready for review",70%,IF(U308="Reviewed - Content",80%,IF(U308="Reviewed - Format",90%,IF(U308="Done",100%,""))))))</f>
        <v/>
      </c>
      <c r="W308" t="inlineStr">
        <is>
          <t>2026-07-07</t>
        </is>
      </c>
      <c r="X308" t="inlineStr">
        <is>
          <t>Cursor / tender-response (batch)</t>
        </is>
      </c>
      <c r="Y308" t="inlineStr">
        <is>
          <t>Clarify</t>
        </is>
      </c>
      <c r="Z308" t="inlineStr">
        <is>
          <t>Verified</t>
        </is>
      </c>
      <c r="AA308" t="inlineStr">
        <is>
          <t>Verify: Tidspunkt og periode for gennemførelse — kræver produkt-/team-afklaring (ingen tool-rating).</t>
        </is>
      </c>
      <c r="AB308" t="inlineStr"/>
      <c r="AC308" t="inlineStr">
        <is>
          <t>docs/tender-reference/extracted/KK Tender tool.txt; docs/tender-reference/extracted/KUM-SLKS/Bilag 1 - Tidsplan.txt; docs/tender-reference/extracted/Nationalbanken/Bilag 3.i Leverandørens Løsningsbeskrivelse.txt</t>
        </is>
      </c>
      <c r="AD308" t="inlineStr">
        <is>
          <t>Cristina: Udfyld tool-rating (O) og evidens; gennemgå AI-kladde.</t>
        </is>
      </c>
      <c r="AE308" t="inlineStr"/>
      <c r="AF308" t="inlineStr">
        <is>
          <t>Draft</t>
        </is>
      </c>
      <c r="AG308" t="inlineStr">
        <is>
          <t>uim-esdh-full-2026-07-07</t>
        </is>
      </c>
    </row>
    <row r="309" ht="112" customHeight="1">
      <c r="A309" s="35" t="n">
        <v>308</v>
      </c>
      <c r="B309" s="3" t="inlineStr">
        <is>
          <t>B1.F-28</t>
        </is>
      </c>
      <c r="C309" s="3" t="inlineStr">
        <is>
          <t>Bilag 1.f. Test og prøver</t>
        </is>
      </c>
      <c r="D309" s="3" t="inlineStr">
        <is>
          <t>12.2</t>
        </is>
      </c>
      <c r="E309" s="3" t="inlineStr">
        <is>
          <t>Kriterier for påbegyndelse</t>
        </is>
      </c>
      <c r="F309" s="35" t="inlineStr">
        <is>
          <t>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t>
        </is>
      </c>
      <c r="G309" s="3" t="inlineStr">
        <is>
          <t>Mindstekrav</t>
        </is>
      </c>
      <c r="H309" s="35">
        <f>IF(G309="Evalueringskrav","Answer",(IF(G309="Krav","Check",(IF(G309="Mindstekrav","Verify","")))))</f>
        <v/>
      </c>
      <c r="I309" s="35" t="inlineStr">
        <is>
          <t>Nej</t>
        </is>
      </c>
      <c r="J309" s="35" t="n"/>
      <c r="K309" s="47" t="n"/>
      <c r="L309" s="35" t="inlineStr">
        <is>
          <t>Cristina</t>
        </is>
      </c>
      <c r="M309" s="35" t="n"/>
      <c r="N309" s="35" t="n"/>
      <c r="O309" s="35" t="n"/>
      <c r="P309" s="35" t="n"/>
      <c r="Q309" s="35" t="n"/>
      <c r="R309" s="35" t="n"/>
      <c r="S309" s="35" t="n"/>
      <c r="T309" s="35" t="n"/>
      <c r="U309" s="35" t="inlineStr">
        <is>
          <t>Not Started</t>
        </is>
      </c>
      <c r="V309" s="37">
        <f>IF(U309="Not Started",0%,IF(U309="Started",50%,IF(U309="Ready for review",70%,IF(U309="Reviewed - Content",80%,IF(U309="Reviewed - Format",90%,IF(U309="Done",100%,""))))))</f>
        <v/>
      </c>
      <c r="W309" t="inlineStr">
        <is>
          <t>2026-07-07</t>
        </is>
      </c>
      <c r="X309" t="inlineStr">
        <is>
          <t>Cursor / tender-response (batch)</t>
        </is>
      </c>
      <c r="Y309" t="inlineStr">
        <is>
          <t>Clarify</t>
        </is>
      </c>
      <c r="Z309" t="inlineStr">
        <is>
          <t>Verified</t>
        </is>
      </c>
      <c r="AA309" t="inlineStr">
        <is>
          <t>Verify: Kriterier for påbegyndelse — kræver produkt-/team-afklaring (ingen tool-rating).</t>
        </is>
      </c>
      <c r="AB309" t="inlineStr"/>
      <c r="AC309" t="inlineStr">
        <is>
          <t>docs/tender-reference/extracted/KK Tender tool.txt; docs/tender-reference/extracted/Nationalbanken/Bilag 3.i Leverandørens Løsningsbeskrivelse.txt; docs/tender-reference/extracted/KUM-SLKS/Bilag 1 - Tidsplan.txt</t>
        </is>
      </c>
      <c r="AD309" t="inlineStr">
        <is>
          <t>Cristina: Udfyld tool-rating (O) og evidens; gennemgå AI-kladde.</t>
        </is>
      </c>
      <c r="AE309" t="inlineStr"/>
      <c r="AF309" t="inlineStr">
        <is>
          <t>Draft</t>
        </is>
      </c>
      <c r="AG309" t="inlineStr">
        <is>
          <t>uim-esdh-full-2026-07-07</t>
        </is>
      </c>
    </row>
    <row r="310" ht="96" customHeight="1">
      <c r="A310" s="35" t="n">
        <v>309</v>
      </c>
      <c r="B310" s="3" t="inlineStr">
        <is>
          <t>B1.F-29</t>
        </is>
      </c>
      <c r="C310" s="3" t="inlineStr">
        <is>
          <t>Bilag 1.f. Test og prøver</t>
        </is>
      </c>
      <c r="D310" s="3" t="inlineStr">
        <is>
          <t>12.3</t>
        </is>
      </c>
      <c r="E310" s="3" t="inlineStr">
        <is>
          <t>Godkendelseskriterier</t>
        </is>
      </c>
      <c r="F310" s="35" t="inlineStr">
        <is>
          <t>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t>
        </is>
      </c>
      <c r="G310" s="3" t="inlineStr">
        <is>
          <t>Mindstekrav</t>
        </is>
      </c>
      <c r="H310" s="35">
        <f>IF(G310="Evalueringskrav","Answer",(IF(G310="Krav","Check",(IF(G310="Mindstekrav","Verify","")))))</f>
        <v/>
      </c>
      <c r="I310" s="35" t="inlineStr">
        <is>
          <t>Nej</t>
        </is>
      </c>
      <c r="J310" s="35" t="n"/>
      <c r="K310" s="47" t="n"/>
      <c r="L310" s="35" t="inlineStr">
        <is>
          <t>Cristina</t>
        </is>
      </c>
      <c r="M310" s="35" t="n"/>
      <c r="N310" s="35" t="n"/>
      <c r="O310" s="35" t="n"/>
      <c r="P310" s="35" t="n"/>
      <c r="Q310" s="35" t="n"/>
      <c r="R310" s="35" t="n"/>
      <c r="S310" s="35" t="n"/>
      <c r="T310" s="35" t="n"/>
      <c r="U310" s="35" t="inlineStr">
        <is>
          <t>Not Started</t>
        </is>
      </c>
      <c r="V310" s="37">
        <f>IF(U310="Not Started",0%,IF(U310="Started",50%,IF(U310="Ready for review",70%,IF(U310="Reviewed - Content",80%,IF(U310="Reviewed - Format",90%,IF(U310="Done",100%,""))))))</f>
        <v/>
      </c>
      <c r="W310" t="inlineStr">
        <is>
          <t>2026-07-07</t>
        </is>
      </c>
      <c r="X310" t="inlineStr">
        <is>
          <t>Cursor / tender-response (batch)</t>
        </is>
      </c>
      <c r="Y310" t="inlineStr">
        <is>
          <t>Clarify</t>
        </is>
      </c>
      <c r="Z310" t="inlineStr">
        <is>
          <t>Verified</t>
        </is>
      </c>
      <c r="AA310" t="inlineStr">
        <is>
          <t>Verify: Godkendelseskriterier — kræver produkt-/team-afklaring (ingen tool-rating).</t>
        </is>
      </c>
      <c r="AB310" t="inlineStr"/>
      <c r="AC310" t="inlineStr">
        <is>
          <t>docs/tender-reference/extracted/KK Tender tool.txt; docs/tender-reference/extracted/Nationalbanken/Underbilag 6B - Testplan og Leverandørens prøveprincipper, metoder og -værktøjer (1).txt; docs/tender-reference/extracted/KUM-SLKS/Bilag 1 - Tidsplan.txt</t>
        </is>
      </c>
      <c r="AD310" t="inlineStr">
        <is>
          <t>Cristina: Udfyld tool-rating (O) og evidens; gennemgå AI-kladde.</t>
        </is>
      </c>
      <c r="AE310" t="inlineStr"/>
      <c r="AF310" t="inlineStr">
        <is>
          <t>Draft</t>
        </is>
      </c>
      <c r="AG310" t="inlineStr">
        <is>
          <t>uim-esdh-full-2026-07-07</t>
        </is>
      </c>
    </row>
    <row r="311" ht="48" customHeight="1">
      <c r="A311" s="35" t="n">
        <v>310</v>
      </c>
      <c r="B311" s="3" t="inlineStr">
        <is>
          <t>B1.F-30</t>
        </is>
      </c>
      <c r="C311" s="3" t="inlineStr">
        <is>
          <t>Bilag 1.f. Test og prøver</t>
        </is>
      </c>
      <c r="D311" s="3" t="inlineStr">
        <is>
          <t>12.4</t>
        </is>
      </c>
      <c r="E311" s="3" t="inlineStr">
        <is>
          <t>Samlet afslutning</t>
        </is>
      </c>
      <c r="F311" s="35" t="inlineStr">
        <is>
          <t>Samlet afslutning Prøveforløbet for ESDH-løsningen betragtes først som afsluttet, når den fulde Løsning har bestået sin Driftsprøve i henhold til godkendelseskriterierne. 15</t>
        </is>
      </c>
      <c r="G311" s="3" t="inlineStr">
        <is>
          <t>Mindstekrav</t>
        </is>
      </c>
      <c r="H311" s="35">
        <f>IF(G311="Evalueringskrav","Answer",(IF(G311="Krav","Check",(IF(G311="Mindstekrav","Verify","")))))</f>
        <v/>
      </c>
      <c r="I311" s="35" t="inlineStr">
        <is>
          <t>Nej</t>
        </is>
      </c>
      <c r="J311" s="35" t="n"/>
      <c r="K311" s="47" t="n"/>
      <c r="L311" s="35" t="inlineStr">
        <is>
          <t>Cristina</t>
        </is>
      </c>
      <c r="M311" s="35" t="n"/>
      <c r="N311" s="35" t="n"/>
      <c r="O311" s="35" t="n"/>
      <c r="P311" s="35" t="n"/>
      <c r="Q311" s="35" t="n"/>
      <c r="R311" s="35" t="n"/>
      <c r="S311" s="35" t="n"/>
      <c r="T311" s="35" t="n"/>
      <c r="U311" s="35" t="inlineStr">
        <is>
          <t>Not Started</t>
        </is>
      </c>
      <c r="V311" s="37">
        <f>IF(U311="Not Started",0%,IF(U311="Started",50%,IF(U311="Ready for review",70%,IF(U311="Reviewed - Content",80%,IF(U311="Reviewed - Format",90%,IF(U311="Done",100%,""))))))</f>
        <v/>
      </c>
      <c r="W311" t="inlineStr">
        <is>
          <t>2026-07-07</t>
        </is>
      </c>
      <c r="X311" t="inlineStr">
        <is>
          <t>Cursor / tender-response (batch)</t>
        </is>
      </c>
      <c r="Y311" t="inlineStr">
        <is>
          <t>Clarify</t>
        </is>
      </c>
      <c r="Z311" t="inlineStr">
        <is>
          <t>Verified</t>
        </is>
      </c>
      <c r="AA311" t="inlineStr">
        <is>
          <t>Verify: Samlet afslutning — kræver produkt-/team-afklaring (ingen tool-rating).</t>
        </is>
      </c>
      <c r="AB311" t="inlineStr"/>
      <c r="AC311"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11" t="inlineStr">
        <is>
          <t>Cristina: Udfyld tool-rating (O) og evidens; gennemgå AI-kladde.</t>
        </is>
      </c>
      <c r="AE311" t="inlineStr"/>
      <c r="AF311" t="inlineStr">
        <is>
          <t>Draft</t>
        </is>
      </c>
      <c r="AG311" t="inlineStr">
        <is>
          <t>uim-esdh-full-2026-07-07</t>
        </is>
      </c>
    </row>
    <row r="312" ht="64" customHeight="1">
      <c r="A312" s="35" t="n">
        <v>311</v>
      </c>
      <c r="B312" s="3" t="inlineStr">
        <is>
          <t>B1.G-1</t>
        </is>
      </c>
      <c r="C312" s="3" t="inlineStr">
        <is>
          <t>Bilag 1.g Samarbejde under Leveringskontrakten</t>
        </is>
      </c>
      <c r="D312" s="3" t="inlineStr">
        <is>
          <t>2.1</t>
        </is>
      </c>
      <c r="E312" s="3" t="inlineStr">
        <is>
          <t>Sprog</t>
        </is>
      </c>
      <c r="F312" s="35" t="inlineStr">
        <is>
          <t>Sprog Leverandøren skal sikre, at medarbejderne, der indgår i samarbejdsorganisationen, kan kommunikere mundtligt og skriftligt på dansk. Såfremt Kunden forud giver tilladelse til det, kan dele af kommunikationen i enkelte tilfælde foregå på engelsk.</t>
        </is>
      </c>
      <c r="G312" s="3" t="inlineStr">
        <is>
          <t>Mindstekrav</t>
        </is>
      </c>
      <c r="H312" s="35">
        <f>IF(G312="Evalueringskrav","Answer",(IF(G312="Krav","Check",(IF(G312="Mindstekrav","Verify","")))))</f>
        <v/>
      </c>
      <c r="I312" s="35" t="inlineStr">
        <is>
          <t>Nej</t>
        </is>
      </c>
      <c r="J312" s="35" t="n"/>
      <c r="K312" s="47" t="n"/>
      <c r="L312" s="35" t="inlineStr">
        <is>
          <t>Cristina</t>
        </is>
      </c>
      <c r="M312" s="35" t="n"/>
      <c r="N312" s="35" t="n"/>
      <c r="O312" s="35" t="n"/>
      <c r="P312" s="35" t="n"/>
      <c r="Q312" s="35" t="n"/>
      <c r="R312" s="35" t="n"/>
      <c r="S312" s="35" t="n"/>
      <c r="T312" s="35" t="n"/>
      <c r="U312" s="35" t="inlineStr">
        <is>
          <t>Not Started</t>
        </is>
      </c>
      <c r="V312" s="37">
        <f>IF(U312="Not Started",0%,IF(U312="Started",50%,IF(U312="Ready for review",70%,IF(U312="Reviewed - Content",80%,IF(U312="Reviewed - Format",90%,IF(U312="Done",100%,""))))))</f>
        <v/>
      </c>
      <c r="W312" t="inlineStr">
        <is>
          <t>2026-07-07</t>
        </is>
      </c>
      <c r="X312" t="inlineStr">
        <is>
          <t>Cursor / tender-response (batch)</t>
        </is>
      </c>
      <c r="Y312" t="inlineStr">
        <is>
          <t>Clarify</t>
        </is>
      </c>
      <c r="Z312" t="inlineStr">
        <is>
          <t>Verified</t>
        </is>
      </c>
      <c r="AA312" t="inlineStr">
        <is>
          <t>Verify: Sprog — kræver produkt-/team-afklaring (ingen tool-rating).</t>
        </is>
      </c>
      <c r="AB312" t="inlineStr"/>
      <c r="AC312" t="inlineStr">
        <is>
          <t>docs/tender-reference/extracted/Nationalbanken/Bilag 3.i Leverandørens Løsningsbeskrivelse.txt; docs/tender-reference/extracted/KK Tender tool.txt; docs/tender-reference/extracted/Nationalbanken/Bilag 1.i Leverandørens Løsningsbeskrivelse.txt</t>
        </is>
      </c>
      <c r="AD312" t="inlineStr">
        <is>
          <t>Cristina: Udfyld tool-rating (O) og evidens; gennemgå AI-kladde.</t>
        </is>
      </c>
      <c r="AE312" t="inlineStr"/>
      <c r="AF312" t="inlineStr">
        <is>
          <t>Draft</t>
        </is>
      </c>
      <c r="AG312" t="inlineStr">
        <is>
          <t>uim-esdh-full-2026-07-07</t>
        </is>
      </c>
    </row>
    <row r="313" ht="96" customHeight="1">
      <c r="A313" s="35" t="n">
        <v>312</v>
      </c>
      <c r="B313" s="3" t="inlineStr">
        <is>
          <t>B1.G-2</t>
        </is>
      </c>
      <c r="C313" s="3" t="inlineStr">
        <is>
          <t>Bilag 1.g Samarbejde under Leveringskontrakten</t>
        </is>
      </c>
      <c r="D313" s="3" t="inlineStr">
        <is>
          <t>2.2</t>
        </is>
      </c>
      <c r="E313" s="3" t="inlineStr">
        <is>
          <t>Sikkerhedsgodkendelse</t>
        </is>
      </c>
      <c r="F313" s="35" t="inlineStr">
        <is>
          <t>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t>
        </is>
      </c>
      <c r="G313" s="3" t="inlineStr">
        <is>
          <t>Mindstekrav</t>
        </is>
      </c>
      <c r="H313" s="35">
        <f>IF(G313="Evalueringskrav","Answer",(IF(G313="Krav","Check",(IF(G313="Mindstekrav","Verify","")))))</f>
        <v/>
      </c>
      <c r="I313" s="35" t="inlineStr">
        <is>
          <t>Nej</t>
        </is>
      </c>
      <c r="J313" s="35" t="n"/>
      <c r="K313" s="47" t="n"/>
      <c r="L313" s="35" t="inlineStr">
        <is>
          <t>Cristina</t>
        </is>
      </c>
      <c r="M313" s="35" t="n"/>
      <c r="N313" s="35" t="n"/>
      <c r="O313" s="35" t="n"/>
      <c r="P313" s="35" t="n"/>
      <c r="Q313" s="35" t="n"/>
      <c r="R313" s="35" t="n"/>
      <c r="S313" s="35" t="n"/>
      <c r="T313" s="35" t="n"/>
      <c r="U313" s="35" t="inlineStr">
        <is>
          <t>Not Started</t>
        </is>
      </c>
      <c r="V313" s="37">
        <f>IF(U313="Not Started",0%,IF(U313="Started",50%,IF(U313="Ready for review",70%,IF(U313="Reviewed - Content",80%,IF(U313="Reviewed - Format",90%,IF(U313="Done",100%,""))))))</f>
        <v/>
      </c>
      <c r="W313" t="inlineStr">
        <is>
          <t>2026-07-07</t>
        </is>
      </c>
      <c r="X313" t="inlineStr">
        <is>
          <t>Cursor / tender-response (batch)</t>
        </is>
      </c>
      <c r="Y313" t="inlineStr">
        <is>
          <t>Clarify</t>
        </is>
      </c>
      <c r="Z313" t="inlineStr">
        <is>
          <t>Verified</t>
        </is>
      </c>
      <c r="AA313" t="inlineStr">
        <is>
          <t>Verify: Sikkerhedsgodkendelse — kræver produkt-/team-afklaring (ingen tool-rating).</t>
        </is>
      </c>
      <c r="AB313" t="inlineStr"/>
      <c r="AC313" t="inlineStr">
        <is>
          <t>docs/tender-reference/extracted/KUM-SLKS/Bilag 10 - Producentens standardvilkår.txt; docs/tender-reference/extracted/Nationalbanken/Bilag 3.i Leverandørens Løsningsbeskrivelse.txt; docs/tender-reference/extracted/KK Tender tool.txt</t>
        </is>
      </c>
      <c r="AD313" t="inlineStr">
        <is>
          <t>Cristina: Udfyld tool-rating (O) og evidens; gennemgå AI-kladde.</t>
        </is>
      </c>
      <c r="AE313" t="inlineStr"/>
      <c r="AF313" t="inlineStr">
        <is>
          <t>Draft</t>
        </is>
      </c>
      <c r="AG313" t="inlineStr">
        <is>
          <t>uim-esdh-full-2026-07-07</t>
        </is>
      </c>
    </row>
    <row r="314" ht="368" customHeight="1">
      <c r="A314" s="35" t="n">
        <v>313</v>
      </c>
      <c r="B314" s="3" t="inlineStr">
        <is>
          <t>B1.G-3</t>
        </is>
      </c>
      <c r="C314" s="3" t="inlineStr">
        <is>
          <t>Bilag 1.g Samarbejde under Leveringskontrakten</t>
        </is>
      </c>
      <c r="D314" s="3" t="inlineStr">
        <is>
          <t>3.1</t>
        </is>
      </c>
      <c r="E314" s="3" t="inlineStr">
        <is>
          <t>Styregruppe</t>
        </is>
      </c>
      <c r="F314" s="35" t="inlineStr">
        <is>
          <t>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t>
        </is>
      </c>
      <c r="G314" s="3" t="inlineStr">
        <is>
          <t>Mindstekrav</t>
        </is>
      </c>
      <c r="H314" s="35">
        <f>IF(G314="Evalueringskrav","Answer",(IF(G314="Krav","Check",(IF(G314="Mindstekrav","Verify","")))))</f>
        <v/>
      </c>
      <c r="I314" s="35" t="inlineStr">
        <is>
          <t>Nej</t>
        </is>
      </c>
      <c r="J314" s="35" t="n"/>
      <c r="K314" s="47" t="n"/>
      <c r="L314" s="35" t="inlineStr">
        <is>
          <t>Cristina</t>
        </is>
      </c>
      <c r="M314" s="35" t="n"/>
      <c r="N314" s="35" t="n"/>
      <c r="O314" s="35" t="n"/>
      <c r="P314" s="35" t="n"/>
      <c r="Q314" s="35" t="n"/>
      <c r="R314" s="35" t="n"/>
      <c r="S314" s="35" t="n"/>
      <c r="T314" s="35" t="n"/>
      <c r="U314" s="35" t="inlineStr">
        <is>
          <t>Not Started</t>
        </is>
      </c>
      <c r="V314" s="37">
        <f>IF(U314="Not Started",0%,IF(U314="Started",50%,IF(U314="Ready for review",70%,IF(U314="Reviewed - Content",80%,IF(U314="Reviewed - Format",90%,IF(U314="Done",100%,""))))))</f>
        <v/>
      </c>
      <c r="W314" t="inlineStr">
        <is>
          <t>2026-07-07</t>
        </is>
      </c>
      <c r="X314" t="inlineStr">
        <is>
          <t>Cursor / tender-response (batch)</t>
        </is>
      </c>
      <c r="Y314" t="inlineStr">
        <is>
          <t>Clarify</t>
        </is>
      </c>
      <c r="Z314" t="inlineStr">
        <is>
          <t>Verified</t>
        </is>
      </c>
      <c r="AA314" t="inlineStr">
        <is>
          <t>Verify: Styregruppe — kræver produkt-/team-afklaring (ingen tool-rating).</t>
        </is>
      </c>
      <c r="AB314" t="inlineStr"/>
      <c r="AC314" t="inlineStr">
        <is>
          <t>docs/tender-reference/extracted/NND/02.01-Tieto-Bilag 2-Vedlegg-Leverandørens utfyllende svar til kravtabell.txt; docs/tender-reference/extracted/HSØ/02.00-Tietoevry-SSA-L-Bilag 2-Leverandørens beskrivelse av Tjenesten.txt; docs/tender-reference/extracted/KK Tender tool.txt</t>
        </is>
      </c>
      <c r="AD314" t="inlineStr">
        <is>
          <t>Cristina: Udfyld tool-rating (O) og evidens; gennemgå AI-kladde.</t>
        </is>
      </c>
      <c r="AE314" t="inlineStr"/>
      <c r="AF314" t="inlineStr">
        <is>
          <t>Draft</t>
        </is>
      </c>
      <c r="AG314" t="inlineStr">
        <is>
          <t>uim-esdh-full-2026-07-07</t>
        </is>
      </c>
    </row>
    <row r="315" ht="96" customHeight="1">
      <c r="A315" s="35" t="n">
        <v>314</v>
      </c>
      <c r="B315" s="3" t="inlineStr">
        <is>
          <t>B1.G-4</t>
        </is>
      </c>
      <c r="C315" s="3" t="inlineStr">
        <is>
          <t>Bilag 1.g Samarbejde under Leveringskontrakten</t>
        </is>
      </c>
      <c r="D315" s="3" t="inlineStr">
        <is>
          <t>3.2</t>
        </is>
      </c>
      <c r="E315" s="3" t="inlineStr">
        <is>
          <t>Sammensætning</t>
        </is>
      </c>
      <c r="F315" s="35" t="inlineStr">
        <is>
          <t>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t>
        </is>
      </c>
      <c r="G315" s="3" t="inlineStr">
        <is>
          <t>Mindstekrav</t>
        </is>
      </c>
      <c r="H315" s="35">
        <f>IF(G315="Evalueringskrav","Answer",(IF(G315="Krav","Check",(IF(G315="Mindstekrav","Verify","")))))</f>
        <v/>
      </c>
      <c r="I315" s="35" t="inlineStr">
        <is>
          <t>Nej</t>
        </is>
      </c>
      <c r="J315" s="35" t="n"/>
      <c r="K315" s="47" t="n"/>
      <c r="L315" s="35" t="inlineStr">
        <is>
          <t>Cristina</t>
        </is>
      </c>
      <c r="M315" s="35" t="n"/>
      <c r="N315" s="35" t="n"/>
      <c r="O315" s="35" t="n"/>
      <c r="P315" s="35" t="n"/>
      <c r="Q315" s="35" t="n"/>
      <c r="R315" s="35" t="n"/>
      <c r="S315" s="35" t="n"/>
      <c r="T315" s="35" t="n"/>
      <c r="U315" s="35" t="inlineStr">
        <is>
          <t>Not Started</t>
        </is>
      </c>
      <c r="V315" s="37">
        <f>IF(U315="Not Started",0%,IF(U315="Started",50%,IF(U315="Ready for review",70%,IF(U315="Reviewed - Content",80%,IF(U315="Reviewed - Format",90%,IF(U315="Done",100%,""))))))</f>
        <v/>
      </c>
      <c r="W315" t="inlineStr">
        <is>
          <t>2026-07-07</t>
        </is>
      </c>
      <c r="X315" t="inlineStr">
        <is>
          <t>Cursor / tender-response (batch)</t>
        </is>
      </c>
      <c r="Y315" t="inlineStr">
        <is>
          <t>Clarify</t>
        </is>
      </c>
      <c r="Z315" t="inlineStr">
        <is>
          <t>Verified</t>
        </is>
      </c>
      <c r="AA315" t="inlineStr">
        <is>
          <t>Verify: Sammensætning — kræver produkt-/team-afklaring (ingen tool-rating).</t>
        </is>
      </c>
      <c r="AB315" t="inlineStr"/>
      <c r="AC315" t="inlineStr">
        <is>
          <t>docs/tender-reference/extracted/KK Tender tool.txt; docs/tender-reference/extracted/Nationalbanken/Bilag 1.i Leverandørens Løsningsbeskrivelse.txt; docs/tender-reference/extracted/Nationalbanken/Bilag 3.i Leverandørens Løsningsbeskrivelse.txt</t>
        </is>
      </c>
      <c r="AD315" t="inlineStr">
        <is>
          <t>Cristina: Udfyld tool-rating (O) og evidens; gennemgå AI-kladde.</t>
        </is>
      </c>
      <c r="AE315" t="inlineStr"/>
      <c r="AF315" t="inlineStr">
        <is>
          <t>Draft</t>
        </is>
      </c>
      <c r="AG315" t="inlineStr">
        <is>
          <t>uim-esdh-full-2026-07-07</t>
        </is>
      </c>
    </row>
    <row r="316" ht="112" customHeight="1">
      <c r="A316" s="35" t="n">
        <v>315</v>
      </c>
      <c r="B316" s="3" t="inlineStr">
        <is>
          <t>B1.G-5</t>
        </is>
      </c>
      <c r="C316" s="3" t="inlineStr">
        <is>
          <t>Bilag 1.g Samarbejde under Leveringskontrakten</t>
        </is>
      </c>
      <c r="D316" s="3" t="inlineStr">
        <is>
          <t>3.3</t>
        </is>
      </c>
      <c r="E316" s="3" t="inlineStr">
        <is>
          <t>Udskiftning</t>
        </is>
      </c>
      <c r="F316" s="35" t="inlineStr">
        <is>
          <t>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t>
        </is>
      </c>
      <c r="G316" s="3" t="inlineStr">
        <is>
          <t>Mindstekrav</t>
        </is>
      </c>
      <c r="H316" s="35">
        <f>IF(G316="Evalueringskrav","Answer",(IF(G316="Krav","Check",(IF(G316="Mindstekrav","Verify","")))))</f>
        <v/>
      </c>
      <c r="I316" s="35" t="inlineStr">
        <is>
          <t>Nej</t>
        </is>
      </c>
      <c r="J316" s="35" t="n"/>
      <c r="K316" s="47" t="n"/>
      <c r="L316" s="35" t="inlineStr">
        <is>
          <t>Cristina</t>
        </is>
      </c>
      <c r="M316" s="35" t="n"/>
      <c r="N316" s="35" t="n"/>
      <c r="O316" s="35" t="n"/>
      <c r="P316" s="35" t="n"/>
      <c r="Q316" s="35" t="n"/>
      <c r="R316" s="35" t="n"/>
      <c r="S316" s="35" t="n"/>
      <c r="T316" s="35" t="n"/>
      <c r="U316" s="35" t="inlineStr">
        <is>
          <t>Not Started</t>
        </is>
      </c>
      <c r="V316" s="37">
        <f>IF(U316="Not Started",0%,IF(U316="Started",50%,IF(U316="Ready for review",70%,IF(U316="Reviewed - Content",80%,IF(U316="Reviewed - Format",90%,IF(U316="Done",100%,""))))))</f>
        <v/>
      </c>
      <c r="W316" t="inlineStr">
        <is>
          <t>2026-07-07</t>
        </is>
      </c>
      <c r="X316" t="inlineStr">
        <is>
          <t>Cursor / tender-response (batch)</t>
        </is>
      </c>
      <c r="Y316" t="inlineStr">
        <is>
          <t>Clarify</t>
        </is>
      </c>
      <c r="Z316" t="inlineStr">
        <is>
          <t>Verified</t>
        </is>
      </c>
      <c r="AA316" t="inlineStr">
        <is>
          <t>Verify: Udskiftning — kræver produkt-/team-afklaring (ingen tool-rating).</t>
        </is>
      </c>
      <c r="AB316" t="inlineStr"/>
      <c r="AC316" t="inlineStr">
        <is>
          <t>docs/tender-reference/extracted/KK Tender tool.txt; docs/tender-reference/extracted/Nationalbanken/Bilag 3.i Leverandørens Løsningsbeskrivelse.txt; docs/tender-reference/extracted/KUM-SLKS/Bilag 1 - Tidsplan.txt</t>
        </is>
      </c>
      <c r="AD316" t="inlineStr">
        <is>
          <t>Cristina: Udfyld tool-rating (O) og evidens; gennemgå AI-kladde.</t>
        </is>
      </c>
      <c r="AE316" t="inlineStr"/>
      <c r="AF316" t="inlineStr">
        <is>
          <t>Draft</t>
        </is>
      </c>
      <c r="AG316" t="inlineStr">
        <is>
          <t>uim-esdh-full-2026-07-07</t>
        </is>
      </c>
    </row>
    <row r="317" ht="96" customHeight="1">
      <c r="A317" s="35" t="n">
        <v>316</v>
      </c>
      <c r="B317" s="3" t="inlineStr">
        <is>
          <t>B1.G-6</t>
        </is>
      </c>
      <c r="C317" s="3" t="inlineStr">
        <is>
          <t>Bilag 1.g Samarbejde under Leveringskontrakten</t>
        </is>
      </c>
      <c r="D317" s="3" t="inlineStr">
        <is>
          <t>3.4</t>
        </is>
      </c>
      <c r="E317" s="3" t="inlineStr">
        <is>
          <t>Referat af styregruppemøder</t>
        </is>
      </c>
      <c r="F317" s="35" t="inlineStr">
        <is>
          <t>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t>
        </is>
      </c>
      <c r="G317" s="3" t="inlineStr">
        <is>
          <t>Mindstekrav</t>
        </is>
      </c>
      <c r="H317" s="35">
        <f>IF(G317="Evalueringskrav","Answer",(IF(G317="Krav","Check",(IF(G317="Mindstekrav","Verify","")))))</f>
        <v/>
      </c>
      <c r="I317" s="35" t="inlineStr">
        <is>
          <t>Nej</t>
        </is>
      </c>
      <c r="J317" s="35" t="n"/>
      <c r="K317" s="47" t="n"/>
      <c r="L317" s="35" t="inlineStr">
        <is>
          <t>Cristina</t>
        </is>
      </c>
      <c r="M317" s="35" t="n"/>
      <c r="N317" s="35" t="n"/>
      <c r="O317" s="35" t="n"/>
      <c r="P317" s="35" t="n"/>
      <c r="Q317" s="35" t="n"/>
      <c r="R317" s="35" t="n"/>
      <c r="S317" s="35" t="n"/>
      <c r="T317" s="35" t="n"/>
      <c r="U317" s="35" t="inlineStr">
        <is>
          <t>Not Started</t>
        </is>
      </c>
      <c r="V317" s="37">
        <f>IF(U317="Not Started",0%,IF(U317="Started",50%,IF(U317="Ready for review",70%,IF(U317="Reviewed - Content",80%,IF(U317="Reviewed - Format",90%,IF(U317="Done",100%,""))))))</f>
        <v/>
      </c>
      <c r="W317" t="inlineStr">
        <is>
          <t>2026-07-07</t>
        </is>
      </c>
      <c r="X317" t="inlineStr">
        <is>
          <t>Cursor / tender-response (batch)</t>
        </is>
      </c>
      <c r="Y317" t="inlineStr">
        <is>
          <t>Clarify</t>
        </is>
      </c>
      <c r="Z317" t="inlineStr">
        <is>
          <t>Verified</t>
        </is>
      </c>
      <c r="AA317" t="inlineStr">
        <is>
          <t>Verify: Referat af styregruppemøder — kræver produkt-/team-afklaring (ingen tool-rating).</t>
        </is>
      </c>
      <c r="AB317" t="inlineStr"/>
      <c r="AC317" t="inlineStr">
        <is>
          <t>docs/tender-reference/extracted/Nationalbanken/Bilag 3.i Leverandørens Løsningsbeskrivelse.txt; docs/tender-reference/extracted/KK Tender tool.txt; docs/tender-reference/extracted/KUM-SLKS/Bilag 3 - Kravspecifikation.txt</t>
        </is>
      </c>
      <c r="AD317" t="inlineStr">
        <is>
          <t>Cristina: Udfyld tool-rating (O) og evidens; gennemgå AI-kladde.</t>
        </is>
      </c>
      <c r="AE317" t="inlineStr"/>
      <c r="AF317" t="inlineStr">
        <is>
          <t>Draft</t>
        </is>
      </c>
      <c r="AG317" t="inlineStr">
        <is>
          <t>uim-esdh-full-2026-07-07</t>
        </is>
      </c>
    </row>
    <row r="318" ht="304" customHeight="1">
      <c r="A318" s="35" t="n">
        <v>317</v>
      </c>
      <c r="B318" s="3" t="inlineStr">
        <is>
          <t>B1.G-7</t>
        </is>
      </c>
      <c r="C318" s="3" t="inlineStr">
        <is>
          <t>Bilag 1.g Samarbejde under Leveringskontrakten</t>
        </is>
      </c>
      <c r="D318" s="3" t="inlineStr">
        <is>
          <t>3.5</t>
        </is>
      </c>
      <c r="E318" s="3" t="inlineStr">
        <is>
          <t>Projektledelse</t>
        </is>
      </c>
      <c r="F318" s="35" t="inlineStr">
        <is>
          <t>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t>
        </is>
      </c>
      <c r="G318" s="3" t="inlineStr">
        <is>
          <t>Mindstekrav</t>
        </is>
      </c>
      <c r="H318" s="35">
        <f>IF(G318="Evalueringskrav","Answer",(IF(G318="Krav","Check",(IF(G318="Mindstekrav","Verify","")))))</f>
        <v/>
      </c>
      <c r="I318" s="35" t="inlineStr">
        <is>
          <t>Nej</t>
        </is>
      </c>
      <c r="J318" s="35" t="n"/>
      <c r="K318" s="47" t="n"/>
      <c r="L318" s="35" t="inlineStr">
        <is>
          <t>Cristina</t>
        </is>
      </c>
      <c r="M318" s="35" t="n"/>
      <c r="N318" s="35" t="n"/>
      <c r="O318" s="35" t="n"/>
      <c r="P318" s="35" t="n"/>
      <c r="Q318" s="35" t="n"/>
      <c r="R318" s="35" t="n"/>
      <c r="S318" s="35" t="n"/>
      <c r="T318" s="35" t="n"/>
      <c r="U318" s="35" t="inlineStr">
        <is>
          <t>Not Started</t>
        </is>
      </c>
      <c r="V318" s="37">
        <f>IF(U318="Not Started",0%,IF(U318="Started",50%,IF(U318="Ready for review",70%,IF(U318="Reviewed - Content",80%,IF(U318="Reviewed - Format",90%,IF(U318="Done",100%,""))))))</f>
        <v/>
      </c>
      <c r="W318" t="inlineStr">
        <is>
          <t>2026-07-07</t>
        </is>
      </c>
      <c r="X318" t="inlineStr">
        <is>
          <t>Cursor / tender-response (batch)</t>
        </is>
      </c>
      <c r="Y318" t="inlineStr">
        <is>
          <t>Clarify</t>
        </is>
      </c>
      <c r="Z318" t="inlineStr">
        <is>
          <t>Verified</t>
        </is>
      </c>
      <c r="AA318" t="inlineStr">
        <is>
          <t>Verify: Projektledelse — kræver produkt-/team-afklaring (ingen tool-rating).</t>
        </is>
      </c>
      <c r="AB318" t="inlineStr"/>
      <c r="AC318"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18" t="inlineStr">
        <is>
          <t>Cristina: Udfyld tool-rating (O) og evidens; gennemgå AI-kladde.</t>
        </is>
      </c>
      <c r="AE318" t="inlineStr"/>
      <c r="AF318" t="inlineStr">
        <is>
          <t>Draft</t>
        </is>
      </c>
      <c r="AG318" t="inlineStr">
        <is>
          <t>uim-esdh-full-2026-07-07</t>
        </is>
      </c>
    </row>
    <row r="319" ht="96" customHeight="1">
      <c r="A319" s="35" t="n">
        <v>318</v>
      </c>
      <c r="B319" s="3" t="inlineStr">
        <is>
          <t>B1.G-8</t>
        </is>
      </c>
      <c r="C319" s="3" t="inlineStr">
        <is>
          <t>Bilag 1.g Samarbejde under Leveringskontrakten</t>
        </is>
      </c>
      <c r="D319" s="3" t="inlineStr">
        <is>
          <t>4.1</t>
        </is>
      </c>
      <c r="E319" s="3" t="inlineStr">
        <is>
          <t>Personer og roller</t>
        </is>
      </c>
      <c r="F319" s="35" t="inlineStr">
        <is>
          <t>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t>
        </is>
      </c>
      <c r="G319" s="3" t="inlineStr">
        <is>
          <t>Mindstekrav</t>
        </is>
      </c>
      <c r="H319" s="35">
        <f>IF(G319="Evalueringskrav","Answer",(IF(G319="Krav","Check",(IF(G319="Mindstekrav","Verify","")))))</f>
        <v/>
      </c>
      <c r="I319" s="35" t="inlineStr">
        <is>
          <t>Nej</t>
        </is>
      </c>
      <c r="J319" s="35" t="n"/>
      <c r="K319" s="47" t="n"/>
      <c r="L319" s="35" t="inlineStr">
        <is>
          <t>Cristina</t>
        </is>
      </c>
      <c r="M319" s="35" t="n"/>
      <c r="N319" s="35" t="n"/>
      <c r="O319" s="35" t="n"/>
      <c r="P319" s="35" t="n"/>
      <c r="Q319" s="35" t="n"/>
      <c r="R319" s="35" t="n"/>
      <c r="S319" s="35" t="n"/>
      <c r="T319" s="35" t="n"/>
      <c r="U319" s="35" t="inlineStr">
        <is>
          <t>Not Started</t>
        </is>
      </c>
      <c r="V319" s="37">
        <f>IF(U319="Not Started",0%,IF(U319="Started",50%,IF(U319="Ready for review",70%,IF(U319="Reviewed - Content",80%,IF(U319="Reviewed - Format",90%,IF(U319="Done",100%,""))))))</f>
        <v/>
      </c>
      <c r="W319" t="inlineStr">
        <is>
          <t>2026-07-07</t>
        </is>
      </c>
      <c r="X319" t="inlineStr">
        <is>
          <t>Cursor / tender-response (batch)</t>
        </is>
      </c>
      <c r="Y319" t="inlineStr">
        <is>
          <t>Clarify</t>
        </is>
      </c>
      <c r="Z319" t="inlineStr">
        <is>
          <t>Verified</t>
        </is>
      </c>
      <c r="AA319" t="inlineStr">
        <is>
          <t>Verify: Personer og roller — kræver produkt-/team-afklaring (ingen tool-rating).</t>
        </is>
      </c>
      <c r="AB319" t="inlineStr"/>
      <c r="AC319" t="inlineStr">
        <is>
          <t>docs/tender-reference/extracted/NND/02.01-Tieto-Bilag 2-Vedlegg-Leverandørens utfyllende svar til kravtabell.txt; docs/tender-reference/extracted/Nationalbanken/Bilag 1.i Leverandørens Løsningsbeskrivelse.txt; docs/tender-reference/extracted/Nationalbanken/Bilag 3.i Leverandørens Løsningsbeskrivelse.txt</t>
        </is>
      </c>
      <c r="AD319" t="inlineStr">
        <is>
          <t>Cristina: Udfyld tool-rating (O) og evidens; gennemgå AI-kladde.</t>
        </is>
      </c>
      <c r="AE319" t="inlineStr"/>
      <c r="AF319" t="inlineStr">
        <is>
          <t>Draft</t>
        </is>
      </c>
      <c r="AG319" t="inlineStr">
        <is>
          <t>uim-esdh-full-2026-07-07</t>
        </is>
      </c>
    </row>
    <row r="320" ht="64" customHeight="1">
      <c r="A320" s="35" t="n">
        <v>319</v>
      </c>
      <c r="B320" s="3" t="inlineStr">
        <is>
          <t>B1.G-9</t>
        </is>
      </c>
      <c r="C320" s="3" t="inlineStr">
        <is>
          <t>Bilag 1.g Samarbejde under Leveringskontrakten</t>
        </is>
      </c>
      <c r="D320" s="3" t="inlineStr">
        <is>
          <t>4.2</t>
        </is>
      </c>
      <c r="E320" s="3" t="inlineStr">
        <is>
          <t>Centrale roller ved Kunden</t>
        </is>
      </c>
      <c r="F320" s="35" t="inlineStr">
        <is>
          <t>Centrale roller ved Kunden Som leveringskontraktholder er Kunden ansvarlig for: • • Eskalation i forbindelse med incident-håndtering og i forbindelse med håndtering af tvister, juridiske og/eller kommercielle. Afregning med Leverandøren.</t>
        </is>
      </c>
      <c r="G320" s="3" t="inlineStr">
        <is>
          <t>Mindstekrav</t>
        </is>
      </c>
      <c r="H320" s="35">
        <f>IF(G320="Evalueringskrav","Answer",(IF(G320="Krav","Check",(IF(G320="Mindstekrav","Verify","")))))</f>
        <v/>
      </c>
      <c r="I320" s="35" t="inlineStr">
        <is>
          <t>Nej</t>
        </is>
      </c>
      <c r="J320" s="35" t="n"/>
      <c r="K320" s="47" t="n"/>
      <c r="L320" s="35" t="inlineStr">
        <is>
          <t>Cristina</t>
        </is>
      </c>
      <c r="M320" s="35" t="n"/>
      <c r="N320" s="35" t="n"/>
      <c r="O320" s="35" t="n"/>
      <c r="P320" s="35" t="n"/>
      <c r="Q320" s="35" t="n"/>
      <c r="R320" s="35" t="n"/>
      <c r="S320" s="35" t="n"/>
      <c r="T320" s="35" t="n"/>
      <c r="U320" s="35" t="inlineStr">
        <is>
          <t>Not Started</t>
        </is>
      </c>
      <c r="V320" s="37">
        <f>IF(U320="Not Started",0%,IF(U320="Started",50%,IF(U320="Ready for review",70%,IF(U320="Reviewed - Content",80%,IF(U320="Reviewed - Format",90%,IF(U320="Done",100%,""))))))</f>
        <v/>
      </c>
      <c r="W320" t="inlineStr">
        <is>
          <t>2026-07-07</t>
        </is>
      </c>
      <c r="X320" t="inlineStr">
        <is>
          <t>Cursor / tender-response (batch)</t>
        </is>
      </c>
      <c r="Y320" t="inlineStr">
        <is>
          <t>Clarify</t>
        </is>
      </c>
      <c r="Z320" t="inlineStr">
        <is>
          <t>Verified</t>
        </is>
      </c>
      <c r="AA320" t="inlineStr">
        <is>
          <t>Verify: Centrale roller ved Kunden — kræver produkt-/team-afklaring (ingen tool-rating).</t>
        </is>
      </c>
      <c r="AB320" t="inlineStr"/>
      <c r="AC320" t="inlineStr">
        <is>
          <t>docs/tender-reference/extracted/Nationalbanken/Bilag 3.i Leverandørens Løsningsbeskrivelse.txt; docs/product/RFP_Leverandørens_svar_utdrag.txt; docs/tender-reference/extracted/HSØ/02.00-Tietoevry-SSA-L-Bilag 2-Leverandørens beskrivelse av Tjenesten.txt</t>
        </is>
      </c>
      <c r="AD320" t="inlineStr">
        <is>
          <t>Cristina: Udfyld tool-rating (O) og evidens; gennemgå AI-kladde.</t>
        </is>
      </c>
      <c r="AE320" t="inlineStr"/>
      <c r="AF320" t="inlineStr">
        <is>
          <t>Draft</t>
        </is>
      </c>
      <c r="AG320" t="inlineStr">
        <is>
          <t>uim-esdh-full-2026-07-07</t>
        </is>
      </c>
    </row>
    <row r="321" ht="112" customHeight="1">
      <c r="A321" s="35" t="n">
        <v>319</v>
      </c>
      <c r="B321" s="3" t="inlineStr">
        <is>
          <t>B1.G-10</t>
        </is>
      </c>
      <c r="C321" s="3" t="inlineStr">
        <is>
          <t>Bilag 1.g Samarbejde under Leveringskontrakten</t>
        </is>
      </c>
      <c r="D321" s="3" t="inlineStr">
        <is>
          <t>4.2.1</t>
        </is>
      </c>
      <c r="E321" s="3" t="inlineStr">
        <is>
          <t>Leveringskontraktansvarlig hos Kunden</t>
        </is>
      </c>
      <c r="F321" s="35" t="inlineStr">
        <is>
          <t>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t>
        </is>
      </c>
      <c r="G321" s="3" t="inlineStr">
        <is>
          <t>Mindstekrav</t>
        </is>
      </c>
      <c r="H321" s="35">
        <f>IF(G321="Evalueringskrav","Answer",(IF(G321="Krav","Check",(IF(G321="Mindstekrav","Verify","")))))</f>
        <v/>
      </c>
      <c r="I321" s="35" t="inlineStr">
        <is>
          <t>Nej</t>
        </is>
      </c>
      <c r="J321" s="35" t="n"/>
      <c r="K321" s="47" t="n"/>
      <c r="L321" s="35" t="inlineStr">
        <is>
          <t>Cristina</t>
        </is>
      </c>
      <c r="M321" s="35" t="n"/>
      <c r="N321" s="35" t="n"/>
      <c r="O321" s="35" t="n"/>
      <c r="P321" s="35" t="n"/>
      <c r="Q321" s="35" t="n"/>
      <c r="R321" s="35" t="n"/>
      <c r="S321" s="35" t="n"/>
      <c r="T321" s="35" t="n"/>
      <c r="U321" s="35" t="inlineStr">
        <is>
          <t>Not Started</t>
        </is>
      </c>
      <c r="V321" s="37">
        <f>IF(U321="Not Started",0%,IF(U321="Started",50%,IF(U321="Ready for review",70%,IF(U321="Reviewed - Content",80%,IF(U321="Reviewed - Format",90%,IF(U321="Done",100%,""))))))</f>
        <v/>
      </c>
      <c r="W321" t="inlineStr">
        <is>
          <t>2026-07-07</t>
        </is>
      </c>
      <c r="X321" t="inlineStr">
        <is>
          <t>Cursor / tender-response (batch)</t>
        </is>
      </c>
      <c r="Y321" t="inlineStr">
        <is>
          <t>Clarify</t>
        </is>
      </c>
      <c r="Z321" t="inlineStr">
        <is>
          <t>Verified</t>
        </is>
      </c>
      <c r="AA321" t="inlineStr">
        <is>
          <t>Verify: Leveringskontraktansvarlig hos Kunden — kræver produkt-/team-afklaring (ingen tool-rating).</t>
        </is>
      </c>
      <c r="AB321" t="inlineStr"/>
      <c r="AC321" t="inlineStr">
        <is>
          <t>docs/tender-reference/extracted/Nationalbanken/Bilag 3.i Leverandørens Løsningsbeskrivelse.txt; docs/tender-reference/extracted/Nationalbanken/Bilag 1.i Leverandørens Løsningsbeskrivelse.txt; docs/tender-reference/extracted/KK Tender tool.txt</t>
        </is>
      </c>
      <c r="AD321" t="inlineStr">
        <is>
          <t>Cristina: Udfyld tool-rating (O) og evidens; gennemgå AI-kladde.</t>
        </is>
      </c>
      <c r="AE321" t="inlineStr"/>
      <c r="AF321" t="inlineStr">
        <is>
          <t>Draft</t>
        </is>
      </c>
      <c r="AG321" t="inlineStr">
        <is>
          <t>uim-esdh-full-2026-07-07</t>
        </is>
      </c>
    </row>
    <row r="322" ht="368" customHeight="1">
      <c r="A322" s="35" t="n">
        <v>319</v>
      </c>
      <c r="B322" s="3" t="inlineStr">
        <is>
          <t>B1.G-11</t>
        </is>
      </c>
      <c r="C322" s="3" t="inlineStr">
        <is>
          <t>Bilag 1.g Samarbejde under Leveringskontrakten</t>
        </is>
      </c>
      <c r="D322" s="3" t="inlineStr">
        <is>
          <t>4.2.2</t>
        </is>
      </c>
      <c r="E322" s="3" t="inlineStr">
        <is>
          <t>Systemforvalter</t>
        </is>
      </c>
      <c r="F322" s="35" t="inlineStr">
        <is>
          <t>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t>
        </is>
      </c>
      <c r="G322" s="3" t="inlineStr">
        <is>
          <t>Mindstekrav</t>
        </is>
      </c>
      <c r="H322" s="35">
        <f>IF(G322="Evalueringskrav","Answer",(IF(G322="Krav","Check",(IF(G322="Mindstekrav","Verify","")))))</f>
        <v/>
      </c>
      <c r="I322" s="35" t="inlineStr">
        <is>
          <t>Nej</t>
        </is>
      </c>
      <c r="J322" s="35" t="n"/>
      <c r="K322" s="47" t="n"/>
      <c r="L322" s="35" t="inlineStr">
        <is>
          <t>Cristina</t>
        </is>
      </c>
      <c r="M322" s="35" t="n"/>
      <c r="N322" s="35" t="n"/>
      <c r="O322" s="35" t="n"/>
      <c r="P322" s="35" t="n"/>
      <c r="Q322" s="35" t="n"/>
      <c r="R322" s="35" t="n"/>
      <c r="S322" s="35" t="n"/>
      <c r="T322" s="35" t="n"/>
      <c r="U322" s="35" t="inlineStr">
        <is>
          <t>Not Started</t>
        </is>
      </c>
      <c r="V322" s="37">
        <f>IF(U322="Not Started",0%,IF(U322="Started",50%,IF(U322="Ready for review",70%,IF(U322="Reviewed - Content",80%,IF(U322="Reviewed - Format",90%,IF(U322="Done",100%,""))))))</f>
        <v/>
      </c>
      <c r="W322" t="inlineStr">
        <is>
          <t>2026-07-07</t>
        </is>
      </c>
      <c r="X322" t="inlineStr">
        <is>
          <t>Cursor / tender-response (batch)</t>
        </is>
      </c>
      <c r="Y322" t="inlineStr">
        <is>
          <t>Clarify</t>
        </is>
      </c>
      <c r="Z322" t="inlineStr">
        <is>
          <t>Verified</t>
        </is>
      </c>
      <c r="AA322" t="inlineStr">
        <is>
          <t>Verify: Systemforvalter — kræver produkt-/team-afklaring (ingen tool-rating).</t>
        </is>
      </c>
      <c r="AB322" t="inlineStr"/>
      <c r="AC322" t="inlineStr">
        <is>
          <t>docs/tender-reference/extracted/KK Tender tool.txt; docs/tender-reference/extracted/Nationalbanken/Bilag 3.i Leverandørens Løsningsbeskrivelse.txt; docs/product/RFP_Leverandørens_svar_utdrag.txt</t>
        </is>
      </c>
      <c r="AD322" t="inlineStr">
        <is>
          <t>Cristina: Udfyld tool-rating (O) og evidens; gennemgå AI-kladde.</t>
        </is>
      </c>
      <c r="AE322" t="inlineStr"/>
      <c r="AF322" t="inlineStr">
        <is>
          <t>Draft</t>
        </is>
      </c>
      <c r="AG322" t="inlineStr">
        <is>
          <t>uim-esdh-full-2026-07-07</t>
        </is>
      </c>
    </row>
    <row r="323" ht="224" customHeight="1">
      <c r="A323" s="35" t="n">
        <v>319</v>
      </c>
      <c r="B323" s="3" t="inlineStr">
        <is>
          <t>B1.G-13</t>
        </is>
      </c>
      <c r="C323" s="3" t="inlineStr">
        <is>
          <t>Bilag 1.g Samarbejde under Leveringskontrakten</t>
        </is>
      </c>
      <c r="D323" s="3" t="inlineStr">
        <is>
          <t>4.3.1</t>
        </is>
      </c>
      <c r="E323" s="3" t="inlineStr">
        <is>
          <t>Leveringskontraktansvarlige hos Leverandøren</t>
        </is>
      </c>
      <c r="F323" s="35" t="inlineStr">
        <is>
          <t>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t>
        </is>
      </c>
      <c r="G323" s="3" t="inlineStr">
        <is>
          <t>Mindstekrav</t>
        </is>
      </c>
      <c r="H323" s="35">
        <f>IF(G323="Evalueringskrav","Answer",(IF(G323="Krav","Check",(IF(G323="Mindstekrav","Verify","")))))</f>
        <v/>
      </c>
      <c r="I323" s="35" t="inlineStr">
        <is>
          <t>Nej</t>
        </is>
      </c>
      <c r="J323" s="35" t="n"/>
      <c r="K323" s="47" t="n"/>
      <c r="L323" s="35" t="inlineStr">
        <is>
          <t>Cristina</t>
        </is>
      </c>
      <c r="M323" s="35" t="n"/>
      <c r="N323" s="35" t="n"/>
      <c r="O323" s="35" t="n"/>
      <c r="P323" s="35" t="n"/>
      <c r="Q323" s="35" t="n"/>
      <c r="R323" s="35" t="n"/>
      <c r="S323" s="35" t="n"/>
      <c r="T323" s="35" t="n"/>
      <c r="U323" s="35" t="inlineStr">
        <is>
          <t>Not Started</t>
        </is>
      </c>
      <c r="V323" s="37">
        <f>IF(U323="Not Started",0%,IF(U323="Started",50%,IF(U323="Ready for review",70%,IF(U323="Reviewed - Content",80%,IF(U323="Reviewed - Format",90%,IF(U323="Done",100%,""))))))</f>
        <v/>
      </c>
      <c r="W323" t="inlineStr">
        <is>
          <t>2026-07-07</t>
        </is>
      </c>
      <c r="X323" t="inlineStr">
        <is>
          <t>Cursor / tender-response (batch)</t>
        </is>
      </c>
      <c r="Y323" t="inlineStr">
        <is>
          <t>Clarify</t>
        </is>
      </c>
      <c r="Z323" t="inlineStr">
        <is>
          <t>Verified</t>
        </is>
      </c>
      <c r="AA323" t="inlineStr">
        <is>
          <t>Verify: Leveringskontraktansvarlige hos Leverandøren — kræver produkt-/team-afklaring (ingen tool-rating).</t>
        </is>
      </c>
      <c r="AB323" t="inlineStr"/>
      <c r="AC323" t="inlineStr">
        <is>
          <t>docs/tender-reference/extracted/Nationalbanken/Bilag 3.i Leverandørens Løsningsbeskrivelse.txt; docs/tender-reference/extracted/KK Tender tool.txt; docs/tender-reference/extracted/KUM-SLKS/Bilag 3 - Kravspecifikation.txt</t>
        </is>
      </c>
      <c r="AD323" t="inlineStr">
        <is>
          <t>Cristina: Udfyld tool-rating (O) og evidens; gennemgå AI-kladde.</t>
        </is>
      </c>
      <c r="AE323" t="inlineStr"/>
      <c r="AF323" t="inlineStr">
        <is>
          <t>Draft</t>
        </is>
      </c>
      <c r="AG323" t="inlineStr">
        <is>
          <t>uim-esdh-full-2026-07-07</t>
        </is>
      </c>
    </row>
    <row r="324" ht="176" customHeight="1">
      <c r="A324" s="35" t="n">
        <v>319</v>
      </c>
      <c r="B324" s="3" t="inlineStr">
        <is>
          <t>B1.G-14</t>
        </is>
      </c>
      <c r="C324" s="3" t="inlineStr">
        <is>
          <t>Bilag 1.g Samarbejde under Leveringskontrakten</t>
        </is>
      </c>
      <c r="D324" s="3" t="inlineStr">
        <is>
          <t>4.3.2</t>
        </is>
      </c>
      <c r="E324" s="3" t="inlineStr">
        <is>
          <t>Service Delivery Manager</t>
        </is>
      </c>
      <c r="F324" s="35" t="inlineStr">
        <is>
          <t>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t>
        </is>
      </c>
      <c r="G324" s="3" t="inlineStr">
        <is>
          <t>Mindstekrav</t>
        </is>
      </c>
      <c r="H324" s="35">
        <f>IF(G324="Evalueringskrav","Answer",(IF(G324="Krav","Check",(IF(G324="Mindstekrav","Verify","")))))</f>
        <v/>
      </c>
      <c r="I324" s="35" t="inlineStr">
        <is>
          <t>Nej</t>
        </is>
      </c>
      <c r="J324" s="35" t="n"/>
      <c r="K324" s="47" t="n"/>
      <c r="L324" s="35" t="inlineStr">
        <is>
          <t>Cristina</t>
        </is>
      </c>
      <c r="M324" s="35" t="n"/>
      <c r="N324" s="35" t="n"/>
      <c r="O324" s="35" t="n"/>
      <c r="P324" s="35" t="n"/>
      <c r="Q324" s="35" t="n"/>
      <c r="R324" s="35" t="n"/>
      <c r="S324" s="35" t="n"/>
      <c r="T324" s="35" t="n"/>
      <c r="U324" s="35" t="inlineStr">
        <is>
          <t>Not Started</t>
        </is>
      </c>
      <c r="V324" s="37">
        <f>IF(U324="Not Started",0%,IF(U324="Started",50%,IF(U324="Ready for review",70%,IF(U324="Reviewed - Content",80%,IF(U324="Reviewed - Format",90%,IF(U324="Done",100%,""))))))</f>
        <v/>
      </c>
      <c r="W324" t="inlineStr">
        <is>
          <t>2026-07-07</t>
        </is>
      </c>
      <c r="X324" t="inlineStr">
        <is>
          <t>Cursor / tender-response (batch)</t>
        </is>
      </c>
      <c r="Y324" t="inlineStr">
        <is>
          <t>Clarify</t>
        </is>
      </c>
      <c r="Z324" t="inlineStr">
        <is>
          <t>Verified</t>
        </is>
      </c>
      <c r="AA324" t="inlineStr">
        <is>
          <t>Verify: Service Delivery Manager — kræver produkt-/team-afklaring (ingen tool-rating).</t>
        </is>
      </c>
      <c r="AB324" t="inlineStr"/>
      <c r="AC324"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24" t="inlineStr">
        <is>
          <t>Cristina: Udfyld tool-rating (O) og evidens; gennemgå AI-kladde.</t>
        </is>
      </c>
      <c r="AE324" t="inlineStr"/>
      <c r="AF324" t="inlineStr">
        <is>
          <t>Draft</t>
        </is>
      </c>
      <c r="AG324" t="inlineStr">
        <is>
          <t>uim-esdh-full-2026-07-07</t>
        </is>
      </c>
    </row>
    <row r="325" ht="64" customHeight="1">
      <c r="A325" s="35" t="n">
        <v>319</v>
      </c>
      <c r="B325" s="3" t="inlineStr">
        <is>
          <t>B1.G-15</t>
        </is>
      </c>
      <c r="C325" s="3" t="inlineStr">
        <is>
          <t>Bilag 1.g Samarbejde under Leveringskontrakten</t>
        </is>
      </c>
      <c r="D325" s="3" t="inlineStr">
        <is>
          <t>4.3.3</t>
        </is>
      </c>
      <c r="E325" s="3" t="inlineStr">
        <is>
          <t>Support organisation hos Leverandøren</t>
        </is>
      </c>
      <c r="F325" s="35" t="inlineStr">
        <is>
          <t>Support organisation hos Leverandøren Kunden understøttes af Leverandørens support organisation for henholdsvis applikationssupport og for driftssupport for Kunden jf. Bilag 1.h Servicemål.</t>
        </is>
      </c>
      <c r="G325" s="3" t="inlineStr">
        <is>
          <t>Mindstekrav</t>
        </is>
      </c>
      <c r="H325" s="35">
        <f>IF(G325="Evalueringskrav","Answer",(IF(G325="Krav","Check",(IF(G325="Mindstekrav","Verify","")))))</f>
        <v/>
      </c>
      <c r="I325" s="35" t="inlineStr">
        <is>
          <t>Nej</t>
        </is>
      </c>
      <c r="J325" s="35" t="n"/>
      <c r="K325" s="47" t="n"/>
      <c r="L325" s="35" t="inlineStr">
        <is>
          <t>Cristina</t>
        </is>
      </c>
      <c r="M325" s="35" t="n"/>
      <c r="N325" s="35" t="n"/>
      <c r="O325" s="35" t="n"/>
      <c r="P325" s="35" t="n"/>
      <c r="Q325" s="35" t="n"/>
      <c r="R325" s="35" t="n"/>
      <c r="S325" s="35" t="n"/>
      <c r="T325" s="35" t="n"/>
      <c r="U325" s="35" t="inlineStr">
        <is>
          <t>Not Started</t>
        </is>
      </c>
      <c r="V325" s="37">
        <f>IF(U325="Not Started",0%,IF(U325="Started",50%,IF(U325="Ready for review",70%,IF(U325="Reviewed - Content",80%,IF(U325="Reviewed - Format",90%,IF(U325="Done",100%,""))))))</f>
        <v/>
      </c>
      <c r="W325" t="inlineStr">
        <is>
          <t>2026-07-07</t>
        </is>
      </c>
      <c r="X325" t="inlineStr">
        <is>
          <t>Cursor / tender-response (batch)</t>
        </is>
      </c>
      <c r="Y325" t="inlineStr">
        <is>
          <t>Clarify</t>
        </is>
      </c>
      <c r="Z325" t="inlineStr">
        <is>
          <t>Verified</t>
        </is>
      </c>
      <c r="AA325" t="inlineStr">
        <is>
          <t>Verify: Support organisation hos Leverandøren — kræver produkt-/team-afklaring (ingen tool-rating).</t>
        </is>
      </c>
      <c r="AB325" t="inlineStr"/>
      <c r="AC325" t="inlineStr">
        <is>
          <t>docs/tender-reference/extracted/KK Tender tool.txt; docs/tender-reference/extracted/Nationalbanken/Bilag 3.i Leverandørens Løsningsbeskrivelse.txt; docs/product/RFP_Leverandørens_svar_utdrag.txt</t>
        </is>
      </c>
      <c r="AD325" t="inlineStr">
        <is>
          <t>Cristina: Udfyld tool-rating (O) og evidens; gennemgå AI-kladde.</t>
        </is>
      </c>
      <c r="AE325" t="inlineStr"/>
      <c r="AF325" t="inlineStr">
        <is>
          <t>Draft</t>
        </is>
      </c>
      <c r="AG325" t="inlineStr">
        <is>
          <t>uim-esdh-full-2026-07-07</t>
        </is>
      </c>
    </row>
    <row r="326" ht="64" customHeight="1">
      <c r="A326" s="35" t="n">
        <v>319</v>
      </c>
      <c r="B326" s="3" t="inlineStr">
        <is>
          <t>B1.G-16</t>
        </is>
      </c>
      <c r="C326" s="3" t="inlineStr">
        <is>
          <t>Bilag 1.g Samarbejde under Leveringskontrakten</t>
        </is>
      </c>
      <c r="D326" s="3" t="inlineStr">
        <is>
          <t>4.4</t>
        </is>
      </c>
      <c r="E326" s="3" t="inlineStr">
        <is>
          <t>Organisation og mødefora i driftsfasen</t>
        </is>
      </c>
      <c r="F326" s="35" t="inlineStr">
        <is>
          <t>Organisation og mødefora i driftsfasen I forbindelse med driftsfasen skal Leverandøren deltage i nedenstående mødefora og -sekvenser. 6 4.4.1 • • Møder i driftsfasen: ESDH styregruppemøder – kvartalsmøder eller efter behov ESDH driftsmøder – ugentlige møder eller efter behov</t>
        </is>
      </c>
      <c r="G326" s="3" t="inlineStr">
        <is>
          <t>Mindstekrav</t>
        </is>
      </c>
      <c r="H326" s="35">
        <f>IF(G326="Evalueringskrav","Answer",(IF(G326="Krav","Check",(IF(G326="Mindstekrav","Verify","")))))</f>
        <v/>
      </c>
      <c r="I326" s="35" t="inlineStr">
        <is>
          <t>Nej</t>
        </is>
      </c>
      <c r="J326" s="35" t="n"/>
      <c r="K326" s="47" t="n"/>
      <c r="L326" s="35" t="inlineStr">
        <is>
          <t>Cristina</t>
        </is>
      </c>
      <c r="M326" s="35" t="n"/>
      <c r="N326" s="35" t="n"/>
      <c r="O326" s="35" t="n"/>
      <c r="P326" s="35" t="n"/>
      <c r="Q326" s="35" t="n"/>
      <c r="R326" s="35" t="n"/>
      <c r="S326" s="35" t="n"/>
      <c r="T326" s="35" t="n"/>
      <c r="U326" s="35" t="inlineStr">
        <is>
          <t>Not Started</t>
        </is>
      </c>
      <c r="V326" s="37">
        <f>IF(U326="Not Started",0%,IF(U326="Started",50%,IF(U326="Ready for review",70%,IF(U326="Reviewed - Content",80%,IF(U326="Reviewed - Format",90%,IF(U326="Done",100%,""))))))</f>
        <v/>
      </c>
      <c r="W326" t="inlineStr">
        <is>
          <t>2026-07-07</t>
        </is>
      </c>
      <c r="X326" t="inlineStr">
        <is>
          <t>Cursor / tender-response (batch)</t>
        </is>
      </c>
      <c r="Y326" t="inlineStr">
        <is>
          <t>Clarify</t>
        </is>
      </c>
      <c r="Z326" t="inlineStr">
        <is>
          <t>Verified</t>
        </is>
      </c>
      <c r="AA326" t="inlineStr">
        <is>
          <t>Verify: Organisation og mødefora i driftsfasen — kræver produkt-/team-afklaring (ingen tool-rating).</t>
        </is>
      </c>
      <c r="AB326" t="inlineStr"/>
      <c r="AC326" t="inlineStr">
        <is>
          <t>docs/tender-reference/extracted/Nationalbanken/Bilag 6.i Implementeringsplan (Leverandørens løsningsbeskrivelse.txt; docs/tender-reference/extracted/KK Tender tool.txt; docs/tender-reference/extracted/KUM-SLKS/Bilag 1 - Tidsplan.txt</t>
        </is>
      </c>
      <c r="AD326" t="inlineStr">
        <is>
          <t>Cristina: Udfyld tool-rating (O) og evidens; gennemgå AI-kladde.</t>
        </is>
      </c>
      <c r="AE326" t="inlineStr"/>
      <c r="AF326" t="inlineStr">
        <is>
          <t>Draft</t>
        </is>
      </c>
      <c r="AG326" t="inlineStr">
        <is>
          <t>uim-esdh-full-2026-07-07</t>
        </is>
      </c>
    </row>
    <row r="327" ht="409.5" customHeight="1">
      <c r="A327" s="35" t="n">
        <v>319</v>
      </c>
      <c r="B327" s="3" t="inlineStr">
        <is>
          <t>B1.G-17</t>
        </is>
      </c>
      <c r="C327" s="3" t="inlineStr">
        <is>
          <t>Bilag 1.g Samarbejde under Leveringskontrakten</t>
        </is>
      </c>
      <c r="D327" s="3" t="inlineStr">
        <is>
          <t>4.4.2</t>
        </is>
      </c>
      <c r="E327" s="3" t="inlineStr">
        <is>
          <t>ESDH-styregruppe og møder under driftsfasen</t>
        </is>
      </c>
      <c r="F327" s="35" t="inlineStr">
        <is>
          <t>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t>
        </is>
      </c>
      <c r="G327" s="3" t="inlineStr">
        <is>
          <t>Mindstekrav</t>
        </is>
      </c>
      <c r="H327" s="35">
        <f>IF(G327="Evalueringskrav","Answer",(IF(G327="Krav","Check",(IF(G327="Mindstekrav","Verify","")))))</f>
        <v/>
      </c>
      <c r="I327" s="35" t="inlineStr">
        <is>
          <t>Nej</t>
        </is>
      </c>
      <c r="J327" s="35" t="n"/>
      <c r="K327" s="47" t="n"/>
      <c r="L327" s="35" t="inlineStr">
        <is>
          <t>Cristina</t>
        </is>
      </c>
      <c r="M327" s="35" t="n"/>
      <c r="N327" s="35" t="n"/>
      <c r="O327" s="35" t="n"/>
      <c r="P327" s="35" t="n"/>
      <c r="Q327" s="35" t="n"/>
      <c r="R327" s="35" t="n"/>
      <c r="S327" s="35" t="n"/>
      <c r="T327" s="35" t="n"/>
      <c r="U327" s="35" t="inlineStr">
        <is>
          <t>Not Started</t>
        </is>
      </c>
      <c r="V327" s="37">
        <f>IF(U327="Not Started",0%,IF(U327="Started",50%,IF(U327="Ready for review",70%,IF(U327="Reviewed - Content",80%,IF(U327="Reviewed - Format",90%,IF(U327="Done",100%,""))))))</f>
        <v/>
      </c>
      <c r="W327" t="inlineStr">
        <is>
          <t>2026-07-07</t>
        </is>
      </c>
      <c r="X327" t="inlineStr">
        <is>
          <t>Cursor / tender-response (batch)</t>
        </is>
      </c>
      <c r="Y327" t="inlineStr">
        <is>
          <t>Clarify</t>
        </is>
      </c>
      <c r="Z327" t="inlineStr">
        <is>
          <t>Verified</t>
        </is>
      </c>
      <c r="AA327" t="inlineStr">
        <is>
          <t>Verify: ESDH-styregruppe og møder under driftsfasen — kræver produkt-/team-afklaring (ingen tool-rating).</t>
        </is>
      </c>
      <c r="AB327" t="inlineStr"/>
      <c r="AC327" t="inlineStr">
        <is>
          <t>docs/tender-reference/extracted/Nationalbanken/Bilag 3.i Leverandørens Løsningsbeskrivelse.txt; docs/tender-reference/extracted/Nationalbanken/Bilag 1.i Leverandørens Løsningsbeskrivelse.txt; docs/tender-reference/extracted/KK Tender tool.txt</t>
        </is>
      </c>
      <c r="AD327" t="inlineStr">
        <is>
          <t>Cristina: Udfyld tool-rating (O) og evidens; gennemgå AI-kladde.</t>
        </is>
      </c>
      <c r="AE327" t="inlineStr"/>
      <c r="AF327" t="inlineStr">
        <is>
          <t>Draft</t>
        </is>
      </c>
      <c r="AG327" t="inlineStr">
        <is>
          <t>uim-esdh-full-2026-07-07</t>
        </is>
      </c>
    </row>
    <row r="328" ht="320" customHeight="1">
      <c r="A328" s="35" t="n">
        <v>319</v>
      </c>
      <c r="B328" s="3" t="inlineStr">
        <is>
          <t>B1.G-18</t>
        </is>
      </c>
      <c r="C328" s="3" t="inlineStr">
        <is>
          <t>Bilag 1.g Samarbejde under Leveringskontrakten</t>
        </is>
      </c>
      <c r="D328" s="3" t="inlineStr">
        <is>
          <t>4.4.3</t>
        </is>
      </c>
      <c r="E328" s="3" t="inlineStr">
        <is>
          <t>ESDH driftsgruppe og møder under driftsfasen</t>
        </is>
      </c>
      <c r="F328" s="35" t="inlineStr">
        <is>
          <t>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t>
        </is>
      </c>
      <c r="G328" s="3" t="inlineStr">
        <is>
          <t>Mindstekrav</t>
        </is>
      </c>
      <c r="H328" s="35">
        <f>IF(G328="Evalueringskrav","Answer",(IF(G328="Krav","Check",(IF(G328="Mindstekrav","Verify","")))))</f>
        <v/>
      </c>
      <c r="I328" s="35" t="inlineStr">
        <is>
          <t>Nej</t>
        </is>
      </c>
      <c r="J328" s="35" t="n"/>
      <c r="K328" s="47" t="n"/>
      <c r="L328" s="35" t="inlineStr">
        <is>
          <t>Cristina</t>
        </is>
      </c>
      <c r="M328" s="35" t="n"/>
      <c r="N328" s="35" t="n"/>
      <c r="O328" s="35" t="n"/>
      <c r="P328" s="35" t="n"/>
      <c r="Q328" s="35" t="n"/>
      <c r="R328" s="35" t="n"/>
      <c r="S328" s="35" t="n"/>
      <c r="T328" s="35" t="n"/>
      <c r="U328" s="35" t="inlineStr">
        <is>
          <t>Not Started</t>
        </is>
      </c>
      <c r="V328" s="37">
        <f>IF(U328="Not Started",0%,IF(U328="Started",50%,IF(U328="Ready for review",70%,IF(U328="Reviewed - Content",80%,IF(U328="Reviewed - Format",90%,IF(U328="Done",100%,""))))))</f>
        <v/>
      </c>
      <c r="W328" t="inlineStr">
        <is>
          <t>2026-07-07</t>
        </is>
      </c>
      <c r="X328" t="inlineStr">
        <is>
          <t>Cursor / tender-response (batch)</t>
        </is>
      </c>
      <c r="Y328" t="inlineStr">
        <is>
          <t>Clarify</t>
        </is>
      </c>
      <c r="Z328" t="inlineStr">
        <is>
          <t>Verified</t>
        </is>
      </c>
      <c r="AA328" t="inlineStr">
        <is>
          <t>Verify: ESDH driftsgruppe og møder under driftsfasen — kræver produkt-/team-afklaring (ingen tool-rating).</t>
        </is>
      </c>
      <c r="AB328" t="inlineStr"/>
      <c r="AC328" t="inlineStr">
        <is>
          <t>docs/tender-reference/extracted/KK Tender tool.txt; docs/tender-reference/extracted/KUM-SLKS/Bilag 1 - Tidsplan.txt; docs/tender-reference/extracted/Nationalbanken/Bilag 3.i Leverandørens Løsningsbeskrivelse.txt</t>
        </is>
      </c>
      <c r="AD328" t="inlineStr">
        <is>
          <t>Cristina: Udfyld tool-rating (O) og evidens; gennemgå AI-kladde.</t>
        </is>
      </c>
      <c r="AE328" t="inlineStr"/>
      <c r="AF328" t="inlineStr">
        <is>
          <t>Draft</t>
        </is>
      </c>
      <c r="AG328" t="inlineStr">
        <is>
          <t>uim-esdh-full-2026-07-07</t>
        </is>
      </c>
    </row>
    <row r="329" ht="208" customHeight="1">
      <c r="A329" s="35" t="n">
        <v>319</v>
      </c>
      <c r="B329" s="3" t="inlineStr">
        <is>
          <t>B1.G-19</t>
        </is>
      </c>
      <c r="C329" s="3" t="inlineStr">
        <is>
          <t>Bilag 1.g Samarbejde under Leveringskontrakten</t>
        </is>
      </c>
      <c r="D329" s="3" t="inlineStr">
        <is>
          <t>4.5</t>
        </is>
      </c>
      <c r="E329" s="3" t="inlineStr">
        <is>
          <t>Proces for håndtering af incidents – roller og ansvar</t>
        </is>
      </c>
      <c r="F329" s="35" t="inlineStr">
        <is>
          <t>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t>
        </is>
      </c>
      <c r="G329" s="3" t="inlineStr">
        <is>
          <t>Mindstekrav</t>
        </is>
      </c>
      <c r="H329" s="35">
        <f>IF(G329="Evalueringskrav","Answer",(IF(G329="Krav","Check",(IF(G329="Mindstekrav","Verify","")))))</f>
        <v/>
      </c>
      <c r="I329" s="35" t="inlineStr">
        <is>
          <t>Nej</t>
        </is>
      </c>
      <c r="J329" s="35" t="n"/>
      <c r="K329" s="47" t="n"/>
      <c r="L329" s="35" t="inlineStr">
        <is>
          <t>Cristina</t>
        </is>
      </c>
      <c r="M329" s="35" t="n"/>
      <c r="N329" s="35" t="n"/>
      <c r="O329" s="35" t="n"/>
      <c r="P329" s="35" t="n"/>
      <c r="Q329" s="35" t="n"/>
      <c r="R329" s="35" t="n"/>
      <c r="S329" s="35" t="n"/>
      <c r="T329" s="35" t="n"/>
      <c r="U329" s="35" t="inlineStr">
        <is>
          <t>Not Started</t>
        </is>
      </c>
      <c r="V329" s="37">
        <f>IF(U329="Not Started",0%,IF(U329="Started",50%,IF(U329="Ready for review",70%,IF(U329="Reviewed - Content",80%,IF(U329="Reviewed - Format",90%,IF(U329="Done",100%,""))))))</f>
        <v/>
      </c>
      <c r="W329" t="inlineStr">
        <is>
          <t>2026-07-07</t>
        </is>
      </c>
      <c r="X329" t="inlineStr">
        <is>
          <t>Cursor / tender-response (batch)</t>
        </is>
      </c>
      <c r="Y329" t="inlineStr">
        <is>
          <t>Clarify</t>
        </is>
      </c>
      <c r="Z329" t="inlineStr">
        <is>
          <t>Verified</t>
        </is>
      </c>
      <c r="AA329" t="inlineStr">
        <is>
          <t>Verify: Proces for håndtering af incidents – roller og ansvar — kræver produkt-/team-afklaring (ingen tool-rating).</t>
        </is>
      </c>
      <c r="AB329" t="inlineStr"/>
      <c r="AC32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29" t="inlineStr">
        <is>
          <t>Cristina: Udfyld tool-rating (O) og evidens; gennemgå AI-kladde.</t>
        </is>
      </c>
      <c r="AE329" t="inlineStr"/>
      <c r="AF329" t="inlineStr">
        <is>
          <t>Draft</t>
        </is>
      </c>
      <c r="AG329" t="inlineStr">
        <is>
          <t>uim-esdh-full-2026-07-07</t>
        </is>
      </c>
    </row>
    <row r="330" ht="128" customHeight="1">
      <c r="A330" s="35" t="n">
        <v>319</v>
      </c>
      <c r="B330" s="3" t="inlineStr">
        <is>
          <t>B1.H-1</t>
        </is>
      </c>
      <c r="C330" s="3" t="inlineStr">
        <is>
          <t>Bilag 1.h Servicemål</t>
        </is>
      </c>
      <c r="D330" s="3" t="inlineStr">
        <is>
          <t>2.1</t>
        </is>
      </c>
      <c r="E330" s="3" t="inlineStr">
        <is>
          <t>Måling og rapportering</t>
        </is>
      </c>
      <c r="F330" s="35" t="inlineStr">
        <is>
          <t>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t>
        </is>
      </c>
      <c r="G330" s="3" t="inlineStr">
        <is>
          <t>Mindstekrav</t>
        </is>
      </c>
      <c r="H330" s="35">
        <f>IF(G330="Evalueringskrav","Answer",(IF(G330="Krav","Check",(IF(G330="Mindstekrav","Verify","")))))</f>
        <v/>
      </c>
      <c r="I330" s="35" t="inlineStr">
        <is>
          <t>Nej</t>
        </is>
      </c>
      <c r="J330" s="35" t="n"/>
      <c r="K330" s="47" t="n"/>
      <c r="L330" s="35" t="inlineStr">
        <is>
          <t>Cristina</t>
        </is>
      </c>
      <c r="M330" s="35" t="n"/>
      <c r="N330" s="35" t="n"/>
      <c r="O330" s="35" t="n"/>
      <c r="P330" s="35" t="n"/>
      <c r="Q330" s="35" t="n"/>
      <c r="R330" s="35" t="n"/>
      <c r="S330" s="35" t="n"/>
      <c r="T330" s="35" t="n"/>
      <c r="U330" s="35" t="inlineStr">
        <is>
          <t>Not Started</t>
        </is>
      </c>
      <c r="V330" s="37">
        <f>IF(U330="Not Started",0%,IF(U330="Started",50%,IF(U330="Ready for review",70%,IF(U330="Reviewed - Content",80%,IF(U330="Reviewed - Format",90%,IF(U330="Done",100%,""))))))</f>
        <v/>
      </c>
      <c r="W330" t="inlineStr">
        <is>
          <t>2026-07-07</t>
        </is>
      </c>
      <c r="X330" t="inlineStr">
        <is>
          <t>Cursor / tender-response (batch)</t>
        </is>
      </c>
      <c r="Y330" t="inlineStr">
        <is>
          <t>Clarify</t>
        </is>
      </c>
      <c r="Z330" t="inlineStr">
        <is>
          <t>Verified</t>
        </is>
      </c>
      <c r="AA330" t="inlineStr">
        <is>
          <t>Verify: Måling og rapportering — kræver produkt-/team-afklaring (ingen tool-rating).</t>
        </is>
      </c>
      <c r="AB330" t="inlineStr"/>
      <c r="AC330" t="inlineStr">
        <is>
          <t>docs/tender-reference/extracted/KK Tender tool.txt; docs/tender-reference/extracted/Nationalbanken/Bilag 3.i Leverandørens Løsningsbeskrivelse.txt; docs/tender-reference/extracted/NND/02.01-Tieto-Bilag 2-Vedlegg-Leverandørens utfyllende svar til kravtabell.txt</t>
        </is>
      </c>
      <c r="AD330" t="inlineStr">
        <is>
          <t>Cristina: Udfyld tool-rating (O) og evidens; gennemgå AI-kladde.</t>
        </is>
      </c>
      <c r="AE330" t="inlineStr"/>
      <c r="AF330" t="inlineStr">
        <is>
          <t>Draft</t>
        </is>
      </c>
      <c r="AG330" t="inlineStr">
        <is>
          <t>uim-esdh-full-2026-07-07</t>
        </is>
      </c>
    </row>
    <row r="331" ht="224" customHeight="1">
      <c r="A331" s="35" t="n">
        <v>319</v>
      </c>
      <c r="B331" s="3" t="inlineStr">
        <is>
          <t>B1.H-2</t>
        </is>
      </c>
      <c r="C331" s="3" t="inlineStr">
        <is>
          <t>Bilag 1.h Servicemål</t>
        </is>
      </c>
      <c r="D331" s="3" t="inlineStr">
        <is>
          <t>2.1.1</t>
        </is>
      </c>
      <c r="E331" s="3" t="inlineStr">
        <is>
          <t>Rapportering om servicemål</t>
        </is>
      </c>
      <c r="F331" s="35" t="inlineStr">
        <is>
          <t>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t>
        </is>
      </c>
      <c r="G331" s="3" t="inlineStr">
        <is>
          <t>Mindstekrav</t>
        </is>
      </c>
      <c r="H331" s="35">
        <f>IF(G331="Evalueringskrav","Answer",(IF(G331="Krav","Check",(IF(G331="Mindstekrav","Verify","")))))</f>
        <v/>
      </c>
      <c r="I331" s="35" t="inlineStr">
        <is>
          <t>Nej</t>
        </is>
      </c>
      <c r="J331" s="35" t="n"/>
      <c r="K331" s="47" t="n"/>
      <c r="L331" s="35" t="inlineStr">
        <is>
          <t>Johan</t>
        </is>
      </c>
      <c r="M331" s="35" t="n"/>
      <c r="N331" s="35" t="n"/>
      <c r="O331" s="35" t="n"/>
      <c r="P331" s="35" t="n"/>
      <c r="Q331" s="35" t="n"/>
      <c r="R331" s="35" t="n"/>
      <c r="S331" s="35" t="n"/>
      <c r="T331" s="35" t="n"/>
      <c r="U331" s="35" t="inlineStr">
        <is>
          <t>Not Started</t>
        </is>
      </c>
      <c r="V331" s="37">
        <f>IF(U331="Not Started",0%,IF(U331="Started",50%,IF(U331="Ready for review",70%,IF(U331="Reviewed - Content",80%,IF(U331="Reviewed - Format",90%,IF(U331="Done",100%,""))))))</f>
        <v/>
      </c>
      <c r="W331" t="inlineStr">
        <is>
          <t>2026-07-07</t>
        </is>
      </c>
      <c r="X331" t="inlineStr">
        <is>
          <t>Cursor / tender-response (batch)</t>
        </is>
      </c>
      <c r="Y331" t="inlineStr">
        <is>
          <t>Clarify</t>
        </is>
      </c>
      <c r="Z331" t="inlineStr">
        <is>
          <t>Verified</t>
        </is>
      </c>
      <c r="AA331" t="inlineStr">
        <is>
          <t>Verify: Rapportering om servicemål — kræver produkt-/team-afklaring (ingen tool-rating).</t>
        </is>
      </c>
      <c r="AB331" t="inlineStr"/>
      <c r="AC331" t="inlineStr">
        <is>
          <t>docs/tender-reference/extracted/KK Tender tool.txt; docs/tender-reference/extracted/Nationalbanken/Bilag 3.i Leverandørens Løsningsbeskrivelse.txt; docs/tender-reference/extracted/Nationalbanken/Bilag 6.i Implementeringsplan (Leverandørens løsningsbeskrivelse.txt</t>
        </is>
      </c>
      <c r="AD331" t="inlineStr">
        <is>
          <t>Johan: Udfyld tool-rating (O) og evidens; gennemgå AI-kladde.</t>
        </is>
      </c>
      <c r="AE331" t="inlineStr"/>
      <c r="AF331" t="inlineStr">
        <is>
          <t>Draft</t>
        </is>
      </c>
      <c r="AG331" t="inlineStr">
        <is>
          <t>uim-esdh-full-2026-07-07</t>
        </is>
      </c>
    </row>
    <row r="332" ht="80" customHeight="1">
      <c r="A332" s="35" t="n">
        <v>319</v>
      </c>
      <c r="B332" s="3" t="inlineStr">
        <is>
          <t>B1.H-3</t>
        </is>
      </c>
      <c r="C332" s="3" t="inlineStr">
        <is>
          <t>Bilag 1.h Servicemål</t>
        </is>
      </c>
      <c r="D332" s="3" t="inlineStr">
        <is>
          <t>2.2</t>
        </is>
      </c>
      <c r="E332" s="3" t="inlineStr">
        <is>
          <t>Driftstid</t>
        </is>
      </c>
      <c r="F332" s="35" t="inlineStr">
        <is>
          <t>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t>
        </is>
      </c>
      <c r="G332" s="3" t="inlineStr">
        <is>
          <t>Mindstekrav</t>
        </is>
      </c>
      <c r="H332" s="35">
        <f>IF(G332="Evalueringskrav","Answer",(IF(G332="Krav","Check",(IF(G332="Mindstekrav","Verify","")))))</f>
        <v/>
      </c>
      <c r="I332" s="35" t="inlineStr">
        <is>
          <t>Nej</t>
        </is>
      </c>
      <c r="J332" s="35" t="n"/>
      <c r="K332" s="47" t="n"/>
      <c r="L332" s="35" t="inlineStr">
        <is>
          <t>Johan</t>
        </is>
      </c>
      <c r="M332" s="35" t="n"/>
      <c r="N332" s="35" t="n"/>
      <c r="O332" s="35" t="n"/>
      <c r="P332" s="35" t="n"/>
      <c r="Q332" s="35" t="n"/>
      <c r="R332" s="35" t="n"/>
      <c r="S332" s="35" t="n"/>
      <c r="T332" s="35" t="n"/>
      <c r="U332" s="35" t="inlineStr">
        <is>
          <t>Not Started</t>
        </is>
      </c>
      <c r="V332" s="37">
        <f>IF(U332="Not Started",0%,IF(U332="Started",50%,IF(U332="Ready for review",70%,IF(U332="Reviewed - Content",80%,IF(U332="Reviewed - Format",90%,IF(U332="Done",100%,""))))))</f>
        <v/>
      </c>
      <c r="W332" t="inlineStr">
        <is>
          <t>2026-07-07</t>
        </is>
      </c>
      <c r="X332" t="inlineStr">
        <is>
          <t>Cursor / tender-response (batch)</t>
        </is>
      </c>
      <c r="Y332" t="inlineStr">
        <is>
          <t>Clarify</t>
        </is>
      </c>
      <c r="Z332" t="inlineStr">
        <is>
          <t>Verified</t>
        </is>
      </c>
      <c r="AA332" t="inlineStr">
        <is>
          <t>Verify: Driftstid — kræver produkt-/team-afklaring (ingen tool-rating).</t>
        </is>
      </c>
      <c r="AB332" t="inlineStr"/>
      <c r="AC332" t="inlineStr">
        <is>
          <t>docs/tender-reference/extracted/Nationalbanken/Bilag 3.i Leverandørens Løsningsbeskrivelse.txt; docs/tender-reference/extracted/KK Tender tool.txt; docs/tender-reference/extracted/HSØ/02.00-Tietoevry-SSA-L-Bilag 2-Leverandørens beskrivelse av Tjenesten.txt</t>
        </is>
      </c>
      <c r="AD332" t="inlineStr">
        <is>
          <t>Johan: Udfyld tool-rating (O) og evidens; gennemgå AI-kladde.</t>
        </is>
      </c>
      <c r="AE332" t="inlineStr"/>
      <c r="AF332" t="inlineStr">
        <is>
          <t>Draft</t>
        </is>
      </c>
      <c r="AG332" t="inlineStr">
        <is>
          <t>uim-esdh-full-2026-07-07</t>
        </is>
      </c>
    </row>
    <row r="333" ht="288" customHeight="1">
      <c r="A333" s="35" t="n">
        <v>319</v>
      </c>
      <c r="B333" s="3" t="inlineStr">
        <is>
          <t>B1.H-4</t>
        </is>
      </c>
      <c r="C333" s="3" t="inlineStr">
        <is>
          <t>Bilag 1.h Servicemål</t>
        </is>
      </c>
      <c r="D333" s="3" t="inlineStr">
        <is>
          <t>2.2.1</t>
        </is>
      </c>
      <c r="E333" s="3" t="inlineStr">
        <is>
          <t>Planlagt vedligehold</t>
        </is>
      </c>
      <c r="F333" s="35" t="inlineStr">
        <is>
          <t>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t>
        </is>
      </c>
      <c r="G333" s="3" t="inlineStr">
        <is>
          <t>Mindstekrav</t>
        </is>
      </c>
      <c r="H333" s="35">
        <f>IF(G333="Evalueringskrav","Answer",(IF(G333="Krav","Check",(IF(G333="Mindstekrav","Verify","")))))</f>
        <v/>
      </c>
      <c r="I333" s="35" t="inlineStr">
        <is>
          <t>Nej</t>
        </is>
      </c>
      <c r="J333" s="35" t="n"/>
      <c r="K333" s="47" t="n"/>
      <c r="L333" s="35" t="inlineStr">
        <is>
          <t>Johan</t>
        </is>
      </c>
      <c r="M333" s="35" t="n"/>
      <c r="N333" s="35" t="n"/>
      <c r="O333" s="35" t="n"/>
      <c r="P333" s="35" t="n"/>
      <c r="Q333" s="35" t="n"/>
      <c r="R333" s="35" t="n"/>
      <c r="S333" s="35" t="n"/>
      <c r="T333" s="35" t="n"/>
      <c r="U333" s="35" t="inlineStr">
        <is>
          <t>Not Started</t>
        </is>
      </c>
      <c r="V333" s="37">
        <f>IF(U333="Not Started",0%,IF(U333="Started",50%,IF(U333="Ready for review",70%,IF(U333="Reviewed - Content",80%,IF(U333="Reviewed - Format",90%,IF(U333="Done",100%,""))))))</f>
        <v/>
      </c>
      <c r="W333" t="inlineStr">
        <is>
          <t>2026-07-07</t>
        </is>
      </c>
      <c r="X333" t="inlineStr">
        <is>
          <t>Cursor / tender-response (batch)</t>
        </is>
      </c>
      <c r="Y333" t="inlineStr">
        <is>
          <t>Clarify</t>
        </is>
      </c>
      <c r="Z333" t="inlineStr">
        <is>
          <t>Verified</t>
        </is>
      </c>
      <c r="AA333" t="inlineStr">
        <is>
          <t>Verify: Planlagt vedligehold — kræver produkt-/team-afklaring (ingen tool-rating).</t>
        </is>
      </c>
      <c r="AB333" t="inlineStr"/>
      <c r="AC333" t="inlineStr">
        <is>
          <t>docs/tender-reference/extracted/KK Tender tool.txt; docs/tender-reference/extracted/Nationalbanken/Bilag 3.i Leverandørens Løsningsbeskrivelse.txt; docs/tender-reference/extracted/KUM-SLKS/Bilag 1 - Tidsplan.txt</t>
        </is>
      </c>
      <c r="AD333" t="inlineStr">
        <is>
          <t>Johan: Udfyld tool-rating (O) og evidens; gennemgå AI-kladde.</t>
        </is>
      </c>
      <c r="AE333" t="inlineStr"/>
      <c r="AF333" t="inlineStr">
        <is>
          <t>Draft</t>
        </is>
      </c>
      <c r="AG333" t="inlineStr">
        <is>
          <t>uim-esdh-full-2026-07-07</t>
        </is>
      </c>
    </row>
    <row r="334" ht="128" customHeight="1">
      <c r="A334" s="35" t="n">
        <v>319</v>
      </c>
      <c r="B334" s="3" t="inlineStr">
        <is>
          <t>B1.H-5</t>
        </is>
      </c>
      <c r="C334" s="3" t="inlineStr">
        <is>
          <t>Bilag 1.h Servicemål</t>
        </is>
      </c>
      <c r="D334" s="3" t="inlineStr">
        <is>
          <t>2.2.2</t>
        </is>
      </c>
      <c r="E334" s="3" t="inlineStr">
        <is>
          <t>Nødservicevindue – større og kritiske opdateringer</t>
        </is>
      </c>
      <c r="F334" s="35" t="inlineStr">
        <is>
          <t>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t>
        </is>
      </c>
      <c r="G334" s="3" t="inlineStr">
        <is>
          <t>Mindstekrav</t>
        </is>
      </c>
      <c r="H334" s="35">
        <f>IF(G334="Evalueringskrav","Answer",(IF(G334="Krav","Check",(IF(G334="Mindstekrav","Verify","")))))</f>
        <v/>
      </c>
      <c r="I334" s="35" t="inlineStr">
        <is>
          <t>Nej</t>
        </is>
      </c>
      <c r="J334" s="35" t="n"/>
      <c r="K334" s="47" t="n"/>
      <c r="L334" s="35" t="inlineStr">
        <is>
          <t>Johan</t>
        </is>
      </c>
      <c r="M334" s="35" t="n"/>
      <c r="N334" s="35" t="n"/>
      <c r="O334" s="35" t="n"/>
      <c r="P334" s="35" t="n"/>
      <c r="Q334" s="35" t="n"/>
      <c r="R334" s="35" t="n"/>
      <c r="S334" s="35" t="n"/>
      <c r="T334" s="35" t="n"/>
      <c r="U334" s="35" t="inlineStr">
        <is>
          <t>Not Started</t>
        </is>
      </c>
      <c r="V334" s="37">
        <f>IF(U334="Not Started",0%,IF(U334="Started",50%,IF(U334="Ready for review",70%,IF(U334="Reviewed - Content",80%,IF(U334="Reviewed - Format",90%,IF(U334="Done",100%,""))))))</f>
        <v/>
      </c>
      <c r="W334" t="inlineStr">
        <is>
          <t>2026-07-07</t>
        </is>
      </c>
      <c r="X334" t="inlineStr">
        <is>
          <t>Cursor / tender-response (batch)</t>
        </is>
      </c>
      <c r="Y334" t="inlineStr">
        <is>
          <t>Clarify</t>
        </is>
      </c>
      <c r="Z334" t="inlineStr">
        <is>
          <t>Verified</t>
        </is>
      </c>
      <c r="AA334" t="inlineStr">
        <is>
          <t>Verify: Nødservicevindue – større og kritiske opdateringer — kræver produkt-/team-afklaring (ingen tool-rating).</t>
        </is>
      </c>
      <c r="AB334" t="inlineStr"/>
      <c r="AC334" t="inlineStr">
        <is>
          <t>docs/tender-reference/extracted/KK Tender tool.txt; docs/tender-reference/extracted/Nationalbanken/Bilag 3.i Leverandørens Løsningsbeskrivelse.txt; docs/tender-reference/extracted/KUM-SLKS/Bilag 3 - Kravspecifikation.txt</t>
        </is>
      </c>
      <c r="AD334" t="inlineStr">
        <is>
          <t>Johan: Udfyld tool-rating (O) og evidens; gennemgå AI-kladde.</t>
        </is>
      </c>
      <c r="AE334" t="inlineStr"/>
      <c r="AF334" t="inlineStr">
        <is>
          <t>Draft</t>
        </is>
      </c>
      <c r="AG334" t="inlineStr">
        <is>
          <t>uim-esdh-full-2026-07-07</t>
        </is>
      </c>
    </row>
    <row r="335" ht="144" customHeight="1">
      <c r="A335" s="35" t="n">
        <v>319</v>
      </c>
      <c r="B335" s="3" t="inlineStr">
        <is>
          <t>B1.H-6</t>
        </is>
      </c>
      <c r="C335" s="3" t="inlineStr">
        <is>
          <t>Bilag 1.h Servicemål</t>
        </is>
      </c>
      <c r="D335" s="3" t="inlineStr">
        <is>
          <t>2.2.3</t>
        </is>
      </c>
      <c r="E335" s="3" t="inlineStr">
        <is>
          <t>Servicevindue – omlægninger af miljøer, arkitekturer eller ESDH-løsningen</t>
        </is>
      </c>
      <c r="F335" s="35" t="inlineStr">
        <is>
          <t>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t>
        </is>
      </c>
      <c r="G335" s="3" t="inlineStr">
        <is>
          <t>Mindstekrav</t>
        </is>
      </c>
      <c r="H335" s="35">
        <f>IF(G335="Evalueringskrav","Answer",(IF(G335="Krav","Check",(IF(G335="Mindstekrav","Verify","")))))</f>
        <v/>
      </c>
      <c r="I335" s="35" t="inlineStr">
        <is>
          <t>Nej</t>
        </is>
      </c>
      <c r="J335" s="35" t="n"/>
      <c r="K335" s="47" t="n"/>
      <c r="L335" s="35" t="inlineStr">
        <is>
          <t>Johan</t>
        </is>
      </c>
      <c r="M335" s="35" t="n"/>
      <c r="N335" s="35" t="n"/>
      <c r="O335" s="35" t="n"/>
      <c r="P335" s="35" t="n"/>
      <c r="Q335" s="35" t="n"/>
      <c r="R335" s="35" t="n"/>
      <c r="S335" s="35" t="n"/>
      <c r="T335" s="35" t="n"/>
      <c r="U335" s="35" t="inlineStr">
        <is>
          <t>Not Started</t>
        </is>
      </c>
      <c r="V335" s="37">
        <f>IF(U335="Not Started",0%,IF(U335="Started",50%,IF(U335="Ready for review",70%,IF(U335="Reviewed - Content",80%,IF(U335="Reviewed - Format",90%,IF(U335="Done",100%,""))))))</f>
        <v/>
      </c>
      <c r="W335" t="inlineStr">
        <is>
          <t>2026-07-07</t>
        </is>
      </c>
      <c r="X335" t="inlineStr">
        <is>
          <t>Cursor / tender-response (batch)</t>
        </is>
      </c>
      <c r="Y335" t="inlineStr">
        <is>
          <t>Clarify</t>
        </is>
      </c>
      <c r="Z335" t="inlineStr">
        <is>
          <t>Verified</t>
        </is>
      </c>
      <c r="AA335" t="inlineStr">
        <is>
          <t>Verify: Servicevindue – omlægninger af miljøer, arkitekturer eller ESDH-løsningen — kræver produkt-/team-afklaring (ingen tool-rating).</t>
        </is>
      </c>
      <c r="AB335" t="inlineStr"/>
      <c r="AC335" t="inlineStr">
        <is>
          <t>docs/tender-reference/extracted/Nationalbanken/Bilag 3.i Leverandørens Løsningsbeskrivelse.txt; docs/tender-reference/extracted/KK Tender tool.txt; docs/tender-reference/extracted/HSØ/02.00-Tietoevry-SSA-L-Bilag 2-Leverandørens beskrivelse av Tjenesten.txt</t>
        </is>
      </c>
      <c r="AD335" t="inlineStr">
        <is>
          <t>Johan: Udfyld tool-rating (O) og evidens; gennemgå AI-kladde.</t>
        </is>
      </c>
      <c r="AE335" t="inlineStr"/>
      <c r="AF335" t="inlineStr">
        <is>
          <t>Draft</t>
        </is>
      </c>
      <c r="AG335" t="inlineStr">
        <is>
          <t>uim-esdh-full-2026-07-07</t>
        </is>
      </c>
    </row>
    <row r="336">
      <c r="A336" s="35" t="n">
        <v>319</v>
      </c>
      <c r="B336" s="3" t="inlineStr">
        <is>
          <t>B1.H-7</t>
        </is>
      </c>
      <c r="C336" s="3" t="inlineStr">
        <is>
          <t>Bilag 1.h Servicemål</t>
        </is>
      </c>
      <c r="D336" s="3" t="inlineStr">
        <is>
          <t>2.3</t>
        </is>
      </c>
      <c r="E336" s="3" t="inlineStr">
        <is>
          <t>Tilgængelighed</t>
        </is>
      </c>
      <c r="F336" s="35" t="inlineStr">
        <is>
          <t>Tilgængelighed</t>
        </is>
      </c>
      <c r="G336" s="3" t="inlineStr">
        <is>
          <t>Mindstekrav</t>
        </is>
      </c>
      <c r="H336" s="35">
        <f>IF(G336="Evalueringskrav","Answer",(IF(G336="Krav","Check",(IF(G336="Mindstekrav","Verify","")))))</f>
        <v/>
      </c>
      <c r="I336" s="35" t="inlineStr">
        <is>
          <t>Nej</t>
        </is>
      </c>
      <c r="J336" s="35" t="n"/>
      <c r="K336" s="47" t="n"/>
      <c r="L336" s="35" t="inlineStr">
        <is>
          <t>Johan</t>
        </is>
      </c>
      <c r="M336" s="35" t="n"/>
      <c r="N336" s="35" t="n"/>
      <c r="O336" s="35" t="n"/>
      <c r="P336" s="35" t="n"/>
      <c r="Q336" s="35" t="n"/>
      <c r="R336" s="35" t="n"/>
      <c r="S336" s="35" t="n"/>
      <c r="T336" s="35" t="n"/>
      <c r="U336" s="35" t="inlineStr">
        <is>
          <t>Not Started</t>
        </is>
      </c>
      <c r="V336" s="37">
        <f>IF(U336="Not Started",0%,IF(U336="Started",50%,IF(U336="Ready for review",70%,IF(U336="Reviewed - Content",80%,IF(U336="Reviewed - Format",90%,IF(U336="Done",100%,""))))))</f>
        <v/>
      </c>
      <c r="W336" t="inlineStr">
        <is>
          <t>2026-07-07</t>
        </is>
      </c>
      <c r="X336" t="inlineStr">
        <is>
          <t>Cursor / tender-response (batch)</t>
        </is>
      </c>
      <c r="Y336" t="inlineStr">
        <is>
          <t>Clarify</t>
        </is>
      </c>
      <c r="Z336" t="inlineStr">
        <is>
          <t>Lead</t>
        </is>
      </c>
      <c r="AA336" t="inlineStr">
        <is>
          <t>Verify: Tilgængelighed — kræver produkt-/team-afklaring (ingen tool-rating).</t>
        </is>
      </c>
      <c r="AB336" t="inlineStr"/>
      <c r="AC336" t="inlineStr">
        <is>
          <t>Ingen prior-art træffere i docs/tender-reference/extracted eller docs/product.</t>
        </is>
      </c>
      <c r="AD336" t="inlineStr">
        <is>
          <t>Johan: Udfyld tool-rating (O) og evidens; gennemgå AI-kladde.</t>
        </is>
      </c>
      <c r="AE336" t="inlineStr"/>
      <c r="AF336" t="inlineStr">
        <is>
          <t>Draft</t>
        </is>
      </c>
      <c r="AG336" t="inlineStr">
        <is>
          <t>uim-esdh-full-2026-07-07</t>
        </is>
      </c>
    </row>
    <row r="337" ht="224" customHeight="1">
      <c r="A337" s="35" t="n">
        <v>319</v>
      </c>
      <c r="B337" s="3" t="inlineStr">
        <is>
          <t>B1.H-8</t>
        </is>
      </c>
      <c r="C337" s="3" t="inlineStr">
        <is>
          <t>Bilag 1.h Servicemål</t>
        </is>
      </c>
      <c r="D337" s="3" t="inlineStr">
        <is>
          <t>2.3.1</t>
        </is>
      </c>
      <c r="E337" s="3" t="inlineStr">
        <is>
          <t>Servicemål for tilgængelighed</t>
        </is>
      </c>
      <c r="F337" s="35" t="inlineStr">
        <is>
          <t>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t>
        </is>
      </c>
      <c r="G337" s="3" t="inlineStr">
        <is>
          <t>Mindstekrav</t>
        </is>
      </c>
      <c r="H337" s="35">
        <f>IF(G337="Evalueringskrav","Answer",(IF(G337="Krav","Check",(IF(G337="Mindstekrav","Verify","")))))</f>
        <v/>
      </c>
      <c r="I337" s="35" t="inlineStr">
        <is>
          <t>Nej</t>
        </is>
      </c>
      <c r="J337" s="35" t="n"/>
      <c r="K337" s="47" t="n"/>
      <c r="L337" s="35" t="inlineStr">
        <is>
          <t>Johan</t>
        </is>
      </c>
      <c r="M337" s="35" t="n"/>
      <c r="N337" s="35" t="n"/>
      <c r="O337" s="35" t="n"/>
      <c r="P337" s="35" t="n"/>
      <c r="Q337" s="35" t="n"/>
      <c r="R337" s="35" t="n"/>
      <c r="S337" s="35" t="n"/>
      <c r="T337" s="35" t="n"/>
      <c r="U337" s="35" t="inlineStr">
        <is>
          <t>Not Started</t>
        </is>
      </c>
      <c r="V337" s="37">
        <f>IF(U337="Not Started",0%,IF(U337="Started",50%,IF(U337="Ready for review",70%,IF(U337="Reviewed - Content",80%,IF(U337="Reviewed - Format",90%,IF(U337="Done",100%,""))))))</f>
        <v/>
      </c>
      <c r="W337" t="inlineStr">
        <is>
          <t>2026-07-07</t>
        </is>
      </c>
      <c r="X337" t="inlineStr">
        <is>
          <t>Cursor / tender-response (batch)</t>
        </is>
      </c>
      <c r="Y337" t="inlineStr">
        <is>
          <t>Clarify</t>
        </is>
      </c>
      <c r="Z337" t="inlineStr">
        <is>
          <t>Verified</t>
        </is>
      </c>
      <c r="AA337" t="inlineStr">
        <is>
          <t>Verify: Servicemål for tilgængelighed — kræver produkt-/team-afklaring (ingen tool-rating).</t>
        </is>
      </c>
      <c r="AB337" t="inlineStr"/>
      <c r="AC3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7" t="inlineStr">
        <is>
          <t>Johan: Udfyld tool-rating (O) og evidens; gennemgå AI-kladde.</t>
        </is>
      </c>
      <c r="AE337" t="inlineStr"/>
      <c r="AF337" t="inlineStr">
        <is>
          <t>Draft</t>
        </is>
      </c>
      <c r="AG337" t="inlineStr">
        <is>
          <t>uim-esdh-full-2026-07-07</t>
        </is>
      </c>
    </row>
    <row r="338" ht="224" customHeight="1">
      <c r="A338" s="35" t="n">
        <v>319</v>
      </c>
      <c r="B338" s="3" t="inlineStr">
        <is>
          <t>B1.H-9</t>
        </is>
      </c>
      <c r="C338" s="3" t="inlineStr">
        <is>
          <t>Bilag 1.h Servicemål</t>
        </is>
      </c>
      <c r="D338" s="3" t="inlineStr">
        <is>
          <t>2.4</t>
        </is>
      </c>
      <c r="E338" s="3" t="inlineStr">
        <is>
          <t>Svartider</t>
        </is>
      </c>
      <c r="F338" s="35" t="inlineStr">
        <is>
          <t>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t>
        </is>
      </c>
      <c r="G338" s="3" t="inlineStr">
        <is>
          <t>Mindstekrav</t>
        </is>
      </c>
      <c r="H338" s="35">
        <f>IF(G338="Evalueringskrav","Answer",(IF(G338="Krav","Check",(IF(G338="Mindstekrav","Verify","")))))</f>
        <v/>
      </c>
      <c r="I338" s="35" t="inlineStr">
        <is>
          <t>Nej</t>
        </is>
      </c>
      <c r="J338" s="35" t="n"/>
      <c r="K338" s="47" t="n"/>
      <c r="L338" s="35" t="inlineStr">
        <is>
          <t>Johan</t>
        </is>
      </c>
      <c r="M338" s="35" t="n"/>
      <c r="N338" s="35" t="n"/>
      <c r="O338" s="35" t="n"/>
      <c r="P338" s="35" t="n"/>
      <c r="Q338" s="35" t="n"/>
      <c r="R338" s="35" t="n"/>
      <c r="S338" s="35" t="n"/>
      <c r="T338" s="35" t="n"/>
      <c r="U338" s="35" t="inlineStr">
        <is>
          <t>Not Started</t>
        </is>
      </c>
      <c r="V338" s="37">
        <f>IF(U338="Not Started",0%,IF(U338="Started",50%,IF(U338="Ready for review",70%,IF(U338="Reviewed - Content",80%,IF(U338="Reviewed - Format",90%,IF(U338="Done",100%,""))))))</f>
        <v/>
      </c>
      <c r="W338" t="inlineStr">
        <is>
          <t>2026-07-07</t>
        </is>
      </c>
      <c r="X338" t="inlineStr">
        <is>
          <t>Cursor / tender-response (batch)</t>
        </is>
      </c>
      <c r="Y338" t="inlineStr">
        <is>
          <t>Clarify</t>
        </is>
      </c>
      <c r="Z338" t="inlineStr">
        <is>
          <t>Verified</t>
        </is>
      </c>
      <c r="AA338" t="inlineStr">
        <is>
          <t>Verify: Svartider — kræver produkt-/team-afklaring (ingen tool-rating).</t>
        </is>
      </c>
      <c r="AB338" t="inlineStr"/>
      <c r="AC338" t="inlineStr">
        <is>
          <t>docs/tender-reference/extracted/KK Tender tool.txt; docs/tender-reference/extracted/Nationalbanken/Bilag 3.i Leverandørens Løsningsbeskrivelse.txt; docs/tender-reference/extracted/KUM-SLKS/Bilag 3 - Kravspecifikation.txt</t>
        </is>
      </c>
      <c r="AD338" t="inlineStr">
        <is>
          <t>Johan: Udfyld tool-rating (O) og evidens; gennemgå AI-kladde.</t>
        </is>
      </c>
      <c r="AE338" t="inlineStr"/>
      <c r="AF338" t="inlineStr">
        <is>
          <t>Draft</t>
        </is>
      </c>
      <c r="AG338" t="inlineStr">
        <is>
          <t>uim-esdh-full-2026-07-07</t>
        </is>
      </c>
    </row>
    <row r="339" ht="80" customHeight="1">
      <c r="A339" s="35" t="n">
        <v>319</v>
      </c>
      <c r="B339" s="3" t="inlineStr">
        <is>
          <t>B1.H-10</t>
        </is>
      </c>
      <c r="C339" s="3" t="inlineStr">
        <is>
          <t>Bilag 1.h Servicemål</t>
        </is>
      </c>
      <c r="D339" s="3" t="inlineStr">
        <is>
          <t>2.4.1</t>
        </is>
      </c>
      <c r="E339" s="3" t="inlineStr">
        <is>
          <t>Forudsætning i relation til performance og antal samtidige Brugere</t>
        </is>
      </c>
      <c r="F339" s="35" t="inlineStr">
        <is>
          <t>Forudsætning i relation til performance og antal samtidige Brugere ESDH-løsningen skal være tilgængeligt i et produktionsmiljø eller et produktionslignede miljø til brug for performancetesten. Ved performancetesten skal Leverandøren sikre, at der i miljøet findes mindst</t>
        </is>
      </c>
      <c r="G339" s="3" t="inlineStr">
        <is>
          <t>Mindstekrav</t>
        </is>
      </c>
      <c r="H339" s="35">
        <f>IF(G339="Evalueringskrav","Answer",(IF(G339="Krav","Check",(IF(G339="Mindstekrav","Verify","")))))</f>
        <v/>
      </c>
      <c r="I339" s="35" t="inlineStr">
        <is>
          <t>Nej</t>
        </is>
      </c>
      <c r="J339" s="35" t="n"/>
      <c r="K339" s="47" t="n"/>
      <c r="L339" s="35" t="inlineStr">
        <is>
          <t>Johan</t>
        </is>
      </c>
      <c r="M339" s="35" t="n"/>
      <c r="N339" s="35" t="n"/>
      <c r="O339" s="35" t="n"/>
      <c r="P339" s="35" t="n"/>
      <c r="Q339" s="35" t="n"/>
      <c r="R339" s="35" t="n"/>
      <c r="S339" s="35" t="n"/>
      <c r="T339" s="35" t="n"/>
      <c r="U339" s="35" t="inlineStr">
        <is>
          <t>Not Started</t>
        </is>
      </c>
      <c r="V339" s="37">
        <f>IF(U339="Not Started",0%,IF(U339="Started",50%,IF(U339="Ready for review",70%,IF(U339="Reviewed - Content",80%,IF(U339="Reviewed - Format",90%,IF(U339="Done",100%,""))))))</f>
        <v/>
      </c>
      <c r="W339" t="inlineStr">
        <is>
          <t>2026-07-07</t>
        </is>
      </c>
      <c r="X339" t="inlineStr">
        <is>
          <t>Cursor / tender-response (batch)</t>
        </is>
      </c>
      <c r="Y339" t="inlineStr">
        <is>
          <t>Clarify</t>
        </is>
      </c>
      <c r="Z339" t="inlineStr">
        <is>
          <t>Verified</t>
        </is>
      </c>
      <c r="AA339" t="inlineStr">
        <is>
          <t>Verify: Forudsætning i relation til performance og antal samtidige Brugere — kræver produkt-/team-afklaring (ingen tool-rating).</t>
        </is>
      </c>
      <c r="AB339" t="inlineStr"/>
      <c r="AC33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9" t="inlineStr">
        <is>
          <t>Johan: Udfyld tool-rating (O) og evidens; gennemgå AI-kladde.</t>
        </is>
      </c>
      <c r="AE339" t="inlineStr"/>
      <c r="AF339" t="inlineStr">
        <is>
          <t>Draft</t>
        </is>
      </c>
      <c r="AG339" t="inlineStr">
        <is>
          <t>uim-esdh-full-2026-07-07</t>
        </is>
      </c>
    </row>
    <row r="340" ht="96" customHeight="1">
      <c r="A340" s="35" t="n">
        <v>319</v>
      </c>
      <c r="B340" s="3" t="inlineStr">
        <is>
          <t>B1.H-11</t>
        </is>
      </c>
      <c r="C340" s="3" t="inlineStr">
        <is>
          <t>Bilag 1.h Servicemål</t>
        </is>
      </c>
      <c r="D340" s="3" t="inlineStr">
        <is>
          <t>8.000.000</t>
        </is>
      </c>
      <c r="E340" s="3" t="inlineStr">
        <is>
          <t>dokumenter i løsningen på 2.000.000 sager med samlet 7 terabyte data.</t>
        </is>
      </c>
      <c r="F340" s="35" t="inlineStr">
        <is>
          <t>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t>
        </is>
      </c>
      <c r="G340" s="3" t="inlineStr">
        <is>
          <t>Mindstekrav</t>
        </is>
      </c>
      <c r="H340" s="35">
        <f>IF(G340="Evalueringskrav","Answer",(IF(G340="Krav","Check",(IF(G340="Mindstekrav","Verify","")))))</f>
        <v/>
      </c>
      <c r="I340" s="35" t="inlineStr">
        <is>
          <t>Nej</t>
        </is>
      </c>
      <c r="J340" s="35" t="n"/>
      <c r="K340" s="47" t="n"/>
      <c r="L340" s="35" t="inlineStr">
        <is>
          <t>Johan</t>
        </is>
      </c>
      <c r="M340" s="35" t="n"/>
      <c r="N340" s="35" t="n"/>
      <c r="O340" s="35" t="n"/>
      <c r="P340" s="35" t="n"/>
      <c r="Q340" s="35" t="n"/>
      <c r="R340" s="35" t="n"/>
      <c r="S340" s="35" t="n"/>
      <c r="T340" s="35" t="n"/>
      <c r="U340" s="35" t="inlineStr">
        <is>
          <t>Not Started</t>
        </is>
      </c>
      <c r="V340" s="37">
        <f>IF(U340="Not Started",0%,IF(U340="Started",50%,IF(U340="Ready for review",70%,IF(U340="Reviewed - Content",80%,IF(U340="Reviewed - Format",90%,IF(U340="Done",100%,""))))))</f>
        <v/>
      </c>
      <c r="W340" t="inlineStr">
        <is>
          <t>2026-07-07</t>
        </is>
      </c>
      <c r="X340" t="inlineStr">
        <is>
          <t>Cursor / tender-response (batch)</t>
        </is>
      </c>
      <c r="Y340" t="inlineStr">
        <is>
          <t>Clarify</t>
        </is>
      </c>
      <c r="Z340" t="inlineStr">
        <is>
          <t>Verified</t>
        </is>
      </c>
      <c r="AA340" t="inlineStr">
        <is>
          <t>Verify: dokumenter i løsningen på 2.000.000 sager med samlet 7 terabyte data. — kræver produkt-/team-afklaring (ingen tool-rating).</t>
        </is>
      </c>
      <c r="AB340" t="inlineStr"/>
      <c r="AC340" t="inlineStr">
        <is>
          <t>docs/tender-reference/extracted/Nationalbanken/Bilag 3.i Leverandørens Løsningsbeskrivelse.txt; docs/tender-reference/extracted/KK Tender tool.txt; docs/tender-reference/extracted/NND/02.01-Tieto-Bilag 2-Vedlegg-Leverandørens utfyllende svar til kravtabell.txt</t>
        </is>
      </c>
      <c r="AD340" t="inlineStr">
        <is>
          <t>Johan: Udfyld tool-rating (O) og evidens; gennemgå AI-kladde.</t>
        </is>
      </c>
      <c r="AE340" t="inlineStr"/>
      <c r="AF340" t="inlineStr">
        <is>
          <t>Draft</t>
        </is>
      </c>
      <c r="AG340" t="inlineStr">
        <is>
          <t>uim-esdh-full-2026-07-07</t>
        </is>
      </c>
    </row>
    <row r="341" ht="208" customHeight="1">
      <c r="A341" s="35" t="n">
        <v>319</v>
      </c>
      <c r="B341" s="3" t="inlineStr">
        <is>
          <t>B1.H-12</t>
        </is>
      </c>
      <c r="C341" s="3" t="inlineStr">
        <is>
          <t>Bilag 1.h Servicemål</t>
        </is>
      </c>
      <c r="D341" s="3" t="inlineStr">
        <is>
          <t>2.4.2</t>
        </is>
      </c>
      <c r="E341" s="3" t="inlineStr">
        <is>
          <t>Måling af svartider</t>
        </is>
      </c>
      <c r="F341" s="35" t="inlineStr">
        <is>
          <t>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t>
        </is>
      </c>
      <c r="G341" s="3" t="inlineStr">
        <is>
          <t>Mindstekrav</t>
        </is>
      </c>
      <c r="H341" s="35">
        <f>IF(G341="Evalueringskrav","Answer",(IF(G341="Krav","Check",(IF(G341="Mindstekrav","Verify","")))))</f>
        <v/>
      </c>
      <c r="I341" s="35" t="inlineStr">
        <is>
          <t>Nej</t>
        </is>
      </c>
      <c r="J341" s="35" t="n"/>
      <c r="K341" s="47" t="n"/>
      <c r="L341" s="35" t="inlineStr">
        <is>
          <t>Johan</t>
        </is>
      </c>
      <c r="M341" s="35" t="n"/>
      <c r="N341" s="35" t="n"/>
      <c r="O341" s="35" t="n"/>
      <c r="P341" s="35" t="n"/>
      <c r="Q341" s="35" t="n"/>
      <c r="R341" s="35" t="n"/>
      <c r="S341" s="35" t="n"/>
      <c r="T341" s="35" t="n"/>
      <c r="U341" s="35" t="inlineStr">
        <is>
          <t>Not Started</t>
        </is>
      </c>
      <c r="V341" s="37">
        <f>IF(U341="Not Started",0%,IF(U341="Started",50%,IF(U341="Ready for review",70%,IF(U341="Reviewed - Content",80%,IF(U341="Reviewed - Format",90%,IF(U341="Done",100%,""))))))</f>
        <v/>
      </c>
      <c r="W341" t="inlineStr">
        <is>
          <t>2026-07-07</t>
        </is>
      </c>
      <c r="X341" t="inlineStr">
        <is>
          <t>Cursor / tender-response (batch)</t>
        </is>
      </c>
      <c r="Y341" t="inlineStr">
        <is>
          <t>Clarify</t>
        </is>
      </c>
      <c r="Z341" t="inlineStr">
        <is>
          <t>Verified</t>
        </is>
      </c>
      <c r="AA341" t="inlineStr">
        <is>
          <t>Verify: Måling af svartider — kræver produkt-/team-afklaring (ingen tool-rating).</t>
        </is>
      </c>
      <c r="AB341" t="inlineStr"/>
      <c r="AC341"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41" t="inlineStr">
        <is>
          <t>Johan: Udfyld tool-rating (O) og evidens; gennemgå AI-kladde.</t>
        </is>
      </c>
      <c r="AE341" t="inlineStr"/>
      <c r="AF341" t="inlineStr">
        <is>
          <t>Draft</t>
        </is>
      </c>
      <c r="AG341" t="inlineStr">
        <is>
          <t>uim-esdh-full-2026-07-07</t>
        </is>
      </c>
    </row>
    <row r="342" ht="64" customHeight="1">
      <c r="A342" s="35" t="n">
        <v>319</v>
      </c>
      <c r="B342" s="3" t="inlineStr">
        <is>
          <t>B1.H-13</t>
        </is>
      </c>
      <c r="C342" s="3" t="inlineStr">
        <is>
          <t>Bilag 1.h Servicemål</t>
        </is>
      </c>
      <c r="D342" s="3" t="inlineStr">
        <is>
          <t>2.4.3</t>
        </is>
      </c>
      <c r="E342" s="3" t="inlineStr">
        <is>
          <t>Håndtering af mangelfulde svartider</t>
        </is>
      </c>
      <c r="F342" s="35" t="inlineStr">
        <is>
          <t>Håndtering af mangelfulde svartider Leverandøren er forpligtet til, sammen med driftsleverandøren, at deltage aktivt i fejlsøgning og udbedring, hvis svartiderne ikke overholder kravene i Tabel 2 - Svartider. 6</t>
        </is>
      </c>
      <c r="G342" s="3" t="inlineStr">
        <is>
          <t>Mindstekrav</t>
        </is>
      </c>
      <c r="H342" s="35">
        <f>IF(G342="Evalueringskrav","Answer",(IF(G342="Krav","Check",(IF(G342="Mindstekrav","Verify","")))))</f>
        <v/>
      </c>
      <c r="I342" s="35" t="inlineStr">
        <is>
          <t>Nej</t>
        </is>
      </c>
      <c r="J342" s="35" t="n"/>
      <c r="K342" s="47" t="n"/>
      <c r="L342" s="35" t="inlineStr">
        <is>
          <t>Johan</t>
        </is>
      </c>
      <c r="M342" s="35" t="n"/>
      <c r="N342" s="35" t="n"/>
      <c r="O342" s="35" t="n"/>
      <c r="P342" s="35" t="n"/>
      <c r="Q342" s="35" t="n"/>
      <c r="R342" s="35" t="n"/>
      <c r="S342" s="35" t="n"/>
      <c r="T342" s="35" t="n"/>
      <c r="U342" s="35" t="inlineStr">
        <is>
          <t>Not Started</t>
        </is>
      </c>
      <c r="V342" s="37">
        <f>IF(U342="Not Started",0%,IF(U342="Started",50%,IF(U342="Ready for review",70%,IF(U342="Reviewed - Content",80%,IF(U342="Reviewed - Format",90%,IF(U342="Done",100%,""))))))</f>
        <v/>
      </c>
      <c r="W342" t="inlineStr">
        <is>
          <t>2026-07-07</t>
        </is>
      </c>
      <c r="X342" t="inlineStr">
        <is>
          <t>Cursor / tender-response (batch)</t>
        </is>
      </c>
      <c r="Y342" t="inlineStr">
        <is>
          <t>Clarify</t>
        </is>
      </c>
      <c r="Z342" t="inlineStr">
        <is>
          <t>Verified</t>
        </is>
      </c>
      <c r="AA342" t="inlineStr">
        <is>
          <t>Verify: Håndtering af mangelfulde svartider — kræver produkt-/team-afklaring (ingen tool-rating).</t>
        </is>
      </c>
      <c r="AB342" t="inlineStr"/>
      <c r="AC342" t="inlineStr">
        <is>
          <t>docs/tender-reference/extracted/Nationalbanken/Bilag 3.i Leverandørens Løsningsbeskrivelse.txt; docs/tender-reference/extracted/Nationalbanken/Underbilag 6B - Testplan og Leverandørens prøveprincipper, metoder og -værktøjer (1).txt; docs/product/RFP_Leverandørens_svar_utdrag.txt</t>
        </is>
      </c>
      <c r="AD342" t="inlineStr">
        <is>
          <t>Johan: Udfyld tool-rating (O) og evidens; gennemgå AI-kladde.</t>
        </is>
      </c>
      <c r="AE342" t="inlineStr"/>
      <c r="AF342" t="inlineStr">
        <is>
          <t>Draft</t>
        </is>
      </c>
      <c r="AG342" t="inlineStr">
        <is>
          <t>uim-esdh-full-2026-07-07</t>
        </is>
      </c>
    </row>
    <row r="343" ht="112" customHeight="1">
      <c r="A343" s="35" t="n">
        <v>319</v>
      </c>
      <c r="B343" s="3" t="inlineStr">
        <is>
          <t>B1.H-14</t>
        </is>
      </c>
      <c r="C343" s="3" t="inlineStr">
        <is>
          <t>Bilag 1.h Servicemål</t>
        </is>
      </c>
      <c r="D343" s="3" t="inlineStr">
        <is>
          <t>2.4.4</t>
        </is>
      </c>
      <c r="E343" s="3" t="inlineStr">
        <is>
          <t>Proaktiv ESDH-løsningsovervågning</t>
        </is>
      </c>
      <c r="F343" s="35" t="inlineStr">
        <is>
          <t>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t>
        </is>
      </c>
      <c r="G343" s="3" t="inlineStr">
        <is>
          <t>Mindstekrav</t>
        </is>
      </c>
      <c r="H343" s="35">
        <f>IF(G343="Evalueringskrav","Answer",(IF(G343="Krav","Check",(IF(G343="Mindstekrav","Verify","")))))</f>
        <v/>
      </c>
      <c r="I343" s="35" t="inlineStr">
        <is>
          <t>Nej</t>
        </is>
      </c>
      <c r="J343" s="35" t="n"/>
      <c r="K343" s="47" t="n"/>
      <c r="L343" s="35" t="inlineStr">
        <is>
          <t>Johan</t>
        </is>
      </c>
      <c r="M343" s="35" t="n"/>
      <c r="N343" s="35" t="n"/>
      <c r="O343" s="35" t="n"/>
      <c r="P343" s="35" t="n"/>
      <c r="Q343" s="35" t="n"/>
      <c r="R343" s="35" t="n"/>
      <c r="S343" s="35" t="n"/>
      <c r="T343" s="35" t="n"/>
      <c r="U343" s="35" t="inlineStr">
        <is>
          <t>Not Started</t>
        </is>
      </c>
      <c r="V343" s="37">
        <f>IF(U343="Not Started",0%,IF(U343="Started",50%,IF(U343="Ready for review",70%,IF(U343="Reviewed - Content",80%,IF(U343="Reviewed - Format",90%,IF(U343="Done",100%,""))))))</f>
        <v/>
      </c>
      <c r="W343" t="inlineStr">
        <is>
          <t>2026-07-07</t>
        </is>
      </c>
      <c r="X343" t="inlineStr">
        <is>
          <t>Cursor / tender-response (batch)</t>
        </is>
      </c>
      <c r="Y343" t="inlineStr">
        <is>
          <t>Clarify</t>
        </is>
      </c>
      <c r="Z343" t="inlineStr">
        <is>
          <t>Verified</t>
        </is>
      </c>
      <c r="AA343" t="inlineStr">
        <is>
          <t>Verify: Proaktiv ESDH-løsningsovervågning — kræver produkt-/team-afklaring (ingen tool-rating).</t>
        </is>
      </c>
      <c r="AB343" t="inlineStr"/>
      <c r="AC34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343" t="inlineStr">
        <is>
          <t>Johan: Udfyld tool-rating (O) og evidens; gennemgå AI-kladde.</t>
        </is>
      </c>
      <c r="AE343" t="inlineStr"/>
      <c r="AF343" t="inlineStr">
        <is>
          <t>Draft</t>
        </is>
      </c>
      <c r="AG343" t="inlineStr">
        <is>
          <t>uim-esdh-full-2026-07-07</t>
        </is>
      </c>
    </row>
    <row r="344" ht="128" customHeight="1">
      <c r="A344" s="35" t="n">
        <v>319</v>
      </c>
      <c r="B344" s="3" t="inlineStr">
        <is>
          <t>B1.H-15</t>
        </is>
      </c>
      <c r="C344" s="3" t="inlineStr">
        <is>
          <t>Bilag 1.h Servicemål</t>
        </is>
      </c>
      <c r="D344" s="3" t="inlineStr">
        <is>
          <t>2.4.5</t>
        </is>
      </c>
      <c r="E344" s="3" t="inlineStr">
        <is>
          <t>Svartider til og fra ESDH via API</t>
        </is>
      </c>
      <c r="F344" s="35" t="inlineStr">
        <is>
          <t>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t>
        </is>
      </c>
      <c r="G344" s="3" t="inlineStr">
        <is>
          <t>Mindstekrav</t>
        </is>
      </c>
      <c r="H344" s="35">
        <f>IF(G344="Evalueringskrav","Answer",(IF(G344="Krav","Check",(IF(G344="Mindstekrav","Verify","")))))</f>
        <v/>
      </c>
      <c r="I344" s="35" t="inlineStr">
        <is>
          <t>Nej</t>
        </is>
      </c>
      <c r="J344" s="35" t="n"/>
      <c r="K344" s="47" t="n"/>
      <c r="L344" s="35" t="inlineStr">
        <is>
          <t>Johan</t>
        </is>
      </c>
      <c r="M344" s="35" t="n"/>
      <c r="N344" s="35" t="n"/>
      <c r="O344" s="35" t="n"/>
      <c r="P344" s="35" t="n"/>
      <c r="Q344" s="35" t="n"/>
      <c r="R344" s="35" t="n"/>
      <c r="S344" s="35" t="n"/>
      <c r="T344" s="35" t="n"/>
      <c r="U344" s="35" t="inlineStr">
        <is>
          <t>Not Started</t>
        </is>
      </c>
      <c r="V344" s="37">
        <f>IF(U344="Not Started",0%,IF(U344="Started",50%,IF(U344="Ready for review",70%,IF(U344="Reviewed - Content",80%,IF(U344="Reviewed - Format",90%,IF(U344="Done",100%,""))))))</f>
        <v/>
      </c>
      <c r="W344" t="inlineStr">
        <is>
          <t>2026-07-07</t>
        </is>
      </c>
      <c r="X344" t="inlineStr">
        <is>
          <t>Cursor / tender-response (batch)</t>
        </is>
      </c>
      <c r="Y344" t="inlineStr">
        <is>
          <t>Clarify</t>
        </is>
      </c>
      <c r="Z344" t="inlineStr">
        <is>
          <t>Verified</t>
        </is>
      </c>
      <c r="AA344" t="inlineStr">
        <is>
          <t>Verify: Svartider til og fra ESDH via API — kræver produkt-/team-afklaring (ingen tool-rating).</t>
        </is>
      </c>
      <c r="AB344" t="inlineStr"/>
      <c r="AC344" t="inlineStr">
        <is>
          <t>docs/tender-reference/extracted/KK Tender tool.txt; docs/tender-reference/extracted/Nationalbanken/Bilag 3.i Leverandørens Løsningsbeskrivelse.txt; docs/tender-reference/extracted/NND/02.01-Tieto-Bilag 2-Vedlegg-Leverandørens utfyllende svar til kravtabell.txt</t>
        </is>
      </c>
      <c r="AD344" t="inlineStr">
        <is>
          <t>Johan: Udfyld tool-rating (O) og evidens; gennemgå AI-kladde.</t>
        </is>
      </c>
      <c r="AE344" t="inlineStr"/>
      <c r="AF344" t="inlineStr">
        <is>
          <t>Draft</t>
        </is>
      </c>
      <c r="AG344" t="inlineStr">
        <is>
          <t>uim-esdh-full-2026-07-07</t>
        </is>
      </c>
    </row>
    <row r="345" ht="409.5" customHeight="1">
      <c r="A345" s="35" t="n">
        <v>319</v>
      </c>
      <c r="B345" s="3" t="inlineStr">
        <is>
          <t>B1.H-16</t>
        </is>
      </c>
      <c r="C345" s="3" t="inlineStr">
        <is>
          <t>Bilag 1.h Servicemål</t>
        </is>
      </c>
      <c r="D345" s="3" t="inlineStr">
        <is>
          <t>2.5</t>
        </is>
      </c>
      <c r="E345" s="3" t="inlineStr">
        <is>
          <t>Servicemål for support ved incidents i ESDH-løsningen</t>
        </is>
      </c>
      <c r="F345" s="35" t="inlineStr">
        <is>
          <t>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t>
        </is>
      </c>
      <c r="G345" s="3" t="inlineStr">
        <is>
          <t>Mindstekrav</t>
        </is>
      </c>
      <c r="H345" s="35">
        <f>IF(G345="Evalueringskrav","Answer",(IF(G345="Krav","Check",(IF(G345="Mindstekrav","Verify","")))))</f>
        <v/>
      </c>
      <c r="I345" s="35" t="inlineStr">
        <is>
          <t>Nej</t>
        </is>
      </c>
      <c r="J345" s="35" t="n"/>
      <c r="K345" s="47" t="n"/>
      <c r="L345" s="35" t="inlineStr">
        <is>
          <t>Johan</t>
        </is>
      </c>
      <c r="M345" s="35" t="n"/>
      <c r="N345" s="35" t="n"/>
      <c r="O345" s="35" t="n"/>
      <c r="P345" s="35" t="n"/>
      <c r="Q345" s="35" t="n"/>
      <c r="R345" s="35" t="n"/>
      <c r="S345" s="35" t="n"/>
      <c r="T345" s="35" t="n"/>
      <c r="U345" s="35" t="inlineStr">
        <is>
          <t>Not Started</t>
        </is>
      </c>
      <c r="V345" s="37">
        <f>IF(U345="Not Started",0%,IF(U345="Started",50%,IF(U345="Ready for review",70%,IF(U345="Reviewed - Content",80%,IF(U345="Reviewed - Format",90%,IF(U345="Done",100%,""))))))</f>
        <v/>
      </c>
      <c r="W345" t="inlineStr">
        <is>
          <t>2026-07-07</t>
        </is>
      </c>
      <c r="X345" t="inlineStr">
        <is>
          <t>Cursor / tender-response (batch)</t>
        </is>
      </c>
      <c r="Y345" t="inlineStr">
        <is>
          <t>Clarify</t>
        </is>
      </c>
      <c r="Z345" t="inlineStr">
        <is>
          <t>Verified</t>
        </is>
      </c>
      <c r="AA345" t="inlineStr">
        <is>
          <t>Verify: Servicemål for support ved incidents i ESDH-løsningen — kræver produkt-/team-afklaring (ingen tool-rating).</t>
        </is>
      </c>
      <c r="AB345" t="inlineStr"/>
      <c r="AC345" t="inlineStr">
        <is>
          <t>docs/tender-reference/extracted/KK Tender tool.txt; docs/tender-reference/extracted/Nationalbanken/Bilag 3.i Leverandørens Løsningsbeskrivelse.txt; docs/tender-reference/extracted/Nationalbanken/Bilag 1.i Leverandørens Løsningsbeskrivelse.txt</t>
        </is>
      </c>
      <c r="AD345" t="inlineStr">
        <is>
          <t>Johan: Udfyld tool-rating (O) og evidens; gennemgå AI-kladde.</t>
        </is>
      </c>
      <c r="AE345" t="inlineStr"/>
      <c r="AF345" t="inlineStr">
        <is>
          <t>Draft</t>
        </is>
      </c>
      <c r="AG345" t="inlineStr">
        <is>
          <t>uim-esdh-full-2026-07-07</t>
        </is>
      </c>
    </row>
    <row r="346" ht="409.5" customHeight="1">
      <c r="A346" s="35" t="n">
        <v>319</v>
      </c>
      <c r="B346" s="3" t="inlineStr">
        <is>
          <t>B1.H-17</t>
        </is>
      </c>
      <c r="C346" s="3" t="inlineStr">
        <is>
          <t>Bilag 1.h Servicemål</t>
        </is>
      </c>
      <c r="D346" s="3" t="inlineStr">
        <is>
          <t>2.6</t>
        </is>
      </c>
      <c r="E346" s="3" t="inlineStr">
        <is>
          <t>Incidentkategorier</t>
        </is>
      </c>
      <c r="F346" s="35" t="inlineStr">
        <is>
          <t>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t>
        </is>
      </c>
      <c r="G346" s="3" t="inlineStr">
        <is>
          <t>Mindstekrav</t>
        </is>
      </c>
      <c r="H346" s="35">
        <f>IF(G346="Evalueringskrav","Answer",(IF(G346="Krav","Check",(IF(G346="Mindstekrav","Verify","")))))</f>
        <v/>
      </c>
      <c r="I346" s="35" t="inlineStr">
        <is>
          <t>Nej</t>
        </is>
      </c>
      <c r="J346" s="35" t="n"/>
      <c r="K346" s="47" t="n"/>
      <c r="L346" s="35" t="inlineStr">
        <is>
          <t>Johan</t>
        </is>
      </c>
      <c r="M346" s="35" t="n"/>
      <c r="N346" s="35" t="n"/>
      <c r="O346" s="35" t="n"/>
      <c r="P346" s="35" t="n"/>
      <c r="Q346" s="35" t="n"/>
      <c r="R346" s="35" t="n"/>
      <c r="S346" s="35" t="n"/>
      <c r="T346" s="35" t="n"/>
      <c r="U346" s="35" t="inlineStr">
        <is>
          <t>Not Started</t>
        </is>
      </c>
      <c r="V346" s="37">
        <f>IF(U346="Not Started",0%,IF(U346="Started",50%,IF(U346="Ready for review",70%,IF(U346="Reviewed - Content",80%,IF(U346="Reviewed - Format",90%,IF(U346="Done",100%,""))))))</f>
        <v/>
      </c>
      <c r="W346" t="inlineStr">
        <is>
          <t>2026-07-07</t>
        </is>
      </c>
      <c r="X346" t="inlineStr">
        <is>
          <t>Cursor / tender-response (batch)</t>
        </is>
      </c>
      <c r="Y346" t="inlineStr">
        <is>
          <t>Clarify</t>
        </is>
      </c>
      <c r="Z346" t="inlineStr">
        <is>
          <t>Verified</t>
        </is>
      </c>
      <c r="AA346" t="inlineStr">
        <is>
          <t>Verify: Incidentkategorier — kræver produkt-/team-afklaring (ingen tool-rating).</t>
        </is>
      </c>
      <c r="AB346" t="inlineStr"/>
      <c r="AC346" t="inlineStr">
        <is>
          <t>docs/tender-reference/extracted/Nationalbanken/Bilag 3.i Leverandørens Løsningsbeskrivelse.txt; docs/tender-reference/extracted/KK Tender tool.txt; docs/product/RFP_Leverandørens_svar_utdrag.txt</t>
        </is>
      </c>
      <c r="AD346" t="inlineStr">
        <is>
          <t>Johan: Udfyld tool-rating (O) og evidens; gennemgå AI-kladde.</t>
        </is>
      </c>
      <c r="AE346" t="inlineStr"/>
      <c r="AF346" t="inlineStr">
        <is>
          <t>Draft</t>
        </is>
      </c>
      <c r="AG346" t="inlineStr">
        <is>
          <t>uim-esdh-full-2026-07-07</t>
        </is>
      </c>
    </row>
    <row r="347" ht="409.5" customHeight="1">
      <c r="A347" s="35" t="n">
        <v>319</v>
      </c>
      <c r="B347" s="3" t="inlineStr">
        <is>
          <t>B1.H-18</t>
        </is>
      </c>
      <c r="C347" s="3" t="inlineStr">
        <is>
          <t>Bilag 1.h Servicemål</t>
        </is>
      </c>
      <c r="D347" s="3" t="inlineStr">
        <is>
          <t>2.7</t>
        </is>
      </c>
      <c r="E347" s="3" t="inlineStr">
        <is>
          <t>Servicemål</t>
        </is>
      </c>
      <c r="F347" s="35" t="inlineStr">
        <is>
          <t>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t>
        </is>
      </c>
      <c r="G347" s="3" t="inlineStr">
        <is>
          <t>Mindstekrav</t>
        </is>
      </c>
      <c r="H347" s="35">
        <f>IF(G347="Evalueringskrav","Answer",(IF(G347="Krav","Check",(IF(G347="Mindstekrav","Verify","")))))</f>
        <v/>
      </c>
      <c r="I347" s="35" t="inlineStr">
        <is>
          <t>Nej</t>
        </is>
      </c>
      <c r="J347" s="35" t="n"/>
      <c r="K347" s="47" t="n"/>
      <c r="L347" s="35" t="inlineStr">
        <is>
          <t>Johan</t>
        </is>
      </c>
      <c r="M347" s="35" t="n"/>
      <c r="N347" s="35" t="n"/>
      <c r="O347" s="35" t="n"/>
      <c r="P347" s="35" t="n"/>
      <c r="Q347" s="35" t="n"/>
      <c r="R347" s="35" t="n"/>
      <c r="S347" s="35" t="n"/>
      <c r="T347" s="35" t="n"/>
      <c r="U347" s="35" t="inlineStr">
        <is>
          <t>Not Started</t>
        </is>
      </c>
      <c r="V347" s="37">
        <f>IF(U347="Not Started",0%,IF(U347="Started",50%,IF(U347="Ready for review",70%,IF(U347="Reviewed - Content",80%,IF(U347="Reviewed - Format",90%,IF(U347="Done",100%,""))))))</f>
        <v/>
      </c>
      <c r="W347" t="inlineStr">
        <is>
          <t>2026-07-07</t>
        </is>
      </c>
      <c r="X347" t="inlineStr">
        <is>
          <t>Cursor / tender-response (batch)</t>
        </is>
      </c>
      <c r="Y347" t="inlineStr">
        <is>
          <t>Clarify</t>
        </is>
      </c>
      <c r="Z347" t="inlineStr">
        <is>
          <t>Verified</t>
        </is>
      </c>
      <c r="AA347" t="inlineStr">
        <is>
          <t>Verify: Servicemål — kræver produkt-/team-afklaring (ingen tool-rating).</t>
        </is>
      </c>
      <c r="AB347" t="inlineStr"/>
      <c r="AC347" t="inlineStr">
        <is>
          <t>docs/tender-reference/extracted/KK Tender tool.txt; docs/tender-reference/extracted/Nationalbanken/Bilag 3.i Leverandørens Løsningsbeskrivelse.txt; docs/tender-reference/extracted/KUM-SLKS/Bilag 10 - Producentens standardvilkår.txt</t>
        </is>
      </c>
      <c r="AD347" t="inlineStr">
        <is>
          <t>Johan: Udfyld tool-rating (O) og evidens; gennemgå AI-kladde.</t>
        </is>
      </c>
      <c r="AE347" t="inlineStr"/>
      <c r="AF347" t="inlineStr">
        <is>
          <t>Draft</t>
        </is>
      </c>
      <c r="AG347" t="inlineStr">
        <is>
          <t>uim-esdh-full-2026-07-07</t>
        </is>
      </c>
    </row>
    <row r="348" ht="192" customHeight="1">
      <c r="A348" s="35" t="n">
        <v>319</v>
      </c>
      <c r="B348" s="3" t="inlineStr">
        <is>
          <t>B1.J-1</t>
        </is>
      </c>
      <c r="C348" s="3" t="inlineStr">
        <is>
          <t>Bilag 1.j Ændringshåndtering</t>
        </is>
      </c>
      <c r="D348" s="3" t="inlineStr">
        <is>
          <t>1.1</t>
        </is>
      </c>
      <c r="E348" s="3" t="inlineStr">
        <is>
          <t>Formål</t>
        </is>
      </c>
      <c r="F348" s="35" t="inlineStr">
        <is>
          <t>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t>
        </is>
      </c>
      <c r="G348" s="3" t="inlineStr">
        <is>
          <t>Mindstekrav</t>
        </is>
      </c>
      <c r="H348" s="35">
        <f>IF(G348="Evalueringskrav","Answer",(IF(G348="Krav","Check",(IF(G348="Mindstekrav","Verify","")))))</f>
        <v/>
      </c>
      <c r="I348" s="35" t="inlineStr">
        <is>
          <t>Nej</t>
        </is>
      </c>
      <c r="J348" s="35" t="n"/>
      <c r="K348" s="47" t="n"/>
      <c r="L348" s="35" t="inlineStr">
        <is>
          <t>Cristina</t>
        </is>
      </c>
      <c r="M348" s="35" t="n"/>
      <c r="N348" s="35" t="n"/>
      <c r="O348" s="35" t="n"/>
      <c r="P348" s="35" t="n"/>
      <c r="Q348" s="35" t="n"/>
      <c r="R348" s="35" t="n"/>
      <c r="S348" s="35" t="n"/>
      <c r="T348" s="35" t="n"/>
      <c r="U348" s="35" t="inlineStr">
        <is>
          <t>Not Started</t>
        </is>
      </c>
      <c r="V348" s="37">
        <f>IF(U348="Not Started",0%,IF(U348="Started",50%,IF(U348="Ready for review",70%,IF(U348="Reviewed - Content",80%,IF(U348="Reviewed - Format",90%,IF(U348="Done",100%,""))))))</f>
        <v/>
      </c>
      <c r="W348" t="inlineStr">
        <is>
          <t>2026-07-07</t>
        </is>
      </c>
      <c r="X348" t="inlineStr">
        <is>
          <t>Cursor / tender-response (batch)</t>
        </is>
      </c>
      <c r="Y348" t="inlineStr">
        <is>
          <t>Clarify</t>
        </is>
      </c>
      <c r="Z348" t="inlineStr">
        <is>
          <t>Verified</t>
        </is>
      </c>
      <c r="AA348" t="inlineStr">
        <is>
          <t>Verify: Formål — kræver produkt-/team-afklaring (ingen tool-rating).</t>
        </is>
      </c>
      <c r="AB348" t="inlineStr"/>
      <c r="AC348" t="inlineStr">
        <is>
          <t>docs/tender-reference/extracted/KK Tender tool.txt; docs/tender-reference/extracted/Nationalbanken/Bilag 3.i Leverandørens Løsningsbeskrivelse.txt; docs/tender-reference/extracted/KUM-SLKS/Bilag 1 - Tidsplan.txt</t>
        </is>
      </c>
      <c r="AD348" t="inlineStr">
        <is>
          <t>Cristina: Udfyld tool-rating (O) og evidens; gennemgå AI-kladde.</t>
        </is>
      </c>
      <c r="AE348" t="inlineStr"/>
      <c r="AF348" t="inlineStr">
        <is>
          <t>Draft</t>
        </is>
      </c>
      <c r="AG348" t="inlineStr">
        <is>
          <t>uim-esdh-full-2026-07-07</t>
        </is>
      </c>
    </row>
    <row r="349" ht="409.5" customHeight="1">
      <c r="A349" s="35" t="n">
        <v>319</v>
      </c>
      <c r="B349" s="3" t="inlineStr">
        <is>
          <t>B1.J-2</t>
        </is>
      </c>
      <c r="C349" s="3" t="inlineStr">
        <is>
          <t>Bilag 1.j Ændringshåndtering</t>
        </is>
      </c>
      <c r="D349" s="3" t="inlineStr">
        <is>
          <t>2.1</t>
        </is>
      </c>
      <c r="E349" s="3" t="inlineStr">
        <is>
          <t>Løsningsforslag</t>
        </is>
      </c>
      <c r="F349" s="35" t="inlineStr">
        <is>
          <t>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t>
        </is>
      </c>
      <c r="G349" s="3" t="inlineStr">
        <is>
          <t>Mindstekrav</t>
        </is>
      </c>
      <c r="H349" s="35">
        <f>IF(G349="Evalueringskrav","Answer",(IF(G349="Krav","Check",(IF(G349="Mindstekrav","Verify","")))))</f>
        <v/>
      </c>
      <c r="I349" s="35" t="inlineStr">
        <is>
          <t>Nej</t>
        </is>
      </c>
      <c r="J349" s="35" t="n"/>
      <c r="K349" s="47" t="n"/>
      <c r="L349" s="35" t="inlineStr">
        <is>
          <t>Cristina</t>
        </is>
      </c>
      <c r="M349" s="35" t="n"/>
      <c r="N349" s="35" t="n"/>
      <c r="O349" s="35" t="n"/>
      <c r="P349" s="35" t="n"/>
      <c r="Q349" s="35" t="n"/>
      <c r="R349" s="35" t="n"/>
      <c r="S349" s="35" t="n"/>
      <c r="T349" s="35" t="n"/>
      <c r="U349" s="35" t="inlineStr">
        <is>
          <t>Not Started</t>
        </is>
      </c>
      <c r="V349" s="37">
        <f>IF(U349="Not Started",0%,IF(U349="Started",50%,IF(U349="Ready for review",70%,IF(U349="Reviewed - Content",80%,IF(U349="Reviewed - Format",90%,IF(U349="Done",100%,""))))))</f>
        <v/>
      </c>
      <c r="W349" t="inlineStr">
        <is>
          <t>2026-07-07</t>
        </is>
      </c>
      <c r="X349" t="inlineStr">
        <is>
          <t>Cursor / tender-response (batch)</t>
        </is>
      </c>
      <c r="Y349" t="inlineStr">
        <is>
          <t>Clarify</t>
        </is>
      </c>
      <c r="Z349" t="inlineStr">
        <is>
          <t>Verified</t>
        </is>
      </c>
      <c r="AA349" t="inlineStr">
        <is>
          <t>Verify: Løsningsforslag — kræver produkt-/team-afklaring (ingen tool-rating).</t>
        </is>
      </c>
      <c r="AB349" t="inlineStr"/>
      <c r="AC34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49" t="inlineStr">
        <is>
          <t>Cristina: Udfyld tool-rating (O) og evidens; gennemgå AI-kladde.</t>
        </is>
      </c>
      <c r="AE349" t="inlineStr"/>
      <c r="AF349" t="inlineStr">
        <is>
          <t>Draft</t>
        </is>
      </c>
      <c r="AG349" t="inlineStr">
        <is>
          <t>uim-esdh-full-2026-07-07</t>
        </is>
      </c>
    </row>
    <row r="350" ht="256" customHeight="1">
      <c r="A350" s="35" t="n">
        <v>319</v>
      </c>
      <c r="B350" s="3" t="inlineStr">
        <is>
          <t>B1.J-3</t>
        </is>
      </c>
      <c r="C350" s="3" t="inlineStr">
        <is>
          <t>Bilag 1.j Ændringshåndtering</t>
        </is>
      </c>
      <c r="D350" s="3" t="inlineStr">
        <is>
          <t>2.2</t>
        </is>
      </c>
      <c r="E350" s="3" t="inlineStr">
        <is>
          <t>Godkendelse og levering</t>
        </is>
      </c>
      <c r="F350" s="35" t="inlineStr">
        <is>
          <t>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t>
        </is>
      </c>
      <c r="G350" s="3" t="inlineStr">
        <is>
          <t>Mindstekrav</t>
        </is>
      </c>
      <c r="H350" s="35">
        <f>IF(G350="Evalueringskrav","Answer",(IF(G350="Krav","Check",(IF(G350="Mindstekrav","Verify","")))))</f>
        <v/>
      </c>
      <c r="I350" s="35" t="inlineStr">
        <is>
          <t>Nej</t>
        </is>
      </c>
      <c r="J350" s="35" t="n"/>
      <c r="K350" s="47" t="n"/>
      <c r="L350" s="35" t="inlineStr">
        <is>
          <t>Cristina</t>
        </is>
      </c>
      <c r="M350" s="35" t="n"/>
      <c r="N350" s="35" t="n"/>
      <c r="O350" s="35" t="n"/>
      <c r="P350" s="35" t="n"/>
      <c r="Q350" s="35" t="n"/>
      <c r="R350" s="35" t="n"/>
      <c r="S350" s="35" t="n"/>
      <c r="T350" s="35" t="n"/>
      <c r="U350" s="35" t="inlineStr">
        <is>
          <t>Not Started</t>
        </is>
      </c>
      <c r="V350" s="37">
        <f>IF(U350="Not Started",0%,IF(U350="Started",50%,IF(U350="Ready for review",70%,IF(U350="Reviewed - Content",80%,IF(U350="Reviewed - Format",90%,IF(U350="Done",100%,""))))))</f>
        <v/>
      </c>
      <c r="W350" t="inlineStr">
        <is>
          <t>2026-07-07</t>
        </is>
      </c>
      <c r="X350" t="inlineStr">
        <is>
          <t>Cursor / tender-response (batch)</t>
        </is>
      </c>
      <c r="Y350" t="inlineStr">
        <is>
          <t>Clarify</t>
        </is>
      </c>
      <c r="Z350" t="inlineStr">
        <is>
          <t>Verified</t>
        </is>
      </c>
      <c r="AA350" t="inlineStr">
        <is>
          <t>Verify: Godkendelse og levering — kræver produkt-/team-afklaring (ingen tool-rating).</t>
        </is>
      </c>
      <c r="AB350" t="inlineStr"/>
      <c r="AC350" t="inlineStr">
        <is>
          <t>docs/tender-reference/extracted/KK Tender tool.txt; docs/tender-reference/extracted/Nationalbanken/Bilag 3.i Leverandørens Løsningsbeskrivelse.txt; docs/tender-reference/extracted/KUM-SLKS/Bilag 3 - Kravspecifikation.txt</t>
        </is>
      </c>
      <c r="AD350" t="inlineStr">
        <is>
          <t>Cristina: Udfyld tool-rating (O) og evidens; gennemgå AI-kladde.</t>
        </is>
      </c>
      <c r="AE350" t="inlineStr"/>
      <c r="AF350" t="inlineStr">
        <is>
          <t>Draft</t>
        </is>
      </c>
      <c r="AG350" t="inlineStr">
        <is>
          <t>uim-esdh-full-2026-07-07</t>
        </is>
      </c>
    </row>
    <row r="351" ht="256" customHeight="1">
      <c r="A351" s="35" t="n">
        <v>319</v>
      </c>
      <c r="B351" s="3" t="inlineStr">
        <is>
          <t>B1.J-4</t>
        </is>
      </c>
      <c r="C351" s="3" t="inlineStr">
        <is>
          <t>Bilag 1.j Ændringshåndtering</t>
        </is>
      </c>
      <c r="D351" s="3" t="inlineStr">
        <is>
          <t>2.3</t>
        </is>
      </c>
      <c r="E351" s="3" t="inlineStr">
        <is>
          <t>Ændringsstyring</t>
        </is>
      </c>
      <c r="F351" s="35" t="inlineStr">
        <is>
          <t>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t>
        </is>
      </c>
      <c r="G351" s="3" t="inlineStr">
        <is>
          <t>Mindstekrav</t>
        </is>
      </c>
      <c r="H351" s="35">
        <f>IF(G351="Evalueringskrav","Answer",(IF(G351="Krav","Check",(IF(G351="Mindstekrav","Verify","")))))</f>
        <v/>
      </c>
      <c r="I351" s="35" t="inlineStr">
        <is>
          <t>Nej</t>
        </is>
      </c>
      <c r="J351" s="35" t="n"/>
      <c r="K351" s="47" t="n"/>
      <c r="L351" s="35" t="inlineStr">
        <is>
          <t>Cristina</t>
        </is>
      </c>
      <c r="M351" s="35" t="n"/>
      <c r="N351" s="35" t="n"/>
      <c r="O351" s="35" t="n"/>
      <c r="P351" s="35" t="n"/>
      <c r="Q351" s="35" t="n"/>
      <c r="R351" s="35" t="n"/>
      <c r="S351" s="35" t="n"/>
      <c r="T351" s="35" t="n"/>
      <c r="U351" s="35" t="inlineStr">
        <is>
          <t>Not Started</t>
        </is>
      </c>
      <c r="V351" s="37">
        <f>IF(U351="Not Started",0%,IF(U351="Started",50%,IF(U351="Ready for review",70%,IF(U351="Reviewed - Content",80%,IF(U351="Reviewed - Format",90%,IF(U351="Done",100%,""))))))</f>
        <v/>
      </c>
      <c r="W351" t="inlineStr">
        <is>
          <t>2026-07-07</t>
        </is>
      </c>
      <c r="X351" t="inlineStr">
        <is>
          <t>Cursor / tender-response (batch)</t>
        </is>
      </c>
      <c r="Y351" t="inlineStr">
        <is>
          <t>Clarify</t>
        </is>
      </c>
      <c r="Z351" t="inlineStr">
        <is>
          <t>Verified</t>
        </is>
      </c>
      <c r="AA351" t="inlineStr">
        <is>
          <t>Verify: Ændringsstyring — kræver produkt-/team-afklaring (ingen tool-rating).</t>
        </is>
      </c>
      <c r="AB351" t="inlineStr"/>
      <c r="AC351" t="inlineStr">
        <is>
          <t>docs/tender-reference/extracted/Nationalbanken/Bilag 3.i Leverandørens Løsningsbeskrivelse.txt; docs/tender-reference/extracted/KUM-SLKS/Bilag 10 - Producentens standardvilkår.txt; docs/tender-reference/extracted/KK Tender tool.txt</t>
        </is>
      </c>
      <c r="AD351" t="inlineStr">
        <is>
          <t>Cristina: Udfyld tool-rating (O) og evidens; gennemgå AI-kladde.</t>
        </is>
      </c>
      <c r="AE351" t="inlineStr"/>
      <c r="AF351" t="inlineStr">
        <is>
          <t>Draft</t>
        </is>
      </c>
      <c r="AG351" t="inlineStr">
        <is>
          <t>uim-esdh-full-2026-07-07</t>
        </is>
      </c>
    </row>
    <row r="352" ht="144" customHeight="1">
      <c r="A352" s="35" t="n">
        <v>319</v>
      </c>
      <c r="B352" s="3" t="inlineStr">
        <is>
          <t>B1.J-5</t>
        </is>
      </c>
      <c r="C352" s="3" t="inlineStr">
        <is>
          <t>Bilag 1.j Ændringshåndtering</t>
        </is>
      </c>
      <c r="D352" s="3" t="inlineStr">
        <is>
          <t>2.4</t>
        </is>
      </c>
      <c r="E352" s="3" t="inlineStr">
        <is>
          <t>Øvrige krav til Leverandørens medvirken</t>
        </is>
      </c>
      <c r="F352" s="35" t="inlineStr">
        <is>
          <t>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t>
        </is>
      </c>
      <c r="G352" s="3" t="inlineStr">
        <is>
          <t>Mindstekrav</t>
        </is>
      </c>
      <c r="H352" s="35">
        <f>IF(G352="Evalueringskrav","Answer",(IF(G352="Krav","Check",(IF(G352="Mindstekrav","Verify","")))))</f>
        <v/>
      </c>
      <c r="I352" s="35" t="inlineStr">
        <is>
          <t>Nej</t>
        </is>
      </c>
      <c r="J352" s="35" t="n"/>
      <c r="K352" s="47" t="n"/>
      <c r="L352" s="35" t="inlineStr">
        <is>
          <t>Cristina</t>
        </is>
      </c>
      <c r="M352" s="35" t="n"/>
      <c r="N352" s="35" t="n"/>
      <c r="O352" s="35" t="n"/>
      <c r="P352" s="35" t="n"/>
      <c r="Q352" s="35" t="n"/>
      <c r="R352" s="35" t="n"/>
      <c r="S352" s="35" t="n"/>
      <c r="T352" s="35" t="n"/>
      <c r="U352" s="35" t="inlineStr">
        <is>
          <t>Not Started</t>
        </is>
      </c>
      <c r="V352" s="37">
        <f>IF(U352="Not Started",0%,IF(U352="Started",50%,IF(U352="Ready for review",70%,IF(U352="Reviewed - Content",80%,IF(U352="Reviewed - Format",90%,IF(U352="Done",100%,""))))))</f>
        <v/>
      </c>
      <c r="W352" t="inlineStr">
        <is>
          <t>2026-07-07</t>
        </is>
      </c>
      <c r="X352" t="inlineStr">
        <is>
          <t>Cursor / tender-response (batch)</t>
        </is>
      </c>
      <c r="Y352" t="inlineStr">
        <is>
          <t>Clarify</t>
        </is>
      </c>
      <c r="Z352" t="inlineStr">
        <is>
          <t>Verified</t>
        </is>
      </c>
      <c r="AA352" t="inlineStr">
        <is>
          <t>Verify: Øvrige krav til Leverandørens medvirken — kræver produkt-/team-afklaring (ingen tool-rating).</t>
        </is>
      </c>
      <c r="AB352" t="inlineStr"/>
      <c r="AC352" t="inlineStr">
        <is>
          <t>docs/tender-reference/extracted/Nationalbanken/Bilag 3.i Leverandørens Løsningsbeskrivelse.txt; docs/tender-reference/extracted/KK Tender tool.txt; docs/tender-reference/extracted/NND/02.01-Tieto-Bilag 2-Vedlegg-Leverandørens utfyllende svar til kravtabell.txt</t>
        </is>
      </c>
      <c r="AD352" t="inlineStr">
        <is>
          <t>Cristina: Udfyld tool-rating (O) og evidens; gennemgå AI-kladde.</t>
        </is>
      </c>
      <c r="AE352" t="inlineStr"/>
      <c r="AF352" t="inlineStr">
        <is>
          <t>Draft</t>
        </is>
      </c>
      <c r="AG352" t="inlineStr">
        <is>
          <t>uim-esdh-full-2026-07-07</t>
        </is>
      </c>
    </row>
    <row r="353" ht="224" customHeight="1">
      <c r="A353" s="35" t="n">
        <v>319</v>
      </c>
      <c r="B353" s="3" t="inlineStr">
        <is>
          <t>B1.J-6</t>
        </is>
      </c>
      <c r="C353" s="3" t="inlineStr">
        <is>
          <t>Bilag 1.j Ændringshåndtering</t>
        </is>
      </c>
      <c r="D353" s="3" t="inlineStr">
        <is>
          <t>2.5</t>
        </is>
      </c>
      <c r="E353" s="3" t="inlineStr">
        <is>
          <t>Ændringshåndteringsskabelon</t>
        </is>
      </c>
      <c r="F353" s="35" t="inlineStr">
        <is>
          <t>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t>
        </is>
      </c>
      <c r="G353" s="3" t="inlineStr">
        <is>
          <t>Mindstekrav</t>
        </is>
      </c>
      <c r="H353" s="35">
        <f>IF(G353="Evalueringskrav","Answer",(IF(G353="Krav","Check",(IF(G353="Mindstekrav","Verify","")))))</f>
        <v/>
      </c>
      <c r="I353" s="35" t="inlineStr">
        <is>
          <t>Nej</t>
        </is>
      </c>
      <c r="J353" s="35" t="n"/>
      <c r="K353" s="47" t="n"/>
      <c r="L353" s="35" t="inlineStr">
        <is>
          <t>Cristina</t>
        </is>
      </c>
      <c r="M353" s="35" t="n"/>
      <c r="N353" s="35" t="n"/>
      <c r="O353" s="35" t="n"/>
      <c r="P353" s="35" t="n"/>
      <c r="Q353" s="35" t="n"/>
      <c r="R353" s="35" t="n"/>
      <c r="S353" s="35" t="n"/>
      <c r="T353" s="35" t="n"/>
      <c r="U353" s="35" t="inlineStr">
        <is>
          <t>Not Started</t>
        </is>
      </c>
      <c r="V353" s="37">
        <f>IF(U353="Not Started",0%,IF(U353="Started",50%,IF(U353="Ready for review",70%,IF(U353="Reviewed - Content",80%,IF(U353="Reviewed - Format",90%,IF(U353="Done",100%,""))))))</f>
        <v/>
      </c>
      <c r="W353" t="inlineStr">
        <is>
          <t>2026-07-07</t>
        </is>
      </c>
      <c r="X353" t="inlineStr">
        <is>
          <t>Cursor / tender-response (batch)</t>
        </is>
      </c>
      <c r="Y353" t="inlineStr">
        <is>
          <t>Clarify</t>
        </is>
      </c>
      <c r="Z353" t="inlineStr">
        <is>
          <t>Verified</t>
        </is>
      </c>
      <c r="AA353" t="inlineStr">
        <is>
          <t>Verify: Ændringshåndteringsskabelon — kræver produkt-/team-afklaring (ingen tool-rating).</t>
        </is>
      </c>
      <c r="AB353" t="inlineStr"/>
      <c r="AC353" t="inlineStr">
        <is>
          <t>docs/tender-reference/extracted/Nationalbanken/Bilag 3.i Leverandørens Løsningsbeskrivelse.txt; docs/tender-reference/extracted/KK Tender tool.txt; docs/tender-reference/extracted/KUM-SLKS/Bilag 3 - Kravspecifikation.txt</t>
        </is>
      </c>
      <c r="AD353" t="inlineStr">
        <is>
          <t>Cristina: Udfyld tool-rating (O) og evidens; gennemgå AI-kladde.</t>
        </is>
      </c>
      <c r="AE353" t="inlineStr"/>
      <c r="AF353" t="inlineStr">
        <is>
          <t>Draft</t>
        </is>
      </c>
      <c r="AG353" t="inlineStr">
        <is>
          <t>uim-esdh-full-2026-07-07</t>
        </is>
      </c>
    </row>
    <row r="354" ht="176" customHeight="1">
      <c r="A354" s="35" t="n">
        <v>319</v>
      </c>
      <c r="B354" s="3" t="inlineStr">
        <is>
          <t>B1.K-1</t>
        </is>
      </c>
      <c r="C354" s="3" t="inlineStr">
        <is>
          <t>Bilag 1.k Forpligtelser ved ophør</t>
        </is>
      </c>
      <c r="D354" s="3" t="inlineStr">
        <is>
          <t>2.1</t>
        </is>
      </c>
      <c r="E354" s="3" t="inlineStr">
        <is>
          <t>Aflevering af information til Kunden</t>
        </is>
      </c>
      <c r="F354" s="35" t="inlineStr">
        <is>
          <t>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t>
        </is>
      </c>
      <c r="G354" s="3" t="inlineStr">
        <is>
          <t>Mindstekrav</t>
        </is>
      </c>
      <c r="H354" s="35">
        <f>IF(G354="Evalueringskrav","Answer",(IF(G354="Krav","Check",(IF(G354="Mindstekrav","Verify","")))))</f>
        <v/>
      </c>
      <c r="I354" s="35" t="inlineStr">
        <is>
          <t>Nej</t>
        </is>
      </c>
      <c r="J354" s="35" t="n"/>
      <c r="K354" s="47" t="n"/>
      <c r="L354" s="35" t="inlineStr">
        <is>
          <t>Cristina</t>
        </is>
      </c>
      <c r="M354" s="35" t="n"/>
      <c r="N354" s="35" t="n"/>
      <c r="O354" s="35" t="n"/>
      <c r="P354" s="35" t="n"/>
      <c r="Q354" s="35" t="n"/>
      <c r="R354" s="35" t="n"/>
      <c r="S354" s="35" t="n"/>
      <c r="T354" s="35" t="n"/>
      <c r="U354" s="35" t="inlineStr">
        <is>
          <t>Not Started</t>
        </is>
      </c>
      <c r="V354" s="37">
        <f>IF(U354="Not Started",0%,IF(U354="Started",50%,IF(U354="Ready for review",70%,IF(U354="Reviewed - Content",80%,IF(U354="Reviewed - Format",90%,IF(U354="Done",100%,""))))))</f>
        <v/>
      </c>
      <c r="W354" t="inlineStr">
        <is>
          <t>2026-07-07</t>
        </is>
      </c>
      <c r="X354" t="inlineStr">
        <is>
          <t>Cursor / tender-response (batch)</t>
        </is>
      </c>
      <c r="Y354" t="inlineStr">
        <is>
          <t>Clarify</t>
        </is>
      </c>
      <c r="Z354" t="inlineStr">
        <is>
          <t>Verified</t>
        </is>
      </c>
      <c r="AA354" t="inlineStr">
        <is>
          <t>Verify: Aflevering af information til Kunden — kræver produkt-/team-afklaring (ingen tool-rating).</t>
        </is>
      </c>
      <c r="AB354" t="inlineStr"/>
      <c r="AC354" t="inlineStr">
        <is>
          <t>docs/tender-reference/extracted/KK Tender tool.txt; docs/tender-reference/extracted/Nationalbanken/Bilag 3.i Leverandørens Løsningsbeskrivelse.txt; docs/tender-reference/extracted/NND/02.01-Tieto-Bilag 2-Vedlegg-Leverandørens utfyllende svar til kravtabell.txt</t>
        </is>
      </c>
      <c r="AD354" t="inlineStr">
        <is>
          <t>Cristina: Udfyld tool-rating (O) og evidens; gennemgå AI-kladde.</t>
        </is>
      </c>
      <c r="AE354" t="inlineStr"/>
      <c r="AF354" t="inlineStr">
        <is>
          <t>Draft</t>
        </is>
      </c>
      <c r="AG354" t="inlineStr">
        <is>
          <t>uim-esdh-full-2026-07-07</t>
        </is>
      </c>
    </row>
    <row r="355" ht="160" customHeight="1">
      <c r="A355" s="35" t="n">
        <v>319</v>
      </c>
      <c r="B355" s="3" t="inlineStr">
        <is>
          <t>B1.K-2</t>
        </is>
      </c>
      <c r="C355" s="3" t="inlineStr">
        <is>
          <t>Bilag 1.k Forpligtelser ved ophør</t>
        </is>
      </c>
      <c r="D355" s="3" t="inlineStr">
        <is>
          <t>2.2</t>
        </is>
      </c>
      <c r="E355" s="3" t="inlineStr">
        <is>
          <t>Afvikling</t>
        </is>
      </c>
      <c r="F355" s="35" t="inlineStr">
        <is>
          <t>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t>
        </is>
      </c>
      <c r="G355" s="3" t="inlineStr">
        <is>
          <t>Mindstekrav</t>
        </is>
      </c>
      <c r="H355" s="35">
        <f>IF(G355="Evalueringskrav","Answer",(IF(G355="Krav","Check",(IF(G355="Mindstekrav","Verify","")))))</f>
        <v/>
      </c>
      <c r="I355" s="35" t="inlineStr">
        <is>
          <t>Nej</t>
        </is>
      </c>
      <c r="J355" s="35" t="n"/>
      <c r="K355" s="47" t="n"/>
      <c r="L355" s="35" t="inlineStr">
        <is>
          <t>Cristina</t>
        </is>
      </c>
      <c r="M355" s="35" t="n"/>
      <c r="N355" s="35" t="n"/>
      <c r="O355" s="35" t="n"/>
      <c r="P355" s="35" t="n"/>
      <c r="Q355" s="35" t="n"/>
      <c r="R355" s="35" t="n"/>
      <c r="S355" s="35" t="n"/>
      <c r="T355" s="35" t="n"/>
      <c r="U355" s="35" t="inlineStr">
        <is>
          <t>Not Started</t>
        </is>
      </c>
      <c r="V355" s="37">
        <f>IF(U355="Not Started",0%,IF(U355="Started",50%,IF(U355="Ready for review",70%,IF(U355="Reviewed - Content",80%,IF(U355="Reviewed - Format",90%,IF(U355="Done",100%,""))))))</f>
        <v/>
      </c>
      <c r="W355" t="inlineStr">
        <is>
          <t>2026-07-07</t>
        </is>
      </c>
      <c r="X355" t="inlineStr">
        <is>
          <t>Cursor / tender-response (batch)</t>
        </is>
      </c>
      <c r="Y355" t="inlineStr">
        <is>
          <t>Clarify</t>
        </is>
      </c>
      <c r="Z355" t="inlineStr">
        <is>
          <t>Verified</t>
        </is>
      </c>
      <c r="AA355" t="inlineStr">
        <is>
          <t>Verify: Afvikling — kræver produkt-/team-afklaring (ingen tool-rating).</t>
        </is>
      </c>
      <c r="AB355" t="inlineStr"/>
      <c r="AC355" t="inlineStr">
        <is>
          <t>docs/tender-reference/extracted/KK Tender tool.txt; docs/tender-reference/extracted/KUM-SLKS/Bilag 10 - Producentens standardvilkår.txt; docs/tender-reference/extracted/Nationalbanken/Bilag 3.i Leverandørens Løsningsbeskrivelse.txt</t>
        </is>
      </c>
      <c r="AD355" t="inlineStr">
        <is>
          <t>Cristina: Udfyld tool-rating (O) og evidens; gennemgå AI-kladde.</t>
        </is>
      </c>
      <c r="AE355" t="inlineStr"/>
      <c r="AF355" t="inlineStr">
        <is>
          <t>Draft</t>
        </is>
      </c>
      <c r="AG355" t="inlineStr">
        <is>
          <t>uim-esdh-full-2026-07-07</t>
        </is>
      </c>
    </row>
    <row r="356" ht="80" customHeight="1">
      <c r="A356" s="35" t="n">
        <v>319</v>
      </c>
      <c r="B356" s="3" t="inlineStr">
        <is>
          <t>B1.K-3</t>
        </is>
      </c>
      <c r="C356" s="3" t="inlineStr">
        <is>
          <t>Bilag 1.k Forpligtelser ved ophør</t>
        </is>
      </c>
      <c r="D356" s="3" t="inlineStr">
        <is>
          <t>3.1</t>
        </is>
      </c>
      <c r="E356" s="3" t="inlineStr">
        <is>
          <t>Bistand til data-relaterede aktiviteter</t>
        </is>
      </c>
      <c r="F356" s="35" t="inlineStr">
        <is>
          <t>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t>
        </is>
      </c>
      <c r="G356" s="3" t="inlineStr">
        <is>
          <t>Mindstekrav</t>
        </is>
      </c>
      <c r="H356" s="35">
        <f>IF(G356="Evalueringskrav","Answer",(IF(G356="Krav","Check",(IF(G356="Mindstekrav","Verify","")))))</f>
        <v/>
      </c>
      <c r="I356" s="35" t="inlineStr">
        <is>
          <t>Nej</t>
        </is>
      </c>
      <c r="J356" s="35" t="n"/>
      <c r="K356" s="47" t="n"/>
      <c r="L356" s="35" t="inlineStr">
        <is>
          <t>Cristina</t>
        </is>
      </c>
      <c r="M356" s="35" t="n"/>
      <c r="N356" s="35" t="n"/>
      <c r="O356" s="35" t="n"/>
      <c r="P356" s="35" t="n"/>
      <c r="Q356" s="35" t="n"/>
      <c r="R356" s="35" t="n"/>
      <c r="S356" s="35" t="n"/>
      <c r="T356" s="35" t="n"/>
      <c r="U356" s="35" t="inlineStr">
        <is>
          <t>Not Started</t>
        </is>
      </c>
      <c r="V356" s="37">
        <f>IF(U356="Not Started",0%,IF(U356="Started",50%,IF(U356="Ready for review",70%,IF(U356="Reviewed - Content",80%,IF(U356="Reviewed - Format",90%,IF(U356="Done",100%,""))))))</f>
        <v/>
      </c>
      <c r="W356" t="inlineStr">
        <is>
          <t>2026-07-07</t>
        </is>
      </c>
      <c r="X356" t="inlineStr">
        <is>
          <t>Cursor / tender-response (batch)</t>
        </is>
      </c>
      <c r="Y356" t="inlineStr">
        <is>
          <t>Clarify</t>
        </is>
      </c>
      <c r="Z356" t="inlineStr">
        <is>
          <t>Verified</t>
        </is>
      </c>
      <c r="AA356" t="inlineStr">
        <is>
          <t>Verify: Bistand til data-relaterede aktiviteter — kræver produkt-/team-afklaring (ingen tool-rating).</t>
        </is>
      </c>
      <c r="AB356" t="inlineStr"/>
      <c r="AC356" t="inlineStr">
        <is>
          <t>docs/product/RFP_Leverandørens_svar_utdrag.txt; docs/tender-reference/extracted/HSØ/02.00-Tietoevry-SSA-L-Bilag 2-Leverandørens beskrivelse av Tjenesten.txt; docs/tender-reference/extracted/KK Tender tool.txt</t>
        </is>
      </c>
      <c r="AD356" t="inlineStr">
        <is>
          <t>Cristina: Udfyld tool-rating (O) og evidens; gennemgå AI-kladde.</t>
        </is>
      </c>
      <c r="AE356" t="inlineStr"/>
      <c r="AF356" t="inlineStr">
        <is>
          <t>Draft</t>
        </is>
      </c>
      <c r="AG356" t="inlineStr">
        <is>
          <t>uim-esdh-full-2026-07-07</t>
        </is>
      </c>
    </row>
    <row r="357" ht="144" customHeight="1">
      <c r="A357" s="35" t="n">
        <v>319</v>
      </c>
      <c r="B357" s="3" t="inlineStr">
        <is>
          <t>B1.K-4</t>
        </is>
      </c>
      <c r="C357" s="3" t="inlineStr">
        <is>
          <t>Bilag 1.k Forpligtelser ved ophør</t>
        </is>
      </c>
      <c r="D357" s="3" t="inlineStr">
        <is>
          <t>3.2</t>
        </is>
      </c>
      <c r="E357" s="3" t="inlineStr">
        <is>
          <t>Bistand til overgang til ny ESDH-løsning</t>
        </is>
      </c>
      <c r="F357" s="35" t="inlineStr">
        <is>
          <t>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t>
        </is>
      </c>
      <c r="G357" s="3" t="inlineStr">
        <is>
          <t>Mindstekrav</t>
        </is>
      </c>
      <c r="H357" s="35">
        <f>IF(G357="Evalueringskrav","Answer",(IF(G357="Krav","Check",(IF(G357="Mindstekrav","Verify","")))))</f>
        <v/>
      </c>
      <c r="I357" s="35" t="inlineStr">
        <is>
          <t>Nej</t>
        </is>
      </c>
      <c r="J357" s="35" t="n"/>
      <c r="K357" s="47" t="n"/>
      <c r="L357" s="35" t="inlineStr">
        <is>
          <t>Cristina</t>
        </is>
      </c>
      <c r="M357" s="35" t="n"/>
      <c r="N357" s="35" t="n"/>
      <c r="O357" s="35" t="n"/>
      <c r="P357" s="35" t="n"/>
      <c r="Q357" s="35" t="n"/>
      <c r="R357" s="35" t="n"/>
      <c r="S357" s="35" t="n"/>
      <c r="T357" s="35" t="n"/>
      <c r="U357" s="35" t="inlineStr">
        <is>
          <t>Not Started</t>
        </is>
      </c>
      <c r="V357" s="37">
        <f>IF(U357="Not Started",0%,IF(U357="Started",50%,IF(U357="Ready for review",70%,IF(U357="Reviewed - Content",80%,IF(U357="Reviewed - Format",90%,IF(U357="Done",100%,""))))))</f>
        <v/>
      </c>
      <c r="W357" t="inlineStr">
        <is>
          <t>2026-07-07</t>
        </is>
      </c>
      <c r="X357" t="inlineStr">
        <is>
          <t>Cursor / tender-response (batch)</t>
        </is>
      </c>
      <c r="Y357" t="inlineStr">
        <is>
          <t>Clarify</t>
        </is>
      </c>
      <c r="Z357" t="inlineStr">
        <is>
          <t>Verified</t>
        </is>
      </c>
      <c r="AA357" t="inlineStr">
        <is>
          <t>Verify: Bistand til overgang til ny ESDH-løsning — kræver produkt-/team-afklaring (ingen tool-rating).</t>
        </is>
      </c>
      <c r="AB357" t="inlineStr"/>
      <c r="AC357" t="inlineStr">
        <is>
          <t>docs/tender-reference/extracted/Nationalbanken/Bilag 3.i Leverandørens Løsningsbeskrivelse.txt; docs/product/RFP_Leverandørens_svar_utdrag.txt; docs/tender-reference/extracted/KUM-SLKS/Bilag 1 - Tidsplan.txt</t>
        </is>
      </c>
      <c r="AD357" t="inlineStr">
        <is>
          <t>Cristina: Udfyld tool-rating (O) og evidens; gennemgå AI-kladde.</t>
        </is>
      </c>
      <c r="AE357" t="inlineStr"/>
      <c r="AF357" t="inlineStr">
        <is>
          <t>Draft</t>
        </is>
      </c>
      <c r="AG357" t="inlineStr">
        <is>
          <t>uim-esdh-full-2026-07-07</t>
        </is>
      </c>
    </row>
  </sheetData>
  <autoFilter ref="A1:V357">
    <filterColumn colId="11" hiddenButton="0" showButton="1">
      <filters blank="1"/>
    </filterColumn>
  </autoFilter>
  <conditionalFormatting sqref="V2:V357">
    <cfRule type="expression" priority="49" dxfId="14">
      <formula>V2=100%</formula>
    </cfRule>
    <cfRule type="expression" priority="50" dxfId="13">
      <formula>V2=90%</formula>
    </cfRule>
    <cfRule type="expression" priority="51" dxfId="12">
      <formula>V2=80%</formula>
    </cfRule>
    <cfRule type="expression" priority="52" dxfId="11">
      <formula>V2=70%</formula>
    </cfRule>
    <cfRule type="expression" priority="53" dxfId="10">
      <formula>V2=50%</formula>
    </cfRule>
    <cfRule type="expression" priority="54" dxfId="0">
      <formula>V2=0%</formula>
    </cfRule>
  </conditionalFormatting>
  <dataValidations count="6">
    <dataValidation sqref="H358:H1048576" showDropDown="0" showInputMessage="1" showErrorMessage="1" allowBlank="1" type="list">
      <formula1>"Check,Answer"</formula1>
    </dataValidation>
    <dataValidation sqref="H2:H265 H267:H357" showDropDown="0" showInputMessage="1" showErrorMessage="1" allowBlank="1" type="list">
      <formula1>"Check,Answer,Verify"</formula1>
    </dataValidation>
    <dataValidation sqref="U2:U1048576" showDropDown="0" showInputMessage="1" showErrorMessage="1" allowBlank="1" type="list">
      <formula1>"Not Started,Started,Ready for review,Reviewed - Content,Reviewed - Format,Done"</formula1>
    </dataValidation>
    <dataValidation sqref="O2:O1048576" showDropDown="0" showInputMessage="1" showErrorMessage="1" allowBlank="1" type="list">
      <formula1>"1. Fully met,2. Partly met,3. Not able to meet,4. Not part of offer"</formula1>
    </dataValidation>
    <dataValidation sqref="G2:G1048576" showDropDown="0" showInputMessage="1" showErrorMessage="1" allowBlank="1" type="list">
      <formula1>"Mindstekrav,Krav,Evalueringskrav"</formula1>
    </dataValidation>
    <dataValidation sqref="Q2:S1048576"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53"/>
  <sheetViews>
    <sheetView zoomScale="71" workbookViewId="0">
      <pane ySplit="1" topLeftCell="A2" activePane="bottomLeft" state="frozen"/>
      <selection pane="bottomLeft" activeCell="C1" sqref="C1"/>
    </sheetView>
  </sheetViews>
  <sheetFormatPr baseColWidth="8" defaultRowHeight="16"/>
  <cols>
    <col width="14.765625" bestFit="1" customWidth="1" min="1" max="1"/>
    <col width="51.3046875" customWidth="1" min="2" max="2"/>
    <col width="72.23046875" customWidth="1" min="3" max="3"/>
  </cols>
  <sheetData>
    <row r="1">
      <c r="A1" s="44" t="inlineStr">
        <is>
          <t>Krav nr.</t>
        </is>
      </c>
      <c r="B1" s="44" t="inlineStr">
        <is>
          <t>Kravtekst</t>
        </is>
      </c>
      <c r="C1" s="44" t="inlineStr">
        <is>
          <t>Kommentar</t>
        </is>
      </c>
    </row>
    <row r="2" ht="32" customHeight="1">
      <c r="A2" s="48" t="inlineStr">
        <is>
          <t>MK-30</t>
        </is>
      </c>
      <c r="B2" s="48" t="inlineStr">
        <is>
          <t>MK-30</t>
        </is>
      </c>
      <c r="C2" s="48" t="inlineStr">
        <is>
          <t>Det er kludret formuleret - men jeg tolker det til, at de fra en søgning på et projekt, skal kunne se relaterede sager i resultatlisterne.. Det  er udfordrende</t>
        </is>
      </c>
    </row>
    <row r="3" ht="48" customHeight="1">
      <c r="A3" s="48" t="inlineStr">
        <is>
          <t>MK-35</t>
        </is>
      </c>
      <c r="B3" s="48" t="inlineStr">
        <is>
          <t>ESDH-løsningen skal understøtte, at alle Dokumenter, Filer, Hoveddokumenter og Bilag har hver deres unikke ID, som skal være synligt i brugergrænsefladen.</t>
        </is>
      </c>
      <c r="C3" s="48" t="inlineStr">
        <is>
          <t>Hvornår er noget ”synligt i brugergrænsefladen”… vi har recno på filer, men de kræver ”vis egenskaber” for at være synlige.</t>
        </is>
      </c>
    </row>
    <row r="4" ht="96" customHeight="1">
      <c r="A4" s="48" t="inlineStr">
        <is>
          <t>MK-49</t>
        </is>
      </c>
      <c r="B4" s="48"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C4" s="48" t="inlineStr">
        <is>
          <t>”Direkte” er problematisk, hvis det forbyder os fra et nyt vindue.</t>
        </is>
      </c>
    </row>
    <row r="5" ht="64" customHeight="1">
      <c r="A5" s="48" t="inlineStr">
        <is>
          <t>MK-50</t>
        </is>
      </c>
      <c r="B5" s="48" t="inlineStr">
        <is>
          <t>ESDH-løsningen skal understøtte, at Brugeren kan navigere og scrolle i dokument- og fillistevisninger, og at forhåndsvisningen automatisk opdateres og viser det Dokument/Fil, som Brugeren har navigeret til.</t>
        </is>
      </c>
      <c r="C5" s="48" t="inlineStr">
        <is>
          <t>Vores forhåndsvisning ”opdateres ikke automatisk”. Kræver aktivt klik på det dokument/fil der ønskes forhåndsvist.</t>
        </is>
      </c>
    </row>
    <row r="6" ht="48" customHeight="1">
      <c r="A6" s="48" t="inlineStr">
        <is>
          <t>MK-56</t>
        </is>
      </c>
      <c r="B6" s="48" t="inlineStr">
        <is>
          <t>ESDH-løsningen skal understøtte, at en Bruger ikke kan oprette en kontakt, hvis kontaktens unikke ID allerede findes i kontaktregisteret.</t>
        </is>
      </c>
      <c r="C6" s="48" t="inlineStr">
        <is>
          <t>Vi advarer, men vi forbyder ikke. CPR/CVR er ikke så unikt at det ikke kan duplikeres.</t>
        </is>
      </c>
    </row>
    <row r="7" ht="48" customHeight="1">
      <c r="A7" s="48" t="inlineStr">
        <is>
          <t>MK-66</t>
        </is>
      </c>
      <c r="B7" s="48" t="inlineStr">
        <is>
          <t>ESDH-løsningen skal understøtte, at der kan søges på alle standard- og Kundeoprettede felter på samme tid i ESDH-løsningen.</t>
        </is>
      </c>
      <c r="C7" s="48" t="inlineStr">
        <is>
          <t>Det her krav er formuleret uden logiske begræsninger mellem entiteter, hvilke tikke giver mening. Det kan vi ikke understøtte.</t>
        </is>
      </c>
    </row>
    <row r="8" ht="32" customHeight="1">
      <c r="A8" s="48" t="inlineStr">
        <is>
          <t>MK-68</t>
        </is>
      </c>
      <c r="B8" s="48" t="inlineStr">
        <is>
          <t>Trunkering i avanceret søgning</t>
        </is>
      </c>
      <c r="C8" s="48" t="inlineStr">
        <is>
          <t>Det her lugter af at være givet titlen her, fordi de ved vi ikke kan i den avancerede søgning - men kravteksten indeholder det ikke, og derfor bør vi være OK med kravet</t>
        </is>
      </c>
    </row>
    <row r="9" ht="32" customHeight="1">
      <c r="A9" s="48" t="inlineStr">
        <is>
          <t>MK-70</t>
        </is>
      </c>
      <c r="B9" s="48" t="inlineStr">
        <is>
          <t>ESDH-løsningen skal understøtte, at alle felter kan vises i søgeresultaternes visningslister.</t>
        </is>
      </c>
      <c r="C9" s="48" t="inlineStr">
        <is>
          <t>”Alle felter” - godt nok afgrænset til søgeresultater, men stadig en stor risc, fra en ondsindet kunde.</t>
        </is>
      </c>
    </row>
    <row r="10" ht="48" customHeight="1">
      <c r="A10" s="48" t="inlineStr">
        <is>
          <t>MK-74</t>
        </is>
      </c>
      <c r="B10" s="48" t="inlineStr">
        <is>
          <t>ESDH-løsningen skal understøtte, at Kunden kan opsætte og konfigurere søgebilleder for alle Løsningens standard- og Kundeoprettede Entiteter.</t>
        </is>
      </c>
      <c r="C10" s="48" t="inlineStr">
        <is>
          <t>Det understøtter vi ikke.</t>
        </is>
      </c>
    </row>
    <row r="11" ht="48" customHeight="1">
      <c r="A11" s="48" t="inlineStr">
        <is>
          <t>MK-75</t>
        </is>
      </c>
      <c r="B11" s="48" t="inlineStr">
        <is>
          <t>ESDH-løsningen skal understøtte, at Kunden selv kan definere og konfigurere, hvilke standard- og Kundeoprettede felter søgebilledet skal indeholde.</t>
        </is>
      </c>
      <c r="C11" s="48" t="inlineStr">
        <is>
          <t>Det understøtter vi ikke</t>
        </is>
      </c>
    </row>
    <row r="12" ht="32" customHeight="1">
      <c r="A12" s="48" t="inlineStr">
        <is>
          <t>MK-76</t>
        </is>
      </c>
      <c r="B12" s="48" t="inlineStr">
        <is>
          <t>MK-76</t>
        </is>
      </c>
      <c r="C12" s="48" t="inlineStr">
        <is>
          <t>Påvirker ikke os - men det her krav er et godt eksempel på en Kunde der beskriver en løsning frem for et behov. Hvorfor skal det være browserbaseret?</t>
        </is>
      </c>
    </row>
    <row r="13" ht="96" customHeight="1">
      <c r="A13" s="48" t="inlineStr">
        <is>
          <t>MK-77</t>
        </is>
      </c>
      <c r="B13" s="48"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C13" s="48" t="inlineStr">
        <is>
          <t>Issue - ”Alle”  og ”ingen begrænsning” i samme sætning..</t>
        </is>
      </c>
    </row>
    <row r="14" ht="48" customHeight="1">
      <c r="A14" s="48" t="inlineStr">
        <is>
          <t>MK-78</t>
        </is>
      </c>
      <c r="B14" s="48" t="inlineStr">
        <is>
          <t>ESDH-løsningen skal understøtte brugen af genvejstaster, funktionstaster eller tastekombinationer. Genvejstaster skal være dokumenteret i hjælpefunktionen.</t>
        </is>
      </c>
      <c r="C14" s="48" t="inlineStr">
        <is>
          <t>Det her bevæger vi os væk fra, fordi det ikke er særligt WCAG-compliant. MEN - vi skal bemærke de ikke definere det skal gælde alt, eller hvad man skal kunne, så hvis vi har en genvejstast ét sted i løsningen, kan vi principielt sige ja til dette krav.</t>
        </is>
      </c>
    </row>
    <row r="15" ht="64" customHeight="1">
      <c r="A15" s="48" t="inlineStr">
        <is>
          <t>MK-80</t>
        </is>
      </c>
      <c r="B15" s="48" t="inlineStr">
        <is>
          <t>ESDH-løsningen skal understøtte, at en Bruger via brugergrænsefladen kan foretage masseændringer af tilknyttede standard- og Kundeoprettede felter på sager, Dokumenter, kontakter og Kundeoprettede Entiteter.</t>
        </is>
      </c>
      <c r="C15" s="48" t="inlineStr">
        <is>
          <t>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row>
    <row r="16" ht="32" customHeight="1">
      <c r="A16" s="48" t="inlineStr">
        <is>
          <t>MK-81</t>
        </is>
      </c>
      <c r="B16" s="48" t="inlineStr">
        <is>
          <t>ESDH-løsningen skal understøtte en visuel adskillelse af indgående og udgående Dokumenter, f.eks. via opmærkning.</t>
        </is>
      </c>
      <c r="C16" s="48" t="inlineStr">
        <is>
          <t>Hvornår er noget ”Visuelt adskilt”? - er det nok at der står ”Indgående” og/eller ”Udgående”?</t>
        </is>
      </c>
    </row>
    <row r="17" ht="48" customHeight="1">
      <c r="A17" s="48" t="inlineStr">
        <is>
          <t>MK-83</t>
        </is>
      </c>
      <c r="B17" s="48" t="inlineStr">
        <is>
          <t>ESDH-løsningen skal understøtte at Kunden kan tilvælge og fravælge kolonnevisninger på sager, Dokumenter, kontakt-billeder.</t>
        </is>
      </c>
      <c r="C17" s="48" t="inlineStr">
        <is>
          <t>Det understøtter vi ikke - jeg tænker de mener kolonner inde i webparts på vores overbliksbilleder.</t>
        </is>
      </c>
    </row>
    <row r="18" ht="32" customHeight="1">
      <c r="A18" s="48" t="inlineStr">
        <is>
          <t>MK-84</t>
        </is>
      </c>
      <c r="B18" s="48" t="inlineStr">
        <is>
          <t>ESDH-løsningen skal understøtte, at Kunden kan tilvælge og fravælge kolonnevisninger på Kundeoprettede Entiteter.</t>
        </is>
      </c>
      <c r="C18" s="48" t="inlineStr">
        <is>
          <t>Det understøtter vi ikke - jeg tænker de mener kolonner inde i webparts på vores overbliksbilleder.</t>
        </is>
      </c>
    </row>
    <row r="19" ht="48" customHeight="1">
      <c r="A19" s="48" t="inlineStr">
        <is>
          <t>MK-85</t>
        </is>
      </c>
      <c r="B19" s="48" t="inlineStr">
        <is>
          <t>ESDH-løsningen skal understøtte, at Kundeoprettede felter skal kunne anvendes i kolonnevisningerne på standard Entiteter og Kundeoprettede Entiteter.</t>
        </is>
      </c>
      <c r="C19" s="48" t="inlineStr">
        <is>
          <t>Det understøtter vi ikke - jeg tænker de mener kolonner inde i webparts på vores overbliksbilleder.</t>
        </is>
      </c>
    </row>
    <row r="20" ht="48" customHeight="1">
      <c r="A20" s="48" t="inlineStr">
        <is>
          <t>MK-86</t>
        </is>
      </c>
      <c r="B20" s="48" t="inlineStr">
        <is>
          <t>ESDH-løsningen skal understøtte filtrering og sortering på kolonnevisninger. Brugerens valgte indstillinger skal kunne gemmes som standardvisning for Brugeren.</t>
        </is>
      </c>
      <c r="C20" s="48" t="inlineStr">
        <is>
          <t>Det understøtter vi ikke - jeg tænker de mener kolonner inde i webparts på vores overbliksbilleder.Vi gemmer ikke sorteringer og filtreringer</t>
        </is>
      </c>
    </row>
    <row r="21" ht="48" customHeight="1">
      <c r="A21" s="48" t="inlineStr">
        <is>
          <t>MK-87</t>
        </is>
      </c>
      <c r="B21" s="48" t="inlineStr">
        <is>
          <t>ESDH-løsningen skal understøtte, at Kunden kan opsætte Kundeoprettede faner/widgets på både standard- og Kundeoprettede Entiteter.</t>
        </is>
      </c>
      <c r="C21" s="48" t="inlineStr">
        <is>
          <t>”kundeoprettede faner” på overbliksbilleder kræver en voldsomt udvidelse af FFUI Overbliksbilleder</t>
        </is>
      </c>
    </row>
    <row r="22" ht="48" customHeight="1">
      <c r="A22" s="48" t="inlineStr">
        <is>
          <t>MK-88</t>
        </is>
      </c>
      <c r="B22" s="48" t="inlineStr">
        <is>
          <t>ESDH-løsningen skal understøtte, at Kunden har fuld fleksibilitet til vælge, hvor Kundeoprettede Entiteter og Kundeoprettede felter vises i brugergrænsefladen.</t>
        </is>
      </c>
      <c r="C22" s="48" t="inlineStr">
        <is>
          <t>Understøttes ikke</t>
        </is>
      </c>
    </row>
    <row r="23" ht="48" customHeight="1">
      <c r="A23" s="48" t="inlineStr">
        <is>
          <t>MK-99</t>
        </is>
      </c>
      <c r="B23" s="48" t="inlineStr">
        <is>
          <t>ESDH-løsningen skal understøtte, at der automatisk dannes et Dokument med en tilknyttet Fil, hvortil historikken af godkendelsesflowet er dokumenteret.</t>
        </is>
      </c>
      <c r="C23" s="48" t="inlineStr">
        <is>
          <t>”automatisk dannes” sker ikke. vi har muligheden for manuelt at gøre dette.</t>
        </is>
      </c>
    </row>
    <row r="24" ht="48" customHeight="1">
      <c r="A24" s="48" t="inlineStr">
        <is>
          <t>MK-100</t>
        </is>
      </c>
      <c r="B24" s="48" t="inlineStr">
        <is>
          <t>ESDH-løsningen skal understøtte, at der automatisk dannes et Dokument med en tilknyttet Fil, hvortil historikken af høringsflowet er dokumenteret.</t>
        </is>
      </c>
      <c r="C24" s="48" t="inlineStr">
        <is>
          <t>”automatisk dannes” sker ikke. vi har muligheden for manuelt at gøre dette.</t>
        </is>
      </c>
    </row>
    <row r="25" ht="64" customHeight="1">
      <c r="A25" s="48" t="inlineStr">
        <is>
          <t>MK-102</t>
        </is>
      </c>
      <c r="B25" s="48" t="inlineStr">
        <is>
          <t>ESDH-løsningen skal understøtte friststyring, hvor den ansvarlige Bruger for en opgave kan opsætte individuelle frister. Det skal være muligt at konfigurere notifikationerne fleksibelt i forhold til både opgavens deadline og status.</t>
        </is>
      </c>
      <c r="C25" s="48" t="inlineStr">
        <is>
          <t>Jeg bryder mig ikke om denne formulering - er bekymret for at den kan bruges imod os i en implementering</t>
        </is>
      </c>
    </row>
    <row r="26" ht="96" customHeight="1">
      <c r="A26" s="48" t="inlineStr">
        <is>
          <t>MK-103</t>
        </is>
      </c>
      <c r="B26" s="48"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C26" s="48" t="inlineStr">
        <is>
          <t>Jeg bryder mig ikke om denne formulering - er bekymret for at den kan bruges imod os i en implementering</t>
        </is>
      </c>
    </row>
    <row r="27" ht="32" customHeight="1">
      <c r="A27" s="48" t="inlineStr">
        <is>
          <t>MK-111</t>
        </is>
      </c>
      <c r="B27" s="48" t="inlineStr">
        <is>
          <t>ESDH-løsningen skal understøtte, at alle Konfigurationer bevares ved systemopdateringer eller opgraderinger.</t>
        </is>
      </c>
      <c r="C27" s="48" t="inlineStr">
        <is>
          <t>Det her har historisk givet problemer hvis kunden konfigurerede videre på standard-elementer.</t>
        </is>
      </c>
    </row>
    <row r="28" ht="64" customHeight="1">
      <c r="A28" s="48" t="inlineStr">
        <is>
          <t>MK-113</t>
        </is>
      </c>
      <c r="B28" s="48" t="inlineStr">
        <is>
          <t>ESDH-løsningen skal understøtte, at tekstfelters længde som minimum kan indeholde 3500 karakterer for indtastningen af den fulde tekst f.eks. kommentarfelter og øvrige fritekst-felter i Løsningen.</t>
        </is>
      </c>
      <c r="C28" s="48" t="inlineStr">
        <is>
          <t>Det ved jeg simpelthen ikke om vi understøtter i alle fritekstfelter i løsningen..</t>
        </is>
      </c>
    </row>
    <row r="29" ht="32" customHeight="1">
      <c r="A29" s="48" t="inlineStr">
        <is>
          <t>MK-118</t>
        </is>
      </c>
      <c r="B29" s="48" t="inlineStr">
        <is>
          <t>ESDH-løsningen skal understøtte, at Administrator kan konfigurere hele ESDH-løsningens brugergrænseflade.</t>
        </is>
      </c>
      <c r="C29" s="48" t="inlineStr">
        <is>
          <t>”hele brugergrænsefladen” kan tolkes skidt af en ondsindet modpart.</t>
        </is>
      </c>
    </row>
    <row r="30" ht="64" customHeight="1">
      <c r="A30" s="48" t="inlineStr">
        <is>
          <t>K-10</t>
        </is>
      </c>
      <c r="B30" s="48" t="inlineStr">
        <is>
          <t>ESDH-løsningen skal understøtte, at en Administrator kan tilknytte fast metadata til journalplanen i form af adgangsgrupper og adgangsbegrænsning, når der vælges en foruddefineret journalplansværdi.</t>
        </is>
      </c>
      <c r="C30" s="48" t="inlineStr">
        <is>
          <t>Kan vi ikke</t>
        </is>
      </c>
    </row>
    <row r="31" ht="64" customHeight="1">
      <c r="A31" s="48" t="inlineStr">
        <is>
          <t>K-11</t>
        </is>
      </c>
      <c r="B31" s="48" t="inlineStr">
        <is>
          <t>ESDH-løsningen skal understøtte, at Kundens Konfiguration af brugergrænsefladen kan eksporteres og importeres på tværs af Kundens it-miljøer (f.eks. fra et test- eller udviklingsmiljø til pre-produktions- og produktionsmiljøet).</t>
        </is>
      </c>
      <c r="C31" s="48" t="inlineStr">
        <is>
          <t>Kan vi ikke</t>
        </is>
      </c>
    </row>
    <row r="32" ht="64" customHeight="1">
      <c r="A32" s="48" t="inlineStr">
        <is>
          <t>K-12</t>
        </is>
      </c>
      <c r="B32" s="48" t="inlineStr">
        <is>
          <t>ESDH-løsningen skal understøtte, at Kundens Konfiguration fra administratormodulet kan eksporteres og importeres på tværs af Kundens it-miljøer (f.eks. fra et test- eller udviklingsmiljø til pre-produktions- og produktionsmiljøet).</t>
        </is>
      </c>
      <c r="C32" s="48" t="inlineStr">
        <is>
          <t>Kan vi ikke</t>
        </is>
      </c>
    </row>
    <row r="33" ht="32" customHeight="1">
      <c r="A33" s="48" t="inlineStr">
        <is>
          <t>K-13</t>
        </is>
      </c>
      <c r="B33" s="48" t="inlineStr">
        <is>
          <t>ESDH-løsningen skal understøtte, at en Administrator kan opsætte visning af datoformatet i Løsningen.</t>
        </is>
      </c>
      <c r="C33" s="48" t="inlineStr">
        <is>
          <t>Kan vi ikke</t>
        </is>
      </c>
    </row>
    <row r="34" ht="96" customHeight="1">
      <c r="A34" s="48" t="inlineStr">
        <is>
          <t>MK-133</t>
        </is>
      </c>
      <c r="B34" s="48"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C34" s="48" t="inlineStr">
        <is>
          <t>Har vi ikke</t>
        </is>
      </c>
    </row>
    <row r="35" ht="80" customHeight="1">
      <c r="A35" s="48" t="inlineStr">
        <is>
          <t>MK-135</t>
        </is>
      </c>
      <c r="B35" s="48"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C35" s="48" t="inlineStr">
        <is>
          <t>Begrænser muligheden for at bruge ”Case accessgroup” der ellers passer på deres MK’s</t>
        </is>
      </c>
    </row>
    <row r="36" ht="64" customHeight="1">
      <c r="A36" s="48" t="inlineStr">
        <is>
          <t>MK-136</t>
        </is>
      </c>
      <c r="B36" s="48" t="inlineStr">
        <is>
          <t>ESDH-løsningen skal understøtte, at data skal kunne tilgås og udtrækkes udenom leverandørspecifikke værktøjer, således at fremtidig migrering til en anden platform kan gennemføres med begrænset kompleksitet og uden tab af data.</t>
        </is>
      </c>
      <c r="C36" s="48" t="inlineStr">
        <is>
          <t>Kan det lade sig gøre at trække data ud uden?</t>
        </is>
      </c>
    </row>
    <row r="37" ht="80" customHeight="1">
      <c r="A37" s="48" t="inlineStr">
        <is>
          <t>MK-142</t>
        </is>
      </c>
      <c r="B37" s="48" t="inlineStr">
        <is>
          <t>ESDH-løsningen skal understøtte integration til andre leverandører af office-pakker end Microsoft Office, som tilbyder samme services som kravstillet til standardsoftware, f.eks. opensource office pakken LibreOffice, som kan afvikles på Statens IT’s SIA pc.</t>
        </is>
      </c>
      <c r="C37" s="48" t="inlineStr">
        <is>
          <t>Det har vi ikke endnu</t>
        </is>
      </c>
    </row>
    <row r="38" ht="48" customHeight="1">
      <c r="A38" s="48" t="inlineStr">
        <is>
          <t>MK-145</t>
        </is>
      </c>
      <c r="B38" s="48" t="inlineStr">
        <is>
          <t>ESDH-løsningen skal understøtte, at det fremgår visuelt i Outlook-mapper, på hvilken sag og hvornår en e-mail er blevet journaliseret i ESDH-løsningen.</t>
        </is>
      </c>
      <c r="C38" s="48" t="inlineStr">
        <is>
          <t>Kan vi kun med office webapps</t>
        </is>
      </c>
    </row>
    <row r="39" ht="64" customHeight="1">
      <c r="A39" s="48" t="inlineStr">
        <is>
          <t>MK-148</t>
        </is>
      </c>
      <c r="B39" s="48" t="inlineStr">
        <is>
          <t>ESDH-løsningen skal understøtte integration til andre leverandører af e-mail klienter, som tilbyder samme services som kravstillet til standardsoftware, f.eks. Evolution mailklient, som kan afvikles på Statens IT’s SIA pc.</t>
        </is>
      </c>
      <c r="C39" s="48" t="inlineStr">
        <is>
          <t>Understøtter vi ikke endnu</t>
        </is>
      </c>
    </row>
    <row r="40" ht="32" customHeight="1">
      <c r="A40" s="48" t="inlineStr">
        <is>
          <t>MK-150</t>
        </is>
      </c>
      <c r="B40" s="48" t="inlineStr">
        <is>
          <t>Scanningsløsningen skal kunne benyttes på følgende fysiske skannere:</t>
        </is>
      </c>
      <c r="C40" s="48" t="inlineStr">
        <is>
          <t>Ingen ide</t>
        </is>
      </c>
    </row>
    <row r="41" ht="80" customHeight="1">
      <c r="A41" s="48" t="inlineStr">
        <is>
          <t>MK-151</t>
        </is>
      </c>
      <c r="B41" s="48" t="inlineStr">
        <is>
          <t>De skannede Dokumenter skal ende i en ”skanningsindbakke” i ESDH-løsningen, hvor man kan modtage skannede Dokumenter til en afdeling, team eller til enkeltpersoner. Scannede Dokumenter til enkeltpersoner skal også kunne ses af afdelingen/teamet.</t>
        </is>
      </c>
      <c r="C41" s="48" t="inlineStr">
        <is>
          <t>Ved ikke om vi understøtter til enkeltpersoner..?</t>
        </is>
      </c>
    </row>
    <row r="42" ht="48" customHeight="1">
      <c r="A42" s="48" t="inlineStr">
        <is>
          <t>MK-153</t>
        </is>
      </c>
      <c r="B42" s="48" t="inlineStr">
        <is>
          <t>Dokumenterne skal sorteres og skannes med eksempelvis skilleark eller lignende løsning, som sikrer at Dokumenterne ender hos den rigtige person/afdeling/team i ESDH-løsningen.</t>
        </is>
      </c>
      <c r="C42" s="48" t="inlineStr">
        <is>
          <t>Igen person</t>
        </is>
      </c>
    </row>
    <row r="43" ht="48" customHeight="1">
      <c r="A43" s="48" t="inlineStr">
        <is>
          <t>MK-165</t>
        </is>
      </c>
      <c r="B43" s="48" t="inlineStr">
        <is>
          <t>ESDH-løsningen skal understøtte, at alle nødvendige parametre kan anvendes til opsætning og Konfiguration af fjernprint.</t>
        </is>
      </c>
      <c r="C43" s="48" t="inlineStr">
        <is>
          <t>Ikke sikker - kender ikke nogen kunder der har det, men mon ikke vi kan understøtte det</t>
        </is>
      </c>
    </row>
    <row r="44" ht="96" customHeight="1">
      <c r="A44" s="48" t="inlineStr">
        <is>
          <t>MK-168</t>
        </is>
      </c>
      <c r="B44" s="48"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C44" s="48" t="inlineStr">
        <is>
          <t>Understøtter vi ikke - vi skifter ikke automatisk til næste forsendelseskanal hvis den første fejler.</t>
        </is>
      </c>
    </row>
    <row r="45" ht="32" customHeight="1">
      <c r="A45" s="48" t="inlineStr">
        <is>
          <t>MK-169</t>
        </is>
      </c>
      <c r="B45" s="48" t="inlineStr">
        <is>
          <t>ESDH-løsningen skal understøtte en forsendelsesproces, hvor forsendelsen er større end, hvad der kan sendes i Digital Post.</t>
        </is>
      </c>
      <c r="C45" s="48" t="inlineStr">
        <is>
          <t>Har vi ikke</t>
        </is>
      </c>
    </row>
    <row r="46" ht="80" customHeight="1">
      <c r="A46" s="48" t="inlineStr">
        <is>
          <t>MK-170</t>
        </is>
      </c>
      <c r="B46" s="48"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C46" s="48" t="inlineStr">
        <is>
          <t>Ser ikke ud til at F2 er på bordet for udskiftning også</t>
        </is>
      </c>
    </row>
    <row r="47" ht="32" customHeight="1">
      <c r="A47" s="48" t="inlineStr">
        <is>
          <t>MK-175</t>
        </is>
      </c>
      <c r="B47" s="48" t="inlineStr">
        <is>
          <t>Leverandøren skal sikre etablering, Konfiguration og stabil drift af to sikkerhedsmæssigt adskilte miljøer:</t>
        </is>
      </c>
      <c r="C47" s="48" t="inlineStr">
        <is>
          <t>Leverandøren kan vel ikke sikre etablering af miljøer når SIT er driftsleverandør?</t>
        </is>
      </c>
    </row>
    <row r="48" ht="160" customHeight="1">
      <c r="A48" s="35" t="inlineStr">
        <is>
          <t>Bilag 1 - Optioner</t>
        </is>
      </c>
      <c r="B48"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C48"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row>
    <row r="49" ht="64" customHeight="1">
      <c r="A49" s="3" t="inlineStr">
        <is>
          <t>B1.A-7</t>
        </is>
      </c>
      <c r="B49" s="35" t="inlineStr">
        <is>
          <t>Ved migrering af drift fra et system til et andet eller ved skift af driftsleverandør, har Kunden ret til vederlagsfrit at dobbeltdrifte i en periode på op til 4 måneder, hvor systemet migreres fra et driftsmiljø til et andet.</t>
        </is>
      </c>
      <c r="C49" s="35" t="inlineStr">
        <is>
          <t>Prispåvirkning - dette kan være dyrt.</t>
        </is>
      </c>
    </row>
    <row r="50" ht="192" customHeight="1">
      <c r="A50" s="3" t="inlineStr">
        <is>
          <t>B1.A-9</t>
        </is>
      </c>
      <c r="B50"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C50" s="35" t="inlineStr">
        <is>
          <t>Betyder dette, at de kan få adgang til vores kildekode? At de vil kopiere vores kildekode og gøre med det, hvad de vil? Dette kan vi IKKE leve med.</t>
        </is>
      </c>
    </row>
    <row r="51" ht="112" customHeight="1">
      <c r="A51" s="3" t="inlineStr">
        <is>
          <t>B1.A-10</t>
        </is>
      </c>
      <c r="B51"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C51" s="35" t="inlineStr">
        <is>
          <t xml:space="preserve">Dette er nok skrevet ind for at Deloitte kan arbejde for dem. </t>
        </is>
      </c>
    </row>
    <row r="52" ht="32" customHeight="1">
      <c r="A52" s="3" t="inlineStr">
        <is>
          <t>Bilag 1 - Tidsplan</t>
        </is>
      </c>
      <c r="B52" s="3" t="inlineStr">
        <is>
          <t xml:space="preserve">Kontraktunderskrift sker først efter afklaringsfasen. </t>
        </is>
      </c>
      <c r="C52" s="35" t="inlineStr">
        <is>
          <t xml:space="preserve">Dette er meget unormalt og kan bruges som en ekstra måde at kunne sparke en leverandør ud på. </t>
        </is>
      </c>
    </row>
    <row r="53" ht="64" customHeight="1">
      <c r="A53" s="3" t="inlineStr">
        <is>
          <t>Fordeling af krav</t>
        </is>
      </c>
      <c r="B53" s="35" t="inlineStr">
        <is>
          <t>I udbudsmaterialet findes der følgende fordeling af krav: 
- ca. 217 krav (83 %) er klassificeret som Mindstekrav, 
- ca. 33 krav (13 %) er klassificeret som Krav,
- kun ca. 12 krav (4 %) er klassificeret som Evalueringskrav.</t>
        </is>
      </c>
      <c r="C53" s="35" t="inlineStr">
        <is>
          <t>Tommelfingerreglen for offentlige udbud er, at kun omkring 10% af et udbuds totale antal krav bør være mindstekrav.</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0"/>
  <sheetViews>
    <sheetView zoomScale="85" zoomScaleNormal="85" workbookViewId="0">
      <pane ySplit="1" topLeftCell="A9" activePane="bottomLeft" state="frozen"/>
      <selection pane="bottomLeft" activeCell="D13" sqref="D13"/>
    </sheetView>
  </sheetViews>
  <sheetFormatPr baseColWidth="8" defaultRowHeight="16"/>
  <cols>
    <col width="3.07421875" bestFit="1" customWidth="1" min="1" max="1"/>
    <col width="21" customWidth="1" min="2" max="2"/>
    <col width="13" customWidth="1" min="3" max="3"/>
    <col width="58.23046875" customWidth="1" min="4" max="4"/>
    <col width="13.69140625" customWidth="1" style="7" min="5" max="5"/>
    <col width="45.69140625" customWidth="1" min="6" max="6"/>
    <col width="14.765625" customWidth="1" style="7" min="7" max="7"/>
    <col width="26.53515625" customWidth="1" min="8" max="8"/>
  </cols>
  <sheetData>
    <row r="1">
      <c r="A1" s="32" t="inlineStr">
        <is>
          <t>#</t>
        </is>
      </c>
      <c r="B1" s="32" t="inlineStr">
        <is>
          <t>Relates to requirement ID</t>
        </is>
      </c>
      <c r="C1" s="32" t="inlineStr">
        <is>
          <t>Sender</t>
        </is>
      </c>
      <c r="D1" s="32" t="inlineStr">
        <is>
          <t>Question</t>
        </is>
      </c>
      <c r="E1" s="32" t="inlineStr">
        <is>
          <t>Sent Date</t>
        </is>
      </c>
      <c r="F1" s="32" t="inlineStr">
        <is>
          <t>Answer</t>
        </is>
      </c>
      <c r="G1" s="32" t="inlineStr">
        <is>
          <t>Received Date</t>
        </is>
      </c>
      <c r="H1" s="32" t="inlineStr">
        <is>
          <t>Comment</t>
        </is>
      </c>
    </row>
    <row r="2" hidden="1" ht="409.5" customHeight="1">
      <c r="A2" s="3" t="n">
        <v>1</v>
      </c>
      <c r="B2" s="35" t="inlineStr">
        <is>
          <t>Leveringskontrakten:
Punkt 16.1 (Forsinkelse)
Punkt 16.3 (Bod)
Punkt 16.4 (Erstatning)
Bilag 1.h Servicemål (SLA-bod)
Bilag 5 CSR (CSR-bod)
Bilag 6 Trepartsaftale (bod ved mangelfuld rapportering til SKI)</t>
        </is>
      </c>
      <c r="C2" s="3" t="inlineStr">
        <is>
          <t>Tieto</t>
        </is>
      </c>
      <c r="D2" s="35" t="inlineStr">
        <is>
          <t>Leveringskontrakten fastsætter et bod-system med følgende elementer: (1) Dagbod på
0,1% af evalueringsteknisk pris (minimum DKK 1.500/dag) fra dag 31 af forsinkelse, (2)
Supplerende bodspoint ved SLA-overtrædelser værdsatte til leverandørens timepris, (3)
Maksimalt bod på 10% af evalueringsteknisk pris. Bod kan modregnes direkte i
vederlaget. Den samlede bod-risiko kan dermed udgøre væsentligt af projektets
fortjeneste.
Leverandøren finder, at de samlede bodsbestemmelser i Leveringskontrakten og de tilhørende bilag er væsentligt mere vidtgående end det, der almindeligvis ses i markedet for tilsvarende offentlige it-kontrakter. Kontrakten indeholder blandt andet bod ved implementeringsforsinkelse, bod ved mangler, særskilte bodsbestemmelser for servicemål, CSR-relaterede bodsbestemmelser samt bodsbestemmelser i trepartsaftalen med SKI.
Efter tilbudsgivers opfattelse medfører dette et uforholdsmæssigt højt risikoniveau, idet flere bodsregimer kan finde anvendelse parallelt for samme kontraktforhold. Den samlede regulering fremstår derfor ikke markedskonform og understøtter efter tilbudsgivers vurdering ikke et balanceret kontraktforhold, hvor begge parter har et fælles incitament til at løse udfordringer i samarbejde.
Som bestemmelserne er udformet, kan de eksempelvis føre til situationer, hvor:
samme hændelse udløser flere samtidige bodskrav efter forskellige bilag,
mindre eller kortvarige afvigelser med begrænset forretningsmæssig betydning kan udløse betydelige økonomiske sanktioner,
bod kan påløbe, selv om leverandøren arbejder aktivt og loyalt på at afhjælpe forholdet,
kunden får et økonomisk incitament til at lade bod fortsætte frem for hurtigt at samarbejde om en praktisk løsning, fordi kontrakten ikke i tilstrækkelig grad understøtter afhjælpning før sanktionering.
Vil Kunden derfor overveje at justere bodsbestemmelserne, så de samlet set bliver mere proportionale og markedskonforme, eksempelvis ved at:
begrænse muligheden for kumulation af bod,
reducere bodsniveauerne,
indføre en rimelig afhjælpningsperiode før bod pålægges,
fastsætte et samlet loft for bod på tværs af kontrakten og bilagene.
En sådan justering vil efter tilbudsgivers vurdering skabe et mere balanceret kontraktgrundlag, hvor sanktioner fortsat kan anvendes ved væsentlig misligholdelse, men hvor kontrakten i højere grad understøtter et samarbejde om hurtig afhjælpning og en succesfuld leverance.
Det kombinerede bod-system (dagbod + bodspoint) udgør
en betydelig finansiel risiko uden tydelige årsagssammenhænge til kundens tab. En 10%
maksimalbod kan være højere end projektets nettoresultat. Hvis leverandøren ikke kan
påtage sig sådan risiko uden væsentlig prisforhøjelse, eller hvis risikoen vurderes som
uacceptabel, kan dette påvirke antallet og kvaliteten af tilbud. Kun meget store
leverandører med høj risiko-tolerance kan være villige til at byde under disse
betingelser.</t>
        </is>
      </c>
      <c r="E2" s="8" t="n"/>
      <c r="F2" s="3" t="n"/>
      <c r="G2" s="8" t="n"/>
      <c r="H2" s="3" t="inlineStr">
        <is>
          <t>Afventer - efter ferien</t>
        </is>
      </c>
    </row>
    <row r="3" hidden="1" ht="320" customHeight="1">
      <c r="A3" s="3" t="n">
        <v>2</v>
      </c>
      <c r="B3" s="35" t="inlineStr">
        <is>
          <t>Bilag 1 Kundens opgavebeskrivelse
Punkt 2.2 Support og vedligeholdelse
Punkt 2.3 Implementering
Punkt 3 Eksisterende it-miljø
Punkt 4 Tidsplan
Bilag 1.c Kundens eksisterende it-landskab
Bilag 1.g Samarbejde under Leveringskontrakten
Bilag 1.h Servicemål
Bilag 1.l Statens IT's driftsmodeller</t>
        </is>
      </c>
      <c r="C3" s="3" t="inlineStr">
        <is>
          <t>Tieto</t>
        </is>
      </c>
      <c r="D3" s="35" t="inlineStr">
        <is>
          <t>Leverandøren implementerer ESDH-systemet, men Statens IT (SIT) driver og supporterer det i produktionsmiljø efter Go-Live. Ansvarsgrænsen mellem disse to roller er ikke præcist defineret. Det er uklart: Hvem er ansvarlig hvis SIT's infrastruktur fejler?
Hvem betaler hvis SIT ikke leverer promised ressourcer (CPU-kapacitet, lagring, backup)? Kan leverandøren blive pålagt bod for SLA-overtrædelser der skyldes SIT's manglende drift-ressourcer?
 Kan I præcisere grænserne for ansvar mellem leverandørens implementering og SIT's drift? Specifikt: (1) Hvis systemet ikke opnår den fastsatte tilgængelighed eller performance på grund af utilstrækkelig infrastruktur fra SIT, hvem betaler? (2) Hvad
er proceduren hvis SIT kan ikke levere promised drift-ressourcer? (3) Er der SLA'er for SIT's drift, og hvordan håndteres overtrædelser af disse SLA'er?
Baggrund for spørgsmål: Hvis leverandøren kan blive pålagt bod for SLAovertrædelser der skyldes SIT's drift-mangler, betyder det, at leverandøren kan straffes økonomisk for fejl som ligger uden for deres kontrol. Dette øger risikoen betydeligt og kan være uacceptabelt for leverandøren. Manglende klarhed omkring ansvarsgrænserne kan føre til tvister og påvirke leverandørens vilje til at acceptere SLA'er.</t>
        </is>
      </c>
      <c r="E3" s="8" t="n"/>
      <c r="F3" s="3" t="n"/>
      <c r="G3" s="8" t="n"/>
      <c r="H3" s="3" t="inlineStr">
        <is>
          <t>Afventer - efter ferien</t>
        </is>
      </c>
    </row>
    <row r="4" hidden="1" ht="409.5" customHeight="1">
      <c r="A4" s="3" t="n">
        <v>4</v>
      </c>
      <c r="B4" s="35" t="inlineStr">
        <is>
          <t>Bilag 1.b Krav til standardsoftware
Samtlige MK, K og EK
Bilag 1.e Krav til IT- og informationssikkerhed
Samtlige MK og K
Opfordringsskrivelsen
Afsnit om evaluering
Afsnit om konditionsmæssighed</t>
        </is>
      </c>
      <c r="C4" s="3" t="inlineStr">
        <is>
          <t>Tieto</t>
        </is>
      </c>
      <c r="D4" s="35" t="inlineStr">
        <is>
          <t>I udbudsmaterialet findes der følgende fordeling af krav: 
- ca. 217 krav (83 %) er klassificeret som Mindstekrav, 
- ca. 33 krav (13 %) er klassificeret som Krav,
- kun ca. 12 krav (4 %) er klassificeret som Evalueringskrav.
Det betyder, at langt hovedparten af kravene er ufravigelige Mindstekrav, som tilbudsgiver skal opfylde, mens kun en meget begrænset del af kravene giver mulighed for, at Ordregiver kan evaluere forskellige løsningsforslag og deres kvalitet.
Tommelfingerreglen for offentlige udbud er, at kun omkring 10% af et udbuds totale antal krav bør være mindstekrav.
Efter vores opfattelse indebærer en så høj andel af detaljerede Mindstekrav en risiko for, at konkurrencen begrænses unødigt, idet leverandørerne kun i begrænset omfang får mulighed for at konkurrere på forskellige standardfunktionaliteter, arkitekturvalg og løsningsmetoder. Dette gælder særligt, når Mindstekravene omfatter detaljerede krav til funktionalitet, brugergrænseflade og systemarkitektur frem for de bagvedliggende forretningsmæssige behov.
Ordregiver bedes derfor oplyse:
Hvilke overvejelser ligger til grund for, at ca. 83 % af kravene er udformet som Mindstekrav?
Har Ordregiver vurderet, om alle disse krav er nødvendige som ufravigelige Mindstekrav, eller om en del af kravene kunne være udformet som Krav eller Evalueringskrav, således at forskellige standardløsninger kunne konkurrere på deres respektive styrker?
Hvordan har Ordregiver sikret, at kravspecifikationen er udformet i overensstemmelse med udbudslovens § 42 om tekniske specifikationer, således at kravene ikke i praksis favoriserer bestemte produkter eller leverandører, men giver alle relevante standardløsninger mulighed for at konkurrere på lige vilkår?
Hvordan har Ordregiver vurderet, at den valgte kravstruktur er forenelig med udbudslovens § 2 om ligebehandling og proportionalitet, når langt størstedelen af kravene er gjort til ufravigelige Mindstekrav?
Baggrunden for spørgsmålene er, at en kravspecifikation med en meget høj andel af detaljerede Mindstekrav kan medføre, at konkurrencen i praksis begrænses til standardløsninger, som allerede er indrettet efter netop disse krav. Leverandører, der kan opfylde Ordregivers behov gennem andre standardfunktionaliteter eller en anden systemarkitektur, kan dermed få vanskeligere ved at konkurrere, selv om løsningen opfylder de bagvedliggende forretningsmæssige behov.
Ordregiver bedes derfor redegøre for, hvilke konkrete vurderinger der er foretaget for at sikre, at kravspecifikationen ikke begrænser konkurrencen mere end nødvendigt, og at de opstillede Mindstekrav er proportionale og objektivt nødvendige for at opfylde Ordregivers behov.</t>
        </is>
      </c>
      <c r="E4" s="8" t="n"/>
      <c r="F4" s="3" t="n"/>
      <c r="G4" s="8" t="n"/>
      <c r="H4" s="3" t="inlineStr">
        <is>
          <t>Afventer - efter ferien</t>
        </is>
      </c>
    </row>
    <row r="5" hidden="1" ht="368" customHeight="1">
      <c r="A5" s="3" t="n">
        <v>5</v>
      </c>
      <c r="B5" s="35" t="inlineStr">
        <is>
          <t>Opfordringsskrivelsen
Afsnit 3 Skriftlige spørgsmål
Tidsplanen for spørgsmål og svar
Tilbudsfrister</t>
        </is>
      </c>
      <c r="C5" s="3" t="inlineStr">
        <is>
          <t>Tieto</t>
        </is>
      </c>
      <c r="D5" s="35" t="inlineStr">
        <is>
          <t>Ordregiver har anført, at tilbudsgiverne i perioden fra den 10. juli 2026 til den 2. august 2026 ikke kan forvente at modtage svar på indsendte spørgsmål.
Udbudsmaterialet er omfattende og indeholder et betydeligt antal detaljerede tekniske, kontraktuelle og sikkerhedsmæssige krav. For at kunne udarbejde et kvalificeret og konkurrencedygtigt tilbud er tilbudsgiverne afhængige af løbende afklaring af spørgsmål til udbudsmaterialet.
Ordregiver bedes derfor redegøre for, hvordan det er vurderet, at den lange periode uden mulighed for afklaring giver tilbudsgiverne tilstrækkelige muligheder for at udarbejde et fuldt oplyst og konkurrencedygtigt tilbud på lige vilkår.
Har Ordregiver overvejet enten:
at besvare spørgsmål løbende i ferieperioden,
at forlænge tilbudsfristen tilsvarende, eller
at forlænge fristen for indsendelse af spørgsmål,
således at tilbudsgiverne reelt har mulighed for at få afklaret væsentlige forhold i udbudsmaterialet inden tilbudsafgivelsen?</t>
        </is>
      </c>
      <c r="E5" s="8" t="n"/>
      <c r="F5" s="3" t="n"/>
      <c r="G5" s="8" t="n"/>
      <c r="H5" s="3" t="inlineStr">
        <is>
          <t>Afventer - efter ferien</t>
        </is>
      </c>
    </row>
    <row r="6" hidden="1" ht="409.5" customHeight="1">
      <c r="A6" s="3" t="n">
        <v>6</v>
      </c>
      <c r="B6" s="35" t="inlineStr">
        <is>
          <t>Bilag 1 Kundens opgavebeskrivelse
Punkt 2.3 Implementering
Punkt 4 Tidsplan
Bilag 1.g Samarbejde under Leveringskontrakten
Kapitel 3 Samarbejdsorganisation i implementeringsfasen
Punkt 3.5 Projektledelse</t>
        </is>
      </c>
      <c r="C6" s="3" t="inlineStr">
        <is>
          <t>Tieto</t>
        </is>
      </c>
      <c r="D6" s="35" t="inlineStr">
        <is>
          <t>Udbudsmaterialet beskriver, at implementeringen skal gennemføres i et tæt samarbejde mellem Ordregiver og Leverandøren, og at begge parter har væsentlige roller i projektets gennemførelse.
Ordregiver bedes derfor oplyse, hvem der forventes at varetage projektlederrollen på Ordregivers side under implementeringsfasen.
Er det Ordregivers forventning, at projektledelsen varetages af interne medarbejdere, eller forventes projektledelsen helt eller delvist varetaget af en ekstern rådgiver?
Såfremt Ordregiver forventer at anvende en ekstern rådgiver, bedes Ordregiver oplyse, om denne vil være den samme rådgiver, som har bistået Ordregiver med udarbejdelsen af udbudsmaterialet og den forudgående anskaffelsesproces.
Baggrunden for spørgsmålet er, at projektorganisationen, projektledelsens rolle og graden af kontinuitet mellem udbudsfasen og implementeringsfasen har væsentlig betydning for implementeringsrisikoen, governance, beslutningsprocesser og samarbejdsmodellen. Disse forhold indgår direkte i tilbudsgivernes vurdering af risiko og dermed i prissætningen af implementeringsopgaven.
En afklaring vil derfor bidrage til en mere ensartet risikovurdering og prissætning blandt tilbudsgiverne.</t>
        </is>
      </c>
      <c r="E6" s="8" t="n"/>
      <c r="F6" s="3" t="n"/>
      <c r="G6" s="8" t="n"/>
      <c r="H6" s="3" t="inlineStr">
        <is>
          <t>Afventer - efter ferien</t>
        </is>
      </c>
    </row>
    <row r="7" hidden="1" ht="336" customHeight="1">
      <c r="A7" s="3" t="n">
        <v>7</v>
      </c>
      <c r="B7" s="35" t="inlineStr">
        <is>
          <t>Bilag 1 Kundens opgavebeskrivelse
Punkt 4.1 Faser i tidsplanen
Punkt 4.2 Nedbrydning af faserne
Aktiviteten "Kontraktunderskrivelse"
Leveringskontrakten
Punkt 13 Varighed</t>
        </is>
      </c>
      <c r="C7" s="3" t="inlineStr">
        <is>
          <t>Tieto</t>
        </is>
      </c>
      <c r="D7" s="35" t="inlineStr">
        <is>
          <t>Det fremgår af Bilag 1, at afklaringsfasen omfatter en række aktiviteter, herunder planlægning, afklaringer, projektopstart, miljøopsætning og etablering af testmiljø, og at afklaringsfasen afsluttes med "Kontraktunderskrivelse".
Tilbudsgiver forstår dette således, at den endelige kontrakt først underskrives efter gennemførelsen af afklaringsfasen.
Er denne forståelse korrekt?
Såfremt dette er tilfældet, bedes Ordregiver redegøre for:
Hvilket kontraktgrundlag regulerer Parternes rettigheder og forpligtelser under afklaringsfasen.
Hvordan Ordregiver har vurderet denne model i forhold til almindelig udbuds- og kontraktpraksis, hvor kontrakten typisk indgås forud for projektets opstart.
Hvilke konsekvenser det har, hvis Parterne ikke kan opnå enighed om de forhold, der afklares i afklaringsfasen, herunder om Ordregiver i så fald kan vælge ikke at underskrive kontrakten, selv om leverandøren er blevet tildelt kontrakten efter gennemført udbud.</t>
        </is>
      </c>
      <c r="E7" s="8" t="n"/>
      <c r="F7" s="3" t="n"/>
      <c r="G7" s="8" t="n"/>
      <c r="H7" s="3" t="inlineStr">
        <is>
          <t>Afventer - efter ferien</t>
        </is>
      </c>
    </row>
    <row r="8" ht="288" customHeight="1">
      <c r="A8" s="3" t="n">
        <v>8</v>
      </c>
      <c r="B8" s="35" t="inlineStr">
        <is>
          <t>Option 5 – Databasedrift hos Statens IT
Bilag 1 Kundens opgavebeskrivelse
Punkt 7 Optioner
Option 5 Databasedrift hos Statens IT
Bilag 1.i Vederlag og betalingsplan
Prissætning af optioner
Bilag 1.l Statens IT's driftsmodeller
Bilag 1.h Servicemål (hvis optionen aktiveres)</t>
        </is>
      </c>
      <c r="C8" s="3" t="inlineStr">
        <is>
          <t>Tieto</t>
        </is>
      </c>
      <c r="D8" s="35" t="inlineStr">
        <is>
          <t>Det fremgår af Option 5, at Ordregiver ønsker mulighed for at overdrage ansvaret for drift og vedligeholdelse af ESDH-løsningens database (middleware) til Leverandøren i Ordregivers miljø hos Statens IT.
Ordregiver bedes oplyse, om Statens IT har bekræftet, at den beskrevne driftsmodel er teknisk, kontraktuelt og driftsmæssigt mulig inden for Statens IT's gældende driftsmodeller og rammevilkår.
Såfremt dette er tilfældet, bedes Ordregiver oplyse, om den nødvendige afklaring og accept fra Statens IT allerede foreligger, eller om dette først skal ske i forbindelse med en eventuel aktivering af optionen.
Baggrunden for spørgsmålet er, at optionens gennemførlighed afhænger af Statens IT's rammer og godkendelser. En afklaring er derfor nødvendig for, at tilbudsgiverne kan foretage en retvisende risikovurdering og prissætning af optionen på et ensartet grundlag.</t>
        </is>
      </c>
      <c r="E8" s="8" t="n"/>
      <c r="F8" s="3" t="n"/>
      <c r="G8" s="8" t="n"/>
      <c r="H8" s="3" t="n"/>
    </row>
    <row r="9" ht="48" customHeight="1">
      <c r="A9" s="3" t="n">
        <v>9</v>
      </c>
      <c r="B9" s="3" t="inlineStr">
        <is>
          <t xml:space="preserve">Erklæring om Ruslands-forordningen. </t>
        </is>
      </c>
      <c r="C9" s="3" t="inlineStr">
        <is>
          <t>Tieto</t>
        </is>
      </c>
      <c r="D9" s="35" t="inlineStr">
        <is>
          <t>Leverandøren gør opmærksom på, at der mangler en Erklæring om Ruslands-forordningen. 
Vil det være muligt for Ordregiver at uploade denne?</t>
        </is>
      </c>
      <c r="E9" s="8" t="n"/>
      <c r="F9" s="3" t="n"/>
      <c r="G9" s="8" t="n"/>
      <c r="H9" s="3" t="n"/>
    </row>
    <row r="10" ht="320" customHeight="1">
      <c r="A10" s="3" t="n">
        <v>10</v>
      </c>
      <c r="B10" s="3" t="inlineStr">
        <is>
          <t>Bilag 1.f</t>
        </is>
      </c>
      <c r="C10" s="3" t="inlineStr">
        <is>
          <t>Anton</t>
        </is>
      </c>
      <c r="D10" s="35" t="inlineStr">
        <is>
          <t>Det fremgår af Bilag 1.f, pkt. 12.1 og 12.2, at Driftsprøven først kan påbegyndes, når den fulde løsning er klar, herunder når både Proces- og regelstyringskomponenten samt Integrationsplatformen har gennemført og bestået deres respektive overtagelsesprøver.
Samtidig fremgår det af Leveringskontrakten, at Ordregiver har adgang til at gøre misligholdelsesbeføjelser gældende ved væsentlige forsinkelser, herunder hvis leveringen overskrider de kontraktuelle frister.
Ordregiver bedes derfor oplyse, hvordan denne afhængighed håndteres, hvis Proces- og regelstyringskomponenten og/eller Integrationsplatformen leveres af en anden leverandør, og en forsinkelse hos denne leverandør medfører, at Driftsprøven for ESDH-løsningen ikke kan påbegyndes eller afsluttes rettidigt.
Bekræfter Ordregiver, at Leverandøren ikke kan ifalde bod, misligholdelsesansvar eller risikere ophævelse som følge af forsinkelser, der udelukkende skyldes manglende levering eller godkendelse af disse øvrige komponenter?</t>
        </is>
      </c>
      <c r="E10" s="8" t="n"/>
      <c r="F10" s="3" t="n"/>
      <c r="G10" s="8" t="n"/>
      <c r="H10" s="3" t="n"/>
    </row>
    <row r="11" hidden="1" ht="272" customHeight="1">
      <c r="A11" s="3" t="n">
        <v>11</v>
      </c>
      <c r="B11" s="3" t="inlineStr">
        <is>
          <t>Bilag 1.f</t>
        </is>
      </c>
      <c r="C11" s="3" t="inlineStr">
        <is>
          <t>Tieto</t>
        </is>
      </c>
      <c r="D11" s="35" t="inlineStr">
        <is>
          <t>Det fremgår af Leveringskontrakten samt Bilag 1.d, at ESDH-løsningen udgør den første af tre komponenter i Ordregivers målarkitektur, og at den endelige Driftsprøve for ESDH-løsningen forudsætter, at både Proces- og regelstyringskomponenten samt Integrationsplatformen er implementeret og har bestået deres respektive overtagelsesprøver.
Ordregiver bedes redegøre for, hvordan den valgte opdeling af anskaffelsen er vurderet i forhold til udbudslovens § 2 om ligebehandling, gennemsigtighed og proportionalitet, når den kontraktuelle godkendelse af ESDH-løsningen er direkte afhængig af leverancer, der ikke er omfattet af nærværende udbud.
Ordregiver bedes samtidig oplyse, hvilke overvejelser der ligger til grund for, at de tre indbyrdes afhængige komponenter udbydes separat, herunder hvordan Ordregiver har sikret en klar ansvarsfordeling og en rimelig risikofordeling mellem de enkelte leverandører.</t>
        </is>
      </c>
      <c r="E11" s="8" t="n"/>
      <c r="F11" s="3" t="n"/>
      <c r="G11" s="8" t="n"/>
      <c r="H11" s="3" t="inlineStr">
        <is>
          <t>Afventer</t>
        </is>
      </c>
    </row>
    <row r="12" ht="169.5" customHeight="1">
      <c r="A12" s="3" t="n">
        <v>12</v>
      </c>
      <c r="B12" s="3" t="inlineStr">
        <is>
          <t>Bilag 1.b</t>
        </is>
      </c>
      <c r="C12" s="3" t="inlineStr">
        <is>
          <t>Anton</t>
        </is>
      </c>
      <c r="D12" s="49" t="inlineStr">
        <is>
          <t>MK 189 er selvmodsigende:
Ved afslutningen af hypercare-perioden skal Leverandøren udarbejde en rapport, der beskriver status og håndtering af samtlige registrerede fejl. Rapporten skal senest overleveres til Kunden ved afslutning af hypercare. 
Hvornår skal Leverandøren påbegynde udarbejdelsen, og hvornår skal den afleveres til kunden?</t>
        </is>
      </c>
      <c r="E12" s="8" t="n"/>
      <c r="F12" s="3" t="n"/>
      <c r="G12" s="8" t="n"/>
      <c r="H12" s="3" t="n"/>
    </row>
    <row r="13" ht="208" customHeight="1">
      <c r="A13" s="3" t="n">
        <v>13</v>
      </c>
      <c r="B13" s="3" t="inlineStr">
        <is>
          <t>Bilag 1.b</t>
        </is>
      </c>
      <c r="C13" s="3" t="inlineStr">
        <is>
          <t>Hans</t>
        </is>
      </c>
      <c r="D13" s="35" t="inlineStr">
        <is>
          <t>Ordregiver bedes præcisere, hvordan kravet om, at "Brugeren kan navigere og scrolle i dokument- og fillistevisninger, og at forhåndsvisningen automatisk opdateres og viser det Dokument/Fil, som Brugeren har navigeret til", skal forstås.
Er det Ordregivers forventning, at forhåndsvisningen løbende skal skifte i takt med, at Brugeren scroller gennem listen, eller er kravet opfyldt, når forhåndsvisningen automatisk opdateres, efter at Brugeren har navigeret til og valgt et andet dokument eller en anden fil?
Baggrunden for spørgsmålet er, at de to fortolkninger medfører forskellige krav til brugergrænsefladens adfærd, og en præcisering vil sikre en ensartet vurdering af tilbuddene.</t>
        </is>
      </c>
      <c r="E13" s="8" t="n"/>
      <c r="F13" s="3" t="n"/>
      <c r="G13" s="8" t="n"/>
      <c r="H13" s="3" t="n"/>
    </row>
    <row r="14">
      <c r="A14" s="3" t="n">
        <v>14</v>
      </c>
      <c r="B14" s="3" t="n"/>
      <c r="C14" s="3" t="n"/>
      <c r="D14" s="3" t="n"/>
      <c r="E14" s="8" t="n"/>
      <c r="F14" s="3" t="n"/>
      <c r="G14" s="8" t="n"/>
      <c r="H14" s="3" t="n"/>
    </row>
    <row r="15">
      <c r="A15" s="3" t="n">
        <v>15</v>
      </c>
      <c r="B15" s="3" t="n"/>
      <c r="C15" s="3" t="n"/>
      <c r="D15" s="3" t="n"/>
      <c r="E15" s="8" t="n"/>
      <c r="F15" s="3" t="n"/>
      <c r="G15" s="8" t="n"/>
      <c r="H15" s="3" t="n"/>
    </row>
    <row r="16">
      <c r="A16" s="3" t="n">
        <v>16</v>
      </c>
      <c r="B16" s="3" t="n"/>
      <c r="C16" s="3" t="n"/>
      <c r="D16" s="3" t="n"/>
      <c r="E16" s="8" t="n"/>
      <c r="F16" s="3" t="n"/>
      <c r="G16" s="8" t="n"/>
      <c r="H16" s="3" t="n"/>
    </row>
    <row r="17">
      <c r="A17" s="3" t="n">
        <v>17</v>
      </c>
      <c r="B17" s="3" t="n"/>
      <c r="C17" s="3" t="n"/>
      <c r="D17" s="3" t="n"/>
      <c r="E17" s="8" t="n"/>
      <c r="F17" s="3" t="n"/>
      <c r="G17" s="8" t="n"/>
      <c r="H17" s="3" t="n"/>
    </row>
    <row r="18">
      <c r="A18" s="3" t="n">
        <v>18</v>
      </c>
      <c r="B18" s="3" t="n"/>
      <c r="C18" s="3" t="n"/>
      <c r="D18" s="3" t="n"/>
      <c r="E18" s="8" t="n"/>
      <c r="F18" s="3" t="n"/>
      <c r="G18" s="8" t="n"/>
      <c r="H18" s="3" t="n"/>
    </row>
    <row r="19">
      <c r="A19" s="3" t="n">
        <v>19</v>
      </c>
      <c r="B19" s="3" t="n"/>
      <c r="C19" s="3" t="n"/>
      <c r="D19" s="3" t="n"/>
      <c r="E19" s="8" t="n"/>
      <c r="F19" s="3" t="n"/>
      <c r="G19" s="8" t="n"/>
      <c r="H19" s="3" t="n"/>
    </row>
    <row r="20">
      <c r="A20" s="3" t="n">
        <v>20</v>
      </c>
      <c r="B20" s="3" t="n"/>
      <c r="C20" s="3" t="n"/>
      <c r="D20" s="3" t="n"/>
      <c r="E20" s="8" t="n"/>
      <c r="F20" s="3" t="n"/>
      <c r="G20" s="8" t="n"/>
      <c r="H20"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4" sqref="A14:C16"/>
    </sheetView>
  </sheetViews>
  <sheetFormatPr baseColWidth="8" defaultRowHeight="16"/>
  <cols>
    <col width="35.53515625" bestFit="1" customWidth="1" min="1" max="1"/>
    <col width="22.3046875" customWidth="1" min="2" max="2"/>
  </cols>
  <sheetData>
    <row r="1">
      <c r="A1" s="40" t="inlineStr">
        <is>
          <t>Meeting</t>
        </is>
      </c>
      <c r="B1" s="40" t="inlineStr">
        <is>
          <t>Date</t>
        </is>
      </c>
    </row>
    <row r="2">
      <c r="A2" s="41" t="inlineStr">
        <is>
          <t>Tender material published</t>
        </is>
      </c>
      <c r="B2" s="41" t="inlineStr">
        <is>
          <t>Fri 03. Jul</t>
        </is>
      </c>
      <c r="C2" t="inlineStr">
        <is>
          <t>done</t>
        </is>
      </c>
    </row>
    <row r="3">
      <c r="A3" s="41" t="inlineStr">
        <is>
          <t>Material and requests sent to stakeholders</t>
        </is>
      </c>
      <c r="B3" s="41" t="inlineStr">
        <is>
          <t>Fri 03. Jul</t>
        </is>
      </c>
      <c r="C3" t="inlineStr">
        <is>
          <t>done</t>
        </is>
      </c>
    </row>
    <row r="4">
      <c r="A4" s="41" t="inlineStr">
        <is>
          <t>Kick-off meeting</t>
        </is>
      </c>
      <c r="B4" s="41" t="inlineStr">
        <is>
          <t>Mon 06. Jul</t>
        </is>
      </c>
      <c r="C4" t="inlineStr">
        <is>
          <t>done</t>
        </is>
      </c>
    </row>
    <row r="5">
      <c r="A5" s="41" t="inlineStr">
        <is>
          <t>Initial Solution Review</t>
        </is>
      </c>
      <c r="B5" s="41" t="inlineStr">
        <is>
          <t>Tue 07. Jul</t>
        </is>
      </c>
      <c r="C5" t="inlineStr">
        <is>
          <t>done</t>
        </is>
      </c>
    </row>
    <row r="6">
      <c r="A6" s="41" t="inlineStr">
        <is>
          <t>Initial guiding price meeting</t>
        </is>
      </c>
      <c r="B6" s="41" t="inlineStr">
        <is>
          <t>Tue 07. Jul</t>
        </is>
      </c>
      <c r="C6" t="inlineStr">
        <is>
          <t>done</t>
        </is>
      </c>
    </row>
    <row r="7">
      <c r="A7" s="41" t="inlineStr">
        <is>
          <t>Initial Legal review</t>
        </is>
      </c>
      <c r="B7" s="41" t="inlineStr">
        <is>
          <t>Tue 07. Jul</t>
        </is>
      </c>
      <c r="C7" t="inlineStr">
        <is>
          <t>done</t>
        </is>
      </c>
      <c r="E7" t="inlineStr">
        <is>
          <t xml:space="preserve">10. juli til 2. august kan vi ikke forvente at få svar fra kunden. </t>
        </is>
      </c>
    </row>
    <row r="8">
      <c r="A8" s="41" t="inlineStr">
        <is>
          <t>Initial SLA and servicegoal review</t>
        </is>
      </c>
      <c r="B8" s="41" t="inlineStr">
        <is>
          <t>Tue 07. Jul</t>
        </is>
      </c>
      <c r="C8" t="inlineStr">
        <is>
          <t>done</t>
        </is>
      </c>
    </row>
    <row r="9">
      <c r="A9" s="41" t="inlineStr">
        <is>
          <t>DG1</t>
        </is>
      </c>
      <c r="B9" s="41" t="inlineStr">
        <is>
          <t>Tue 07. Jul</t>
        </is>
      </c>
      <c r="C9" t="inlineStr">
        <is>
          <t>done</t>
        </is>
      </c>
    </row>
    <row r="10">
      <c r="A10" s="50" t="inlineStr">
        <is>
          <t>Holidays</t>
        </is>
      </c>
      <c r="B10" s="55" t="n"/>
    </row>
    <row r="11">
      <c r="A11" s="41" t="inlineStr">
        <is>
          <t>Legal review</t>
        </is>
      </c>
      <c r="B11" s="41" t="inlineStr">
        <is>
          <t>Wed 05. Aug</t>
        </is>
      </c>
      <c r="C11" t="inlineStr">
        <is>
          <t>done</t>
        </is>
      </c>
    </row>
    <row r="12">
      <c r="A12" s="41" t="inlineStr">
        <is>
          <t>Final SLA and servicegoals review</t>
        </is>
      </c>
      <c r="B12" s="41" t="inlineStr">
        <is>
          <t>Wed 05. Aug</t>
        </is>
      </c>
      <c r="C12" t="inlineStr">
        <is>
          <t>done</t>
        </is>
      </c>
    </row>
    <row r="13">
      <c r="A13" s="41" t="inlineStr">
        <is>
          <t>Finance review</t>
        </is>
      </c>
      <c r="B13" s="41" t="inlineStr">
        <is>
          <t>Fri 07. Aug</t>
        </is>
      </c>
    </row>
    <row r="14">
      <c r="A14" s="42" t="inlineStr">
        <is>
          <t>Product commitments</t>
        </is>
      </c>
      <c r="B14" s="42" t="inlineStr">
        <is>
          <t>Mon 10. Aug</t>
        </is>
      </c>
      <c r="C14" t="inlineStr">
        <is>
          <t>skal muligvis flyttes</t>
        </is>
      </c>
    </row>
    <row r="15">
      <c r="A15" s="41" t="inlineStr">
        <is>
          <t>Send material for DG2 L2 and L1</t>
        </is>
      </c>
      <c r="B15" s="41" t="inlineStr">
        <is>
          <t>Mon 10. Aug at 9</t>
        </is>
      </c>
    </row>
    <row r="16">
      <c r="A16" s="41" t="inlineStr">
        <is>
          <t>DG2 L2 and L1</t>
        </is>
      </c>
      <c r="B16" s="41" t="inlineStr">
        <is>
          <t>Tue 11. Aug at 9</t>
        </is>
      </c>
    </row>
    <row r="17">
      <c r="A17" s="41" t="inlineStr">
        <is>
          <t>Deadline for spørgsmål</t>
        </is>
      </c>
      <c r="B17" s="41" t="inlineStr">
        <is>
          <t xml:space="preserve">fre 14. august </t>
        </is>
      </c>
    </row>
    <row r="18">
      <c r="A18" s="41" t="inlineStr">
        <is>
          <t>Send material for DG2 L0</t>
        </is>
      </c>
      <c r="B18" s="41" t="inlineStr">
        <is>
          <t>Mon 17. Aug before 11</t>
        </is>
      </c>
    </row>
    <row r="19">
      <c r="A19" s="41" t="inlineStr">
        <is>
          <t>DG2 L0</t>
        </is>
      </c>
      <c r="B19" s="41" t="inlineStr">
        <is>
          <t>Tue 18. Aug at 11</t>
        </is>
      </c>
    </row>
    <row r="20">
      <c r="A20" s="41" t="inlineStr">
        <is>
          <t>Close for Edits</t>
        </is>
      </c>
      <c r="B20" s="41" t="inlineStr">
        <is>
          <t>Tue 24. Aug kl. 12</t>
        </is>
      </c>
    </row>
    <row r="21">
      <c r="A21" s="41" t="inlineStr">
        <is>
          <t>Hand-in</t>
        </is>
      </c>
      <c r="B21" s="41" t="inlineStr">
        <is>
          <t>Wed 26. Aug at 12</t>
        </is>
      </c>
    </row>
  </sheetData>
  <mergeCells count="1">
    <mergeCell ref="A10:B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6:G43"/>
  <sheetViews>
    <sheetView workbookViewId="0">
      <selection activeCell="E14" sqref="E14"/>
    </sheetView>
  </sheetViews>
  <sheetFormatPr baseColWidth="8" defaultRowHeight="16"/>
  <cols>
    <col width="26.07421875" bestFit="1" customWidth="1" min="3" max="3"/>
    <col width="15.765625" bestFit="1" customWidth="1" min="4" max="6"/>
  </cols>
  <sheetData>
    <row r="5" ht="16.5" customHeight="1" thickBot="1"/>
    <row r="6">
      <c r="B6" s="10" t="n"/>
      <c r="C6" s="11" t="n"/>
      <c r="D6" s="11" t="n"/>
      <c r="E6" s="11" t="n"/>
      <c r="F6" s="11" t="n"/>
      <c r="G6" s="12" t="n"/>
    </row>
    <row r="7">
      <c r="B7" s="13" t="n"/>
      <c r="C7" s="14" t="n"/>
      <c r="D7" s="14" t="n"/>
      <c r="E7" s="14" t="n"/>
      <c r="F7" s="14" t="n"/>
      <c r="G7" s="15" t="n"/>
    </row>
    <row r="8">
      <c r="B8" s="13" t="n"/>
      <c r="C8" s="4" t="inlineStr">
        <is>
          <t>Total numer of Requirements</t>
        </is>
      </c>
      <c r="D8" s="21">
        <f>COUNTIF('Production Plan'!B:B,"&lt;&gt;")-1</f>
        <v/>
      </c>
      <c r="E8" s="14" t="n"/>
      <c r="F8" s="14" t="n"/>
      <c r="G8" s="15" t="n"/>
    </row>
    <row r="9">
      <c r="B9" s="13" t="n"/>
      <c r="C9" s="20" t="n"/>
      <c r="D9" s="14" t="n"/>
      <c r="E9" s="14" t="n"/>
      <c r="F9" s="14" t="n"/>
      <c r="G9" s="15" t="n"/>
    </row>
    <row r="10">
      <c r="B10" s="13" t="n"/>
      <c r="C10" s="14" t="n"/>
      <c r="D10" s="14" t="n"/>
      <c r="E10" s="14" t="n"/>
      <c r="F10" s="14" t="n"/>
      <c r="G10" s="15" t="n"/>
    </row>
    <row r="11">
      <c r="B11" s="13" t="n"/>
      <c r="C11" s="14" t="n"/>
      <c r="D11" s="14" t="n"/>
      <c r="E11" s="56" t="inlineStr">
        <is>
          <t>Round 1</t>
        </is>
      </c>
      <c r="F11" s="55" t="n"/>
      <c r="G11" s="15" t="n"/>
    </row>
    <row r="12">
      <c r="B12" s="13" t="n"/>
      <c r="C12" s="14" t="n"/>
      <c r="D12" s="14" t="n"/>
      <c r="E12" s="5" t="inlineStr">
        <is>
          <t># of requirements</t>
        </is>
      </c>
      <c r="F12" s="5" t="inlineStr">
        <is>
          <t>%</t>
        </is>
      </c>
      <c r="G12" s="15" t="n"/>
    </row>
    <row r="13">
      <c r="B13" s="13" t="n"/>
      <c r="C13" s="6" t="inlineStr">
        <is>
          <t>Not Started</t>
        </is>
      </c>
      <c r="D13" s="30" t="n"/>
      <c r="E13" s="21">
        <f>COUNTIF('Production Plan'!U:U,Status!$C$13)</f>
        <v/>
      </c>
      <c r="F13" s="22">
        <f>E13/$D$8</f>
        <v/>
      </c>
      <c r="G13" s="15" t="n"/>
    </row>
    <row r="14">
      <c r="B14" s="13" t="n"/>
      <c r="C14" s="6" t="inlineStr">
        <is>
          <t>Started</t>
        </is>
      </c>
      <c r="D14" s="31" t="n"/>
      <c r="E14" s="21">
        <f>COUNTIF('Production Plan'!U:U,Status!C14)</f>
        <v/>
      </c>
      <c r="F14" s="22">
        <f>E14/$D$8</f>
        <v/>
      </c>
      <c r="G14" s="15" t="n"/>
    </row>
    <row r="15">
      <c r="B15" s="13" t="n"/>
      <c r="C15" s="6" t="inlineStr">
        <is>
          <t>Ready for review</t>
        </is>
      </c>
      <c r="D15" s="30" t="n"/>
      <c r="E15" s="21">
        <f>COUNTIF('Production Plan'!U:U,Status!C15)</f>
        <v/>
      </c>
      <c r="F15" s="22">
        <f>E15/$D$8</f>
        <v/>
      </c>
      <c r="G15" s="15" t="n"/>
    </row>
    <row r="16">
      <c r="B16" s="13" t="n"/>
      <c r="C16" s="6" t="inlineStr">
        <is>
          <t>Reviewed - Content</t>
        </is>
      </c>
      <c r="D16" s="30" t="n"/>
      <c r="E16" s="21">
        <f>COUNTIF('Production Plan'!U:U,Status!C16)</f>
        <v/>
      </c>
      <c r="F16" s="22">
        <f>E16/$D$8</f>
        <v/>
      </c>
      <c r="G16" s="15" t="n"/>
    </row>
    <row r="17">
      <c r="B17" s="13" t="n"/>
      <c r="C17" s="6" t="inlineStr">
        <is>
          <t>Reviewed - Format</t>
        </is>
      </c>
      <c r="D17" s="30" t="n"/>
      <c r="E17" s="21">
        <f>COUNTIF('Production Plan'!U:U,Status!C17)</f>
        <v/>
      </c>
      <c r="F17" s="22">
        <f>E17/$D$8</f>
        <v/>
      </c>
      <c r="G17" s="15" t="n"/>
    </row>
    <row r="18">
      <c r="B18" s="13" t="n"/>
      <c r="C18" s="6" t="inlineStr">
        <is>
          <t>Done</t>
        </is>
      </c>
      <c r="D18" s="31" t="n"/>
      <c r="E18" s="21">
        <f>COUNTIF('Production Plan'!U:U,Status!C18)</f>
        <v/>
      </c>
      <c r="F18" s="22">
        <f>E18/$D$8</f>
        <v/>
      </c>
      <c r="G18" s="15" t="n"/>
    </row>
    <row r="19">
      <c r="B19" s="13" t="n"/>
      <c r="C19" s="24" t="inlineStr">
        <is>
          <t>Total</t>
        </is>
      </c>
      <c r="D19" s="25" t="n"/>
      <c r="E19" s="26">
        <f>SUM(E13:E18)</f>
        <v/>
      </c>
      <c r="F19" s="27">
        <f>SUM(F13:F18)</f>
        <v/>
      </c>
      <c r="G19" s="15" t="n"/>
    </row>
    <row r="20">
      <c r="B20" s="13" t="n"/>
      <c r="C20" s="24" t="inlineStr">
        <is>
          <t>Missing</t>
        </is>
      </c>
      <c r="D20" s="25" t="n"/>
      <c r="E20" s="25">
        <f>$D$8-E19</f>
        <v/>
      </c>
      <c r="F20" s="28">
        <f>100%-F19</f>
        <v/>
      </c>
      <c r="G20" s="15" t="n"/>
    </row>
    <row r="21">
      <c r="B21" s="13" t="n"/>
      <c r="C21" s="14" t="n"/>
      <c r="E21" s="14" t="n"/>
      <c r="F21" s="16" t="n"/>
      <c r="G21" s="15" t="n"/>
    </row>
    <row r="22" ht="16.5" customHeight="1" thickBot="1">
      <c r="B22" s="17" t="n"/>
      <c r="C22" s="18" t="n"/>
      <c r="D22" s="18" t="n"/>
      <c r="E22" s="18" t="n"/>
      <c r="F22" s="18" t="n"/>
      <c r="G22" s="19" t="n"/>
    </row>
    <row r="24" ht="16.5" customHeight="1" thickBot="1"/>
    <row r="25">
      <c r="B25" s="10" t="n"/>
      <c r="C25" s="11" t="n"/>
      <c r="D25" s="11" t="n"/>
      <c r="E25" s="11" t="n"/>
      <c r="F25" s="11" t="n"/>
      <c r="G25" s="12" t="n"/>
    </row>
    <row r="26">
      <c r="B26" s="13" t="n"/>
      <c r="C26" s="14" t="n"/>
      <c r="D26" s="14" t="n"/>
      <c r="E26" s="14" t="n"/>
      <c r="F26" s="14" t="n"/>
      <c r="G26" s="15" t="n"/>
    </row>
    <row r="27">
      <c r="B27" s="13" t="n"/>
      <c r="C27" s="14" t="n"/>
      <c r="D27" s="14" t="n"/>
      <c r="E27" s="51" t="inlineStr">
        <is>
          <t>Round 1</t>
        </is>
      </c>
      <c r="F27" s="57" t="n"/>
      <c r="G27" s="15" t="n"/>
    </row>
    <row r="28">
      <c r="B28" s="13" t="n"/>
      <c r="C28" s="6" t="inlineStr">
        <is>
          <t>Responsible</t>
        </is>
      </c>
      <c r="D28" s="29" t="n"/>
      <c r="E28" s="9" t="inlineStr">
        <is>
          <t># of Requirements</t>
        </is>
      </c>
      <c r="F28" s="2" t="inlineStr">
        <is>
          <t>%</t>
        </is>
      </c>
      <c r="G28" s="15" t="n"/>
    </row>
    <row r="29">
      <c r="B29" s="13" t="n"/>
      <c r="C29" s="6" t="inlineStr">
        <is>
          <t>Anton</t>
        </is>
      </c>
      <c r="D29" s="29" t="n"/>
      <c r="E29" s="23">
        <f>COUNTIF('Production Plan'!L:L,C29)</f>
        <v/>
      </c>
      <c r="F29" s="22">
        <f>E29/$D$8</f>
        <v/>
      </c>
      <c r="G29" s="15" t="n"/>
    </row>
    <row r="30">
      <c r="B30" s="13" t="n"/>
      <c r="C30" s="6" t="inlineStr">
        <is>
          <t>Anita</t>
        </is>
      </c>
      <c r="D30" s="29" t="n"/>
      <c r="E30" s="23">
        <f>COUNTIF('Production Plan'!L:L,C30)</f>
        <v/>
      </c>
      <c r="F30" s="22">
        <f>E30/$D$8</f>
        <v/>
      </c>
      <c r="G30" s="15" t="n"/>
    </row>
    <row r="31">
      <c r="B31" s="13" t="n"/>
      <c r="C31" s="6" t="inlineStr">
        <is>
          <t>Hans</t>
        </is>
      </c>
      <c r="D31" s="29" t="n"/>
      <c r="E31" s="23">
        <f>COUNTIF('Production Plan'!L:L,C31)</f>
        <v/>
      </c>
      <c r="F31" s="22">
        <f>E31/$D$8</f>
        <v/>
      </c>
      <c r="G31" s="15" t="n"/>
    </row>
    <row r="32">
      <c r="B32" s="13" t="n"/>
      <c r="C32" s="6" t="inlineStr">
        <is>
          <t>Claus</t>
        </is>
      </c>
      <c r="D32" s="29" t="n"/>
      <c r="E32" s="23">
        <f>COUNTIF('Production Plan'!L:L,C32)</f>
        <v/>
      </c>
      <c r="F32" s="22">
        <f>E32/$D$8</f>
        <v/>
      </c>
      <c r="G32" s="15" t="n"/>
    </row>
    <row r="33">
      <c r="B33" s="13" t="n"/>
      <c r="C33" s="6" t="inlineStr">
        <is>
          <t>Torben</t>
        </is>
      </c>
      <c r="D33" s="29" t="n"/>
      <c r="E33" s="23">
        <f>COUNTIF('Production Plan'!L:L,C33)</f>
        <v/>
      </c>
      <c r="F33" s="22">
        <f>E33/$D$8</f>
        <v/>
      </c>
      <c r="G33" s="15" t="n"/>
    </row>
    <row r="34">
      <c r="B34" s="13" t="n"/>
      <c r="C34" s="6" t="inlineStr">
        <is>
          <t>Cristina</t>
        </is>
      </c>
      <c r="D34" s="29" t="n"/>
      <c r="E34" s="23">
        <f>COUNTIF('Production Plan'!L:L,C34)</f>
        <v/>
      </c>
      <c r="F34" s="22">
        <f>E34/$D$8</f>
        <v/>
      </c>
      <c r="G34" s="15" t="n"/>
    </row>
    <row r="35">
      <c r="B35" s="13" t="n"/>
      <c r="C35" s="6" t="inlineStr">
        <is>
          <t>Johan</t>
        </is>
      </c>
      <c r="D35" s="29" t="n"/>
      <c r="E35" s="23">
        <f>COUNTIF('Production Plan'!L:L,C35)</f>
        <v/>
      </c>
      <c r="F35" s="22">
        <f>E35/$D$8</f>
        <v/>
      </c>
      <c r="G35" s="15" t="n"/>
    </row>
    <row r="36">
      <c r="B36" s="13" t="n"/>
      <c r="C36" s="6" t="inlineStr">
        <is>
          <t>Mandip</t>
        </is>
      </c>
      <c r="D36" s="29" t="n"/>
      <c r="E36" s="23">
        <f>COUNTIF('Production Plan'!L:L,C36)</f>
        <v/>
      </c>
      <c r="F36" s="22">
        <f>E36/$D$8</f>
        <v/>
      </c>
      <c r="G36" s="15" t="n"/>
    </row>
    <row r="37">
      <c r="B37" s="13" t="n"/>
      <c r="C37" s="6" t="inlineStr">
        <is>
          <t>CloudOps</t>
        </is>
      </c>
      <c r="D37" s="29" t="n"/>
      <c r="E37" s="23">
        <f>COUNTIF('Production Plan'!L:L,C37)</f>
        <v/>
      </c>
      <c r="F37" s="22">
        <f>E37/$D$8</f>
        <v/>
      </c>
      <c r="G37" s="15" t="n"/>
    </row>
    <row r="38">
      <c r="B38" s="13" t="n"/>
      <c r="C38" s="6" t="inlineStr">
        <is>
          <t>Kaare</t>
        </is>
      </c>
      <c r="D38" s="29" t="n"/>
      <c r="E38" s="23">
        <f>COUNTIF('Production Plan'!L:L,C38)</f>
        <v/>
      </c>
      <c r="F38" s="22">
        <f>E38/$D$8</f>
        <v/>
      </c>
      <c r="G38" s="15" t="n"/>
    </row>
    <row r="39">
      <c r="B39" s="13" t="n"/>
      <c r="C39" s="6" t="inlineStr">
        <is>
          <t>Morten</t>
        </is>
      </c>
      <c r="D39" s="29" t="n"/>
      <c r="E39" s="23">
        <f>COUNTIF('Production Plan'!L:L,C39)</f>
        <v/>
      </c>
      <c r="F39" s="22">
        <f>E39/$D$8</f>
        <v/>
      </c>
      <c r="G39" s="15" t="n"/>
    </row>
    <row r="40">
      <c r="B40" s="13" t="n"/>
      <c r="C40" s="24" t="inlineStr">
        <is>
          <t>Total</t>
        </is>
      </c>
      <c r="D40" s="25" t="n"/>
      <c r="E40" s="25">
        <f>SUM(E29:E39)</f>
        <v/>
      </c>
      <c r="F40" s="28">
        <f>SUM(F29:F39)</f>
        <v/>
      </c>
      <c r="G40" s="15" t="n"/>
    </row>
    <row r="41">
      <c r="B41" s="13" t="n"/>
      <c r="C41" s="24" t="inlineStr">
        <is>
          <t>Missing</t>
        </is>
      </c>
      <c r="D41" s="25" t="n"/>
      <c r="E41" s="25">
        <f>$D$8-E40</f>
        <v/>
      </c>
      <c r="F41" s="28">
        <f>100%-F40</f>
        <v/>
      </c>
      <c r="G41" s="15" t="n"/>
    </row>
    <row r="42">
      <c r="B42" s="13" t="n"/>
      <c r="C42" s="14" t="n"/>
      <c r="D42" s="14" t="n"/>
      <c r="E42" s="14" t="n"/>
      <c r="F42" s="14" t="n"/>
      <c r="G42" s="15" t="n"/>
    </row>
    <row r="43" ht="16.5" customHeight="1" thickBot="1">
      <c r="B43" s="17" t="n"/>
      <c r="C43" s="18" t="n"/>
      <c r="D43" s="18" t="n"/>
      <c r="E43" s="18" t="n"/>
      <c r="F43" s="18" t="n"/>
      <c r="G43" s="19" t="n"/>
    </row>
  </sheetData>
  <mergeCells count="2">
    <mergeCell ref="E27:F27"/>
    <mergeCell ref="E11:F11"/>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J1009"/>
  <sheetViews>
    <sheetView workbookViewId="0">
      <selection activeCell="D1015" sqref="D1015"/>
    </sheetView>
  </sheetViews>
  <sheetFormatPr baseColWidth="8" defaultRowHeight="16"/>
  <cols>
    <col width="6.23046875" bestFit="1" customWidth="1" min="1" max="1"/>
    <col width="30.69140625" customWidth="1" min="3" max="3"/>
    <col width="38.07421875" customWidth="1" min="4" max="4"/>
    <col width="27.84375" bestFit="1" customWidth="1" min="5" max="5"/>
    <col width="40.07421875" customWidth="1" min="6" max="6"/>
    <col width="11.69140625" bestFit="1" customWidth="1" min="7" max="7"/>
    <col width="14.3046875" bestFit="1" customWidth="1" style="7" min="8" max="8"/>
    <col width="43.4609375" customWidth="1" min="9" max="9"/>
    <col width="37" customWidth="1" min="10" max="10"/>
  </cols>
  <sheetData>
    <row r="1">
      <c r="A1" s="4" t="inlineStr">
        <is>
          <t>Req ID</t>
        </is>
      </c>
      <c r="B1" s="4" t="inlineStr">
        <is>
          <t>Included</t>
        </is>
      </c>
      <c r="C1" s="4" t="inlineStr">
        <is>
          <t>Requirement</t>
        </is>
      </c>
      <c r="D1" s="4" t="inlineStr">
        <is>
          <t>Non-standard element</t>
        </is>
      </c>
      <c r="E1" s="4" t="inlineStr">
        <is>
          <t>Effect if not included</t>
        </is>
      </c>
      <c r="F1" s="4" t="inlineStr">
        <is>
          <t>Issue description</t>
        </is>
      </c>
      <c r="G1" s="4" t="inlineStr">
        <is>
          <t>Committer</t>
        </is>
      </c>
      <c r="H1" s="4" t="inlineStr">
        <is>
          <t>Comitted date</t>
        </is>
      </c>
      <c r="I1" s="4" t="inlineStr">
        <is>
          <t>Conditions for commitment</t>
        </is>
      </c>
      <c r="J1" s="4" t="inlineStr">
        <is>
          <t>Comment</t>
        </is>
      </c>
    </row>
    <row r="2">
      <c r="A2" s="3">
        <f>'Production Plan'!B2</f>
        <v/>
      </c>
      <c r="B2" s="3">
        <f>VLOOKUP(A2,'Production Plan'!B:Q,14,FALSE)</f>
        <v/>
      </c>
      <c r="C2" s="3">
        <f>VLOOKUP(A2,'Production Plan'!B:F,5,FALSE)</f>
        <v/>
      </c>
      <c r="D2" s="3" t="inlineStr">
        <is>
          <t>Describe</t>
        </is>
      </c>
      <c r="E2" s="3" t="inlineStr">
        <is>
          <t>Disqualification/Non-conditional</t>
        </is>
      </c>
      <c r="F2" s="3" t="inlineStr">
        <is>
          <t>Issue as we don't have this solution</t>
        </is>
      </c>
      <c r="G2" s="3" t="inlineStr">
        <is>
          <t>Name</t>
        </is>
      </c>
      <c r="H2" s="8" t="n">
        <v>46023</v>
      </c>
      <c r="I2" s="3" t="inlineStr">
        <is>
          <t>Conditional upon winning.</t>
        </is>
      </c>
      <c r="J2" s="3" t="n"/>
    </row>
    <row r="3" hidden="1">
      <c r="A3">
        <f>'Production Plan'!B3</f>
        <v/>
      </c>
      <c r="B3" s="3">
        <f>VLOOKUP(A3,'Production Plan'!B:Q,14,FALSE)</f>
        <v/>
      </c>
    </row>
    <row r="4" hidden="1">
      <c r="A4">
        <f>'Production Plan'!B4</f>
        <v/>
      </c>
      <c r="B4" s="3">
        <f>VLOOKUP(A4,'Production Plan'!B:Q,14,FALSE)</f>
        <v/>
      </c>
    </row>
    <row r="5" hidden="1">
      <c r="A5">
        <f>'Production Plan'!B5</f>
        <v/>
      </c>
      <c r="B5" s="3">
        <f>VLOOKUP(A5,'Production Plan'!B:Q,14,FALSE)</f>
        <v/>
      </c>
    </row>
    <row r="6" hidden="1">
      <c r="A6">
        <f>'Production Plan'!B6</f>
        <v/>
      </c>
      <c r="B6" s="3">
        <f>VLOOKUP(A6,'Production Plan'!B:Q,14,FALSE)</f>
        <v/>
      </c>
    </row>
    <row r="7" hidden="1">
      <c r="A7">
        <f>'Production Plan'!B7</f>
        <v/>
      </c>
      <c r="B7" s="3">
        <f>VLOOKUP(A7,'Production Plan'!B:Q,14,FALSE)</f>
        <v/>
      </c>
    </row>
    <row r="8" hidden="1">
      <c r="A8">
        <f>'Production Plan'!B8</f>
        <v/>
      </c>
      <c r="B8" s="3">
        <f>VLOOKUP(A8,'Production Plan'!B:Q,14,FALSE)</f>
        <v/>
      </c>
    </row>
    <row r="9" hidden="1">
      <c r="A9">
        <f>'Production Plan'!B9</f>
        <v/>
      </c>
      <c r="B9" s="3">
        <f>VLOOKUP(A9,'Production Plan'!B:Q,14,FALSE)</f>
        <v/>
      </c>
    </row>
    <row r="10" hidden="1">
      <c r="A10">
        <f>'Production Plan'!B10</f>
        <v/>
      </c>
      <c r="B10" s="3">
        <f>VLOOKUP(A10,'Production Plan'!B:Q,14,FALSE)</f>
        <v/>
      </c>
    </row>
    <row r="11" hidden="1">
      <c r="A11">
        <f>'Production Plan'!B11</f>
        <v/>
      </c>
      <c r="B11" s="3">
        <f>VLOOKUP(A11,'Production Plan'!B:Q,14,FALSE)</f>
        <v/>
      </c>
    </row>
    <row r="12" hidden="1">
      <c r="A12">
        <f>'Production Plan'!B12</f>
        <v/>
      </c>
      <c r="B12" s="3">
        <f>VLOOKUP(A12,'Production Plan'!B:Q,14,FALSE)</f>
        <v/>
      </c>
    </row>
    <row r="13" hidden="1">
      <c r="A13">
        <f>'Production Plan'!B13</f>
        <v/>
      </c>
      <c r="B13" s="3">
        <f>VLOOKUP(A13,'Production Plan'!B:Q,14,FALSE)</f>
        <v/>
      </c>
    </row>
    <row r="14" hidden="1">
      <c r="A14">
        <f>'Production Plan'!B14</f>
        <v/>
      </c>
      <c r="B14" s="3">
        <f>VLOOKUP(A14,'Production Plan'!B:Q,14,FALSE)</f>
        <v/>
      </c>
    </row>
    <row r="15" hidden="1">
      <c r="A15">
        <f>'Production Plan'!B15</f>
        <v/>
      </c>
      <c r="B15" s="3">
        <f>VLOOKUP(A15,'Production Plan'!B:Q,14,FALSE)</f>
        <v/>
      </c>
    </row>
    <row r="16" hidden="1">
      <c r="A16">
        <f>'Production Plan'!B16</f>
        <v/>
      </c>
      <c r="B16" s="3">
        <f>VLOOKUP(A16,'Production Plan'!B:Q,14,FALSE)</f>
        <v/>
      </c>
    </row>
    <row r="17" hidden="1">
      <c r="A17">
        <f>'Production Plan'!B17</f>
        <v/>
      </c>
      <c r="B17" s="3">
        <f>VLOOKUP(A17,'Production Plan'!B:Q,14,FALSE)</f>
        <v/>
      </c>
    </row>
    <row r="18" hidden="1">
      <c r="A18">
        <f>'Production Plan'!B18</f>
        <v/>
      </c>
      <c r="B18" s="3">
        <f>VLOOKUP(A18,'Production Plan'!B:Q,14,FALSE)</f>
        <v/>
      </c>
    </row>
    <row r="19" hidden="1">
      <c r="A19">
        <f>'Production Plan'!B19</f>
        <v/>
      </c>
      <c r="B19" s="3">
        <f>VLOOKUP(A19,'Production Plan'!B:Q,14,FALSE)</f>
        <v/>
      </c>
    </row>
    <row r="20" hidden="1">
      <c r="A20">
        <f>'Production Plan'!B20</f>
        <v/>
      </c>
      <c r="B20" s="3">
        <f>VLOOKUP(A20,'Production Plan'!B:Q,14,FALSE)</f>
        <v/>
      </c>
    </row>
    <row r="21" hidden="1">
      <c r="A21">
        <f>'Production Plan'!B21</f>
        <v/>
      </c>
      <c r="B21" s="3">
        <f>VLOOKUP(A21,'Production Plan'!B:Q,14,FALSE)</f>
        <v/>
      </c>
    </row>
    <row r="22" hidden="1">
      <c r="A22">
        <f>'Production Plan'!B22</f>
        <v/>
      </c>
      <c r="B22" s="3">
        <f>VLOOKUP(A22,'Production Plan'!B:Q,14,FALSE)</f>
        <v/>
      </c>
    </row>
    <row r="23" hidden="1">
      <c r="A23">
        <f>'Production Plan'!B23</f>
        <v/>
      </c>
      <c r="B23" s="3">
        <f>VLOOKUP(A23,'Production Plan'!B:Q,14,FALSE)</f>
        <v/>
      </c>
    </row>
    <row r="24" hidden="1">
      <c r="A24">
        <f>'Production Plan'!B24</f>
        <v/>
      </c>
      <c r="B24" s="3">
        <f>VLOOKUP(A24,'Production Plan'!B:Q,14,FALSE)</f>
        <v/>
      </c>
    </row>
    <row r="25" hidden="1">
      <c r="A25">
        <f>'Production Plan'!B25</f>
        <v/>
      </c>
      <c r="B25" s="3">
        <f>VLOOKUP(A25,'Production Plan'!B:Q,14,FALSE)</f>
        <v/>
      </c>
    </row>
    <row r="26" hidden="1">
      <c r="A26">
        <f>'Production Plan'!B26</f>
        <v/>
      </c>
      <c r="B26" s="3">
        <f>VLOOKUP(A26,'Production Plan'!B:Q,14,FALSE)</f>
        <v/>
      </c>
    </row>
    <row r="27" hidden="1">
      <c r="A27">
        <f>'Production Plan'!B27</f>
        <v/>
      </c>
      <c r="B27" s="3">
        <f>VLOOKUP(A27,'Production Plan'!B:Q,14,FALSE)</f>
        <v/>
      </c>
    </row>
    <row r="28" hidden="1">
      <c r="A28">
        <f>'Production Plan'!B28</f>
        <v/>
      </c>
      <c r="B28" s="3">
        <f>VLOOKUP(A28,'Production Plan'!B:Q,14,FALSE)</f>
        <v/>
      </c>
    </row>
    <row r="29" hidden="1">
      <c r="A29">
        <f>'Production Plan'!B29</f>
        <v/>
      </c>
      <c r="B29" s="3">
        <f>VLOOKUP(A29,'Production Plan'!B:Q,14,FALSE)</f>
        <v/>
      </c>
    </row>
    <row r="30" hidden="1">
      <c r="A30">
        <f>'Production Plan'!B30</f>
        <v/>
      </c>
      <c r="B30" s="3">
        <f>VLOOKUP(A30,'Production Plan'!B:Q,14,FALSE)</f>
        <v/>
      </c>
    </row>
    <row r="31" hidden="1">
      <c r="A31">
        <f>'Production Plan'!B31</f>
        <v/>
      </c>
      <c r="B31" s="3">
        <f>VLOOKUP(A31,'Production Plan'!B:Q,14,FALSE)</f>
        <v/>
      </c>
    </row>
    <row r="32" hidden="1">
      <c r="A32">
        <f>'Production Plan'!B32</f>
        <v/>
      </c>
      <c r="B32" s="3">
        <f>VLOOKUP(A32,'Production Plan'!B:Q,14,FALSE)</f>
        <v/>
      </c>
    </row>
    <row r="33" hidden="1">
      <c r="A33">
        <f>'Production Plan'!B33</f>
        <v/>
      </c>
      <c r="B33" s="3">
        <f>VLOOKUP(A33,'Production Plan'!B:Q,14,FALSE)</f>
        <v/>
      </c>
    </row>
    <row r="34" hidden="1">
      <c r="A34">
        <f>'Production Plan'!B34</f>
        <v/>
      </c>
      <c r="B34" s="3">
        <f>VLOOKUP(A34,'Production Plan'!B:Q,14,FALSE)</f>
        <v/>
      </c>
    </row>
    <row r="35" hidden="1">
      <c r="A35">
        <f>'Production Plan'!B35</f>
        <v/>
      </c>
      <c r="B35" s="3">
        <f>VLOOKUP(A35,'Production Plan'!B:Q,14,FALSE)</f>
        <v/>
      </c>
    </row>
    <row r="36" hidden="1">
      <c r="A36">
        <f>'Production Plan'!B36</f>
        <v/>
      </c>
      <c r="B36" s="3">
        <f>VLOOKUP(A36,'Production Plan'!B:Q,14,FALSE)</f>
        <v/>
      </c>
    </row>
    <row r="37" hidden="1">
      <c r="A37">
        <f>'Production Plan'!B37</f>
        <v/>
      </c>
      <c r="B37" s="3">
        <f>VLOOKUP(A37,'Production Plan'!B:Q,14,FALSE)</f>
        <v/>
      </c>
    </row>
    <row r="38" hidden="1">
      <c r="A38">
        <f>'Production Plan'!B38</f>
        <v/>
      </c>
      <c r="B38" s="3">
        <f>VLOOKUP(A38,'Production Plan'!B:Q,14,FALSE)</f>
        <v/>
      </c>
    </row>
    <row r="39" hidden="1">
      <c r="A39">
        <f>'Production Plan'!B39</f>
        <v/>
      </c>
      <c r="B39" s="3">
        <f>VLOOKUP(A39,'Production Plan'!B:Q,14,FALSE)</f>
        <v/>
      </c>
    </row>
    <row r="40" hidden="1">
      <c r="A40">
        <f>'Production Plan'!B40</f>
        <v/>
      </c>
      <c r="B40" s="3">
        <f>VLOOKUP(A40,'Production Plan'!B:Q,14,FALSE)</f>
        <v/>
      </c>
    </row>
    <row r="41" hidden="1">
      <c r="A41">
        <f>'Production Plan'!B41</f>
        <v/>
      </c>
      <c r="B41" s="3">
        <f>VLOOKUP(A41,'Production Plan'!B:Q,14,FALSE)</f>
        <v/>
      </c>
    </row>
    <row r="42" hidden="1">
      <c r="A42">
        <f>'Production Plan'!B42</f>
        <v/>
      </c>
      <c r="B42" s="3">
        <f>VLOOKUP(A42,'Production Plan'!B:Q,14,FALSE)</f>
        <v/>
      </c>
    </row>
    <row r="43" hidden="1">
      <c r="A43">
        <f>'Production Plan'!B43</f>
        <v/>
      </c>
      <c r="B43" s="3">
        <f>VLOOKUP(A43,'Production Plan'!B:Q,14,FALSE)</f>
        <v/>
      </c>
    </row>
    <row r="44" hidden="1">
      <c r="A44">
        <f>'Production Plan'!B44</f>
        <v/>
      </c>
      <c r="B44" s="3">
        <f>VLOOKUP(A44,'Production Plan'!B:Q,14,FALSE)</f>
        <v/>
      </c>
    </row>
    <row r="45" hidden="1">
      <c r="A45">
        <f>'Production Plan'!B45</f>
        <v/>
      </c>
      <c r="B45" s="3">
        <f>VLOOKUP(A45,'Production Plan'!B:Q,14,FALSE)</f>
        <v/>
      </c>
    </row>
    <row r="46" hidden="1">
      <c r="A46">
        <f>'Production Plan'!B46</f>
        <v/>
      </c>
      <c r="B46" s="3">
        <f>VLOOKUP(A46,'Production Plan'!B:Q,14,FALSE)</f>
        <v/>
      </c>
    </row>
    <row r="47" hidden="1">
      <c r="A47">
        <f>'Production Plan'!B47</f>
        <v/>
      </c>
      <c r="B47" s="3">
        <f>VLOOKUP(A47,'Production Plan'!B:Q,14,FALSE)</f>
        <v/>
      </c>
    </row>
    <row r="48" hidden="1">
      <c r="A48">
        <f>'Production Plan'!B48</f>
        <v/>
      </c>
      <c r="B48" s="3">
        <f>VLOOKUP(A48,'Production Plan'!B:Q,14,FALSE)</f>
        <v/>
      </c>
    </row>
    <row r="49" hidden="1">
      <c r="A49">
        <f>'Production Plan'!B49</f>
        <v/>
      </c>
      <c r="B49" s="3">
        <f>VLOOKUP(A49,'Production Plan'!B:Q,14,FALSE)</f>
        <v/>
      </c>
    </row>
    <row r="50" hidden="1">
      <c r="A50">
        <f>'Production Plan'!B50</f>
        <v/>
      </c>
      <c r="B50" s="3">
        <f>VLOOKUP(A50,'Production Plan'!B:Q,14,FALSE)</f>
        <v/>
      </c>
    </row>
    <row r="51" hidden="1">
      <c r="A51">
        <f>'Production Plan'!B51</f>
        <v/>
      </c>
      <c r="B51" s="3">
        <f>VLOOKUP(A51,'Production Plan'!B:Q,14,FALSE)</f>
        <v/>
      </c>
    </row>
    <row r="52" hidden="1">
      <c r="A52">
        <f>'Production Plan'!B52</f>
        <v/>
      </c>
      <c r="B52" s="3">
        <f>VLOOKUP(A52,'Production Plan'!B:Q,14,FALSE)</f>
        <v/>
      </c>
    </row>
    <row r="53" hidden="1">
      <c r="A53">
        <f>'Production Plan'!B53</f>
        <v/>
      </c>
      <c r="B53" s="3">
        <f>VLOOKUP(A53,'Production Plan'!B:Q,14,FALSE)</f>
        <v/>
      </c>
    </row>
    <row r="54" hidden="1">
      <c r="A54">
        <f>'Production Plan'!B54</f>
        <v/>
      </c>
      <c r="B54" s="3">
        <f>VLOOKUP(A54,'Production Plan'!B:Q,14,FALSE)</f>
        <v/>
      </c>
    </row>
    <row r="55" hidden="1">
      <c r="A55">
        <f>'Production Plan'!B55</f>
        <v/>
      </c>
      <c r="B55" s="3">
        <f>VLOOKUP(A55,'Production Plan'!B:Q,14,FALSE)</f>
        <v/>
      </c>
    </row>
    <row r="56" hidden="1">
      <c r="A56">
        <f>'Production Plan'!B56</f>
        <v/>
      </c>
      <c r="B56" s="3">
        <f>VLOOKUP(A56,'Production Plan'!B:Q,14,FALSE)</f>
        <v/>
      </c>
    </row>
    <row r="57" hidden="1">
      <c r="A57">
        <f>'Production Plan'!B57</f>
        <v/>
      </c>
      <c r="B57" s="3">
        <f>VLOOKUP(A57,'Production Plan'!B:Q,14,FALSE)</f>
        <v/>
      </c>
    </row>
    <row r="58" hidden="1">
      <c r="A58">
        <f>'Production Plan'!B58</f>
        <v/>
      </c>
      <c r="B58" s="3">
        <f>VLOOKUP(A58,'Production Plan'!B:Q,14,FALSE)</f>
        <v/>
      </c>
    </row>
    <row r="59" hidden="1">
      <c r="A59">
        <f>'Production Plan'!B59</f>
        <v/>
      </c>
      <c r="B59" s="3">
        <f>VLOOKUP(A59,'Production Plan'!B:Q,14,FALSE)</f>
        <v/>
      </c>
    </row>
    <row r="60" hidden="1">
      <c r="A60">
        <f>'Production Plan'!B60</f>
        <v/>
      </c>
      <c r="B60" s="3">
        <f>VLOOKUP(A60,'Production Plan'!B:Q,14,FALSE)</f>
        <v/>
      </c>
    </row>
    <row r="61" hidden="1">
      <c r="A61">
        <f>'Production Plan'!B61</f>
        <v/>
      </c>
      <c r="B61" s="3">
        <f>VLOOKUP(A61,'Production Plan'!B:Q,14,FALSE)</f>
        <v/>
      </c>
    </row>
    <row r="62" hidden="1">
      <c r="A62">
        <f>'Production Plan'!B62</f>
        <v/>
      </c>
      <c r="B62" s="3">
        <f>VLOOKUP(A62,'Production Plan'!B:Q,14,FALSE)</f>
        <v/>
      </c>
    </row>
    <row r="63" hidden="1">
      <c r="A63">
        <f>'Production Plan'!B63</f>
        <v/>
      </c>
      <c r="B63" s="3">
        <f>VLOOKUP(A63,'Production Plan'!B:Q,14,FALSE)</f>
        <v/>
      </c>
    </row>
    <row r="64" hidden="1">
      <c r="A64">
        <f>'Production Plan'!B64</f>
        <v/>
      </c>
      <c r="B64" s="3">
        <f>VLOOKUP(A64,'Production Plan'!B:Q,14,FALSE)</f>
        <v/>
      </c>
    </row>
    <row r="65" hidden="1">
      <c r="A65">
        <f>'Production Plan'!B65</f>
        <v/>
      </c>
      <c r="B65" s="3">
        <f>VLOOKUP(A65,'Production Plan'!B:Q,14,FALSE)</f>
        <v/>
      </c>
    </row>
    <row r="66" hidden="1">
      <c r="A66">
        <f>'Production Plan'!B66</f>
        <v/>
      </c>
      <c r="B66" s="3">
        <f>VLOOKUP(A66,'Production Plan'!B:Q,14,FALSE)</f>
        <v/>
      </c>
    </row>
    <row r="67" hidden="1">
      <c r="A67">
        <f>'Production Plan'!B67</f>
        <v/>
      </c>
      <c r="B67" s="3">
        <f>VLOOKUP(A67,'Production Plan'!B:Q,14,FALSE)</f>
        <v/>
      </c>
    </row>
    <row r="68" hidden="1">
      <c r="A68">
        <f>'Production Plan'!B68</f>
        <v/>
      </c>
      <c r="B68" s="3">
        <f>VLOOKUP(A68,'Production Plan'!B:Q,14,FALSE)</f>
        <v/>
      </c>
    </row>
    <row r="69" hidden="1">
      <c r="A69">
        <f>'Production Plan'!B69</f>
        <v/>
      </c>
      <c r="B69" s="3">
        <f>VLOOKUP(A69,'Production Plan'!B:Q,14,FALSE)</f>
        <v/>
      </c>
    </row>
    <row r="70" hidden="1">
      <c r="A70">
        <f>'Production Plan'!B70</f>
        <v/>
      </c>
      <c r="B70" s="3">
        <f>VLOOKUP(A70,'Production Plan'!B:Q,14,FALSE)</f>
        <v/>
      </c>
    </row>
    <row r="71" hidden="1">
      <c r="A71">
        <f>'Production Plan'!B71</f>
        <v/>
      </c>
      <c r="B71" s="3">
        <f>VLOOKUP(A71,'Production Plan'!B:Q,14,FALSE)</f>
        <v/>
      </c>
    </row>
    <row r="72" hidden="1">
      <c r="A72">
        <f>'Production Plan'!B72</f>
        <v/>
      </c>
      <c r="B72" s="3">
        <f>VLOOKUP(A72,'Production Plan'!B:Q,14,FALSE)</f>
        <v/>
      </c>
    </row>
    <row r="73" hidden="1">
      <c r="A73">
        <f>'Production Plan'!B73</f>
        <v/>
      </c>
      <c r="B73" s="3">
        <f>VLOOKUP(A73,'Production Plan'!B:Q,14,FALSE)</f>
        <v/>
      </c>
    </row>
    <row r="74" hidden="1">
      <c r="A74">
        <f>'Production Plan'!B74</f>
        <v/>
      </c>
      <c r="B74" s="3">
        <f>VLOOKUP(A74,'Production Plan'!B:Q,14,FALSE)</f>
        <v/>
      </c>
    </row>
    <row r="75" hidden="1">
      <c r="A75">
        <f>'Production Plan'!B75</f>
        <v/>
      </c>
      <c r="B75" s="3">
        <f>VLOOKUP(A75,'Production Plan'!B:Q,14,FALSE)</f>
        <v/>
      </c>
    </row>
    <row r="76" hidden="1">
      <c r="A76">
        <f>'Production Plan'!B76</f>
        <v/>
      </c>
      <c r="B76" s="3">
        <f>VLOOKUP(A76,'Production Plan'!B:Q,14,FALSE)</f>
        <v/>
      </c>
    </row>
    <row r="77" hidden="1">
      <c r="A77">
        <f>'Production Plan'!B77</f>
        <v/>
      </c>
      <c r="B77" s="3">
        <f>VLOOKUP(A77,'Production Plan'!B:Q,14,FALSE)</f>
        <v/>
      </c>
    </row>
    <row r="78" hidden="1">
      <c r="A78">
        <f>'Production Plan'!B78</f>
        <v/>
      </c>
      <c r="B78" s="3">
        <f>VLOOKUP(A78,'Production Plan'!B:Q,14,FALSE)</f>
        <v/>
      </c>
    </row>
    <row r="79" hidden="1">
      <c r="A79">
        <f>'Production Plan'!B79</f>
        <v/>
      </c>
      <c r="B79" s="3">
        <f>VLOOKUP(A79,'Production Plan'!B:Q,14,FALSE)</f>
        <v/>
      </c>
    </row>
    <row r="80" hidden="1">
      <c r="A80">
        <f>'Production Plan'!B80</f>
        <v/>
      </c>
      <c r="B80" s="3">
        <f>VLOOKUP(A80,'Production Plan'!B:Q,14,FALSE)</f>
        <v/>
      </c>
    </row>
    <row r="81" hidden="1">
      <c r="A81">
        <f>'Production Plan'!B81</f>
        <v/>
      </c>
      <c r="B81" s="3">
        <f>VLOOKUP(A81,'Production Plan'!B:Q,14,FALSE)</f>
        <v/>
      </c>
    </row>
    <row r="82" hidden="1">
      <c r="A82">
        <f>'Production Plan'!B82</f>
        <v/>
      </c>
      <c r="B82" s="3">
        <f>VLOOKUP(A82,'Production Plan'!B:Q,14,FALSE)</f>
        <v/>
      </c>
    </row>
    <row r="83" hidden="1">
      <c r="A83">
        <f>'Production Plan'!B83</f>
        <v/>
      </c>
      <c r="B83" s="3">
        <f>VLOOKUP(A83,'Production Plan'!B:Q,14,FALSE)</f>
        <v/>
      </c>
    </row>
    <row r="84" hidden="1">
      <c r="A84">
        <f>'Production Plan'!B84</f>
        <v/>
      </c>
      <c r="B84" s="3">
        <f>VLOOKUP(A84,'Production Plan'!B:Q,14,FALSE)</f>
        <v/>
      </c>
    </row>
    <row r="85" hidden="1">
      <c r="A85">
        <f>'Production Plan'!B85</f>
        <v/>
      </c>
      <c r="B85" s="3">
        <f>VLOOKUP(A85,'Production Plan'!B:Q,14,FALSE)</f>
        <v/>
      </c>
    </row>
    <row r="86" hidden="1">
      <c r="A86">
        <f>'Production Plan'!B86</f>
        <v/>
      </c>
      <c r="B86" s="3">
        <f>VLOOKUP(A86,'Production Plan'!B:Q,14,FALSE)</f>
        <v/>
      </c>
    </row>
    <row r="87" hidden="1">
      <c r="A87">
        <f>'Production Plan'!B87</f>
        <v/>
      </c>
      <c r="B87" s="3">
        <f>VLOOKUP(A87,'Production Plan'!B:Q,14,FALSE)</f>
        <v/>
      </c>
    </row>
    <row r="88" hidden="1">
      <c r="A88">
        <f>'Production Plan'!B88</f>
        <v/>
      </c>
      <c r="B88" s="3">
        <f>VLOOKUP(A88,'Production Plan'!B:Q,14,FALSE)</f>
        <v/>
      </c>
    </row>
    <row r="89" hidden="1">
      <c r="A89">
        <f>'Production Plan'!B89</f>
        <v/>
      </c>
      <c r="B89" s="3">
        <f>VLOOKUP(A89,'Production Plan'!B:Q,14,FALSE)</f>
        <v/>
      </c>
    </row>
    <row r="90" hidden="1">
      <c r="A90">
        <f>'Production Plan'!B90</f>
        <v/>
      </c>
      <c r="B90" s="3">
        <f>VLOOKUP(A90,'Production Plan'!B:Q,14,FALSE)</f>
        <v/>
      </c>
    </row>
    <row r="91" hidden="1">
      <c r="A91">
        <f>'Production Plan'!B91</f>
        <v/>
      </c>
      <c r="B91" s="3">
        <f>VLOOKUP(A91,'Production Plan'!B:Q,14,FALSE)</f>
        <v/>
      </c>
    </row>
    <row r="92" hidden="1">
      <c r="A92">
        <f>'Production Plan'!B92</f>
        <v/>
      </c>
      <c r="B92" s="3">
        <f>VLOOKUP(A92,'Production Plan'!B:Q,14,FALSE)</f>
        <v/>
      </c>
    </row>
    <row r="93" hidden="1">
      <c r="A93">
        <f>'Production Plan'!B93</f>
        <v/>
      </c>
      <c r="B93" s="3">
        <f>VLOOKUP(A93,'Production Plan'!B:Q,14,FALSE)</f>
        <v/>
      </c>
    </row>
    <row r="94" hidden="1">
      <c r="A94">
        <f>'Production Plan'!B94</f>
        <v/>
      </c>
      <c r="B94" s="3">
        <f>VLOOKUP(A94,'Production Plan'!B:Q,14,FALSE)</f>
        <v/>
      </c>
    </row>
    <row r="95" hidden="1">
      <c r="A95">
        <f>'Production Plan'!B95</f>
        <v/>
      </c>
      <c r="B95" s="3">
        <f>VLOOKUP(A95,'Production Plan'!B:Q,14,FALSE)</f>
        <v/>
      </c>
    </row>
    <row r="96" hidden="1">
      <c r="A96">
        <f>'Production Plan'!B96</f>
        <v/>
      </c>
      <c r="B96" s="3">
        <f>VLOOKUP(A96,'Production Plan'!B:Q,14,FALSE)</f>
        <v/>
      </c>
    </row>
    <row r="97" hidden="1">
      <c r="A97">
        <f>'Production Plan'!B97</f>
        <v/>
      </c>
      <c r="B97" s="3">
        <f>VLOOKUP(A97,'Production Plan'!B:Q,14,FALSE)</f>
        <v/>
      </c>
    </row>
    <row r="98" hidden="1">
      <c r="A98">
        <f>'Production Plan'!B98</f>
        <v/>
      </c>
      <c r="B98" s="3">
        <f>VLOOKUP(A98,'Production Plan'!B:Q,14,FALSE)</f>
        <v/>
      </c>
    </row>
    <row r="99" hidden="1">
      <c r="A99">
        <f>'Production Plan'!B99</f>
        <v/>
      </c>
      <c r="B99" s="3">
        <f>VLOOKUP(A99,'Production Plan'!B:Q,14,FALSE)</f>
        <v/>
      </c>
    </row>
    <row r="100" hidden="1">
      <c r="A100">
        <f>'Production Plan'!B100</f>
        <v/>
      </c>
      <c r="B100" s="3">
        <f>VLOOKUP(A100,'Production Plan'!B:Q,14,FALSE)</f>
        <v/>
      </c>
    </row>
    <row r="101" hidden="1">
      <c r="A101">
        <f>'Production Plan'!B101</f>
        <v/>
      </c>
      <c r="B101" s="3">
        <f>VLOOKUP(A101,'Production Plan'!B:Q,14,FALSE)</f>
        <v/>
      </c>
    </row>
    <row r="102" hidden="1">
      <c r="A102">
        <f>'Production Plan'!B102</f>
        <v/>
      </c>
      <c r="B102" s="3">
        <f>VLOOKUP(A102,'Production Plan'!B:Q,14,FALSE)</f>
        <v/>
      </c>
    </row>
    <row r="103" hidden="1">
      <c r="A103">
        <f>'Production Plan'!B103</f>
        <v/>
      </c>
      <c r="B103" s="3">
        <f>VLOOKUP(A103,'Production Plan'!B:Q,14,FALSE)</f>
        <v/>
      </c>
    </row>
    <row r="104" hidden="1">
      <c r="A104">
        <f>'Production Plan'!B104</f>
        <v/>
      </c>
      <c r="B104" s="3">
        <f>VLOOKUP(A104,'Production Plan'!B:Q,14,FALSE)</f>
        <v/>
      </c>
    </row>
    <row r="105" hidden="1">
      <c r="A105">
        <f>'Production Plan'!B105</f>
        <v/>
      </c>
      <c r="B105" s="3">
        <f>VLOOKUP(A105,'Production Plan'!B:Q,14,FALSE)</f>
        <v/>
      </c>
    </row>
    <row r="106" hidden="1">
      <c r="A106">
        <f>'Production Plan'!B106</f>
        <v/>
      </c>
      <c r="B106" s="3">
        <f>VLOOKUP(A106,'Production Plan'!B:Q,14,FALSE)</f>
        <v/>
      </c>
    </row>
    <row r="107" hidden="1">
      <c r="A107">
        <f>'Production Plan'!B107</f>
        <v/>
      </c>
      <c r="B107" s="3">
        <f>VLOOKUP(A107,'Production Plan'!B:Q,14,FALSE)</f>
        <v/>
      </c>
    </row>
    <row r="108" hidden="1">
      <c r="A108">
        <f>'Production Plan'!B108</f>
        <v/>
      </c>
      <c r="B108" s="3">
        <f>VLOOKUP(A108,'Production Plan'!B:Q,14,FALSE)</f>
        <v/>
      </c>
    </row>
    <row r="109" hidden="1">
      <c r="A109">
        <f>'Production Plan'!B109</f>
        <v/>
      </c>
      <c r="B109" s="3">
        <f>VLOOKUP(A109,'Production Plan'!B:Q,14,FALSE)</f>
        <v/>
      </c>
    </row>
    <row r="110" hidden="1">
      <c r="A110">
        <f>'Production Plan'!B110</f>
        <v/>
      </c>
      <c r="B110" s="3">
        <f>VLOOKUP(A110,'Production Plan'!B:Q,14,FALSE)</f>
        <v/>
      </c>
    </row>
    <row r="111" hidden="1">
      <c r="A111">
        <f>'Production Plan'!B111</f>
        <v/>
      </c>
      <c r="B111" s="3">
        <f>VLOOKUP(A111,'Production Plan'!B:Q,14,FALSE)</f>
        <v/>
      </c>
    </row>
    <row r="112" hidden="1">
      <c r="A112">
        <f>'Production Plan'!B112</f>
        <v/>
      </c>
      <c r="B112" s="3">
        <f>VLOOKUP(A112,'Production Plan'!B:Q,14,FALSE)</f>
        <v/>
      </c>
    </row>
    <row r="113" hidden="1">
      <c r="A113">
        <f>'Production Plan'!B113</f>
        <v/>
      </c>
      <c r="B113" s="3">
        <f>VLOOKUP(A113,'Production Plan'!B:Q,14,FALSE)</f>
        <v/>
      </c>
    </row>
    <row r="114" hidden="1">
      <c r="A114">
        <f>'Production Plan'!B114</f>
        <v/>
      </c>
      <c r="B114" s="3">
        <f>VLOOKUP(A114,'Production Plan'!B:Q,14,FALSE)</f>
        <v/>
      </c>
    </row>
    <row r="115" hidden="1">
      <c r="A115">
        <f>'Production Plan'!B115</f>
        <v/>
      </c>
      <c r="B115" s="3">
        <f>VLOOKUP(A115,'Production Plan'!B:Q,14,FALSE)</f>
        <v/>
      </c>
    </row>
    <row r="116" hidden="1">
      <c r="A116">
        <f>'Production Plan'!B116</f>
        <v/>
      </c>
      <c r="B116" s="3">
        <f>VLOOKUP(A116,'Production Plan'!B:Q,14,FALSE)</f>
        <v/>
      </c>
    </row>
    <row r="117" hidden="1">
      <c r="A117">
        <f>'Production Plan'!B117</f>
        <v/>
      </c>
      <c r="B117" s="3">
        <f>VLOOKUP(A117,'Production Plan'!B:Q,14,FALSE)</f>
        <v/>
      </c>
    </row>
    <row r="118" hidden="1">
      <c r="A118">
        <f>'Production Plan'!B118</f>
        <v/>
      </c>
      <c r="B118" s="3">
        <f>VLOOKUP(A118,'Production Plan'!B:Q,14,FALSE)</f>
        <v/>
      </c>
    </row>
    <row r="119" hidden="1">
      <c r="A119">
        <f>'Production Plan'!B119</f>
        <v/>
      </c>
      <c r="B119" s="3">
        <f>VLOOKUP(A119,'Production Plan'!B:Q,14,FALSE)</f>
        <v/>
      </c>
    </row>
    <row r="120" hidden="1">
      <c r="A120">
        <f>'Production Plan'!B120</f>
        <v/>
      </c>
      <c r="B120" s="3">
        <f>VLOOKUP(A120,'Production Plan'!B:Q,14,FALSE)</f>
        <v/>
      </c>
    </row>
    <row r="121" hidden="1">
      <c r="A121">
        <f>'Production Plan'!B121</f>
        <v/>
      </c>
      <c r="B121" s="3">
        <f>VLOOKUP(A121,'Production Plan'!B:Q,14,FALSE)</f>
        <v/>
      </c>
    </row>
    <row r="122" hidden="1">
      <c r="A122">
        <f>'Production Plan'!B122</f>
        <v/>
      </c>
      <c r="B122" s="3">
        <f>VLOOKUP(A122,'Production Plan'!B:Q,14,FALSE)</f>
        <v/>
      </c>
    </row>
    <row r="123" hidden="1">
      <c r="A123">
        <f>'Production Plan'!B123</f>
        <v/>
      </c>
      <c r="B123" s="3">
        <f>VLOOKUP(A123,'Production Plan'!B:Q,14,FALSE)</f>
        <v/>
      </c>
    </row>
    <row r="124" hidden="1">
      <c r="A124">
        <f>'Production Plan'!B124</f>
        <v/>
      </c>
      <c r="B124" s="3">
        <f>VLOOKUP(A124,'Production Plan'!B:Q,14,FALSE)</f>
        <v/>
      </c>
    </row>
    <row r="125" hidden="1">
      <c r="A125">
        <f>'Production Plan'!B125</f>
        <v/>
      </c>
      <c r="B125" s="3">
        <f>VLOOKUP(A125,'Production Plan'!B:Q,14,FALSE)</f>
        <v/>
      </c>
    </row>
    <row r="126" hidden="1">
      <c r="A126">
        <f>'Production Plan'!B126</f>
        <v/>
      </c>
      <c r="B126" s="3">
        <f>VLOOKUP(A126,'Production Plan'!B:Q,14,FALSE)</f>
        <v/>
      </c>
    </row>
    <row r="127" hidden="1">
      <c r="A127">
        <f>'Production Plan'!B127</f>
        <v/>
      </c>
      <c r="B127" s="3">
        <f>VLOOKUP(A127,'Production Plan'!B:Q,14,FALSE)</f>
        <v/>
      </c>
    </row>
    <row r="128" hidden="1">
      <c r="A128">
        <f>'Production Plan'!B128</f>
        <v/>
      </c>
      <c r="B128" s="3">
        <f>VLOOKUP(A128,'Production Plan'!B:Q,14,FALSE)</f>
        <v/>
      </c>
    </row>
    <row r="129" hidden="1">
      <c r="A129">
        <f>'Production Plan'!B129</f>
        <v/>
      </c>
      <c r="B129" s="3">
        <f>VLOOKUP(A129,'Production Plan'!B:Q,14,FALSE)</f>
        <v/>
      </c>
    </row>
    <row r="130" hidden="1">
      <c r="A130">
        <f>'Production Plan'!B130</f>
        <v/>
      </c>
      <c r="B130" s="3">
        <f>VLOOKUP(A130,'Production Plan'!B:Q,14,FALSE)</f>
        <v/>
      </c>
    </row>
    <row r="131" hidden="1">
      <c r="A131">
        <f>'Production Plan'!B131</f>
        <v/>
      </c>
      <c r="B131" s="3">
        <f>VLOOKUP(A131,'Production Plan'!B:Q,14,FALSE)</f>
        <v/>
      </c>
    </row>
    <row r="132" hidden="1">
      <c r="A132">
        <f>'Production Plan'!B132</f>
        <v/>
      </c>
      <c r="B132" s="3">
        <f>VLOOKUP(A132,'Production Plan'!B:Q,14,FALSE)</f>
        <v/>
      </c>
    </row>
    <row r="133" hidden="1">
      <c r="A133">
        <f>'Production Plan'!B133</f>
        <v/>
      </c>
      <c r="B133" s="3">
        <f>VLOOKUP(A133,'Production Plan'!B:Q,14,FALSE)</f>
        <v/>
      </c>
    </row>
    <row r="134" hidden="1">
      <c r="A134">
        <f>'Production Plan'!B134</f>
        <v/>
      </c>
      <c r="B134" s="3">
        <f>VLOOKUP(A134,'Production Plan'!B:Q,14,FALSE)</f>
        <v/>
      </c>
    </row>
    <row r="135" hidden="1">
      <c r="A135">
        <f>'Production Plan'!B135</f>
        <v/>
      </c>
      <c r="B135" s="3">
        <f>VLOOKUP(A135,'Production Plan'!B:Q,14,FALSE)</f>
        <v/>
      </c>
    </row>
    <row r="136" hidden="1">
      <c r="A136">
        <f>'Production Plan'!B136</f>
        <v/>
      </c>
      <c r="B136" s="3">
        <f>VLOOKUP(A136,'Production Plan'!B:Q,14,FALSE)</f>
        <v/>
      </c>
    </row>
    <row r="137" hidden="1">
      <c r="A137">
        <f>'Production Plan'!B137</f>
        <v/>
      </c>
      <c r="B137" s="3">
        <f>VLOOKUP(A137,'Production Plan'!B:Q,14,FALSE)</f>
        <v/>
      </c>
    </row>
    <row r="138" hidden="1">
      <c r="A138">
        <f>'Production Plan'!B138</f>
        <v/>
      </c>
      <c r="B138" s="3">
        <f>VLOOKUP(A138,'Production Plan'!B:Q,14,FALSE)</f>
        <v/>
      </c>
    </row>
    <row r="139" hidden="1">
      <c r="A139">
        <f>'Production Plan'!B139</f>
        <v/>
      </c>
      <c r="B139" s="3">
        <f>VLOOKUP(A139,'Production Plan'!B:Q,14,FALSE)</f>
        <v/>
      </c>
    </row>
    <row r="140" hidden="1">
      <c r="A140">
        <f>'Production Plan'!B140</f>
        <v/>
      </c>
      <c r="B140" s="3">
        <f>VLOOKUP(A140,'Production Plan'!B:Q,14,FALSE)</f>
        <v/>
      </c>
    </row>
    <row r="141" hidden="1">
      <c r="A141">
        <f>'Production Plan'!B141</f>
        <v/>
      </c>
      <c r="B141" s="3">
        <f>VLOOKUP(A141,'Production Plan'!B:Q,14,FALSE)</f>
        <v/>
      </c>
    </row>
    <row r="142" hidden="1">
      <c r="A142">
        <f>'Production Plan'!B142</f>
        <v/>
      </c>
      <c r="B142" s="3">
        <f>VLOOKUP(A142,'Production Plan'!B:Q,14,FALSE)</f>
        <v/>
      </c>
    </row>
    <row r="143" hidden="1">
      <c r="A143">
        <f>'Production Plan'!B143</f>
        <v/>
      </c>
      <c r="B143" s="3">
        <f>VLOOKUP(A143,'Production Plan'!B:Q,14,FALSE)</f>
        <v/>
      </c>
    </row>
    <row r="144" hidden="1">
      <c r="A144">
        <f>'Production Plan'!B144</f>
        <v/>
      </c>
      <c r="B144" s="3">
        <f>VLOOKUP(A144,'Production Plan'!B:Q,14,FALSE)</f>
        <v/>
      </c>
    </row>
    <row r="145" hidden="1">
      <c r="A145">
        <f>'Production Plan'!B145</f>
        <v/>
      </c>
      <c r="B145" s="3">
        <f>VLOOKUP(A145,'Production Plan'!B:Q,14,FALSE)</f>
        <v/>
      </c>
    </row>
    <row r="146" hidden="1">
      <c r="A146">
        <f>'Production Plan'!B146</f>
        <v/>
      </c>
      <c r="B146" s="3">
        <f>VLOOKUP(A146,'Production Plan'!B:Q,14,FALSE)</f>
        <v/>
      </c>
    </row>
    <row r="147" hidden="1">
      <c r="A147">
        <f>'Production Plan'!B147</f>
        <v/>
      </c>
      <c r="B147" s="3">
        <f>VLOOKUP(A147,'Production Plan'!B:Q,14,FALSE)</f>
        <v/>
      </c>
    </row>
    <row r="148" hidden="1">
      <c r="A148">
        <f>'Production Plan'!B148</f>
        <v/>
      </c>
      <c r="B148" s="3">
        <f>VLOOKUP(A148,'Production Plan'!B:Q,14,FALSE)</f>
        <v/>
      </c>
    </row>
    <row r="149" hidden="1">
      <c r="A149">
        <f>'Production Plan'!B149</f>
        <v/>
      </c>
      <c r="B149" s="3">
        <f>VLOOKUP(A149,'Production Plan'!B:Q,14,FALSE)</f>
        <v/>
      </c>
    </row>
    <row r="150" hidden="1">
      <c r="A150">
        <f>'Production Plan'!B150</f>
        <v/>
      </c>
      <c r="B150" s="3">
        <f>VLOOKUP(A150,'Production Plan'!B:Q,14,FALSE)</f>
        <v/>
      </c>
    </row>
    <row r="151" hidden="1">
      <c r="A151">
        <f>'Production Plan'!B151</f>
        <v/>
      </c>
      <c r="B151" s="3">
        <f>VLOOKUP(A151,'Production Plan'!B:Q,14,FALSE)</f>
        <v/>
      </c>
    </row>
    <row r="152" hidden="1">
      <c r="A152">
        <f>'Production Plan'!B152</f>
        <v/>
      </c>
      <c r="B152" s="3">
        <f>VLOOKUP(A152,'Production Plan'!B:Q,14,FALSE)</f>
        <v/>
      </c>
    </row>
    <row r="153" hidden="1">
      <c r="A153">
        <f>'Production Plan'!B153</f>
        <v/>
      </c>
      <c r="B153" s="3">
        <f>VLOOKUP(A153,'Production Plan'!B:Q,14,FALSE)</f>
        <v/>
      </c>
    </row>
    <row r="154" hidden="1">
      <c r="A154">
        <f>'Production Plan'!B154</f>
        <v/>
      </c>
      <c r="B154" s="3">
        <f>VLOOKUP(A154,'Production Plan'!B:Q,14,FALSE)</f>
        <v/>
      </c>
    </row>
    <row r="155" hidden="1">
      <c r="A155">
        <f>'Production Plan'!B155</f>
        <v/>
      </c>
      <c r="B155" s="3">
        <f>VLOOKUP(A155,'Production Plan'!B:Q,14,FALSE)</f>
        <v/>
      </c>
    </row>
    <row r="156" hidden="1">
      <c r="A156">
        <f>'Production Plan'!B156</f>
        <v/>
      </c>
      <c r="B156" s="3">
        <f>VLOOKUP(A156,'Production Plan'!B:Q,14,FALSE)</f>
        <v/>
      </c>
    </row>
    <row r="157" hidden="1">
      <c r="A157">
        <f>'Production Plan'!B157</f>
        <v/>
      </c>
      <c r="B157" s="3">
        <f>VLOOKUP(A157,'Production Plan'!B:Q,14,FALSE)</f>
        <v/>
      </c>
    </row>
    <row r="158" hidden="1">
      <c r="A158">
        <f>'Production Plan'!B158</f>
        <v/>
      </c>
      <c r="B158" s="3">
        <f>VLOOKUP(A158,'Production Plan'!B:Q,14,FALSE)</f>
        <v/>
      </c>
    </row>
    <row r="159" hidden="1">
      <c r="A159">
        <f>'Production Plan'!B159</f>
        <v/>
      </c>
      <c r="B159" s="3">
        <f>VLOOKUP(A159,'Production Plan'!B:Q,14,FALSE)</f>
        <v/>
      </c>
    </row>
    <row r="160" hidden="1">
      <c r="A160">
        <f>'Production Plan'!B160</f>
        <v/>
      </c>
      <c r="B160" s="3">
        <f>VLOOKUP(A160,'Production Plan'!B:Q,14,FALSE)</f>
        <v/>
      </c>
    </row>
    <row r="161" hidden="1">
      <c r="A161">
        <f>'Production Plan'!B161</f>
        <v/>
      </c>
      <c r="B161" s="3">
        <f>VLOOKUP(A161,'Production Plan'!B:Q,14,FALSE)</f>
        <v/>
      </c>
    </row>
    <row r="162" hidden="1">
      <c r="A162">
        <f>'Production Plan'!B162</f>
        <v/>
      </c>
      <c r="B162" s="3">
        <f>VLOOKUP(A162,'Production Plan'!B:Q,14,FALSE)</f>
        <v/>
      </c>
    </row>
    <row r="163" hidden="1">
      <c r="A163">
        <f>'Production Plan'!B163</f>
        <v/>
      </c>
      <c r="B163" s="3">
        <f>VLOOKUP(A163,'Production Plan'!B:Q,14,FALSE)</f>
        <v/>
      </c>
    </row>
    <row r="164" hidden="1">
      <c r="A164">
        <f>'Production Plan'!B164</f>
        <v/>
      </c>
      <c r="B164" s="3">
        <f>VLOOKUP(A164,'Production Plan'!B:Q,14,FALSE)</f>
        <v/>
      </c>
    </row>
    <row r="165" hidden="1">
      <c r="A165">
        <f>'Production Plan'!B165</f>
        <v/>
      </c>
      <c r="B165" s="3">
        <f>VLOOKUP(A165,'Production Plan'!B:Q,14,FALSE)</f>
        <v/>
      </c>
    </row>
    <row r="166" hidden="1">
      <c r="A166">
        <f>'Production Plan'!B166</f>
        <v/>
      </c>
      <c r="B166" s="3">
        <f>VLOOKUP(A166,'Production Plan'!B:Q,14,FALSE)</f>
        <v/>
      </c>
    </row>
    <row r="167" hidden="1">
      <c r="A167">
        <f>'Production Plan'!B167</f>
        <v/>
      </c>
      <c r="B167" s="3">
        <f>VLOOKUP(A167,'Production Plan'!B:Q,14,FALSE)</f>
        <v/>
      </c>
    </row>
    <row r="168" hidden="1">
      <c r="A168">
        <f>'Production Plan'!B168</f>
        <v/>
      </c>
      <c r="B168" s="3">
        <f>VLOOKUP(A168,'Production Plan'!B:Q,14,FALSE)</f>
        <v/>
      </c>
    </row>
    <row r="169" hidden="1">
      <c r="A169">
        <f>'Production Plan'!B169</f>
        <v/>
      </c>
      <c r="B169" s="3">
        <f>VLOOKUP(A169,'Production Plan'!B:Q,14,FALSE)</f>
        <v/>
      </c>
    </row>
    <row r="170" hidden="1">
      <c r="A170">
        <f>'Production Plan'!B170</f>
        <v/>
      </c>
      <c r="B170" s="3">
        <f>VLOOKUP(A170,'Production Plan'!B:Q,14,FALSE)</f>
        <v/>
      </c>
    </row>
    <row r="171" hidden="1">
      <c r="A171">
        <f>'Production Plan'!B171</f>
        <v/>
      </c>
      <c r="B171" s="3">
        <f>VLOOKUP(A171,'Production Plan'!B:Q,14,FALSE)</f>
        <v/>
      </c>
    </row>
    <row r="172" hidden="1">
      <c r="A172">
        <f>'Production Plan'!B172</f>
        <v/>
      </c>
      <c r="B172" s="3">
        <f>VLOOKUP(A172,'Production Plan'!B:Q,14,FALSE)</f>
        <v/>
      </c>
    </row>
    <row r="173" hidden="1">
      <c r="A173">
        <f>'Production Plan'!B173</f>
        <v/>
      </c>
      <c r="B173" s="3">
        <f>VLOOKUP(A173,'Production Plan'!B:Q,14,FALSE)</f>
        <v/>
      </c>
    </row>
    <row r="174" hidden="1">
      <c r="A174">
        <f>'Production Plan'!B174</f>
        <v/>
      </c>
      <c r="B174" s="3">
        <f>VLOOKUP(A174,'Production Plan'!B:Q,14,FALSE)</f>
        <v/>
      </c>
    </row>
    <row r="175" hidden="1">
      <c r="A175">
        <f>'Production Plan'!B175</f>
        <v/>
      </c>
      <c r="B175" s="3">
        <f>VLOOKUP(A175,'Production Plan'!B:Q,14,FALSE)</f>
        <v/>
      </c>
    </row>
    <row r="176" hidden="1">
      <c r="A176">
        <f>'Production Plan'!B176</f>
        <v/>
      </c>
      <c r="B176" s="3">
        <f>VLOOKUP(A176,'Production Plan'!B:Q,14,FALSE)</f>
        <v/>
      </c>
    </row>
    <row r="177" hidden="1">
      <c r="A177">
        <f>'Production Plan'!B177</f>
        <v/>
      </c>
      <c r="B177" s="3">
        <f>VLOOKUP(A177,'Production Plan'!B:Q,14,FALSE)</f>
        <v/>
      </c>
    </row>
    <row r="178" hidden="1">
      <c r="A178">
        <f>'Production Plan'!B178</f>
        <v/>
      </c>
      <c r="B178" s="3">
        <f>VLOOKUP(A178,'Production Plan'!B:Q,14,FALSE)</f>
        <v/>
      </c>
    </row>
    <row r="179" hidden="1">
      <c r="A179">
        <f>'Production Plan'!B179</f>
        <v/>
      </c>
      <c r="B179" s="3">
        <f>VLOOKUP(A179,'Production Plan'!B:Q,14,FALSE)</f>
        <v/>
      </c>
    </row>
    <row r="180" hidden="1">
      <c r="A180">
        <f>'Production Plan'!B180</f>
        <v/>
      </c>
      <c r="B180" s="3">
        <f>VLOOKUP(A180,'Production Plan'!B:Q,14,FALSE)</f>
        <v/>
      </c>
    </row>
    <row r="181" hidden="1">
      <c r="A181">
        <f>'Production Plan'!B181</f>
        <v/>
      </c>
      <c r="B181" s="3">
        <f>VLOOKUP(A181,'Production Plan'!B:Q,14,FALSE)</f>
        <v/>
      </c>
    </row>
    <row r="182" hidden="1">
      <c r="A182">
        <f>'Production Plan'!B182</f>
        <v/>
      </c>
      <c r="B182" s="3">
        <f>VLOOKUP(A182,'Production Plan'!B:Q,14,FALSE)</f>
        <v/>
      </c>
    </row>
    <row r="183" hidden="1">
      <c r="A183">
        <f>'Production Plan'!B183</f>
        <v/>
      </c>
      <c r="B183" s="3">
        <f>VLOOKUP(A183,'Production Plan'!B:Q,14,FALSE)</f>
        <v/>
      </c>
    </row>
    <row r="184" hidden="1">
      <c r="A184">
        <f>'Production Plan'!B184</f>
        <v/>
      </c>
      <c r="B184" s="3">
        <f>VLOOKUP(A184,'Production Plan'!B:Q,14,FALSE)</f>
        <v/>
      </c>
    </row>
    <row r="185" hidden="1">
      <c r="A185">
        <f>'Production Plan'!B185</f>
        <v/>
      </c>
      <c r="B185" s="3">
        <f>VLOOKUP(A185,'Production Plan'!B:Q,14,FALSE)</f>
        <v/>
      </c>
    </row>
    <row r="186" hidden="1">
      <c r="A186">
        <f>'Production Plan'!B186</f>
        <v/>
      </c>
      <c r="B186" s="3">
        <f>VLOOKUP(A186,'Production Plan'!B:Q,14,FALSE)</f>
        <v/>
      </c>
    </row>
    <row r="187" hidden="1">
      <c r="A187">
        <f>'Production Plan'!B187</f>
        <v/>
      </c>
      <c r="B187" s="3">
        <f>VLOOKUP(A187,'Production Plan'!B:Q,14,FALSE)</f>
        <v/>
      </c>
    </row>
    <row r="188" hidden="1">
      <c r="A188">
        <f>'Production Plan'!B188</f>
        <v/>
      </c>
      <c r="B188" s="3">
        <f>VLOOKUP(A188,'Production Plan'!B:Q,14,FALSE)</f>
        <v/>
      </c>
    </row>
    <row r="189" hidden="1">
      <c r="A189">
        <f>'Production Plan'!B189</f>
        <v/>
      </c>
      <c r="B189" s="3">
        <f>VLOOKUP(A189,'Production Plan'!B:Q,14,FALSE)</f>
        <v/>
      </c>
    </row>
    <row r="190" hidden="1">
      <c r="A190">
        <f>'Production Plan'!B190</f>
        <v/>
      </c>
      <c r="B190" s="3">
        <f>VLOOKUP(A190,'Production Plan'!B:Q,14,FALSE)</f>
        <v/>
      </c>
    </row>
    <row r="191" hidden="1">
      <c r="A191">
        <f>'Production Plan'!B191</f>
        <v/>
      </c>
      <c r="B191" s="3">
        <f>VLOOKUP(A191,'Production Plan'!B:Q,14,FALSE)</f>
        <v/>
      </c>
    </row>
    <row r="192" hidden="1">
      <c r="A192">
        <f>'Production Plan'!B192</f>
        <v/>
      </c>
      <c r="B192" s="3">
        <f>VLOOKUP(A192,'Production Plan'!B:Q,14,FALSE)</f>
        <v/>
      </c>
    </row>
    <row r="193" hidden="1">
      <c r="A193">
        <f>'Production Plan'!B193</f>
        <v/>
      </c>
      <c r="B193" s="3">
        <f>VLOOKUP(A193,'Production Plan'!B:Q,14,FALSE)</f>
        <v/>
      </c>
    </row>
    <row r="194" hidden="1">
      <c r="A194">
        <f>'Production Plan'!B194</f>
        <v/>
      </c>
      <c r="B194" s="3">
        <f>VLOOKUP(A194,'Production Plan'!B:Q,14,FALSE)</f>
        <v/>
      </c>
    </row>
    <row r="195" hidden="1">
      <c r="A195">
        <f>'Production Plan'!B195</f>
        <v/>
      </c>
      <c r="B195" s="3">
        <f>VLOOKUP(A195,'Production Plan'!B:Q,14,FALSE)</f>
        <v/>
      </c>
    </row>
    <row r="196" hidden="1">
      <c r="A196">
        <f>'Production Plan'!B196</f>
        <v/>
      </c>
      <c r="B196" s="3">
        <f>VLOOKUP(A196,'Production Plan'!B:Q,14,FALSE)</f>
        <v/>
      </c>
    </row>
    <row r="197" hidden="1">
      <c r="A197">
        <f>'Production Plan'!B197</f>
        <v/>
      </c>
      <c r="B197" s="3">
        <f>VLOOKUP(A197,'Production Plan'!B:Q,14,FALSE)</f>
        <v/>
      </c>
    </row>
    <row r="198" hidden="1">
      <c r="A198">
        <f>'Production Plan'!B198</f>
        <v/>
      </c>
      <c r="B198" s="3">
        <f>VLOOKUP(A198,'Production Plan'!B:Q,14,FALSE)</f>
        <v/>
      </c>
    </row>
    <row r="199" hidden="1">
      <c r="A199">
        <f>'Production Plan'!B199</f>
        <v/>
      </c>
      <c r="B199" s="3">
        <f>VLOOKUP(A199,'Production Plan'!B:Q,14,FALSE)</f>
        <v/>
      </c>
    </row>
    <row r="200" hidden="1">
      <c r="A200">
        <f>'Production Plan'!B200</f>
        <v/>
      </c>
      <c r="B200" s="3">
        <f>VLOOKUP(A200,'Production Plan'!B:Q,14,FALSE)</f>
        <v/>
      </c>
    </row>
    <row r="201" hidden="1">
      <c r="A201">
        <f>'Production Plan'!B201</f>
        <v/>
      </c>
      <c r="B201" s="3">
        <f>VLOOKUP(A201,'Production Plan'!B:Q,14,FALSE)</f>
        <v/>
      </c>
    </row>
    <row r="202" hidden="1">
      <c r="A202">
        <f>'Production Plan'!B202</f>
        <v/>
      </c>
      <c r="B202" s="3">
        <f>VLOOKUP(A202,'Production Plan'!B:Q,14,FALSE)</f>
        <v/>
      </c>
    </row>
    <row r="203" hidden="1">
      <c r="A203">
        <f>'Production Plan'!B203</f>
        <v/>
      </c>
      <c r="B203" s="3">
        <f>VLOOKUP(A203,'Production Plan'!B:Q,14,FALSE)</f>
        <v/>
      </c>
    </row>
    <row r="204" hidden="1">
      <c r="A204">
        <f>'Production Plan'!B204</f>
        <v/>
      </c>
      <c r="B204" s="3">
        <f>VLOOKUP(A204,'Production Plan'!B:Q,14,FALSE)</f>
        <v/>
      </c>
    </row>
    <row r="205" hidden="1">
      <c r="A205">
        <f>'Production Plan'!B205</f>
        <v/>
      </c>
      <c r="B205" s="3">
        <f>VLOOKUP(A205,'Production Plan'!B:Q,14,FALSE)</f>
        <v/>
      </c>
    </row>
    <row r="206" hidden="1">
      <c r="A206">
        <f>'Production Plan'!B206</f>
        <v/>
      </c>
      <c r="B206" s="3">
        <f>VLOOKUP(A206,'Production Plan'!B:Q,14,FALSE)</f>
        <v/>
      </c>
    </row>
    <row r="207" hidden="1">
      <c r="A207">
        <f>'Production Plan'!B207</f>
        <v/>
      </c>
      <c r="B207" s="3">
        <f>VLOOKUP(A207,'Production Plan'!B:Q,14,FALSE)</f>
        <v/>
      </c>
    </row>
    <row r="208" hidden="1">
      <c r="A208">
        <f>'Production Plan'!B208</f>
        <v/>
      </c>
      <c r="B208" s="3">
        <f>VLOOKUP(A208,'Production Plan'!B:Q,14,FALSE)</f>
        <v/>
      </c>
    </row>
    <row r="209" hidden="1">
      <c r="A209">
        <f>'Production Plan'!B209</f>
        <v/>
      </c>
      <c r="B209" s="3">
        <f>VLOOKUP(A209,'Production Plan'!B:Q,14,FALSE)</f>
        <v/>
      </c>
    </row>
    <row r="210" hidden="1">
      <c r="A210">
        <f>'Production Plan'!B210</f>
        <v/>
      </c>
      <c r="B210" s="3">
        <f>VLOOKUP(A210,'Production Plan'!B:Q,14,FALSE)</f>
        <v/>
      </c>
    </row>
    <row r="211" hidden="1">
      <c r="A211">
        <f>'Production Plan'!B211</f>
        <v/>
      </c>
      <c r="B211" s="3">
        <f>VLOOKUP(A211,'Production Plan'!B:Q,14,FALSE)</f>
        <v/>
      </c>
    </row>
    <row r="212" hidden="1">
      <c r="A212">
        <f>'Production Plan'!B212</f>
        <v/>
      </c>
      <c r="B212" s="3">
        <f>VLOOKUP(A212,'Production Plan'!B:Q,14,FALSE)</f>
        <v/>
      </c>
    </row>
    <row r="213" hidden="1">
      <c r="A213">
        <f>'Production Plan'!B213</f>
        <v/>
      </c>
      <c r="B213" s="3">
        <f>VLOOKUP(A213,'Production Plan'!B:Q,14,FALSE)</f>
        <v/>
      </c>
    </row>
    <row r="214" hidden="1">
      <c r="A214">
        <f>'Production Plan'!B214</f>
        <v/>
      </c>
      <c r="B214" s="3">
        <f>VLOOKUP(A214,'Production Plan'!B:Q,14,FALSE)</f>
        <v/>
      </c>
    </row>
    <row r="215" hidden="1">
      <c r="A215">
        <f>'Production Plan'!B215</f>
        <v/>
      </c>
      <c r="B215" s="3">
        <f>VLOOKUP(A215,'Production Plan'!B:Q,14,FALSE)</f>
        <v/>
      </c>
    </row>
    <row r="216" hidden="1">
      <c r="A216">
        <f>'Production Plan'!B216</f>
        <v/>
      </c>
      <c r="B216" s="3">
        <f>VLOOKUP(A216,'Production Plan'!B:Q,14,FALSE)</f>
        <v/>
      </c>
    </row>
    <row r="217" hidden="1">
      <c r="A217">
        <f>'Production Plan'!B217</f>
        <v/>
      </c>
      <c r="B217" s="3">
        <f>VLOOKUP(A217,'Production Plan'!B:Q,14,FALSE)</f>
        <v/>
      </c>
    </row>
    <row r="218" hidden="1">
      <c r="A218">
        <f>'Production Plan'!B218</f>
        <v/>
      </c>
      <c r="B218" s="3">
        <f>VLOOKUP(A218,'Production Plan'!B:Q,14,FALSE)</f>
        <v/>
      </c>
    </row>
    <row r="219" hidden="1">
      <c r="A219">
        <f>'Production Plan'!B219</f>
        <v/>
      </c>
      <c r="B219" s="3">
        <f>VLOOKUP(A219,'Production Plan'!B:Q,14,FALSE)</f>
        <v/>
      </c>
    </row>
    <row r="220" hidden="1">
      <c r="A220">
        <f>'Production Plan'!B220</f>
        <v/>
      </c>
      <c r="B220" s="3">
        <f>VLOOKUP(A220,'Production Plan'!B:Q,14,FALSE)</f>
        <v/>
      </c>
    </row>
    <row r="221" hidden="1">
      <c r="A221">
        <f>'Production Plan'!B221</f>
        <v/>
      </c>
      <c r="B221" s="3">
        <f>VLOOKUP(A221,'Production Plan'!B:Q,14,FALSE)</f>
        <v/>
      </c>
    </row>
    <row r="222" hidden="1">
      <c r="A222">
        <f>'Production Plan'!B222</f>
        <v/>
      </c>
      <c r="B222" s="3">
        <f>VLOOKUP(A222,'Production Plan'!B:Q,14,FALSE)</f>
        <v/>
      </c>
    </row>
    <row r="223" hidden="1">
      <c r="A223">
        <f>'Production Plan'!B223</f>
        <v/>
      </c>
      <c r="B223" s="3">
        <f>VLOOKUP(A223,'Production Plan'!B:Q,14,FALSE)</f>
        <v/>
      </c>
    </row>
    <row r="224" hidden="1">
      <c r="A224">
        <f>'Production Plan'!B224</f>
        <v/>
      </c>
      <c r="B224" s="3">
        <f>VLOOKUP(A224,'Production Plan'!B:Q,14,FALSE)</f>
        <v/>
      </c>
    </row>
    <row r="225" hidden="1">
      <c r="A225">
        <f>'Production Plan'!B225</f>
        <v/>
      </c>
      <c r="B225" s="3">
        <f>VLOOKUP(A225,'Production Plan'!B:Q,14,FALSE)</f>
        <v/>
      </c>
    </row>
    <row r="226" hidden="1">
      <c r="A226">
        <f>'Production Plan'!B226</f>
        <v/>
      </c>
      <c r="B226" s="3">
        <f>VLOOKUP(A226,'Production Plan'!B:Q,14,FALSE)</f>
        <v/>
      </c>
    </row>
    <row r="227" hidden="1">
      <c r="A227">
        <f>'Production Plan'!B227</f>
        <v/>
      </c>
      <c r="B227" s="3">
        <f>VLOOKUP(A227,'Production Plan'!B:Q,14,FALSE)</f>
        <v/>
      </c>
    </row>
    <row r="228" hidden="1">
      <c r="A228">
        <f>'Production Plan'!B228</f>
        <v/>
      </c>
      <c r="B228" s="3">
        <f>VLOOKUP(A228,'Production Plan'!B:Q,14,FALSE)</f>
        <v/>
      </c>
    </row>
    <row r="229" hidden="1">
      <c r="A229">
        <f>'Production Plan'!B229</f>
        <v/>
      </c>
      <c r="B229" s="3">
        <f>VLOOKUP(A229,'Production Plan'!B:Q,14,FALSE)</f>
        <v/>
      </c>
    </row>
    <row r="230" hidden="1">
      <c r="A230">
        <f>'Production Plan'!B230</f>
        <v/>
      </c>
      <c r="B230" s="3">
        <f>VLOOKUP(A230,'Production Plan'!B:Q,14,FALSE)</f>
        <v/>
      </c>
    </row>
    <row r="231" hidden="1">
      <c r="A231">
        <f>'Production Plan'!B231</f>
        <v/>
      </c>
      <c r="B231" s="3">
        <f>VLOOKUP(A231,'Production Plan'!B:Q,14,FALSE)</f>
        <v/>
      </c>
    </row>
    <row r="232" hidden="1">
      <c r="A232">
        <f>'Production Plan'!B232</f>
        <v/>
      </c>
      <c r="B232" s="3">
        <f>VLOOKUP(A232,'Production Plan'!B:Q,14,FALSE)</f>
        <v/>
      </c>
    </row>
    <row r="233" hidden="1">
      <c r="A233">
        <f>'Production Plan'!B233</f>
        <v/>
      </c>
      <c r="B233" s="3">
        <f>VLOOKUP(A233,'Production Plan'!B:Q,14,FALSE)</f>
        <v/>
      </c>
    </row>
    <row r="234" hidden="1">
      <c r="A234">
        <f>'Production Plan'!B234</f>
        <v/>
      </c>
      <c r="B234" s="3">
        <f>VLOOKUP(A234,'Production Plan'!B:Q,14,FALSE)</f>
        <v/>
      </c>
    </row>
    <row r="235" hidden="1">
      <c r="A235">
        <f>'Production Plan'!B235</f>
        <v/>
      </c>
      <c r="B235" s="3">
        <f>VLOOKUP(A235,'Production Plan'!B:Q,14,FALSE)</f>
        <v/>
      </c>
    </row>
    <row r="236" hidden="1">
      <c r="A236">
        <f>'Production Plan'!B236</f>
        <v/>
      </c>
      <c r="B236" s="3">
        <f>VLOOKUP(A236,'Production Plan'!B:Q,14,FALSE)</f>
        <v/>
      </c>
    </row>
    <row r="237" hidden="1">
      <c r="A237">
        <f>'Production Plan'!B237</f>
        <v/>
      </c>
      <c r="B237" s="3">
        <f>VLOOKUP(A237,'Production Plan'!B:Q,14,FALSE)</f>
        <v/>
      </c>
    </row>
    <row r="238" hidden="1">
      <c r="A238">
        <f>'Production Plan'!B238</f>
        <v/>
      </c>
      <c r="B238" s="3">
        <f>VLOOKUP(A238,'Production Plan'!B:Q,14,FALSE)</f>
        <v/>
      </c>
    </row>
    <row r="239" hidden="1">
      <c r="A239">
        <f>'Production Plan'!B239</f>
        <v/>
      </c>
      <c r="B239" s="3">
        <f>VLOOKUP(A239,'Production Plan'!B:Q,14,FALSE)</f>
        <v/>
      </c>
    </row>
    <row r="240" hidden="1">
      <c r="A240">
        <f>'Production Plan'!B240</f>
        <v/>
      </c>
      <c r="B240" s="3">
        <f>VLOOKUP(A240,'Production Plan'!B:Q,14,FALSE)</f>
        <v/>
      </c>
    </row>
    <row r="241" hidden="1">
      <c r="A241">
        <f>'Production Plan'!B241</f>
        <v/>
      </c>
      <c r="B241" s="3">
        <f>VLOOKUP(A241,'Production Plan'!B:Q,14,FALSE)</f>
        <v/>
      </c>
    </row>
    <row r="242" hidden="1">
      <c r="A242">
        <f>'Production Plan'!B242</f>
        <v/>
      </c>
      <c r="B242" s="3">
        <f>VLOOKUP(A242,'Production Plan'!B:Q,14,FALSE)</f>
        <v/>
      </c>
    </row>
    <row r="243" hidden="1">
      <c r="A243">
        <f>'Production Plan'!B243</f>
        <v/>
      </c>
      <c r="B243" s="3">
        <f>VLOOKUP(A243,'Production Plan'!B:Q,14,FALSE)</f>
        <v/>
      </c>
    </row>
    <row r="244" hidden="1">
      <c r="A244">
        <f>'Production Plan'!B244</f>
        <v/>
      </c>
      <c r="B244" s="3">
        <f>VLOOKUP(A244,'Production Plan'!B:Q,14,FALSE)</f>
        <v/>
      </c>
    </row>
    <row r="245" hidden="1">
      <c r="A245">
        <f>'Production Plan'!B245</f>
        <v/>
      </c>
      <c r="B245" s="3">
        <f>VLOOKUP(A245,'Production Plan'!B:Q,14,FALSE)</f>
        <v/>
      </c>
    </row>
    <row r="246" hidden="1">
      <c r="A246">
        <f>'Production Plan'!B246</f>
        <v/>
      </c>
      <c r="B246" s="3">
        <f>VLOOKUP(A246,'Production Plan'!B:Q,14,FALSE)</f>
        <v/>
      </c>
    </row>
    <row r="247" hidden="1">
      <c r="A247">
        <f>'Production Plan'!B247</f>
        <v/>
      </c>
      <c r="B247" s="3">
        <f>VLOOKUP(A247,'Production Plan'!B:Q,14,FALSE)</f>
        <v/>
      </c>
    </row>
    <row r="248" hidden="1">
      <c r="A248">
        <f>'Production Plan'!B248</f>
        <v/>
      </c>
      <c r="B248" s="3">
        <f>VLOOKUP(A248,'Production Plan'!B:Q,14,FALSE)</f>
        <v/>
      </c>
    </row>
    <row r="249" hidden="1">
      <c r="A249">
        <f>'Production Plan'!B249</f>
        <v/>
      </c>
      <c r="B249" s="3">
        <f>VLOOKUP(A249,'Production Plan'!B:Q,14,FALSE)</f>
        <v/>
      </c>
    </row>
    <row r="250" hidden="1">
      <c r="A250">
        <f>'Production Plan'!B250</f>
        <v/>
      </c>
      <c r="B250" s="3">
        <f>VLOOKUP(A250,'Production Plan'!B:Q,14,FALSE)</f>
        <v/>
      </c>
    </row>
    <row r="251" hidden="1">
      <c r="A251">
        <f>'Production Plan'!B251</f>
        <v/>
      </c>
      <c r="B251" s="3">
        <f>VLOOKUP(A251,'Production Plan'!B:Q,14,FALSE)</f>
        <v/>
      </c>
    </row>
    <row r="252" hidden="1">
      <c r="A252">
        <f>'Production Plan'!B252</f>
        <v/>
      </c>
      <c r="B252" s="3">
        <f>VLOOKUP(A252,'Production Plan'!B:Q,14,FALSE)</f>
        <v/>
      </c>
    </row>
    <row r="253" hidden="1">
      <c r="A253">
        <f>'Production Plan'!B253</f>
        <v/>
      </c>
      <c r="B253" s="3">
        <f>VLOOKUP(A253,'Production Plan'!B:Q,14,FALSE)</f>
        <v/>
      </c>
    </row>
    <row r="254" hidden="1">
      <c r="A254">
        <f>'Production Plan'!B254</f>
        <v/>
      </c>
      <c r="B254" s="3">
        <f>VLOOKUP(A254,'Production Plan'!B:Q,14,FALSE)</f>
        <v/>
      </c>
    </row>
    <row r="255" hidden="1">
      <c r="A255">
        <f>'Production Plan'!B255</f>
        <v/>
      </c>
      <c r="B255" s="3">
        <f>VLOOKUP(A255,'Production Plan'!B:Q,14,FALSE)</f>
        <v/>
      </c>
    </row>
    <row r="256" hidden="1">
      <c r="A256">
        <f>'Production Plan'!B256</f>
        <v/>
      </c>
      <c r="B256" s="3">
        <f>VLOOKUP(A256,'Production Plan'!B:Q,14,FALSE)</f>
        <v/>
      </c>
    </row>
    <row r="257" hidden="1">
      <c r="A257">
        <f>'Production Plan'!B257</f>
        <v/>
      </c>
      <c r="B257" s="3">
        <f>VLOOKUP(A257,'Production Plan'!B:Q,14,FALSE)</f>
        <v/>
      </c>
    </row>
    <row r="258" hidden="1">
      <c r="A258">
        <f>'Production Plan'!B258</f>
        <v/>
      </c>
      <c r="B258" s="3">
        <f>VLOOKUP(A258,'Production Plan'!B:Q,14,FALSE)</f>
        <v/>
      </c>
    </row>
    <row r="259" hidden="1">
      <c r="A259">
        <f>'Production Plan'!B259</f>
        <v/>
      </c>
      <c r="B259" s="3">
        <f>VLOOKUP(A259,'Production Plan'!B:Q,14,FALSE)</f>
        <v/>
      </c>
    </row>
    <row r="260" hidden="1">
      <c r="A260">
        <f>'Production Plan'!B260</f>
        <v/>
      </c>
      <c r="B260" s="3">
        <f>VLOOKUP(A260,'Production Plan'!B:Q,14,FALSE)</f>
        <v/>
      </c>
    </row>
    <row r="261" hidden="1">
      <c r="A261">
        <f>'Production Plan'!B261</f>
        <v/>
      </c>
      <c r="B261" s="3">
        <f>VLOOKUP(A261,'Production Plan'!B:Q,14,FALSE)</f>
        <v/>
      </c>
    </row>
    <row r="262" hidden="1">
      <c r="A262">
        <f>'Production Plan'!B262</f>
        <v/>
      </c>
      <c r="B262" s="3">
        <f>VLOOKUP(A262,'Production Plan'!B:Q,14,FALSE)</f>
        <v/>
      </c>
    </row>
    <row r="263" hidden="1">
      <c r="A263">
        <f>'Production Plan'!B263</f>
        <v/>
      </c>
      <c r="B263" s="3">
        <f>VLOOKUP(A263,'Production Plan'!B:Q,14,FALSE)</f>
        <v/>
      </c>
    </row>
    <row r="264" hidden="1">
      <c r="A264">
        <f>'Production Plan'!B264</f>
        <v/>
      </c>
      <c r="B264" s="3">
        <f>VLOOKUP(A264,'Production Plan'!B:Q,14,FALSE)</f>
        <v/>
      </c>
    </row>
    <row r="265" hidden="1">
      <c r="A265">
        <f>'Production Plan'!B265</f>
        <v/>
      </c>
      <c r="B265" s="3">
        <f>VLOOKUP(A265,'Production Plan'!B:Q,14,FALSE)</f>
        <v/>
      </c>
    </row>
    <row r="266" hidden="1">
      <c r="A266">
        <f>'Production Plan'!B266</f>
        <v/>
      </c>
      <c r="B266" s="3">
        <f>VLOOKUP(A266,'Production Plan'!B:Q,14,FALSE)</f>
        <v/>
      </c>
    </row>
    <row r="267" hidden="1">
      <c r="A267">
        <f>'Production Plan'!B267</f>
        <v/>
      </c>
      <c r="B267" s="3">
        <f>VLOOKUP(A267,'Production Plan'!B:Q,14,FALSE)</f>
        <v/>
      </c>
    </row>
    <row r="268" hidden="1">
      <c r="A268">
        <f>'Production Plan'!B268</f>
        <v/>
      </c>
      <c r="B268" s="3">
        <f>VLOOKUP(A268,'Production Plan'!B:Q,14,FALSE)</f>
        <v/>
      </c>
    </row>
    <row r="269" hidden="1">
      <c r="A269">
        <f>'Production Plan'!B269</f>
        <v/>
      </c>
      <c r="B269" s="3">
        <f>VLOOKUP(A269,'Production Plan'!B:Q,14,FALSE)</f>
        <v/>
      </c>
    </row>
    <row r="270" hidden="1">
      <c r="A270">
        <f>'Production Plan'!B270</f>
        <v/>
      </c>
      <c r="B270" s="3">
        <f>VLOOKUP(A270,'Production Plan'!B:Q,14,FALSE)</f>
        <v/>
      </c>
    </row>
    <row r="271" hidden="1">
      <c r="A271">
        <f>'Production Plan'!B271</f>
        <v/>
      </c>
      <c r="B271" s="3">
        <f>VLOOKUP(A271,'Production Plan'!B:Q,14,FALSE)</f>
        <v/>
      </c>
    </row>
    <row r="272" hidden="1">
      <c r="A272">
        <f>'Production Plan'!B272</f>
        <v/>
      </c>
      <c r="B272" s="3">
        <f>VLOOKUP(A272,'Production Plan'!B:Q,14,FALSE)</f>
        <v/>
      </c>
    </row>
    <row r="273" hidden="1">
      <c r="A273">
        <f>'Production Plan'!B273</f>
        <v/>
      </c>
      <c r="B273" s="3">
        <f>VLOOKUP(A273,'Production Plan'!B:Q,14,FALSE)</f>
        <v/>
      </c>
    </row>
    <row r="274" hidden="1">
      <c r="A274">
        <f>'Production Plan'!B274</f>
        <v/>
      </c>
      <c r="B274" s="3">
        <f>VLOOKUP(A274,'Production Plan'!B:Q,14,FALSE)</f>
        <v/>
      </c>
    </row>
    <row r="275" hidden="1">
      <c r="A275">
        <f>'Production Plan'!B275</f>
        <v/>
      </c>
      <c r="B275" s="3">
        <f>VLOOKUP(A275,'Production Plan'!B:Q,14,FALSE)</f>
        <v/>
      </c>
    </row>
    <row r="276" hidden="1">
      <c r="A276">
        <f>'Production Plan'!B276</f>
        <v/>
      </c>
      <c r="B276" s="3">
        <f>VLOOKUP(A276,'Production Plan'!B:Q,14,FALSE)</f>
        <v/>
      </c>
    </row>
    <row r="277" hidden="1">
      <c r="A277">
        <f>'Production Plan'!B277</f>
        <v/>
      </c>
      <c r="B277" s="3">
        <f>VLOOKUP(A277,'Production Plan'!B:Q,14,FALSE)</f>
        <v/>
      </c>
    </row>
    <row r="278" hidden="1">
      <c r="A278">
        <f>'Production Plan'!B278</f>
        <v/>
      </c>
      <c r="B278" s="3">
        <f>VLOOKUP(A278,'Production Plan'!B:Q,14,FALSE)</f>
        <v/>
      </c>
    </row>
    <row r="279" hidden="1">
      <c r="A279">
        <f>'Production Plan'!B279</f>
        <v/>
      </c>
      <c r="B279" s="3">
        <f>VLOOKUP(A279,'Production Plan'!B:Q,14,FALSE)</f>
        <v/>
      </c>
    </row>
    <row r="280" hidden="1">
      <c r="A280">
        <f>'Production Plan'!B280</f>
        <v/>
      </c>
      <c r="B280" s="3">
        <f>VLOOKUP(A280,'Production Plan'!B:Q,14,FALSE)</f>
        <v/>
      </c>
    </row>
    <row r="281" hidden="1">
      <c r="A281">
        <f>'Production Plan'!B281</f>
        <v/>
      </c>
      <c r="B281" s="3">
        <f>VLOOKUP(A281,'Production Plan'!B:Q,14,FALSE)</f>
        <v/>
      </c>
    </row>
    <row r="282" hidden="1">
      <c r="A282">
        <f>'Production Plan'!B282</f>
        <v/>
      </c>
      <c r="B282" s="3">
        <f>VLOOKUP(A282,'Production Plan'!B:Q,14,FALSE)</f>
        <v/>
      </c>
    </row>
    <row r="283" hidden="1">
      <c r="A283">
        <f>'Production Plan'!B283</f>
        <v/>
      </c>
      <c r="B283" s="3">
        <f>VLOOKUP(A283,'Production Plan'!B:Q,14,FALSE)</f>
        <v/>
      </c>
    </row>
    <row r="284" hidden="1">
      <c r="A284">
        <f>'Production Plan'!B284</f>
        <v/>
      </c>
      <c r="B284" s="3">
        <f>VLOOKUP(A284,'Production Plan'!B:Q,14,FALSE)</f>
        <v/>
      </c>
    </row>
    <row r="285" hidden="1">
      <c r="A285">
        <f>'Production Plan'!B285</f>
        <v/>
      </c>
      <c r="B285" s="3">
        <f>VLOOKUP(A285,'Production Plan'!B:Q,14,FALSE)</f>
        <v/>
      </c>
    </row>
    <row r="286" hidden="1">
      <c r="A286">
        <f>'Production Plan'!B286</f>
        <v/>
      </c>
      <c r="B286" s="3">
        <f>VLOOKUP(A286,'Production Plan'!B:Q,14,FALSE)</f>
        <v/>
      </c>
    </row>
    <row r="287" hidden="1">
      <c r="A287">
        <f>'Production Plan'!B287</f>
        <v/>
      </c>
      <c r="B287" s="3">
        <f>VLOOKUP(A287,'Production Plan'!B:Q,14,FALSE)</f>
        <v/>
      </c>
    </row>
    <row r="288" hidden="1">
      <c r="A288">
        <f>'Production Plan'!B288</f>
        <v/>
      </c>
      <c r="B288" s="3">
        <f>VLOOKUP(A288,'Production Plan'!B:Q,14,FALSE)</f>
        <v/>
      </c>
    </row>
    <row r="289" hidden="1">
      <c r="A289">
        <f>'Production Plan'!B289</f>
        <v/>
      </c>
      <c r="B289" s="3">
        <f>VLOOKUP(A289,'Production Plan'!B:Q,14,FALSE)</f>
        <v/>
      </c>
    </row>
    <row r="290" hidden="1">
      <c r="A290">
        <f>'Production Plan'!B290</f>
        <v/>
      </c>
      <c r="B290" s="3">
        <f>VLOOKUP(A290,'Production Plan'!B:Q,14,FALSE)</f>
        <v/>
      </c>
    </row>
    <row r="291" hidden="1">
      <c r="A291">
        <f>'Production Plan'!B291</f>
        <v/>
      </c>
      <c r="B291" s="3">
        <f>VLOOKUP(A291,'Production Plan'!B:Q,14,FALSE)</f>
        <v/>
      </c>
    </row>
    <row r="292" hidden="1">
      <c r="A292">
        <f>'Production Plan'!B292</f>
        <v/>
      </c>
      <c r="B292" s="3">
        <f>VLOOKUP(A292,'Production Plan'!B:Q,14,FALSE)</f>
        <v/>
      </c>
    </row>
    <row r="293" hidden="1">
      <c r="A293">
        <f>'Production Plan'!B293</f>
        <v/>
      </c>
      <c r="B293" s="3">
        <f>VLOOKUP(A293,'Production Plan'!B:Q,14,FALSE)</f>
        <v/>
      </c>
    </row>
    <row r="294" hidden="1">
      <c r="A294">
        <f>'Production Plan'!B294</f>
        <v/>
      </c>
      <c r="B294" s="3">
        <f>VLOOKUP(A294,'Production Plan'!B:Q,14,FALSE)</f>
        <v/>
      </c>
    </row>
    <row r="295" hidden="1">
      <c r="A295">
        <f>'Production Plan'!B295</f>
        <v/>
      </c>
      <c r="B295" s="3">
        <f>VLOOKUP(A295,'Production Plan'!B:Q,14,FALSE)</f>
        <v/>
      </c>
    </row>
    <row r="296" hidden="1">
      <c r="A296">
        <f>'Production Plan'!B296</f>
        <v/>
      </c>
      <c r="B296" s="3">
        <f>VLOOKUP(A296,'Production Plan'!B:Q,14,FALSE)</f>
        <v/>
      </c>
    </row>
    <row r="297" hidden="1">
      <c r="A297">
        <f>'Production Plan'!B297</f>
        <v/>
      </c>
      <c r="B297" s="3">
        <f>VLOOKUP(A297,'Production Plan'!B:Q,14,FALSE)</f>
        <v/>
      </c>
    </row>
    <row r="298" hidden="1">
      <c r="A298">
        <f>'Production Plan'!B298</f>
        <v/>
      </c>
      <c r="B298" s="3">
        <f>VLOOKUP(A298,'Production Plan'!B:Q,14,FALSE)</f>
        <v/>
      </c>
    </row>
    <row r="299" hidden="1">
      <c r="A299">
        <f>'Production Plan'!B299</f>
        <v/>
      </c>
      <c r="B299" s="3">
        <f>VLOOKUP(A299,'Production Plan'!B:Q,14,FALSE)</f>
        <v/>
      </c>
    </row>
    <row r="300" hidden="1">
      <c r="A300">
        <f>'Production Plan'!B300</f>
        <v/>
      </c>
      <c r="B300" s="3">
        <f>VLOOKUP(A300,'Production Plan'!B:Q,14,FALSE)</f>
        <v/>
      </c>
    </row>
    <row r="301" hidden="1">
      <c r="A301">
        <f>'Production Plan'!B301</f>
        <v/>
      </c>
      <c r="B301" s="3">
        <f>VLOOKUP(A301,'Production Plan'!B:Q,14,FALSE)</f>
        <v/>
      </c>
    </row>
    <row r="302" hidden="1">
      <c r="A302">
        <f>'Production Plan'!B302</f>
        <v/>
      </c>
      <c r="B302" s="3">
        <f>VLOOKUP(A302,'Production Plan'!B:Q,14,FALSE)</f>
        <v/>
      </c>
    </row>
    <row r="303" hidden="1">
      <c r="A303">
        <f>'Production Plan'!B303</f>
        <v/>
      </c>
      <c r="B303" s="3">
        <f>VLOOKUP(A303,'Production Plan'!B:Q,14,FALSE)</f>
        <v/>
      </c>
    </row>
    <row r="304" hidden="1">
      <c r="A304">
        <f>'Production Plan'!B304</f>
        <v/>
      </c>
      <c r="B304" s="3">
        <f>VLOOKUP(A304,'Production Plan'!B:Q,14,FALSE)</f>
        <v/>
      </c>
    </row>
    <row r="305" hidden="1">
      <c r="A305">
        <f>'Production Plan'!B305</f>
        <v/>
      </c>
      <c r="B305" s="3">
        <f>VLOOKUP(A305,'Production Plan'!B:Q,14,FALSE)</f>
        <v/>
      </c>
    </row>
    <row r="306" hidden="1">
      <c r="A306">
        <f>'Production Plan'!B306</f>
        <v/>
      </c>
      <c r="B306" s="3">
        <f>VLOOKUP(A306,'Production Plan'!B:Q,14,FALSE)</f>
        <v/>
      </c>
    </row>
    <row r="307" hidden="1">
      <c r="A307">
        <f>'Production Plan'!B307</f>
        <v/>
      </c>
      <c r="B307" s="3">
        <f>VLOOKUP(A307,'Production Plan'!B:Q,14,FALSE)</f>
        <v/>
      </c>
    </row>
    <row r="308" hidden="1">
      <c r="A308">
        <f>'Production Plan'!B308</f>
        <v/>
      </c>
      <c r="B308" s="3">
        <f>VLOOKUP(A308,'Production Plan'!B:Q,14,FALSE)</f>
        <v/>
      </c>
    </row>
    <row r="309" hidden="1">
      <c r="A309">
        <f>'Production Plan'!B309</f>
        <v/>
      </c>
      <c r="B309" s="3">
        <f>VLOOKUP(A309,'Production Plan'!B:Q,14,FALSE)</f>
        <v/>
      </c>
    </row>
    <row r="310" hidden="1">
      <c r="A310">
        <f>'Production Plan'!B310</f>
        <v/>
      </c>
      <c r="B310" s="3">
        <f>VLOOKUP(A310,'Production Plan'!B:Q,14,FALSE)</f>
        <v/>
      </c>
    </row>
    <row r="311" hidden="1">
      <c r="A311">
        <f>'Production Plan'!B311</f>
        <v/>
      </c>
      <c r="B311" s="3">
        <f>VLOOKUP(A311,'Production Plan'!B:Q,14,FALSE)</f>
        <v/>
      </c>
    </row>
    <row r="312" hidden="1">
      <c r="A312">
        <f>'Production Plan'!B312</f>
        <v/>
      </c>
      <c r="B312" s="3">
        <f>VLOOKUP(A312,'Production Plan'!B:Q,14,FALSE)</f>
        <v/>
      </c>
    </row>
    <row r="313" hidden="1">
      <c r="A313">
        <f>'Production Plan'!B313</f>
        <v/>
      </c>
      <c r="B313" s="3">
        <f>VLOOKUP(A313,'Production Plan'!B:Q,14,FALSE)</f>
        <v/>
      </c>
    </row>
    <row r="314" hidden="1">
      <c r="A314">
        <f>'Production Plan'!B314</f>
        <v/>
      </c>
      <c r="B314" s="3">
        <f>VLOOKUP(A314,'Production Plan'!B:Q,14,FALSE)</f>
        <v/>
      </c>
    </row>
    <row r="315" hidden="1">
      <c r="A315">
        <f>'Production Plan'!B315</f>
        <v/>
      </c>
      <c r="B315" s="3">
        <f>VLOOKUP(A315,'Production Plan'!B:Q,14,FALSE)</f>
        <v/>
      </c>
    </row>
    <row r="316" hidden="1">
      <c r="A316">
        <f>'Production Plan'!B316</f>
        <v/>
      </c>
      <c r="B316" s="3">
        <f>VLOOKUP(A316,'Production Plan'!B:Q,14,FALSE)</f>
        <v/>
      </c>
    </row>
    <row r="317" hidden="1">
      <c r="A317">
        <f>'Production Plan'!B317</f>
        <v/>
      </c>
      <c r="B317" s="3">
        <f>VLOOKUP(A317,'Production Plan'!B:Q,14,FALSE)</f>
        <v/>
      </c>
    </row>
    <row r="318" hidden="1">
      <c r="A318">
        <f>'Production Plan'!B318</f>
        <v/>
      </c>
      <c r="B318" s="3">
        <f>VLOOKUP(A318,'Production Plan'!B:Q,14,FALSE)</f>
        <v/>
      </c>
    </row>
    <row r="319" hidden="1">
      <c r="A319">
        <f>'Production Plan'!B319</f>
        <v/>
      </c>
      <c r="B319" s="3">
        <f>VLOOKUP(A319,'Production Plan'!B:Q,14,FALSE)</f>
        <v/>
      </c>
    </row>
    <row r="320" hidden="1">
      <c r="A320">
        <f>'Production Plan'!B320</f>
        <v/>
      </c>
      <c r="B320" s="3">
        <f>VLOOKUP(A320,'Production Plan'!B:Q,14,FALSE)</f>
        <v/>
      </c>
    </row>
    <row r="321" hidden="1">
      <c r="A321">
        <f>'Production Plan'!B321</f>
        <v/>
      </c>
      <c r="B321" s="3">
        <f>VLOOKUP(A321,'Production Plan'!B:Q,14,FALSE)</f>
        <v/>
      </c>
    </row>
    <row r="322" hidden="1">
      <c r="A322">
        <f>'Production Plan'!B322</f>
        <v/>
      </c>
      <c r="B322" s="3">
        <f>VLOOKUP(A322,'Production Plan'!B:Q,14,FALSE)</f>
        <v/>
      </c>
    </row>
    <row r="323" hidden="1">
      <c r="A323">
        <f>'Production Plan'!#REF!</f>
        <v/>
      </c>
      <c r="B323" s="3">
        <f>VLOOKUP(A323,'Production Plan'!B:Q,14,FALSE)</f>
        <v/>
      </c>
    </row>
    <row r="324" hidden="1">
      <c r="A324">
        <f>'Production Plan'!B323</f>
        <v/>
      </c>
      <c r="B324" s="3">
        <f>VLOOKUP(A324,'Production Plan'!B:Q,14,FALSE)</f>
        <v/>
      </c>
    </row>
    <row r="325" hidden="1">
      <c r="A325">
        <f>'Production Plan'!B324</f>
        <v/>
      </c>
      <c r="B325" s="3">
        <f>VLOOKUP(A325,'Production Plan'!B:Q,14,FALSE)</f>
        <v/>
      </c>
    </row>
    <row r="326" hidden="1">
      <c r="A326">
        <f>'Production Plan'!B325</f>
        <v/>
      </c>
      <c r="B326" s="3">
        <f>VLOOKUP(A326,'Production Plan'!B:Q,14,FALSE)</f>
        <v/>
      </c>
    </row>
    <row r="327" hidden="1">
      <c r="A327">
        <f>'Production Plan'!B326</f>
        <v/>
      </c>
      <c r="B327" s="3">
        <f>VLOOKUP(A327,'Production Plan'!B:Q,14,FALSE)</f>
        <v/>
      </c>
    </row>
    <row r="328" hidden="1">
      <c r="A328">
        <f>'Production Plan'!B327</f>
        <v/>
      </c>
      <c r="B328" s="3">
        <f>VLOOKUP(A328,'Production Plan'!B:Q,14,FALSE)</f>
        <v/>
      </c>
    </row>
    <row r="329" hidden="1">
      <c r="A329">
        <f>'Production Plan'!B328</f>
        <v/>
      </c>
      <c r="B329" s="3">
        <f>VLOOKUP(A329,'Production Plan'!B:Q,14,FALSE)</f>
        <v/>
      </c>
    </row>
    <row r="330" hidden="1">
      <c r="A330">
        <f>'Production Plan'!B329</f>
        <v/>
      </c>
      <c r="B330" s="3">
        <f>VLOOKUP(A330,'Production Plan'!B:Q,14,FALSE)</f>
        <v/>
      </c>
    </row>
    <row r="331" hidden="1">
      <c r="A331">
        <f>'Production Plan'!B330</f>
        <v/>
      </c>
      <c r="B331" s="3">
        <f>VLOOKUP(A331,'Production Plan'!B:Q,14,FALSE)</f>
        <v/>
      </c>
    </row>
    <row r="332" hidden="1">
      <c r="A332">
        <f>'Production Plan'!B331</f>
        <v/>
      </c>
      <c r="B332" s="3">
        <f>VLOOKUP(A332,'Production Plan'!B:Q,14,FALSE)</f>
        <v/>
      </c>
    </row>
    <row r="333" hidden="1">
      <c r="A333">
        <f>'Production Plan'!B332</f>
        <v/>
      </c>
      <c r="B333" s="3">
        <f>VLOOKUP(A333,'Production Plan'!B:Q,14,FALSE)</f>
        <v/>
      </c>
    </row>
    <row r="334" hidden="1">
      <c r="A334">
        <f>'Production Plan'!B333</f>
        <v/>
      </c>
      <c r="B334" s="3">
        <f>VLOOKUP(A334,'Production Plan'!B:Q,14,FALSE)</f>
        <v/>
      </c>
    </row>
    <row r="335" hidden="1">
      <c r="A335">
        <f>'Production Plan'!B334</f>
        <v/>
      </c>
      <c r="B335" s="3">
        <f>VLOOKUP(A335,'Production Plan'!B:Q,14,FALSE)</f>
        <v/>
      </c>
    </row>
    <row r="336" hidden="1">
      <c r="A336">
        <f>'Production Plan'!B335</f>
        <v/>
      </c>
      <c r="B336" s="3">
        <f>VLOOKUP(A336,'Production Plan'!B:Q,14,FALSE)</f>
        <v/>
      </c>
    </row>
    <row r="337" hidden="1">
      <c r="A337">
        <f>'Production Plan'!B336</f>
        <v/>
      </c>
      <c r="B337" s="3">
        <f>VLOOKUP(A337,'Production Plan'!B:Q,14,FALSE)</f>
        <v/>
      </c>
    </row>
    <row r="338" hidden="1">
      <c r="A338">
        <f>'Production Plan'!B337</f>
        <v/>
      </c>
      <c r="B338" s="3">
        <f>VLOOKUP(A338,'Production Plan'!B:Q,14,FALSE)</f>
        <v/>
      </c>
    </row>
    <row r="339" hidden="1">
      <c r="A339">
        <f>'Production Plan'!B338</f>
        <v/>
      </c>
      <c r="B339" s="3">
        <f>VLOOKUP(A339,'Production Plan'!B:Q,14,FALSE)</f>
        <v/>
      </c>
    </row>
    <row r="340" hidden="1">
      <c r="A340">
        <f>'Production Plan'!B339</f>
        <v/>
      </c>
      <c r="B340" s="3">
        <f>VLOOKUP(A340,'Production Plan'!B:Q,14,FALSE)</f>
        <v/>
      </c>
    </row>
    <row r="341" hidden="1">
      <c r="A341">
        <f>'Production Plan'!B340</f>
        <v/>
      </c>
      <c r="B341" s="3">
        <f>VLOOKUP(A341,'Production Plan'!B:Q,14,FALSE)</f>
        <v/>
      </c>
    </row>
    <row r="342" hidden="1">
      <c r="A342">
        <f>'Production Plan'!B341</f>
        <v/>
      </c>
      <c r="B342" s="3">
        <f>VLOOKUP(A342,'Production Plan'!B:Q,14,FALSE)</f>
        <v/>
      </c>
    </row>
    <row r="343" hidden="1">
      <c r="A343">
        <f>'Production Plan'!B342</f>
        <v/>
      </c>
      <c r="B343" s="3">
        <f>VLOOKUP(A343,'Production Plan'!B:Q,14,FALSE)</f>
        <v/>
      </c>
    </row>
    <row r="344" hidden="1">
      <c r="A344">
        <f>'Production Plan'!B343</f>
        <v/>
      </c>
      <c r="B344" s="3">
        <f>VLOOKUP(A344,'Production Plan'!B:Q,14,FALSE)</f>
        <v/>
      </c>
    </row>
    <row r="345" hidden="1">
      <c r="A345">
        <f>'Production Plan'!B344</f>
        <v/>
      </c>
      <c r="B345" s="3">
        <f>VLOOKUP(A345,'Production Plan'!B:Q,14,FALSE)</f>
        <v/>
      </c>
    </row>
    <row r="346" hidden="1">
      <c r="A346">
        <f>'Production Plan'!B345</f>
        <v/>
      </c>
      <c r="B346" s="3">
        <f>VLOOKUP(A346,'Production Plan'!B:Q,14,FALSE)</f>
        <v/>
      </c>
    </row>
    <row r="347" hidden="1">
      <c r="A347">
        <f>'Production Plan'!B346</f>
        <v/>
      </c>
      <c r="B347" s="3">
        <f>VLOOKUP(A347,'Production Plan'!B:Q,14,FALSE)</f>
        <v/>
      </c>
    </row>
    <row r="348" hidden="1">
      <c r="A348">
        <f>'Production Plan'!B347</f>
        <v/>
      </c>
      <c r="B348" s="3">
        <f>VLOOKUP(A348,'Production Plan'!B:Q,14,FALSE)</f>
        <v/>
      </c>
    </row>
    <row r="349" hidden="1">
      <c r="A349">
        <f>'Production Plan'!B348</f>
        <v/>
      </c>
      <c r="B349" s="3">
        <f>VLOOKUP(A349,'Production Plan'!B:Q,14,FALSE)</f>
        <v/>
      </c>
    </row>
    <row r="350" hidden="1">
      <c r="A350">
        <f>'Production Plan'!B349</f>
        <v/>
      </c>
      <c r="B350" s="3">
        <f>VLOOKUP(A350,'Production Plan'!B:Q,14,FALSE)</f>
        <v/>
      </c>
    </row>
    <row r="351" hidden="1">
      <c r="A351">
        <f>'Production Plan'!B350</f>
        <v/>
      </c>
      <c r="B351" s="3">
        <f>VLOOKUP(A351,'Production Plan'!B:Q,14,FALSE)</f>
        <v/>
      </c>
    </row>
    <row r="352" hidden="1">
      <c r="A352">
        <f>'Production Plan'!B351</f>
        <v/>
      </c>
      <c r="B352" s="3">
        <f>VLOOKUP(A352,'Production Plan'!B:Q,14,FALSE)</f>
        <v/>
      </c>
    </row>
    <row r="353" hidden="1">
      <c r="A353">
        <f>'Production Plan'!B352</f>
        <v/>
      </c>
      <c r="B353" s="3">
        <f>VLOOKUP(A353,'Production Plan'!B:Q,14,FALSE)</f>
        <v/>
      </c>
    </row>
    <row r="354" hidden="1">
      <c r="A354">
        <f>'Production Plan'!B353</f>
        <v/>
      </c>
      <c r="B354" s="3">
        <f>VLOOKUP(A354,'Production Plan'!B:Q,14,FALSE)</f>
        <v/>
      </c>
    </row>
    <row r="355" hidden="1">
      <c r="A355">
        <f>'Production Plan'!B354</f>
        <v/>
      </c>
      <c r="B355" s="3">
        <f>VLOOKUP(A355,'Production Plan'!B:Q,14,FALSE)</f>
        <v/>
      </c>
    </row>
    <row r="356" hidden="1">
      <c r="A356">
        <f>'Production Plan'!B355</f>
        <v/>
      </c>
      <c r="B356" s="3">
        <f>VLOOKUP(A356,'Production Plan'!B:Q,14,FALSE)</f>
        <v/>
      </c>
    </row>
    <row r="357" hidden="1">
      <c r="A357">
        <f>'Production Plan'!B356</f>
        <v/>
      </c>
      <c r="B357" s="3">
        <f>VLOOKUP(A357,'Production Plan'!B:Q,14,FALSE)</f>
        <v/>
      </c>
    </row>
    <row r="358" hidden="1">
      <c r="A358">
        <f>'Production Plan'!B357</f>
        <v/>
      </c>
      <c r="B358" s="3">
        <f>VLOOKUP(A358,'Production Plan'!B:Q,14,FALSE)</f>
        <v/>
      </c>
    </row>
    <row r="359" hidden="1">
      <c r="A359">
        <f>'Production Plan'!#REF!</f>
        <v/>
      </c>
      <c r="B359" s="3">
        <f>VLOOKUP(A359,'Production Plan'!B:Q,14,FALSE)</f>
        <v/>
      </c>
    </row>
    <row r="360" hidden="1">
      <c r="A360">
        <f>'Production Plan'!#REF!</f>
        <v/>
      </c>
      <c r="B360" s="3">
        <f>VLOOKUP(A360,'Production Plan'!B:Q,14,FALSE)</f>
        <v/>
      </c>
    </row>
    <row r="361" hidden="1">
      <c r="A361">
        <f>'Production Plan'!#REF!</f>
        <v/>
      </c>
      <c r="B361" s="3">
        <f>VLOOKUP(A361,'Production Plan'!B:Q,14,FALSE)</f>
        <v/>
      </c>
    </row>
    <row r="362" hidden="1">
      <c r="A362">
        <f>'Production Plan'!#REF!</f>
        <v/>
      </c>
      <c r="B362" s="3">
        <f>VLOOKUP(A362,'Production Plan'!B:Q,14,FALSE)</f>
        <v/>
      </c>
    </row>
    <row r="363" hidden="1">
      <c r="A363">
        <f>'Production Plan'!#REF!</f>
        <v/>
      </c>
      <c r="B363" s="3">
        <f>VLOOKUP(A363,'Production Plan'!B:Q,14,FALSE)</f>
        <v/>
      </c>
    </row>
    <row r="364" hidden="1">
      <c r="A364">
        <f>'Production Plan'!#REF!</f>
        <v/>
      </c>
      <c r="B364" s="3">
        <f>VLOOKUP(A364,'Production Plan'!B:Q,14,FALSE)</f>
        <v/>
      </c>
    </row>
    <row r="365" hidden="1">
      <c r="A365">
        <f>'Production Plan'!#REF!</f>
        <v/>
      </c>
      <c r="B365" s="3">
        <f>VLOOKUP(A365,'Production Plan'!B:Q,14,FALSE)</f>
        <v/>
      </c>
    </row>
    <row r="366" hidden="1">
      <c r="A366">
        <f>'Production Plan'!#REF!</f>
        <v/>
      </c>
      <c r="B366" s="3">
        <f>VLOOKUP(A366,'Production Plan'!B:Q,14,FALSE)</f>
        <v/>
      </c>
    </row>
    <row r="367" hidden="1">
      <c r="A367">
        <f>'Production Plan'!#REF!</f>
        <v/>
      </c>
      <c r="B367" s="3">
        <f>VLOOKUP(A367,'Production Plan'!B:Q,14,FALSE)</f>
        <v/>
      </c>
    </row>
    <row r="368" hidden="1">
      <c r="A368">
        <f>'Production Plan'!#REF!</f>
        <v/>
      </c>
      <c r="B368" s="3">
        <f>VLOOKUP(A368,'Production Plan'!B:Q,14,FALSE)</f>
        <v/>
      </c>
    </row>
    <row r="369" hidden="1">
      <c r="A369">
        <f>'Production Plan'!#REF!</f>
        <v/>
      </c>
      <c r="B369" s="3">
        <f>VLOOKUP(A369,'Production Plan'!B:Q,14,FALSE)</f>
        <v/>
      </c>
    </row>
    <row r="370" hidden="1">
      <c r="A370">
        <f>'Production Plan'!B358</f>
        <v/>
      </c>
      <c r="B370" s="3">
        <f>VLOOKUP(A370,'Production Plan'!B:Q,14,FALSE)</f>
        <v/>
      </c>
    </row>
    <row r="371" hidden="1">
      <c r="A371">
        <f>'Production Plan'!B359</f>
        <v/>
      </c>
      <c r="B371" s="3">
        <f>VLOOKUP(A371,'Production Plan'!B:Q,14,FALSE)</f>
        <v/>
      </c>
    </row>
    <row r="372" hidden="1">
      <c r="A372">
        <f>'Production Plan'!B360</f>
        <v/>
      </c>
      <c r="B372" s="3">
        <f>VLOOKUP(A372,'Production Plan'!B:Q,14,FALSE)</f>
        <v/>
      </c>
    </row>
    <row r="373" hidden="1">
      <c r="A373">
        <f>'Production Plan'!B361</f>
        <v/>
      </c>
      <c r="B373" s="3">
        <f>VLOOKUP(A373,'Production Plan'!B:Q,14,FALSE)</f>
        <v/>
      </c>
    </row>
    <row r="374" hidden="1">
      <c r="A374">
        <f>'Production Plan'!B362</f>
        <v/>
      </c>
      <c r="B374" s="3">
        <f>VLOOKUP(A374,'Production Plan'!B:Q,14,FALSE)</f>
        <v/>
      </c>
    </row>
    <row r="375" hidden="1">
      <c r="A375">
        <f>'Production Plan'!B363</f>
        <v/>
      </c>
      <c r="B375" s="3">
        <f>VLOOKUP(A375,'Production Plan'!B:Q,14,FALSE)</f>
        <v/>
      </c>
    </row>
    <row r="376" hidden="1">
      <c r="A376">
        <f>'Production Plan'!B364</f>
        <v/>
      </c>
      <c r="B376" s="3">
        <f>VLOOKUP(A376,'Production Plan'!B:Q,14,FALSE)</f>
        <v/>
      </c>
    </row>
    <row r="377" hidden="1">
      <c r="A377">
        <f>'Production Plan'!B365</f>
        <v/>
      </c>
      <c r="B377" s="3">
        <f>VLOOKUP(A377,'Production Plan'!B:Q,14,FALSE)</f>
        <v/>
      </c>
    </row>
    <row r="378" hidden="1">
      <c r="A378">
        <f>'Production Plan'!B366</f>
        <v/>
      </c>
      <c r="B378" s="3">
        <f>VLOOKUP(A378,'Production Plan'!B:Q,14,FALSE)</f>
        <v/>
      </c>
    </row>
    <row r="379" hidden="1">
      <c r="A379">
        <f>'Production Plan'!B367</f>
        <v/>
      </c>
      <c r="B379" s="3">
        <f>VLOOKUP(A379,'Production Plan'!B:Q,14,FALSE)</f>
        <v/>
      </c>
    </row>
    <row r="380" hidden="1">
      <c r="A380">
        <f>'Production Plan'!B368</f>
        <v/>
      </c>
      <c r="B380" s="3">
        <f>VLOOKUP(A380,'Production Plan'!B:Q,14,FALSE)</f>
        <v/>
      </c>
    </row>
    <row r="381" hidden="1">
      <c r="A381">
        <f>'Production Plan'!B369</f>
        <v/>
      </c>
      <c r="B381" s="3">
        <f>VLOOKUP(A381,'Production Plan'!B:Q,14,FALSE)</f>
        <v/>
      </c>
    </row>
    <row r="382" hidden="1">
      <c r="A382">
        <f>'Production Plan'!B370</f>
        <v/>
      </c>
      <c r="B382" s="3">
        <f>VLOOKUP(A382,'Production Plan'!B:Q,14,FALSE)</f>
        <v/>
      </c>
    </row>
    <row r="383" hidden="1">
      <c r="A383">
        <f>'Production Plan'!B371</f>
        <v/>
      </c>
      <c r="B383" s="3">
        <f>VLOOKUP(A383,'Production Plan'!B:Q,14,FALSE)</f>
        <v/>
      </c>
    </row>
    <row r="384" hidden="1">
      <c r="A384">
        <f>'Production Plan'!B372</f>
        <v/>
      </c>
      <c r="B384" s="3">
        <f>VLOOKUP(A384,'Production Plan'!B:Q,14,FALSE)</f>
        <v/>
      </c>
    </row>
    <row r="385" hidden="1">
      <c r="A385">
        <f>'Production Plan'!B373</f>
        <v/>
      </c>
      <c r="B385" s="3">
        <f>VLOOKUP(A385,'Production Plan'!B:Q,14,FALSE)</f>
        <v/>
      </c>
    </row>
    <row r="386" hidden="1">
      <c r="A386">
        <f>'Production Plan'!B374</f>
        <v/>
      </c>
      <c r="B386" s="3">
        <f>VLOOKUP(A386,'Production Plan'!B:Q,14,FALSE)</f>
        <v/>
      </c>
    </row>
    <row r="387" hidden="1">
      <c r="A387">
        <f>'Production Plan'!B375</f>
        <v/>
      </c>
      <c r="B387" s="3">
        <f>VLOOKUP(A387,'Production Plan'!B:Q,14,FALSE)</f>
        <v/>
      </c>
    </row>
    <row r="388" hidden="1">
      <c r="A388">
        <f>'Production Plan'!B376</f>
        <v/>
      </c>
      <c r="B388" s="3">
        <f>VLOOKUP(A388,'Production Plan'!B:Q,14,FALSE)</f>
        <v/>
      </c>
    </row>
    <row r="389" hidden="1">
      <c r="A389">
        <f>'Production Plan'!B377</f>
        <v/>
      </c>
      <c r="B389" s="3">
        <f>VLOOKUP(A389,'Production Plan'!B:Q,14,FALSE)</f>
        <v/>
      </c>
    </row>
    <row r="390" hidden="1">
      <c r="A390">
        <f>'Production Plan'!B378</f>
        <v/>
      </c>
      <c r="B390" s="3">
        <f>VLOOKUP(A390,'Production Plan'!B:Q,14,FALSE)</f>
        <v/>
      </c>
    </row>
    <row r="391" hidden="1">
      <c r="A391">
        <f>'Production Plan'!B379</f>
        <v/>
      </c>
      <c r="B391" s="3">
        <f>VLOOKUP(A391,'Production Plan'!B:Q,14,FALSE)</f>
        <v/>
      </c>
    </row>
    <row r="392" hidden="1">
      <c r="A392">
        <f>'Production Plan'!B380</f>
        <v/>
      </c>
      <c r="B392" s="3">
        <f>VLOOKUP(A392,'Production Plan'!B:Q,14,FALSE)</f>
        <v/>
      </c>
    </row>
    <row r="393" hidden="1">
      <c r="A393">
        <f>'Production Plan'!B381</f>
        <v/>
      </c>
      <c r="B393" s="3">
        <f>VLOOKUP(A393,'Production Plan'!B:Q,14,FALSE)</f>
        <v/>
      </c>
    </row>
    <row r="394" hidden="1">
      <c r="A394">
        <f>'Production Plan'!B382</f>
        <v/>
      </c>
      <c r="B394" s="3">
        <f>VLOOKUP(A394,'Production Plan'!B:Q,14,FALSE)</f>
        <v/>
      </c>
    </row>
    <row r="395" hidden="1">
      <c r="A395">
        <f>'Production Plan'!B383</f>
        <v/>
      </c>
      <c r="B395" s="3">
        <f>VLOOKUP(A395,'Production Plan'!B:Q,14,FALSE)</f>
        <v/>
      </c>
    </row>
    <row r="396" hidden="1">
      <c r="A396">
        <f>'Production Plan'!B384</f>
        <v/>
      </c>
      <c r="B396" s="3">
        <f>VLOOKUP(A396,'Production Plan'!B:Q,14,FALSE)</f>
        <v/>
      </c>
    </row>
    <row r="397" hidden="1">
      <c r="A397">
        <f>'Production Plan'!B385</f>
        <v/>
      </c>
      <c r="B397" s="3">
        <f>VLOOKUP(A397,'Production Plan'!B:Q,14,FALSE)</f>
        <v/>
      </c>
    </row>
    <row r="398" hidden="1">
      <c r="A398">
        <f>'Production Plan'!B386</f>
        <v/>
      </c>
      <c r="B398" s="3">
        <f>VLOOKUP(A398,'Production Plan'!B:Q,14,FALSE)</f>
        <v/>
      </c>
    </row>
    <row r="399" hidden="1">
      <c r="A399">
        <f>'Production Plan'!B387</f>
        <v/>
      </c>
      <c r="B399" s="3">
        <f>VLOOKUP(A399,'Production Plan'!B:Q,14,FALSE)</f>
        <v/>
      </c>
    </row>
    <row r="400" hidden="1">
      <c r="A400">
        <f>'Production Plan'!B388</f>
        <v/>
      </c>
      <c r="B400" s="3">
        <f>VLOOKUP(A400,'Production Plan'!B:Q,14,FALSE)</f>
        <v/>
      </c>
    </row>
    <row r="401" hidden="1">
      <c r="A401">
        <f>'Production Plan'!B389</f>
        <v/>
      </c>
      <c r="B401" s="3">
        <f>VLOOKUP(A401,'Production Plan'!B:Q,14,FALSE)</f>
        <v/>
      </c>
    </row>
    <row r="402" hidden="1">
      <c r="A402">
        <f>'Production Plan'!B390</f>
        <v/>
      </c>
      <c r="B402" s="3">
        <f>VLOOKUP(A402,'Production Plan'!B:Q,14,FALSE)</f>
        <v/>
      </c>
    </row>
    <row r="403" hidden="1">
      <c r="A403">
        <f>'Production Plan'!B391</f>
        <v/>
      </c>
      <c r="B403" s="3">
        <f>VLOOKUP(A403,'Production Plan'!B:Q,14,FALSE)</f>
        <v/>
      </c>
    </row>
    <row r="404" hidden="1">
      <c r="A404">
        <f>'Production Plan'!B392</f>
        <v/>
      </c>
      <c r="B404" s="3">
        <f>VLOOKUP(A404,'Production Plan'!B:Q,14,FALSE)</f>
        <v/>
      </c>
    </row>
    <row r="405" hidden="1">
      <c r="A405">
        <f>'Production Plan'!B393</f>
        <v/>
      </c>
      <c r="B405" s="3">
        <f>VLOOKUP(A405,'Production Plan'!B:Q,14,FALSE)</f>
        <v/>
      </c>
    </row>
    <row r="406" hidden="1">
      <c r="A406">
        <f>'Production Plan'!B394</f>
        <v/>
      </c>
      <c r="B406" s="3">
        <f>VLOOKUP(A406,'Production Plan'!B:Q,14,FALSE)</f>
        <v/>
      </c>
    </row>
    <row r="407" hidden="1">
      <c r="A407">
        <f>'Production Plan'!B395</f>
        <v/>
      </c>
      <c r="B407" s="3">
        <f>VLOOKUP(A407,'Production Plan'!B:Q,14,FALSE)</f>
        <v/>
      </c>
    </row>
    <row r="408" hidden="1">
      <c r="A408">
        <f>'Production Plan'!B396</f>
        <v/>
      </c>
      <c r="B408" s="3">
        <f>VLOOKUP(A408,'Production Plan'!B:Q,14,FALSE)</f>
        <v/>
      </c>
    </row>
    <row r="409" hidden="1">
      <c r="A409">
        <f>'Production Plan'!B397</f>
        <v/>
      </c>
      <c r="B409" s="3">
        <f>VLOOKUP(A409,'Production Plan'!B:Q,14,FALSE)</f>
        <v/>
      </c>
    </row>
    <row r="410" hidden="1">
      <c r="A410">
        <f>'Production Plan'!B398</f>
        <v/>
      </c>
      <c r="B410" s="3">
        <f>VLOOKUP(A410,'Production Plan'!B:Q,14,FALSE)</f>
        <v/>
      </c>
    </row>
    <row r="411" hidden="1">
      <c r="A411">
        <f>'Production Plan'!B399</f>
        <v/>
      </c>
      <c r="B411" s="3">
        <f>VLOOKUP(A411,'Production Plan'!B:Q,14,FALSE)</f>
        <v/>
      </c>
    </row>
    <row r="412" hidden="1">
      <c r="A412">
        <f>'Production Plan'!B400</f>
        <v/>
      </c>
      <c r="B412" s="3">
        <f>VLOOKUP(A412,'Production Plan'!B:Q,14,FALSE)</f>
        <v/>
      </c>
    </row>
    <row r="413" hidden="1">
      <c r="A413">
        <f>'Production Plan'!B401</f>
        <v/>
      </c>
      <c r="B413" s="3">
        <f>VLOOKUP(A413,'Production Plan'!B:Q,14,FALSE)</f>
        <v/>
      </c>
    </row>
    <row r="414" hidden="1">
      <c r="A414">
        <f>'Production Plan'!B402</f>
        <v/>
      </c>
      <c r="B414" s="3">
        <f>VLOOKUP(A414,'Production Plan'!B:Q,14,FALSE)</f>
        <v/>
      </c>
    </row>
    <row r="415" hidden="1">
      <c r="A415">
        <f>'Production Plan'!B403</f>
        <v/>
      </c>
      <c r="B415" s="3">
        <f>VLOOKUP(A415,'Production Plan'!B:Q,14,FALSE)</f>
        <v/>
      </c>
    </row>
    <row r="416" hidden="1">
      <c r="A416">
        <f>'Production Plan'!B404</f>
        <v/>
      </c>
      <c r="B416" s="3">
        <f>VLOOKUP(A416,'Production Plan'!B:Q,14,FALSE)</f>
        <v/>
      </c>
    </row>
    <row r="417" hidden="1">
      <c r="A417">
        <f>'Production Plan'!B405</f>
        <v/>
      </c>
      <c r="B417" s="3">
        <f>VLOOKUP(A417,'Production Plan'!B:Q,14,FALSE)</f>
        <v/>
      </c>
    </row>
    <row r="418" hidden="1">
      <c r="A418">
        <f>'Production Plan'!B406</f>
        <v/>
      </c>
      <c r="B418" s="3">
        <f>VLOOKUP(A418,'Production Plan'!B:Q,14,FALSE)</f>
        <v/>
      </c>
    </row>
    <row r="419" hidden="1">
      <c r="A419">
        <f>'Production Plan'!B407</f>
        <v/>
      </c>
      <c r="B419" s="3">
        <f>VLOOKUP(A419,'Production Plan'!B:Q,14,FALSE)</f>
        <v/>
      </c>
    </row>
    <row r="420" hidden="1">
      <c r="A420">
        <f>'Production Plan'!B408</f>
        <v/>
      </c>
      <c r="B420" s="3">
        <f>VLOOKUP(A420,'Production Plan'!B:Q,14,FALSE)</f>
        <v/>
      </c>
    </row>
    <row r="421" hidden="1">
      <c r="A421">
        <f>'Production Plan'!B409</f>
        <v/>
      </c>
      <c r="B421" s="3">
        <f>VLOOKUP(A421,'Production Plan'!B:Q,14,FALSE)</f>
        <v/>
      </c>
    </row>
    <row r="422" hidden="1">
      <c r="A422">
        <f>'Production Plan'!B410</f>
        <v/>
      </c>
      <c r="B422" s="3">
        <f>VLOOKUP(A422,'Production Plan'!B:Q,14,FALSE)</f>
        <v/>
      </c>
    </row>
    <row r="423" hidden="1">
      <c r="A423">
        <f>'Production Plan'!B411</f>
        <v/>
      </c>
      <c r="B423" s="3">
        <f>VLOOKUP(A423,'Production Plan'!B:Q,14,FALSE)</f>
        <v/>
      </c>
    </row>
    <row r="424" hidden="1">
      <c r="A424">
        <f>'Production Plan'!B412</f>
        <v/>
      </c>
      <c r="B424" s="3">
        <f>VLOOKUP(A424,'Production Plan'!B:Q,14,FALSE)</f>
        <v/>
      </c>
    </row>
    <row r="425" hidden="1">
      <c r="A425">
        <f>'Production Plan'!B413</f>
        <v/>
      </c>
      <c r="B425" s="3">
        <f>VLOOKUP(A425,'Production Plan'!B:Q,14,FALSE)</f>
        <v/>
      </c>
    </row>
    <row r="426" hidden="1">
      <c r="A426">
        <f>'Production Plan'!B414</f>
        <v/>
      </c>
      <c r="B426" s="3">
        <f>VLOOKUP(A426,'Production Plan'!B:Q,14,FALSE)</f>
        <v/>
      </c>
    </row>
    <row r="427" hidden="1">
      <c r="A427">
        <f>'Production Plan'!B415</f>
        <v/>
      </c>
      <c r="B427" s="3">
        <f>VLOOKUP(A427,'Production Plan'!B:Q,14,FALSE)</f>
        <v/>
      </c>
    </row>
    <row r="428" hidden="1">
      <c r="A428">
        <f>'Production Plan'!B416</f>
        <v/>
      </c>
      <c r="B428" s="3">
        <f>VLOOKUP(A428,'Production Plan'!B:Q,14,FALSE)</f>
        <v/>
      </c>
    </row>
    <row r="429" hidden="1">
      <c r="A429">
        <f>'Production Plan'!B417</f>
        <v/>
      </c>
      <c r="B429" s="3">
        <f>VLOOKUP(A429,'Production Plan'!B:Q,14,FALSE)</f>
        <v/>
      </c>
    </row>
    <row r="430" hidden="1">
      <c r="A430">
        <f>'Production Plan'!B418</f>
        <v/>
      </c>
      <c r="B430" s="3">
        <f>VLOOKUP(A430,'Production Plan'!B:Q,14,FALSE)</f>
        <v/>
      </c>
    </row>
    <row r="431" hidden="1">
      <c r="A431">
        <f>'Production Plan'!B419</f>
        <v/>
      </c>
      <c r="B431" s="3">
        <f>VLOOKUP(A431,'Production Plan'!B:Q,14,FALSE)</f>
        <v/>
      </c>
    </row>
    <row r="432" hidden="1">
      <c r="A432">
        <f>'Production Plan'!B420</f>
        <v/>
      </c>
      <c r="B432" s="3">
        <f>VLOOKUP(A432,'Production Plan'!B:Q,14,FALSE)</f>
        <v/>
      </c>
    </row>
    <row r="433" hidden="1">
      <c r="A433">
        <f>'Production Plan'!B421</f>
        <v/>
      </c>
      <c r="B433" s="3">
        <f>VLOOKUP(A433,'Production Plan'!B:Q,14,FALSE)</f>
        <v/>
      </c>
    </row>
    <row r="434" hidden="1">
      <c r="A434">
        <f>'Production Plan'!B422</f>
        <v/>
      </c>
      <c r="B434" s="3">
        <f>VLOOKUP(A434,'Production Plan'!B:Q,14,FALSE)</f>
        <v/>
      </c>
    </row>
    <row r="435" hidden="1">
      <c r="A435">
        <f>'Production Plan'!B423</f>
        <v/>
      </c>
      <c r="B435" s="3">
        <f>VLOOKUP(A435,'Production Plan'!B:Q,14,FALSE)</f>
        <v/>
      </c>
    </row>
    <row r="436" hidden="1">
      <c r="A436">
        <f>'Production Plan'!B424</f>
        <v/>
      </c>
      <c r="B436" s="3">
        <f>VLOOKUP(A436,'Production Plan'!B:Q,14,FALSE)</f>
        <v/>
      </c>
    </row>
    <row r="437" hidden="1">
      <c r="A437">
        <f>'Production Plan'!B425</f>
        <v/>
      </c>
      <c r="B437" s="3">
        <f>VLOOKUP(A437,'Production Plan'!B:Q,14,FALSE)</f>
        <v/>
      </c>
    </row>
    <row r="438" hidden="1">
      <c r="A438">
        <f>'Production Plan'!B426</f>
        <v/>
      </c>
      <c r="B438" s="3">
        <f>VLOOKUP(A438,'Production Plan'!B:Q,14,FALSE)</f>
        <v/>
      </c>
    </row>
    <row r="439" hidden="1">
      <c r="A439">
        <f>'Production Plan'!B427</f>
        <v/>
      </c>
      <c r="B439" s="3">
        <f>VLOOKUP(A439,'Production Plan'!B:Q,14,FALSE)</f>
        <v/>
      </c>
    </row>
    <row r="440" hidden="1">
      <c r="A440">
        <f>'Production Plan'!B428</f>
        <v/>
      </c>
      <c r="B440" s="3">
        <f>VLOOKUP(A440,'Production Plan'!B:Q,14,FALSE)</f>
        <v/>
      </c>
    </row>
    <row r="441" hidden="1">
      <c r="A441">
        <f>'Production Plan'!B429</f>
        <v/>
      </c>
      <c r="B441" s="3">
        <f>VLOOKUP(A441,'Production Plan'!B:Q,14,FALSE)</f>
        <v/>
      </c>
    </row>
    <row r="442" hidden="1">
      <c r="A442">
        <f>'Production Plan'!B430</f>
        <v/>
      </c>
      <c r="B442" s="3">
        <f>VLOOKUP(A442,'Production Plan'!B:Q,14,FALSE)</f>
        <v/>
      </c>
    </row>
    <row r="443" hidden="1">
      <c r="A443">
        <f>'Production Plan'!B431</f>
        <v/>
      </c>
      <c r="B443" s="3">
        <f>VLOOKUP(A443,'Production Plan'!B:Q,14,FALSE)</f>
        <v/>
      </c>
    </row>
    <row r="444" hidden="1">
      <c r="A444">
        <f>'Production Plan'!B432</f>
        <v/>
      </c>
      <c r="B444" s="3">
        <f>VLOOKUP(A444,'Production Plan'!B:Q,14,FALSE)</f>
        <v/>
      </c>
    </row>
    <row r="445" hidden="1">
      <c r="A445">
        <f>'Production Plan'!B433</f>
        <v/>
      </c>
      <c r="B445" s="3">
        <f>VLOOKUP(A445,'Production Plan'!B:Q,14,FALSE)</f>
        <v/>
      </c>
    </row>
    <row r="446" hidden="1">
      <c r="A446">
        <f>'Production Plan'!B434</f>
        <v/>
      </c>
      <c r="B446" s="3">
        <f>VLOOKUP(A446,'Production Plan'!B:Q,14,FALSE)</f>
        <v/>
      </c>
    </row>
    <row r="447" hidden="1">
      <c r="A447">
        <f>'Production Plan'!B435</f>
        <v/>
      </c>
      <c r="B447" s="3">
        <f>VLOOKUP(A447,'Production Plan'!B:Q,14,FALSE)</f>
        <v/>
      </c>
    </row>
    <row r="448" hidden="1">
      <c r="A448">
        <f>'Production Plan'!B436</f>
        <v/>
      </c>
      <c r="B448" s="3">
        <f>VLOOKUP(A448,'Production Plan'!B:Q,14,FALSE)</f>
        <v/>
      </c>
    </row>
    <row r="449" hidden="1">
      <c r="A449">
        <f>'Production Plan'!B437</f>
        <v/>
      </c>
      <c r="B449" s="3">
        <f>VLOOKUP(A449,'Production Plan'!B:Q,14,FALSE)</f>
        <v/>
      </c>
    </row>
    <row r="450" hidden="1">
      <c r="A450">
        <f>'Production Plan'!B438</f>
        <v/>
      </c>
      <c r="B450" s="3">
        <f>VLOOKUP(A450,'Production Plan'!B:Q,14,FALSE)</f>
        <v/>
      </c>
    </row>
    <row r="451" hidden="1">
      <c r="A451">
        <f>'Production Plan'!B439</f>
        <v/>
      </c>
      <c r="B451" s="3">
        <f>VLOOKUP(A451,'Production Plan'!B:Q,14,FALSE)</f>
        <v/>
      </c>
    </row>
    <row r="452" hidden="1">
      <c r="A452">
        <f>'Production Plan'!B440</f>
        <v/>
      </c>
      <c r="B452" s="3">
        <f>VLOOKUP(A452,'Production Plan'!B:Q,14,FALSE)</f>
        <v/>
      </c>
    </row>
    <row r="453" hidden="1">
      <c r="A453">
        <f>'Production Plan'!B441</f>
        <v/>
      </c>
      <c r="B453" s="3">
        <f>VLOOKUP(A453,'Production Plan'!B:Q,14,FALSE)</f>
        <v/>
      </c>
    </row>
    <row r="454" hidden="1">
      <c r="A454">
        <f>'Production Plan'!B442</f>
        <v/>
      </c>
      <c r="B454" s="3">
        <f>VLOOKUP(A454,'Production Plan'!B:Q,14,FALSE)</f>
        <v/>
      </c>
    </row>
    <row r="455" hidden="1">
      <c r="A455">
        <f>'Production Plan'!B443</f>
        <v/>
      </c>
      <c r="B455" s="3">
        <f>VLOOKUP(A455,'Production Plan'!B:Q,14,FALSE)</f>
        <v/>
      </c>
    </row>
    <row r="456" hidden="1">
      <c r="A456">
        <f>'Production Plan'!B444</f>
        <v/>
      </c>
      <c r="B456" s="3">
        <f>VLOOKUP(A456,'Production Plan'!B:Q,14,FALSE)</f>
        <v/>
      </c>
    </row>
    <row r="457" hidden="1">
      <c r="A457">
        <f>'Production Plan'!B445</f>
        <v/>
      </c>
      <c r="B457" s="3">
        <f>VLOOKUP(A457,'Production Plan'!B:Q,14,FALSE)</f>
        <v/>
      </c>
    </row>
    <row r="458" hidden="1">
      <c r="A458">
        <f>'Production Plan'!B446</f>
        <v/>
      </c>
      <c r="B458" s="3">
        <f>VLOOKUP(A458,'Production Plan'!B:Q,14,FALSE)</f>
        <v/>
      </c>
    </row>
    <row r="459" hidden="1">
      <c r="A459">
        <f>'Production Plan'!B447</f>
        <v/>
      </c>
      <c r="B459" s="3">
        <f>VLOOKUP(A459,'Production Plan'!B:Q,14,FALSE)</f>
        <v/>
      </c>
    </row>
    <row r="460" hidden="1">
      <c r="A460">
        <f>'Production Plan'!B448</f>
        <v/>
      </c>
      <c r="B460" s="3">
        <f>VLOOKUP(A460,'Production Plan'!B:Q,14,FALSE)</f>
        <v/>
      </c>
    </row>
    <row r="461" hidden="1">
      <c r="A461">
        <f>'Production Plan'!B449</f>
        <v/>
      </c>
      <c r="B461" s="3">
        <f>VLOOKUP(A461,'Production Plan'!B:Q,14,FALSE)</f>
        <v/>
      </c>
    </row>
    <row r="462" hidden="1">
      <c r="A462">
        <f>'Production Plan'!B450</f>
        <v/>
      </c>
      <c r="B462" s="3">
        <f>VLOOKUP(A462,'Production Plan'!B:Q,14,FALSE)</f>
        <v/>
      </c>
    </row>
    <row r="463" hidden="1">
      <c r="A463">
        <f>'Production Plan'!B451</f>
        <v/>
      </c>
      <c r="B463" s="3">
        <f>VLOOKUP(A463,'Production Plan'!B:Q,14,FALSE)</f>
        <v/>
      </c>
    </row>
    <row r="464" hidden="1">
      <c r="A464">
        <f>'Production Plan'!B452</f>
        <v/>
      </c>
      <c r="B464" s="3">
        <f>VLOOKUP(A464,'Production Plan'!B:Q,14,FALSE)</f>
        <v/>
      </c>
    </row>
    <row r="465" hidden="1">
      <c r="A465">
        <f>'Production Plan'!B453</f>
        <v/>
      </c>
      <c r="B465" s="3">
        <f>VLOOKUP(A465,'Production Plan'!B:Q,14,FALSE)</f>
        <v/>
      </c>
    </row>
    <row r="466" hidden="1">
      <c r="A466">
        <f>'Production Plan'!B454</f>
        <v/>
      </c>
      <c r="B466" s="3">
        <f>VLOOKUP(A466,'Production Plan'!B:Q,14,FALSE)</f>
        <v/>
      </c>
    </row>
    <row r="467" hidden="1">
      <c r="A467">
        <f>'Production Plan'!B455</f>
        <v/>
      </c>
      <c r="B467" s="3">
        <f>VLOOKUP(A467,'Production Plan'!B:Q,14,FALSE)</f>
        <v/>
      </c>
    </row>
    <row r="468" hidden="1">
      <c r="A468">
        <f>'Production Plan'!B456</f>
        <v/>
      </c>
      <c r="B468" s="3">
        <f>VLOOKUP(A468,'Production Plan'!B:Q,14,FALSE)</f>
        <v/>
      </c>
    </row>
    <row r="469" hidden="1">
      <c r="A469">
        <f>'Production Plan'!B457</f>
        <v/>
      </c>
      <c r="B469" s="3">
        <f>VLOOKUP(A469,'Production Plan'!B:Q,14,FALSE)</f>
        <v/>
      </c>
    </row>
    <row r="470" hidden="1">
      <c r="A470">
        <f>'Production Plan'!B458</f>
        <v/>
      </c>
      <c r="B470" s="3">
        <f>VLOOKUP(A470,'Production Plan'!B:Q,14,FALSE)</f>
        <v/>
      </c>
    </row>
    <row r="471" hidden="1">
      <c r="A471">
        <f>'Production Plan'!B459</f>
        <v/>
      </c>
      <c r="B471" s="3">
        <f>VLOOKUP(A471,'Production Plan'!B:Q,14,FALSE)</f>
        <v/>
      </c>
    </row>
    <row r="472" hidden="1">
      <c r="A472">
        <f>'Production Plan'!B460</f>
        <v/>
      </c>
      <c r="B472" s="3">
        <f>VLOOKUP(A472,'Production Plan'!B:Q,14,FALSE)</f>
        <v/>
      </c>
    </row>
    <row r="473" hidden="1">
      <c r="A473">
        <f>'Production Plan'!B461</f>
        <v/>
      </c>
      <c r="B473" s="3">
        <f>VLOOKUP(A473,'Production Plan'!B:Q,14,FALSE)</f>
        <v/>
      </c>
    </row>
    <row r="474" hidden="1">
      <c r="A474">
        <f>'Production Plan'!B462</f>
        <v/>
      </c>
      <c r="B474" s="3">
        <f>VLOOKUP(A474,'Production Plan'!B:Q,14,FALSE)</f>
        <v/>
      </c>
    </row>
    <row r="475" hidden="1">
      <c r="A475">
        <f>'Production Plan'!B463</f>
        <v/>
      </c>
      <c r="B475" s="3">
        <f>VLOOKUP(A475,'Production Plan'!B:Q,14,FALSE)</f>
        <v/>
      </c>
    </row>
    <row r="476" hidden="1">
      <c r="A476">
        <f>'Production Plan'!B464</f>
        <v/>
      </c>
      <c r="B476" s="3">
        <f>VLOOKUP(A476,'Production Plan'!B:Q,14,FALSE)</f>
        <v/>
      </c>
    </row>
    <row r="477" hidden="1">
      <c r="A477">
        <f>'Production Plan'!B465</f>
        <v/>
      </c>
      <c r="B477" s="3">
        <f>VLOOKUP(A477,'Production Plan'!B:Q,14,FALSE)</f>
        <v/>
      </c>
    </row>
    <row r="478" hidden="1">
      <c r="A478">
        <f>'Production Plan'!B466</f>
        <v/>
      </c>
      <c r="B478" s="3">
        <f>VLOOKUP(A478,'Production Plan'!B:Q,14,FALSE)</f>
        <v/>
      </c>
    </row>
    <row r="479" hidden="1">
      <c r="A479">
        <f>'Production Plan'!B467</f>
        <v/>
      </c>
      <c r="B479" s="3">
        <f>VLOOKUP(A479,'Production Plan'!B:Q,14,FALSE)</f>
        <v/>
      </c>
    </row>
    <row r="480" hidden="1">
      <c r="A480">
        <f>'Production Plan'!B468</f>
        <v/>
      </c>
      <c r="B480" s="3">
        <f>VLOOKUP(A480,'Production Plan'!B:Q,14,FALSE)</f>
        <v/>
      </c>
    </row>
    <row r="481" hidden="1">
      <c r="A481">
        <f>'Production Plan'!B469</f>
        <v/>
      </c>
      <c r="B481" s="3">
        <f>VLOOKUP(A481,'Production Plan'!B:Q,14,FALSE)</f>
        <v/>
      </c>
    </row>
    <row r="482" hidden="1">
      <c r="A482">
        <f>'Production Plan'!B470</f>
        <v/>
      </c>
      <c r="B482" s="3">
        <f>VLOOKUP(A482,'Production Plan'!B:Q,14,FALSE)</f>
        <v/>
      </c>
    </row>
    <row r="483" hidden="1">
      <c r="A483">
        <f>'Production Plan'!B471</f>
        <v/>
      </c>
      <c r="B483" s="3">
        <f>VLOOKUP(A483,'Production Plan'!B:Q,14,FALSE)</f>
        <v/>
      </c>
    </row>
    <row r="484" hidden="1">
      <c r="A484">
        <f>'Production Plan'!B472</f>
        <v/>
      </c>
      <c r="B484" s="3">
        <f>VLOOKUP(A484,'Production Plan'!B:Q,14,FALSE)</f>
        <v/>
      </c>
    </row>
    <row r="485" hidden="1">
      <c r="A485">
        <f>'Production Plan'!B473</f>
        <v/>
      </c>
      <c r="B485" s="3">
        <f>VLOOKUP(A485,'Production Plan'!B:Q,14,FALSE)</f>
        <v/>
      </c>
    </row>
    <row r="486" hidden="1">
      <c r="A486">
        <f>'Production Plan'!B474</f>
        <v/>
      </c>
      <c r="B486" s="3">
        <f>VLOOKUP(A486,'Production Plan'!B:Q,14,FALSE)</f>
        <v/>
      </c>
    </row>
    <row r="487" hidden="1">
      <c r="A487">
        <f>'Production Plan'!B475</f>
        <v/>
      </c>
      <c r="B487" s="3">
        <f>VLOOKUP(A487,'Production Plan'!B:Q,14,FALSE)</f>
        <v/>
      </c>
    </row>
    <row r="488" hidden="1">
      <c r="A488">
        <f>'Production Plan'!B476</f>
        <v/>
      </c>
      <c r="B488" s="3">
        <f>VLOOKUP(A488,'Production Plan'!B:Q,14,FALSE)</f>
        <v/>
      </c>
    </row>
    <row r="489" hidden="1">
      <c r="A489">
        <f>'Production Plan'!B477</f>
        <v/>
      </c>
      <c r="B489" s="3">
        <f>VLOOKUP(A489,'Production Plan'!B:Q,14,FALSE)</f>
        <v/>
      </c>
    </row>
    <row r="490" hidden="1">
      <c r="A490">
        <f>'Production Plan'!B478</f>
        <v/>
      </c>
      <c r="B490" s="3">
        <f>VLOOKUP(A490,'Production Plan'!B:Q,14,FALSE)</f>
        <v/>
      </c>
    </row>
    <row r="491" hidden="1">
      <c r="A491">
        <f>'Production Plan'!B479</f>
        <v/>
      </c>
      <c r="B491" s="3">
        <f>VLOOKUP(A491,'Production Plan'!B:Q,14,FALSE)</f>
        <v/>
      </c>
    </row>
    <row r="492" hidden="1">
      <c r="A492">
        <f>'Production Plan'!B480</f>
        <v/>
      </c>
      <c r="B492" s="3">
        <f>VLOOKUP(A492,'Production Plan'!B:Q,14,FALSE)</f>
        <v/>
      </c>
    </row>
    <row r="493" hidden="1">
      <c r="A493">
        <f>'Production Plan'!B481</f>
        <v/>
      </c>
      <c r="B493" s="3">
        <f>VLOOKUP(A493,'Production Plan'!B:Q,14,FALSE)</f>
        <v/>
      </c>
    </row>
    <row r="494" hidden="1">
      <c r="A494">
        <f>'Production Plan'!B482</f>
        <v/>
      </c>
      <c r="B494" s="3">
        <f>VLOOKUP(A494,'Production Plan'!B:Q,14,FALSE)</f>
        <v/>
      </c>
    </row>
    <row r="495" hidden="1">
      <c r="A495">
        <f>'Production Plan'!B483</f>
        <v/>
      </c>
      <c r="B495" s="3">
        <f>VLOOKUP(A495,'Production Plan'!B:Q,14,FALSE)</f>
        <v/>
      </c>
    </row>
    <row r="496" hidden="1">
      <c r="A496">
        <f>'Production Plan'!B484</f>
        <v/>
      </c>
      <c r="B496" s="3">
        <f>VLOOKUP(A496,'Production Plan'!B:Q,14,FALSE)</f>
        <v/>
      </c>
    </row>
    <row r="497" hidden="1">
      <c r="A497">
        <f>'Production Plan'!B485</f>
        <v/>
      </c>
      <c r="B497" s="3">
        <f>VLOOKUP(A497,'Production Plan'!B:Q,14,FALSE)</f>
        <v/>
      </c>
    </row>
    <row r="498" hidden="1">
      <c r="A498">
        <f>'Production Plan'!B486</f>
        <v/>
      </c>
      <c r="B498" s="3">
        <f>VLOOKUP(A498,'Production Plan'!B:Q,14,FALSE)</f>
        <v/>
      </c>
    </row>
    <row r="499" hidden="1">
      <c r="A499">
        <f>'Production Plan'!B487</f>
        <v/>
      </c>
      <c r="B499" s="3">
        <f>VLOOKUP(A499,'Production Plan'!B:Q,14,FALSE)</f>
        <v/>
      </c>
    </row>
    <row r="500" hidden="1">
      <c r="A500">
        <f>'Production Plan'!B488</f>
        <v/>
      </c>
      <c r="B500" s="3">
        <f>VLOOKUP(A500,'Production Plan'!B:Q,14,FALSE)</f>
        <v/>
      </c>
    </row>
    <row r="501" hidden="1">
      <c r="A501">
        <f>'Production Plan'!B489</f>
        <v/>
      </c>
      <c r="B501" s="3">
        <f>VLOOKUP(A501,'Production Plan'!B:Q,14,FALSE)</f>
        <v/>
      </c>
    </row>
    <row r="502" hidden="1">
      <c r="A502">
        <f>'Production Plan'!B490</f>
        <v/>
      </c>
      <c r="B502" s="3">
        <f>VLOOKUP(A502,'Production Plan'!B:Q,14,FALSE)</f>
        <v/>
      </c>
    </row>
    <row r="503" hidden="1">
      <c r="A503">
        <f>'Production Plan'!B491</f>
        <v/>
      </c>
      <c r="B503" s="3">
        <f>VLOOKUP(A503,'Production Plan'!B:Q,14,FALSE)</f>
        <v/>
      </c>
    </row>
    <row r="504" hidden="1">
      <c r="A504">
        <f>'Production Plan'!B492</f>
        <v/>
      </c>
      <c r="B504" s="3">
        <f>VLOOKUP(A504,'Production Plan'!B:Q,14,FALSE)</f>
        <v/>
      </c>
    </row>
    <row r="505" hidden="1">
      <c r="A505">
        <f>'Production Plan'!B493</f>
        <v/>
      </c>
      <c r="B505" s="3">
        <f>VLOOKUP(A505,'Production Plan'!B:Q,14,FALSE)</f>
        <v/>
      </c>
    </row>
    <row r="506" hidden="1">
      <c r="A506">
        <f>'Production Plan'!B494</f>
        <v/>
      </c>
      <c r="B506" s="3">
        <f>VLOOKUP(A506,'Production Plan'!B:Q,14,FALSE)</f>
        <v/>
      </c>
    </row>
    <row r="507" hidden="1">
      <c r="A507">
        <f>'Production Plan'!B495</f>
        <v/>
      </c>
      <c r="B507" s="3">
        <f>VLOOKUP(A507,'Production Plan'!B:Q,14,FALSE)</f>
        <v/>
      </c>
    </row>
    <row r="508" hidden="1">
      <c r="A508">
        <f>'Production Plan'!B496</f>
        <v/>
      </c>
      <c r="B508" s="3">
        <f>VLOOKUP(A508,'Production Plan'!B:Q,14,FALSE)</f>
        <v/>
      </c>
    </row>
    <row r="509" hidden="1">
      <c r="A509">
        <f>'Production Plan'!B497</f>
        <v/>
      </c>
      <c r="B509" s="3">
        <f>VLOOKUP(A509,'Production Plan'!B:Q,14,FALSE)</f>
        <v/>
      </c>
    </row>
    <row r="510" hidden="1">
      <c r="A510">
        <f>'Production Plan'!B498</f>
        <v/>
      </c>
      <c r="B510" s="3">
        <f>VLOOKUP(A510,'Production Plan'!B:Q,14,FALSE)</f>
        <v/>
      </c>
    </row>
    <row r="511" hidden="1">
      <c r="A511">
        <f>'Production Plan'!B499</f>
        <v/>
      </c>
      <c r="B511" s="3">
        <f>VLOOKUP(A511,'Production Plan'!B:Q,14,FALSE)</f>
        <v/>
      </c>
    </row>
    <row r="512" hidden="1">
      <c r="A512">
        <f>'Production Plan'!B500</f>
        <v/>
      </c>
      <c r="B512" s="3">
        <f>VLOOKUP(A512,'Production Plan'!B:Q,14,FALSE)</f>
        <v/>
      </c>
    </row>
    <row r="513" hidden="1">
      <c r="A513">
        <f>'Production Plan'!B501</f>
        <v/>
      </c>
      <c r="B513" s="3">
        <f>VLOOKUP(A513,'Production Plan'!B:Q,14,FALSE)</f>
        <v/>
      </c>
    </row>
    <row r="514" hidden="1">
      <c r="A514">
        <f>'Production Plan'!B502</f>
        <v/>
      </c>
      <c r="B514" s="3">
        <f>VLOOKUP(A514,'Production Plan'!B:Q,14,FALSE)</f>
        <v/>
      </c>
    </row>
    <row r="515" hidden="1">
      <c r="A515">
        <f>'Production Plan'!B503</f>
        <v/>
      </c>
      <c r="B515" s="3">
        <f>VLOOKUP(A515,'Production Plan'!B:Q,14,FALSE)</f>
        <v/>
      </c>
    </row>
    <row r="516" hidden="1">
      <c r="A516">
        <f>'Production Plan'!B504</f>
        <v/>
      </c>
      <c r="B516" s="3">
        <f>VLOOKUP(A516,'Production Plan'!B:Q,14,FALSE)</f>
        <v/>
      </c>
    </row>
    <row r="517" hidden="1">
      <c r="A517">
        <f>'Production Plan'!B505</f>
        <v/>
      </c>
      <c r="B517" s="3">
        <f>VLOOKUP(A517,'Production Plan'!B:Q,14,FALSE)</f>
        <v/>
      </c>
    </row>
    <row r="518" hidden="1">
      <c r="A518">
        <f>'Production Plan'!B506</f>
        <v/>
      </c>
      <c r="B518" s="3">
        <f>VLOOKUP(A518,'Production Plan'!B:Q,14,FALSE)</f>
        <v/>
      </c>
    </row>
    <row r="519" hidden="1">
      <c r="A519">
        <f>'Production Plan'!B507</f>
        <v/>
      </c>
      <c r="B519" s="3">
        <f>VLOOKUP(A519,'Production Plan'!B:Q,14,FALSE)</f>
        <v/>
      </c>
    </row>
    <row r="520" hidden="1">
      <c r="A520">
        <f>'Production Plan'!B508</f>
        <v/>
      </c>
      <c r="B520" s="3">
        <f>VLOOKUP(A520,'Production Plan'!B:Q,14,FALSE)</f>
        <v/>
      </c>
    </row>
    <row r="521" hidden="1">
      <c r="A521">
        <f>'Production Plan'!B509</f>
        <v/>
      </c>
      <c r="B521" s="3">
        <f>VLOOKUP(A521,'Production Plan'!B:Q,14,FALSE)</f>
        <v/>
      </c>
    </row>
    <row r="522" hidden="1">
      <c r="A522">
        <f>'Production Plan'!B510</f>
        <v/>
      </c>
      <c r="B522" s="3">
        <f>VLOOKUP(A522,'Production Plan'!B:Q,14,FALSE)</f>
        <v/>
      </c>
    </row>
    <row r="523" hidden="1">
      <c r="A523">
        <f>'Production Plan'!B511</f>
        <v/>
      </c>
      <c r="B523" s="3">
        <f>VLOOKUP(A523,'Production Plan'!B:Q,14,FALSE)</f>
        <v/>
      </c>
    </row>
    <row r="524" hidden="1">
      <c r="A524">
        <f>'Production Plan'!B512</f>
        <v/>
      </c>
      <c r="B524" s="3">
        <f>VLOOKUP(A524,'Production Plan'!B:Q,14,FALSE)</f>
        <v/>
      </c>
    </row>
    <row r="525" hidden="1">
      <c r="A525">
        <f>'Production Plan'!B513</f>
        <v/>
      </c>
      <c r="B525" s="3">
        <f>VLOOKUP(A525,'Production Plan'!B:Q,14,FALSE)</f>
        <v/>
      </c>
    </row>
    <row r="526" hidden="1">
      <c r="A526">
        <f>'Production Plan'!B514</f>
        <v/>
      </c>
      <c r="B526" s="3">
        <f>VLOOKUP(A526,'Production Plan'!B:Q,14,FALSE)</f>
        <v/>
      </c>
    </row>
    <row r="527" hidden="1">
      <c r="A527">
        <f>'Production Plan'!B515</f>
        <v/>
      </c>
      <c r="B527" s="3">
        <f>VLOOKUP(A527,'Production Plan'!B:Q,14,FALSE)</f>
        <v/>
      </c>
    </row>
    <row r="528" hidden="1">
      <c r="A528">
        <f>'Production Plan'!B516</f>
        <v/>
      </c>
      <c r="B528" s="3">
        <f>VLOOKUP(A528,'Production Plan'!B:Q,14,FALSE)</f>
        <v/>
      </c>
    </row>
    <row r="529" hidden="1">
      <c r="A529">
        <f>'Production Plan'!B517</f>
        <v/>
      </c>
      <c r="B529" s="3">
        <f>VLOOKUP(A529,'Production Plan'!B:Q,14,FALSE)</f>
        <v/>
      </c>
    </row>
    <row r="530" hidden="1">
      <c r="A530">
        <f>'Production Plan'!B518</f>
        <v/>
      </c>
      <c r="B530" s="3">
        <f>VLOOKUP(A530,'Production Plan'!B:Q,14,FALSE)</f>
        <v/>
      </c>
    </row>
    <row r="531" hidden="1">
      <c r="A531">
        <f>'Production Plan'!B519</f>
        <v/>
      </c>
      <c r="B531" s="3">
        <f>VLOOKUP(A531,'Production Plan'!B:Q,14,FALSE)</f>
        <v/>
      </c>
    </row>
    <row r="532" hidden="1">
      <c r="A532">
        <f>'Production Plan'!B520</f>
        <v/>
      </c>
      <c r="B532" s="3">
        <f>VLOOKUP(A532,'Production Plan'!B:Q,14,FALSE)</f>
        <v/>
      </c>
    </row>
    <row r="533" hidden="1">
      <c r="A533">
        <f>'Production Plan'!B521</f>
        <v/>
      </c>
      <c r="B533" s="3">
        <f>VLOOKUP(A533,'Production Plan'!B:Q,14,FALSE)</f>
        <v/>
      </c>
    </row>
    <row r="534" hidden="1">
      <c r="A534">
        <f>'Production Plan'!B522</f>
        <v/>
      </c>
      <c r="B534" s="3">
        <f>VLOOKUP(A534,'Production Plan'!B:Q,14,FALSE)</f>
        <v/>
      </c>
    </row>
    <row r="535" hidden="1">
      <c r="A535">
        <f>'Production Plan'!B523</f>
        <v/>
      </c>
      <c r="B535" s="3">
        <f>VLOOKUP(A535,'Production Plan'!B:Q,14,FALSE)</f>
        <v/>
      </c>
    </row>
    <row r="536" hidden="1">
      <c r="A536">
        <f>'Production Plan'!B524</f>
        <v/>
      </c>
      <c r="B536" s="3">
        <f>VLOOKUP(A536,'Production Plan'!B:Q,14,FALSE)</f>
        <v/>
      </c>
    </row>
    <row r="537" hidden="1">
      <c r="A537">
        <f>'Production Plan'!B525</f>
        <v/>
      </c>
      <c r="B537" s="3">
        <f>VLOOKUP(A537,'Production Plan'!B:Q,14,FALSE)</f>
        <v/>
      </c>
    </row>
    <row r="538" hidden="1">
      <c r="A538">
        <f>'Production Plan'!B526</f>
        <v/>
      </c>
      <c r="B538" s="3">
        <f>VLOOKUP(A538,'Production Plan'!B:Q,14,FALSE)</f>
        <v/>
      </c>
    </row>
    <row r="539" hidden="1">
      <c r="A539">
        <f>'Production Plan'!B527</f>
        <v/>
      </c>
      <c r="B539" s="3">
        <f>VLOOKUP(A539,'Production Plan'!B:Q,14,FALSE)</f>
        <v/>
      </c>
    </row>
    <row r="540" hidden="1">
      <c r="A540">
        <f>'Production Plan'!B528</f>
        <v/>
      </c>
      <c r="B540" s="3">
        <f>VLOOKUP(A540,'Production Plan'!B:Q,14,FALSE)</f>
        <v/>
      </c>
    </row>
    <row r="541" hidden="1">
      <c r="A541">
        <f>'Production Plan'!B529</f>
        <v/>
      </c>
      <c r="B541" s="3">
        <f>VLOOKUP(A541,'Production Plan'!B:Q,14,FALSE)</f>
        <v/>
      </c>
    </row>
    <row r="542" hidden="1">
      <c r="A542">
        <f>'Production Plan'!B530</f>
        <v/>
      </c>
      <c r="B542" s="3">
        <f>VLOOKUP(A542,'Production Plan'!B:Q,14,FALSE)</f>
        <v/>
      </c>
    </row>
    <row r="543" hidden="1">
      <c r="A543">
        <f>'Production Plan'!B531</f>
        <v/>
      </c>
      <c r="B543" s="3">
        <f>VLOOKUP(A543,'Production Plan'!B:Q,14,FALSE)</f>
        <v/>
      </c>
    </row>
    <row r="544" hidden="1">
      <c r="A544">
        <f>'Production Plan'!B532</f>
        <v/>
      </c>
      <c r="B544" s="3">
        <f>VLOOKUP(A544,'Production Plan'!B:Q,14,FALSE)</f>
        <v/>
      </c>
    </row>
    <row r="545" hidden="1">
      <c r="A545">
        <f>'Production Plan'!B533</f>
        <v/>
      </c>
      <c r="B545" s="3">
        <f>VLOOKUP(A545,'Production Plan'!B:Q,14,FALSE)</f>
        <v/>
      </c>
    </row>
    <row r="546" hidden="1">
      <c r="A546">
        <f>'Production Plan'!B534</f>
        <v/>
      </c>
      <c r="B546" s="3">
        <f>VLOOKUP(A546,'Production Plan'!B:Q,14,FALSE)</f>
        <v/>
      </c>
    </row>
    <row r="547" hidden="1">
      <c r="A547">
        <f>'Production Plan'!B535</f>
        <v/>
      </c>
      <c r="B547" s="3">
        <f>VLOOKUP(A547,'Production Plan'!B:Q,14,FALSE)</f>
        <v/>
      </c>
    </row>
    <row r="548" hidden="1">
      <c r="A548">
        <f>'Production Plan'!B536</f>
        <v/>
      </c>
      <c r="B548" s="3">
        <f>VLOOKUP(A548,'Production Plan'!B:Q,14,FALSE)</f>
        <v/>
      </c>
    </row>
    <row r="549" hidden="1">
      <c r="A549">
        <f>'Production Plan'!B537</f>
        <v/>
      </c>
      <c r="B549" s="3">
        <f>VLOOKUP(A549,'Production Plan'!B:Q,14,FALSE)</f>
        <v/>
      </c>
    </row>
    <row r="550" hidden="1">
      <c r="A550">
        <f>'Production Plan'!B538</f>
        <v/>
      </c>
      <c r="B550" s="3">
        <f>VLOOKUP(A550,'Production Plan'!B:Q,14,FALSE)</f>
        <v/>
      </c>
    </row>
    <row r="551" hidden="1">
      <c r="A551">
        <f>'Production Plan'!B539</f>
        <v/>
      </c>
      <c r="B551" s="3">
        <f>VLOOKUP(A551,'Production Plan'!B:Q,14,FALSE)</f>
        <v/>
      </c>
    </row>
    <row r="552" hidden="1">
      <c r="A552">
        <f>'Production Plan'!B540</f>
        <v/>
      </c>
      <c r="B552" s="3">
        <f>VLOOKUP(A552,'Production Plan'!B:Q,14,FALSE)</f>
        <v/>
      </c>
    </row>
    <row r="553" hidden="1">
      <c r="A553">
        <f>'Production Plan'!B541</f>
        <v/>
      </c>
      <c r="B553" s="3">
        <f>VLOOKUP(A553,'Production Plan'!B:Q,14,FALSE)</f>
        <v/>
      </c>
    </row>
    <row r="554" hidden="1">
      <c r="A554">
        <f>'Production Plan'!B542</f>
        <v/>
      </c>
      <c r="B554" s="3">
        <f>VLOOKUP(A554,'Production Plan'!B:Q,14,FALSE)</f>
        <v/>
      </c>
    </row>
    <row r="555" hidden="1">
      <c r="A555">
        <f>'Production Plan'!B543</f>
        <v/>
      </c>
      <c r="B555" s="3">
        <f>VLOOKUP(A555,'Production Plan'!B:Q,14,FALSE)</f>
        <v/>
      </c>
    </row>
    <row r="556" hidden="1">
      <c r="A556">
        <f>'Production Plan'!B544</f>
        <v/>
      </c>
      <c r="B556" s="3">
        <f>VLOOKUP(A556,'Production Plan'!B:Q,14,FALSE)</f>
        <v/>
      </c>
    </row>
    <row r="557" hidden="1">
      <c r="A557">
        <f>'Production Plan'!B545</f>
        <v/>
      </c>
      <c r="B557" s="3">
        <f>VLOOKUP(A557,'Production Plan'!B:Q,14,FALSE)</f>
        <v/>
      </c>
    </row>
    <row r="558" hidden="1">
      <c r="A558">
        <f>'Production Plan'!B546</f>
        <v/>
      </c>
      <c r="B558" s="3">
        <f>VLOOKUP(A558,'Production Plan'!B:Q,14,FALSE)</f>
        <v/>
      </c>
    </row>
    <row r="559" hidden="1">
      <c r="A559">
        <f>'Production Plan'!B547</f>
        <v/>
      </c>
      <c r="B559" s="3">
        <f>VLOOKUP(A559,'Production Plan'!B:Q,14,FALSE)</f>
        <v/>
      </c>
    </row>
    <row r="560" hidden="1">
      <c r="A560">
        <f>'Production Plan'!B548</f>
        <v/>
      </c>
      <c r="B560" s="3">
        <f>VLOOKUP(A560,'Production Plan'!B:Q,14,FALSE)</f>
        <v/>
      </c>
    </row>
    <row r="561" hidden="1">
      <c r="A561">
        <f>'Production Plan'!B549</f>
        <v/>
      </c>
      <c r="B561" s="3">
        <f>VLOOKUP(A561,'Production Plan'!B:Q,14,FALSE)</f>
        <v/>
      </c>
    </row>
    <row r="562" hidden="1">
      <c r="A562">
        <f>'Production Plan'!B550</f>
        <v/>
      </c>
      <c r="B562" s="3">
        <f>VLOOKUP(A562,'Production Plan'!B:Q,14,FALSE)</f>
        <v/>
      </c>
    </row>
    <row r="563" hidden="1">
      <c r="A563">
        <f>'Production Plan'!B551</f>
        <v/>
      </c>
      <c r="B563" s="3">
        <f>VLOOKUP(A563,'Production Plan'!B:Q,14,FALSE)</f>
        <v/>
      </c>
    </row>
    <row r="564" hidden="1">
      <c r="A564">
        <f>'Production Plan'!B552</f>
        <v/>
      </c>
      <c r="B564" s="3">
        <f>VLOOKUP(A564,'Production Plan'!B:Q,14,FALSE)</f>
        <v/>
      </c>
    </row>
    <row r="565" hidden="1">
      <c r="A565">
        <f>'Production Plan'!B553</f>
        <v/>
      </c>
      <c r="B565" s="3">
        <f>VLOOKUP(A565,'Production Plan'!B:Q,14,FALSE)</f>
        <v/>
      </c>
    </row>
    <row r="566" hidden="1">
      <c r="A566">
        <f>'Production Plan'!B554</f>
        <v/>
      </c>
      <c r="B566" s="3">
        <f>VLOOKUP(A566,'Production Plan'!B:Q,14,FALSE)</f>
        <v/>
      </c>
    </row>
    <row r="567" hidden="1">
      <c r="A567">
        <f>'Production Plan'!B555</f>
        <v/>
      </c>
      <c r="B567" s="3">
        <f>VLOOKUP(A567,'Production Plan'!B:Q,14,FALSE)</f>
        <v/>
      </c>
    </row>
    <row r="568" hidden="1">
      <c r="A568">
        <f>'Production Plan'!B556</f>
        <v/>
      </c>
      <c r="B568" s="3">
        <f>VLOOKUP(A568,'Production Plan'!B:Q,14,FALSE)</f>
        <v/>
      </c>
    </row>
    <row r="569" hidden="1">
      <c r="A569">
        <f>'Production Plan'!B557</f>
        <v/>
      </c>
      <c r="B569" s="3">
        <f>VLOOKUP(A569,'Production Plan'!B:Q,14,FALSE)</f>
        <v/>
      </c>
    </row>
    <row r="570" hidden="1">
      <c r="A570">
        <f>'Production Plan'!B558</f>
        <v/>
      </c>
      <c r="B570" s="3">
        <f>VLOOKUP(A570,'Production Plan'!B:Q,14,FALSE)</f>
        <v/>
      </c>
    </row>
    <row r="571" hidden="1">
      <c r="A571">
        <f>'Production Plan'!B559</f>
        <v/>
      </c>
      <c r="B571" s="3">
        <f>VLOOKUP(A571,'Production Plan'!B:Q,14,FALSE)</f>
        <v/>
      </c>
    </row>
    <row r="572" hidden="1">
      <c r="A572">
        <f>'Production Plan'!B560</f>
        <v/>
      </c>
      <c r="B572" s="3">
        <f>VLOOKUP(A572,'Production Plan'!B:Q,14,FALSE)</f>
        <v/>
      </c>
    </row>
    <row r="573" hidden="1">
      <c r="A573">
        <f>'Production Plan'!B561</f>
        <v/>
      </c>
      <c r="B573" s="3">
        <f>VLOOKUP(A573,'Production Plan'!B:Q,14,FALSE)</f>
        <v/>
      </c>
    </row>
    <row r="574" hidden="1">
      <c r="A574">
        <f>'Production Plan'!B562</f>
        <v/>
      </c>
      <c r="B574" s="3">
        <f>VLOOKUP(A574,'Production Plan'!B:Q,14,FALSE)</f>
        <v/>
      </c>
    </row>
    <row r="575" hidden="1">
      <c r="A575">
        <f>'Production Plan'!B563</f>
        <v/>
      </c>
      <c r="B575" s="3">
        <f>VLOOKUP(A575,'Production Plan'!B:Q,14,FALSE)</f>
        <v/>
      </c>
    </row>
    <row r="576" hidden="1">
      <c r="A576">
        <f>'Production Plan'!B564</f>
        <v/>
      </c>
      <c r="B576" s="3">
        <f>VLOOKUP(A576,'Production Plan'!B:Q,14,FALSE)</f>
        <v/>
      </c>
    </row>
    <row r="577" hidden="1">
      <c r="A577">
        <f>'Production Plan'!B565</f>
        <v/>
      </c>
      <c r="B577" s="3">
        <f>VLOOKUP(A577,'Production Plan'!B:Q,14,FALSE)</f>
        <v/>
      </c>
    </row>
    <row r="578" hidden="1">
      <c r="A578">
        <f>'Production Plan'!B566</f>
        <v/>
      </c>
      <c r="B578" s="3">
        <f>VLOOKUP(A578,'Production Plan'!B:Q,14,FALSE)</f>
        <v/>
      </c>
    </row>
    <row r="579" hidden="1">
      <c r="A579">
        <f>'Production Plan'!B567</f>
        <v/>
      </c>
      <c r="B579" s="3">
        <f>VLOOKUP(A579,'Production Plan'!B:Q,14,FALSE)</f>
        <v/>
      </c>
    </row>
    <row r="580" hidden="1">
      <c r="A580">
        <f>'Production Plan'!B568</f>
        <v/>
      </c>
      <c r="B580" s="3">
        <f>VLOOKUP(A580,'Production Plan'!B:Q,14,FALSE)</f>
        <v/>
      </c>
    </row>
    <row r="581" hidden="1">
      <c r="A581">
        <f>'Production Plan'!B569</f>
        <v/>
      </c>
      <c r="B581" s="3">
        <f>VLOOKUP(A581,'Production Plan'!B:Q,14,FALSE)</f>
        <v/>
      </c>
    </row>
    <row r="582" hidden="1">
      <c r="A582">
        <f>'Production Plan'!B570</f>
        <v/>
      </c>
      <c r="B582" s="3">
        <f>VLOOKUP(A582,'Production Plan'!B:Q,14,FALSE)</f>
        <v/>
      </c>
    </row>
    <row r="583" hidden="1">
      <c r="A583">
        <f>'Production Plan'!B571</f>
        <v/>
      </c>
      <c r="B583" s="3">
        <f>VLOOKUP(A583,'Production Plan'!B:Q,14,FALSE)</f>
        <v/>
      </c>
    </row>
    <row r="584" hidden="1">
      <c r="A584">
        <f>'Production Plan'!B572</f>
        <v/>
      </c>
      <c r="B584" s="3">
        <f>VLOOKUP(A584,'Production Plan'!B:Q,14,FALSE)</f>
        <v/>
      </c>
    </row>
    <row r="585" hidden="1">
      <c r="A585">
        <f>'Production Plan'!B573</f>
        <v/>
      </c>
      <c r="B585" s="3">
        <f>VLOOKUP(A585,'Production Plan'!B:Q,14,FALSE)</f>
        <v/>
      </c>
    </row>
    <row r="586" hidden="1">
      <c r="A586">
        <f>'Production Plan'!B574</f>
        <v/>
      </c>
      <c r="B586" s="3">
        <f>VLOOKUP(A586,'Production Plan'!B:Q,14,FALSE)</f>
        <v/>
      </c>
    </row>
    <row r="587" hidden="1">
      <c r="A587">
        <f>'Production Plan'!B575</f>
        <v/>
      </c>
      <c r="B587" s="3">
        <f>VLOOKUP(A587,'Production Plan'!B:Q,14,FALSE)</f>
        <v/>
      </c>
    </row>
    <row r="588" hidden="1">
      <c r="A588">
        <f>'Production Plan'!B576</f>
        <v/>
      </c>
      <c r="B588" s="3">
        <f>VLOOKUP(A588,'Production Plan'!B:Q,14,FALSE)</f>
        <v/>
      </c>
    </row>
    <row r="589" hidden="1">
      <c r="A589">
        <f>'Production Plan'!B577</f>
        <v/>
      </c>
      <c r="B589" s="3">
        <f>VLOOKUP(A589,'Production Plan'!B:Q,14,FALSE)</f>
        <v/>
      </c>
    </row>
    <row r="590" hidden="1">
      <c r="A590">
        <f>'Production Plan'!B578</f>
        <v/>
      </c>
      <c r="B590" s="3">
        <f>VLOOKUP(A590,'Production Plan'!B:Q,14,FALSE)</f>
        <v/>
      </c>
    </row>
    <row r="591" hidden="1">
      <c r="A591">
        <f>'Production Plan'!B579</f>
        <v/>
      </c>
      <c r="B591" s="3">
        <f>VLOOKUP(A591,'Production Plan'!B:Q,14,FALSE)</f>
        <v/>
      </c>
    </row>
    <row r="592" hidden="1">
      <c r="A592">
        <f>'Production Plan'!B580</f>
        <v/>
      </c>
      <c r="B592" s="3">
        <f>VLOOKUP(A592,'Production Plan'!B:Q,14,FALSE)</f>
        <v/>
      </c>
    </row>
    <row r="593" hidden="1">
      <c r="A593">
        <f>'Production Plan'!B581</f>
        <v/>
      </c>
      <c r="B593" s="3">
        <f>VLOOKUP(A593,'Production Plan'!B:Q,14,FALSE)</f>
        <v/>
      </c>
    </row>
    <row r="594" hidden="1">
      <c r="A594">
        <f>'Production Plan'!B582</f>
        <v/>
      </c>
      <c r="B594" s="3">
        <f>VLOOKUP(A594,'Production Plan'!B:Q,14,FALSE)</f>
        <v/>
      </c>
    </row>
    <row r="595" hidden="1">
      <c r="A595">
        <f>'Production Plan'!B583</f>
        <v/>
      </c>
      <c r="B595" s="3">
        <f>VLOOKUP(A595,'Production Plan'!B:Q,14,FALSE)</f>
        <v/>
      </c>
    </row>
    <row r="596" hidden="1">
      <c r="A596">
        <f>'Production Plan'!B584</f>
        <v/>
      </c>
      <c r="B596" s="3">
        <f>VLOOKUP(A596,'Production Plan'!B:Q,14,FALSE)</f>
        <v/>
      </c>
    </row>
    <row r="597" hidden="1">
      <c r="A597">
        <f>'Production Plan'!B585</f>
        <v/>
      </c>
      <c r="B597" s="3">
        <f>VLOOKUP(A597,'Production Plan'!B:Q,14,FALSE)</f>
        <v/>
      </c>
    </row>
    <row r="598" hidden="1">
      <c r="A598">
        <f>'Production Plan'!B586</f>
        <v/>
      </c>
      <c r="B598" s="3">
        <f>VLOOKUP(A598,'Production Plan'!B:Q,14,FALSE)</f>
        <v/>
      </c>
    </row>
    <row r="599" hidden="1">
      <c r="A599">
        <f>'Production Plan'!B587</f>
        <v/>
      </c>
      <c r="B599" s="3">
        <f>VLOOKUP(A599,'Production Plan'!B:Q,14,FALSE)</f>
        <v/>
      </c>
    </row>
    <row r="600" hidden="1">
      <c r="A600">
        <f>'Production Plan'!B588</f>
        <v/>
      </c>
      <c r="B600" s="3">
        <f>VLOOKUP(A600,'Production Plan'!B:Q,14,FALSE)</f>
        <v/>
      </c>
    </row>
    <row r="601" hidden="1">
      <c r="A601">
        <f>'Production Plan'!B589</f>
        <v/>
      </c>
      <c r="B601" s="3">
        <f>VLOOKUP(A601,'Production Plan'!B:Q,14,FALSE)</f>
        <v/>
      </c>
    </row>
    <row r="602" hidden="1">
      <c r="A602">
        <f>'Production Plan'!B590</f>
        <v/>
      </c>
      <c r="B602" s="3">
        <f>VLOOKUP(A602,'Production Plan'!B:Q,14,FALSE)</f>
        <v/>
      </c>
    </row>
    <row r="603" hidden="1">
      <c r="A603">
        <f>'Production Plan'!B591</f>
        <v/>
      </c>
      <c r="B603" s="3">
        <f>VLOOKUP(A603,'Production Plan'!B:Q,14,FALSE)</f>
        <v/>
      </c>
    </row>
    <row r="604" hidden="1">
      <c r="A604">
        <f>'Production Plan'!B592</f>
        <v/>
      </c>
      <c r="B604" s="3">
        <f>VLOOKUP(A604,'Production Plan'!B:Q,14,FALSE)</f>
        <v/>
      </c>
    </row>
    <row r="605" hidden="1">
      <c r="A605">
        <f>'Production Plan'!B593</f>
        <v/>
      </c>
      <c r="B605" s="3">
        <f>VLOOKUP(A605,'Production Plan'!B:Q,14,FALSE)</f>
        <v/>
      </c>
    </row>
    <row r="606" hidden="1">
      <c r="A606">
        <f>'Production Plan'!B594</f>
        <v/>
      </c>
      <c r="B606" s="3">
        <f>VLOOKUP(A606,'Production Plan'!B:Q,14,FALSE)</f>
        <v/>
      </c>
    </row>
    <row r="607" hidden="1">
      <c r="A607">
        <f>'Production Plan'!B595</f>
        <v/>
      </c>
      <c r="B607" s="3">
        <f>VLOOKUP(A607,'Production Plan'!B:Q,14,FALSE)</f>
        <v/>
      </c>
    </row>
    <row r="608" hidden="1">
      <c r="A608">
        <f>'Production Plan'!B596</f>
        <v/>
      </c>
      <c r="B608" s="3">
        <f>VLOOKUP(A608,'Production Plan'!B:Q,14,FALSE)</f>
        <v/>
      </c>
    </row>
    <row r="609" hidden="1">
      <c r="A609">
        <f>'Production Plan'!B597</f>
        <v/>
      </c>
      <c r="B609" s="3">
        <f>VLOOKUP(A609,'Production Plan'!B:Q,14,FALSE)</f>
        <v/>
      </c>
    </row>
    <row r="610" hidden="1">
      <c r="A610">
        <f>'Production Plan'!B598</f>
        <v/>
      </c>
      <c r="B610" s="3">
        <f>VLOOKUP(A610,'Production Plan'!B:Q,14,FALSE)</f>
        <v/>
      </c>
    </row>
    <row r="611" hidden="1">
      <c r="A611">
        <f>'Production Plan'!B599</f>
        <v/>
      </c>
      <c r="B611" s="3">
        <f>VLOOKUP(A611,'Production Plan'!B:Q,14,FALSE)</f>
        <v/>
      </c>
    </row>
    <row r="612" hidden="1">
      <c r="A612">
        <f>'Production Plan'!B600</f>
        <v/>
      </c>
      <c r="B612" s="3">
        <f>VLOOKUP(A612,'Production Plan'!B:Q,14,FALSE)</f>
        <v/>
      </c>
    </row>
    <row r="613" hidden="1">
      <c r="A613">
        <f>'Production Plan'!B601</f>
        <v/>
      </c>
      <c r="B613" s="3">
        <f>VLOOKUP(A613,'Production Plan'!B:Q,14,FALSE)</f>
        <v/>
      </c>
    </row>
    <row r="614" hidden="1">
      <c r="A614">
        <f>'Production Plan'!B602</f>
        <v/>
      </c>
      <c r="B614" s="3">
        <f>VLOOKUP(A614,'Production Plan'!B:Q,14,FALSE)</f>
        <v/>
      </c>
    </row>
    <row r="615" hidden="1">
      <c r="A615">
        <f>'Production Plan'!B603</f>
        <v/>
      </c>
      <c r="B615" s="3">
        <f>VLOOKUP(A615,'Production Plan'!B:Q,14,FALSE)</f>
        <v/>
      </c>
    </row>
    <row r="616" hidden="1">
      <c r="A616">
        <f>'Production Plan'!B604</f>
        <v/>
      </c>
      <c r="B616" s="3">
        <f>VLOOKUP(A616,'Production Plan'!B:Q,14,FALSE)</f>
        <v/>
      </c>
    </row>
    <row r="617" hidden="1">
      <c r="A617">
        <f>'Production Plan'!B605</f>
        <v/>
      </c>
      <c r="B617" s="3">
        <f>VLOOKUP(A617,'Production Plan'!B:Q,14,FALSE)</f>
        <v/>
      </c>
    </row>
    <row r="618" hidden="1">
      <c r="A618">
        <f>'Production Plan'!B606</f>
        <v/>
      </c>
      <c r="B618" s="3">
        <f>VLOOKUP(A618,'Production Plan'!B:Q,14,FALSE)</f>
        <v/>
      </c>
    </row>
    <row r="619" hidden="1">
      <c r="A619">
        <f>'Production Plan'!B607</f>
        <v/>
      </c>
      <c r="B619" s="3">
        <f>VLOOKUP(A619,'Production Plan'!B:Q,14,FALSE)</f>
        <v/>
      </c>
    </row>
    <row r="620" hidden="1">
      <c r="A620">
        <f>'Production Plan'!B608</f>
        <v/>
      </c>
      <c r="B620" s="3">
        <f>VLOOKUP(A620,'Production Plan'!B:Q,14,FALSE)</f>
        <v/>
      </c>
    </row>
    <row r="621" hidden="1">
      <c r="A621">
        <f>'Production Plan'!B609</f>
        <v/>
      </c>
      <c r="B621" s="3">
        <f>VLOOKUP(A621,'Production Plan'!B:Q,14,FALSE)</f>
        <v/>
      </c>
    </row>
    <row r="622" hidden="1">
      <c r="A622">
        <f>'Production Plan'!B610</f>
        <v/>
      </c>
      <c r="B622" s="3">
        <f>VLOOKUP(A622,'Production Plan'!B:Q,14,FALSE)</f>
        <v/>
      </c>
    </row>
    <row r="623" hidden="1">
      <c r="A623">
        <f>'Production Plan'!B611</f>
        <v/>
      </c>
      <c r="B623" s="3">
        <f>VLOOKUP(A623,'Production Plan'!B:Q,14,FALSE)</f>
        <v/>
      </c>
    </row>
    <row r="624" hidden="1">
      <c r="A624">
        <f>'Production Plan'!B612</f>
        <v/>
      </c>
      <c r="B624" s="3">
        <f>VLOOKUP(A624,'Production Plan'!B:Q,14,FALSE)</f>
        <v/>
      </c>
    </row>
    <row r="625" hidden="1">
      <c r="A625">
        <f>'Production Plan'!B613</f>
        <v/>
      </c>
      <c r="B625" s="3">
        <f>VLOOKUP(A625,'Production Plan'!B:Q,14,FALSE)</f>
        <v/>
      </c>
    </row>
    <row r="626" hidden="1">
      <c r="A626">
        <f>'Production Plan'!B614</f>
        <v/>
      </c>
      <c r="B626" s="3">
        <f>VLOOKUP(A626,'Production Plan'!B:Q,14,FALSE)</f>
        <v/>
      </c>
    </row>
    <row r="627" hidden="1">
      <c r="A627">
        <f>'Production Plan'!B615</f>
        <v/>
      </c>
      <c r="B627" s="3">
        <f>VLOOKUP(A627,'Production Plan'!B:Q,14,FALSE)</f>
        <v/>
      </c>
    </row>
    <row r="628" hidden="1">
      <c r="A628">
        <f>'Production Plan'!B616</f>
        <v/>
      </c>
      <c r="B628" s="3">
        <f>VLOOKUP(A628,'Production Plan'!B:Q,14,FALSE)</f>
        <v/>
      </c>
    </row>
    <row r="629" hidden="1">
      <c r="A629">
        <f>'Production Plan'!B617</f>
        <v/>
      </c>
      <c r="B629" s="3">
        <f>VLOOKUP(A629,'Production Plan'!B:Q,14,FALSE)</f>
        <v/>
      </c>
    </row>
    <row r="630" hidden="1">
      <c r="A630">
        <f>'Production Plan'!B618</f>
        <v/>
      </c>
      <c r="B630" s="3">
        <f>VLOOKUP(A630,'Production Plan'!B:Q,14,FALSE)</f>
        <v/>
      </c>
    </row>
    <row r="631" hidden="1">
      <c r="A631">
        <f>'Production Plan'!B619</f>
        <v/>
      </c>
      <c r="B631" s="3">
        <f>VLOOKUP(A631,'Production Plan'!B:Q,14,FALSE)</f>
        <v/>
      </c>
    </row>
    <row r="632" hidden="1">
      <c r="A632">
        <f>'Production Plan'!B620</f>
        <v/>
      </c>
      <c r="B632" s="3">
        <f>VLOOKUP(A632,'Production Plan'!B:Q,14,FALSE)</f>
        <v/>
      </c>
    </row>
    <row r="633" hidden="1">
      <c r="A633">
        <f>'Production Plan'!B621</f>
        <v/>
      </c>
      <c r="B633" s="3">
        <f>VLOOKUP(A633,'Production Plan'!B:Q,14,FALSE)</f>
        <v/>
      </c>
    </row>
    <row r="634" hidden="1">
      <c r="A634">
        <f>'Production Plan'!B622</f>
        <v/>
      </c>
      <c r="B634" s="3">
        <f>VLOOKUP(A634,'Production Plan'!B:Q,14,FALSE)</f>
        <v/>
      </c>
    </row>
    <row r="635" hidden="1">
      <c r="A635">
        <f>'Production Plan'!B623</f>
        <v/>
      </c>
      <c r="B635" s="3">
        <f>VLOOKUP(A635,'Production Plan'!B:Q,14,FALSE)</f>
        <v/>
      </c>
    </row>
    <row r="636" hidden="1">
      <c r="A636">
        <f>'Production Plan'!B624</f>
        <v/>
      </c>
      <c r="B636" s="3">
        <f>VLOOKUP(A636,'Production Plan'!B:Q,14,FALSE)</f>
        <v/>
      </c>
    </row>
    <row r="637" hidden="1">
      <c r="A637">
        <f>'Production Plan'!B625</f>
        <v/>
      </c>
      <c r="B637" s="3">
        <f>VLOOKUP(A637,'Production Plan'!B:Q,14,FALSE)</f>
        <v/>
      </c>
    </row>
    <row r="638" hidden="1">
      <c r="A638">
        <f>'Production Plan'!B626</f>
        <v/>
      </c>
      <c r="B638" s="3">
        <f>VLOOKUP(A638,'Production Plan'!B:Q,14,FALSE)</f>
        <v/>
      </c>
    </row>
    <row r="639" hidden="1">
      <c r="A639">
        <f>'Production Plan'!B627</f>
        <v/>
      </c>
      <c r="B639" s="3">
        <f>VLOOKUP(A639,'Production Plan'!B:Q,14,FALSE)</f>
        <v/>
      </c>
    </row>
    <row r="640" hidden="1">
      <c r="A640">
        <f>'Production Plan'!B628</f>
        <v/>
      </c>
      <c r="B640" s="3">
        <f>VLOOKUP(A640,'Production Plan'!B:Q,14,FALSE)</f>
        <v/>
      </c>
    </row>
    <row r="641" hidden="1">
      <c r="A641">
        <f>'Production Plan'!B629</f>
        <v/>
      </c>
      <c r="B641" s="3">
        <f>VLOOKUP(A641,'Production Plan'!B:Q,14,FALSE)</f>
        <v/>
      </c>
    </row>
    <row r="642" hidden="1">
      <c r="A642">
        <f>'Production Plan'!B630</f>
        <v/>
      </c>
      <c r="B642" s="3">
        <f>VLOOKUP(A642,'Production Plan'!B:Q,14,FALSE)</f>
        <v/>
      </c>
    </row>
    <row r="643" hidden="1">
      <c r="A643">
        <f>'Production Plan'!B631</f>
        <v/>
      </c>
      <c r="B643" s="3">
        <f>VLOOKUP(A643,'Production Plan'!B:Q,14,FALSE)</f>
        <v/>
      </c>
    </row>
    <row r="644" hidden="1">
      <c r="A644">
        <f>'Production Plan'!B632</f>
        <v/>
      </c>
      <c r="B644" s="3">
        <f>VLOOKUP(A644,'Production Plan'!B:Q,14,FALSE)</f>
        <v/>
      </c>
    </row>
    <row r="645" hidden="1">
      <c r="A645">
        <f>'Production Plan'!B633</f>
        <v/>
      </c>
      <c r="B645" s="3">
        <f>VLOOKUP(A645,'Production Plan'!B:Q,14,FALSE)</f>
        <v/>
      </c>
    </row>
    <row r="646" hidden="1">
      <c r="A646">
        <f>'Production Plan'!B634</f>
        <v/>
      </c>
      <c r="B646" s="3">
        <f>VLOOKUP(A646,'Production Plan'!B:Q,14,FALSE)</f>
        <v/>
      </c>
    </row>
    <row r="647" hidden="1">
      <c r="A647">
        <f>'Production Plan'!B635</f>
        <v/>
      </c>
      <c r="B647" s="3">
        <f>VLOOKUP(A647,'Production Plan'!B:Q,14,FALSE)</f>
        <v/>
      </c>
    </row>
    <row r="648" hidden="1">
      <c r="A648">
        <f>'Production Plan'!B636</f>
        <v/>
      </c>
      <c r="B648" s="3">
        <f>VLOOKUP(A648,'Production Plan'!B:Q,14,FALSE)</f>
        <v/>
      </c>
    </row>
    <row r="649" hidden="1">
      <c r="A649">
        <f>'Production Plan'!B637</f>
        <v/>
      </c>
      <c r="B649" s="3">
        <f>VLOOKUP(A649,'Production Plan'!B:Q,14,FALSE)</f>
        <v/>
      </c>
    </row>
    <row r="650" hidden="1">
      <c r="A650">
        <f>'Production Plan'!B638</f>
        <v/>
      </c>
      <c r="B650" s="3">
        <f>VLOOKUP(A650,'Production Plan'!B:Q,14,FALSE)</f>
        <v/>
      </c>
    </row>
    <row r="651" hidden="1">
      <c r="A651">
        <f>'Production Plan'!B639</f>
        <v/>
      </c>
      <c r="B651" s="3">
        <f>VLOOKUP(A651,'Production Plan'!B:Q,14,FALSE)</f>
        <v/>
      </c>
    </row>
    <row r="652" hidden="1">
      <c r="A652">
        <f>'Production Plan'!B640</f>
        <v/>
      </c>
      <c r="B652" s="3">
        <f>VLOOKUP(A652,'Production Plan'!B:Q,14,FALSE)</f>
        <v/>
      </c>
    </row>
    <row r="653" hidden="1">
      <c r="A653">
        <f>'Production Plan'!B641</f>
        <v/>
      </c>
      <c r="B653" s="3">
        <f>VLOOKUP(A653,'Production Plan'!B:Q,14,FALSE)</f>
        <v/>
      </c>
    </row>
    <row r="654" hidden="1">
      <c r="A654">
        <f>'Production Plan'!B642</f>
        <v/>
      </c>
      <c r="B654" s="3">
        <f>VLOOKUP(A654,'Production Plan'!B:Q,14,FALSE)</f>
        <v/>
      </c>
    </row>
    <row r="655" hidden="1">
      <c r="A655">
        <f>'Production Plan'!B643</f>
        <v/>
      </c>
      <c r="B655" s="3">
        <f>VLOOKUP(A655,'Production Plan'!B:Q,14,FALSE)</f>
        <v/>
      </c>
    </row>
    <row r="656" hidden="1">
      <c r="A656">
        <f>'Production Plan'!B644</f>
        <v/>
      </c>
      <c r="B656" s="3">
        <f>VLOOKUP(A656,'Production Plan'!B:Q,14,FALSE)</f>
        <v/>
      </c>
    </row>
    <row r="657" hidden="1">
      <c r="A657">
        <f>'Production Plan'!B645</f>
        <v/>
      </c>
      <c r="B657" s="3">
        <f>VLOOKUP(A657,'Production Plan'!B:Q,14,FALSE)</f>
        <v/>
      </c>
    </row>
    <row r="658" hidden="1">
      <c r="A658">
        <f>'Production Plan'!B646</f>
        <v/>
      </c>
      <c r="B658" s="3">
        <f>VLOOKUP(A658,'Production Plan'!B:Q,14,FALSE)</f>
        <v/>
      </c>
    </row>
    <row r="659" hidden="1">
      <c r="A659">
        <f>'Production Plan'!B647</f>
        <v/>
      </c>
      <c r="B659" s="3">
        <f>VLOOKUP(A659,'Production Plan'!B:Q,14,FALSE)</f>
        <v/>
      </c>
    </row>
    <row r="660" hidden="1">
      <c r="A660">
        <f>'Production Plan'!B648</f>
        <v/>
      </c>
      <c r="B660" s="3">
        <f>VLOOKUP(A660,'Production Plan'!B:Q,14,FALSE)</f>
        <v/>
      </c>
    </row>
    <row r="661" hidden="1">
      <c r="A661">
        <f>'Production Plan'!B649</f>
        <v/>
      </c>
      <c r="B661" s="3">
        <f>VLOOKUP(A661,'Production Plan'!B:Q,14,FALSE)</f>
        <v/>
      </c>
    </row>
    <row r="662" hidden="1">
      <c r="A662">
        <f>'Production Plan'!B650</f>
        <v/>
      </c>
      <c r="B662" s="3">
        <f>VLOOKUP(A662,'Production Plan'!B:Q,14,FALSE)</f>
        <v/>
      </c>
    </row>
    <row r="663" hidden="1">
      <c r="A663">
        <f>'Production Plan'!B651</f>
        <v/>
      </c>
      <c r="B663" s="3">
        <f>VLOOKUP(A663,'Production Plan'!B:Q,14,FALSE)</f>
        <v/>
      </c>
    </row>
    <row r="664" hidden="1">
      <c r="A664">
        <f>'Production Plan'!B652</f>
        <v/>
      </c>
      <c r="B664" s="3">
        <f>VLOOKUP(A664,'Production Plan'!B:Q,14,FALSE)</f>
        <v/>
      </c>
    </row>
    <row r="665" hidden="1">
      <c r="A665">
        <f>'Production Plan'!B653</f>
        <v/>
      </c>
      <c r="B665" s="3">
        <f>VLOOKUP(A665,'Production Plan'!B:Q,14,FALSE)</f>
        <v/>
      </c>
    </row>
    <row r="666" hidden="1">
      <c r="A666">
        <f>'Production Plan'!B654</f>
        <v/>
      </c>
      <c r="B666" s="3">
        <f>VLOOKUP(A666,'Production Plan'!B:Q,14,FALSE)</f>
        <v/>
      </c>
    </row>
    <row r="667" hidden="1">
      <c r="A667">
        <f>'Production Plan'!B655</f>
        <v/>
      </c>
      <c r="B667" s="3">
        <f>VLOOKUP(A667,'Production Plan'!B:Q,14,FALSE)</f>
        <v/>
      </c>
    </row>
    <row r="668" hidden="1">
      <c r="A668">
        <f>'Production Plan'!B656</f>
        <v/>
      </c>
      <c r="B668" s="3">
        <f>VLOOKUP(A668,'Production Plan'!B:Q,14,FALSE)</f>
        <v/>
      </c>
    </row>
    <row r="669" hidden="1">
      <c r="A669">
        <f>'Production Plan'!B657</f>
        <v/>
      </c>
      <c r="B669" s="3">
        <f>VLOOKUP(A669,'Production Plan'!B:Q,14,FALSE)</f>
        <v/>
      </c>
    </row>
    <row r="670" hidden="1">
      <c r="A670">
        <f>'Production Plan'!B658</f>
        <v/>
      </c>
      <c r="B670" s="3">
        <f>VLOOKUP(A670,'Production Plan'!B:Q,14,FALSE)</f>
        <v/>
      </c>
    </row>
    <row r="671" hidden="1">
      <c r="A671">
        <f>'Production Plan'!B659</f>
        <v/>
      </c>
      <c r="B671" s="3">
        <f>VLOOKUP(A671,'Production Plan'!B:Q,14,FALSE)</f>
        <v/>
      </c>
    </row>
    <row r="672" hidden="1">
      <c r="A672">
        <f>'Production Plan'!B660</f>
        <v/>
      </c>
      <c r="B672" s="3">
        <f>VLOOKUP(A672,'Production Plan'!B:Q,14,FALSE)</f>
        <v/>
      </c>
    </row>
    <row r="673" hidden="1">
      <c r="A673">
        <f>'Production Plan'!B661</f>
        <v/>
      </c>
      <c r="B673" s="3">
        <f>VLOOKUP(A673,'Production Plan'!B:Q,14,FALSE)</f>
        <v/>
      </c>
    </row>
    <row r="674" hidden="1">
      <c r="A674">
        <f>'Production Plan'!B662</f>
        <v/>
      </c>
      <c r="B674" s="3">
        <f>VLOOKUP(A674,'Production Plan'!B:Q,14,FALSE)</f>
        <v/>
      </c>
    </row>
    <row r="675" hidden="1">
      <c r="A675">
        <f>'Production Plan'!B663</f>
        <v/>
      </c>
      <c r="B675" s="3">
        <f>VLOOKUP(A675,'Production Plan'!B:Q,14,FALSE)</f>
        <v/>
      </c>
    </row>
    <row r="676" hidden="1">
      <c r="A676">
        <f>'Production Plan'!B664</f>
        <v/>
      </c>
      <c r="B676" s="3">
        <f>VLOOKUP(A676,'Production Plan'!B:Q,14,FALSE)</f>
        <v/>
      </c>
    </row>
    <row r="677" hidden="1">
      <c r="A677">
        <f>'Production Plan'!B665</f>
        <v/>
      </c>
      <c r="B677" s="3">
        <f>VLOOKUP(A677,'Production Plan'!B:Q,14,FALSE)</f>
        <v/>
      </c>
    </row>
    <row r="678" hidden="1">
      <c r="A678">
        <f>'Production Plan'!B666</f>
        <v/>
      </c>
      <c r="B678" s="3">
        <f>VLOOKUP(A678,'Production Plan'!B:Q,14,FALSE)</f>
        <v/>
      </c>
    </row>
    <row r="679" hidden="1">
      <c r="A679">
        <f>'Production Plan'!B667</f>
        <v/>
      </c>
      <c r="B679" s="3">
        <f>VLOOKUP(A679,'Production Plan'!B:Q,14,FALSE)</f>
        <v/>
      </c>
    </row>
    <row r="680" hidden="1">
      <c r="A680">
        <f>'Production Plan'!B668</f>
        <v/>
      </c>
      <c r="B680" s="3">
        <f>VLOOKUP(A680,'Production Plan'!B:Q,14,FALSE)</f>
        <v/>
      </c>
    </row>
    <row r="681" hidden="1">
      <c r="A681">
        <f>'Production Plan'!B669</f>
        <v/>
      </c>
      <c r="B681" s="3">
        <f>VLOOKUP(A681,'Production Plan'!B:Q,14,FALSE)</f>
        <v/>
      </c>
    </row>
    <row r="682" hidden="1">
      <c r="A682">
        <f>'Production Plan'!B670</f>
        <v/>
      </c>
      <c r="B682" s="3">
        <f>VLOOKUP(A682,'Production Plan'!B:Q,14,FALSE)</f>
        <v/>
      </c>
    </row>
    <row r="683" hidden="1">
      <c r="A683">
        <f>'Production Plan'!B671</f>
        <v/>
      </c>
      <c r="B683" s="3">
        <f>VLOOKUP(A683,'Production Plan'!B:Q,14,FALSE)</f>
        <v/>
      </c>
    </row>
    <row r="684" hidden="1">
      <c r="A684">
        <f>'Production Plan'!B672</f>
        <v/>
      </c>
      <c r="B684" s="3">
        <f>VLOOKUP(A684,'Production Plan'!B:Q,14,FALSE)</f>
        <v/>
      </c>
    </row>
    <row r="685" hidden="1">
      <c r="A685">
        <f>'Production Plan'!B673</f>
        <v/>
      </c>
      <c r="B685" s="3">
        <f>VLOOKUP(A685,'Production Plan'!B:Q,14,FALSE)</f>
        <v/>
      </c>
    </row>
    <row r="686" hidden="1">
      <c r="A686">
        <f>'Production Plan'!B674</f>
        <v/>
      </c>
      <c r="B686" s="3">
        <f>VLOOKUP(A686,'Production Plan'!B:Q,14,FALSE)</f>
        <v/>
      </c>
    </row>
    <row r="687" hidden="1">
      <c r="A687">
        <f>'Production Plan'!B675</f>
        <v/>
      </c>
      <c r="B687" s="3">
        <f>VLOOKUP(A687,'Production Plan'!B:Q,14,FALSE)</f>
        <v/>
      </c>
    </row>
    <row r="688" hidden="1">
      <c r="A688">
        <f>'Production Plan'!B676</f>
        <v/>
      </c>
      <c r="B688" s="3">
        <f>VLOOKUP(A688,'Production Plan'!B:Q,14,FALSE)</f>
        <v/>
      </c>
    </row>
    <row r="689" hidden="1">
      <c r="A689">
        <f>'Production Plan'!B677</f>
        <v/>
      </c>
      <c r="B689" s="3">
        <f>VLOOKUP(A689,'Production Plan'!B:Q,14,FALSE)</f>
        <v/>
      </c>
    </row>
    <row r="690" hidden="1">
      <c r="A690">
        <f>'Production Plan'!B678</f>
        <v/>
      </c>
      <c r="B690" s="3">
        <f>VLOOKUP(A690,'Production Plan'!B:Q,14,FALSE)</f>
        <v/>
      </c>
    </row>
    <row r="691" hidden="1">
      <c r="A691">
        <f>'Production Plan'!B679</f>
        <v/>
      </c>
      <c r="B691" s="3">
        <f>VLOOKUP(A691,'Production Plan'!B:Q,14,FALSE)</f>
        <v/>
      </c>
    </row>
    <row r="692" hidden="1">
      <c r="A692">
        <f>'Production Plan'!B680</f>
        <v/>
      </c>
      <c r="B692" s="3">
        <f>VLOOKUP(A692,'Production Plan'!B:Q,14,FALSE)</f>
        <v/>
      </c>
    </row>
    <row r="693" hidden="1">
      <c r="A693">
        <f>'Production Plan'!B681</f>
        <v/>
      </c>
      <c r="B693" s="3">
        <f>VLOOKUP(A693,'Production Plan'!B:Q,14,FALSE)</f>
        <v/>
      </c>
    </row>
    <row r="694" hidden="1">
      <c r="A694">
        <f>'Production Plan'!B682</f>
        <v/>
      </c>
      <c r="B694" s="3">
        <f>VLOOKUP(A694,'Production Plan'!B:Q,14,FALSE)</f>
        <v/>
      </c>
    </row>
    <row r="695" hidden="1">
      <c r="A695">
        <f>'Production Plan'!B683</f>
        <v/>
      </c>
      <c r="B695" s="3">
        <f>VLOOKUP(A695,'Production Plan'!B:Q,14,FALSE)</f>
        <v/>
      </c>
    </row>
    <row r="696" hidden="1">
      <c r="A696">
        <f>'Production Plan'!B684</f>
        <v/>
      </c>
      <c r="B696" s="3">
        <f>VLOOKUP(A696,'Production Plan'!B:Q,14,FALSE)</f>
        <v/>
      </c>
    </row>
    <row r="697" hidden="1">
      <c r="A697">
        <f>'Production Plan'!B685</f>
        <v/>
      </c>
      <c r="B697" s="3">
        <f>VLOOKUP(A697,'Production Plan'!B:Q,14,FALSE)</f>
        <v/>
      </c>
    </row>
    <row r="698" hidden="1">
      <c r="A698">
        <f>'Production Plan'!B686</f>
        <v/>
      </c>
      <c r="B698" s="3">
        <f>VLOOKUP(A698,'Production Plan'!B:Q,14,FALSE)</f>
        <v/>
      </c>
    </row>
    <row r="699" hidden="1">
      <c r="A699">
        <f>'Production Plan'!B687</f>
        <v/>
      </c>
      <c r="B699" s="3">
        <f>VLOOKUP(A699,'Production Plan'!B:Q,14,FALSE)</f>
        <v/>
      </c>
    </row>
    <row r="700" hidden="1">
      <c r="A700">
        <f>'Production Plan'!B688</f>
        <v/>
      </c>
      <c r="B700" s="3">
        <f>VLOOKUP(A700,'Production Plan'!B:Q,14,FALSE)</f>
        <v/>
      </c>
    </row>
    <row r="701" hidden="1">
      <c r="A701">
        <f>'Production Plan'!B689</f>
        <v/>
      </c>
      <c r="B701" s="3">
        <f>VLOOKUP(A701,'Production Plan'!B:Q,14,FALSE)</f>
        <v/>
      </c>
    </row>
    <row r="702" hidden="1">
      <c r="A702">
        <f>'Production Plan'!B690</f>
        <v/>
      </c>
      <c r="B702" s="3">
        <f>VLOOKUP(A702,'Production Plan'!B:Q,14,FALSE)</f>
        <v/>
      </c>
    </row>
    <row r="703" hidden="1">
      <c r="A703">
        <f>'Production Plan'!B691</f>
        <v/>
      </c>
      <c r="B703" s="3">
        <f>VLOOKUP(A703,'Production Plan'!B:Q,14,FALSE)</f>
        <v/>
      </c>
    </row>
    <row r="704" hidden="1">
      <c r="A704">
        <f>'Production Plan'!B692</f>
        <v/>
      </c>
      <c r="B704" s="3">
        <f>VLOOKUP(A704,'Production Plan'!B:Q,14,FALSE)</f>
        <v/>
      </c>
    </row>
    <row r="705" hidden="1">
      <c r="A705">
        <f>'Production Plan'!B693</f>
        <v/>
      </c>
      <c r="B705" s="3">
        <f>VLOOKUP(A705,'Production Plan'!B:Q,14,FALSE)</f>
        <v/>
      </c>
    </row>
    <row r="706" hidden="1">
      <c r="A706">
        <f>'Production Plan'!B694</f>
        <v/>
      </c>
      <c r="B706" s="3">
        <f>VLOOKUP(A706,'Production Plan'!B:Q,14,FALSE)</f>
        <v/>
      </c>
    </row>
    <row r="707" hidden="1">
      <c r="A707">
        <f>'Production Plan'!B695</f>
        <v/>
      </c>
      <c r="B707" s="3">
        <f>VLOOKUP(A707,'Production Plan'!B:Q,14,FALSE)</f>
        <v/>
      </c>
    </row>
    <row r="708" hidden="1">
      <c r="A708">
        <f>'Production Plan'!B696</f>
        <v/>
      </c>
      <c r="B708" s="3">
        <f>VLOOKUP(A708,'Production Plan'!B:Q,14,FALSE)</f>
        <v/>
      </c>
    </row>
    <row r="709" hidden="1">
      <c r="A709">
        <f>'Production Plan'!B697</f>
        <v/>
      </c>
      <c r="B709" s="3">
        <f>VLOOKUP(A709,'Production Plan'!B:Q,14,FALSE)</f>
        <v/>
      </c>
    </row>
    <row r="710" hidden="1">
      <c r="A710">
        <f>'Production Plan'!B698</f>
        <v/>
      </c>
      <c r="B710" s="3">
        <f>VLOOKUP(A710,'Production Plan'!B:Q,14,FALSE)</f>
        <v/>
      </c>
    </row>
    <row r="711" hidden="1">
      <c r="A711">
        <f>'Production Plan'!B699</f>
        <v/>
      </c>
      <c r="B711" s="3">
        <f>VLOOKUP(A711,'Production Plan'!B:Q,14,FALSE)</f>
        <v/>
      </c>
    </row>
    <row r="712" hidden="1">
      <c r="A712">
        <f>'Production Plan'!B700</f>
        <v/>
      </c>
      <c r="B712" s="3">
        <f>VLOOKUP(A712,'Production Plan'!B:Q,14,FALSE)</f>
        <v/>
      </c>
    </row>
    <row r="713" hidden="1">
      <c r="A713">
        <f>'Production Plan'!B701</f>
        <v/>
      </c>
      <c r="B713" s="3">
        <f>VLOOKUP(A713,'Production Plan'!B:Q,14,FALSE)</f>
        <v/>
      </c>
    </row>
    <row r="714" hidden="1">
      <c r="A714">
        <f>'Production Plan'!B702</f>
        <v/>
      </c>
      <c r="B714" s="3">
        <f>VLOOKUP(A714,'Production Plan'!B:Q,14,FALSE)</f>
        <v/>
      </c>
    </row>
    <row r="715" hidden="1">
      <c r="A715">
        <f>'Production Plan'!B703</f>
        <v/>
      </c>
      <c r="B715" s="3">
        <f>VLOOKUP(A715,'Production Plan'!B:Q,14,FALSE)</f>
        <v/>
      </c>
    </row>
    <row r="716" hidden="1">
      <c r="A716">
        <f>'Production Plan'!B704</f>
        <v/>
      </c>
      <c r="B716" s="3">
        <f>VLOOKUP(A716,'Production Plan'!B:Q,14,FALSE)</f>
        <v/>
      </c>
    </row>
    <row r="717" hidden="1">
      <c r="A717">
        <f>'Production Plan'!B705</f>
        <v/>
      </c>
      <c r="B717" s="3">
        <f>VLOOKUP(A717,'Production Plan'!B:Q,14,FALSE)</f>
        <v/>
      </c>
    </row>
    <row r="718" hidden="1">
      <c r="A718">
        <f>'Production Plan'!B706</f>
        <v/>
      </c>
      <c r="B718" s="3">
        <f>VLOOKUP(A718,'Production Plan'!B:Q,14,FALSE)</f>
        <v/>
      </c>
    </row>
    <row r="719" hidden="1">
      <c r="A719">
        <f>'Production Plan'!B707</f>
        <v/>
      </c>
      <c r="B719" s="3">
        <f>VLOOKUP(A719,'Production Plan'!B:Q,14,FALSE)</f>
        <v/>
      </c>
    </row>
    <row r="720" hidden="1">
      <c r="A720">
        <f>'Production Plan'!B708</f>
        <v/>
      </c>
      <c r="B720" s="3">
        <f>VLOOKUP(A720,'Production Plan'!B:Q,14,FALSE)</f>
        <v/>
      </c>
    </row>
    <row r="721" hidden="1">
      <c r="A721">
        <f>'Production Plan'!B709</f>
        <v/>
      </c>
      <c r="B721" s="3">
        <f>VLOOKUP(A721,'Production Plan'!B:Q,14,FALSE)</f>
        <v/>
      </c>
    </row>
    <row r="722" hidden="1">
      <c r="A722">
        <f>'Production Plan'!B710</f>
        <v/>
      </c>
      <c r="B722" s="3">
        <f>VLOOKUP(A722,'Production Plan'!B:Q,14,FALSE)</f>
        <v/>
      </c>
    </row>
    <row r="723" hidden="1">
      <c r="A723">
        <f>'Production Plan'!B711</f>
        <v/>
      </c>
      <c r="B723" s="3">
        <f>VLOOKUP(A723,'Production Plan'!B:Q,14,FALSE)</f>
        <v/>
      </c>
    </row>
    <row r="724" hidden="1">
      <c r="A724">
        <f>'Production Plan'!B712</f>
        <v/>
      </c>
      <c r="B724" s="3">
        <f>VLOOKUP(A724,'Production Plan'!B:Q,14,FALSE)</f>
        <v/>
      </c>
    </row>
    <row r="725" hidden="1">
      <c r="A725">
        <f>'Production Plan'!B713</f>
        <v/>
      </c>
      <c r="B725" s="3">
        <f>VLOOKUP(A725,'Production Plan'!B:Q,14,FALSE)</f>
        <v/>
      </c>
    </row>
    <row r="726" hidden="1">
      <c r="A726">
        <f>'Production Plan'!B714</f>
        <v/>
      </c>
      <c r="B726" s="3">
        <f>VLOOKUP(A726,'Production Plan'!B:Q,14,FALSE)</f>
        <v/>
      </c>
    </row>
    <row r="727" hidden="1">
      <c r="A727">
        <f>'Production Plan'!B715</f>
        <v/>
      </c>
      <c r="B727" s="3">
        <f>VLOOKUP(A727,'Production Plan'!B:Q,14,FALSE)</f>
        <v/>
      </c>
    </row>
    <row r="728" hidden="1">
      <c r="A728">
        <f>'Production Plan'!B716</f>
        <v/>
      </c>
      <c r="B728" s="3">
        <f>VLOOKUP(A728,'Production Plan'!B:Q,14,FALSE)</f>
        <v/>
      </c>
    </row>
    <row r="729" hidden="1">
      <c r="A729">
        <f>'Production Plan'!B717</f>
        <v/>
      </c>
      <c r="B729" s="3">
        <f>VLOOKUP(A729,'Production Plan'!B:Q,14,FALSE)</f>
        <v/>
      </c>
    </row>
    <row r="730" hidden="1">
      <c r="A730">
        <f>'Production Plan'!B718</f>
        <v/>
      </c>
      <c r="B730" s="3">
        <f>VLOOKUP(A730,'Production Plan'!B:Q,14,FALSE)</f>
        <v/>
      </c>
    </row>
    <row r="731" hidden="1">
      <c r="A731">
        <f>'Production Plan'!B719</f>
        <v/>
      </c>
      <c r="B731" s="3">
        <f>VLOOKUP(A731,'Production Plan'!B:Q,14,FALSE)</f>
        <v/>
      </c>
    </row>
    <row r="732" hidden="1">
      <c r="A732">
        <f>'Production Plan'!B720</f>
        <v/>
      </c>
      <c r="B732" s="3">
        <f>VLOOKUP(A732,'Production Plan'!B:Q,14,FALSE)</f>
        <v/>
      </c>
    </row>
    <row r="733" hidden="1">
      <c r="A733">
        <f>'Production Plan'!B721</f>
        <v/>
      </c>
      <c r="B733" s="3">
        <f>VLOOKUP(A733,'Production Plan'!B:Q,14,FALSE)</f>
        <v/>
      </c>
    </row>
    <row r="734" hidden="1">
      <c r="A734">
        <f>'Production Plan'!B722</f>
        <v/>
      </c>
      <c r="B734" s="3">
        <f>VLOOKUP(A734,'Production Plan'!B:Q,14,FALSE)</f>
        <v/>
      </c>
    </row>
    <row r="735" hidden="1">
      <c r="A735">
        <f>'Production Plan'!B723</f>
        <v/>
      </c>
      <c r="B735" s="3">
        <f>VLOOKUP(A735,'Production Plan'!B:Q,14,FALSE)</f>
        <v/>
      </c>
    </row>
    <row r="736" hidden="1">
      <c r="A736">
        <f>'Production Plan'!B724</f>
        <v/>
      </c>
      <c r="B736" s="3">
        <f>VLOOKUP(A736,'Production Plan'!B:Q,14,FALSE)</f>
        <v/>
      </c>
    </row>
    <row r="737" hidden="1">
      <c r="A737">
        <f>'Production Plan'!B725</f>
        <v/>
      </c>
      <c r="B737" s="3">
        <f>VLOOKUP(A737,'Production Plan'!B:Q,14,FALSE)</f>
        <v/>
      </c>
    </row>
    <row r="738" hidden="1">
      <c r="A738">
        <f>'Production Plan'!B726</f>
        <v/>
      </c>
      <c r="B738" s="3">
        <f>VLOOKUP(A738,'Production Plan'!B:Q,14,FALSE)</f>
        <v/>
      </c>
    </row>
    <row r="739" hidden="1">
      <c r="A739">
        <f>'Production Plan'!B727</f>
        <v/>
      </c>
      <c r="B739" s="3">
        <f>VLOOKUP(A739,'Production Plan'!B:Q,14,FALSE)</f>
        <v/>
      </c>
    </row>
    <row r="740" hidden="1">
      <c r="A740">
        <f>'Production Plan'!B728</f>
        <v/>
      </c>
      <c r="B740" s="3">
        <f>VLOOKUP(A740,'Production Plan'!B:Q,14,FALSE)</f>
        <v/>
      </c>
    </row>
    <row r="741" hidden="1">
      <c r="A741">
        <f>'Production Plan'!B729</f>
        <v/>
      </c>
      <c r="B741" s="3">
        <f>VLOOKUP(A741,'Production Plan'!B:Q,14,FALSE)</f>
        <v/>
      </c>
    </row>
    <row r="742" hidden="1">
      <c r="A742">
        <f>'Production Plan'!B730</f>
        <v/>
      </c>
      <c r="B742" s="3">
        <f>VLOOKUP(A742,'Production Plan'!B:Q,14,FALSE)</f>
        <v/>
      </c>
    </row>
    <row r="743" hidden="1">
      <c r="A743">
        <f>'Production Plan'!B731</f>
        <v/>
      </c>
      <c r="B743" s="3">
        <f>VLOOKUP(A743,'Production Plan'!B:Q,14,FALSE)</f>
        <v/>
      </c>
    </row>
    <row r="744" hidden="1">
      <c r="A744">
        <f>'Production Plan'!B732</f>
        <v/>
      </c>
      <c r="B744" s="3">
        <f>VLOOKUP(A744,'Production Plan'!B:Q,14,FALSE)</f>
        <v/>
      </c>
    </row>
    <row r="745" hidden="1">
      <c r="A745">
        <f>'Production Plan'!B733</f>
        <v/>
      </c>
      <c r="B745" s="3">
        <f>VLOOKUP(A745,'Production Plan'!B:Q,14,FALSE)</f>
        <v/>
      </c>
    </row>
    <row r="746" hidden="1">
      <c r="A746">
        <f>'Production Plan'!B734</f>
        <v/>
      </c>
      <c r="B746" s="3">
        <f>VLOOKUP(A746,'Production Plan'!B:Q,14,FALSE)</f>
        <v/>
      </c>
    </row>
    <row r="747" hidden="1">
      <c r="A747">
        <f>'Production Plan'!B735</f>
        <v/>
      </c>
      <c r="B747" s="3">
        <f>VLOOKUP(A747,'Production Plan'!B:Q,14,FALSE)</f>
        <v/>
      </c>
    </row>
    <row r="748" hidden="1">
      <c r="A748">
        <f>'Production Plan'!B736</f>
        <v/>
      </c>
      <c r="B748" s="3">
        <f>VLOOKUP(A748,'Production Plan'!B:Q,14,FALSE)</f>
        <v/>
      </c>
    </row>
    <row r="749" hidden="1">
      <c r="A749">
        <f>'Production Plan'!B737</f>
        <v/>
      </c>
      <c r="B749" s="3">
        <f>VLOOKUP(A749,'Production Plan'!B:Q,14,FALSE)</f>
        <v/>
      </c>
    </row>
    <row r="750" hidden="1">
      <c r="A750">
        <f>'Production Plan'!B738</f>
        <v/>
      </c>
      <c r="B750" s="3">
        <f>VLOOKUP(A750,'Production Plan'!B:Q,14,FALSE)</f>
        <v/>
      </c>
    </row>
    <row r="751" hidden="1">
      <c r="A751">
        <f>'Production Plan'!B739</f>
        <v/>
      </c>
      <c r="B751" s="3">
        <f>VLOOKUP(A751,'Production Plan'!B:Q,14,FALSE)</f>
        <v/>
      </c>
    </row>
    <row r="752" hidden="1">
      <c r="A752">
        <f>'Production Plan'!B740</f>
        <v/>
      </c>
      <c r="B752" s="3">
        <f>VLOOKUP(A752,'Production Plan'!B:Q,14,FALSE)</f>
        <v/>
      </c>
    </row>
    <row r="753" hidden="1">
      <c r="A753">
        <f>'Production Plan'!B741</f>
        <v/>
      </c>
      <c r="B753" s="3">
        <f>VLOOKUP(A753,'Production Plan'!B:Q,14,FALSE)</f>
        <v/>
      </c>
    </row>
    <row r="754" hidden="1">
      <c r="A754">
        <f>'Production Plan'!B742</f>
        <v/>
      </c>
      <c r="B754" s="3">
        <f>VLOOKUP(A754,'Production Plan'!B:Q,14,FALSE)</f>
        <v/>
      </c>
    </row>
    <row r="755" hidden="1">
      <c r="A755">
        <f>'Production Plan'!B743</f>
        <v/>
      </c>
      <c r="B755" s="3">
        <f>VLOOKUP(A755,'Production Plan'!B:Q,14,FALSE)</f>
        <v/>
      </c>
    </row>
    <row r="756" hidden="1">
      <c r="A756">
        <f>'Production Plan'!B744</f>
        <v/>
      </c>
      <c r="B756" s="3">
        <f>VLOOKUP(A756,'Production Plan'!B:Q,14,FALSE)</f>
        <v/>
      </c>
    </row>
    <row r="757" hidden="1">
      <c r="A757">
        <f>'Production Plan'!B745</f>
        <v/>
      </c>
      <c r="B757" s="3">
        <f>VLOOKUP(A757,'Production Plan'!B:Q,14,FALSE)</f>
        <v/>
      </c>
    </row>
    <row r="758" hidden="1">
      <c r="A758">
        <f>'Production Plan'!B746</f>
        <v/>
      </c>
      <c r="B758" s="3">
        <f>VLOOKUP(A758,'Production Plan'!B:Q,14,FALSE)</f>
        <v/>
      </c>
    </row>
    <row r="759" hidden="1">
      <c r="A759">
        <f>'Production Plan'!B747</f>
        <v/>
      </c>
      <c r="B759" s="3">
        <f>VLOOKUP(A759,'Production Plan'!B:Q,14,FALSE)</f>
        <v/>
      </c>
    </row>
    <row r="760" hidden="1">
      <c r="A760">
        <f>'Production Plan'!B748</f>
        <v/>
      </c>
      <c r="B760" s="3">
        <f>VLOOKUP(A760,'Production Plan'!B:Q,14,FALSE)</f>
        <v/>
      </c>
    </row>
    <row r="761" hidden="1">
      <c r="A761">
        <f>'Production Plan'!B749</f>
        <v/>
      </c>
      <c r="B761" s="3">
        <f>VLOOKUP(A761,'Production Plan'!B:Q,14,FALSE)</f>
        <v/>
      </c>
    </row>
    <row r="762" hidden="1">
      <c r="A762">
        <f>'Production Plan'!B750</f>
        <v/>
      </c>
      <c r="B762" s="3">
        <f>VLOOKUP(A762,'Production Plan'!B:Q,14,FALSE)</f>
        <v/>
      </c>
    </row>
    <row r="763" hidden="1">
      <c r="A763">
        <f>'Production Plan'!B751</f>
        <v/>
      </c>
      <c r="B763" s="3">
        <f>VLOOKUP(A763,'Production Plan'!B:Q,14,FALSE)</f>
        <v/>
      </c>
    </row>
    <row r="764" hidden="1">
      <c r="A764">
        <f>'Production Plan'!B752</f>
        <v/>
      </c>
      <c r="B764" s="3">
        <f>VLOOKUP(A764,'Production Plan'!B:Q,14,FALSE)</f>
        <v/>
      </c>
    </row>
    <row r="765" hidden="1">
      <c r="A765">
        <f>'Production Plan'!B753</f>
        <v/>
      </c>
      <c r="B765" s="3">
        <f>VLOOKUP(A765,'Production Plan'!B:Q,14,FALSE)</f>
        <v/>
      </c>
    </row>
    <row r="766" hidden="1">
      <c r="A766">
        <f>'Production Plan'!B754</f>
        <v/>
      </c>
      <c r="B766" s="3">
        <f>VLOOKUP(A766,'Production Plan'!B:Q,14,FALSE)</f>
        <v/>
      </c>
    </row>
    <row r="767" hidden="1">
      <c r="A767">
        <f>'Production Plan'!B755</f>
        <v/>
      </c>
      <c r="B767" s="3">
        <f>VLOOKUP(A767,'Production Plan'!B:Q,14,FALSE)</f>
        <v/>
      </c>
    </row>
    <row r="768" hidden="1">
      <c r="A768">
        <f>'Production Plan'!B756</f>
        <v/>
      </c>
      <c r="B768" s="3">
        <f>VLOOKUP(A768,'Production Plan'!B:Q,14,FALSE)</f>
        <v/>
      </c>
    </row>
    <row r="769" hidden="1">
      <c r="A769">
        <f>'Production Plan'!B757</f>
        <v/>
      </c>
      <c r="B769" s="3">
        <f>VLOOKUP(A769,'Production Plan'!B:Q,14,FALSE)</f>
        <v/>
      </c>
    </row>
    <row r="770" hidden="1">
      <c r="A770">
        <f>'Production Plan'!B758</f>
        <v/>
      </c>
      <c r="B770" s="3">
        <f>VLOOKUP(A770,'Production Plan'!B:Q,14,FALSE)</f>
        <v/>
      </c>
    </row>
    <row r="771" hidden="1">
      <c r="A771">
        <f>'Production Plan'!B759</f>
        <v/>
      </c>
      <c r="B771" s="3">
        <f>VLOOKUP(A771,'Production Plan'!B:Q,14,FALSE)</f>
        <v/>
      </c>
    </row>
    <row r="772" hidden="1">
      <c r="A772">
        <f>'Production Plan'!B760</f>
        <v/>
      </c>
      <c r="B772" s="3">
        <f>VLOOKUP(A772,'Production Plan'!B:Q,14,FALSE)</f>
        <v/>
      </c>
    </row>
    <row r="773" hidden="1">
      <c r="A773">
        <f>'Production Plan'!B761</f>
        <v/>
      </c>
      <c r="B773" s="3">
        <f>VLOOKUP(A773,'Production Plan'!B:Q,14,FALSE)</f>
        <v/>
      </c>
    </row>
    <row r="774" hidden="1">
      <c r="A774">
        <f>'Production Plan'!B762</f>
        <v/>
      </c>
      <c r="B774" s="3">
        <f>VLOOKUP(A774,'Production Plan'!B:Q,14,FALSE)</f>
        <v/>
      </c>
    </row>
    <row r="775" hidden="1">
      <c r="A775">
        <f>'Production Plan'!B763</f>
        <v/>
      </c>
      <c r="B775" s="3">
        <f>VLOOKUP(A775,'Production Plan'!B:Q,14,FALSE)</f>
        <v/>
      </c>
    </row>
    <row r="776" hidden="1">
      <c r="A776">
        <f>'Production Plan'!B764</f>
        <v/>
      </c>
      <c r="B776" s="3">
        <f>VLOOKUP(A776,'Production Plan'!B:Q,14,FALSE)</f>
        <v/>
      </c>
    </row>
    <row r="777" hidden="1">
      <c r="A777">
        <f>'Production Plan'!B765</f>
        <v/>
      </c>
      <c r="B777" s="3">
        <f>VLOOKUP(A777,'Production Plan'!B:Q,14,FALSE)</f>
        <v/>
      </c>
    </row>
    <row r="778" hidden="1">
      <c r="A778">
        <f>'Production Plan'!B766</f>
        <v/>
      </c>
      <c r="B778" s="3">
        <f>VLOOKUP(A778,'Production Plan'!B:Q,14,FALSE)</f>
        <v/>
      </c>
    </row>
    <row r="779" hidden="1">
      <c r="A779">
        <f>'Production Plan'!B767</f>
        <v/>
      </c>
      <c r="B779" s="3">
        <f>VLOOKUP(A779,'Production Plan'!B:Q,14,FALSE)</f>
        <v/>
      </c>
    </row>
    <row r="780" hidden="1">
      <c r="A780">
        <f>'Production Plan'!B768</f>
        <v/>
      </c>
      <c r="B780" s="3">
        <f>VLOOKUP(A780,'Production Plan'!B:Q,14,FALSE)</f>
        <v/>
      </c>
    </row>
    <row r="781" hidden="1">
      <c r="A781">
        <f>'Production Plan'!B769</f>
        <v/>
      </c>
      <c r="B781" s="3">
        <f>VLOOKUP(A781,'Production Plan'!B:Q,14,FALSE)</f>
        <v/>
      </c>
    </row>
    <row r="782" hidden="1">
      <c r="A782">
        <f>'Production Plan'!B770</f>
        <v/>
      </c>
      <c r="B782" s="3">
        <f>VLOOKUP(A782,'Production Plan'!B:Q,14,FALSE)</f>
        <v/>
      </c>
    </row>
    <row r="783" hidden="1">
      <c r="A783">
        <f>'Production Plan'!B771</f>
        <v/>
      </c>
      <c r="B783" s="3">
        <f>VLOOKUP(A783,'Production Plan'!B:Q,14,FALSE)</f>
        <v/>
      </c>
    </row>
    <row r="784" hidden="1">
      <c r="A784">
        <f>'Production Plan'!B772</f>
        <v/>
      </c>
      <c r="B784" s="3">
        <f>VLOOKUP(A784,'Production Plan'!B:Q,14,FALSE)</f>
        <v/>
      </c>
    </row>
    <row r="785" hidden="1">
      <c r="A785">
        <f>'Production Plan'!B773</f>
        <v/>
      </c>
      <c r="B785" s="3">
        <f>VLOOKUP(A785,'Production Plan'!B:Q,14,FALSE)</f>
        <v/>
      </c>
    </row>
    <row r="786" hidden="1">
      <c r="A786">
        <f>'Production Plan'!B774</f>
        <v/>
      </c>
      <c r="B786" s="3">
        <f>VLOOKUP(A786,'Production Plan'!B:Q,14,FALSE)</f>
        <v/>
      </c>
    </row>
    <row r="787" hidden="1">
      <c r="A787">
        <f>'Production Plan'!B775</f>
        <v/>
      </c>
      <c r="B787" s="3">
        <f>VLOOKUP(A787,'Production Plan'!B:Q,14,FALSE)</f>
        <v/>
      </c>
    </row>
    <row r="788" hidden="1">
      <c r="A788">
        <f>'Production Plan'!B776</f>
        <v/>
      </c>
      <c r="B788" s="3">
        <f>VLOOKUP(A788,'Production Plan'!B:Q,14,FALSE)</f>
        <v/>
      </c>
    </row>
    <row r="789" hidden="1">
      <c r="A789">
        <f>'Production Plan'!B777</f>
        <v/>
      </c>
      <c r="B789" s="3">
        <f>VLOOKUP(A789,'Production Plan'!B:Q,14,FALSE)</f>
        <v/>
      </c>
    </row>
    <row r="790" hidden="1">
      <c r="A790">
        <f>'Production Plan'!B778</f>
        <v/>
      </c>
      <c r="B790" s="3">
        <f>VLOOKUP(A790,'Production Plan'!B:Q,14,FALSE)</f>
        <v/>
      </c>
    </row>
    <row r="791" hidden="1">
      <c r="A791">
        <f>'Production Plan'!B779</f>
        <v/>
      </c>
      <c r="B791" s="3">
        <f>VLOOKUP(A791,'Production Plan'!B:Q,14,FALSE)</f>
        <v/>
      </c>
    </row>
    <row r="792" hidden="1">
      <c r="A792">
        <f>'Production Plan'!B780</f>
        <v/>
      </c>
      <c r="B792" s="3">
        <f>VLOOKUP(A792,'Production Plan'!B:Q,14,FALSE)</f>
        <v/>
      </c>
    </row>
    <row r="793" hidden="1">
      <c r="A793">
        <f>'Production Plan'!B781</f>
        <v/>
      </c>
      <c r="B793" s="3">
        <f>VLOOKUP(A793,'Production Plan'!B:Q,14,FALSE)</f>
        <v/>
      </c>
    </row>
    <row r="794" hidden="1">
      <c r="A794">
        <f>'Production Plan'!B782</f>
        <v/>
      </c>
      <c r="B794" s="3">
        <f>VLOOKUP(A794,'Production Plan'!B:Q,14,FALSE)</f>
        <v/>
      </c>
    </row>
    <row r="795" hidden="1">
      <c r="A795">
        <f>'Production Plan'!B783</f>
        <v/>
      </c>
      <c r="B795" s="3">
        <f>VLOOKUP(A795,'Production Plan'!B:Q,14,FALSE)</f>
        <v/>
      </c>
    </row>
    <row r="796" hidden="1">
      <c r="A796">
        <f>'Production Plan'!B784</f>
        <v/>
      </c>
      <c r="B796" s="3">
        <f>VLOOKUP(A796,'Production Plan'!B:Q,14,FALSE)</f>
        <v/>
      </c>
    </row>
    <row r="797" hidden="1">
      <c r="A797">
        <f>'Production Plan'!B785</f>
        <v/>
      </c>
      <c r="B797" s="3">
        <f>VLOOKUP(A797,'Production Plan'!B:Q,14,FALSE)</f>
        <v/>
      </c>
    </row>
    <row r="798" hidden="1">
      <c r="A798">
        <f>'Production Plan'!B786</f>
        <v/>
      </c>
      <c r="B798" s="3">
        <f>VLOOKUP(A798,'Production Plan'!B:Q,14,FALSE)</f>
        <v/>
      </c>
    </row>
    <row r="799" hidden="1">
      <c r="A799">
        <f>'Production Plan'!B787</f>
        <v/>
      </c>
      <c r="B799" s="3">
        <f>VLOOKUP(A799,'Production Plan'!B:Q,14,FALSE)</f>
        <v/>
      </c>
    </row>
    <row r="800" hidden="1">
      <c r="A800">
        <f>'Production Plan'!B788</f>
        <v/>
      </c>
      <c r="B800" s="3">
        <f>VLOOKUP(A800,'Production Plan'!B:Q,14,FALSE)</f>
        <v/>
      </c>
    </row>
    <row r="801" hidden="1">
      <c r="A801">
        <f>'Production Plan'!B789</f>
        <v/>
      </c>
      <c r="B801" s="3">
        <f>VLOOKUP(A801,'Production Plan'!B:Q,14,FALSE)</f>
        <v/>
      </c>
    </row>
    <row r="802" hidden="1">
      <c r="A802">
        <f>'Production Plan'!B790</f>
        <v/>
      </c>
      <c r="B802" s="3">
        <f>VLOOKUP(A802,'Production Plan'!B:Q,14,FALSE)</f>
        <v/>
      </c>
    </row>
    <row r="803" hidden="1">
      <c r="A803">
        <f>'Production Plan'!B791</f>
        <v/>
      </c>
      <c r="B803" s="3">
        <f>VLOOKUP(A803,'Production Plan'!B:Q,14,FALSE)</f>
        <v/>
      </c>
    </row>
    <row r="804" hidden="1">
      <c r="A804">
        <f>'Production Plan'!B792</f>
        <v/>
      </c>
      <c r="B804" s="3">
        <f>VLOOKUP(A804,'Production Plan'!B:Q,14,FALSE)</f>
        <v/>
      </c>
    </row>
    <row r="805" hidden="1">
      <c r="A805">
        <f>'Production Plan'!B793</f>
        <v/>
      </c>
      <c r="B805" s="3">
        <f>VLOOKUP(A805,'Production Plan'!B:Q,14,FALSE)</f>
        <v/>
      </c>
    </row>
    <row r="806" hidden="1">
      <c r="A806">
        <f>'Production Plan'!B794</f>
        <v/>
      </c>
      <c r="B806" s="3">
        <f>VLOOKUP(A806,'Production Plan'!B:Q,14,FALSE)</f>
        <v/>
      </c>
    </row>
    <row r="807" hidden="1">
      <c r="A807">
        <f>'Production Plan'!B795</f>
        <v/>
      </c>
      <c r="B807" s="3">
        <f>VLOOKUP(A807,'Production Plan'!B:Q,14,FALSE)</f>
        <v/>
      </c>
    </row>
    <row r="808" hidden="1">
      <c r="A808">
        <f>'Production Plan'!B796</f>
        <v/>
      </c>
      <c r="B808" s="3">
        <f>VLOOKUP(A808,'Production Plan'!B:Q,14,FALSE)</f>
        <v/>
      </c>
    </row>
    <row r="809" hidden="1">
      <c r="A809">
        <f>'Production Plan'!B797</f>
        <v/>
      </c>
      <c r="B809" s="3">
        <f>VLOOKUP(A809,'Production Plan'!B:Q,14,FALSE)</f>
        <v/>
      </c>
    </row>
    <row r="810" hidden="1">
      <c r="A810">
        <f>'Production Plan'!B798</f>
        <v/>
      </c>
      <c r="B810" s="3">
        <f>VLOOKUP(A810,'Production Plan'!B:Q,14,FALSE)</f>
        <v/>
      </c>
    </row>
    <row r="811" hidden="1">
      <c r="A811">
        <f>'Production Plan'!B799</f>
        <v/>
      </c>
      <c r="B811" s="3">
        <f>VLOOKUP(A811,'Production Plan'!B:Q,14,FALSE)</f>
        <v/>
      </c>
    </row>
    <row r="812" hidden="1">
      <c r="A812">
        <f>'Production Plan'!B800</f>
        <v/>
      </c>
      <c r="B812" s="3">
        <f>VLOOKUP(A812,'Production Plan'!B:Q,14,FALSE)</f>
        <v/>
      </c>
    </row>
    <row r="813" hidden="1">
      <c r="A813">
        <f>'Production Plan'!B801</f>
        <v/>
      </c>
      <c r="B813" s="3">
        <f>VLOOKUP(A813,'Production Plan'!B:Q,14,FALSE)</f>
        <v/>
      </c>
    </row>
    <row r="814" hidden="1">
      <c r="A814">
        <f>'Production Plan'!B802</f>
        <v/>
      </c>
      <c r="B814" s="3">
        <f>VLOOKUP(A814,'Production Plan'!B:Q,14,FALSE)</f>
        <v/>
      </c>
    </row>
    <row r="815" hidden="1">
      <c r="A815">
        <f>'Production Plan'!B803</f>
        <v/>
      </c>
      <c r="B815" s="3">
        <f>VLOOKUP(A815,'Production Plan'!B:Q,14,FALSE)</f>
        <v/>
      </c>
    </row>
    <row r="816" hidden="1">
      <c r="A816">
        <f>'Production Plan'!B804</f>
        <v/>
      </c>
      <c r="B816" s="3">
        <f>VLOOKUP(A816,'Production Plan'!B:Q,14,FALSE)</f>
        <v/>
      </c>
    </row>
    <row r="817" hidden="1">
      <c r="A817">
        <f>'Production Plan'!B805</f>
        <v/>
      </c>
      <c r="B817" s="3">
        <f>VLOOKUP(A817,'Production Plan'!B:Q,14,FALSE)</f>
        <v/>
      </c>
    </row>
    <row r="818" hidden="1">
      <c r="A818">
        <f>'Production Plan'!B806</f>
        <v/>
      </c>
      <c r="B818" s="3">
        <f>VLOOKUP(A818,'Production Plan'!B:Q,14,FALSE)</f>
        <v/>
      </c>
    </row>
    <row r="819" hidden="1">
      <c r="A819">
        <f>'Production Plan'!B807</f>
        <v/>
      </c>
      <c r="B819" s="3">
        <f>VLOOKUP(A819,'Production Plan'!B:Q,14,FALSE)</f>
        <v/>
      </c>
    </row>
    <row r="820" hidden="1">
      <c r="A820">
        <f>'Production Plan'!B808</f>
        <v/>
      </c>
      <c r="B820" s="3">
        <f>VLOOKUP(A820,'Production Plan'!B:Q,14,FALSE)</f>
        <v/>
      </c>
    </row>
    <row r="821" hidden="1">
      <c r="A821">
        <f>'Production Plan'!B809</f>
        <v/>
      </c>
      <c r="B821" s="3">
        <f>VLOOKUP(A821,'Production Plan'!B:Q,14,FALSE)</f>
        <v/>
      </c>
    </row>
    <row r="822" hidden="1">
      <c r="A822">
        <f>'Production Plan'!B810</f>
        <v/>
      </c>
      <c r="B822" s="3">
        <f>VLOOKUP(A822,'Production Plan'!B:Q,14,FALSE)</f>
        <v/>
      </c>
    </row>
    <row r="823" hidden="1">
      <c r="A823">
        <f>'Production Plan'!B811</f>
        <v/>
      </c>
      <c r="B823" s="3">
        <f>VLOOKUP(A823,'Production Plan'!B:Q,14,FALSE)</f>
        <v/>
      </c>
    </row>
    <row r="824" hidden="1">
      <c r="A824">
        <f>'Production Plan'!B812</f>
        <v/>
      </c>
      <c r="B824" s="3">
        <f>VLOOKUP(A824,'Production Plan'!B:Q,14,FALSE)</f>
        <v/>
      </c>
    </row>
    <row r="825" hidden="1">
      <c r="A825">
        <f>'Production Plan'!B813</f>
        <v/>
      </c>
      <c r="B825" s="3">
        <f>VLOOKUP(A825,'Production Plan'!B:Q,14,FALSE)</f>
        <v/>
      </c>
    </row>
    <row r="826" hidden="1">
      <c r="A826">
        <f>'Production Plan'!B814</f>
        <v/>
      </c>
      <c r="B826" s="3">
        <f>VLOOKUP(A826,'Production Plan'!B:Q,14,FALSE)</f>
        <v/>
      </c>
    </row>
    <row r="827" hidden="1">
      <c r="A827">
        <f>'Production Plan'!B815</f>
        <v/>
      </c>
      <c r="B827" s="3">
        <f>VLOOKUP(A827,'Production Plan'!B:Q,14,FALSE)</f>
        <v/>
      </c>
    </row>
    <row r="828" hidden="1">
      <c r="A828">
        <f>'Production Plan'!B816</f>
        <v/>
      </c>
      <c r="B828" s="3">
        <f>VLOOKUP(A828,'Production Plan'!B:Q,14,FALSE)</f>
        <v/>
      </c>
    </row>
    <row r="829" hidden="1">
      <c r="A829">
        <f>'Production Plan'!B817</f>
        <v/>
      </c>
      <c r="B829" s="3">
        <f>VLOOKUP(A829,'Production Plan'!B:Q,14,FALSE)</f>
        <v/>
      </c>
    </row>
    <row r="830" hidden="1">
      <c r="A830">
        <f>'Production Plan'!B818</f>
        <v/>
      </c>
      <c r="B830" s="3">
        <f>VLOOKUP(A830,'Production Plan'!B:Q,14,FALSE)</f>
        <v/>
      </c>
    </row>
    <row r="831" hidden="1">
      <c r="A831">
        <f>'Production Plan'!B819</f>
        <v/>
      </c>
      <c r="B831" s="3">
        <f>VLOOKUP(A831,'Production Plan'!B:Q,14,FALSE)</f>
        <v/>
      </c>
    </row>
    <row r="832" hidden="1">
      <c r="A832">
        <f>'Production Plan'!B820</f>
        <v/>
      </c>
      <c r="B832" s="3">
        <f>VLOOKUP(A832,'Production Plan'!B:Q,14,FALSE)</f>
        <v/>
      </c>
    </row>
    <row r="833" hidden="1">
      <c r="A833">
        <f>'Production Plan'!B821</f>
        <v/>
      </c>
      <c r="B833" s="3">
        <f>VLOOKUP(A833,'Production Plan'!B:Q,14,FALSE)</f>
        <v/>
      </c>
    </row>
    <row r="834" hidden="1">
      <c r="A834">
        <f>'Production Plan'!B822</f>
        <v/>
      </c>
      <c r="B834" s="3">
        <f>VLOOKUP(A834,'Production Plan'!B:Q,14,FALSE)</f>
        <v/>
      </c>
    </row>
    <row r="835" hidden="1">
      <c r="A835">
        <f>'Production Plan'!B823</f>
        <v/>
      </c>
      <c r="B835" s="3">
        <f>VLOOKUP(A835,'Production Plan'!B:Q,14,FALSE)</f>
        <v/>
      </c>
    </row>
    <row r="836" hidden="1">
      <c r="A836">
        <f>'Production Plan'!B824</f>
        <v/>
      </c>
      <c r="B836" s="3">
        <f>VLOOKUP(A836,'Production Plan'!B:Q,14,FALSE)</f>
        <v/>
      </c>
    </row>
    <row r="837" hidden="1">
      <c r="A837">
        <f>'Production Plan'!B825</f>
        <v/>
      </c>
      <c r="B837" s="3">
        <f>VLOOKUP(A837,'Production Plan'!B:Q,14,FALSE)</f>
        <v/>
      </c>
    </row>
    <row r="838" hidden="1">
      <c r="A838">
        <f>'Production Plan'!B826</f>
        <v/>
      </c>
      <c r="B838" s="3">
        <f>VLOOKUP(A838,'Production Plan'!B:Q,14,FALSE)</f>
        <v/>
      </c>
    </row>
    <row r="839" hidden="1">
      <c r="A839">
        <f>'Production Plan'!B827</f>
        <v/>
      </c>
      <c r="B839" s="3">
        <f>VLOOKUP(A839,'Production Plan'!B:Q,14,FALSE)</f>
        <v/>
      </c>
    </row>
    <row r="840" hidden="1">
      <c r="A840">
        <f>'Production Plan'!B828</f>
        <v/>
      </c>
      <c r="B840" s="3">
        <f>VLOOKUP(A840,'Production Plan'!B:Q,14,FALSE)</f>
        <v/>
      </c>
    </row>
    <row r="841" hidden="1">
      <c r="A841">
        <f>'Production Plan'!B829</f>
        <v/>
      </c>
      <c r="B841" s="3">
        <f>VLOOKUP(A841,'Production Plan'!B:Q,14,FALSE)</f>
        <v/>
      </c>
    </row>
    <row r="842" hidden="1">
      <c r="A842">
        <f>'Production Plan'!B830</f>
        <v/>
      </c>
      <c r="B842" s="3">
        <f>VLOOKUP(A842,'Production Plan'!B:Q,14,FALSE)</f>
        <v/>
      </c>
    </row>
    <row r="843" hidden="1">
      <c r="A843">
        <f>'Production Plan'!B831</f>
        <v/>
      </c>
      <c r="B843" s="3">
        <f>VLOOKUP(A843,'Production Plan'!B:Q,14,FALSE)</f>
        <v/>
      </c>
    </row>
    <row r="844" hidden="1">
      <c r="A844">
        <f>'Production Plan'!B832</f>
        <v/>
      </c>
      <c r="B844" s="3">
        <f>VLOOKUP(A844,'Production Plan'!B:Q,14,FALSE)</f>
        <v/>
      </c>
    </row>
    <row r="845" hidden="1">
      <c r="A845">
        <f>'Production Plan'!B833</f>
        <v/>
      </c>
      <c r="B845" s="3">
        <f>VLOOKUP(A845,'Production Plan'!B:Q,14,FALSE)</f>
        <v/>
      </c>
    </row>
    <row r="846" hidden="1">
      <c r="A846">
        <f>'Production Plan'!B834</f>
        <v/>
      </c>
      <c r="B846" s="3">
        <f>VLOOKUP(A846,'Production Plan'!B:Q,14,FALSE)</f>
        <v/>
      </c>
    </row>
    <row r="847" hidden="1">
      <c r="A847">
        <f>'Production Plan'!B835</f>
        <v/>
      </c>
      <c r="B847" s="3">
        <f>VLOOKUP(A847,'Production Plan'!B:Q,14,FALSE)</f>
        <v/>
      </c>
    </row>
    <row r="848" hidden="1">
      <c r="A848">
        <f>'Production Plan'!B836</f>
        <v/>
      </c>
      <c r="B848" s="3">
        <f>VLOOKUP(A848,'Production Plan'!B:Q,14,FALSE)</f>
        <v/>
      </c>
    </row>
    <row r="849" hidden="1">
      <c r="A849">
        <f>'Production Plan'!B837</f>
        <v/>
      </c>
      <c r="B849" s="3">
        <f>VLOOKUP(A849,'Production Plan'!B:Q,14,FALSE)</f>
        <v/>
      </c>
    </row>
    <row r="850" hidden="1">
      <c r="A850">
        <f>'Production Plan'!B838</f>
        <v/>
      </c>
      <c r="B850" s="3">
        <f>VLOOKUP(A850,'Production Plan'!B:Q,14,FALSE)</f>
        <v/>
      </c>
    </row>
    <row r="851" hidden="1">
      <c r="A851">
        <f>'Production Plan'!B839</f>
        <v/>
      </c>
      <c r="B851" s="3">
        <f>VLOOKUP(A851,'Production Plan'!B:Q,14,FALSE)</f>
        <v/>
      </c>
    </row>
    <row r="852" hidden="1">
      <c r="A852">
        <f>'Production Plan'!B840</f>
        <v/>
      </c>
      <c r="B852" s="3">
        <f>VLOOKUP(A852,'Production Plan'!B:Q,14,FALSE)</f>
        <v/>
      </c>
    </row>
    <row r="853" hidden="1">
      <c r="A853">
        <f>'Production Plan'!B841</f>
        <v/>
      </c>
      <c r="B853" s="3">
        <f>VLOOKUP(A853,'Production Plan'!B:Q,14,FALSE)</f>
        <v/>
      </c>
    </row>
    <row r="854" hidden="1">
      <c r="A854">
        <f>'Production Plan'!B842</f>
        <v/>
      </c>
      <c r="B854" s="3">
        <f>VLOOKUP(A854,'Production Plan'!B:Q,14,FALSE)</f>
        <v/>
      </c>
    </row>
    <row r="855" hidden="1">
      <c r="A855">
        <f>'Production Plan'!B843</f>
        <v/>
      </c>
      <c r="B855" s="3">
        <f>VLOOKUP(A855,'Production Plan'!B:Q,14,FALSE)</f>
        <v/>
      </c>
    </row>
    <row r="856" hidden="1">
      <c r="A856">
        <f>'Production Plan'!B844</f>
        <v/>
      </c>
      <c r="B856" s="3">
        <f>VLOOKUP(A856,'Production Plan'!B:Q,14,FALSE)</f>
        <v/>
      </c>
    </row>
    <row r="857" hidden="1">
      <c r="A857">
        <f>'Production Plan'!B845</f>
        <v/>
      </c>
      <c r="B857" s="3">
        <f>VLOOKUP(A857,'Production Plan'!B:Q,14,FALSE)</f>
        <v/>
      </c>
    </row>
    <row r="858" hidden="1">
      <c r="A858">
        <f>'Production Plan'!B846</f>
        <v/>
      </c>
      <c r="B858" s="3">
        <f>VLOOKUP(A858,'Production Plan'!B:Q,14,FALSE)</f>
        <v/>
      </c>
    </row>
    <row r="859" hidden="1">
      <c r="A859">
        <f>'Production Plan'!B847</f>
        <v/>
      </c>
      <c r="B859" s="3">
        <f>VLOOKUP(A859,'Production Plan'!B:Q,14,FALSE)</f>
        <v/>
      </c>
    </row>
    <row r="860" hidden="1">
      <c r="A860">
        <f>'Production Plan'!B848</f>
        <v/>
      </c>
      <c r="B860" s="3">
        <f>VLOOKUP(A860,'Production Plan'!B:Q,14,FALSE)</f>
        <v/>
      </c>
    </row>
    <row r="861" hidden="1">
      <c r="A861">
        <f>'Production Plan'!B849</f>
        <v/>
      </c>
      <c r="B861" s="3">
        <f>VLOOKUP(A861,'Production Plan'!B:Q,14,FALSE)</f>
        <v/>
      </c>
    </row>
    <row r="862" hidden="1">
      <c r="A862">
        <f>'Production Plan'!B850</f>
        <v/>
      </c>
      <c r="B862" s="3">
        <f>VLOOKUP(A862,'Production Plan'!B:Q,14,FALSE)</f>
        <v/>
      </c>
    </row>
    <row r="863" hidden="1">
      <c r="A863">
        <f>'Production Plan'!B851</f>
        <v/>
      </c>
      <c r="B863" s="3">
        <f>VLOOKUP(A863,'Production Plan'!B:Q,14,FALSE)</f>
        <v/>
      </c>
    </row>
    <row r="864" hidden="1">
      <c r="A864">
        <f>'Production Plan'!B852</f>
        <v/>
      </c>
      <c r="B864" s="3">
        <f>VLOOKUP(A864,'Production Plan'!B:Q,14,FALSE)</f>
        <v/>
      </c>
    </row>
    <row r="865" hidden="1">
      <c r="A865">
        <f>'Production Plan'!B853</f>
        <v/>
      </c>
      <c r="B865" s="3">
        <f>VLOOKUP(A865,'Production Plan'!B:Q,14,FALSE)</f>
        <v/>
      </c>
    </row>
    <row r="866" hidden="1">
      <c r="A866">
        <f>'Production Plan'!B854</f>
        <v/>
      </c>
      <c r="B866" s="3">
        <f>VLOOKUP(A866,'Production Plan'!B:Q,14,FALSE)</f>
        <v/>
      </c>
    </row>
    <row r="867" hidden="1">
      <c r="A867">
        <f>'Production Plan'!B855</f>
        <v/>
      </c>
      <c r="B867" s="3">
        <f>VLOOKUP(A867,'Production Plan'!B:Q,14,FALSE)</f>
        <v/>
      </c>
    </row>
    <row r="868" hidden="1">
      <c r="A868">
        <f>'Production Plan'!B856</f>
        <v/>
      </c>
      <c r="B868" s="3">
        <f>VLOOKUP(A868,'Production Plan'!B:Q,14,FALSE)</f>
        <v/>
      </c>
    </row>
    <row r="869" hidden="1">
      <c r="A869">
        <f>'Production Plan'!B857</f>
        <v/>
      </c>
      <c r="B869" s="3">
        <f>VLOOKUP(A869,'Production Plan'!B:Q,14,FALSE)</f>
        <v/>
      </c>
    </row>
    <row r="870" hidden="1">
      <c r="A870">
        <f>'Production Plan'!B858</f>
        <v/>
      </c>
      <c r="B870" s="3">
        <f>VLOOKUP(A870,'Production Plan'!B:Q,14,FALSE)</f>
        <v/>
      </c>
    </row>
    <row r="871" hidden="1">
      <c r="A871">
        <f>'Production Plan'!B859</f>
        <v/>
      </c>
      <c r="B871" s="3">
        <f>VLOOKUP(A871,'Production Plan'!B:Q,14,FALSE)</f>
        <v/>
      </c>
    </row>
    <row r="872" hidden="1">
      <c r="A872">
        <f>'Production Plan'!B860</f>
        <v/>
      </c>
      <c r="B872" s="3">
        <f>VLOOKUP(A872,'Production Plan'!B:Q,14,FALSE)</f>
        <v/>
      </c>
    </row>
    <row r="873" hidden="1">
      <c r="A873">
        <f>'Production Plan'!B861</f>
        <v/>
      </c>
      <c r="B873" s="3">
        <f>VLOOKUP(A873,'Production Plan'!B:Q,14,FALSE)</f>
        <v/>
      </c>
    </row>
    <row r="874" hidden="1">
      <c r="A874">
        <f>'Production Plan'!B862</f>
        <v/>
      </c>
      <c r="B874" s="3">
        <f>VLOOKUP(A874,'Production Plan'!B:Q,14,FALSE)</f>
        <v/>
      </c>
    </row>
    <row r="875" hidden="1">
      <c r="A875">
        <f>'Production Plan'!B863</f>
        <v/>
      </c>
      <c r="B875" s="3">
        <f>VLOOKUP(A875,'Production Plan'!B:Q,14,FALSE)</f>
        <v/>
      </c>
    </row>
    <row r="876" hidden="1">
      <c r="A876">
        <f>'Production Plan'!B864</f>
        <v/>
      </c>
      <c r="B876" s="3">
        <f>VLOOKUP(A876,'Production Plan'!B:Q,14,FALSE)</f>
        <v/>
      </c>
    </row>
    <row r="877" hidden="1">
      <c r="A877">
        <f>'Production Plan'!B865</f>
        <v/>
      </c>
      <c r="B877" s="3">
        <f>VLOOKUP(A877,'Production Plan'!B:Q,14,FALSE)</f>
        <v/>
      </c>
    </row>
    <row r="878" hidden="1">
      <c r="A878">
        <f>'Production Plan'!B866</f>
        <v/>
      </c>
      <c r="B878" s="3">
        <f>VLOOKUP(A878,'Production Plan'!B:Q,14,FALSE)</f>
        <v/>
      </c>
    </row>
    <row r="879" hidden="1">
      <c r="A879">
        <f>'Production Plan'!B867</f>
        <v/>
      </c>
      <c r="B879" s="3">
        <f>VLOOKUP(A879,'Production Plan'!B:Q,14,FALSE)</f>
        <v/>
      </c>
    </row>
    <row r="880" hidden="1">
      <c r="A880">
        <f>'Production Plan'!B868</f>
        <v/>
      </c>
      <c r="B880" s="3">
        <f>VLOOKUP(A880,'Production Plan'!B:Q,14,FALSE)</f>
        <v/>
      </c>
    </row>
    <row r="881" hidden="1">
      <c r="A881">
        <f>'Production Plan'!B869</f>
        <v/>
      </c>
      <c r="B881" s="3">
        <f>VLOOKUP(A881,'Production Plan'!B:Q,14,FALSE)</f>
        <v/>
      </c>
    </row>
    <row r="882" hidden="1">
      <c r="A882">
        <f>'Production Plan'!B870</f>
        <v/>
      </c>
      <c r="B882" s="3">
        <f>VLOOKUP(A882,'Production Plan'!B:Q,14,FALSE)</f>
        <v/>
      </c>
    </row>
    <row r="883" hidden="1">
      <c r="A883">
        <f>'Production Plan'!B871</f>
        <v/>
      </c>
      <c r="B883" s="3">
        <f>VLOOKUP(A883,'Production Plan'!B:Q,14,FALSE)</f>
        <v/>
      </c>
    </row>
    <row r="884" hidden="1">
      <c r="A884">
        <f>'Production Plan'!B872</f>
        <v/>
      </c>
      <c r="B884" s="3">
        <f>VLOOKUP(A884,'Production Plan'!B:Q,14,FALSE)</f>
        <v/>
      </c>
    </row>
    <row r="885" hidden="1">
      <c r="A885">
        <f>'Production Plan'!B873</f>
        <v/>
      </c>
      <c r="B885" s="3">
        <f>VLOOKUP(A885,'Production Plan'!B:Q,14,FALSE)</f>
        <v/>
      </c>
    </row>
    <row r="886" hidden="1">
      <c r="A886">
        <f>'Production Plan'!B874</f>
        <v/>
      </c>
      <c r="B886" s="3">
        <f>VLOOKUP(A886,'Production Plan'!B:Q,14,FALSE)</f>
        <v/>
      </c>
    </row>
    <row r="887" hidden="1">
      <c r="A887">
        <f>'Production Plan'!B875</f>
        <v/>
      </c>
      <c r="B887" s="3">
        <f>VLOOKUP(A887,'Production Plan'!B:Q,14,FALSE)</f>
        <v/>
      </c>
    </row>
    <row r="888" hidden="1">
      <c r="A888">
        <f>'Production Plan'!B876</f>
        <v/>
      </c>
      <c r="B888" s="3">
        <f>VLOOKUP(A888,'Production Plan'!B:Q,14,FALSE)</f>
        <v/>
      </c>
    </row>
    <row r="889" hidden="1">
      <c r="A889">
        <f>'Production Plan'!B877</f>
        <v/>
      </c>
      <c r="B889" s="3">
        <f>VLOOKUP(A889,'Production Plan'!B:Q,14,FALSE)</f>
        <v/>
      </c>
    </row>
    <row r="890" hidden="1">
      <c r="A890">
        <f>'Production Plan'!B878</f>
        <v/>
      </c>
      <c r="B890" s="3">
        <f>VLOOKUP(A890,'Production Plan'!B:Q,14,FALSE)</f>
        <v/>
      </c>
    </row>
    <row r="891" hidden="1">
      <c r="A891">
        <f>'Production Plan'!B879</f>
        <v/>
      </c>
      <c r="B891" s="3">
        <f>VLOOKUP(A891,'Production Plan'!B:Q,14,FALSE)</f>
        <v/>
      </c>
    </row>
    <row r="892" hidden="1">
      <c r="A892">
        <f>'Production Plan'!B880</f>
        <v/>
      </c>
      <c r="B892" s="3">
        <f>VLOOKUP(A892,'Production Plan'!B:Q,14,FALSE)</f>
        <v/>
      </c>
    </row>
    <row r="893" hidden="1">
      <c r="A893">
        <f>'Production Plan'!B881</f>
        <v/>
      </c>
      <c r="B893" s="3">
        <f>VLOOKUP(A893,'Production Plan'!B:Q,14,FALSE)</f>
        <v/>
      </c>
    </row>
    <row r="894" hidden="1">
      <c r="A894">
        <f>'Production Plan'!B882</f>
        <v/>
      </c>
      <c r="B894" s="3">
        <f>VLOOKUP(A894,'Production Plan'!B:Q,14,FALSE)</f>
        <v/>
      </c>
    </row>
    <row r="895" hidden="1">
      <c r="A895">
        <f>'Production Plan'!B883</f>
        <v/>
      </c>
      <c r="B895" s="3">
        <f>VLOOKUP(A895,'Production Plan'!B:Q,14,FALSE)</f>
        <v/>
      </c>
    </row>
    <row r="896" hidden="1">
      <c r="A896">
        <f>'Production Plan'!B884</f>
        <v/>
      </c>
      <c r="B896" s="3">
        <f>VLOOKUP(A896,'Production Plan'!B:Q,14,FALSE)</f>
        <v/>
      </c>
    </row>
    <row r="897" hidden="1">
      <c r="A897">
        <f>'Production Plan'!B885</f>
        <v/>
      </c>
      <c r="B897" s="3">
        <f>VLOOKUP(A897,'Production Plan'!B:Q,14,FALSE)</f>
        <v/>
      </c>
    </row>
    <row r="898" hidden="1">
      <c r="A898">
        <f>'Production Plan'!B886</f>
        <v/>
      </c>
      <c r="B898" s="3">
        <f>VLOOKUP(A898,'Production Plan'!B:Q,14,FALSE)</f>
        <v/>
      </c>
    </row>
    <row r="899" hidden="1">
      <c r="A899">
        <f>'Production Plan'!B887</f>
        <v/>
      </c>
      <c r="B899" s="3">
        <f>VLOOKUP(A899,'Production Plan'!B:Q,14,FALSE)</f>
        <v/>
      </c>
    </row>
    <row r="900" hidden="1">
      <c r="A900">
        <f>'Production Plan'!B888</f>
        <v/>
      </c>
      <c r="B900" s="3">
        <f>VLOOKUP(A900,'Production Plan'!B:Q,14,FALSE)</f>
        <v/>
      </c>
    </row>
    <row r="901" hidden="1">
      <c r="A901">
        <f>'Production Plan'!B889</f>
        <v/>
      </c>
      <c r="B901" s="3">
        <f>VLOOKUP(A901,'Production Plan'!B:Q,14,FALSE)</f>
        <v/>
      </c>
    </row>
    <row r="902" hidden="1">
      <c r="A902">
        <f>'Production Plan'!B890</f>
        <v/>
      </c>
      <c r="B902" s="3">
        <f>VLOOKUP(A902,'Production Plan'!B:Q,14,FALSE)</f>
        <v/>
      </c>
    </row>
    <row r="903" hidden="1">
      <c r="A903">
        <f>'Production Plan'!B891</f>
        <v/>
      </c>
      <c r="B903" s="3">
        <f>VLOOKUP(A903,'Production Plan'!B:Q,14,FALSE)</f>
        <v/>
      </c>
    </row>
    <row r="904" hidden="1">
      <c r="A904">
        <f>'Production Plan'!B892</f>
        <v/>
      </c>
      <c r="B904" s="3">
        <f>VLOOKUP(A904,'Production Plan'!B:Q,14,FALSE)</f>
        <v/>
      </c>
    </row>
    <row r="905" hidden="1">
      <c r="A905">
        <f>'Production Plan'!B893</f>
        <v/>
      </c>
      <c r="B905" s="3">
        <f>VLOOKUP(A905,'Production Plan'!B:Q,14,FALSE)</f>
        <v/>
      </c>
    </row>
    <row r="906" hidden="1">
      <c r="A906">
        <f>'Production Plan'!B894</f>
        <v/>
      </c>
      <c r="B906" s="3">
        <f>VLOOKUP(A906,'Production Plan'!B:Q,14,FALSE)</f>
        <v/>
      </c>
    </row>
    <row r="907" hidden="1">
      <c r="A907">
        <f>'Production Plan'!B895</f>
        <v/>
      </c>
      <c r="B907" s="3">
        <f>VLOOKUP(A907,'Production Plan'!B:Q,14,FALSE)</f>
        <v/>
      </c>
    </row>
    <row r="908" hidden="1">
      <c r="A908">
        <f>'Production Plan'!B896</f>
        <v/>
      </c>
      <c r="B908" s="3">
        <f>VLOOKUP(A908,'Production Plan'!B:Q,14,FALSE)</f>
        <v/>
      </c>
    </row>
    <row r="909" hidden="1">
      <c r="A909">
        <f>'Production Plan'!B897</f>
        <v/>
      </c>
      <c r="B909" s="3">
        <f>VLOOKUP(A909,'Production Plan'!B:Q,14,FALSE)</f>
        <v/>
      </c>
    </row>
    <row r="910" hidden="1">
      <c r="A910">
        <f>'Production Plan'!B898</f>
        <v/>
      </c>
      <c r="B910" s="3">
        <f>VLOOKUP(A910,'Production Plan'!B:Q,14,FALSE)</f>
        <v/>
      </c>
    </row>
    <row r="911" hidden="1">
      <c r="A911">
        <f>'Production Plan'!B899</f>
        <v/>
      </c>
      <c r="B911" s="3">
        <f>VLOOKUP(A911,'Production Plan'!B:Q,14,FALSE)</f>
        <v/>
      </c>
    </row>
    <row r="912" hidden="1">
      <c r="A912">
        <f>'Production Plan'!B900</f>
        <v/>
      </c>
      <c r="B912" s="3">
        <f>VLOOKUP(A912,'Production Plan'!B:Q,14,FALSE)</f>
        <v/>
      </c>
    </row>
    <row r="913" hidden="1">
      <c r="A913">
        <f>'Production Plan'!B901</f>
        <v/>
      </c>
      <c r="B913" s="3">
        <f>VLOOKUP(A913,'Production Plan'!B:Q,14,FALSE)</f>
        <v/>
      </c>
    </row>
    <row r="914" hidden="1">
      <c r="A914">
        <f>'Production Plan'!B902</f>
        <v/>
      </c>
      <c r="B914" s="3">
        <f>VLOOKUP(A914,'Production Plan'!B:Q,14,FALSE)</f>
        <v/>
      </c>
    </row>
    <row r="915" hidden="1">
      <c r="A915">
        <f>'Production Plan'!B903</f>
        <v/>
      </c>
      <c r="B915" s="3">
        <f>VLOOKUP(A915,'Production Plan'!B:Q,14,FALSE)</f>
        <v/>
      </c>
    </row>
    <row r="916" hidden="1">
      <c r="A916">
        <f>'Production Plan'!B904</f>
        <v/>
      </c>
      <c r="B916" s="3">
        <f>VLOOKUP(A916,'Production Plan'!B:Q,14,FALSE)</f>
        <v/>
      </c>
    </row>
    <row r="917" hidden="1">
      <c r="A917">
        <f>'Production Plan'!B905</f>
        <v/>
      </c>
      <c r="B917" s="3">
        <f>VLOOKUP(A917,'Production Plan'!B:Q,14,FALSE)</f>
        <v/>
      </c>
    </row>
    <row r="918" hidden="1">
      <c r="A918">
        <f>'Production Plan'!B906</f>
        <v/>
      </c>
      <c r="B918" s="3">
        <f>VLOOKUP(A918,'Production Plan'!B:Q,14,FALSE)</f>
        <v/>
      </c>
    </row>
    <row r="919" hidden="1">
      <c r="A919">
        <f>'Production Plan'!B907</f>
        <v/>
      </c>
      <c r="B919" s="3">
        <f>VLOOKUP(A919,'Production Plan'!B:Q,14,FALSE)</f>
        <v/>
      </c>
    </row>
    <row r="920" hidden="1">
      <c r="A920">
        <f>'Production Plan'!B908</f>
        <v/>
      </c>
      <c r="B920" s="3">
        <f>VLOOKUP(A920,'Production Plan'!B:Q,14,FALSE)</f>
        <v/>
      </c>
    </row>
    <row r="921" hidden="1">
      <c r="A921">
        <f>'Production Plan'!B909</f>
        <v/>
      </c>
      <c r="B921" s="3">
        <f>VLOOKUP(A921,'Production Plan'!B:Q,14,FALSE)</f>
        <v/>
      </c>
    </row>
    <row r="922" hidden="1">
      <c r="A922">
        <f>'Production Plan'!B910</f>
        <v/>
      </c>
      <c r="B922" s="3">
        <f>VLOOKUP(A922,'Production Plan'!B:Q,14,FALSE)</f>
        <v/>
      </c>
    </row>
    <row r="923" hidden="1">
      <c r="A923">
        <f>'Production Plan'!B911</f>
        <v/>
      </c>
      <c r="B923" s="3">
        <f>VLOOKUP(A923,'Production Plan'!B:Q,14,FALSE)</f>
        <v/>
      </c>
    </row>
    <row r="924" hidden="1">
      <c r="A924">
        <f>'Production Plan'!B912</f>
        <v/>
      </c>
      <c r="B924" s="3">
        <f>VLOOKUP(A924,'Production Plan'!B:Q,14,FALSE)</f>
        <v/>
      </c>
    </row>
    <row r="925" hidden="1">
      <c r="A925">
        <f>'Production Plan'!B913</f>
        <v/>
      </c>
      <c r="B925" s="3">
        <f>VLOOKUP(A925,'Production Plan'!B:Q,14,FALSE)</f>
        <v/>
      </c>
    </row>
    <row r="926" hidden="1">
      <c r="A926">
        <f>'Production Plan'!B914</f>
        <v/>
      </c>
      <c r="B926" s="3">
        <f>VLOOKUP(A926,'Production Plan'!B:Q,14,FALSE)</f>
        <v/>
      </c>
    </row>
    <row r="927" hidden="1">
      <c r="A927">
        <f>'Production Plan'!B915</f>
        <v/>
      </c>
      <c r="B927" s="3">
        <f>VLOOKUP(A927,'Production Plan'!B:Q,14,FALSE)</f>
        <v/>
      </c>
    </row>
    <row r="928" hidden="1">
      <c r="A928">
        <f>'Production Plan'!B916</f>
        <v/>
      </c>
      <c r="B928" s="3">
        <f>VLOOKUP(A928,'Production Plan'!B:Q,14,FALSE)</f>
        <v/>
      </c>
    </row>
    <row r="929" hidden="1">
      <c r="A929">
        <f>'Production Plan'!B917</f>
        <v/>
      </c>
      <c r="B929" s="3">
        <f>VLOOKUP(A929,'Production Plan'!B:Q,14,FALSE)</f>
        <v/>
      </c>
    </row>
    <row r="930" hidden="1">
      <c r="A930">
        <f>'Production Plan'!B918</f>
        <v/>
      </c>
      <c r="B930" s="3">
        <f>VLOOKUP(A930,'Production Plan'!B:Q,14,FALSE)</f>
        <v/>
      </c>
    </row>
    <row r="931" hidden="1">
      <c r="A931">
        <f>'Production Plan'!B919</f>
        <v/>
      </c>
      <c r="B931" s="3">
        <f>VLOOKUP(A931,'Production Plan'!B:Q,14,FALSE)</f>
        <v/>
      </c>
    </row>
    <row r="932" hidden="1">
      <c r="A932">
        <f>'Production Plan'!B920</f>
        <v/>
      </c>
      <c r="B932" s="3">
        <f>VLOOKUP(A932,'Production Plan'!B:Q,14,FALSE)</f>
        <v/>
      </c>
    </row>
    <row r="933" hidden="1">
      <c r="A933">
        <f>'Production Plan'!B921</f>
        <v/>
      </c>
      <c r="B933" s="3">
        <f>VLOOKUP(A933,'Production Plan'!B:Q,14,FALSE)</f>
        <v/>
      </c>
    </row>
    <row r="934" hidden="1">
      <c r="A934">
        <f>'Production Plan'!B922</f>
        <v/>
      </c>
      <c r="B934" s="3">
        <f>VLOOKUP(A934,'Production Plan'!B:Q,14,FALSE)</f>
        <v/>
      </c>
    </row>
    <row r="935" hidden="1">
      <c r="A935">
        <f>'Production Plan'!B923</f>
        <v/>
      </c>
      <c r="B935" s="3">
        <f>VLOOKUP(A935,'Production Plan'!B:Q,14,FALSE)</f>
        <v/>
      </c>
    </row>
    <row r="936" hidden="1">
      <c r="A936">
        <f>'Production Plan'!B924</f>
        <v/>
      </c>
      <c r="B936" s="3">
        <f>VLOOKUP(A936,'Production Plan'!B:Q,14,FALSE)</f>
        <v/>
      </c>
    </row>
    <row r="937" hidden="1">
      <c r="A937">
        <f>'Production Plan'!B925</f>
        <v/>
      </c>
      <c r="B937" s="3">
        <f>VLOOKUP(A937,'Production Plan'!B:Q,14,FALSE)</f>
        <v/>
      </c>
    </row>
    <row r="938" hidden="1">
      <c r="A938">
        <f>'Production Plan'!B926</f>
        <v/>
      </c>
      <c r="B938" s="3">
        <f>VLOOKUP(A938,'Production Plan'!B:Q,14,FALSE)</f>
        <v/>
      </c>
    </row>
    <row r="939" hidden="1">
      <c r="A939">
        <f>'Production Plan'!B927</f>
        <v/>
      </c>
      <c r="B939" s="3">
        <f>VLOOKUP(A939,'Production Plan'!B:Q,14,FALSE)</f>
        <v/>
      </c>
    </row>
    <row r="940" hidden="1">
      <c r="A940">
        <f>'Production Plan'!B928</f>
        <v/>
      </c>
      <c r="B940" s="3">
        <f>VLOOKUP(A940,'Production Plan'!B:Q,14,FALSE)</f>
        <v/>
      </c>
    </row>
    <row r="941" hidden="1">
      <c r="A941">
        <f>'Production Plan'!B929</f>
        <v/>
      </c>
      <c r="B941" s="3">
        <f>VLOOKUP(A941,'Production Plan'!B:Q,14,FALSE)</f>
        <v/>
      </c>
    </row>
    <row r="942" hidden="1">
      <c r="A942">
        <f>'Production Plan'!B930</f>
        <v/>
      </c>
      <c r="B942" s="3">
        <f>VLOOKUP(A942,'Production Plan'!B:Q,14,FALSE)</f>
        <v/>
      </c>
    </row>
    <row r="943" hidden="1">
      <c r="A943">
        <f>'Production Plan'!B931</f>
        <v/>
      </c>
      <c r="B943" s="3">
        <f>VLOOKUP(A943,'Production Plan'!B:Q,14,FALSE)</f>
        <v/>
      </c>
    </row>
    <row r="944" hidden="1">
      <c r="A944">
        <f>'Production Plan'!B932</f>
        <v/>
      </c>
      <c r="B944" s="3">
        <f>VLOOKUP(A944,'Production Plan'!B:Q,14,FALSE)</f>
        <v/>
      </c>
    </row>
    <row r="945" hidden="1">
      <c r="A945">
        <f>'Production Plan'!B933</f>
        <v/>
      </c>
      <c r="B945" s="3">
        <f>VLOOKUP(A945,'Production Plan'!B:Q,14,FALSE)</f>
        <v/>
      </c>
    </row>
    <row r="946" hidden="1">
      <c r="A946">
        <f>'Production Plan'!B934</f>
        <v/>
      </c>
      <c r="B946" s="3">
        <f>VLOOKUP(A946,'Production Plan'!B:Q,14,FALSE)</f>
        <v/>
      </c>
    </row>
    <row r="947" hidden="1">
      <c r="A947">
        <f>'Production Plan'!B935</f>
        <v/>
      </c>
      <c r="B947" s="3">
        <f>VLOOKUP(A947,'Production Plan'!B:Q,14,FALSE)</f>
        <v/>
      </c>
    </row>
    <row r="948" hidden="1">
      <c r="A948">
        <f>'Production Plan'!B936</f>
        <v/>
      </c>
      <c r="B948" s="3">
        <f>VLOOKUP(A948,'Production Plan'!B:Q,14,FALSE)</f>
        <v/>
      </c>
    </row>
    <row r="949" hidden="1">
      <c r="A949">
        <f>'Production Plan'!B937</f>
        <v/>
      </c>
      <c r="B949" s="3">
        <f>VLOOKUP(A949,'Production Plan'!B:Q,14,FALSE)</f>
        <v/>
      </c>
    </row>
    <row r="950" hidden="1">
      <c r="A950">
        <f>'Production Plan'!B938</f>
        <v/>
      </c>
      <c r="B950" s="3">
        <f>VLOOKUP(A950,'Production Plan'!B:Q,14,FALSE)</f>
        <v/>
      </c>
    </row>
    <row r="951" hidden="1">
      <c r="A951">
        <f>'Production Plan'!B939</f>
        <v/>
      </c>
      <c r="B951" s="3">
        <f>VLOOKUP(A951,'Production Plan'!B:Q,14,FALSE)</f>
        <v/>
      </c>
    </row>
    <row r="952" hidden="1">
      <c r="A952">
        <f>'Production Plan'!B940</f>
        <v/>
      </c>
      <c r="B952" s="3">
        <f>VLOOKUP(A952,'Production Plan'!B:Q,14,FALSE)</f>
        <v/>
      </c>
    </row>
    <row r="953" hidden="1">
      <c r="A953">
        <f>'Production Plan'!B941</f>
        <v/>
      </c>
      <c r="B953" s="3">
        <f>VLOOKUP(A953,'Production Plan'!B:Q,14,FALSE)</f>
        <v/>
      </c>
    </row>
    <row r="954" hidden="1">
      <c r="A954">
        <f>'Production Plan'!B942</f>
        <v/>
      </c>
      <c r="B954" s="3">
        <f>VLOOKUP(A954,'Production Plan'!B:Q,14,FALSE)</f>
        <v/>
      </c>
    </row>
    <row r="955" hidden="1">
      <c r="A955">
        <f>'Production Plan'!B943</f>
        <v/>
      </c>
      <c r="B955" s="3">
        <f>VLOOKUP(A955,'Production Plan'!B:Q,14,FALSE)</f>
        <v/>
      </c>
    </row>
    <row r="956" hidden="1">
      <c r="A956">
        <f>'Production Plan'!B944</f>
        <v/>
      </c>
      <c r="B956" s="3">
        <f>VLOOKUP(A956,'Production Plan'!B:Q,14,FALSE)</f>
        <v/>
      </c>
    </row>
    <row r="957" hidden="1">
      <c r="A957">
        <f>'Production Plan'!B945</f>
        <v/>
      </c>
      <c r="B957" s="3">
        <f>VLOOKUP(A957,'Production Plan'!B:Q,14,FALSE)</f>
        <v/>
      </c>
    </row>
    <row r="958" hidden="1">
      <c r="A958">
        <f>'Production Plan'!B946</f>
        <v/>
      </c>
      <c r="B958" s="3">
        <f>VLOOKUP(A958,'Production Plan'!B:Q,14,FALSE)</f>
        <v/>
      </c>
    </row>
    <row r="959" hidden="1">
      <c r="A959">
        <f>'Production Plan'!B947</f>
        <v/>
      </c>
      <c r="B959" s="3">
        <f>VLOOKUP(A959,'Production Plan'!B:Q,14,FALSE)</f>
        <v/>
      </c>
    </row>
    <row r="960" hidden="1">
      <c r="A960">
        <f>'Production Plan'!B948</f>
        <v/>
      </c>
      <c r="B960" s="3">
        <f>VLOOKUP(A960,'Production Plan'!B:Q,14,FALSE)</f>
        <v/>
      </c>
    </row>
    <row r="961" hidden="1">
      <c r="A961">
        <f>'Production Plan'!B949</f>
        <v/>
      </c>
      <c r="B961" s="3">
        <f>VLOOKUP(A961,'Production Plan'!B:Q,14,FALSE)</f>
        <v/>
      </c>
    </row>
    <row r="962" hidden="1">
      <c r="A962">
        <f>'Production Plan'!B950</f>
        <v/>
      </c>
      <c r="B962" s="3">
        <f>VLOOKUP(A962,'Production Plan'!B:Q,14,FALSE)</f>
        <v/>
      </c>
    </row>
    <row r="963" hidden="1">
      <c r="A963">
        <f>'Production Plan'!B951</f>
        <v/>
      </c>
      <c r="B963" s="3">
        <f>VLOOKUP(A963,'Production Plan'!B:Q,14,FALSE)</f>
        <v/>
      </c>
    </row>
    <row r="964" hidden="1">
      <c r="A964">
        <f>'Production Plan'!B952</f>
        <v/>
      </c>
      <c r="B964" s="3">
        <f>VLOOKUP(A964,'Production Plan'!B:Q,14,FALSE)</f>
        <v/>
      </c>
    </row>
    <row r="965" hidden="1">
      <c r="A965">
        <f>'Production Plan'!B953</f>
        <v/>
      </c>
      <c r="B965" s="3">
        <f>VLOOKUP(A965,'Production Plan'!B:Q,14,FALSE)</f>
        <v/>
      </c>
    </row>
    <row r="966" hidden="1">
      <c r="A966">
        <f>'Production Plan'!B954</f>
        <v/>
      </c>
      <c r="B966" s="3">
        <f>VLOOKUP(A966,'Production Plan'!B:Q,14,FALSE)</f>
        <v/>
      </c>
    </row>
    <row r="967" hidden="1">
      <c r="A967">
        <f>'Production Plan'!B955</f>
        <v/>
      </c>
      <c r="B967" s="3">
        <f>VLOOKUP(A967,'Production Plan'!B:Q,14,FALSE)</f>
        <v/>
      </c>
    </row>
    <row r="968" hidden="1">
      <c r="A968">
        <f>'Production Plan'!B956</f>
        <v/>
      </c>
      <c r="B968" s="3">
        <f>VLOOKUP(A968,'Production Plan'!B:Q,14,FALSE)</f>
        <v/>
      </c>
    </row>
    <row r="969" hidden="1">
      <c r="A969">
        <f>'Production Plan'!B957</f>
        <v/>
      </c>
      <c r="B969" s="3">
        <f>VLOOKUP(A969,'Production Plan'!B:Q,14,FALSE)</f>
        <v/>
      </c>
    </row>
    <row r="970" hidden="1">
      <c r="A970">
        <f>'Production Plan'!B958</f>
        <v/>
      </c>
      <c r="B970" s="3">
        <f>VLOOKUP(A970,'Production Plan'!B:Q,14,FALSE)</f>
        <v/>
      </c>
    </row>
    <row r="971" hidden="1">
      <c r="A971">
        <f>'Production Plan'!B959</f>
        <v/>
      </c>
      <c r="B971" s="3">
        <f>VLOOKUP(A971,'Production Plan'!B:Q,14,FALSE)</f>
        <v/>
      </c>
    </row>
    <row r="972" hidden="1">
      <c r="A972">
        <f>'Production Plan'!B960</f>
        <v/>
      </c>
      <c r="B972" s="3">
        <f>VLOOKUP(A972,'Production Plan'!B:Q,14,FALSE)</f>
        <v/>
      </c>
    </row>
    <row r="973" hidden="1">
      <c r="A973">
        <f>'Production Plan'!B961</f>
        <v/>
      </c>
      <c r="B973" s="3">
        <f>VLOOKUP(A973,'Production Plan'!B:Q,14,FALSE)</f>
        <v/>
      </c>
    </row>
    <row r="974" hidden="1">
      <c r="A974">
        <f>'Production Plan'!B962</f>
        <v/>
      </c>
      <c r="B974" s="3">
        <f>VLOOKUP(A974,'Production Plan'!B:Q,14,FALSE)</f>
        <v/>
      </c>
    </row>
    <row r="975" hidden="1">
      <c r="A975">
        <f>'Production Plan'!B963</f>
        <v/>
      </c>
      <c r="B975" s="3">
        <f>VLOOKUP(A975,'Production Plan'!B:Q,14,FALSE)</f>
        <v/>
      </c>
    </row>
    <row r="976" hidden="1">
      <c r="A976">
        <f>'Production Plan'!B964</f>
        <v/>
      </c>
      <c r="B976" s="3">
        <f>VLOOKUP(A976,'Production Plan'!B:Q,14,FALSE)</f>
        <v/>
      </c>
    </row>
    <row r="977" hidden="1">
      <c r="A977">
        <f>'Production Plan'!B965</f>
        <v/>
      </c>
      <c r="B977" s="3">
        <f>VLOOKUP(A977,'Production Plan'!B:Q,14,FALSE)</f>
        <v/>
      </c>
    </row>
    <row r="978" hidden="1">
      <c r="A978">
        <f>'Production Plan'!B966</f>
        <v/>
      </c>
      <c r="B978" s="3">
        <f>VLOOKUP(A978,'Production Plan'!B:Q,14,FALSE)</f>
        <v/>
      </c>
    </row>
    <row r="979" hidden="1">
      <c r="A979">
        <f>'Production Plan'!B967</f>
        <v/>
      </c>
      <c r="B979" s="3">
        <f>VLOOKUP(A979,'Production Plan'!B:Q,14,FALSE)</f>
        <v/>
      </c>
    </row>
    <row r="980" hidden="1">
      <c r="A980">
        <f>'Production Plan'!B968</f>
        <v/>
      </c>
      <c r="B980" s="3">
        <f>VLOOKUP(A980,'Production Plan'!B:Q,14,FALSE)</f>
        <v/>
      </c>
    </row>
    <row r="981" hidden="1">
      <c r="A981">
        <f>'Production Plan'!B969</f>
        <v/>
      </c>
      <c r="B981" s="3">
        <f>VLOOKUP(A981,'Production Plan'!B:Q,14,FALSE)</f>
        <v/>
      </c>
    </row>
    <row r="982" hidden="1">
      <c r="A982">
        <f>'Production Plan'!B970</f>
        <v/>
      </c>
      <c r="B982" s="3">
        <f>VLOOKUP(A982,'Production Plan'!B:Q,14,FALSE)</f>
        <v/>
      </c>
    </row>
    <row r="983" hidden="1">
      <c r="A983">
        <f>'Production Plan'!B971</f>
        <v/>
      </c>
      <c r="B983" s="3">
        <f>VLOOKUP(A983,'Production Plan'!B:Q,14,FALSE)</f>
        <v/>
      </c>
    </row>
    <row r="984" hidden="1">
      <c r="A984">
        <f>'Production Plan'!B972</f>
        <v/>
      </c>
      <c r="B984" s="3">
        <f>VLOOKUP(A984,'Production Plan'!B:Q,14,FALSE)</f>
        <v/>
      </c>
    </row>
    <row r="985" hidden="1">
      <c r="A985">
        <f>'Production Plan'!B973</f>
        <v/>
      </c>
      <c r="B985" s="3">
        <f>VLOOKUP(A985,'Production Plan'!B:Q,14,FALSE)</f>
        <v/>
      </c>
    </row>
    <row r="986" hidden="1">
      <c r="A986">
        <f>'Production Plan'!B974</f>
        <v/>
      </c>
      <c r="B986" s="3">
        <f>VLOOKUP(A986,'Production Plan'!B:Q,14,FALSE)</f>
        <v/>
      </c>
    </row>
    <row r="987" hidden="1">
      <c r="A987">
        <f>'Production Plan'!B975</f>
        <v/>
      </c>
      <c r="B987" s="3">
        <f>VLOOKUP(A987,'Production Plan'!B:Q,14,FALSE)</f>
        <v/>
      </c>
    </row>
    <row r="988" hidden="1">
      <c r="A988">
        <f>'Production Plan'!B976</f>
        <v/>
      </c>
      <c r="B988" s="3">
        <f>VLOOKUP(A988,'Production Plan'!B:Q,14,FALSE)</f>
        <v/>
      </c>
    </row>
    <row r="989" hidden="1">
      <c r="A989">
        <f>'Production Plan'!B977</f>
        <v/>
      </c>
      <c r="B989" s="3">
        <f>VLOOKUP(A989,'Production Plan'!B:Q,14,FALSE)</f>
        <v/>
      </c>
    </row>
    <row r="990" hidden="1">
      <c r="A990">
        <f>'Production Plan'!B978</f>
        <v/>
      </c>
      <c r="B990" s="3">
        <f>VLOOKUP(A990,'Production Plan'!B:Q,14,FALSE)</f>
        <v/>
      </c>
    </row>
    <row r="991" hidden="1">
      <c r="A991">
        <f>'Production Plan'!B979</f>
        <v/>
      </c>
      <c r="B991" s="3">
        <f>VLOOKUP(A991,'Production Plan'!B:Q,14,FALSE)</f>
        <v/>
      </c>
    </row>
    <row r="992" hidden="1">
      <c r="A992">
        <f>'Production Plan'!B980</f>
        <v/>
      </c>
      <c r="B992" s="3">
        <f>VLOOKUP(A992,'Production Plan'!B:Q,14,FALSE)</f>
        <v/>
      </c>
    </row>
    <row r="993" hidden="1">
      <c r="A993">
        <f>'Production Plan'!B981</f>
        <v/>
      </c>
      <c r="B993" s="3">
        <f>VLOOKUP(A993,'Production Plan'!B:Q,14,FALSE)</f>
        <v/>
      </c>
    </row>
    <row r="994" hidden="1">
      <c r="A994">
        <f>'Production Plan'!B982</f>
        <v/>
      </c>
      <c r="B994" s="3">
        <f>VLOOKUP(A994,'Production Plan'!B:Q,14,FALSE)</f>
        <v/>
      </c>
    </row>
    <row r="995" hidden="1">
      <c r="A995">
        <f>'Production Plan'!B983</f>
        <v/>
      </c>
      <c r="B995" s="3">
        <f>VLOOKUP(A995,'Production Plan'!B:Q,14,FALSE)</f>
        <v/>
      </c>
    </row>
    <row r="996" hidden="1">
      <c r="A996">
        <f>'Production Plan'!B984</f>
        <v/>
      </c>
      <c r="B996" s="3">
        <f>VLOOKUP(A996,'Production Plan'!B:Q,14,FALSE)</f>
        <v/>
      </c>
    </row>
    <row r="997" hidden="1">
      <c r="A997">
        <f>'Production Plan'!B985</f>
        <v/>
      </c>
      <c r="B997" s="3">
        <f>VLOOKUP(A997,'Production Plan'!B:Q,14,FALSE)</f>
        <v/>
      </c>
    </row>
    <row r="998" hidden="1">
      <c r="A998">
        <f>'Production Plan'!B986</f>
        <v/>
      </c>
      <c r="B998" s="3">
        <f>VLOOKUP(A998,'Production Plan'!B:Q,14,FALSE)</f>
        <v/>
      </c>
    </row>
    <row r="999" hidden="1">
      <c r="A999">
        <f>'Production Plan'!B987</f>
        <v/>
      </c>
      <c r="B999" s="3">
        <f>VLOOKUP(A999,'Production Plan'!B:Q,14,FALSE)</f>
        <v/>
      </c>
    </row>
    <row r="1000" hidden="1">
      <c r="A1000">
        <f>'Production Plan'!B988</f>
        <v/>
      </c>
      <c r="B1000" s="3">
        <f>VLOOKUP(A1000,'Production Plan'!B:Q,14,FALSE)</f>
        <v/>
      </c>
    </row>
    <row r="1001">
      <c r="A1001" s="3" t="n"/>
      <c r="B1001" s="3" t="n"/>
      <c r="C1001" s="3" t="n"/>
      <c r="D1001" s="3" t="n"/>
      <c r="E1001" s="3" t="n"/>
      <c r="F1001" s="3" t="n"/>
      <c r="G1001" s="3" t="n"/>
      <c r="H1001" s="8" t="n"/>
      <c r="I1001" s="3" t="n"/>
      <c r="J1001" s="3" t="n"/>
    </row>
    <row r="1002">
      <c r="A1002" s="3" t="n"/>
      <c r="B1002" s="3" t="n"/>
      <c r="C1002" s="3" t="n"/>
      <c r="D1002" s="3" t="n"/>
      <c r="E1002" s="3" t="n"/>
      <c r="F1002" s="3" t="n"/>
      <c r="G1002" s="3" t="n"/>
      <c r="H1002" s="8" t="n"/>
      <c r="I1002" s="3" t="n"/>
      <c r="J1002" s="3" t="n"/>
    </row>
    <row r="1003">
      <c r="A1003" s="3" t="n"/>
      <c r="B1003" s="3" t="n"/>
      <c r="C1003" s="3" t="n"/>
      <c r="D1003" s="3" t="n"/>
      <c r="E1003" s="3" t="n"/>
      <c r="F1003" s="3" t="n"/>
      <c r="G1003" s="3" t="n"/>
      <c r="H1003" s="8" t="n"/>
      <c r="I1003" s="3" t="n"/>
      <c r="J1003" s="3" t="n"/>
    </row>
    <row r="1004">
      <c r="A1004" s="3" t="n"/>
      <c r="B1004" s="3" t="n"/>
      <c r="C1004" s="3" t="n"/>
      <c r="D1004" s="3" t="n"/>
      <c r="E1004" s="3" t="n"/>
      <c r="F1004" s="3" t="n"/>
      <c r="G1004" s="3" t="n"/>
      <c r="H1004" s="8" t="n"/>
      <c r="I1004" s="3" t="n"/>
      <c r="J1004" s="3" t="n"/>
    </row>
    <row r="1005">
      <c r="A1005" s="3" t="n"/>
      <c r="B1005" s="3" t="n"/>
      <c r="C1005" s="3" t="n"/>
      <c r="D1005" s="3" t="n"/>
      <c r="E1005" s="3" t="n"/>
      <c r="F1005" s="3" t="n"/>
      <c r="G1005" s="3" t="n"/>
      <c r="H1005" s="8" t="n"/>
      <c r="I1005" s="3" t="n"/>
      <c r="J1005" s="3" t="n"/>
    </row>
    <row r="1006">
      <c r="A1006" s="3" t="n"/>
      <c r="B1006" s="3" t="n"/>
      <c r="C1006" s="3" t="n"/>
      <c r="D1006" s="3" t="n"/>
      <c r="E1006" s="3" t="n"/>
      <c r="F1006" s="3" t="n"/>
      <c r="G1006" s="3" t="n"/>
      <c r="H1006" s="8" t="n"/>
      <c r="I1006" s="3" t="n"/>
      <c r="J1006" s="3" t="n"/>
    </row>
    <row r="1007">
      <c r="A1007" s="3" t="n"/>
      <c r="B1007" s="3" t="n"/>
      <c r="C1007" s="3" t="n"/>
      <c r="D1007" s="3" t="n"/>
      <c r="E1007" s="3" t="n"/>
      <c r="F1007" s="3" t="n"/>
      <c r="G1007" s="3" t="n"/>
      <c r="H1007" s="8" t="n"/>
      <c r="I1007" s="3" t="n"/>
      <c r="J1007" s="3" t="n"/>
    </row>
    <row r="1008">
      <c r="A1008" s="3" t="n"/>
      <c r="B1008" s="3" t="n"/>
      <c r="C1008" s="3" t="n"/>
      <c r="D1008" s="3" t="n"/>
      <c r="E1008" s="3" t="n"/>
      <c r="F1008" s="3" t="n"/>
      <c r="G1008" s="3" t="n"/>
      <c r="H1008" s="8" t="n"/>
      <c r="I1008" s="3" t="n"/>
      <c r="J1008" s="3" t="n"/>
    </row>
    <row r="1009">
      <c r="A1009" s="3" t="n"/>
      <c r="B1009" s="3" t="n"/>
      <c r="C1009" s="3" t="n"/>
      <c r="D1009" s="3" t="n"/>
      <c r="E1009" s="3" t="n"/>
      <c r="F1009" s="3" t="n"/>
      <c r="G1009" s="3" t="n"/>
      <c r="H1009" s="8" t="n"/>
      <c r="I1009" s="3" t="n"/>
      <c r="J1009" s="3" t="n"/>
    </row>
  </sheetData>
  <autoFilter ref="A1:L1000">
    <filterColumn colId="1" hiddenButton="0" showButton="1">
      <filters>
        <filter val="Yes"/>
      </filters>
    </filterColumn>
  </autoFilter>
  <dataValidations count="1">
    <dataValidation sqref="E2:E1048576" showDropDown="0" showInputMessage="1" showErrorMessage="1" allowBlank="1" type="list">
      <formula1>"Disqualification/Non-conditional,Decreases chances of winning,No effect"</formula1>
    </dataValidation>
  </dataValidation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M453"/>
  <sheetViews>
    <sheetView workbookViewId="0">
      <selection activeCell="N457" sqref="N457"/>
    </sheetView>
  </sheetViews>
  <sheetFormatPr baseColWidth="8" defaultRowHeight="16"/>
  <cols>
    <col width="6.4609375" bestFit="1" customWidth="1" min="1" max="1"/>
    <col width="8.3046875" bestFit="1" customWidth="1" min="2" max="2"/>
    <col width="40.69140625" customWidth="1" min="3" max="3"/>
    <col width="20.07421875" bestFit="1" customWidth="1" min="4" max="4"/>
    <col width="27.84375" bestFit="1" customWidth="1" min="5" max="5"/>
    <col width="29.53515625" bestFit="1" customWidth="1" min="6" max="6"/>
    <col width="31.07421875" customWidth="1" min="7" max="8"/>
    <col width="32.3046875" bestFit="1" customWidth="1" min="9" max="9"/>
    <col width="19.4609375" customWidth="1" min="10" max="10"/>
    <col width="13" bestFit="1" customWidth="1" min="11" max="11"/>
    <col width="46.07421875" bestFit="1" customWidth="1" min="12" max="12"/>
  </cols>
  <sheetData>
    <row r="1">
      <c r="A1" s="4" t="inlineStr">
        <is>
          <t>Req ID</t>
        </is>
      </c>
      <c r="B1" s="4" t="inlineStr">
        <is>
          <t>Included</t>
        </is>
      </c>
      <c r="C1" s="4" t="inlineStr">
        <is>
          <t>Requirement</t>
        </is>
      </c>
      <c r="D1" s="4" t="inlineStr">
        <is>
          <t>Risk Element</t>
        </is>
      </c>
      <c r="E1" s="4" t="inlineStr">
        <is>
          <t>Severity</t>
        </is>
      </c>
      <c r="F1" s="4" t="inlineStr">
        <is>
          <t>Issue description</t>
        </is>
      </c>
      <c r="G1" s="4" t="inlineStr">
        <is>
          <t>Mitigation</t>
        </is>
      </c>
      <c r="H1" s="4" t="inlineStr">
        <is>
          <t>Comment</t>
        </is>
      </c>
      <c r="I1" s="4" t="inlineStr">
        <is>
          <t>Decision</t>
        </is>
      </c>
      <c r="J1" s="4" t="inlineStr">
        <is>
          <t>Decider</t>
        </is>
      </c>
      <c r="K1" s="4" t="inlineStr">
        <is>
          <t>Decision date</t>
        </is>
      </c>
      <c r="L1" s="4" t="inlineStr">
        <is>
          <t>Conditions for Approval</t>
        </is>
      </c>
      <c r="M1" s="4" t="inlineStr">
        <is>
          <t>Reporter</t>
        </is>
      </c>
    </row>
    <row r="2">
      <c r="A2" s="3">
        <f>'Production Plan'!B2</f>
        <v/>
      </c>
      <c r="B2" s="3">
        <f>VLOOKUP(A2,'Production Plan'!B:R,15,FALSE)</f>
        <v/>
      </c>
      <c r="C2" s="3">
        <f>VLOOKUP(A2,'Production Plan'!B:F,5,FALSE)</f>
        <v/>
      </c>
      <c r="D2" s="3" t="inlineStr">
        <is>
          <t>Describe</t>
        </is>
      </c>
      <c r="E2" s="3" t="inlineStr">
        <is>
          <t>High</t>
        </is>
      </c>
      <c r="F2" s="3" t="inlineStr">
        <is>
          <t>Issue as we may risk fines</t>
        </is>
      </c>
      <c r="G2" s="3" t="inlineStr">
        <is>
          <t>Buffer in price</t>
        </is>
      </c>
      <c r="H2" s="3" t="n"/>
      <c r="I2" s="3" t="inlineStr">
        <is>
          <t>Go-ahead - dependent upon mitigation</t>
        </is>
      </c>
      <c r="J2" s="3" t="inlineStr">
        <is>
          <t>Name</t>
        </is>
      </c>
      <c r="K2" s="8" t="n">
        <v>46023</v>
      </c>
      <c r="L2" s="3" t="inlineStr">
        <is>
          <t>Actions in mitigation must be done.</t>
        </is>
      </c>
      <c r="M2" s="3" t="n"/>
    </row>
    <row r="3">
      <c r="A3" s="3">
        <f>'Production Plan'!B3</f>
        <v/>
      </c>
      <c r="B3" s="3">
        <f>VLOOKUP(A3,'Production Plan'!B:R,15,FALSE)</f>
        <v/>
      </c>
      <c r="C3" s="3">
        <f>VLOOKUP(A3,'Production Plan'!B:F,5,FALSE)</f>
        <v/>
      </c>
      <c r="D3" s="3" t="inlineStr">
        <is>
          <t>Describe</t>
        </is>
      </c>
      <c r="E3" s="3" t="inlineStr">
        <is>
          <t>Medium</t>
        </is>
      </c>
      <c r="F3" s="3" t="inlineStr">
        <is>
          <t>Big risk of scope creep</t>
        </is>
      </c>
      <c r="G3" s="3" t="inlineStr">
        <is>
          <t>Clear statement of work in Clarification phase</t>
        </is>
      </c>
      <c r="H3" s="3" t="n"/>
      <c r="I3" s="3" t="inlineStr">
        <is>
          <t>Go ahead - attempt to mitigate</t>
        </is>
      </c>
      <c r="J3" s="3" t="inlineStr">
        <is>
          <t>Name</t>
        </is>
      </c>
      <c r="K3" s="8" t="n">
        <v>46023</v>
      </c>
      <c r="L3" s="3" t="inlineStr">
        <is>
          <t>Attempt to mitigate, but go ahead, even if unsuccessful.</t>
        </is>
      </c>
      <c r="M3" s="3" t="n"/>
    </row>
    <row r="4" hidden="1">
      <c r="A4" s="3">
        <f>'Production Plan'!B4</f>
        <v/>
      </c>
      <c r="B4" s="3">
        <f>VLOOKUP(A4,'Production Plan'!B:R,15,FALSE)</f>
        <v/>
      </c>
      <c r="C4" s="3">
        <f>VLOOKUP(A4,'Production Plan'!B:F,5,FALSE)</f>
        <v/>
      </c>
      <c r="D4" s="3" t="n"/>
      <c r="E4" s="3" t="n"/>
      <c r="F4" s="3" t="n"/>
      <c r="G4" s="3" t="n"/>
      <c r="H4" s="3" t="n"/>
      <c r="I4" s="3" t="n"/>
      <c r="J4" s="3" t="n"/>
      <c r="K4" s="3" t="n"/>
      <c r="L4" s="3" t="n"/>
    </row>
    <row r="5">
      <c r="A5" s="3">
        <f>'Production Plan'!B5</f>
        <v/>
      </c>
      <c r="B5" s="3">
        <f>VLOOKUP(A5,'Production Plan'!B:R,15,FALSE)</f>
        <v/>
      </c>
      <c r="C5" s="3">
        <f>VLOOKUP(A5,'Production Plan'!B:F,5,FALSE)</f>
        <v/>
      </c>
      <c r="D5" s="3" t="inlineStr">
        <is>
          <t>Describe</t>
        </is>
      </c>
      <c r="E5" s="3" t="inlineStr">
        <is>
          <t>Low</t>
        </is>
      </c>
      <c r="F5" s="3" t="inlineStr">
        <is>
          <t>We can be sued</t>
        </is>
      </c>
      <c r="G5" s="3" t="inlineStr">
        <is>
          <t>We add a line in the contract.</t>
        </is>
      </c>
      <c r="H5" s="3" t="inlineStr">
        <is>
          <t>This is a very unlikely scenario.</t>
        </is>
      </c>
      <c r="I5" s="3" t="inlineStr">
        <is>
          <t>Go ahead - disregard risk</t>
        </is>
      </c>
      <c r="J5" s="3" t="inlineStr">
        <is>
          <t>Name</t>
        </is>
      </c>
      <c r="K5" s="8" t="n">
        <v>46023</v>
      </c>
      <c r="L5" s="3" t="inlineStr">
        <is>
          <t>As it is unlikely - we take the risk.</t>
        </is>
      </c>
      <c r="M5" s="3" t="n"/>
    </row>
    <row r="6" hidden="1">
      <c r="A6" s="3">
        <f>'Production Plan'!B6</f>
        <v/>
      </c>
      <c r="B6" s="3">
        <f>VLOOKUP(A6,'Production Plan'!B:R,15,FALSE)</f>
        <v/>
      </c>
      <c r="C6" s="3">
        <f>VLOOKUP(A6,'Production Plan'!B:F,5,FALSE)</f>
        <v/>
      </c>
      <c r="D6" s="3" t="n"/>
      <c r="E6" s="3" t="n"/>
      <c r="F6" s="3" t="n"/>
      <c r="G6" s="3" t="n"/>
      <c r="H6" s="3" t="n"/>
      <c r="I6" s="3" t="n"/>
      <c r="J6" s="3" t="n"/>
      <c r="K6" s="8" t="n"/>
      <c r="L6" s="3" t="n"/>
    </row>
    <row r="7">
      <c r="A7" s="3">
        <f>'Production Plan'!B7</f>
        <v/>
      </c>
      <c r="B7" s="3">
        <f>VLOOKUP(A7,'Production Plan'!B:R,15,FALSE)</f>
        <v/>
      </c>
      <c r="C7" s="3">
        <f>VLOOKUP(A7,'Production Plan'!B:F,5,FALSE)</f>
        <v/>
      </c>
      <c r="D7" s="3" t="inlineStr">
        <is>
          <t>Describe</t>
        </is>
      </c>
      <c r="E7" s="3" t="inlineStr">
        <is>
          <t>High</t>
        </is>
      </c>
      <c r="F7" s="3" t="inlineStr">
        <is>
          <t>We are unable to meet requirement</t>
        </is>
      </c>
      <c r="G7" s="3" t="inlineStr">
        <is>
          <t>We build a new module</t>
        </is>
      </c>
      <c r="H7" s="3" t="inlineStr">
        <is>
          <t>Their budget is not big enough for this.</t>
        </is>
      </c>
      <c r="I7" s="3" t="inlineStr">
        <is>
          <t>No bid</t>
        </is>
      </c>
      <c r="J7" s="3" t="inlineStr">
        <is>
          <t>Name</t>
        </is>
      </c>
      <c r="K7" s="8" t="n">
        <v>46023</v>
      </c>
      <c r="L7" s="3" t="inlineStr">
        <is>
          <t>-</t>
        </is>
      </c>
      <c r="M7" s="3" t="n"/>
    </row>
    <row r="8" hidden="1">
      <c r="A8" s="3">
        <f>'Production Plan'!B8</f>
        <v/>
      </c>
      <c r="B8" s="3">
        <f>VLOOKUP(A8,'Production Plan'!B:R,15,FALSE)</f>
        <v/>
      </c>
      <c r="C8" s="3">
        <f>VLOOKUP(A8,'Production Plan'!B:F,5,FALSE)</f>
        <v/>
      </c>
      <c r="D8" s="3" t="n"/>
      <c r="E8" s="3" t="n"/>
      <c r="F8" s="3" t="n"/>
      <c r="G8" s="3" t="n"/>
      <c r="H8" s="3" t="n"/>
      <c r="I8" s="3" t="n"/>
      <c r="J8" s="3" t="n"/>
      <c r="K8" s="8" t="n"/>
      <c r="L8" s="3" t="n"/>
    </row>
    <row r="9" hidden="1">
      <c r="A9" s="3">
        <f>'Production Plan'!B9</f>
        <v/>
      </c>
      <c r="B9" s="3">
        <f>VLOOKUP(A9,'Production Plan'!B:R,15,FALSE)</f>
        <v/>
      </c>
      <c r="C9" s="3">
        <f>VLOOKUP(A9,'Production Plan'!B:F,5,FALSE)</f>
        <v/>
      </c>
      <c r="D9" s="3" t="n"/>
      <c r="E9" s="3" t="n"/>
      <c r="F9" s="3" t="n"/>
      <c r="G9" s="3" t="n"/>
      <c r="H9" s="3" t="n"/>
      <c r="I9" s="3" t="n"/>
      <c r="J9" s="3" t="n"/>
      <c r="K9" s="8" t="n"/>
      <c r="L9" s="3" t="n"/>
    </row>
    <row r="10" hidden="1">
      <c r="A10" s="3">
        <f>'Production Plan'!B10</f>
        <v/>
      </c>
      <c r="B10" s="3">
        <f>VLOOKUP(A10,'Production Plan'!B:R,15,FALSE)</f>
        <v/>
      </c>
      <c r="C10" s="3">
        <f>VLOOKUP(A10,'Production Plan'!B:F,5,FALSE)</f>
        <v/>
      </c>
      <c r="D10" s="3" t="n"/>
      <c r="E10" s="3" t="n"/>
      <c r="F10" s="3" t="n"/>
      <c r="G10" s="3" t="n"/>
      <c r="H10" s="3" t="n"/>
      <c r="I10" s="3" t="n"/>
      <c r="J10" s="3" t="n"/>
      <c r="K10" s="8" t="n"/>
      <c r="L10" s="3" t="n"/>
    </row>
    <row r="11" hidden="1">
      <c r="A11" s="3">
        <f>'Production Plan'!B11</f>
        <v/>
      </c>
      <c r="B11" s="3">
        <f>VLOOKUP(A11,'Production Plan'!B:R,15,FALSE)</f>
        <v/>
      </c>
      <c r="C11" s="3">
        <f>VLOOKUP(A11,'Production Plan'!B:F,5,FALSE)</f>
        <v/>
      </c>
      <c r="D11" s="3" t="n"/>
      <c r="E11" s="3" t="n"/>
      <c r="F11" s="3" t="n"/>
      <c r="G11" s="3" t="n"/>
      <c r="H11" s="3" t="n"/>
      <c r="I11" s="3" t="n"/>
      <c r="J11" s="3" t="n"/>
      <c r="K11" s="8" t="n"/>
      <c r="L11" s="3" t="n"/>
    </row>
    <row r="12" hidden="1">
      <c r="A12" s="3">
        <f>'Production Plan'!B12</f>
        <v/>
      </c>
      <c r="B12" s="3">
        <f>VLOOKUP(A12,'Production Plan'!B:R,15,FALSE)</f>
        <v/>
      </c>
      <c r="C12" s="3">
        <f>VLOOKUP(A12,'Production Plan'!B:F,5,FALSE)</f>
        <v/>
      </c>
    </row>
    <row r="13" hidden="1">
      <c r="A13" s="3">
        <f>'Production Plan'!B13</f>
        <v/>
      </c>
      <c r="B13" s="3">
        <f>VLOOKUP(A13,'Production Plan'!B:R,15,FALSE)</f>
        <v/>
      </c>
      <c r="C13" s="3">
        <f>VLOOKUP(A13,'Production Plan'!B:F,5,FALSE)</f>
        <v/>
      </c>
    </row>
    <row r="14" hidden="1">
      <c r="A14" s="3">
        <f>'Production Plan'!B14</f>
        <v/>
      </c>
      <c r="B14" s="3">
        <f>VLOOKUP(A14,'Production Plan'!B:R,15,FALSE)</f>
        <v/>
      </c>
      <c r="C14" s="3">
        <f>VLOOKUP(A14,'Production Plan'!B:F,5,FALSE)</f>
        <v/>
      </c>
    </row>
    <row r="15" hidden="1">
      <c r="A15" s="3">
        <f>'Production Plan'!B15</f>
        <v/>
      </c>
      <c r="B15" s="3">
        <f>VLOOKUP(A15,'Production Plan'!B:R,15,FALSE)</f>
        <v/>
      </c>
      <c r="C15" s="3">
        <f>VLOOKUP(A15,'Production Plan'!B:F,5,FALSE)</f>
        <v/>
      </c>
    </row>
    <row r="16" hidden="1">
      <c r="A16" s="3">
        <f>'Production Plan'!B16</f>
        <v/>
      </c>
      <c r="B16" s="3">
        <f>VLOOKUP(A16,'Production Plan'!B:R,15,FALSE)</f>
        <v/>
      </c>
      <c r="C16" s="3">
        <f>VLOOKUP(A16,'Production Plan'!B:F,5,FALSE)</f>
        <v/>
      </c>
    </row>
    <row r="17" hidden="1">
      <c r="A17" s="3">
        <f>'Production Plan'!B17</f>
        <v/>
      </c>
      <c r="B17" s="3">
        <f>VLOOKUP(A17,'Production Plan'!B:R,15,FALSE)</f>
        <v/>
      </c>
      <c r="C17" s="3">
        <f>VLOOKUP(A17,'Production Plan'!B:F,5,FALSE)</f>
        <v/>
      </c>
    </row>
    <row r="18" hidden="1">
      <c r="A18" s="3">
        <f>'Production Plan'!B18</f>
        <v/>
      </c>
      <c r="B18" s="3">
        <f>VLOOKUP(A18,'Production Plan'!B:R,15,FALSE)</f>
        <v/>
      </c>
      <c r="C18" s="3">
        <f>VLOOKUP(A18,'Production Plan'!B:F,5,FALSE)</f>
        <v/>
      </c>
    </row>
    <row r="19" hidden="1">
      <c r="A19" s="3">
        <f>'Production Plan'!B19</f>
        <v/>
      </c>
      <c r="B19" s="3">
        <f>VLOOKUP(A19,'Production Plan'!B:R,15,FALSE)</f>
        <v/>
      </c>
      <c r="C19" s="3">
        <f>VLOOKUP(A19,'Production Plan'!B:F,5,FALSE)</f>
        <v/>
      </c>
    </row>
    <row r="20" hidden="1">
      <c r="A20" s="3">
        <f>'Production Plan'!B20</f>
        <v/>
      </c>
      <c r="B20" s="3">
        <f>VLOOKUP(A20,'Production Plan'!B:R,15,FALSE)</f>
        <v/>
      </c>
      <c r="C20" s="3">
        <f>VLOOKUP(A20,'Production Plan'!B:F,5,FALSE)</f>
        <v/>
      </c>
    </row>
    <row r="21" hidden="1">
      <c r="A21" s="3">
        <f>'Production Plan'!B21</f>
        <v/>
      </c>
      <c r="B21" s="3">
        <f>VLOOKUP(A21,'Production Plan'!B:R,15,FALSE)</f>
        <v/>
      </c>
      <c r="C21" s="3">
        <f>VLOOKUP(A21,'Production Plan'!B:F,5,FALSE)</f>
        <v/>
      </c>
    </row>
    <row r="22" hidden="1">
      <c r="A22" s="3">
        <f>'Production Plan'!B22</f>
        <v/>
      </c>
      <c r="B22" s="3">
        <f>VLOOKUP(A22,'Production Plan'!B:R,15,FALSE)</f>
        <v/>
      </c>
      <c r="C22" s="3">
        <f>VLOOKUP(A22,'Production Plan'!B:F,5,FALSE)</f>
        <v/>
      </c>
    </row>
    <row r="23" hidden="1">
      <c r="A23" s="3">
        <f>'Production Plan'!B23</f>
        <v/>
      </c>
      <c r="B23" s="3">
        <f>VLOOKUP(A23,'Production Plan'!B:R,15,FALSE)</f>
        <v/>
      </c>
      <c r="C23" s="3">
        <f>VLOOKUP(A23,'Production Plan'!B:F,5,FALSE)</f>
        <v/>
      </c>
    </row>
    <row r="24" hidden="1">
      <c r="A24" s="3">
        <f>'Production Plan'!B24</f>
        <v/>
      </c>
      <c r="B24" s="3">
        <f>VLOOKUP(A24,'Production Plan'!B:R,15,FALSE)</f>
        <v/>
      </c>
      <c r="C24" s="3">
        <f>VLOOKUP(A24,'Production Plan'!B:F,5,FALSE)</f>
        <v/>
      </c>
    </row>
    <row r="25" hidden="1">
      <c r="A25" s="3">
        <f>'Production Plan'!B25</f>
        <v/>
      </c>
      <c r="B25" s="3">
        <f>VLOOKUP(A25,'Production Plan'!B:R,15,FALSE)</f>
        <v/>
      </c>
      <c r="C25" s="3">
        <f>VLOOKUP(A25,'Production Plan'!B:F,5,FALSE)</f>
        <v/>
      </c>
    </row>
    <row r="26" hidden="1">
      <c r="A26" s="3">
        <f>'Production Plan'!B26</f>
        <v/>
      </c>
      <c r="B26" s="3">
        <f>VLOOKUP(A26,'Production Plan'!B:R,15,FALSE)</f>
        <v/>
      </c>
      <c r="C26" s="3">
        <f>VLOOKUP(A26,'Production Plan'!B:F,5,FALSE)</f>
        <v/>
      </c>
    </row>
    <row r="27" hidden="1">
      <c r="A27" s="3">
        <f>'Production Plan'!B27</f>
        <v/>
      </c>
      <c r="B27" s="3">
        <f>VLOOKUP(A27,'Production Plan'!B:R,15,FALSE)</f>
        <v/>
      </c>
      <c r="C27" s="3">
        <f>VLOOKUP(A27,'Production Plan'!B:F,5,FALSE)</f>
        <v/>
      </c>
    </row>
    <row r="28" hidden="1">
      <c r="A28" s="3">
        <f>'Production Plan'!B28</f>
        <v/>
      </c>
      <c r="B28" s="3">
        <f>VLOOKUP(A28,'Production Plan'!B:R,15,FALSE)</f>
        <v/>
      </c>
      <c r="C28" s="3">
        <f>VLOOKUP(A28,'Production Plan'!B:F,5,FALSE)</f>
        <v/>
      </c>
    </row>
    <row r="29" hidden="1">
      <c r="A29" s="3">
        <f>'Production Plan'!B29</f>
        <v/>
      </c>
      <c r="B29" s="3">
        <f>VLOOKUP(A29,'Production Plan'!B:R,15,FALSE)</f>
        <v/>
      </c>
      <c r="C29" s="3">
        <f>VLOOKUP(A29,'Production Plan'!B:F,5,FALSE)</f>
        <v/>
      </c>
    </row>
    <row r="30" hidden="1">
      <c r="A30" s="3">
        <f>'Production Plan'!B30</f>
        <v/>
      </c>
      <c r="B30" s="3">
        <f>VLOOKUP(A30,'Production Plan'!B:R,15,FALSE)</f>
        <v/>
      </c>
      <c r="C30" s="3">
        <f>VLOOKUP(A30,'Production Plan'!B:F,5,FALSE)</f>
        <v/>
      </c>
    </row>
    <row r="31" hidden="1">
      <c r="A31" s="3">
        <f>'Production Plan'!B31</f>
        <v/>
      </c>
      <c r="B31" s="3">
        <f>VLOOKUP(A31,'Production Plan'!B:R,15,FALSE)</f>
        <v/>
      </c>
      <c r="C31" s="3">
        <f>VLOOKUP(A31,'Production Plan'!B:F,5,FALSE)</f>
        <v/>
      </c>
    </row>
    <row r="32" hidden="1">
      <c r="A32" s="3">
        <f>'Production Plan'!B32</f>
        <v/>
      </c>
      <c r="B32" s="3">
        <f>VLOOKUP(A32,'Production Plan'!B:R,15,FALSE)</f>
        <v/>
      </c>
      <c r="C32" s="3">
        <f>VLOOKUP(A32,'Production Plan'!B:F,5,FALSE)</f>
        <v/>
      </c>
    </row>
    <row r="33" hidden="1">
      <c r="A33" s="3">
        <f>'Production Plan'!B33</f>
        <v/>
      </c>
      <c r="B33" s="3">
        <f>VLOOKUP(A33,'Production Plan'!B:R,15,FALSE)</f>
        <v/>
      </c>
      <c r="C33" s="3">
        <f>VLOOKUP(A33,'Production Plan'!B:F,5,FALSE)</f>
        <v/>
      </c>
    </row>
    <row r="34" hidden="1">
      <c r="A34" s="3">
        <f>'Production Plan'!B34</f>
        <v/>
      </c>
      <c r="B34" s="3">
        <f>VLOOKUP(A34,'Production Plan'!B:R,15,FALSE)</f>
        <v/>
      </c>
      <c r="C34" s="3">
        <f>VLOOKUP(A34,'Production Plan'!B:F,5,FALSE)</f>
        <v/>
      </c>
    </row>
    <row r="35" hidden="1">
      <c r="A35" s="3">
        <f>'Production Plan'!B35</f>
        <v/>
      </c>
      <c r="B35" s="3">
        <f>VLOOKUP(A35,'Production Plan'!B:R,15,FALSE)</f>
        <v/>
      </c>
      <c r="C35" s="3">
        <f>VLOOKUP(A35,'Production Plan'!B:F,5,FALSE)</f>
        <v/>
      </c>
    </row>
    <row r="36" hidden="1">
      <c r="A36" s="3">
        <f>'Production Plan'!B36</f>
        <v/>
      </c>
      <c r="B36" s="3">
        <f>VLOOKUP(A36,'Production Plan'!B:R,15,FALSE)</f>
        <v/>
      </c>
      <c r="C36" s="3">
        <f>VLOOKUP(A36,'Production Plan'!B:F,5,FALSE)</f>
        <v/>
      </c>
    </row>
    <row r="37" hidden="1">
      <c r="A37" s="3">
        <f>'Production Plan'!B37</f>
        <v/>
      </c>
      <c r="B37" s="3">
        <f>VLOOKUP(A37,'Production Plan'!B:R,15,FALSE)</f>
        <v/>
      </c>
      <c r="C37" s="3">
        <f>VLOOKUP(A37,'Production Plan'!B:F,5,FALSE)</f>
        <v/>
      </c>
    </row>
    <row r="38" hidden="1">
      <c r="A38" s="3">
        <f>'Production Plan'!B38</f>
        <v/>
      </c>
      <c r="B38" s="3">
        <f>VLOOKUP(A38,'Production Plan'!B:R,15,FALSE)</f>
        <v/>
      </c>
      <c r="C38" s="3">
        <f>VLOOKUP(A38,'Production Plan'!B:F,5,FALSE)</f>
        <v/>
      </c>
    </row>
    <row r="39" hidden="1">
      <c r="A39" s="3">
        <f>'Production Plan'!B39</f>
        <v/>
      </c>
      <c r="B39" s="3">
        <f>VLOOKUP(A39,'Production Plan'!B:R,15,FALSE)</f>
        <v/>
      </c>
      <c r="C39" s="3">
        <f>VLOOKUP(A39,'Production Plan'!B:F,5,FALSE)</f>
        <v/>
      </c>
    </row>
    <row r="40" hidden="1">
      <c r="A40" s="3">
        <f>'Production Plan'!B40</f>
        <v/>
      </c>
      <c r="B40" s="3">
        <f>VLOOKUP(A40,'Production Plan'!B:R,15,FALSE)</f>
        <v/>
      </c>
      <c r="C40" s="3">
        <f>VLOOKUP(A40,'Production Plan'!B:F,5,FALSE)</f>
        <v/>
      </c>
    </row>
    <row r="41" hidden="1">
      <c r="A41" s="3">
        <f>'Production Plan'!B41</f>
        <v/>
      </c>
      <c r="B41" s="3">
        <f>VLOOKUP(A41,'Production Plan'!B:R,15,FALSE)</f>
        <v/>
      </c>
      <c r="C41" s="3">
        <f>VLOOKUP(A41,'Production Plan'!B:F,5,FALSE)</f>
        <v/>
      </c>
    </row>
    <row r="42" hidden="1">
      <c r="A42" s="3">
        <f>'Production Plan'!B42</f>
        <v/>
      </c>
      <c r="B42" s="3">
        <f>VLOOKUP(A42,'Production Plan'!B:R,15,FALSE)</f>
        <v/>
      </c>
      <c r="C42" s="3">
        <f>VLOOKUP(A42,'Production Plan'!B:F,5,FALSE)</f>
        <v/>
      </c>
    </row>
    <row r="43" hidden="1">
      <c r="A43" s="3">
        <f>'Production Plan'!B43</f>
        <v/>
      </c>
      <c r="B43" s="3">
        <f>VLOOKUP(A43,'Production Plan'!B:R,15,FALSE)</f>
        <v/>
      </c>
      <c r="C43" s="3">
        <f>VLOOKUP(A43,'Production Plan'!B:F,5,FALSE)</f>
        <v/>
      </c>
    </row>
    <row r="44" hidden="1">
      <c r="A44" s="3">
        <f>'Production Plan'!B44</f>
        <v/>
      </c>
      <c r="B44" s="3">
        <f>VLOOKUP(A44,'Production Plan'!B:R,15,FALSE)</f>
        <v/>
      </c>
      <c r="C44" s="3">
        <f>VLOOKUP(A44,'Production Plan'!B:F,5,FALSE)</f>
        <v/>
      </c>
    </row>
    <row r="45" hidden="1">
      <c r="A45" s="3">
        <f>'Production Plan'!B45</f>
        <v/>
      </c>
      <c r="B45" s="3">
        <f>VLOOKUP(A45,'Production Plan'!B:R,15,FALSE)</f>
        <v/>
      </c>
      <c r="C45" s="3">
        <f>VLOOKUP(A45,'Production Plan'!B:F,5,FALSE)</f>
        <v/>
      </c>
    </row>
    <row r="46" hidden="1">
      <c r="A46" s="3">
        <f>'Production Plan'!B46</f>
        <v/>
      </c>
      <c r="B46" s="3">
        <f>VLOOKUP(A46,'Production Plan'!B:R,15,FALSE)</f>
        <v/>
      </c>
      <c r="C46" s="3">
        <f>VLOOKUP(A46,'Production Plan'!B:F,5,FALSE)</f>
        <v/>
      </c>
    </row>
    <row r="47" hidden="1">
      <c r="A47" s="3">
        <f>'Production Plan'!B47</f>
        <v/>
      </c>
      <c r="B47" s="3">
        <f>VLOOKUP(A47,'Production Plan'!B:R,15,FALSE)</f>
        <v/>
      </c>
      <c r="C47" s="3">
        <f>VLOOKUP(A47,'Production Plan'!B:F,5,FALSE)</f>
        <v/>
      </c>
    </row>
    <row r="48" hidden="1">
      <c r="A48" s="3">
        <f>'Production Plan'!B48</f>
        <v/>
      </c>
      <c r="B48" s="3">
        <f>VLOOKUP(A48,'Production Plan'!B:R,15,FALSE)</f>
        <v/>
      </c>
      <c r="C48" s="3">
        <f>VLOOKUP(A48,'Production Plan'!B:F,5,FALSE)</f>
        <v/>
      </c>
    </row>
    <row r="49" hidden="1">
      <c r="A49" s="3">
        <f>'Production Plan'!B49</f>
        <v/>
      </c>
      <c r="B49" s="3">
        <f>VLOOKUP(A49,'Production Plan'!B:R,15,FALSE)</f>
        <v/>
      </c>
      <c r="C49" s="3">
        <f>VLOOKUP(A49,'Production Plan'!B:F,5,FALSE)</f>
        <v/>
      </c>
    </row>
    <row r="50" hidden="1">
      <c r="A50" s="3">
        <f>'Production Plan'!B50</f>
        <v/>
      </c>
      <c r="B50" s="3">
        <f>VLOOKUP(A50,'Production Plan'!B:R,15,FALSE)</f>
        <v/>
      </c>
      <c r="C50" s="3">
        <f>VLOOKUP(A50,'Production Plan'!B:F,5,FALSE)</f>
        <v/>
      </c>
    </row>
    <row r="51" hidden="1">
      <c r="A51" s="3">
        <f>'Production Plan'!B51</f>
        <v/>
      </c>
      <c r="B51" s="3">
        <f>VLOOKUP(A51,'Production Plan'!B:R,15,FALSE)</f>
        <v/>
      </c>
      <c r="C51" s="3">
        <f>VLOOKUP(A51,'Production Plan'!B:F,5,FALSE)</f>
        <v/>
      </c>
    </row>
    <row r="52" hidden="1">
      <c r="A52" s="3">
        <f>'Production Plan'!B52</f>
        <v/>
      </c>
      <c r="B52" s="3">
        <f>VLOOKUP(A52,'Production Plan'!B:R,15,FALSE)</f>
        <v/>
      </c>
      <c r="C52" s="3">
        <f>VLOOKUP(A52,'Production Plan'!B:F,5,FALSE)</f>
        <v/>
      </c>
    </row>
    <row r="53" hidden="1">
      <c r="A53" s="3">
        <f>'Production Plan'!B53</f>
        <v/>
      </c>
      <c r="B53" s="3">
        <f>VLOOKUP(A53,'Production Plan'!B:R,15,FALSE)</f>
        <v/>
      </c>
      <c r="C53" s="3">
        <f>VLOOKUP(A53,'Production Plan'!B:F,5,FALSE)</f>
        <v/>
      </c>
    </row>
    <row r="54" hidden="1">
      <c r="A54" s="3">
        <f>'Production Plan'!B54</f>
        <v/>
      </c>
      <c r="B54" s="3">
        <f>VLOOKUP(A54,'Production Plan'!B:R,15,FALSE)</f>
        <v/>
      </c>
      <c r="C54" s="3">
        <f>VLOOKUP(A54,'Production Plan'!B:F,5,FALSE)</f>
        <v/>
      </c>
    </row>
    <row r="55" hidden="1">
      <c r="A55" s="3">
        <f>'Production Plan'!B55</f>
        <v/>
      </c>
      <c r="B55" s="3">
        <f>VLOOKUP(A55,'Production Plan'!B:R,15,FALSE)</f>
        <v/>
      </c>
      <c r="C55" s="3">
        <f>VLOOKUP(A55,'Production Plan'!B:F,5,FALSE)</f>
        <v/>
      </c>
    </row>
    <row r="56" hidden="1">
      <c r="A56" s="3">
        <f>'Production Plan'!B56</f>
        <v/>
      </c>
      <c r="B56" s="3">
        <f>VLOOKUP(A56,'Production Plan'!B:R,15,FALSE)</f>
        <v/>
      </c>
      <c r="C56" s="3">
        <f>VLOOKUP(A56,'Production Plan'!B:F,5,FALSE)</f>
        <v/>
      </c>
    </row>
    <row r="57" hidden="1">
      <c r="A57" s="3">
        <f>'Production Plan'!B57</f>
        <v/>
      </c>
      <c r="B57" s="3">
        <f>VLOOKUP(A57,'Production Plan'!B:R,15,FALSE)</f>
        <v/>
      </c>
      <c r="C57" s="3">
        <f>VLOOKUP(A57,'Production Plan'!B:F,5,FALSE)</f>
        <v/>
      </c>
    </row>
    <row r="58" hidden="1">
      <c r="A58" s="3">
        <f>'Production Plan'!B58</f>
        <v/>
      </c>
      <c r="B58" s="3">
        <f>VLOOKUP(A58,'Production Plan'!B:R,15,FALSE)</f>
        <v/>
      </c>
      <c r="C58" s="3">
        <f>VLOOKUP(A58,'Production Plan'!B:F,5,FALSE)</f>
        <v/>
      </c>
    </row>
    <row r="59" hidden="1">
      <c r="A59" s="3">
        <f>'Production Plan'!B59</f>
        <v/>
      </c>
      <c r="B59" s="3">
        <f>VLOOKUP(A59,'Production Plan'!B:R,15,FALSE)</f>
        <v/>
      </c>
      <c r="C59" s="3">
        <f>VLOOKUP(A59,'Production Plan'!B:F,5,FALSE)</f>
        <v/>
      </c>
    </row>
    <row r="60" hidden="1">
      <c r="A60" s="3">
        <f>'Production Plan'!B60</f>
        <v/>
      </c>
      <c r="B60" s="3">
        <f>VLOOKUP(A60,'Production Plan'!B:R,15,FALSE)</f>
        <v/>
      </c>
      <c r="C60" s="3">
        <f>VLOOKUP(A60,'Production Plan'!B:F,5,FALSE)</f>
        <v/>
      </c>
    </row>
    <row r="61" hidden="1">
      <c r="A61" s="3">
        <f>'Production Plan'!B61</f>
        <v/>
      </c>
      <c r="B61" s="3">
        <f>VLOOKUP(A61,'Production Plan'!B:R,15,FALSE)</f>
        <v/>
      </c>
      <c r="C61" s="3">
        <f>VLOOKUP(A61,'Production Plan'!B:F,5,FALSE)</f>
        <v/>
      </c>
    </row>
    <row r="62" hidden="1">
      <c r="A62" s="3">
        <f>'Production Plan'!B62</f>
        <v/>
      </c>
      <c r="B62" s="3">
        <f>VLOOKUP(A62,'Production Plan'!B:R,15,FALSE)</f>
        <v/>
      </c>
      <c r="C62" s="3">
        <f>VLOOKUP(A62,'Production Plan'!B:F,5,FALSE)</f>
        <v/>
      </c>
    </row>
    <row r="63" hidden="1">
      <c r="A63" s="3">
        <f>'Production Plan'!B63</f>
        <v/>
      </c>
      <c r="B63" s="3">
        <f>VLOOKUP(A63,'Production Plan'!B:R,15,FALSE)</f>
        <v/>
      </c>
      <c r="C63" s="3">
        <f>VLOOKUP(A63,'Production Plan'!B:F,5,FALSE)</f>
        <v/>
      </c>
    </row>
    <row r="64" hidden="1">
      <c r="A64" s="3">
        <f>'Production Plan'!B64</f>
        <v/>
      </c>
      <c r="B64" s="3">
        <f>VLOOKUP(A64,'Production Plan'!B:R,15,FALSE)</f>
        <v/>
      </c>
      <c r="C64" s="3">
        <f>VLOOKUP(A64,'Production Plan'!B:F,5,FALSE)</f>
        <v/>
      </c>
    </row>
    <row r="65" hidden="1">
      <c r="A65" s="3">
        <f>'Production Plan'!B65</f>
        <v/>
      </c>
      <c r="B65" s="3">
        <f>VLOOKUP(A65,'Production Plan'!B:R,15,FALSE)</f>
        <v/>
      </c>
      <c r="C65" s="3">
        <f>VLOOKUP(A65,'Production Plan'!B:F,5,FALSE)</f>
        <v/>
      </c>
    </row>
    <row r="66" hidden="1">
      <c r="A66" s="3">
        <f>'Production Plan'!B66</f>
        <v/>
      </c>
      <c r="B66" s="3">
        <f>VLOOKUP(A66,'Production Plan'!B:R,15,FALSE)</f>
        <v/>
      </c>
      <c r="C66" s="3">
        <f>VLOOKUP(A66,'Production Plan'!B:F,5,FALSE)</f>
        <v/>
      </c>
    </row>
    <row r="67" hidden="1">
      <c r="A67" s="3">
        <f>'Production Plan'!B67</f>
        <v/>
      </c>
      <c r="B67" s="3">
        <f>VLOOKUP(A67,'Production Plan'!B:R,15,FALSE)</f>
        <v/>
      </c>
      <c r="C67" s="3">
        <f>VLOOKUP(A67,'Production Plan'!B:F,5,FALSE)</f>
        <v/>
      </c>
    </row>
    <row r="68" hidden="1">
      <c r="A68" s="3">
        <f>'Production Plan'!B68</f>
        <v/>
      </c>
      <c r="B68" s="3">
        <f>VLOOKUP(A68,'Production Plan'!B:R,15,FALSE)</f>
        <v/>
      </c>
      <c r="C68" s="3">
        <f>VLOOKUP(A68,'Production Plan'!B:F,5,FALSE)</f>
        <v/>
      </c>
    </row>
    <row r="69" hidden="1">
      <c r="A69" s="3">
        <f>'Production Plan'!B69</f>
        <v/>
      </c>
      <c r="B69" s="3">
        <f>VLOOKUP(A69,'Production Plan'!B:R,15,FALSE)</f>
        <v/>
      </c>
      <c r="C69" s="3">
        <f>VLOOKUP(A69,'Production Plan'!B:F,5,FALSE)</f>
        <v/>
      </c>
    </row>
    <row r="70" hidden="1">
      <c r="A70" s="3">
        <f>'Production Plan'!B70</f>
        <v/>
      </c>
      <c r="B70" s="3">
        <f>VLOOKUP(A70,'Production Plan'!B:R,15,FALSE)</f>
        <v/>
      </c>
      <c r="C70" s="3">
        <f>VLOOKUP(A70,'Production Plan'!B:F,5,FALSE)</f>
        <v/>
      </c>
    </row>
    <row r="71" hidden="1">
      <c r="A71" s="3">
        <f>'Production Plan'!B71</f>
        <v/>
      </c>
      <c r="B71" s="3">
        <f>VLOOKUP(A71,'Production Plan'!B:R,15,FALSE)</f>
        <v/>
      </c>
      <c r="C71" s="3">
        <f>VLOOKUP(A71,'Production Plan'!B:F,5,FALSE)</f>
        <v/>
      </c>
    </row>
    <row r="72" hidden="1">
      <c r="A72" s="3">
        <f>'Production Plan'!B72</f>
        <v/>
      </c>
      <c r="B72" s="3">
        <f>VLOOKUP(A72,'Production Plan'!B:R,15,FALSE)</f>
        <v/>
      </c>
      <c r="C72" s="3">
        <f>VLOOKUP(A72,'Production Plan'!B:F,5,FALSE)</f>
        <v/>
      </c>
    </row>
    <row r="73" hidden="1">
      <c r="A73" s="3">
        <f>'Production Plan'!B73</f>
        <v/>
      </c>
      <c r="B73" s="3">
        <f>VLOOKUP(A73,'Production Plan'!B:R,15,FALSE)</f>
        <v/>
      </c>
      <c r="C73" s="3">
        <f>VLOOKUP(A73,'Production Plan'!B:F,5,FALSE)</f>
        <v/>
      </c>
    </row>
    <row r="74" hidden="1">
      <c r="A74" s="3">
        <f>'Production Plan'!B74</f>
        <v/>
      </c>
      <c r="B74" s="3">
        <f>VLOOKUP(A74,'Production Plan'!B:R,15,FALSE)</f>
        <v/>
      </c>
      <c r="C74" s="3">
        <f>VLOOKUP(A74,'Production Plan'!B:F,5,FALSE)</f>
        <v/>
      </c>
    </row>
    <row r="75" hidden="1">
      <c r="A75" s="3">
        <f>'Production Plan'!B75</f>
        <v/>
      </c>
      <c r="B75" s="3">
        <f>VLOOKUP(A75,'Production Plan'!B:R,15,FALSE)</f>
        <v/>
      </c>
      <c r="C75" s="3">
        <f>VLOOKUP(A75,'Production Plan'!B:F,5,FALSE)</f>
        <v/>
      </c>
    </row>
    <row r="76" hidden="1">
      <c r="A76" s="3">
        <f>'Production Plan'!B76</f>
        <v/>
      </c>
      <c r="B76" s="3">
        <f>VLOOKUP(A76,'Production Plan'!B:R,15,FALSE)</f>
        <v/>
      </c>
      <c r="C76" s="3">
        <f>VLOOKUP(A76,'Production Plan'!B:F,5,FALSE)</f>
        <v/>
      </c>
    </row>
    <row r="77" hidden="1">
      <c r="A77" s="3">
        <f>'Production Plan'!B77</f>
        <v/>
      </c>
      <c r="B77" s="3">
        <f>VLOOKUP(A77,'Production Plan'!B:R,15,FALSE)</f>
        <v/>
      </c>
      <c r="C77" s="3">
        <f>VLOOKUP(A77,'Production Plan'!B:F,5,FALSE)</f>
        <v/>
      </c>
    </row>
    <row r="78" hidden="1">
      <c r="A78" s="3">
        <f>'Production Plan'!B78</f>
        <v/>
      </c>
      <c r="B78" s="3">
        <f>VLOOKUP(A78,'Production Plan'!B:R,15,FALSE)</f>
        <v/>
      </c>
      <c r="C78" s="3">
        <f>VLOOKUP(A78,'Production Plan'!B:F,5,FALSE)</f>
        <v/>
      </c>
    </row>
    <row r="79" hidden="1">
      <c r="A79" s="3">
        <f>'Production Plan'!B79</f>
        <v/>
      </c>
      <c r="B79" s="3">
        <f>VLOOKUP(A79,'Production Plan'!B:R,15,FALSE)</f>
        <v/>
      </c>
      <c r="C79" s="3">
        <f>VLOOKUP(A79,'Production Plan'!B:F,5,FALSE)</f>
        <v/>
      </c>
    </row>
    <row r="80" hidden="1">
      <c r="A80" s="3">
        <f>'Production Plan'!B80</f>
        <v/>
      </c>
      <c r="B80" s="3">
        <f>VLOOKUP(A80,'Production Plan'!B:R,15,FALSE)</f>
        <v/>
      </c>
      <c r="C80" s="3">
        <f>VLOOKUP(A80,'Production Plan'!B:F,5,FALSE)</f>
        <v/>
      </c>
    </row>
    <row r="81" hidden="1">
      <c r="A81" s="3">
        <f>'Production Plan'!B81</f>
        <v/>
      </c>
      <c r="B81" s="3">
        <f>VLOOKUP(A81,'Production Plan'!B:R,15,FALSE)</f>
        <v/>
      </c>
      <c r="C81" s="3">
        <f>VLOOKUP(A81,'Production Plan'!B:F,5,FALSE)</f>
        <v/>
      </c>
    </row>
    <row r="82" hidden="1">
      <c r="A82" s="3">
        <f>'Production Plan'!B82</f>
        <v/>
      </c>
      <c r="B82" s="3">
        <f>VLOOKUP(A82,'Production Plan'!B:R,15,FALSE)</f>
        <v/>
      </c>
      <c r="C82" s="3">
        <f>VLOOKUP(A82,'Production Plan'!B:F,5,FALSE)</f>
        <v/>
      </c>
    </row>
    <row r="83" hidden="1">
      <c r="A83" s="3">
        <f>'Production Plan'!B83</f>
        <v/>
      </c>
      <c r="B83" s="3">
        <f>VLOOKUP(A83,'Production Plan'!B:R,15,FALSE)</f>
        <v/>
      </c>
      <c r="C83" s="3">
        <f>VLOOKUP(A83,'Production Plan'!B:F,5,FALSE)</f>
        <v/>
      </c>
    </row>
    <row r="84" hidden="1">
      <c r="A84" s="3">
        <f>'Production Plan'!B84</f>
        <v/>
      </c>
      <c r="B84" s="3">
        <f>VLOOKUP(A84,'Production Plan'!B:R,15,FALSE)</f>
        <v/>
      </c>
      <c r="C84" s="3">
        <f>VLOOKUP(A84,'Production Plan'!B:F,5,FALSE)</f>
        <v/>
      </c>
    </row>
    <row r="85" hidden="1">
      <c r="A85" s="3">
        <f>'Production Plan'!B85</f>
        <v/>
      </c>
      <c r="B85" s="3">
        <f>VLOOKUP(A85,'Production Plan'!B:R,15,FALSE)</f>
        <v/>
      </c>
      <c r="C85" s="3">
        <f>VLOOKUP(A85,'Production Plan'!B:F,5,FALSE)</f>
        <v/>
      </c>
    </row>
    <row r="86" hidden="1">
      <c r="A86" s="3">
        <f>'Production Plan'!B86</f>
        <v/>
      </c>
      <c r="B86" s="3">
        <f>VLOOKUP(A86,'Production Plan'!B:R,15,FALSE)</f>
        <v/>
      </c>
      <c r="C86" s="3">
        <f>VLOOKUP(A86,'Production Plan'!B:F,5,FALSE)</f>
        <v/>
      </c>
    </row>
    <row r="87" hidden="1">
      <c r="A87" s="3">
        <f>'Production Plan'!B87</f>
        <v/>
      </c>
      <c r="B87" s="3">
        <f>VLOOKUP(A87,'Production Plan'!B:R,15,FALSE)</f>
        <v/>
      </c>
      <c r="C87" s="3">
        <f>VLOOKUP(A87,'Production Plan'!B:F,5,FALSE)</f>
        <v/>
      </c>
    </row>
    <row r="88" hidden="1">
      <c r="A88" s="3">
        <f>'Production Plan'!B88</f>
        <v/>
      </c>
      <c r="B88" s="3">
        <f>VLOOKUP(A88,'Production Plan'!B:R,15,FALSE)</f>
        <v/>
      </c>
      <c r="C88" s="3">
        <f>VLOOKUP(A88,'Production Plan'!B:F,5,FALSE)</f>
        <v/>
      </c>
    </row>
    <row r="89" hidden="1">
      <c r="A89" s="3">
        <f>'Production Plan'!B89</f>
        <v/>
      </c>
      <c r="B89" s="3">
        <f>VLOOKUP(A89,'Production Plan'!B:R,15,FALSE)</f>
        <v/>
      </c>
      <c r="C89" s="3">
        <f>VLOOKUP(A89,'Production Plan'!B:F,5,FALSE)</f>
        <v/>
      </c>
    </row>
    <row r="90" hidden="1">
      <c r="A90" s="3">
        <f>'Production Plan'!B90</f>
        <v/>
      </c>
      <c r="B90" s="3">
        <f>VLOOKUP(A90,'Production Plan'!B:R,15,FALSE)</f>
        <v/>
      </c>
      <c r="C90" s="3">
        <f>VLOOKUP(A90,'Production Plan'!B:F,5,FALSE)</f>
        <v/>
      </c>
    </row>
    <row r="91" hidden="1">
      <c r="A91" s="3">
        <f>'Production Plan'!B91</f>
        <v/>
      </c>
      <c r="B91" s="3">
        <f>VLOOKUP(A91,'Production Plan'!B:R,15,FALSE)</f>
        <v/>
      </c>
      <c r="C91" s="3">
        <f>VLOOKUP(A91,'Production Plan'!B:F,5,FALSE)</f>
        <v/>
      </c>
    </row>
    <row r="92" hidden="1">
      <c r="A92" s="3">
        <f>'Production Plan'!B92</f>
        <v/>
      </c>
      <c r="B92" s="3">
        <f>VLOOKUP(A92,'Production Plan'!B:R,15,FALSE)</f>
        <v/>
      </c>
      <c r="C92" s="3">
        <f>VLOOKUP(A92,'Production Plan'!B:F,5,FALSE)</f>
        <v/>
      </c>
    </row>
    <row r="93" hidden="1">
      <c r="A93" s="3">
        <f>'Production Plan'!B93</f>
        <v/>
      </c>
      <c r="B93" s="3">
        <f>VLOOKUP(A93,'Production Plan'!B:R,15,FALSE)</f>
        <v/>
      </c>
      <c r="C93" s="3">
        <f>VLOOKUP(A93,'Production Plan'!B:F,5,FALSE)</f>
        <v/>
      </c>
    </row>
    <row r="94" hidden="1">
      <c r="A94" s="3">
        <f>'Production Plan'!B94</f>
        <v/>
      </c>
      <c r="B94" s="3">
        <f>VLOOKUP(A94,'Production Plan'!B:R,15,FALSE)</f>
        <v/>
      </c>
      <c r="C94" s="3">
        <f>VLOOKUP(A94,'Production Plan'!B:F,5,FALSE)</f>
        <v/>
      </c>
    </row>
    <row r="95" hidden="1">
      <c r="A95" s="3">
        <f>'Production Plan'!B95</f>
        <v/>
      </c>
      <c r="B95" s="3">
        <f>VLOOKUP(A95,'Production Plan'!B:R,15,FALSE)</f>
        <v/>
      </c>
      <c r="C95" s="3">
        <f>VLOOKUP(A95,'Production Plan'!B:F,5,FALSE)</f>
        <v/>
      </c>
    </row>
    <row r="96" hidden="1">
      <c r="A96" s="3">
        <f>'Production Plan'!B96</f>
        <v/>
      </c>
      <c r="B96" s="3">
        <f>VLOOKUP(A96,'Production Plan'!B:R,15,FALSE)</f>
        <v/>
      </c>
      <c r="C96" s="3">
        <f>VLOOKUP(A96,'Production Plan'!B:F,5,FALSE)</f>
        <v/>
      </c>
    </row>
    <row r="97" hidden="1">
      <c r="A97" s="3">
        <f>'Production Plan'!B97</f>
        <v/>
      </c>
      <c r="B97" s="3">
        <f>VLOOKUP(A97,'Production Plan'!B:R,15,FALSE)</f>
        <v/>
      </c>
      <c r="C97" s="3">
        <f>VLOOKUP(A97,'Production Plan'!B:F,5,FALSE)</f>
        <v/>
      </c>
    </row>
    <row r="98" hidden="1">
      <c r="A98" s="3">
        <f>'Production Plan'!B98</f>
        <v/>
      </c>
      <c r="B98" s="3">
        <f>VLOOKUP(A98,'Production Plan'!B:R,15,FALSE)</f>
        <v/>
      </c>
      <c r="C98" s="3">
        <f>VLOOKUP(A98,'Production Plan'!B:F,5,FALSE)</f>
        <v/>
      </c>
    </row>
    <row r="99" hidden="1">
      <c r="A99" s="3">
        <f>'Production Plan'!B99</f>
        <v/>
      </c>
      <c r="B99" s="3">
        <f>VLOOKUP(A99,'Production Plan'!B:R,15,FALSE)</f>
        <v/>
      </c>
      <c r="C99" s="3">
        <f>VLOOKUP(A99,'Production Plan'!B:F,5,FALSE)</f>
        <v/>
      </c>
    </row>
    <row r="100" hidden="1">
      <c r="A100" s="3">
        <f>'Production Plan'!B100</f>
        <v/>
      </c>
      <c r="B100" s="3">
        <f>VLOOKUP(A100,'Production Plan'!B:R,15,FALSE)</f>
        <v/>
      </c>
      <c r="C100" s="3">
        <f>VLOOKUP(A100,'Production Plan'!B:F,5,FALSE)</f>
        <v/>
      </c>
    </row>
    <row r="101" hidden="1">
      <c r="A101" s="3">
        <f>'Production Plan'!B101</f>
        <v/>
      </c>
      <c r="B101" s="3">
        <f>VLOOKUP(A101,'Production Plan'!B:R,15,FALSE)</f>
        <v/>
      </c>
      <c r="C101" s="3">
        <f>VLOOKUP(A101,'Production Plan'!B:F,5,FALSE)</f>
        <v/>
      </c>
    </row>
    <row r="102" hidden="1">
      <c r="A102" s="3">
        <f>'Production Plan'!B102</f>
        <v/>
      </c>
      <c r="B102" s="3">
        <f>VLOOKUP(A102,'Production Plan'!B:R,15,FALSE)</f>
        <v/>
      </c>
      <c r="C102" s="3">
        <f>VLOOKUP(A102,'Production Plan'!B:F,5,FALSE)</f>
        <v/>
      </c>
    </row>
    <row r="103" hidden="1">
      <c r="A103" s="3">
        <f>'Production Plan'!B103</f>
        <v/>
      </c>
      <c r="B103" s="3">
        <f>VLOOKUP(A103,'Production Plan'!B:R,15,FALSE)</f>
        <v/>
      </c>
      <c r="C103" s="3">
        <f>VLOOKUP(A103,'Production Plan'!B:F,5,FALSE)</f>
        <v/>
      </c>
    </row>
    <row r="104" hidden="1">
      <c r="A104" s="3">
        <f>'Production Plan'!B104</f>
        <v/>
      </c>
      <c r="B104" s="3">
        <f>VLOOKUP(A104,'Production Plan'!B:R,15,FALSE)</f>
        <v/>
      </c>
      <c r="C104" s="3">
        <f>VLOOKUP(A104,'Production Plan'!B:F,5,FALSE)</f>
        <v/>
      </c>
    </row>
    <row r="105" hidden="1">
      <c r="A105" s="3">
        <f>'Production Plan'!B105</f>
        <v/>
      </c>
      <c r="B105" s="3">
        <f>VLOOKUP(A105,'Production Plan'!B:R,15,FALSE)</f>
        <v/>
      </c>
      <c r="C105" s="3">
        <f>VLOOKUP(A105,'Production Plan'!B:F,5,FALSE)</f>
        <v/>
      </c>
    </row>
    <row r="106" hidden="1">
      <c r="A106" s="3">
        <f>'Production Plan'!B106</f>
        <v/>
      </c>
      <c r="B106" s="3">
        <f>VLOOKUP(A106,'Production Plan'!B:R,15,FALSE)</f>
        <v/>
      </c>
      <c r="C106" s="3">
        <f>VLOOKUP(A106,'Production Plan'!B:F,5,FALSE)</f>
        <v/>
      </c>
    </row>
    <row r="107" hidden="1">
      <c r="A107" s="3">
        <f>'Production Plan'!B107</f>
        <v/>
      </c>
      <c r="B107" s="3">
        <f>VLOOKUP(A107,'Production Plan'!B:R,15,FALSE)</f>
        <v/>
      </c>
      <c r="C107" s="3">
        <f>VLOOKUP(A107,'Production Plan'!B:F,5,FALSE)</f>
        <v/>
      </c>
    </row>
    <row r="108" hidden="1">
      <c r="A108" s="3">
        <f>'Production Plan'!B108</f>
        <v/>
      </c>
      <c r="B108" s="3">
        <f>VLOOKUP(A108,'Production Plan'!B:R,15,FALSE)</f>
        <v/>
      </c>
      <c r="C108" s="3">
        <f>VLOOKUP(A108,'Production Plan'!B:F,5,FALSE)</f>
        <v/>
      </c>
    </row>
    <row r="109" hidden="1">
      <c r="A109" s="3">
        <f>'Production Plan'!B109</f>
        <v/>
      </c>
      <c r="B109" s="3">
        <f>VLOOKUP(A109,'Production Plan'!B:R,15,FALSE)</f>
        <v/>
      </c>
      <c r="C109" s="3">
        <f>VLOOKUP(A109,'Production Plan'!B:F,5,FALSE)</f>
        <v/>
      </c>
    </row>
    <row r="110" hidden="1">
      <c r="A110" s="3">
        <f>'Production Plan'!B110</f>
        <v/>
      </c>
      <c r="B110" s="3">
        <f>VLOOKUP(A110,'Production Plan'!B:R,15,FALSE)</f>
        <v/>
      </c>
      <c r="C110" s="3">
        <f>VLOOKUP(A110,'Production Plan'!B:F,5,FALSE)</f>
        <v/>
      </c>
    </row>
    <row r="111" hidden="1">
      <c r="A111" s="3">
        <f>'Production Plan'!B111</f>
        <v/>
      </c>
      <c r="B111" s="3">
        <f>VLOOKUP(A111,'Production Plan'!B:R,15,FALSE)</f>
        <v/>
      </c>
      <c r="C111" s="3">
        <f>VLOOKUP(A111,'Production Plan'!B:F,5,FALSE)</f>
        <v/>
      </c>
    </row>
    <row r="112" hidden="1">
      <c r="A112" s="3">
        <f>'Production Plan'!B112</f>
        <v/>
      </c>
      <c r="B112" s="3">
        <f>VLOOKUP(A112,'Production Plan'!B:R,15,FALSE)</f>
        <v/>
      </c>
      <c r="C112" s="3">
        <f>VLOOKUP(A112,'Production Plan'!B:F,5,FALSE)</f>
        <v/>
      </c>
    </row>
    <row r="113" hidden="1">
      <c r="A113" s="3">
        <f>'Production Plan'!B113</f>
        <v/>
      </c>
      <c r="B113" s="3">
        <f>VLOOKUP(A113,'Production Plan'!B:R,15,FALSE)</f>
        <v/>
      </c>
      <c r="C113" s="3">
        <f>VLOOKUP(A113,'Production Plan'!B:F,5,FALSE)</f>
        <v/>
      </c>
    </row>
    <row r="114" hidden="1">
      <c r="A114" s="3">
        <f>'Production Plan'!B114</f>
        <v/>
      </c>
      <c r="B114" s="3">
        <f>VLOOKUP(A114,'Production Plan'!B:R,15,FALSE)</f>
        <v/>
      </c>
      <c r="C114" s="3">
        <f>VLOOKUP(A114,'Production Plan'!B:F,5,FALSE)</f>
        <v/>
      </c>
    </row>
    <row r="115" hidden="1">
      <c r="A115" s="3">
        <f>'Production Plan'!B115</f>
        <v/>
      </c>
      <c r="B115" s="3">
        <f>VLOOKUP(A115,'Production Plan'!B:R,15,FALSE)</f>
        <v/>
      </c>
      <c r="C115" s="3">
        <f>VLOOKUP(A115,'Production Plan'!B:F,5,FALSE)</f>
        <v/>
      </c>
    </row>
    <row r="116" hidden="1">
      <c r="A116" s="3">
        <f>'Production Plan'!B116</f>
        <v/>
      </c>
      <c r="B116" s="3">
        <f>VLOOKUP(A116,'Production Plan'!B:R,15,FALSE)</f>
        <v/>
      </c>
      <c r="C116" s="3">
        <f>VLOOKUP(A116,'Production Plan'!B:F,5,FALSE)</f>
        <v/>
      </c>
    </row>
    <row r="117" hidden="1">
      <c r="A117" s="3">
        <f>'Production Plan'!B117</f>
        <v/>
      </c>
      <c r="B117" s="3">
        <f>VLOOKUP(A117,'Production Plan'!B:R,15,FALSE)</f>
        <v/>
      </c>
      <c r="C117" s="3">
        <f>VLOOKUP(A117,'Production Plan'!B:F,5,FALSE)</f>
        <v/>
      </c>
    </row>
    <row r="118" hidden="1">
      <c r="A118" s="3">
        <f>'Production Plan'!B118</f>
        <v/>
      </c>
      <c r="B118" s="3">
        <f>VLOOKUP(A118,'Production Plan'!B:R,15,FALSE)</f>
        <v/>
      </c>
      <c r="C118" s="3">
        <f>VLOOKUP(A118,'Production Plan'!B:F,5,FALSE)</f>
        <v/>
      </c>
    </row>
    <row r="119" hidden="1">
      <c r="A119" s="3">
        <f>'Production Plan'!B119</f>
        <v/>
      </c>
      <c r="B119" s="3">
        <f>VLOOKUP(A119,'Production Plan'!B:R,15,FALSE)</f>
        <v/>
      </c>
      <c r="C119" s="3">
        <f>VLOOKUP(A119,'Production Plan'!B:F,5,FALSE)</f>
        <v/>
      </c>
    </row>
    <row r="120" hidden="1">
      <c r="A120" s="3">
        <f>'Production Plan'!B120</f>
        <v/>
      </c>
      <c r="B120" s="3">
        <f>VLOOKUP(A120,'Production Plan'!B:R,15,FALSE)</f>
        <v/>
      </c>
      <c r="C120" s="3">
        <f>VLOOKUP(A120,'Production Plan'!B:F,5,FALSE)</f>
        <v/>
      </c>
    </row>
    <row r="121" hidden="1">
      <c r="A121" s="3">
        <f>'Production Plan'!B121</f>
        <v/>
      </c>
      <c r="B121" s="3">
        <f>VLOOKUP(A121,'Production Plan'!B:R,15,FALSE)</f>
        <v/>
      </c>
      <c r="C121" s="3">
        <f>VLOOKUP(A121,'Production Plan'!B:F,5,FALSE)</f>
        <v/>
      </c>
    </row>
    <row r="122" hidden="1">
      <c r="A122" s="3">
        <f>'Production Plan'!B122</f>
        <v/>
      </c>
      <c r="B122" s="3">
        <f>VLOOKUP(A122,'Production Plan'!B:R,15,FALSE)</f>
        <v/>
      </c>
      <c r="C122" s="3">
        <f>VLOOKUP(A122,'Production Plan'!B:F,5,FALSE)</f>
        <v/>
      </c>
    </row>
    <row r="123" hidden="1">
      <c r="A123" s="3">
        <f>'Production Plan'!B123</f>
        <v/>
      </c>
      <c r="B123" s="3">
        <f>VLOOKUP(A123,'Production Plan'!B:R,15,FALSE)</f>
        <v/>
      </c>
      <c r="C123" s="3">
        <f>VLOOKUP(A123,'Production Plan'!B:F,5,FALSE)</f>
        <v/>
      </c>
    </row>
    <row r="124" hidden="1">
      <c r="A124" s="3">
        <f>'Production Plan'!B124</f>
        <v/>
      </c>
      <c r="B124" s="3">
        <f>VLOOKUP(A124,'Production Plan'!B:R,15,FALSE)</f>
        <v/>
      </c>
      <c r="C124" s="3">
        <f>VLOOKUP(A124,'Production Plan'!B:F,5,FALSE)</f>
        <v/>
      </c>
    </row>
    <row r="125" hidden="1">
      <c r="A125" s="3">
        <f>'Production Plan'!B125</f>
        <v/>
      </c>
      <c r="B125" s="3">
        <f>VLOOKUP(A125,'Production Plan'!B:R,15,FALSE)</f>
        <v/>
      </c>
      <c r="C125" s="3">
        <f>VLOOKUP(A125,'Production Plan'!B:F,5,FALSE)</f>
        <v/>
      </c>
    </row>
    <row r="126" hidden="1">
      <c r="A126" s="3">
        <f>'Production Plan'!B126</f>
        <v/>
      </c>
      <c r="B126" s="3">
        <f>VLOOKUP(A126,'Production Plan'!B:R,15,FALSE)</f>
        <v/>
      </c>
      <c r="C126" s="3">
        <f>VLOOKUP(A126,'Production Plan'!B:F,5,FALSE)</f>
        <v/>
      </c>
    </row>
    <row r="127" hidden="1">
      <c r="A127" s="3">
        <f>'Production Plan'!B127</f>
        <v/>
      </c>
      <c r="B127" s="3">
        <f>VLOOKUP(A127,'Production Plan'!B:R,15,FALSE)</f>
        <v/>
      </c>
      <c r="C127" s="3">
        <f>VLOOKUP(A127,'Production Plan'!B:F,5,FALSE)</f>
        <v/>
      </c>
    </row>
    <row r="128" hidden="1">
      <c r="A128" s="3">
        <f>'Production Plan'!B128</f>
        <v/>
      </c>
      <c r="B128" s="3">
        <f>VLOOKUP(A128,'Production Plan'!B:R,15,FALSE)</f>
        <v/>
      </c>
      <c r="C128" s="3">
        <f>VLOOKUP(A128,'Production Plan'!B:F,5,FALSE)</f>
        <v/>
      </c>
    </row>
    <row r="129" hidden="1">
      <c r="A129" s="3">
        <f>'Production Plan'!B129</f>
        <v/>
      </c>
      <c r="B129" s="3">
        <f>VLOOKUP(A129,'Production Plan'!B:R,15,FALSE)</f>
        <v/>
      </c>
      <c r="C129" s="3">
        <f>VLOOKUP(A129,'Production Plan'!B:F,5,FALSE)</f>
        <v/>
      </c>
    </row>
    <row r="130" hidden="1">
      <c r="A130" s="3">
        <f>'Production Plan'!B130</f>
        <v/>
      </c>
      <c r="B130" s="3">
        <f>VLOOKUP(A130,'Production Plan'!B:R,15,FALSE)</f>
        <v/>
      </c>
      <c r="C130" s="3">
        <f>VLOOKUP(A130,'Production Plan'!B:F,5,FALSE)</f>
        <v/>
      </c>
    </row>
    <row r="131" hidden="1">
      <c r="A131" s="3">
        <f>'Production Plan'!B131</f>
        <v/>
      </c>
      <c r="B131" s="3">
        <f>VLOOKUP(A131,'Production Plan'!B:R,15,FALSE)</f>
        <v/>
      </c>
      <c r="C131" s="3">
        <f>VLOOKUP(A131,'Production Plan'!B:F,5,FALSE)</f>
        <v/>
      </c>
    </row>
    <row r="132" hidden="1">
      <c r="A132" s="3">
        <f>'Production Plan'!B132</f>
        <v/>
      </c>
      <c r="B132" s="3">
        <f>VLOOKUP(A132,'Production Plan'!B:R,15,FALSE)</f>
        <v/>
      </c>
      <c r="C132" s="3">
        <f>VLOOKUP(A132,'Production Plan'!B:F,5,FALSE)</f>
        <v/>
      </c>
    </row>
    <row r="133" hidden="1">
      <c r="A133" s="3">
        <f>'Production Plan'!B133</f>
        <v/>
      </c>
      <c r="B133" s="3">
        <f>VLOOKUP(A133,'Production Plan'!B:R,15,FALSE)</f>
        <v/>
      </c>
      <c r="C133" s="3">
        <f>VLOOKUP(A133,'Production Plan'!B:F,5,FALSE)</f>
        <v/>
      </c>
    </row>
    <row r="134" hidden="1">
      <c r="A134" s="3">
        <f>'Production Plan'!B134</f>
        <v/>
      </c>
      <c r="B134" s="3">
        <f>VLOOKUP(A134,'Production Plan'!B:R,15,FALSE)</f>
        <v/>
      </c>
      <c r="C134" s="3">
        <f>VLOOKUP(A134,'Production Plan'!B:F,5,FALSE)</f>
        <v/>
      </c>
    </row>
    <row r="135" hidden="1">
      <c r="A135" s="3">
        <f>'Production Plan'!B135</f>
        <v/>
      </c>
      <c r="B135" s="3">
        <f>VLOOKUP(A135,'Production Plan'!B:R,15,FALSE)</f>
        <v/>
      </c>
      <c r="C135" s="3">
        <f>VLOOKUP(A135,'Production Plan'!B:F,5,FALSE)</f>
        <v/>
      </c>
    </row>
    <row r="136" hidden="1">
      <c r="A136" s="3">
        <f>'Production Plan'!B136</f>
        <v/>
      </c>
      <c r="B136" s="3">
        <f>VLOOKUP(A136,'Production Plan'!B:R,15,FALSE)</f>
        <v/>
      </c>
      <c r="C136" s="3">
        <f>VLOOKUP(A136,'Production Plan'!B:F,5,FALSE)</f>
        <v/>
      </c>
    </row>
    <row r="137" hidden="1">
      <c r="A137" s="3">
        <f>'Production Plan'!B137</f>
        <v/>
      </c>
      <c r="B137" s="3">
        <f>VLOOKUP(A137,'Production Plan'!B:R,15,FALSE)</f>
        <v/>
      </c>
      <c r="C137" s="3">
        <f>VLOOKUP(A137,'Production Plan'!B:F,5,FALSE)</f>
        <v/>
      </c>
    </row>
    <row r="138" hidden="1">
      <c r="A138" s="3">
        <f>'Production Plan'!B138</f>
        <v/>
      </c>
      <c r="B138" s="3">
        <f>VLOOKUP(A138,'Production Plan'!B:R,15,FALSE)</f>
        <v/>
      </c>
      <c r="C138" s="3">
        <f>VLOOKUP(A138,'Production Plan'!B:F,5,FALSE)</f>
        <v/>
      </c>
    </row>
    <row r="139" hidden="1">
      <c r="A139" s="3">
        <f>'Production Plan'!B139</f>
        <v/>
      </c>
      <c r="B139" s="3">
        <f>VLOOKUP(A139,'Production Plan'!B:R,15,FALSE)</f>
        <v/>
      </c>
      <c r="C139" s="3">
        <f>VLOOKUP(A139,'Production Plan'!B:F,5,FALSE)</f>
        <v/>
      </c>
    </row>
    <row r="140" hidden="1">
      <c r="A140" s="3">
        <f>'Production Plan'!B140</f>
        <v/>
      </c>
      <c r="B140" s="3">
        <f>VLOOKUP(A140,'Production Plan'!B:R,15,FALSE)</f>
        <v/>
      </c>
      <c r="C140" s="3">
        <f>VLOOKUP(A140,'Production Plan'!B:F,5,FALSE)</f>
        <v/>
      </c>
    </row>
    <row r="141" hidden="1">
      <c r="A141" s="3">
        <f>'Production Plan'!B141</f>
        <v/>
      </c>
      <c r="B141" s="3">
        <f>VLOOKUP(A141,'Production Plan'!B:R,15,FALSE)</f>
        <v/>
      </c>
      <c r="C141" s="3">
        <f>VLOOKUP(A141,'Production Plan'!B:F,5,FALSE)</f>
        <v/>
      </c>
    </row>
    <row r="142" hidden="1">
      <c r="A142" s="3">
        <f>'Production Plan'!B142</f>
        <v/>
      </c>
      <c r="B142" s="3">
        <f>VLOOKUP(A142,'Production Plan'!B:R,15,FALSE)</f>
        <v/>
      </c>
      <c r="C142" s="3">
        <f>VLOOKUP(A142,'Production Plan'!B:F,5,FALSE)</f>
        <v/>
      </c>
    </row>
    <row r="143" hidden="1">
      <c r="A143" s="3">
        <f>'Production Plan'!B143</f>
        <v/>
      </c>
      <c r="B143" s="3">
        <f>VLOOKUP(A143,'Production Plan'!B:R,15,FALSE)</f>
        <v/>
      </c>
      <c r="C143" s="3">
        <f>VLOOKUP(A143,'Production Plan'!B:F,5,FALSE)</f>
        <v/>
      </c>
    </row>
    <row r="144" hidden="1">
      <c r="A144" s="3">
        <f>'Production Plan'!B144</f>
        <v/>
      </c>
      <c r="B144" s="3">
        <f>VLOOKUP(A144,'Production Plan'!B:R,15,FALSE)</f>
        <v/>
      </c>
      <c r="C144" s="3">
        <f>VLOOKUP(A144,'Production Plan'!B:F,5,FALSE)</f>
        <v/>
      </c>
    </row>
    <row r="145" hidden="1">
      <c r="A145" s="3">
        <f>'Production Plan'!B145</f>
        <v/>
      </c>
      <c r="B145" s="3">
        <f>VLOOKUP(A145,'Production Plan'!B:R,15,FALSE)</f>
        <v/>
      </c>
      <c r="C145" s="3">
        <f>VLOOKUP(A145,'Production Plan'!B:F,5,FALSE)</f>
        <v/>
      </c>
    </row>
    <row r="146" hidden="1">
      <c r="A146" s="3">
        <f>'Production Plan'!B146</f>
        <v/>
      </c>
      <c r="B146" s="3">
        <f>VLOOKUP(A146,'Production Plan'!B:R,15,FALSE)</f>
        <v/>
      </c>
      <c r="C146" s="3">
        <f>VLOOKUP(A146,'Production Plan'!B:F,5,FALSE)</f>
        <v/>
      </c>
    </row>
    <row r="147" hidden="1">
      <c r="A147" s="3">
        <f>'Production Plan'!B147</f>
        <v/>
      </c>
      <c r="B147" s="3">
        <f>VLOOKUP(A147,'Production Plan'!B:R,15,FALSE)</f>
        <v/>
      </c>
      <c r="C147" s="3">
        <f>VLOOKUP(A147,'Production Plan'!B:F,5,FALSE)</f>
        <v/>
      </c>
    </row>
    <row r="148" hidden="1">
      <c r="A148" s="3">
        <f>'Production Plan'!B148</f>
        <v/>
      </c>
      <c r="B148" s="3">
        <f>VLOOKUP(A148,'Production Plan'!B:R,15,FALSE)</f>
        <v/>
      </c>
      <c r="C148" s="3">
        <f>VLOOKUP(A148,'Production Plan'!B:F,5,FALSE)</f>
        <v/>
      </c>
    </row>
    <row r="149" hidden="1">
      <c r="A149" s="3">
        <f>'Production Plan'!B149</f>
        <v/>
      </c>
      <c r="B149" s="3">
        <f>VLOOKUP(A149,'Production Plan'!B:R,15,FALSE)</f>
        <v/>
      </c>
      <c r="C149" s="3">
        <f>VLOOKUP(A149,'Production Plan'!B:F,5,FALSE)</f>
        <v/>
      </c>
    </row>
    <row r="150" hidden="1">
      <c r="A150" s="3">
        <f>'Production Plan'!B150</f>
        <v/>
      </c>
      <c r="B150" s="3">
        <f>VLOOKUP(A150,'Production Plan'!B:R,15,FALSE)</f>
        <v/>
      </c>
      <c r="C150" s="3">
        <f>VLOOKUP(A150,'Production Plan'!B:F,5,FALSE)</f>
        <v/>
      </c>
    </row>
    <row r="151" hidden="1">
      <c r="A151" s="3">
        <f>'Production Plan'!B151</f>
        <v/>
      </c>
      <c r="B151" s="3">
        <f>VLOOKUP(A151,'Production Plan'!B:R,15,FALSE)</f>
        <v/>
      </c>
      <c r="C151" s="3">
        <f>VLOOKUP(A151,'Production Plan'!B:F,5,FALSE)</f>
        <v/>
      </c>
    </row>
    <row r="152" hidden="1">
      <c r="A152" s="3">
        <f>'Production Plan'!B152</f>
        <v/>
      </c>
      <c r="B152" s="3">
        <f>VLOOKUP(A152,'Production Plan'!B:R,15,FALSE)</f>
        <v/>
      </c>
      <c r="C152" s="3">
        <f>VLOOKUP(A152,'Production Plan'!B:F,5,FALSE)</f>
        <v/>
      </c>
    </row>
    <row r="153" hidden="1">
      <c r="A153" s="3">
        <f>'Production Plan'!B153</f>
        <v/>
      </c>
      <c r="B153" s="3">
        <f>VLOOKUP(A153,'Production Plan'!B:R,15,FALSE)</f>
        <v/>
      </c>
      <c r="C153" s="3">
        <f>VLOOKUP(A153,'Production Plan'!B:F,5,FALSE)</f>
        <v/>
      </c>
    </row>
    <row r="154" hidden="1">
      <c r="A154" s="3">
        <f>'Production Plan'!B154</f>
        <v/>
      </c>
      <c r="B154" s="3">
        <f>VLOOKUP(A154,'Production Plan'!B:R,15,FALSE)</f>
        <v/>
      </c>
      <c r="C154" s="3">
        <f>VLOOKUP(A154,'Production Plan'!B:F,5,FALSE)</f>
        <v/>
      </c>
    </row>
    <row r="155" hidden="1">
      <c r="A155" s="3">
        <f>'Production Plan'!B155</f>
        <v/>
      </c>
      <c r="B155" s="3">
        <f>VLOOKUP(A155,'Production Plan'!B:R,15,FALSE)</f>
        <v/>
      </c>
      <c r="C155" s="3">
        <f>VLOOKUP(A155,'Production Plan'!B:F,5,FALSE)</f>
        <v/>
      </c>
    </row>
    <row r="156" hidden="1">
      <c r="A156" s="3">
        <f>'Production Plan'!B156</f>
        <v/>
      </c>
      <c r="B156" s="3">
        <f>VLOOKUP(A156,'Production Plan'!B:R,15,FALSE)</f>
        <v/>
      </c>
      <c r="C156" s="3">
        <f>VLOOKUP(A156,'Production Plan'!B:F,5,FALSE)</f>
        <v/>
      </c>
    </row>
    <row r="157" hidden="1">
      <c r="A157" s="3">
        <f>'Production Plan'!B157</f>
        <v/>
      </c>
      <c r="B157" s="3">
        <f>VLOOKUP(A157,'Production Plan'!B:R,15,FALSE)</f>
        <v/>
      </c>
      <c r="C157" s="3">
        <f>VLOOKUP(A157,'Production Plan'!B:F,5,FALSE)</f>
        <v/>
      </c>
    </row>
    <row r="158" hidden="1">
      <c r="A158" s="3">
        <f>'Production Plan'!B158</f>
        <v/>
      </c>
      <c r="B158" s="3">
        <f>VLOOKUP(A158,'Production Plan'!B:R,15,FALSE)</f>
        <v/>
      </c>
      <c r="C158" s="3">
        <f>VLOOKUP(A158,'Production Plan'!B:F,5,FALSE)</f>
        <v/>
      </c>
    </row>
    <row r="159" hidden="1">
      <c r="A159" s="3">
        <f>'Production Plan'!B159</f>
        <v/>
      </c>
      <c r="B159" s="3">
        <f>VLOOKUP(A159,'Production Plan'!B:R,15,FALSE)</f>
        <v/>
      </c>
      <c r="C159" s="3">
        <f>VLOOKUP(A159,'Production Plan'!B:F,5,FALSE)</f>
        <v/>
      </c>
    </row>
    <row r="160" hidden="1">
      <c r="A160" s="3">
        <f>'Production Plan'!B160</f>
        <v/>
      </c>
      <c r="B160" s="3">
        <f>VLOOKUP(A160,'Production Plan'!B:R,15,FALSE)</f>
        <v/>
      </c>
      <c r="C160" s="3">
        <f>VLOOKUP(A160,'Production Plan'!B:F,5,FALSE)</f>
        <v/>
      </c>
    </row>
    <row r="161" hidden="1">
      <c r="A161" s="3">
        <f>'Production Plan'!B161</f>
        <v/>
      </c>
      <c r="B161" s="3">
        <f>VLOOKUP(A161,'Production Plan'!B:R,15,FALSE)</f>
        <v/>
      </c>
      <c r="C161" s="3">
        <f>VLOOKUP(A161,'Production Plan'!B:F,5,FALSE)</f>
        <v/>
      </c>
    </row>
    <row r="162" hidden="1">
      <c r="A162" s="3">
        <f>'Production Plan'!B162</f>
        <v/>
      </c>
      <c r="B162" s="3">
        <f>VLOOKUP(A162,'Production Plan'!B:R,15,FALSE)</f>
        <v/>
      </c>
      <c r="C162" s="3">
        <f>VLOOKUP(A162,'Production Plan'!B:F,5,FALSE)</f>
        <v/>
      </c>
    </row>
    <row r="163" hidden="1">
      <c r="A163" s="3">
        <f>'Production Plan'!B163</f>
        <v/>
      </c>
      <c r="B163" s="3">
        <f>VLOOKUP(A163,'Production Plan'!B:R,15,FALSE)</f>
        <v/>
      </c>
      <c r="C163" s="3">
        <f>VLOOKUP(A163,'Production Plan'!B:F,5,FALSE)</f>
        <v/>
      </c>
    </row>
    <row r="164" hidden="1">
      <c r="A164" s="3">
        <f>'Production Plan'!B164</f>
        <v/>
      </c>
      <c r="B164" s="3">
        <f>VLOOKUP(A164,'Production Plan'!B:R,15,FALSE)</f>
        <v/>
      </c>
      <c r="C164" s="3">
        <f>VLOOKUP(A164,'Production Plan'!B:F,5,FALSE)</f>
        <v/>
      </c>
    </row>
    <row r="165" hidden="1">
      <c r="A165" s="3">
        <f>'Production Plan'!B165</f>
        <v/>
      </c>
      <c r="B165" s="3">
        <f>VLOOKUP(A165,'Production Plan'!B:R,15,FALSE)</f>
        <v/>
      </c>
      <c r="C165" s="3">
        <f>VLOOKUP(A165,'Production Plan'!B:F,5,FALSE)</f>
        <v/>
      </c>
    </row>
    <row r="166" hidden="1">
      <c r="A166" s="3">
        <f>'Production Plan'!B166</f>
        <v/>
      </c>
      <c r="B166" s="3">
        <f>VLOOKUP(A166,'Production Plan'!B:R,15,FALSE)</f>
        <v/>
      </c>
      <c r="C166" s="3">
        <f>VLOOKUP(A166,'Production Plan'!B:F,5,FALSE)</f>
        <v/>
      </c>
    </row>
    <row r="167" hidden="1">
      <c r="A167" s="3">
        <f>'Production Plan'!B167</f>
        <v/>
      </c>
      <c r="B167" s="3">
        <f>VLOOKUP(A167,'Production Plan'!B:R,15,FALSE)</f>
        <v/>
      </c>
      <c r="C167" s="3">
        <f>VLOOKUP(A167,'Production Plan'!B:F,5,FALSE)</f>
        <v/>
      </c>
    </row>
    <row r="168" hidden="1">
      <c r="A168" s="3">
        <f>'Production Plan'!B168</f>
        <v/>
      </c>
      <c r="B168" s="3">
        <f>VLOOKUP(A168,'Production Plan'!B:R,15,FALSE)</f>
        <v/>
      </c>
      <c r="C168" s="3">
        <f>VLOOKUP(A168,'Production Plan'!B:F,5,FALSE)</f>
        <v/>
      </c>
    </row>
    <row r="169" hidden="1">
      <c r="A169" s="3">
        <f>'Production Plan'!B169</f>
        <v/>
      </c>
      <c r="B169" s="3">
        <f>VLOOKUP(A169,'Production Plan'!B:R,15,FALSE)</f>
        <v/>
      </c>
      <c r="C169" s="3">
        <f>VLOOKUP(A169,'Production Plan'!B:F,5,FALSE)</f>
        <v/>
      </c>
    </row>
    <row r="170" hidden="1">
      <c r="A170" s="3">
        <f>'Production Plan'!B170</f>
        <v/>
      </c>
      <c r="B170" s="3">
        <f>VLOOKUP(A170,'Production Plan'!B:R,15,FALSE)</f>
        <v/>
      </c>
      <c r="C170" s="3">
        <f>VLOOKUP(A170,'Production Plan'!B:F,5,FALSE)</f>
        <v/>
      </c>
    </row>
    <row r="171" hidden="1">
      <c r="A171" s="3">
        <f>'Production Plan'!B171</f>
        <v/>
      </c>
      <c r="B171" s="3">
        <f>VLOOKUP(A171,'Production Plan'!B:R,15,FALSE)</f>
        <v/>
      </c>
      <c r="C171" s="3">
        <f>VLOOKUP(A171,'Production Plan'!B:F,5,FALSE)</f>
        <v/>
      </c>
    </row>
    <row r="172" hidden="1">
      <c r="A172" s="3">
        <f>'Production Plan'!B172</f>
        <v/>
      </c>
      <c r="B172" s="3">
        <f>VLOOKUP(A172,'Production Plan'!B:R,15,FALSE)</f>
        <v/>
      </c>
      <c r="C172" s="3">
        <f>VLOOKUP(A172,'Production Plan'!B:F,5,FALSE)</f>
        <v/>
      </c>
    </row>
    <row r="173" hidden="1">
      <c r="A173" s="3">
        <f>'Production Plan'!B173</f>
        <v/>
      </c>
      <c r="B173" s="3">
        <f>VLOOKUP(A173,'Production Plan'!B:R,15,FALSE)</f>
        <v/>
      </c>
      <c r="C173" s="3">
        <f>VLOOKUP(A173,'Production Plan'!B:F,5,FALSE)</f>
        <v/>
      </c>
    </row>
    <row r="174" hidden="1">
      <c r="A174" s="3">
        <f>'Production Plan'!B174</f>
        <v/>
      </c>
      <c r="B174" s="3">
        <f>VLOOKUP(A174,'Production Plan'!B:R,15,FALSE)</f>
        <v/>
      </c>
      <c r="C174" s="3">
        <f>VLOOKUP(A174,'Production Plan'!B:F,5,FALSE)</f>
        <v/>
      </c>
    </row>
    <row r="175" hidden="1">
      <c r="A175" s="3">
        <f>'Production Plan'!B175</f>
        <v/>
      </c>
      <c r="B175" s="3">
        <f>VLOOKUP(A175,'Production Plan'!B:R,15,FALSE)</f>
        <v/>
      </c>
      <c r="C175" s="3">
        <f>VLOOKUP(A175,'Production Plan'!B:F,5,FALSE)</f>
        <v/>
      </c>
    </row>
    <row r="176" hidden="1">
      <c r="A176" s="3">
        <f>'Production Plan'!B176</f>
        <v/>
      </c>
      <c r="B176" s="3">
        <f>VLOOKUP(A176,'Production Plan'!B:R,15,FALSE)</f>
        <v/>
      </c>
      <c r="C176" s="3">
        <f>VLOOKUP(A176,'Production Plan'!B:F,5,FALSE)</f>
        <v/>
      </c>
    </row>
    <row r="177" hidden="1">
      <c r="A177" s="3">
        <f>'Production Plan'!B177</f>
        <v/>
      </c>
      <c r="B177" s="3">
        <f>VLOOKUP(A177,'Production Plan'!B:R,15,FALSE)</f>
        <v/>
      </c>
      <c r="C177" s="3">
        <f>VLOOKUP(A177,'Production Plan'!B:F,5,FALSE)</f>
        <v/>
      </c>
    </row>
    <row r="178" hidden="1">
      <c r="A178" s="3">
        <f>'Production Plan'!B178</f>
        <v/>
      </c>
      <c r="B178" s="3">
        <f>VLOOKUP(A178,'Production Plan'!B:R,15,FALSE)</f>
        <v/>
      </c>
      <c r="C178" s="3">
        <f>VLOOKUP(A178,'Production Plan'!B:F,5,FALSE)</f>
        <v/>
      </c>
    </row>
    <row r="179" hidden="1">
      <c r="A179" s="3">
        <f>'Production Plan'!B179</f>
        <v/>
      </c>
      <c r="B179" s="3">
        <f>VLOOKUP(A179,'Production Plan'!B:R,15,FALSE)</f>
        <v/>
      </c>
      <c r="C179" s="3">
        <f>VLOOKUP(A179,'Production Plan'!B:F,5,FALSE)</f>
        <v/>
      </c>
    </row>
    <row r="180" hidden="1">
      <c r="A180" s="3">
        <f>'Production Plan'!B180</f>
        <v/>
      </c>
      <c r="B180" s="3">
        <f>VLOOKUP(A180,'Production Plan'!B:R,15,FALSE)</f>
        <v/>
      </c>
      <c r="C180" s="3">
        <f>VLOOKUP(A180,'Production Plan'!B:F,5,FALSE)</f>
        <v/>
      </c>
    </row>
    <row r="181" hidden="1">
      <c r="A181" s="3">
        <f>'Production Plan'!B181</f>
        <v/>
      </c>
      <c r="B181" s="3">
        <f>VLOOKUP(A181,'Production Plan'!B:R,15,FALSE)</f>
        <v/>
      </c>
      <c r="C181" s="3">
        <f>VLOOKUP(A181,'Production Plan'!B:F,5,FALSE)</f>
        <v/>
      </c>
    </row>
    <row r="182" hidden="1">
      <c r="A182" s="3">
        <f>'Production Plan'!B182</f>
        <v/>
      </c>
      <c r="B182" s="3">
        <f>VLOOKUP(A182,'Production Plan'!B:R,15,FALSE)</f>
        <v/>
      </c>
      <c r="C182" s="3">
        <f>VLOOKUP(A182,'Production Plan'!B:F,5,FALSE)</f>
        <v/>
      </c>
    </row>
    <row r="183" hidden="1">
      <c r="A183" s="3">
        <f>'Production Plan'!B183</f>
        <v/>
      </c>
      <c r="B183" s="3">
        <f>VLOOKUP(A183,'Production Plan'!B:R,15,FALSE)</f>
        <v/>
      </c>
      <c r="C183" s="3">
        <f>VLOOKUP(A183,'Production Plan'!B:F,5,FALSE)</f>
        <v/>
      </c>
    </row>
    <row r="184" hidden="1">
      <c r="A184" s="3">
        <f>'Production Plan'!B184</f>
        <v/>
      </c>
      <c r="B184" s="3">
        <f>VLOOKUP(A184,'Production Plan'!B:R,15,FALSE)</f>
        <v/>
      </c>
      <c r="C184" s="3">
        <f>VLOOKUP(A184,'Production Plan'!B:F,5,FALSE)</f>
        <v/>
      </c>
    </row>
    <row r="185" hidden="1">
      <c r="A185" s="3">
        <f>'Production Plan'!B185</f>
        <v/>
      </c>
      <c r="B185" s="3">
        <f>VLOOKUP(A185,'Production Plan'!B:R,15,FALSE)</f>
        <v/>
      </c>
      <c r="C185" s="3">
        <f>VLOOKUP(A185,'Production Plan'!B:F,5,FALSE)</f>
        <v/>
      </c>
    </row>
    <row r="186" hidden="1">
      <c r="A186" s="3">
        <f>'Production Plan'!B186</f>
        <v/>
      </c>
      <c r="B186" s="3">
        <f>VLOOKUP(A186,'Production Plan'!B:R,15,FALSE)</f>
        <v/>
      </c>
      <c r="C186" s="3">
        <f>VLOOKUP(A186,'Production Plan'!B:F,5,FALSE)</f>
        <v/>
      </c>
    </row>
    <row r="187" hidden="1">
      <c r="A187" s="3">
        <f>'Production Plan'!B187</f>
        <v/>
      </c>
      <c r="B187" s="3">
        <f>VLOOKUP(A187,'Production Plan'!B:R,15,FALSE)</f>
        <v/>
      </c>
      <c r="C187" s="3">
        <f>VLOOKUP(A187,'Production Plan'!B:F,5,FALSE)</f>
        <v/>
      </c>
    </row>
    <row r="188" hidden="1">
      <c r="A188" s="3">
        <f>'Production Plan'!B188</f>
        <v/>
      </c>
      <c r="B188" s="3">
        <f>VLOOKUP(A188,'Production Plan'!B:R,15,FALSE)</f>
        <v/>
      </c>
      <c r="C188" s="3">
        <f>VLOOKUP(A188,'Production Plan'!B:F,5,FALSE)</f>
        <v/>
      </c>
    </row>
    <row r="189" hidden="1">
      <c r="A189" s="3">
        <f>'Production Plan'!B189</f>
        <v/>
      </c>
      <c r="B189" s="3">
        <f>VLOOKUP(A189,'Production Plan'!B:R,15,FALSE)</f>
        <v/>
      </c>
      <c r="C189" s="3">
        <f>VLOOKUP(A189,'Production Plan'!B:F,5,FALSE)</f>
        <v/>
      </c>
    </row>
    <row r="190" hidden="1">
      <c r="A190" s="3">
        <f>'Production Plan'!B190</f>
        <v/>
      </c>
      <c r="B190" s="3">
        <f>VLOOKUP(A190,'Production Plan'!B:R,15,FALSE)</f>
        <v/>
      </c>
      <c r="C190" s="3">
        <f>VLOOKUP(A190,'Production Plan'!B:F,5,FALSE)</f>
        <v/>
      </c>
    </row>
    <row r="191" hidden="1">
      <c r="A191" s="3">
        <f>'Production Plan'!B191</f>
        <v/>
      </c>
      <c r="B191" s="3">
        <f>VLOOKUP(A191,'Production Plan'!B:R,15,FALSE)</f>
        <v/>
      </c>
      <c r="C191" s="3">
        <f>VLOOKUP(A191,'Production Plan'!B:F,5,FALSE)</f>
        <v/>
      </c>
    </row>
    <row r="192" hidden="1">
      <c r="A192" s="3">
        <f>'Production Plan'!B192</f>
        <v/>
      </c>
      <c r="B192" s="3">
        <f>VLOOKUP(A192,'Production Plan'!B:R,15,FALSE)</f>
        <v/>
      </c>
      <c r="C192" s="3">
        <f>VLOOKUP(A192,'Production Plan'!B:F,5,FALSE)</f>
        <v/>
      </c>
    </row>
    <row r="193" hidden="1">
      <c r="A193" s="3">
        <f>'Production Plan'!B193</f>
        <v/>
      </c>
      <c r="B193" s="3">
        <f>VLOOKUP(A193,'Production Plan'!B:R,15,FALSE)</f>
        <v/>
      </c>
      <c r="C193" s="3">
        <f>VLOOKUP(A193,'Production Plan'!B:F,5,FALSE)</f>
        <v/>
      </c>
    </row>
    <row r="194" hidden="1">
      <c r="A194" s="3">
        <f>'Production Plan'!B194</f>
        <v/>
      </c>
      <c r="B194" s="3">
        <f>VLOOKUP(A194,'Production Plan'!B:R,15,FALSE)</f>
        <v/>
      </c>
      <c r="C194" s="3">
        <f>VLOOKUP(A194,'Production Plan'!B:F,5,FALSE)</f>
        <v/>
      </c>
    </row>
    <row r="195" hidden="1">
      <c r="A195" s="3">
        <f>'Production Plan'!B195</f>
        <v/>
      </c>
      <c r="B195" s="3">
        <f>VLOOKUP(A195,'Production Plan'!B:R,15,FALSE)</f>
        <v/>
      </c>
      <c r="C195" s="3">
        <f>VLOOKUP(A195,'Production Plan'!B:F,5,FALSE)</f>
        <v/>
      </c>
    </row>
    <row r="196" hidden="1">
      <c r="A196" s="3">
        <f>'Production Plan'!B196</f>
        <v/>
      </c>
      <c r="B196" s="3">
        <f>VLOOKUP(A196,'Production Plan'!B:R,15,FALSE)</f>
        <v/>
      </c>
      <c r="C196" s="3">
        <f>VLOOKUP(A196,'Production Plan'!B:F,5,FALSE)</f>
        <v/>
      </c>
    </row>
    <row r="197" hidden="1">
      <c r="A197" s="3">
        <f>'Production Plan'!B197</f>
        <v/>
      </c>
      <c r="B197" s="3">
        <f>VLOOKUP(A197,'Production Plan'!B:R,15,FALSE)</f>
        <v/>
      </c>
      <c r="C197" s="3">
        <f>VLOOKUP(A197,'Production Plan'!B:F,5,FALSE)</f>
        <v/>
      </c>
    </row>
    <row r="198" hidden="1">
      <c r="A198" s="3">
        <f>'Production Plan'!B198</f>
        <v/>
      </c>
      <c r="B198" s="3">
        <f>VLOOKUP(A198,'Production Plan'!B:R,15,FALSE)</f>
        <v/>
      </c>
      <c r="C198" s="3">
        <f>VLOOKUP(A198,'Production Plan'!B:F,5,FALSE)</f>
        <v/>
      </c>
    </row>
    <row r="199" hidden="1">
      <c r="A199" s="3">
        <f>'Production Plan'!B199</f>
        <v/>
      </c>
      <c r="B199" s="3">
        <f>VLOOKUP(A199,'Production Plan'!B:R,15,FALSE)</f>
        <v/>
      </c>
      <c r="C199" s="3">
        <f>VLOOKUP(A199,'Production Plan'!B:F,5,FALSE)</f>
        <v/>
      </c>
    </row>
    <row r="200" hidden="1">
      <c r="A200" s="3">
        <f>'Production Plan'!B200</f>
        <v/>
      </c>
      <c r="B200" s="3">
        <f>VLOOKUP(A200,'Production Plan'!B:R,15,FALSE)</f>
        <v/>
      </c>
      <c r="C200" s="3">
        <f>VLOOKUP(A200,'Production Plan'!B:F,5,FALSE)</f>
        <v/>
      </c>
    </row>
    <row r="201" hidden="1">
      <c r="A201" s="3">
        <f>'Production Plan'!B201</f>
        <v/>
      </c>
      <c r="B201" s="3">
        <f>VLOOKUP(A201,'Production Plan'!B:R,15,FALSE)</f>
        <v/>
      </c>
      <c r="C201" s="3">
        <f>VLOOKUP(A201,'Production Plan'!B:F,5,FALSE)</f>
        <v/>
      </c>
    </row>
    <row r="202" hidden="1">
      <c r="A202" s="3">
        <f>'Production Plan'!B202</f>
        <v/>
      </c>
      <c r="B202" s="3">
        <f>VLOOKUP(A202,'Production Plan'!B:R,15,FALSE)</f>
        <v/>
      </c>
      <c r="C202" s="3">
        <f>VLOOKUP(A202,'Production Plan'!B:F,5,FALSE)</f>
        <v/>
      </c>
    </row>
    <row r="203" hidden="1">
      <c r="A203" s="3">
        <f>'Production Plan'!B203</f>
        <v/>
      </c>
      <c r="B203" s="3">
        <f>VLOOKUP(A203,'Production Plan'!B:R,15,FALSE)</f>
        <v/>
      </c>
      <c r="C203" s="3">
        <f>VLOOKUP(A203,'Production Plan'!B:F,5,FALSE)</f>
        <v/>
      </c>
    </row>
    <row r="204" hidden="1">
      <c r="A204" s="3">
        <f>'Production Plan'!B204</f>
        <v/>
      </c>
      <c r="B204" s="3">
        <f>VLOOKUP(A204,'Production Plan'!B:R,15,FALSE)</f>
        <v/>
      </c>
      <c r="C204" s="3">
        <f>VLOOKUP(A204,'Production Plan'!B:F,5,FALSE)</f>
        <v/>
      </c>
    </row>
    <row r="205" hidden="1">
      <c r="A205" s="3">
        <f>'Production Plan'!B205</f>
        <v/>
      </c>
      <c r="B205" s="3">
        <f>VLOOKUP(A205,'Production Plan'!B:R,15,FALSE)</f>
        <v/>
      </c>
      <c r="C205" s="3">
        <f>VLOOKUP(A205,'Production Plan'!B:F,5,FALSE)</f>
        <v/>
      </c>
    </row>
    <row r="206" hidden="1">
      <c r="A206" s="3">
        <f>'Production Plan'!B206</f>
        <v/>
      </c>
      <c r="B206" s="3">
        <f>VLOOKUP(A206,'Production Plan'!B:R,15,FALSE)</f>
        <v/>
      </c>
      <c r="C206" s="3">
        <f>VLOOKUP(A206,'Production Plan'!B:F,5,FALSE)</f>
        <v/>
      </c>
    </row>
    <row r="207" hidden="1">
      <c r="A207" s="3">
        <f>'Production Plan'!B207</f>
        <v/>
      </c>
      <c r="B207" s="3">
        <f>VLOOKUP(A207,'Production Plan'!B:R,15,FALSE)</f>
        <v/>
      </c>
      <c r="C207" s="3">
        <f>VLOOKUP(A207,'Production Plan'!B:F,5,FALSE)</f>
        <v/>
      </c>
    </row>
    <row r="208" hidden="1">
      <c r="A208" s="3">
        <f>'Production Plan'!B208</f>
        <v/>
      </c>
      <c r="B208" s="3">
        <f>VLOOKUP(A208,'Production Plan'!B:R,15,FALSE)</f>
        <v/>
      </c>
      <c r="C208" s="3">
        <f>VLOOKUP(A208,'Production Plan'!B:F,5,FALSE)</f>
        <v/>
      </c>
    </row>
    <row r="209" hidden="1">
      <c r="A209" s="3">
        <f>'Production Plan'!B209</f>
        <v/>
      </c>
      <c r="B209" s="3">
        <f>VLOOKUP(A209,'Production Plan'!B:R,15,FALSE)</f>
        <v/>
      </c>
      <c r="C209" s="3">
        <f>VLOOKUP(A209,'Production Plan'!B:F,5,FALSE)</f>
        <v/>
      </c>
    </row>
    <row r="210" hidden="1">
      <c r="A210" s="3">
        <f>'Production Plan'!B210</f>
        <v/>
      </c>
      <c r="B210" s="3">
        <f>VLOOKUP(A210,'Production Plan'!B:R,15,FALSE)</f>
        <v/>
      </c>
      <c r="C210" s="3">
        <f>VLOOKUP(A210,'Production Plan'!B:F,5,FALSE)</f>
        <v/>
      </c>
    </row>
    <row r="211" hidden="1">
      <c r="A211" s="3">
        <f>'Production Plan'!B211</f>
        <v/>
      </c>
      <c r="B211" s="3">
        <f>VLOOKUP(A211,'Production Plan'!B:R,15,FALSE)</f>
        <v/>
      </c>
      <c r="C211" s="3">
        <f>VLOOKUP(A211,'Production Plan'!B:F,5,FALSE)</f>
        <v/>
      </c>
    </row>
    <row r="212" hidden="1">
      <c r="A212" s="3">
        <f>'Production Plan'!B212</f>
        <v/>
      </c>
      <c r="B212" s="3">
        <f>VLOOKUP(A212,'Production Plan'!B:R,15,FALSE)</f>
        <v/>
      </c>
      <c r="C212" s="3">
        <f>VLOOKUP(A212,'Production Plan'!B:F,5,FALSE)</f>
        <v/>
      </c>
    </row>
    <row r="213" hidden="1">
      <c r="A213" s="3">
        <f>'Production Plan'!B213</f>
        <v/>
      </c>
      <c r="B213" s="3">
        <f>VLOOKUP(A213,'Production Plan'!B:R,15,FALSE)</f>
        <v/>
      </c>
      <c r="C213" s="3">
        <f>VLOOKUP(A213,'Production Plan'!B:F,5,FALSE)</f>
        <v/>
      </c>
    </row>
    <row r="214" hidden="1">
      <c r="A214" s="3">
        <f>'Production Plan'!B214</f>
        <v/>
      </c>
      <c r="B214" s="3">
        <f>VLOOKUP(A214,'Production Plan'!B:R,15,FALSE)</f>
        <v/>
      </c>
      <c r="C214" s="3">
        <f>VLOOKUP(A214,'Production Plan'!B:F,5,FALSE)</f>
        <v/>
      </c>
    </row>
    <row r="215" hidden="1">
      <c r="A215" s="3">
        <f>'Production Plan'!B215</f>
        <v/>
      </c>
      <c r="B215" s="3">
        <f>VLOOKUP(A215,'Production Plan'!B:R,15,FALSE)</f>
        <v/>
      </c>
      <c r="C215" s="3">
        <f>VLOOKUP(A215,'Production Plan'!B:F,5,FALSE)</f>
        <v/>
      </c>
    </row>
    <row r="216" hidden="1">
      <c r="A216" s="3">
        <f>'Production Plan'!B216</f>
        <v/>
      </c>
      <c r="B216" s="3">
        <f>VLOOKUP(A216,'Production Plan'!B:R,15,FALSE)</f>
        <v/>
      </c>
      <c r="C216" s="3">
        <f>VLOOKUP(A216,'Production Plan'!B:F,5,FALSE)</f>
        <v/>
      </c>
    </row>
    <row r="217" hidden="1">
      <c r="A217" s="3">
        <f>'Production Plan'!B217</f>
        <v/>
      </c>
      <c r="B217" s="3">
        <f>VLOOKUP(A217,'Production Plan'!B:R,15,FALSE)</f>
        <v/>
      </c>
      <c r="C217" s="3">
        <f>VLOOKUP(A217,'Production Plan'!B:F,5,FALSE)</f>
        <v/>
      </c>
    </row>
    <row r="218" hidden="1">
      <c r="A218" s="3">
        <f>'Production Plan'!B218</f>
        <v/>
      </c>
      <c r="B218" s="3">
        <f>VLOOKUP(A218,'Production Plan'!B:R,15,FALSE)</f>
        <v/>
      </c>
      <c r="C218" s="3">
        <f>VLOOKUP(A218,'Production Plan'!B:F,5,FALSE)</f>
        <v/>
      </c>
    </row>
    <row r="219" hidden="1">
      <c r="A219" s="3">
        <f>'Production Plan'!B219</f>
        <v/>
      </c>
      <c r="B219" s="3">
        <f>VLOOKUP(A219,'Production Plan'!B:R,15,FALSE)</f>
        <v/>
      </c>
      <c r="C219" s="3">
        <f>VLOOKUP(A219,'Production Plan'!B:F,5,FALSE)</f>
        <v/>
      </c>
    </row>
    <row r="220" hidden="1">
      <c r="A220" s="3">
        <f>'Production Plan'!B220</f>
        <v/>
      </c>
      <c r="B220" s="3">
        <f>VLOOKUP(A220,'Production Plan'!B:R,15,FALSE)</f>
        <v/>
      </c>
      <c r="C220" s="3">
        <f>VLOOKUP(A220,'Production Plan'!B:F,5,FALSE)</f>
        <v/>
      </c>
    </row>
    <row r="221" hidden="1">
      <c r="A221" s="3">
        <f>'Production Plan'!B221</f>
        <v/>
      </c>
      <c r="B221" s="3">
        <f>VLOOKUP(A221,'Production Plan'!B:R,15,FALSE)</f>
        <v/>
      </c>
      <c r="C221" s="3">
        <f>VLOOKUP(A221,'Production Plan'!B:F,5,FALSE)</f>
        <v/>
      </c>
    </row>
    <row r="222" hidden="1">
      <c r="A222" s="3">
        <f>'Production Plan'!B222</f>
        <v/>
      </c>
      <c r="B222" s="3">
        <f>VLOOKUP(A222,'Production Plan'!B:R,15,FALSE)</f>
        <v/>
      </c>
      <c r="C222" s="3">
        <f>VLOOKUP(A222,'Production Plan'!B:F,5,FALSE)</f>
        <v/>
      </c>
    </row>
    <row r="223" hidden="1">
      <c r="A223" s="3">
        <f>'Production Plan'!B223</f>
        <v/>
      </c>
      <c r="B223" s="3">
        <f>VLOOKUP(A223,'Production Plan'!B:R,15,FALSE)</f>
        <v/>
      </c>
      <c r="C223" s="3">
        <f>VLOOKUP(A223,'Production Plan'!B:F,5,FALSE)</f>
        <v/>
      </c>
    </row>
    <row r="224" hidden="1">
      <c r="A224" s="3">
        <f>'Production Plan'!B224</f>
        <v/>
      </c>
      <c r="B224" s="3">
        <f>VLOOKUP(A224,'Production Plan'!B:R,15,FALSE)</f>
        <v/>
      </c>
      <c r="C224" s="3">
        <f>VLOOKUP(A224,'Production Plan'!B:F,5,FALSE)</f>
        <v/>
      </c>
    </row>
    <row r="225" hidden="1">
      <c r="A225" s="3">
        <f>'Production Plan'!B225</f>
        <v/>
      </c>
      <c r="B225" s="3">
        <f>VLOOKUP(A225,'Production Plan'!B:R,15,FALSE)</f>
        <v/>
      </c>
      <c r="C225" s="3">
        <f>VLOOKUP(A225,'Production Plan'!B:F,5,FALSE)</f>
        <v/>
      </c>
    </row>
    <row r="226" hidden="1">
      <c r="A226" s="3">
        <f>'Production Plan'!B226</f>
        <v/>
      </c>
      <c r="B226" s="3">
        <f>VLOOKUP(A226,'Production Plan'!B:R,15,FALSE)</f>
        <v/>
      </c>
      <c r="C226" s="3">
        <f>VLOOKUP(A226,'Production Plan'!B:F,5,FALSE)</f>
        <v/>
      </c>
    </row>
    <row r="227" hidden="1">
      <c r="A227" s="3">
        <f>'Production Plan'!B227</f>
        <v/>
      </c>
      <c r="B227" s="3">
        <f>VLOOKUP(A227,'Production Plan'!B:R,15,FALSE)</f>
        <v/>
      </c>
      <c r="C227" s="3">
        <f>VLOOKUP(A227,'Production Plan'!B:F,5,FALSE)</f>
        <v/>
      </c>
    </row>
    <row r="228" hidden="1">
      <c r="A228" s="3">
        <f>'Production Plan'!B228</f>
        <v/>
      </c>
      <c r="B228" s="3">
        <f>VLOOKUP(A228,'Production Plan'!B:R,15,FALSE)</f>
        <v/>
      </c>
      <c r="C228" s="3">
        <f>VLOOKUP(A228,'Production Plan'!B:F,5,FALSE)</f>
        <v/>
      </c>
    </row>
    <row r="229" hidden="1">
      <c r="A229" s="3">
        <f>'Production Plan'!B229</f>
        <v/>
      </c>
      <c r="B229" s="3">
        <f>VLOOKUP(A229,'Production Plan'!B:R,15,FALSE)</f>
        <v/>
      </c>
      <c r="C229" s="3">
        <f>VLOOKUP(A229,'Production Plan'!B:F,5,FALSE)</f>
        <v/>
      </c>
    </row>
    <row r="230" hidden="1">
      <c r="A230" s="3">
        <f>'Production Plan'!B230</f>
        <v/>
      </c>
      <c r="B230" s="3">
        <f>VLOOKUP(A230,'Production Plan'!B:R,15,FALSE)</f>
        <v/>
      </c>
      <c r="C230" s="3">
        <f>VLOOKUP(A230,'Production Plan'!B:F,5,FALSE)</f>
        <v/>
      </c>
    </row>
    <row r="231" hidden="1">
      <c r="A231" s="3">
        <f>'Production Plan'!B231</f>
        <v/>
      </c>
      <c r="B231" s="3">
        <f>VLOOKUP(A231,'Production Plan'!B:R,15,FALSE)</f>
        <v/>
      </c>
      <c r="C231" s="3">
        <f>VLOOKUP(A231,'Production Plan'!B:F,5,FALSE)</f>
        <v/>
      </c>
    </row>
    <row r="232" hidden="1">
      <c r="A232" s="3">
        <f>'Production Plan'!B232</f>
        <v/>
      </c>
      <c r="B232" s="3">
        <f>VLOOKUP(A232,'Production Plan'!B:R,15,FALSE)</f>
        <v/>
      </c>
      <c r="C232" s="3">
        <f>VLOOKUP(A232,'Production Plan'!B:F,5,FALSE)</f>
        <v/>
      </c>
    </row>
    <row r="233" hidden="1">
      <c r="A233" s="3">
        <f>'Production Plan'!B233</f>
        <v/>
      </c>
      <c r="B233" s="3">
        <f>VLOOKUP(A233,'Production Plan'!B:R,15,FALSE)</f>
        <v/>
      </c>
      <c r="C233" s="3">
        <f>VLOOKUP(A233,'Production Plan'!B:F,5,FALSE)</f>
        <v/>
      </c>
    </row>
    <row r="234" hidden="1">
      <c r="A234" s="3">
        <f>'Production Plan'!B234</f>
        <v/>
      </c>
      <c r="B234" s="3">
        <f>VLOOKUP(A234,'Production Plan'!B:R,15,FALSE)</f>
        <v/>
      </c>
      <c r="C234" s="3">
        <f>VLOOKUP(A234,'Production Plan'!B:F,5,FALSE)</f>
        <v/>
      </c>
    </row>
    <row r="235" hidden="1">
      <c r="A235" s="3">
        <f>'Production Plan'!B235</f>
        <v/>
      </c>
      <c r="B235" s="3">
        <f>VLOOKUP(A235,'Production Plan'!B:R,15,FALSE)</f>
        <v/>
      </c>
      <c r="C235" s="3">
        <f>VLOOKUP(A235,'Production Plan'!B:F,5,FALSE)</f>
        <v/>
      </c>
    </row>
    <row r="236" hidden="1">
      <c r="A236" s="3">
        <f>'Production Plan'!B236</f>
        <v/>
      </c>
      <c r="B236" s="3">
        <f>VLOOKUP(A236,'Production Plan'!B:R,15,FALSE)</f>
        <v/>
      </c>
      <c r="C236" s="3">
        <f>VLOOKUP(A236,'Production Plan'!B:F,5,FALSE)</f>
        <v/>
      </c>
    </row>
    <row r="237" hidden="1">
      <c r="A237" s="3">
        <f>'Production Plan'!B237</f>
        <v/>
      </c>
      <c r="B237" s="3">
        <f>VLOOKUP(A237,'Production Plan'!B:R,15,FALSE)</f>
        <v/>
      </c>
      <c r="C237" s="3">
        <f>VLOOKUP(A237,'Production Plan'!B:F,5,FALSE)</f>
        <v/>
      </c>
    </row>
    <row r="238" hidden="1">
      <c r="A238" s="3">
        <f>'Production Plan'!B238</f>
        <v/>
      </c>
      <c r="B238" s="3">
        <f>VLOOKUP(A238,'Production Plan'!B:R,15,FALSE)</f>
        <v/>
      </c>
      <c r="C238" s="3">
        <f>VLOOKUP(A238,'Production Plan'!B:F,5,FALSE)</f>
        <v/>
      </c>
    </row>
    <row r="239" hidden="1">
      <c r="A239" s="3">
        <f>'Production Plan'!B239</f>
        <v/>
      </c>
      <c r="B239" s="3">
        <f>VLOOKUP(A239,'Production Plan'!B:R,15,FALSE)</f>
        <v/>
      </c>
      <c r="C239" s="3">
        <f>VLOOKUP(A239,'Production Plan'!B:F,5,FALSE)</f>
        <v/>
      </c>
    </row>
    <row r="240" hidden="1">
      <c r="A240" s="3">
        <f>'Production Plan'!B240</f>
        <v/>
      </c>
      <c r="B240" s="3">
        <f>VLOOKUP(A240,'Production Plan'!B:R,15,FALSE)</f>
        <v/>
      </c>
      <c r="C240" s="3">
        <f>VLOOKUP(A240,'Production Plan'!B:F,5,FALSE)</f>
        <v/>
      </c>
    </row>
    <row r="241" hidden="1">
      <c r="A241" s="3">
        <f>'Production Plan'!B241</f>
        <v/>
      </c>
      <c r="B241" s="3">
        <f>VLOOKUP(A241,'Production Plan'!B:R,15,FALSE)</f>
        <v/>
      </c>
      <c r="C241" s="3">
        <f>VLOOKUP(A241,'Production Plan'!B:F,5,FALSE)</f>
        <v/>
      </c>
    </row>
    <row r="242" hidden="1">
      <c r="A242" s="3">
        <f>'Production Plan'!B242</f>
        <v/>
      </c>
      <c r="B242" s="3">
        <f>VLOOKUP(A242,'Production Plan'!B:R,15,FALSE)</f>
        <v/>
      </c>
      <c r="C242" s="3">
        <f>VLOOKUP(A242,'Production Plan'!B:F,5,FALSE)</f>
        <v/>
      </c>
    </row>
    <row r="243" hidden="1">
      <c r="A243" s="3">
        <f>'Production Plan'!B243</f>
        <v/>
      </c>
      <c r="B243" s="3">
        <f>VLOOKUP(A243,'Production Plan'!B:R,15,FALSE)</f>
        <v/>
      </c>
      <c r="C243" s="3">
        <f>VLOOKUP(A243,'Production Plan'!B:F,5,FALSE)</f>
        <v/>
      </c>
    </row>
    <row r="244" hidden="1">
      <c r="A244" s="3">
        <f>'Production Plan'!B244</f>
        <v/>
      </c>
      <c r="B244" s="3">
        <f>VLOOKUP(A244,'Production Plan'!B:R,15,FALSE)</f>
        <v/>
      </c>
      <c r="C244" s="3">
        <f>VLOOKUP(A244,'Production Plan'!B:F,5,FALSE)</f>
        <v/>
      </c>
    </row>
    <row r="245" hidden="1">
      <c r="A245" s="3">
        <f>'Production Plan'!B245</f>
        <v/>
      </c>
      <c r="B245" s="3">
        <f>VLOOKUP(A245,'Production Plan'!B:R,15,FALSE)</f>
        <v/>
      </c>
      <c r="C245" s="3">
        <f>VLOOKUP(A245,'Production Plan'!B:F,5,FALSE)</f>
        <v/>
      </c>
    </row>
    <row r="246" hidden="1">
      <c r="A246" s="3">
        <f>'Production Plan'!B246</f>
        <v/>
      </c>
      <c r="B246" s="3">
        <f>VLOOKUP(A246,'Production Plan'!B:R,15,FALSE)</f>
        <v/>
      </c>
      <c r="C246" s="3">
        <f>VLOOKUP(A246,'Production Plan'!B:F,5,FALSE)</f>
        <v/>
      </c>
    </row>
    <row r="247" hidden="1">
      <c r="A247" s="3">
        <f>'Production Plan'!B247</f>
        <v/>
      </c>
      <c r="B247" s="3">
        <f>VLOOKUP(A247,'Production Plan'!B:R,15,FALSE)</f>
        <v/>
      </c>
      <c r="C247" s="3">
        <f>VLOOKUP(A247,'Production Plan'!B:F,5,FALSE)</f>
        <v/>
      </c>
    </row>
    <row r="248" hidden="1">
      <c r="A248" s="3">
        <f>'Production Plan'!B248</f>
        <v/>
      </c>
      <c r="B248" s="3">
        <f>VLOOKUP(A248,'Production Plan'!B:R,15,FALSE)</f>
        <v/>
      </c>
      <c r="C248" s="3">
        <f>VLOOKUP(A248,'Production Plan'!B:F,5,FALSE)</f>
        <v/>
      </c>
    </row>
    <row r="249" hidden="1">
      <c r="A249" s="3">
        <f>'Production Plan'!B249</f>
        <v/>
      </c>
      <c r="B249" s="3">
        <f>VLOOKUP(A249,'Production Plan'!B:R,15,FALSE)</f>
        <v/>
      </c>
      <c r="C249" s="3">
        <f>VLOOKUP(A249,'Production Plan'!B:F,5,FALSE)</f>
        <v/>
      </c>
    </row>
    <row r="250" hidden="1">
      <c r="A250" s="3">
        <f>'Production Plan'!B250</f>
        <v/>
      </c>
      <c r="B250" s="3">
        <f>VLOOKUP(A250,'Production Plan'!B:R,15,FALSE)</f>
        <v/>
      </c>
      <c r="C250" s="3">
        <f>VLOOKUP(A250,'Production Plan'!B:F,5,FALSE)</f>
        <v/>
      </c>
    </row>
    <row r="251" hidden="1">
      <c r="A251" s="3">
        <f>'Production Plan'!B251</f>
        <v/>
      </c>
      <c r="B251" s="3">
        <f>VLOOKUP(A251,'Production Plan'!B:R,15,FALSE)</f>
        <v/>
      </c>
      <c r="C251" s="3">
        <f>VLOOKUP(A251,'Production Plan'!B:F,5,FALSE)</f>
        <v/>
      </c>
    </row>
    <row r="252" hidden="1">
      <c r="A252" s="3">
        <f>'Production Plan'!B252</f>
        <v/>
      </c>
      <c r="B252" s="3">
        <f>VLOOKUP(A252,'Production Plan'!B:R,15,FALSE)</f>
        <v/>
      </c>
      <c r="C252" s="3">
        <f>VLOOKUP(A252,'Production Plan'!B:F,5,FALSE)</f>
        <v/>
      </c>
    </row>
    <row r="253" hidden="1">
      <c r="A253" s="3">
        <f>'Production Plan'!B253</f>
        <v/>
      </c>
      <c r="B253" s="3">
        <f>VLOOKUP(A253,'Production Plan'!B:R,15,FALSE)</f>
        <v/>
      </c>
      <c r="C253" s="3">
        <f>VLOOKUP(A253,'Production Plan'!B:F,5,FALSE)</f>
        <v/>
      </c>
    </row>
    <row r="254" hidden="1">
      <c r="A254" s="3">
        <f>'Production Plan'!B254</f>
        <v/>
      </c>
      <c r="B254" s="3">
        <f>VLOOKUP(A254,'Production Plan'!B:R,15,FALSE)</f>
        <v/>
      </c>
      <c r="C254" s="3">
        <f>VLOOKUP(A254,'Production Plan'!B:F,5,FALSE)</f>
        <v/>
      </c>
    </row>
    <row r="255" hidden="1">
      <c r="A255" s="3">
        <f>'Production Plan'!B255</f>
        <v/>
      </c>
      <c r="B255" s="3">
        <f>VLOOKUP(A255,'Production Plan'!B:R,15,FALSE)</f>
        <v/>
      </c>
      <c r="C255" s="3">
        <f>VLOOKUP(A255,'Production Plan'!B:F,5,FALSE)</f>
        <v/>
      </c>
    </row>
    <row r="256" hidden="1">
      <c r="A256" s="3">
        <f>'Production Plan'!B256</f>
        <v/>
      </c>
      <c r="B256" s="3">
        <f>VLOOKUP(A256,'Production Plan'!B:R,15,FALSE)</f>
        <v/>
      </c>
      <c r="C256" s="3">
        <f>VLOOKUP(A256,'Production Plan'!B:F,5,FALSE)</f>
        <v/>
      </c>
    </row>
    <row r="257" hidden="1">
      <c r="A257" s="3">
        <f>'Production Plan'!B257</f>
        <v/>
      </c>
      <c r="B257" s="3">
        <f>VLOOKUP(A257,'Production Plan'!B:R,15,FALSE)</f>
        <v/>
      </c>
      <c r="C257" s="3">
        <f>VLOOKUP(A257,'Production Plan'!B:F,5,FALSE)</f>
        <v/>
      </c>
    </row>
    <row r="258" hidden="1">
      <c r="A258" s="3">
        <f>'Production Plan'!B258</f>
        <v/>
      </c>
      <c r="B258" s="3">
        <f>VLOOKUP(A258,'Production Plan'!B:R,15,FALSE)</f>
        <v/>
      </c>
      <c r="C258" s="3">
        <f>VLOOKUP(A258,'Production Plan'!B:F,5,FALSE)</f>
        <v/>
      </c>
    </row>
    <row r="259" hidden="1">
      <c r="A259" s="3">
        <f>'Production Plan'!B259</f>
        <v/>
      </c>
      <c r="B259" s="3">
        <f>VLOOKUP(A259,'Production Plan'!B:R,15,FALSE)</f>
        <v/>
      </c>
      <c r="C259" s="3">
        <f>VLOOKUP(A259,'Production Plan'!B:F,5,FALSE)</f>
        <v/>
      </c>
    </row>
    <row r="260" hidden="1">
      <c r="A260" s="3">
        <f>'Production Plan'!B260</f>
        <v/>
      </c>
      <c r="B260" s="3">
        <f>VLOOKUP(A260,'Production Plan'!B:R,15,FALSE)</f>
        <v/>
      </c>
      <c r="C260" s="3">
        <f>VLOOKUP(A260,'Production Plan'!B:F,5,FALSE)</f>
        <v/>
      </c>
    </row>
    <row r="261" hidden="1">
      <c r="A261" s="3">
        <f>'Production Plan'!B261</f>
        <v/>
      </c>
      <c r="B261" s="3">
        <f>VLOOKUP(A261,'Production Plan'!B:R,15,FALSE)</f>
        <v/>
      </c>
      <c r="C261" s="3">
        <f>VLOOKUP(A261,'Production Plan'!B:F,5,FALSE)</f>
        <v/>
      </c>
    </row>
    <row r="262" hidden="1">
      <c r="A262" s="3">
        <f>'Production Plan'!B262</f>
        <v/>
      </c>
      <c r="B262" s="3">
        <f>VLOOKUP(A262,'Production Plan'!B:R,15,FALSE)</f>
        <v/>
      </c>
      <c r="C262" s="3">
        <f>VLOOKUP(A262,'Production Plan'!B:F,5,FALSE)</f>
        <v/>
      </c>
    </row>
    <row r="263" hidden="1">
      <c r="A263" s="3">
        <f>'Production Plan'!B263</f>
        <v/>
      </c>
      <c r="B263" s="3">
        <f>VLOOKUP(A263,'Production Plan'!B:R,15,FALSE)</f>
        <v/>
      </c>
      <c r="C263" s="3">
        <f>VLOOKUP(A263,'Production Plan'!B:F,5,FALSE)</f>
        <v/>
      </c>
    </row>
    <row r="264" hidden="1">
      <c r="A264" s="3">
        <f>'Production Plan'!B264</f>
        <v/>
      </c>
      <c r="B264" s="3">
        <f>VLOOKUP(A264,'Production Plan'!B:R,15,FALSE)</f>
        <v/>
      </c>
      <c r="C264" s="3">
        <f>VLOOKUP(A264,'Production Plan'!B:F,5,FALSE)</f>
        <v/>
      </c>
    </row>
    <row r="265" hidden="1">
      <c r="A265" s="3">
        <f>'Production Plan'!B265</f>
        <v/>
      </c>
      <c r="B265" s="3">
        <f>VLOOKUP(A265,'Production Plan'!B:R,15,FALSE)</f>
        <v/>
      </c>
      <c r="C265" s="3">
        <f>VLOOKUP(A265,'Production Plan'!B:F,5,FALSE)</f>
        <v/>
      </c>
    </row>
    <row r="266" hidden="1">
      <c r="A266" s="3">
        <f>'Production Plan'!B266</f>
        <v/>
      </c>
      <c r="B266" s="3">
        <f>VLOOKUP(A266,'Production Plan'!B:R,15,FALSE)</f>
        <v/>
      </c>
      <c r="C266" s="3">
        <f>VLOOKUP(A266,'Production Plan'!B:F,5,FALSE)</f>
        <v/>
      </c>
    </row>
    <row r="267" hidden="1">
      <c r="A267" s="3">
        <f>'Production Plan'!B267</f>
        <v/>
      </c>
      <c r="B267" s="3">
        <f>VLOOKUP(A267,'Production Plan'!B:R,15,FALSE)</f>
        <v/>
      </c>
      <c r="C267" s="3">
        <f>VLOOKUP(A267,'Production Plan'!B:F,5,FALSE)</f>
        <v/>
      </c>
    </row>
    <row r="268" hidden="1">
      <c r="A268" s="3">
        <f>'Production Plan'!B268</f>
        <v/>
      </c>
      <c r="B268" s="3">
        <f>VLOOKUP(A268,'Production Plan'!B:R,15,FALSE)</f>
        <v/>
      </c>
      <c r="C268" s="3">
        <f>VLOOKUP(A268,'Production Plan'!B:F,5,FALSE)</f>
        <v/>
      </c>
    </row>
    <row r="269" hidden="1">
      <c r="A269" s="3">
        <f>'Production Plan'!B269</f>
        <v/>
      </c>
      <c r="B269" s="3">
        <f>VLOOKUP(A269,'Production Plan'!B:R,15,FALSE)</f>
        <v/>
      </c>
      <c r="C269" s="3">
        <f>VLOOKUP(A269,'Production Plan'!B:F,5,FALSE)</f>
        <v/>
      </c>
    </row>
    <row r="270" hidden="1">
      <c r="A270" s="3">
        <f>'Production Plan'!B270</f>
        <v/>
      </c>
      <c r="B270" s="3">
        <f>VLOOKUP(A270,'Production Plan'!B:R,15,FALSE)</f>
        <v/>
      </c>
      <c r="C270" s="3">
        <f>VLOOKUP(A270,'Production Plan'!B:F,5,FALSE)</f>
        <v/>
      </c>
    </row>
    <row r="271" hidden="1">
      <c r="A271" s="3">
        <f>'Production Plan'!B271</f>
        <v/>
      </c>
      <c r="B271" s="3">
        <f>VLOOKUP(A271,'Production Plan'!B:R,15,FALSE)</f>
        <v/>
      </c>
      <c r="C271" s="3">
        <f>VLOOKUP(A271,'Production Plan'!B:F,5,FALSE)</f>
        <v/>
      </c>
    </row>
    <row r="272" hidden="1">
      <c r="A272" s="3">
        <f>'Production Plan'!B272</f>
        <v/>
      </c>
      <c r="B272" s="3">
        <f>VLOOKUP(A272,'Production Plan'!B:R,15,FALSE)</f>
        <v/>
      </c>
      <c r="C272" s="3">
        <f>VLOOKUP(A272,'Production Plan'!B:F,5,FALSE)</f>
        <v/>
      </c>
    </row>
    <row r="273" hidden="1">
      <c r="A273" s="3">
        <f>'Production Plan'!B273</f>
        <v/>
      </c>
      <c r="B273" s="3">
        <f>VLOOKUP(A273,'Production Plan'!B:R,15,FALSE)</f>
        <v/>
      </c>
      <c r="C273" s="3">
        <f>VLOOKUP(A273,'Production Plan'!B:F,5,FALSE)</f>
        <v/>
      </c>
    </row>
    <row r="274" hidden="1">
      <c r="A274" s="3">
        <f>'Production Plan'!B274</f>
        <v/>
      </c>
      <c r="B274" s="3">
        <f>VLOOKUP(A274,'Production Plan'!B:R,15,FALSE)</f>
        <v/>
      </c>
      <c r="C274" s="3">
        <f>VLOOKUP(A274,'Production Plan'!B:F,5,FALSE)</f>
        <v/>
      </c>
    </row>
    <row r="275" hidden="1">
      <c r="A275" s="3">
        <f>'Production Plan'!B275</f>
        <v/>
      </c>
      <c r="B275" s="3">
        <f>VLOOKUP(A275,'Production Plan'!B:R,15,FALSE)</f>
        <v/>
      </c>
      <c r="C275" s="3">
        <f>VLOOKUP(A275,'Production Plan'!B:F,5,FALSE)</f>
        <v/>
      </c>
    </row>
    <row r="276" hidden="1">
      <c r="A276" s="3">
        <f>'Production Plan'!B276</f>
        <v/>
      </c>
      <c r="B276" s="3">
        <f>VLOOKUP(A276,'Production Plan'!B:R,15,FALSE)</f>
        <v/>
      </c>
      <c r="C276" s="3">
        <f>VLOOKUP(A276,'Production Plan'!B:F,5,FALSE)</f>
        <v/>
      </c>
    </row>
    <row r="277" hidden="1">
      <c r="A277" s="3">
        <f>'Production Plan'!B277</f>
        <v/>
      </c>
      <c r="B277" s="3">
        <f>VLOOKUP(A277,'Production Plan'!B:R,15,FALSE)</f>
        <v/>
      </c>
      <c r="C277" s="3">
        <f>VLOOKUP(A277,'Production Plan'!B:F,5,FALSE)</f>
        <v/>
      </c>
    </row>
    <row r="278" hidden="1">
      <c r="A278" s="3">
        <f>'Production Plan'!B278</f>
        <v/>
      </c>
      <c r="B278" s="3">
        <f>VLOOKUP(A278,'Production Plan'!B:R,15,FALSE)</f>
        <v/>
      </c>
      <c r="C278" s="3">
        <f>VLOOKUP(A278,'Production Plan'!B:F,5,FALSE)</f>
        <v/>
      </c>
    </row>
    <row r="279" hidden="1">
      <c r="A279" s="3">
        <f>'Production Plan'!B279</f>
        <v/>
      </c>
      <c r="B279" s="3">
        <f>VLOOKUP(A279,'Production Plan'!B:R,15,FALSE)</f>
        <v/>
      </c>
      <c r="C279" s="3">
        <f>VLOOKUP(A279,'Production Plan'!B:F,5,FALSE)</f>
        <v/>
      </c>
    </row>
    <row r="280" hidden="1">
      <c r="A280" s="3">
        <f>'Production Plan'!B280</f>
        <v/>
      </c>
      <c r="B280" s="3">
        <f>VLOOKUP(A280,'Production Plan'!B:R,15,FALSE)</f>
        <v/>
      </c>
      <c r="C280" s="3">
        <f>VLOOKUP(A280,'Production Plan'!B:F,5,FALSE)</f>
        <v/>
      </c>
    </row>
    <row r="281" hidden="1">
      <c r="A281" s="3">
        <f>'Production Plan'!B281</f>
        <v/>
      </c>
      <c r="B281" s="3">
        <f>VLOOKUP(A281,'Production Plan'!B:R,15,FALSE)</f>
        <v/>
      </c>
      <c r="C281" s="3">
        <f>VLOOKUP(A281,'Production Plan'!B:F,5,FALSE)</f>
        <v/>
      </c>
    </row>
    <row r="282" hidden="1">
      <c r="A282" s="3">
        <f>'Production Plan'!B282</f>
        <v/>
      </c>
      <c r="B282" s="3">
        <f>VLOOKUP(A282,'Production Plan'!B:R,15,FALSE)</f>
        <v/>
      </c>
      <c r="C282" s="3">
        <f>VLOOKUP(A282,'Production Plan'!B:F,5,FALSE)</f>
        <v/>
      </c>
    </row>
    <row r="283" hidden="1">
      <c r="A283" s="3">
        <f>'Production Plan'!B283</f>
        <v/>
      </c>
      <c r="B283" s="3">
        <f>VLOOKUP(A283,'Production Plan'!B:R,15,FALSE)</f>
        <v/>
      </c>
      <c r="C283" s="3">
        <f>VLOOKUP(A283,'Production Plan'!B:F,5,FALSE)</f>
        <v/>
      </c>
    </row>
    <row r="284" hidden="1">
      <c r="A284" s="3">
        <f>'Production Plan'!B284</f>
        <v/>
      </c>
      <c r="B284" s="3">
        <f>VLOOKUP(A284,'Production Plan'!B:R,15,FALSE)</f>
        <v/>
      </c>
      <c r="C284" s="3">
        <f>VLOOKUP(A284,'Production Plan'!B:F,5,FALSE)</f>
        <v/>
      </c>
    </row>
    <row r="285" hidden="1">
      <c r="A285" s="3">
        <f>'Production Plan'!B285</f>
        <v/>
      </c>
      <c r="B285" s="3">
        <f>VLOOKUP(A285,'Production Plan'!B:R,15,FALSE)</f>
        <v/>
      </c>
      <c r="C285" s="3">
        <f>VLOOKUP(A285,'Production Plan'!B:F,5,FALSE)</f>
        <v/>
      </c>
    </row>
    <row r="286" hidden="1">
      <c r="A286" s="3">
        <f>'Production Plan'!B286</f>
        <v/>
      </c>
      <c r="B286" s="3">
        <f>VLOOKUP(A286,'Production Plan'!B:R,15,FALSE)</f>
        <v/>
      </c>
      <c r="C286" s="3">
        <f>VLOOKUP(A286,'Production Plan'!B:F,5,FALSE)</f>
        <v/>
      </c>
    </row>
    <row r="287" hidden="1">
      <c r="A287" s="3">
        <f>'Production Plan'!B287</f>
        <v/>
      </c>
      <c r="B287" s="3">
        <f>VLOOKUP(A287,'Production Plan'!B:R,15,FALSE)</f>
        <v/>
      </c>
      <c r="C287" s="3">
        <f>VLOOKUP(A287,'Production Plan'!B:F,5,FALSE)</f>
        <v/>
      </c>
    </row>
    <row r="288" hidden="1">
      <c r="A288" s="3">
        <f>'Production Plan'!B288</f>
        <v/>
      </c>
      <c r="B288" s="3">
        <f>VLOOKUP(A288,'Production Plan'!B:R,15,FALSE)</f>
        <v/>
      </c>
      <c r="C288" s="3">
        <f>VLOOKUP(A288,'Production Plan'!B:F,5,FALSE)</f>
        <v/>
      </c>
    </row>
    <row r="289" hidden="1">
      <c r="A289" s="3">
        <f>'Production Plan'!B289</f>
        <v/>
      </c>
      <c r="B289" s="3">
        <f>VLOOKUP(A289,'Production Plan'!B:R,15,FALSE)</f>
        <v/>
      </c>
      <c r="C289" s="3">
        <f>VLOOKUP(A289,'Production Plan'!B:F,5,FALSE)</f>
        <v/>
      </c>
    </row>
    <row r="290" hidden="1">
      <c r="A290" s="3">
        <f>'Production Plan'!B290</f>
        <v/>
      </c>
      <c r="B290" s="3">
        <f>VLOOKUP(A290,'Production Plan'!B:R,15,FALSE)</f>
        <v/>
      </c>
      <c r="C290" s="3">
        <f>VLOOKUP(A290,'Production Plan'!B:F,5,FALSE)</f>
        <v/>
      </c>
    </row>
    <row r="291" hidden="1">
      <c r="A291" s="3">
        <f>'Production Plan'!B291</f>
        <v/>
      </c>
      <c r="B291" s="3">
        <f>VLOOKUP(A291,'Production Plan'!B:R,15,FALSE)</f>
        <v/>
      </c>
      <c r="C291" s="3">
        <f>VLOOKUP(A291,'Production Plan'!B:F,5,FALSE)</f>
        <v/>
      </c>
    </row>
    <row r="292" hidden="1">
      <c r="A292" s="3">
        <f>'Production Plan'!B292</f>
        <v/>
      </c>
      <c r="B292" s="3">
        <f>VLOOKUP(A292,'Production Plan'!B:R,15,FALSE)</f>
        <v/>
      </c>
      <c r="C292" s="3">
        <f>VLOOKUP(A292,'Production Plan'!B:F,5,FALSE)</f>
        <v/>
      </c>
    </row>
    <row r="293" hidden="1">
      <c r="A293" s="3">
        <f>'Production Plan'!B293</f>
        <v/>
      </c>
      <c r="B293" s="3">
        <f>VLOOKUP(A293,'Production Plan'!B:R,15,FALSE)</f>
        <v/>
      </c>
      <c r="C293" s="3">
        <f>VLOOKUP(A293,'Production Plan'!B:F,5,FALSE)</f>
        <v/>
      </c>
    </row>
    <row r="294" hidden="1">
      <c r="A294" s="3">
        <f>'Production Plan'!B294</f>
        <v/>
      </c>
      <c r="B294" s="3">
        <f>VLOOKUP(A294,'Production Plan'!B:R,15,FALSE)</f>
        <v/>
      </c>
      <c r="C294" s="3">
        <f>VLOOKUP(A294,'Production Plan'!B:F,5,FALSE)</f>
        <v/>
      </c>
    </row>
    <row r="295" hidden="1">
      <c r="A295" s="3">
        <f>'Production Plan'!B295</f>
        <v/>
      </c>
      <c r="B295" s="3">
        <f>VLOOKUP(A295,'Production Plan'!B:R,15,FALSE)</f>
        <v/>
      </c>
      <c r="C295" s="3">
        <f>VLOOKUP(A295,'Production Plan'!B:F,5,FALSE)</f>
        <v/>
      </c>
    </row>
    <row r="296" hidden="1">
      <c r="A296" s="3">
        <f>'Production Plan'!B296</f>
        <v/>
      </c>
      <c r="B296" s="3">
        <f>VLOOKUP(A296,'Production Plan'!B:R,15,FALSE)</f>
        <v/>
      </c>
      <c r="C296" s="3">
        <f>VLOOKUP(A296,'Production Plan'!B:F,5,FALSE)</f>
        <v/>
      </c>
    </row>
    <row r="297" hidden="1">
      <c r="A297" s="3">
        <f>'Production Plan'!B297</f>
        <v/>
      </c>
      <c r="B297" s="3">
        <f>VLOOKUP(A297,'Production Plan'!B:R,15,FALSE)</f>
        <v/>
      </c>
      <c r="C297" s="3">
        <f>VLOOKUP(A297,'Production Plan'!B:F,5,FALSE)</f>
        <v/>
      </c>
    </row>
    <row r="298" hidden="1">
      <c r="A298" s="3">
        <f>'Production Plan'!B298</f>
        <v/>
      </c>
      <c r="B298" s="3">
        <f>VLOOKUP(A298,'Production Plan'!B:R,15,FALSE)</f>
        <v/>
      </c>
      <c r="C298" s="3">
        <f>VLOOKUP(A298,'Production Plan'!B:F,5,FALSE)</f>
        <v/>
      </c>
    </row>
    <row r="299" hidden="1">
      <c r="A299" s="3">
        <f>'Production Plan'!B299</f>
        <v/>
      </c>
      <c r="B299" s="3">
        <f>VLOOKUP(A299,'Production Plan'!B:R,15,FALSE)</f>
        <v/>
      </c>
      <c r="C299" s="3">
        <f>VLOOKUP(A299,'Production Plan'!B:F,5,FALSE)</f>
        <v/>
      </c>
    </row>
    <row r="300" hidden="1">
      <c r="A300" s="3">
        <f>'Production Plan'!B300</f>
        <v/>
      </c>
      <c r="B300" s="3">
        <f>VLOOKUP(A300,'Production Plan'!B:R,15,FALSE)</f>
        <v/>
      </c>
      <c r="C300" s="3">
        <f>VLOOKUP(A300,'Production Plan'!B:F,5,FALSE)</f>
        <v/>
      </c>
    </row>
    <row r="301" hidden="1">
      <c r="A301" s="3">
        <f>'Production Plan'!B301</f>
        <v/>
      </c>
      <c r="B301" s="3">
        <f>VLOOKUP(A301,'Production Plan'!B:R,15,FALSE)</f>
        <v/>
      </c>
      <c r="C301" s="3">
        <f>VLOOKUP(A301,'Production Plan'!B:F,5,FALSE)</f>
        <v/>
      </c>
    </row>
    <row r="302" hidden="1">
      <c r="A302" s="3">
        <f>'Production Plan'!B302</f>
        <v/>
      </c>
      <c r="B302" s="3">
        <f>VLOOKUP(A302,'Production Plan'!B:R,15,FALSE)</f>
        <v/>
      </c>
      <c r="C302" s="3">
        <f>VLOOKUP(A302,'Production Plan'!B:F,5,FALSE)</f>
        <v/>
      </c>
    </row>
    <row r="303" hidden="1">
      <c r="A303" s="3">
        <f>'Production Plan'!B303</f>
        <v/>
      </c>
      <c r="B303" s="3">
        <f>VLOOKUP(A303,'Production Plan'!B:R,15,FALSE)</f>
        <v/>
      </c>
      <c r="C303" s="3">
        <f>VLOOKUP(A303,'Production Plan'!B:F,5,FALSE)</f>
        <v/>
      </c>
    </row>
    <row r="304" hidden="1">
      <c r="A304" s="3">
        <f>'Production Plan'!B304</f>
        <v/>
      </c>
      <c r="B304" s="3">
        <f>VLOOKUP(A304,'Production Plan'!B:R,15,FALSE)</f>
        <v/>
      </c>
      <c r="C304" s="3">
        <f>VLOOKUP(A304,'Production Plan'!B:F,5,FALSE)</f>
        <v/>
      </c>
    </row>
    <row r="305" hidden="1">
      <c r="A305" s="3">
        <f>'Production Plan'!B305</f>
        <v/>
      </c>
      <c r="B305" s="3">
        <f>VLOOKUP(A305,'Production Plan'!B:R,15,FALSE)</f>
        <v/>
      </c>
      <c r="C305" s="3">
        <f>VLOOKUP(A305,'Production Plan'!B:F,5,FALSE)</f>
        <v/>
      </c>
    </row>
    <row r="306" hidden="1">
      <c r="A306" s="3">
        <f>'Production Plan'!B306</f>
        <v/>
      </c>
      <c r="B306" s="3">
        <f>VLOOKUP(A306,'Production Plan'!B:R,15,FALSE)</f>
        <v/>
      </c>
      <c r="C306" s="3">
        <f>VLOOKUP(A306,'Production Plan'!B:F,5,FALSE)</f>
        <v/>
      </c>
    </row>
    <row r="307" hidden="1">
      <c r="A307" s="3">
        <f>'Production Plan'!B307</f>
        <v/>
      </c>
      <c r="B307" s="3">
        <f>VLOOKUP(A307,'Production Plan'!B:R,15,FALSE)</f>
        <v/>
      </c>
      <c r="C307" s="3">
        <f>VLOOKUP(A307,'Production Plan'!B:F,5,FALSE)</f>
        <v/>
      </c>
    </row>
    <row r="308" hidden="1">
      <c r="A308" s="3">
        <f>'Production Plan'!B308</f>
        <v/>
      </c>
      <c r="B308" s="3">
        <f>VLOOKUP(A308,'Production Plan'!B:R,15,FALSE)</f>
        <v/>
      </c>
      <c r="C308" s="3">
        <f>VLOOKUP(A308,'Production Plan'!B:F,5,FALSE)</f>
        <v/>
      </c>
    </row>
    <row r="309" hidden="1">
      <c r="A309" s="3">
        <f>'Production Plan'!B309</f>
        <v/>
      </c>
      <c r="B309" s="3">
        <f>VLOOKUP(A309,'Production Plan'!B:R,15,FALSE)</f>
        <v/>
      </c>
      <c r="C309" s="3">
        <f>VLOOKUP(A309,'Production Plan'!B:F,5,FALSE)</f>
        <v/>
      </c>
    </row>
    <row r="310" hidden="1">
      <c r="A310" s="3">
        <f>'Production Plan'!B310</f>
        <v/>
      </c>
      <c r="B310" s="3">
        <f>VLOOKUP(A310,'Production Plan'!B:R,15,FALSE)</f>
        <v/>
      </c>
      <c r="C310" s="3">
        <f>VLOOKUP(A310,'Production Plan'!B:F,5,FALSE)</f>
        <v/>
      </c>
    </row>
    <row r="311" hidden="1">
      <c r="A311" s="3">
        <f>'Production Plan'!B311</f>
        <v/>
      </c>
      <c r="B311" s="3">
        <f>VLOOKUP(A311,'Production Plan'!B:R,15,FALSE)</f>
        <v/>
      </c>
      <c r="C311" s="3">
        <f>VLOOKUP(A311,'Production Plan'!B:F,5,FALSE)</f>
        <v/>
      </c>
    </row>
    <row r="312" hidden="1">
      <c r="A312" s="3">
        <f>'Production Plan'!B312</f>
        <v/>
      </c>
      <c r="B312" s="3">
        <f>VLOOKUP(A312,'Production Plan'!B:R,15,FALSE)</f>
        <v/>
      </c>
      <c r="C312" s="3">
        <f>VLOOKUP(A312,'Production Plan'!B:F,5,FALSE)</f>
        <v/>
      </c>
    </row>
    <row r="313" hidden="1">
      <c r="A313" s="3">
        <f>'Production Plan'!B313</f>
        <v/>
      </c>
      <c r="B313" s="3">
        <f>VLOOKUP(A313,'Production Plan'!B:R,15,FALSE)</f>
        <v/>
      </c>
      <c r="C313" s="3">
        <f>VLOOKUP(A313,'Production Plan'!B:F,5,FALSE)</f>
        <v/>
      </c>
    </row>
    <row r="314" hidden="1">
      <c r="A314" s="3">
        <f>'Production Plan'!B314</f>
        <v/>
      </c>
      <c r="B314" s="3">
        <f>VLOOKUP(A314,'Production Plan'!B:R,15,FALSE)</f>
        <v/>
      </c>
      <c r="C314" s="3">
        <f>VLOOKUP(A314,'Production Plan'!B:F,5,FALSE)</f>
        <v/>
      </c>
    </row>
    <row r="315" hidden="1">
      <c r="A315" s="3">
        <f>'Production Plan'!B315</f>
        <v/>
      </c>
      <c r="B315" s="3">
        <f>VLOOKUP(A315,'Production Plan'!B:R,15,FALSE)</f>
        <v/>
      </c>
      <c r="C315" s="3">
        <f>VLOOKUP(A315,'Production Plan'!B:F,5,FALSE)</f>
        <v/>
      </c>
    </row>
    <row r="316" hidden="1">
      <c r="A316" s="3">
        <f>'Production Plan'!B316</f>
        <v/>
      </c>
      <c r="B316" s="3">
        <f>VLOOKUP(A316,'Production Plan'!B:R,15,FALSE)</f>
        <v/>
      </c>
      <c r="C316" s="3">
        <f>VLOOKUP(A316,'Production Plan'!B:F,5,FALSE)</f>
        <v/>
      </c>
    </row>
    <row r="317" hidden="1">
      <c r="A317" s="3">
        <f>'Production Plan'!B317</f>
        <v/>
      </c>
      <c r="B317" s="3">
        <f>VLOOKUP(A317,'Production Plan'!B:R,15,FALSE)</f>
        <v/>
      </c>
      <c r="C317" s="3">
        <f>VLOOKUP(A317,'Production Plan'!B:F,5,FALSE)</f>
        <v/>
      </c>
    </row>
    <row r="318" hidden="1">
      <c r="A318" s="3">
        <f>'Production Plan'!B318</f>
        <v/>
      </c>
      <c r="B318" s="3">
        <f>VLOOKUP(A318,'Production Plan'!B:R,15,FALSE)</f>
        <v/>
      </c>
      <c r="C318" s="3">
        <f>VLOOKUP(A318,'Production Plan'!B:F,5,FALSE)</f>
        <v/>
      </c>
    </row>
    <row r="319" hidden="1">
      <c r="A319" s="3">
        <f>'Production Plan'!B319</f>
        <v/>
      </c>
      <c r="B319" s="3">
        <f>VLOOKUP(A319,'Production Plan'!B:R,15,FALSE)</f>
        <v/>
      </c>
      <c r="C319" s="3">
        <f>VLOOKUP(A319,'Production Plan'!B:F,5,FALSE)</f>
        <v/>
      </c>
    </row>
    <row r="320" hidden="1">
      <c r="A320" s="3">
        <f>'Production Plan'!B320</f>
        <v/>
      </c>
      <c r="B320" s="3">
        <f>VLOOKUP(A320,'Production Plan'!B:R,15,FALSE)</f>
        <v/>
      </c>
      <c r="C320" s="3">
        <f>VLOOKUP(A320,'Production Plan'!B:F,5,FALSE)</f>
        <v/>
      </c>
    </row>
    <row r="321" hidden="1">
      <c r="A321" s="3">
        <f>'Production Plan'!B321</f>
        <v/>
      </c>
      <c r="B321" s="3">
        <f>VLOOKUP(A321,'Production Plan'!B:R,15,FALSE)</f>
        <v/>
      </c>
      <c r="C321" s="3">
        <f>VLOOKUP(A321,'Production Plan'!B:F,5,FALSE)</f>
        <v/>
      </c>
    </row>
    <row r="322" hidden="1">
      <c r="A322" s="3">
        <f>'Production Plan'!B322</f>
        <v/>
      </c>
      <c r="B322" s="3">
        <f>VLOOKUP(A322,'Production Plan'!B:R,15,FALSE)</f>
        <v/>
      </c>
      <c r="C322" s="3">
        <f>VLOOKUP(A322,'Production Plan'!B:F,5,FALSE)</f>
        <v/>
      </c>
    </row>
    <row r="323" hidden="1">
      <c r="A323" s="3">
        <f>'Production Plan'!#REF!</f>
        <v/>
      </c>
      <c r="B323" s="3">
        <f>VLOOKUP(A323,'Production Plan'!B:R,15,FALSE)</f>
        <v/>
      </c>
      <c r="C323" s="3">
        <f>VLOOKUP(A323,'Production Plan'!B:F,5,FALSE)</f>
        <v/>
      </c>
    </row>
    <row r="324" hidden="1">
      <c r="A324" s="3">
        <f>'Production Plan'!B323</f>
        <v/>
      </c>
      <c r="B324" s="3">
        <f>VLOOKUP(A324,'Production Plan'!B:R,15,FALSE)</f>
        <v/>
      </c>
      <c r="C324" s="3">
        <f>VLOOKUP(A324,'Production Plan'!B:F,5,FALSE)</f>
        <v/>
      </c>
    </row>
    <row r="325" hidden="1">
      <c r="A325" s="3">
        <f>'Production Plan'!B324</f>
        <v/>
      </c>
      <c r="B325" s="3">
        <f>VLOOKUP(A325,'Production Plan'!B:R,15,FALSE)</f>
        <v/>
      </c>
      <c r="C325" s="3">
        <f>VLOOKUP(A325,'Production Plan'!B:F,5,FALSE)</f>
        <v/>
      </c>
    </row>
    <row r="326" hidden="1">
      <c r="A326" s="3">
        <f>'Production Plan'!B325</f>
        <v/>
      </c>
      <c r="B326" s="3">
        <f>VLOOKUP(A326,'Production Plan'!B:R,15,FALSE)</f>
        <v/>
      </c>
      <c r="C326" s="3">
        <f>VLOOKUP(A326,'Production Plan'!B:F,5,FALSE)</f>
        <v/>
      </c>
    </row>
    <row r="327" hidden="1">
      <c r="A327" s="3">
        <f>'Production Plan'!B326</f>
        <v/>
      </c>
      <c r="B327" s="3">
        <f>VLOOKUP(A327,'Production Plan'!B:R,15,FALSE)</f>
        <v/>
      </c>
      <c r="C327" s="3">
        <f>VLOOKUP(A327,'Production Plan'!B:F,5,FALSE)</f>
        <v/>
      </c>
    </row>
    <row r="328" hidden="1">
      <c r="A328" s="3">
        <f>'Production Plan'!B327</f>
        <v/>
      </c>
      <c r="B328" s="3">
        <f>VLOOKUP(A328,'Production Plan'!B:R,15,FALSE)</f>
        <v/>
      </c>
      <c r="C328" s="3">
        <f>VLOOKUP(A328,'Production Plan'!B:F,5,FALSE)</f>
        <v/>
      </c>
    </row>
    <row r="329" hidden="1">
      <c r="A329" s="3">
        <f>'Production Plan'!B328</f>
        <v/>
      </c>
      <c r="B329" s="3">
        <f>VLOOKUP(A329,'Production Plan'!B:R,15,FALSE)</f>
        <v/>
      </c>
      <c r="C329" s="3">
        <f>VLOOKUP(A329,'Production Plan'!B:F,5,FALSE)</f>
        <v/>
      </c>
    </row>
    <row r="330" hidden="1">
      <c r="A330" s="3">
        <f>'Production Plan'!B329</f>
        <v/>
      </c>
      <c r="B330" s="3">
        <f>VLOOKUP(A330,'Production Plan'!B:R,15,FALSE)</f>
        <v/>
      </c>
      <c r="C330" s="3">
        <f>VLOOKUP(A330,'Production Plan'!B:F,5,FALSE)</f>
        <v/>
      </c>
    </row>
    <row r="331" hidden="1">
      <c r="A331" s="3">
        <f>'Production Plan'!B330</f>
        <v/>
      </c>
      <c r="B331" s="3">
        <f>VLOOKUP(A331,'Production Plan'!B:R,15,FALSE)</f>
        <v/>
      </c>
      <c r="C331" s="3">
        <f>VLOOKUP(A331,'Production Plan'!B:F,5,FALSE)</f>
        <v/>
      </c>
    </row>
    <row r="332" hidden="1">
      <c r="A332" s="3">
        <f>'Production Plan'!B331</f>
        <v/>
      </c>
      <c r="B332" s="3">
        <f>VLOOKUP(A332,'Production Plan'!B:R,15,FALSE)</f>
        <v/>
      </c>
      <c r="C332" s="3">
        <f>VLOOKUP(A332,'Production Plan'!B:F,5,FALSE)</f>
        <v/>
      </c>
    </row>
    <row r="333" hidden="1">
      <c r="A333" s="3">
        <f>'Production Plan'!B332</f>
        <v/>
      </c>
      <c r="B333" s="3">
        <f>VLOOKUP(A333,'Production Plan'!B:R,15,FALSE)</f>
        <v/>
      </c>
      <c r="C333" s="3">
        <f>VLOOKUP(A333,'Production Plan'!B:F,5,FALSE)</f>
        <v/>
      </c>
    </row>
    <row r="334" hidden="1">
      <c r="A334" s="3">
        <f>'Production Plan'!B333</f>
        <v/>
      </c>
      <c r="B334" s="3">
        <f>VLOOKUP(A334,'Production Plan'!B:R,15,FALSE)</f>
        <v/>
      </c>
      <c r="C334" s="3">
        <f>VLOOKUP(A334,'Production Plan'!B:F,5,FALSE)</f>
        <v/>
      </c>
    </row>
    <row r="335" hidden="1">
      <c r="A335" s="3">
        <f>'Production Plan'!B334</f>
        <v/>
      </c>
      <c r="B335" s="3">
        <f>VLOOKUP(A335,'Production Plan'!B:R,15,FALSE)</f>
        <v/>
      </c>
      <c r="C335" s="3">
        <f>VLOOKUP(A335,'Production Plan'!B:F,5,FALSE)</f>
        <v/>
      </c>
    </row>
    <row r="336" hidden="1">
      <c r="A336" s="3">
        <f>'Production Plan'!B335</f>
        <v/>
      </c>
      <c r="B336" s="3">
        <f>VLOOKUP(A336,'Production Plan'!B:R,15,FALSE)</f>
        <v/>
      </c>
      <c r="C336" s="3">
        <f>VLOOKUP(A336,'Production Plan'!B:F,5,FALSE)</f>
        <v/>
      </c>
    </row>
    <row r="337" hidden="1">
      <c r="A337" s="3">
        <f>'Production Plan'!B336</f>
        <v/>
      </c>
      <c r="B337" s="3">
        <f>VLOOKUP(A337,'Production Plan'!B:R,15,FALSE)</f>
        <v/>
      </c>
      <c r="C337" s="3">
        <f>VLOOKUP(A337,'Production Plan'!B:F,5,FALSE)</f>
        <v/>
      </c>
    </row>
    <row r="338" hidden="1">
      <c r="A338" s="3">
        <f>'Production Plan'!B337</f>
        <v/>
      </c>
      <c r="B338" s="3">
        <f>VLOOKUP(A338,'Production Plan'!B:R,15,FALSE)</f>
        <v/>
      </c>
      <c r="C338" s="3">
        <f>VLOOKUP(A338,'Production Plan'!B:F,5,FALSE)</f>
        <v/>
      </c>
    </row>
    <row r="339" hidden="1">
      <c r="A339" s="3">
        <f>'Production Plan'!B338</f>
        <v/>
      </c>
      <c r="B339" s="3">
        <f>VLOOKUP(A339,'Production Plan'!B:R,15,FALSE)</f>
        <v/>
      </c>
      <c r="C339" s="3">
        <f>VLOOKUP(A339,'Production Plan'!B:F,5,FALSE)</f>
        <v/>
      </c>
    </row>
    <row r="340" hidden="1">
      <c r="A340" s="3">
        <f>'Production Plan'!B339</f>
        <v/>
      </c>
      <c r="B340" s="3">
        <f>VLOOKUP(A340,'Production Plan'!B:R,15,FALSE)</f>
        <v/>
      </c>
      <c r="C340" s="3">
        <f>VLOOKUP(A340,'Production Plan'!B:F,5,FALSE)</f>
        <v/>
      </c>
    </row>
    <row r="341" hidden="1">
      <c r="A341" s="3">
        <f>'Production Plan'!B340</f>
        <v/>
      </c>
      <c r="B341" s="3">
        <f>VLOOKUP(A341,'Production Plan'!B:R,15,FALSE)</f>
        <v/>
      </c>
      <c r="C341" s="3">
        <f>VLOOKUP(A341,'Production Plan'!B:F,5,FALSE)</f>
        <v/>
      </c>
    </row>
    <row r="342" hidden="1">
      <c r="A342" s="3">
        <f>'Production Plan'!B341</f>
        <v/>
      </c>
      <c r="B342" s="3">
        <f>VLOOKUP(A342,'Production Plan'!B:R,15,FALSE)</f>
        <v/>
      </c>
      <c r="C342" s="3">
        <f>VLOOKUP(A342,'Production Plan'!B:F,5,FALSE)</f>
        <v/>
      </c>
    </row>
    <row r="343" hidden="1">
      <c r="A343" s="3">
        <f>'Production Plan'!B342</f>
        <v/>
      </c>
      <c r="B343" s="3">
        <f>VLOOKUP(A343,'Production Plan'!B:R,15,FALSE)</f>
        <v/>
      </c>
      <c r="C343" s="3">
        <f>VLOOKUP(A343,'Production Plan'!B:F,5,FALSE)</f>
        <v/>
      </c>
    </row>
    <row r="344" hidden="1">
      <c r="A344" s="3">
        <f>'Production Plan'!B343</f>
        <v/>
      </c>
      <c r="B344" s="3">
        <f>VLOOKUP(A344,'Production Plan'!B:R,15,FALSE)</f>
        <v/>
      </c>
      <c r="C344" s="3">
        <f>VLOOKUP(A344,'Production Plan'!B:F,5,FALSE)</f>
        <v/>
      </c>
    </row>
    <row r="345" hidden="1">
      <c r="A345" s="3">
        <f>'Production Plan'!B344</f>
        <v/>
      </c>
      <c r="B345" s="3">
        <f>VLOOKUP(A345,'Production Plan'!B:R,15,FALSE)</f>
        <v/>
      </c>
      <c r="C345" s="3">
        <f>VLOOKUP(A345,'Production Plan'!B:F,5,FALSE)</f>
        <v/>
      </c>
    </row>
    <row r="346" hidden="1">
      <c r="A346" s="3">
        <f>'Production Plan'!B345</f>
        <v/>
      </c>
      <c r="B346" s="3">
        <f>VLOOKUP(A346,'Production Plan'!B:R,15,FALSE)</f>
        <v/>
      </c>
      <c r="C346" s="3">
        <f>VLOOKUP(A346,'Production Plan'!B:F,5,FALSE)</f>
        <v/>
      </c>
    </row>
    <row r="347" hidden="1">
      <c r="A347" s="3">
        <f>'Production Plan'!B346</f>
        <v/>
      </c>
      <c r="B347" s="3">
        <f>VLOOKUP(A347,'Production Plan'!B:R,15,FALSE)</f>
        <v/>
      </c>
      <c r="C347" s="3">
        <f>VLOOKUP(A347,'Production Plan'!B:F,5,FALSE)</f>
        <v/>
      </c>
    </row>
    <row r="348" hidden="1">
      <c r="A348" s="3">
        <f>'Production Plan'!B347</f>
        <v/>
      </c>
      <c r="B348" s="3">
        <f>VLOOKUP(A348,'Production Plan'!B:R,15,FALSE)</f>
        <v/>
      </c>
      <c r="C348" s="3">
        <f>VLOOKUP(A348,'Production Plan'!B:F,5,FALSE)</f>
        <v/>
      </c>
    </row>
    <row r="349" hidden="1">
      <c r="A349" s="3">
        <f>'Production Plan'!B348</f>
        <v/>
      </c>
      <c r="B349" s="3">
        <f>VLOOKUP(A349,'Production Plan'!B:R,15,FALSE)</f>
        <v/>
      </c>
      <c r="C349" s="3">
        <f>VLOOKUP(A349,'Production Plan'!B:F,5,FALSE)</f>
        <v/>
      </c>
    </row>
    <row r="350" hidden="1">
      <c r="A350" s="3">
        <f>'Production Plan'!B349</f>
        <v/>
      </c>
      <c r="B350" s="3">
        <f>VLOOKUP(A350,'Production Plan'!B:R,15,FALSE)</f>
        <v/>
      </c>
      <c r="C350" s="3">
        <f>VLOOKUP(A350,'Production Plan'!B:F,5,FALSE)</f>
        <v/>
      </c>
    </row>
    <row r="351" hidden="1">
      <c r="A351" s="3">
        <f>'Production Plan'!B350</f>
        <v/>
      </c>
      <c r="B351" s="3">
        <f>VLOOKUP(A351,'Production Plan'!B:R,15,FALSE)</f>
        <v/>
      </c>
      <c r="C351" s="3">
        <f>VLOOKUP(A351,'Production Plan'!B:F,5,FALSE)</f>
        <v/>
      </c>
    </row>
    <row r="352" hidden="1">
      <c r="A352" s="3">
        <f>'Production Plan'!B351</f>
        <v/>
      </c>
      <c r="B352" s="3">
        <f>VLOOKUP(A352,'Production Plan'!B:R,15,FALSE)</f>
        <v/>
      </c>
      <c r="C352" s="3">
        <f>VLOOKUP(A352,'Production Plan'!B:F,5,FALSE)</f>
        <v/>
      </c>
    </row>
    <row r="353" hidden="1">
      <c r="A353" s="3">
        <f>'Production Plan'!B352</f>
        <v/>
      </c>
      <c r="B353" s="3">
        <f>VLOOKUP(A353,'Production Plan'!B:R,15,FALSE)</f>
        <v/>
      </c>
      <c r="C353" s="3">
        <f>VLOOKUP(A353,'Production Plan'!B:F,5,FALSE)</f>
        <v/>
      </c>
    </row>
    <row r="354" hidden="1">
      <c r="A354" s="3">
        <f>'Production Plan'!B353</f>
        <v/>
      </c>
      <c r="B354" s="3">
        <f>VLOOKUP(A354,'Production Plan'!B:R,15,FALSE)</f>
        <v/>
      </c>
      <c r="C354" s="3">
        <f>VLOOKUP(A354,'Production Plan'!B:F,5,FALSE)</f>
        <v/>
      </c>
    </row>
    <row r="355" hidden="1">
      <c r="A355" s="3">
        <f>'Production Plan'!B354</f>
        <v/>
      </c>
      <c r="B355" s="3">
        <f>VLOOKUP(A355,'Production Plan'!B:R,15,FALSE)</f>
        <v/>
      </c>
      <c r="C355" s="3">
        <f>VLOOKUP(A355,'Production Plan'!B:F,5,FALSE)</f>
        <v/>
      </c>
    </row>
    <row r="356" hidden="1">
      <c r="A356" s="3">
        <f>'Production Plan'!B355</f>
        <v/>
      </c>
      <c r="B356" s="3">
        <f>VLOOKUP(A356,'Production Plan'!B:R,15,FALSE)</f>
        <v/>
      </c>
      <c r="C356" s="3">
        <f>VLOOKUP(A356,'Production Plan'!B:F,5,FALSE)</f>
        <v/>
      </c>
    </row>
    <row r="357" hidden="1">
      <c r="A357" s="3">
        <f>'Production Plan'!B356</f>
        <v/>
      </c>
      <c r="B357" s="3">
        <f>VLOOKUP(A357,'Production Plan'!B:R,15,FALSE)</f>
        <v/>
      </c>
      <c r="C357" s="3">
        <f>VLOOKUP(A357,'Production Plan'!B:F,5,FALSE)</f>
        <v/>
      </c>
    </row>
    <row r="358" hidden="1">
      <c r="A358" s="3">
        <f>'Production Plan'!B357</f>
        <v/>
      </c>
      <c r="B358" s="3">
        <f>VLOOKUP(A358,'Production Plan'!B:R,15,FALSE)</f>
        <v/>
      </c>
      <c r="C358" s="3">
        <f>VLOOKUP(A358,'Production Plan'!B:F,5,FALSE)</f>
        <v/>
      </c>
    </row>
    <row r="359" hidden="1">
      <c r="A359" s="3">
        <f>'Production Plan'!#REF!</f>
        <v/>
      </c>
      <c r="B359" s="3">
        <f>VLOOKUP(A359,'Production Plan'!B:R,15,FALSE)</f>
        <v/>
      </c>
      <c r="C359" s="3">
        <f>VLOOKUP(A359,'Production Plan'!B:F,5,FALSE)</f>
        <v/>
      </c>
    </row>
    <row r="360" hidden="1">
      <c r="A360" s="3">
        <f>'Production Plan'!#REF!</f>
        <v/>
      </c>
      <c r="B360" s="3">
        <f>VLOOKUP(A360,'Production Plan'!B:R,15,FALSE)</f>
        <v/>
      </c>
      <c r="C360" s="3">
        <f>VLOOKUP(A360,'Production Plan'!B:F,5,FALSE)</f>
        <v/>
      </c>
    </row>
    <row r="361" hidden="1">
      <c r="A361" s="3">
        <f>'Production Plan'!#REF!</f>
        <v/>
      </c>
      <c r="B361" s="3">
        <f>VLOOKUP(A361,'Production Plan'!B:R,15,FALSE)</f>
        <v/>
      </c>
      <c r="C361" s="3">
        <f>VLOOKUP(A361,'Production Plan'!B:F,5,FALSE)</f>
        <v/>
      </c>
    </row>
    <row r="362" hidden="1">
      <c r="A362" s="3">
        <f>'Production Plan'!#REF!</f>
        <v/>
      </c>
      <c r="B362" s="3">
        <f>VLOOKUP(A362,'Production Plan'!B:R,15,FALSE)</f>
        <v/>
      </c>
      <c r="C362" s="3">
        <f>VLOOKUP(A362,'Production Plan'!B:F,5,FALSE)</f>
        <v/>
      </c>
    </row>
    <row r="363" hidden="1">
      <c r="A363" s="3">
        <f>'Production Plan'!#REF!</f>
        <v/>
      </c>
      <c r="B363" s="3">
        <f>VLOOKUP(A363,'Production Plan'!B:R,15,FALSE)</f>
        <v/>
      </c>
      <c r="C363" s="3">
        <f>VLOOKUP(A363,'Production Plan'!B:F,5,FALSE)</f>
        <v/>
      </c>
    </row>
    <row r="364" hidden="1">
      <c r="A364" s="3">
        <f>'Production Plan'!#REF!</f>
        <v/>
      </c>
      <c r="B364" s="3">
        <f>VLOOKUP(A364,'Production Plan'!B:R,15,FALSE)</f>
        <v/>
      </c>
      <c r="C364" s="3">
        <f>VLOOKUP(A364,'Production Plan'!B:F,5,FALSE)</f>
        <v/>
      </c>
    </row>
    <row r="365" hidden="1">
      <c r="A365" s="3">
        <f>'Production Plan'!#REF!</f>
        <v/>
      </c>
      <c r="B365" s="3">
        <f>VLOOKUP(A365,'Production Plan'!B:R,15,FALSE)</f>
        <v/>
      </c>
      <c r="C365" s="3">
        <f>VLOOKUP(A365,'Production Plan'!B:F,5,FALSE)</f>
        <v/>
      </c>
    </row>
    <row r="366" hidden="1">
      <c r="A366" s="3">
        <f>'Production Plan'!#REF!</f>
        <v/>
      </c>
      <c r="B366" s="3">
        <f>VLOOKUP(A366,'Production Plan'!B:R,15,FALSE)</f>
        <v/>
      </c>
      <c r="C366" s="3">
        <f>VLOOKUP(A366,'Production Plan'!B:F,5,FALSE)</f>
        <v/>
      </c>
    </row>
    <row r="367" hidden="1">
      <c r="A367" s="3">
        <f>'Production Plan'!#REF!</f>
        <v/>
      </c>
      <c r="B367" s="3">
        <f>VLOOKUP(A367,'Production Plan'!B:R,15,FALSE)</f>
        <v/>
      </c>
      <c r="C367" s="3">
        <f>VLOOKUP(A367,'Production Plan'!B:F,5,FALSE)</f>
        <v/>
      </c>
    </row>
    <row r="368" hidden="1">
      <c r="A368" s="3">
        <f>'Production Plan'!#REF!</f>
        <v/>
      </c>
      <c r="B368" s="3">
        <f>VLOOKUP(A368,'Production Plan'!B:R,15,FALSE)</f>
        <v/>
      </c>
      <c r="C368" s="3">
        <f>VLOOKUP(A368,'Production Plan'!B:F,5,FALSE)</f>
        <v/>
      </c>
    </row>
    <row r="369" hidden="1">
      <c r="A369" s="3">
        <f>'Production Plan'!#REF!</f>
        <v/>
      </c>
      <c r="B369" s="3">
        <f>VLOOKUP(A369,'Production Plan'!B:R,15,FALSE)</f>
        <v/>
      </c>
      <c r="C369" s="3">
        <f>VLOOKUP(A369,'Production Plan'!B:F,5,FALSE)</f>
        <v/>
      </c>
    </row>
    <row r="370" hidden="1">
      <c r="A370" s="3">
        <f>'Production Plan'!B358</f>
        <v/>
      </c>
      <c r="B370" s="3">
        <f>VLOOKUP(A370,'Production Plan'!B:R,15,FALSE)</f>
        <v/>
      </c>
      <c r="C370" s="3">
        <f>VLOOKUP(A370,'Production Plan'!B:F,5,FALSE)</f>
        <v/>
      </c>
    </row>
    <row r="371" hidden="1">
      <c r="A371" s="3">
        <f>'Production Plan'!B359</f>
        <v/>
      </c>
      <c r="B371" s="3">
        <f>VLOOKUP(A371,'Production Plan'!B:R,15,FALSE)</f>
        <v/>
      </c>
      <c r="C371" s="3">
        <f>VLOOKUP(A371,'Production Plan'!B:F,5,FALSE)</f>
        <v/>
      </c>
    </row>
    <row r="372" hidden="1">
      <c r="A372" s="3">
        <f>'Production Plan'!B360</f>
        <v/>
      </c>
      <c r="B372" s="3">
        <f>VLOOKUP(A372,'Production Plan'!B:R,15,FALSE)</f>
        <v/>
      </c>
      <c r="C372" s="3">
        <f>VLOOKUP(A372,'Production Plan'!B:F,5,FALSE)</f>
        <v/>
      </c>
    </row>
    <row r="373" hidden="1">
      <c r="A373" s="3">
        <f>'Production Plan'!B361</f>
        <v/>
      </c>
      <c r="B373" s="3">
        <f>VLOOKUP(A373,'Production Plan'!B:R,15,FALSE)</f>
        <v/>
      </c>
      <c r="C373" s="3">
        <f>VLOOKUP(A373,'Production Plan'!B:F,5,FALSE)</f>
        <v/>
      </c>
    </row>
    <row r="374" hidden="1">
      <c r="A374" s="3">
        <f>'Production Plan'!B362</f>
        <v/>
      </c>
      <c r="B374" s="3">
        <f>VLOOKUP(A374,'Production Plan'!B:R,15,FALSE)</f>
        <v/>
      </c>
      <c r="C374" s="3">
        <f>VLOOKUP(A374,'Production Plan'!B:F,5,FALSE)</f>
        <v/>
      </c>
    </row>
    <row r="375" hidden="1">
      <c r="A375" s="3">
        <f>'Production Plan'!B363</f>
        <v/>
      </c>
      <c r="B375" s="3">
        <f>VLOOKUP(A375,'Production Plan'!B:R,15,FALSE)</f>
        <v/>
      </c>
      <c r="C375" s="3">
        <f>VLOOKUP(A375,'Production Plan'!B:F,5,FALSE)</f>
        <v/>
      </c>
    </row>
    <row r="376" hidden="1">
      <c r="A376" s="3">
        <f>'Production Plan'!B364</f>
        <v/>
      </c>
      <c r="B376" s="3">
        <f>VLOOKUP(A376,'Production Plan'!B:R,15,FALSE)</f>
        <v/>
      </c>
      <c r="C376" s="3">
        <f>VLOOKUP(A376,'Production Plan'!B:F,5,FALSE)</f>
        <v/>
      </c>
    </row>
    <row r="377" hidden="1">
      <c r="A377" s="3">
        <f>'Production Plan'!B365</f>
        <v/>
      </c>
      <c r="B377" s="3">
        <f>VLOOKUP(A377,'Production Plan'!B:R,15,FALSE)</f>
        <v/>
      </c>
      <c r="C377" s="3">
        <f>VLOOKUP(A377,'Production Plan'!B:F,5,FALSE)</f>
        <v/>
      </c>
    </row>
    <row r="378" hidden="1">
      <c r="A378" s="3">
        <f>'Production Plan'!B366</f>
        <v/>
      </c>
      <c r="B378" s="3">
        <f>VLOOKUP(A378,'Production Plan'!B:R,15,FALSE)</f>
        <v/>
      </c>
      <c r="C378" s="3">
        <f>VLOOKUP(A378,'Production Plan'!B:F,5,FALSE)</f>
        <v/>
      </c>
    </row>
    <row r="379" hidden="1">
      <c r="A379" s="3">
        <f>'Production Plan'!B367</f>
        <v/>
      </c>
      <c r="B379" s="3">
        <f>VLOOKUP(A379,'Production Plan'!B:R,15,FALSE)</f>
        <v/>
      </c>
      <c r="C379" s="3">
        <f>VLOOKUP(A379,'Production Plan'!B:F,5,FALSE)</f>
        <v/>
      </c>
    </row>
    <row r="380" hidden="1">
      <c r="A380" s="3">
        <f>'Production Plan'!B368</f>
        <v/>
      </c>
      <c r="B380" s="3">
        <f>VLOOKUP(A380,'Production Plan'!B:R,15,FALSE)</f>
        <v/>
      </c>
      <c r="C380" s="3">
        <f>VLOOKUP(A380,'Production Plan'!B:F,5,FALSE)</f>
        <v/>
      </c>
    </row>
    <row r="381" hidden="1">
      <c r="A381" s="3">
        <f>'Production Plan'!B369</f>
        <v/>
      </c>
      <c r="B381" s="3">
        <f>VLOOKUP(A381,'Production Plan'!B:R,15,FALSE)</f>
        <v/>
      </c>
      <c r="C381" s="3">
        <f>VLOOKUP(A381,'Production Plan'!B:F,5,FALSE)</f>
        <v/>
      </c>
    </row>
    <row r="382" hidden="1">
      <c r="A382" s="3">
        <f>'Production Plan'!B370</f>
        <v/>
      </c>
      <c r="B382" s="3">
        <f>VLOOKUP(A382,'Production Plan'!B:R,15,FALSE)</f>
        <v/>
      </c>
      <c r="C382" s="3">
        <f>VLOOKUP(A382,'Production Plan'!B:F,5,FALSE)</f>
        <v/>
      </c>
    </row>
    <row r="383" hidden="1">
      <c r="A383" s="3">
        <f>'Production Plan'!B371</f>
        <v/>
      </c>
      <c r="B383" s="3">
        <f>VLOOKUP(A383,'Production Plan'!B:R,15,FALSE)</f>
        <v/>
      </c>
      <c r="C383" s="3">
        <f>VLOOKUP(A383,'Production Plan'!B:F,5,FALSE)</f>
        <v/>
      </c>
    </row>
    <row r="384" hidden="1">
      <c r="A384" s="3">
        <f>'Production Plan'!B372</f>
        <v/>
      </c>
      <c r="B384" s="3">
        <f>VLOOKUP(A384,'Production Plan'!B:R,15,FALSE)</f>
        <v/>
      </c>
      <c r="C384" s="3">
        <f>VLOOKUP(A384,'Production Plan'!B:F,5,FALSE)</f>
        <v/>
      </c>
    </row>
    <row r="385" hidden="1">
      <c r="A385" s="3">
        <f>'Production Plan'!B373</f>
        <v/>
      </c>
      <c r="B385" s="3">
        <f>VLOOKUP(A385,'Production Plan'!B:R,15,FALSE)</f>
        <v/>
      </c>
      <c r="C385" s="3">
        <f>VLOOKUP(A385,'Production Plan'!B:F,5,FALSE)</f>
        <v/>
      </c>
    </row>
    <row r="386" hidden="1">
      <c r="A386" s="3">
        <f>'Production Plan'!B374</f>
        <v/>
      </c>
      <c r="B386" s="3">
        <f>VLOOKUP(A386,'Production Plan'!B:R,15,FALSE)</f>
        <v/>
      </c>
      <c r="C386" s="3">
        <f>VLOOKUP(A386,'Production Plan'!B:F,5,FALSE)</f>
        <v/>
      </c>
    </row>
    <row r="387" hidden="1">
      <c r="A387" s="3">
        <f>'Production Plan'!B375</f>
        <v/>
      </c>
      <c r="B387" s="3">
        <f>VLOOKUP(A387,'Production Plan'!B:R,15,FALSE)</f>
        <v/>
      </c>
      <c r="C387" s="3">
        <f>VLOOKUP(A387,'Production Plan'!B:F,5,FALSE)</f>
        <v/>
      </c>
    </row>
    <row r="388" hidden="1">
      <c r="A388" s="3">
        <f>'Production Plan'!B376</f>
        <v/>
      </c>
      <c r="B388" s="3">
        <f>VLOOKUP(A388,'Production Plan'!B:R,15,FALSE)</f>
        <v/>
      </c>
      <c r="C388" s="3">
        <f>VLOOKUP(A388,'Production Plan'!B:F,5,FALSE)</f>
        <v/>
      </c>
    </row>
    <row r="389" hidden="1">
      <c r="A389" s="3">
        <f>'Production Plan'!B377</f>
        <v/>
      </c>
      <c r="B389" s="3">
        <f>VLOOKUP(A389,'Production Plan'!B:R,15,FALSE)</f>
        <v/>
      </c>
      <c r="C389" s="3">
        <f>VLOOKUP(A389,'Production Plan'!B:F,5,FALSE)</f>
        <v/>
      </c>
    </row>
    <row r="390" hidden="1">
      <c r="A390" s="3">
        <f>'Production Plan'!B378</f>
        <v/>
      </c>
      <c r="B390" s="3">
        <f>VLOOKUP(A390,'Production Plan'!B:R,15,FALSE)</f>
        <v/>
      </c>
      <c r="C390" s="3">
        <f>VLOOKUP(A390,'Production Plan'!B:F,5,FALSE)</f>
        <v/>
      </c>
    </row>
    <row r="391" hidden="1">
      <c r="A391" s="3">
        <f>'Production Plan'!B379</f>
        <v/>
      </c>
      <c r="B391" s="3">
        <f>VLOOKUP(A391,'Production Plan'!B:R,15,FALSE)</f>
        <v/>
      </c>
      <c r="C391" s="3">
        <f>VLOOKUP(A391,'Production Plan'!B:F,5,FALSE)</f>
        <v/>
      </c>
    </row>
    <row r="392" hidden="1">
      <c r="A392" s="3">
        <f>'Production Plan'!B380</f>
        <v/>
      </c>
      <c r="B392" s="3">
        <f>VLOOKUP(A392,'Production Plan'!B:R,15,FALSE)</f>
        <v/>
      </c>
      <c r="C392" s="3">
        <f>VLOOKUP(A392,'Production Plan'!B:F,5,FALSE)</f>
        <v/>
      </c>
    </row>
    <row r="393" hidden="1">
      <c r="A393" s="3">
        <f>'Production Plan'!B381</f>
        <v/>
      </c>
      <c r="B393" s="3">
        <f>VLOOKUP(A393,'Production Plan'!B:R,15,FALSE)</f>
        <v/>
      </c>
      <c r="C393" s="3">
        <f>VLOOKUP(A393,'Production Plan'!B:F,5,FALSE)</f>
        <v/>
      </c>
    </row>
    <row r="394" hidden="1">
      <c r="A394" s="3">
        <f>'Production Plan'!B382</f>
        <v/>
      </c>
      <c r="B394" s="3">
        <f>VLOOKUP(A394,'Production Plan'!B:R,15,FALSE)</f>
        <v/>
      </c>
      <c r="C394" s="3">
        <f>VLOOKUP(A394,'Production Plan'!B:F,5,FALSE)</f>
        <v/>
      </c>
    </row>
    <row r="395" hidden="1">
      <c r="A395" s="3">
        <f>'Production Plan'!B383</f>
        <v/>
      </c>
      <c r="B395" s="3">
        <f>VLOOKUP(A395,'Production Plan'!B:R,15,FALSE)</f>
        <v/>
      </c>
      <c r="C395" s="3">
        <f>VLOOKUP(A395,'Production Plan'!B:F,5,FALSE)</f>
        <v/>
      </c>
    </row>
    <row r="396" hidden="1">
      <c r="A396" s="3">
        <f>'Production Plan'!B384</f>
        <v/>
      </c>
      <c r="B396" s="3">
        <f>VLOOKUP(A396,'Production Plan'!B:R,15,FALSE)</f>
        <v/>
      </c>
      <c r="C396" s="3">
        <f>VLOOKUP(A396,'Production Plan'!B:F,5,FALSE)</f>
        <v/>
      </c>
    </row>
    <row r="397" hidden="1">
      <c r="A397" s="3">
        <f>'Production Plan'!B385</f>
        <v/>
      </c>
      <c r="B397" s="3">
        <f>VLOOKUP(A397,'Production Plan'!B:R,15,FALSE)</f>
        <v/>
      </c>
      <c r="C397" s="3">
        <f>VLOOKUP(A397,'Production Plan'!B:F,5,FALSE)</f>
        <v/>
      </c>
    </row>
    <row r="398" hidden="1">
      <c r="A398" s="3">
        <f>'Production Plan'!B386</f>
        <v/>
      </c>
      <c r="B398" s="3">
        <f>VLOOKUP(A398,'Production Plan'!B:R,15,FALSE)</f>
        <v/>
      </c>
      <c r="C398" s="3">
        <f>VLOOKUP(A398,'Production Plan'!B:F,5,FALSE)</f>
        <v/>
      </c>
    </row>
    <row r="399" hidden="1">
      <c r="A399" s="3">
        <f>'Production Plan'!B387</f>
        <v/>
      </c>
      <c r="B399" s="3">
        <f>VLOOKUP(A399,'Production Plan'!B:R,15,FALSE)</f>
        <v/>
      </c>
      <c r="C399" s="3">
        <f>VLOOKUP(A399,'Production Plan'!B:F,5,FALSE)</f>
        <v/>
      </c>
    </row>
    <row r="400" hidden="1">
      <c r="A400" s="3">
        <f>'Production Plan'!B388</f>
        <v/>
      </c>
      <c r="B400" s="3">
        <f>VLOOKUP(A400,'Production Plan'!B:R,15,FALSE)</f>
        <v/>
      </c>
      <c r="C400" s="3">
        <f>VLOOKUP(A400,'Production Plan'!B:F,5,FALSE)</f>
        <v/>
      </c>
    </row>
    <row r="401" hidden="1">
      <c r="A401" s="3">
        <f>'Production Plan'!B389</f>
        <v/>
      </c>
      <c r="B401" s="3">
        <f>VLOOKUP(A401,'Production Plan'!B:R,15,FALSE)</f>
        <v/>
      </c>
      <c r="C401" s="3">
        <f>VLOOKUP(A401,'Production Plan'!B:F,5,FALSE)</f>
        <v/>
      </c>
    </row>
    <row r="402" hidden="1">
      <c r="A402" s="3">
        <f>'Production Plan'!B390</f>
        <v/>
      </c>
      <c r="B402" s="3">
        <f>VLOOKUP(A402,'Production Plan'!B:R,15,FALSE)</f>
        <v/>
      </c>
      <c r="C402" s="3">
        <f>VLOOKUP(A402,'Production Plan'!B:F,5,FALSE)</f>
        <v/>
      </c>
    </row>
    <row r="403" hidden="1">
      <c r="A403" s="3">
        <f>'Production Plan'!B391</f>
        <v/>
      </c>
      <c r="B403" s="3">
        <f>VLOOKUP(A403,'Production Plan'!B:R,15,FALSE)</f>
        <v/>
      </c>
      <c r="C403" s="3">
        <f>VLOOKUP(A403,'Production Plan'!B:F,5,FALSE)</f>
        <v/>
      </c>
    </row>
    <row r="404" hidden="1">
      <c r="A404" s="3">
        <f>'Production Plan'!B392</f>
        <v/>
      </c>
      <c r="B404" s="3">
        <f>VLOOKUP(A404,'Production Plan'!B:R,15,FALSE)</f>
        <v/>
      </c>
      <c r="C404" s="3">
        <f>VLOOKUP(A404,'Production Plan'!B:F,5,FALSE)</f>
        <v/>
      </c>
    </row>
    <row r="405" hidden="1">
      <c r="A405" s="3">
        <f>'Production Plan'!B393</f>
        <v/>
      </c>
      <c r="B405" s="3">
        <f>VLOOKUP(A405,'Production Plan'!B:R,15,FALSE)</f>
        <v/>
      </c>
      <c r="C405" s="3">
        <f>VLOOKUP(A405,'Production Plan'!B:F,5,FALSE)</f>
        <v/>
      </c>
    </row>
    <row r="406" hidden="1">
      <c r="A406" s="3">
        <f>'Production Plan'!B394</f>
        <v/>
      </c>
      <c r="B406" s="3">
        <f>VLOOKUP(A406,'Production Plan'!B:R,15,FALSE)</f>
        <v/>
      </c>
      <c r="C406" s="3">
        <f>VLOOKUP(A406,'Production Plan'!B:F,5,FALSE)</f>
        <v/>
      </c>
    </row>
    <row r="407" hidden="1">
      <c r="A407" s="3">
        <f>'Production Plan'!B395</f>
        <v/>
      </c>
      <c r="B407" s="3">
        <f>VLOOKUP(A407,'Production Plan'!B:R,15,FALSE)</f>
        <v/>
      </c>
      <c r="C407" s="3">
        <f>VLOOKUP(A407,'Production Plan'!B:F,5,FALSE)</f>
        <v/>
      </c>
    </row>
    <row r="408" hidden="1">
      <c r="A408" s="3">
        <f>'Production Plan'!B396</f>
        <v/>
      </c>
      <c r="B408" s="3">
        <f>VLOOKUP(A408,'Production Plan'!B:R,15,FALSE)</f>
        <v/>
      </c>
      <c r="C408" s="3">
        <f>VLOOKUP(A408,'Production Plan'!B:F,5,FALSE)</f>
        <v/>
      </c>
    </row>
    <row r="409" hidden="1">
      <c r="A409" s="3">
        <f>'Production Plan'!B397</f>
        <v/>
      </c>
      <c r="B409" s="3">
        <f>VLOOKUP(A409,'Production Plan'!B:R,15,FALSE)</f>
        <v/>
      </c>
      <c r="C409" s="3">
        <f>VLOOKUP(A409,'Production Plan'!B:F,5,FALSE)</f>
        <v/>
      </c>
    </row>
    <row r="410" hidden="1">
      <c r="A410" s="3">
        <f>'Production Plan'!B398</f>
        <v/>
      </c>
      <c r="B410" s="3">
        <f>VLOOKUP(A410,'Production Plan'!B:R,15,FALSE)</f>
        <v/>
      </c>
      <c r="C410" s="3">
        <f>VLOOKUP(A410,'Production Plan'!B:F,5,FALSE)</f>
        <v/>
      </c>
    </row>
    <row r="411" hidden="1">
      <c r="A411" s="3">
        <f>'Production Plan'!B399</f>
        <v/>
      </c>
      <c r="B411" s="3">
        <f>VLOOKUP(A411,'Production Plan'!B:R,15,FALSE)</f>
        <v/>
      </c>
      <c r="C411" s="3">
        <f>VLOOKUP(A411,'Production Plan'!B:F,5,FALSE)</f>
        <v/>
      </c>
    </row>
    <row r="412" hidden="1">
      <c r="A412" s="3">
        <f>'Production Plan'!B400</f>
        <v/>
      </c>
      <c r="B412" s="3">
        <f>VLOOKUP(A412,'Production Plan'!B:R,15,FALSE)</f>
        <v/>
      </c>
      <c r="C412" s="3">
        <f>VLOOKUP(A412,'Production Plan'!B:F,5,FALSE)</f>
        <v/>
      </c>
    </row>
    <row r="413" hidden="1">
      <c r="A413" s="3">
        <f>'Production Plan'!B401</f>
        <v/>
      </c>
      <c r="B413" s="3">
        <f>VLOOKUP(A413,'Production Plan'!B:R,15,FALSE)</f>
        <v/>
      </c>
      <c r="C413" s="3">
        <f>VLOOKUP(A413,'Production Plan'!B:F,5,FALSE)</f>
        <v/>
      </c>
    </row>
    <row r="414" hidden="1">
      <c r="A414" s="3">
        <f>'Production Plan'!B402</f>
        <v/>
      </c>
      <c r="B414" s="3">
        <f>VLOOKUP(A414,'Production Plan'!B:R,15,FALSE)</f>
        <v/>
      </c>
      <c r="C414" s="3">
        <f>VLOOKUP(A414,'Production Plan'!B:F,5,FALSE)</f>
        <v/>
      </c>
    </row>
    <row r="415" hidden="1">
      <c r="A415" s="3">
        <f>'Production Plan'!B403</f>
        <v/>
      </c>
      <c r="B415" s="3">
        <f>VLOOKUP(A415,'Production Plan'!B:R,15,FALSE)</f>
        <v/>
      </c>
      <c r="C415" s="3">
        <f>VLOOKUP(A415,'Production Plan'!B:F,5,FALSE)</f>
        <v/>
      </c>
    </row>
    <row r="416" hidden="1">
      <c r="A416" s="3">
        <f>'Production Plan'!B404</f>
        <v/>
      </c>
      <c r="B416" s="3">
        <f>VLOOKUP(A416,'Production Plan'!B:R,15,FALSE)</f>
        <v/>
      </c>
      <c r="C416" s="3">
        <f>VLOOKUP(A416,'Production Plan'!B:F,5,FALSE)</f>
        <v/>
      </c>
    </row>
    <row r="417" hidden="1">
      <c r="A417" s="3">
        <f>'Production Plan'!B405</f>
        <v/>
      </c>
      <c r="B417" s="3">
        <f>VLOOKUP(A417,'Production Plan'!B:R,15,FALSE)</f>
        <v/>
      </c>
      <c r="C417" s="3">
        <f>VLOOKUP(A417,'Production Plan'!B:F,5,FALSE)</f>
        <v/>
      </c>
    </row>
    <row r="418" hidden="1">
      <c r="A418" s="3">
        <f>'Production Plan'!B406</f>
        <v/>
      </c>
      <c r="B418" s="3">
        <f>VLOOKUP(A418,'Production Plan'!B:R,15,FALSE)</f>
        <v/>
      </c>
      <c r="C418" s="3">
        <f>VLOOKUP(A418,'Production Plan'!B:F,5,FALSE)</f>
        <v/>
      </c>
    </row>
    <row r="419" hidden="1">
      <c r="A419" s="3">
        <f>'Production Plan'!B407</f>
        <v/>
      </c>
      <c r="B419" s="3">
        <f>VLOOKUP(A419,'Production Plan'!B:R,15,FALSE)</f>
        <v/>
      </c>
      <c r="C419" s="3">
        <f>VLOOKUP(A419,'Production Plan'!B:F,5,FALSE)</f>
        <v/>
      </c>
    </row>
    <row r="420" hidden="1">
      <c r="A420" s="3">
        <f>'Production Plan'!B408</f>
        <v/>
      </c>
      <c r="B420" s="3">
        <f>VLOOKUP(A420,'Production Plan'!B:R,15,FALSE)</f>
        <v/>
      </c>
      <c r="C420" s="3">
        <f>VLOOKUP(A420,'Production Plan'!B:F,5,FALSE)</f>
        <v/>
      </c>
    </row>
    <row r="421" hidden="1">
      <c r="A421" s="3">
        <f>'Production Plan'!B409</f>
        <v/>
      </c>
      <c r="B421" s="3">
        <f>VLOOKUP(A421,'Production Plan'!B:R,15,FALSE)</f>
        <v/>
      </c>
      <c r="C421" s="3">
        <f>VLOOKUP(A421,'Production Plan'!B:F,5,FALSE)</f>
        <v/>
      </c>
    </row>
    <row r="422" hidden="1">
      <c r="A422" s="3">
        <f>'Production Plan'!B410</f>
        <v/>
      </c>
      <c r="B422" s="3">
        <f>VLOOKUP(A422,'Production Plan'!B:R,15,FALSE)</f>
        <v/>
      </c>
      <c r="C422" s="3">
        <f>VLOOKUP(A422,'Production Plan'!B:F,5,FALSE)</f>
        <v/>
      </c>
    </row>
    <row r="423" hidden="1">
      <c r="A423" s="3">
        <f>'Production Plan'!B411</f>
        <v/>
      </c>
      <c r="B423" s="3">
        <f>VLOOKUP(A423,'Production Plan'!B:R,15,FALSE)</f>
        <v/>
      </c>
      <c r="C423" s="3">
        <f>VLOOKUP(A423,'Production Plan'!B:F,5,FALSE)</f>
        <v/>
      </c>
    </row>
    <row r="424" hidden="1">
      <c r="A424" s="3">
        <f>'Production Plan'!B412</f>
        <v/>
      </c>
      <c r="B424" s="3">
        <f>VLOOKUP(A424,'Production Plan'!B:R,15,FALSE)</f>
        <v/>
      </c>
      <c r="C424" s="3">
        <f>VLOOKUP(A424,'Production Plan'!B:F,5,FALSE)</f>
        <v/>
      </c>
    </row>
    <row r="425" hidden="1">
      <c r="A425" s="3">
        <f>'Production Plan'!B413</f>
        <v/>
      </c>
      <c r="B425" s="3">
        <f>VLOOKUP(A425,'Production Plan'!B:R,15,FALSE)</f>
        <v/>
      </c>
      <c r="C425" s="3">
        <f>VLOOKUP(A425,'Production Plan'!B:F,5,FALSE)</f>
        <v/>
      </c>
    </row>
    <row r="426" hidden="1">
      <c r="A426" s="3">
        <f>'Production Plan'!B414</f>
        <v/>
      </c>
      <c r="B426" s="3">
        <f>VLOOKUP(A426,'Production Plan'!B:R,15,FALSE)</f>
        <v/>
      </c>
      <c r="C426" s="3">
        <f>VLOOKUP(A426,'Production Plan'!B:F,5,FALSE)</f>
        <v/>
      </c>
    </row>
    <row r="427" hidden="1">
      <c r="A427" s="3">
        <f>'Production Plan'!B415</f>
        <v/>
      </c>
      <c r="B427" s="3">
        <f>VLOOKUP(A427,'Production Plan'!B:R,15,FALSE)</f>
        <v/>
      </c>
      <c r="C427" s="3">
        <f>VLOOKUP(A427,'Production Plan'!B:F,5,FALSE)</f>
        <v/>
      </c>
    </row>
    <row r="428" hidden="1">
      <c r="A428" s="3">
        <f>'Production Plan'!B416</f>
        <v/>
      </c>
      <c r="B428" s="3">
        <f>VLOOKUP(A428,'Production Plan'!B:R,15,FALSE)</f>
        <v/>
      </c>
      <c r="C428" s="3">
        <f>VLOOKUP(A428,'Production Plan'!B:F,5,FALSE)</f>
        <v/>
      </c>
    </row>
    <row r="429" hidden="1">
      <c r="A429" s="3">
        <f>'Production Plan'!B417</f>
        <v/>
      </c>
      <c r="B429" s="3">
        <f>VLOOKUP(A429,'Production Plan'!B:R,15,FALSE)</f>
        <v/>
      </c>
      <c r="C429" s="3">
        <f>VLOOKUP(A429,'Production Plan'!B:F,5,FALSE)</f>
        <v/>
      </c>
    </row>
    <row r="430" hidden="1">
      <c r="A430" s="3">
        <f>'Production Plan'!B418</f>
        <v/>
      </c>
      <c r="B430" s="3">
        <f>VLOOKUP(A430,'Production Plan'!B:R,15,FALSE)</f>
        <v/>
      </c>
      <c r="C430" s="3">
        <f>VLOOKUP(A430,'Production Plan'!B:F,5,FALSE)</f>
        <v/>
      </c>
    </row>
    <row r="431" hidden="1">
      <c r="A431" s="3">
        <f>'Production Plan'!B419</f>
        <v/>
      </c>
      <c r="B431" s="3">
        <f>VLOOKUP(A431,'Production Plan'!B:R,15,FALSE)</f>
        <v/>
      </c>
      <c r="C431" s="3">
        <f>VLOOKUP(A431,'Production Plan'!B:F,5,FALSE)</f>
        <v/>
      </c>
    </row>
    <row r="432" hidden="1">
      <c r="A432" s="3">
        <f>'Production Plan'!B420</f>
        <v/>
      </c>
      <c r="B432" s="3">
        <f>VLOOKUP(A432,'Production Plan'!B:R,15,FALSE)</f>
        <v/>
      </c>
      <c r="C432" s="3">
        <f>VLOOKUP(A432,'Production Plan'!B:F,5,FALSE)</f>
        <v/>
      </c>
    </row>
    <row r="433" hidden="1">
      <c r="A433" s="3">
        <f>'Production Plan'!B421</f>
        <v/>
      </c>
      <c r="B433" s="3">
        <f>VLOOKUP(A433,'Production Plan'!B:R,15,FALSE)</f>
        <v/>
      </c>
      <c r="C433" s="3">
        <f>VLOOKUP(A433,'Production Plan'!B:F,5,FALSE)</f>
        <v/>
      </c>
    </row>
    <row r="434" hidden="1">
      <c r="A434" s="3">
        <f>'Production Plan'!B422</f>
        <v/>
      </c>
      <c r="B434" s="3">
        <f>VLOOKUP(A434,'Production Plan'!B:R,15,FALSE)</f>
        <v/>
      </c>
      <c r="C434" s="3">
        <f>VLOOKUP(A434,'Production Plan'!B:F,5,FALSE)</f>
        <v/>
      </c>
    </row>
    <row r="435" hidden="1">
      <c r="A435" s="3">
        <f>'Production Plan'!B423</f>
        <v/>
      </c>
      <c r="B435" s="3">
        <f>VLOOKUP(A435,'Production Plan'!B:R,15,FALSE)</f>
        <v/>
      </c>
      <c r="C435" s="3">
        <f>VLOOKUP(A435,'Production Plan'!B:F,5,FALSE)</f>
        <v/>
      </c>
    </row>
    <row r="436" hidden="1">
      <c r="A436" s="3">
        <f>'Production Plan'!B424</f>
        <v/>
      </c>
      <c r="B436" s="3">
        <f>VLOOKUP(A436,'Production Plan'!B:R,15,FALSE)</f>
        <v/>
      </c>
      <c r="C436" s="3">
        <f>VLOOKUP(A436,'Production Plan'!B:F,5,FALSE)</f>
        <v/>
      </c>
    </row>
    <row r="437" hidden="1">
      <c r="A437" s="3">
        <f>'Production Plan'!B425</f>
        <v/>
      </c>
      <c r="B437" s="3">
        <f>VLOOKUP(A437,'Production Plan'!B:R,15,FALSE)</f>
        <v/>
      </c>
      <c r="C437" s="3">
        <f>VLOOKUP(A437,'Production Plan'!B:F,5,FALSE)</f>
        <v/>
      </c>
    </row>
    <row r="438" hidden="1">
      <c r="A438" s="3">
        <f>'Production Plan'!B426</f>
        <v/>
      </c>
      <c r="B438" s="3">
        <f>VLOOKUP(A438,'Production Plan'!B:R,15,FALSE)</f>
        <v/>
      </c>
      <c r="C438" s="3">
        <f>VLOOKUP(A438,'Production Plan'!B:F,5,FALSE)</f>
        <v/>
      </c>
    </row>
    <row r="439" hidden="1">
      <c r="A439" s="3">
        <f>'Production Plan'!B427</f>
        <v/>
      </c>
      <c r="B439" s="3">
        <f>VLOOKUP(A439,'Production Plan'!B:R,15,FALSE)</f>
        <v/>
      </c>
      <c r="C439" s="3">
        <f>VLOOKUP(A439,'Production Plan'!B:F,5,FALSE)</f>
        <v/>
      </c>
    </row>
    <row r="440" hidden="1">
      <c r="A440" s="3">
        <f>'Production Plan'!B428</f>
        <v/>
      </c>
      <c r="B440" s="3">
        <f>VLOOKUP(A440,'Production Plan'!B:R,15,FALSE)</f>
        <v/>
      </c>
      <c r="C440" s="3">
        <f>VLOOKUP(A440,'Production Plan'!B:F,5,FALSE)</f>
        <v/>
      </c>
    </row>
    <row r="441" hidden="1">
      <c r="A441" s="3">
        <f>'Production Plan'!B429</f>
        <v/>
      </c>
      <c r="B441" s="3">
        <f>VLOOKUP(A441,'Production Plan'!B:R,15,FALSE)</f>
        <v/>
      </c>
      <c r="C441" s="3">
        <f>VLOOKUP(A441,'Production Plan'!B:F,5,FALSE)</f>
        <v/>
      </c>
    </row>
    <row r="442" hidden="1">
      <c r="A442" s="3">
        <f>'Production Plan'!B430</f>
        <v/>
      </c>
      <c r="B442" s="3">
        <f>VLOOKUP(A442,'Production Plan'!B:R,15,FALSE)</f>
        <v/>
      </c>
      <c r="C442" s="3">
        <f>VLOOKUP(A442,'Production Plan'!B:F,5,FALSE)</f>
        <v/>
      </c>
    </row>
    <row r="443" hidden="1">
      <c r="A443" s="3">
        <f>'Production Plan'!B431</f>
        <v/>
      </c>
      <c r="B443" s="3">
        <f>VLOOKUP(A443,'Production Plan'!B:R,15,FALSE)</f>
        <v/>
      </c>
      <c r="C443" s="3">
        <f>VLOOKUP(A443,'Production Plan'!B:F,5,FALSE)</f>
        <v/>
      </c>
    </row>
    <row r="444" hidden="1">
      <c r="A444" s="3">
        <f>'Production Plan'!B432</f>
        <v/>
      </c>
      <c r="B444" s="3">
        <f>VLOOKUP(A444,'Production Plan'!B:R,15,FALSE)</f>
        <v/>
      </c>
      <c r="C444" s="3">
        <f>VLOOKUP(A444,'Production Plan'!B:F,5,FALSE)</f>
        <v/>
      </c>
    </row>
    <row r="445" hidden="1">
      <c r="A445" s="3">
        <f>'Production Plan'!B433</f>
        <v/>
      </c>
      <c r="B445" s="3">
        <f>VLOOKUP(A445,'Production Plan'!B:R,15,FALSE)</f>
        <v/>
      </c>
      <c r="C445" s="3">
        <f>VLOOKUP(A445,'Production Plan'!B:F,5,FALSE)</f>
        <v/>
      </c>
    </row>
    <row r="446" hidden="1">
      <c r="A446" s="3">
        <f>'Production Plan'!B434</f>
        <v/>
      </c>
      <c r="B446" s="3">
        <f>VLOOKUP(A446,'Production Plan'!B:R,15,FALSE)</f>
        <v/>
      </c>
      <c r="C446" s="3">
        <f>VLOOKUP(A446,'Production Plan'!B:F,5,FALSE)</f>
        <v/>
      </c>
    </row>
    <row r="447" hidden="1">
      <c r="A447" s="3">
        <f>'Production Plan'!B435</f>
        <v/>
      </c>
      <c r="B447" s="3">
        <f>VLOOKUP(A447,'Production Plan'!B:R,15,FALSE)</f>
        <v/>
      </c>
      <c r="C447" s="3">
        <f>VLOOKUP(A447,'Production Plan'!B:F,5,FALSE)</f>
        <v/>
      </c>
    </row>
    <row r="448" hidden="1">
      <c r="A448" s="3">
        <f>'Production Plan'!B436</f>
        <v/>
      </c>
      <c r="B448" s="3">
        <f>VLOOKUP(A448,'Production Plan'!B:R,15,FALSE)</f>
        <v/>
      </c>
      <c r="C448" s="3">
        <f>VLOOKUP(A448,'Production Plan'!B:F,5,FALSE)</f>
        <v/>
      </c>
    </row>
    <row r="449" hidden="1">
      <c r="A449" s="3">
        <f>'Production Plan'!B437</f>
        <v/>
      </c>
      <c r="B449" s="3">
        <f>VLOOKUP(A449,'Production Plan'!B:R,15,FALSE)</f>
        <v/>
      </c>
      <c r="C449" s="3">
        <f>VLOOKUP(A449,'Production Plan'!B:F,5,FALSE)</f>
        <v/>
      </c>
    </row>
    <row r="450" hidden="1">
      <c r="A450" s="3">
        <f>'Production Plan'!B438</f>
        <v/>
      </c>
      <c r="B450" s="3">
        <f>VLOOKUP(A450,'Production Plan'!B:R,15,FALSE)</f>
        <v/>
      </c>
      <c r="C450" s="3">
        <f>VLOOKUP(A450,'Production Plan'!B:F,5,FALSE)</f>
        <v/>
      </c>
    </row>
    <row r="451" hidden="1">
      <c r="A451" s="3">
        <f>'Production Plan'!B439</f>
        <v/>
      </c>
      <c r="B451" s="3">
        <f>VLOOKUP(A451,'Production Plan'!B:R,15,FALSE)</f>
        <v/>
      </c>
      <c r="C451" s="3">
        <f>VLOOKUP(A451,'Production Plan'!B:F,5,FALSE)</f>
        <v/>
      </c>
    </row>
    <row r="452" hidden="1">
      <c r="A452" s="3">
        <f>'Production Plan'!B440</f>
        <v/>
      </c>
      <c r="B452" s="3">
        <f>VLOOKUP(A452,'Production Plan'!B:R,15,FALSE)</f>
        <v/>
      </c>
      <c r="C452" s="3">
        <f>VLOOKUP(A452,'Production Plan'!B:F,5,FALSE)</f>
        <v/>
      </c>
    </row>
    <row r="453" hidden="1">
      <c r="A453" s="3">
        <f>'Production Plan'!B441</f>
        <v/>
      </c>
      <c r="B453" s="3">
        <f>VLOOKUP(A453,'Production Plan'!B:R,15,FALSE)</f>
        <v/>
      </c>
      <c r="C453" s="3">
        <f>VLOOKUP(A453,'Production Plan'!B:F,5,FALSE)</f>
        <v/>
      </c>
    </row>
  </sheetData>
  <autoFilter ref="A1:N453">
    <filterColumn colId="1" hiddenButton="0" showButton="1">
      <filters>
        <filter val="Yes"/>
      </filters>
    </filterColumn>
  </autoFilter>
  <conditionalFormatting sqref="E2:E1048576">
    <cfRule type="expression" priority="1" dxfId="2">
      <formula>E2="Low"</formula>
    </cfRule>
    <cfRule type="expression" priority="2" dxfId="1">
      <formula>E2="Medium"</formula>
    </cfRule>
    <cfRule type="expression" priority="3" dxfId="0">
      <formula>E2="High"</formula>
    </cfRule>
  </conditionalFormatting>
  <dataValidations count="2">
    <dataValidation sqref="E2:E1048576" showDropDown="0" showInputMessage="1" showErrorMessage="1" allowBlank="1" type="list">
      <formula1>"High,Medium,Low"</formula1>
    </dataValidation>
    <dataValidation sqref="I2:I3 I5:I1048576" showDropDown="0" showInputMessage="1" showErrorMessage="1" allowBlank="1" type="list">
      <formula1>"Go ahead - disregard risk,Go ahead - attempt to mitigate,Go-ahead - dependent upon mitigation,No bid"</formula1>
    </dataValidation>
  </dataValidations>
  <pageMargins left="0.7" right="0.7" top="0.75" bottom="0.75" header="0.3" footer="0.3"/>
</worksheet>
</file>

<file path=xl/worksheets/sheet8.xml><?xml version="1.0" encoding="utf-8"?>
<worksheet xmlns="http://schemas.openxmlformats.org/spreadsheetml/2006/main">
  <sheetPr filterMode="1">
    <outlinePr summaryBelow="1" summaryRight="1"/>
    <pageSetUpPr/>
  </sheetPr>
  <dimension ref="A1:I1078"/>
  <sheetViews>
    <sheetView workbookViewId="0">
      <selection activeCell="H7" sqref="H7"/>
    </sheetView>
  </sheetViews>
  <sheetFormatPr baseColWidth="8" defaultRowHeight="16"/>
  <cols>
    <col width="44.765625" customWidth="1" min="3" max="3"/>
    <col width="42.69140625" customWidth="1" min="4" max="4"/>
    <col width="34.84375" customWidth="1" style="33" min="6" max="6"/>
    <col width="14.3046875" bestFit="1" customWidth="1" style="7" min="8" max="8"/>
    <col width="16.3046875" bestFit="1" customWidth="1" min="9" max="9"/>
  </cols>
  <sheetData>
    <row r="1">
      <c r="A1" s="4" t="inlineStr">
        <is>
          <t>Req ID</t>
        </is>
      </c>
      <c r="B1" s="4" t="inlineStr">
        <is>
          <t>Included</t>
        </is>
      </c>
      <c r="C1" s="4" t="inlineStr">
        <is>
          <t>Requirement</t>
        </is>
      </c>
      <c r="D1" s="4" t="inlineStr">
        <is>
          <t>Reason for increased cost</t>
        </is>
      </c>
      <c r="E1" s="4" t="inlineStr">
        <is>
          <t>Severity</t>
        </is>
      </c>
      <c r="F1" s="34" t="inlineStr">
        <is>
          <t>Estimated increase in cost</t>
        </is>
      </c>
      <c r="G1" s="4" t="inlineStr">
        <is>
          <t>Estimator</t>
        </is>
      </c>
      <c r="H1" s="4" t="inlineStr">
        <is>
          <t>Estimation date</t>
        </is>
      </c>
      <c r="I1" s="4" t="inlineStr">
        <is>
          <t>Included in pricing</t>
        </is>
      </c>
    </row>
    <row r="2" ht="32" customHeight="1">
      <c r="A2" s="3">
        <f>'Production Plan'!B2</f>
        <v/>
      </c>
      <c r="B2" s="3">
        <f>VLOOKUP(A2,'Production Plan'!B:S,16,FALSE)</f>
        <v/>
      </c>
      <c r="C2" s="3">
        <f>VLOOKUP(A2,'Production Plan'!B:F,5,FALSE)</f>
        <v/>
      </c>
      <c r="D2" s="3" t="inlineStr">
        <is>
          <t>Describe</t>
        </is>
      </c>
      <c r="E2" s="3" t="inlineStr">
        <is>
          <t>Low</t>
        </is>
      </c>
      <c r="F2" s="35" t="inlineStr">
        <is>
          <t>Estimation - DKK or EUR value and/or ressource use.</t>
        </is>
      </c>
      <c r="G2" s="3" t="inlineStr">
        <is>
          <t>Name</t>
        </is>
      </c>
      <c r="H2" s="8" t="n">
        <v>46023</v>
      </c>
      <c r="I2" s="3" t="inlineStr">
        <is>
          <t>Yes</t>
        </is>
      </c>
    </row>
    <row r="3" ht="32" customHeight="1">
      <c r="A3" s="3">
        <f>'Production Plan'!B3</f>
        <v/>
      </c>
      <c r="B3" s="3">
        <f>VLOOKUP(A3,'Production Plan'!B:S,16,FALSE)</f>
        <v/>
      </c>
      <c r="C3" s="3">
        <f>VLOOKUP(A3,'Production Plan'!B:F,5,FALSE)</f>
        <v/>
      </c>
      <c r="D3" s="3" t="inlineStr">
        <is>
          <t>Describe</t>
        </is>
      </c>
      <c r="E3" s="3" t="inlineStr">
        <is>
          <t>Medium</t>
        </is>
      </c>
      <c r="F3" s="35" t="inlineStr">
        <is>
          <t>Estimation - DKK or EUR value and/or ressource use.</t>
        </is>
      </c>
      <c r="G3" s="3" t="inlineStr">
        <is>
          <t>Name</t>
        </is>
      </c>
      <c r="H3" s="8" t="n">
        <v>46023</v>
      </c>
      <c r="I3" s="3" t="inlineStr">
        <is>
          <t>Yes</t>
        </is>
      </c>
    </row>
    <row r="4" hidden="1">
      <c r="A4" s="3">
        <f>'Production Plan'!B4</f>
        <v/>
      </c>
      <c r="B4" s="3">
        <f>VLOOKUP(A4,'Production Plan'!B:S,16,FALSE)</f>
        <v/>
      </c>
      <c r="C4" s="3">
        <f>VLOOKUP(A4,'Production Plan'!B:F,5,FALSE)</f>
        <v/>
      </c>
      <c r="D4" s="3" t="n"/>
      <c r="E4" s="3" t="n"/>
      <c r="F4" s="3" t="n"/>
      <c r="G4" s="3" t="n"/>
      <c r="H4" s="8" t="n"/>
      <c r="I4" s="3" t="n"/>
    </row>
    <row r="5" hidden="1">
      <c r="A5" s="3">
        <f>'Production Plan'!B5</f>
        <v/>
      </c>
      <c r="B5" s="3">
        <f>VLOOKUP(A5,'Production Plan'!B:S,16,FALSE)</f>
        <v/>
      </c>
      <c r="C5" s="3">
        <f>VLOOKUP(A5,'Production Plan'!B:F,5,FALSE)</f>
        <v/>
      </c>
      <c r="D5" s="3" t="n"/>
      <c r="E5" s="3" t="n"/>
      <c r="F5" s="3" t="n"/>
      <c r="G5" s="3" t="n"/>
      <c r="H5" s="8" t="n"/>
      <c r="I5" s="3" t="n"/>
    </row>
    <row r="6" hidden="1">
      <c r="A6" s="3">
        <f>'Production Plan'!B6</f>
        <v/>
      </c>
      <c r="B6" s="3">
        <f>VLOOKUP(A6,'Production Plan'!B:S,16,FALSE)</f>
        <v/>
      </c>
      <c r="C6" s="3">
        <f>VLOOKUP(A6,'Production Plan'!B:F,5,FALSE)</f>
        <v/>
      </c>
      <c r="D6" s="3" t="n"/>
      <c r="E6" s="3" t="n"/>
      <c r="F6" s="3" t="n"/>
      <c r="G6" s="3" t="n"/>
      <c r="H6" s="8" t="n"/>
      <c r="I6" s="3" t="n"/>
    </row>
    <row r="7" ht="32" customHeight="1">
      <c r="A7" s="3">
        <f>'Production Plan'!B7</f>
        <v/>
      </c>
      <c r="B7" s="3">
        <f>VLOOKUP(A7,'Production Plan'!B:S,16,FALSE)</f>
        <v/>
      </c>
      <c r="C7" s="3">
        <f>VLOOKUP(A7,'Production Plan'!B:F,5,FALSE)</f>
        <v/>
      </c>
      <c r="D7" s="3" t="inlineStr">
        <is>
          <t>Describe</t>
        </is>
      </c>
      <c r="E7" s="3" t="inlineStr">
        <is>
          <t>High</t>
        </is>
      </c>
      <c r="F7" s="35" t="inlineStr">
        <is>
          <t>Estimation - DKK or EUR value and/or ressource use.</t>
        </is>
      </c>
      <c r="G7" s="3" t="inlineStr">
        <is>
          <t>Name</t>
        </is>
      </c>
      <c r="H7" s="8" t="n">
        <v>46023</v>
      </c>
      <c r="I7" s="3" t="inlineStr">
        <is>
          <t>Yes</t>
        </is>
      </c>
    </row>
    <row r="8" hidden="1">
      <c r="A8" s="3">
        <f>'Production Plan'!B8</f>
        <v/>
      </c>
      <c r="B8" s="3">
        <f>VLOOKUP(A8,'Production Plan'!B:S,16,FALSE)</f>
        <v/>
      </c>
      <c r="C8" s="3">
        <f>VLOOKUP(A8,'Production Plan'!B:F,5,FALSE)</f>
        <v/>
      </c>
      <c r="D8" s="3" t="n"/>
      <c r="E8" s="3" t="n"/>
      <c r="F8" s="3" t="n"/>
      <c r="G8" s="3" t="n"/>
      <c r="H8" s="8" t="n"/>
      <c r="I8" s="3" t="n"/>
    </row>
    <row r="9" hidden="1">
      <c r="A9" s="3">
        <f>'Production Plan'!B9</f>
        <v/>
      </c>
      <c r="B9" s="3">
        <f>VLOOKUP(A9,'Production Plan'!B:S,16,FALSE)</f>
        <v/>
      </c>
      <c r="C9" s="3">
        <f>VLOOKUP(A9,'Production Plan'!B:F,5,FALSE)</f>
        <v/>
      </c>
      <c r="D9" s="3" t="n"/>
      <c r="E9" s="3" t="n"/>
      <c r="F9" s="3" t="n"/>
      <c r="G9" s="3" t="n"/>
      <c r="H9" s="8" t="n"/>
      <c r="I9" s="3" t="n"/>
    </row>
    <row r="10" hidden="1">
      <c r="A10" s="3">
        <f>'Production Plan'!B10</f>
        <v/>
      </c>
      <c r="B10" s="3">
        <f>VLOOKUP(A10,'Production Plan'!B:S,16,FALSE)</f>
        <v/>
      </c>
      <c r="C10" s="3">
        <f>VLOOKUP(A10,'Production Plan'!B:F,5,FALSE)</f>
        <v/>
      </c>
      <c r="D10" s="3" t="n"/>
      <c r="E10" s="3" t="n"/>
      <c r="F10" s="3" t="n"/>
      <c r="G10" s="3" t="n"/>
      <c r="H10" s="8" t="n"/>
      <c r="I10" s="3" t="n"/>
    </row>
    <row r="11" hidden="1">
      <c r="A11" s="3">
        <f>'Production Plan'!B11</f>
        <v/>
      </c>
      <c r="B11" s="3">
        <f>VLOOKUP(A11,'Production Plan'!B:S,16,FALSE)</f>
        <v/>
      </c>
      <c r="C11" s="3">
        <f>VLOOKUP(A11,'Production Plan'!B:F,5,FALSE)</f>
        <v/>
      </c>
      <c r="D11" s="3" t="n"/>
      <c r="E11" s="3" t="n"/>
      <c r="F11" s="3" t="n"/>
      <c r="G11" s="3" t="n"/>
      <c r="H11" s="8" t="n"/>
      <c r="I11" s="3" t="n"/>
    </row>
    <row r="12" hidden="1">
      <c r="A12" s="3">
        <f>'Production Plan'!B12</f>
        <v/>
      </c>
      <c r="B12" s="3">
        <f>VLOOKUP(A12,'Production Plan'!B:S,16,FALSE)</f>
        <v/>
      </c>
      <c r="C12" s="3">
        <f>VLOOKUP(A12,'Production Plan'!B:F,5,FALSE)</f>
        <v/>
      </c>
      <c r="D12" s="3" t="n"/>
      <c r="E12" s="3" t="n"/>
      <c r="F12" s="3" t="n"/>
      <c r="G12" s="3" t="n"/>
      <c r="H12" s="8" t="n"/>
      <c r="I12" s="3" t="n"/>
    </row>
    <row r="13" hidden="1">
      <c r="A13" s="3">
        <f>'Production Plan'!B13</f>
        <v/>
      </c>
      <c r="B13" s="3">
        <f>VLOOKUP(A13,'Production Plan'!B:S,16,FALSE)</f>
        <v/>
      </c>
      <c r="C13" s="3">
        <f>VLOOKUP(A13,'Production Plan'!B:F,5,FALSE)</f>
        <v/>
      </c>
      <c r="D13" s="3" t="n"/>
      <c r="E13" s="3" t="n"/>
      <c r="F13" s="3" t="n"/>
      <c r="G13" s="3" t="n"/>
      <c r="H13" s="8" t="n"/>
      <c r="I13" s="3" t="n"/>
    </row>
    <row r="14" hidden="1">
      <c r="A14" s="3">
        <f>'Production Plan'!B14</f>
        <v/>
      </c>
      <c r="B14" s="3">
        <f>VLOOKUP(A14,'Production Plan'!B:S,16,FALSE)</f>
        <v/>
      </c>
      <c r="C14" s="3">
        <f>VLOOKUP(A14,'Production Plan'!B:F,5,FALSE)</f>
        <v/>
      </c>
      <c r="D14" s="3" t="n"/>
      <c r="E14" s="3" t="n"/>
      <c r="F14" s="3" t="n"/>
      <c r="G14" s="3" t="n"/>
      <c r="H14" s="8" t="n"/>
      <c r="I14" s="3" t="n"/>
    </row>
    <row r="15" hidden="1">
      <c r="A15" s="3">
        <f>'Production Plan'!B15</f>
        <v/>
      </c>
      <c r="B15" s="3">
        <f>VLOOKUP(A15,'Production Plan'!B:S,16,FALSE)</f>
        <v/>
      </c>
      <c r="C15" s="3">
        <f>VLOOKUP(A15,'Production Plan'!B:F,5,FALSE)</f>
        <v/>
      </c>
      <c r="D15" s="3" t="n"/>
      <c r="E15" s="3" t="n"/>
      <c r="F15" s="3" t="n"/>
      <c r="G15" s="3" t="n"/>
      <c r="H15" s="8" t="n"/>
      <c r="I15" s="3" t="n"/>
    </row>
    <row r="16" hidden="1">
      <c r="A16" s="3">
        <f>'Production Plan'!B16</f>
        <v/>
      </c>
      <c r="B16" s="3">
        <f>VLOOKUP(A16,'Production Plan'!B:S,16,FALSE)</f>
        <v/>
      </c>
      <c r="C16" s="3">
        <f>VLOOKUP(A16,'Production Plan'!B:F,5,FALSE)</f>
        <v/>
      </c>
      <c r="D16" s="3" t="n"/>
      <c r="E16" s="3" t="n"/>
      <c r="F16" s="3" t="n"/>
      <c r="G16" s="3" t="n"/>
      <c r="H16" s="8" t="n"/>
      <c r="I16" s="3" t="n"/>
    </row>
    <row r="17" hidden="1">
      <c r="A17" s="3">
        <f>'Production Plan'!B17</f>
        <v/>
      </c>
      <c r="B17" s="3">
        <f>VLOOKUP(A17,'Production Plan'!B:S,16,FALSE)</f>
        <v/>
      </c>
      <c r="C17" s="3">
        <f>VLOOKUP(A17,'Production Plan'!B:F,5,FALSE)</f>
        <v/>
      </c>
      <c r="D17" s="3" t="n"/>
      <c r="E17" s="3" t="n"/>
      <c r="F17" s="3" t="n"/>
      <c r="G17" s="3" t="n"/>
      <c r="H17" s="8" t="n"/>
      <c r="I17" s="3" t="n"/>
    </row>
    <row r="18" hidden="1">
      <c r="A18" s="3">
        <f>'Production Plan'!B18</f>
        <v/>
      </c>
      <c r="B18" s="3">
        <f>VLOOKUP(A18,'Production Plan'!B:S,16,FALSE)</f>
        <v/>
      </c>
      <c r="C18" s="3">
        <f>VLOOKUP(A18,'Production Plan'!B:F,5,FALSE)</f>
        <v/>
      </c>
      <c r="D18" s="3" t="n"/>
      <c r="E18" s="3" t="n"/>
      <c r="F18" s="3" t="n"/>
      <c r="G18" s="3" t="n"/>
      <c r="H18" s="8" t="n"/>
      <c r="I18" s="3" t="n"/>
    </row>
    <row r="19" hidden="1">
      <c r="A19" s="3">
        <f>'Production Plan'!B19</f>
        <v/>
      </c>
      <c r="B19" s="3">
        <f>VLOOKUP(A19,'Production Plan'!B:S,16,FALSE)</f>
        <v/>
      </c>
      <c r="C19" s="3">
        <f>VLOOKUP(A19,'Production Plan'!B:F,5,FALSE)</f>
        <v/>
      </c>
      <c r="D19" s="3" t="n"/>
      <c r="E19" s="3" t="n"/>
      <c r="F19" s="3" t="n"/>
      <c r="G19" s="3" t="n"/>
      <c r="H19" s="8" t="n"/>
      <c r="I19" s="3" t="n"/>
    </row>
    <row r="20" hidden="1">
      <c r="A20" s="3">
        <f>'Production Plan'!B20</f>
        <v/>
      </c>
      <c r="B20" s="3">
        <f>VLOOKUP(A20,'Production Plan'!B:S,16,FALSE)</f>
        <v/>
      </c>
      <c r="C20" s="3">
        <f>VLOOKUP(A20,'Production Plan'!B:F,5,FALSE)</f>
        <v/>
      </c>
      <c r="D20" s="3" t="n"/>
      <c r="E20" s="3" t="n"/>
      <c r="F20" s="3" t="n"/>
      <c r="G20" s="3" t="n"/>
      <c r="H20" s="8" t="n"/>
      <c r="I20" s="3" t="n"/>
    </row>
    <row r="21" hidden="1">
      <c r="A21" s="3">
        <f>'Production Plan'!B21</f>
        <v/>
      </c>
      <c r="B21" s="3">
        <f>VLOOKUP(A21,'Production Plan'!B:S,16,FALSE)</f>
        <v/>
      </c>
      <c r="C21" s="3">
        <f>VLOOKUP(A21,'Production Plan'!B:F,5,FALSE)</f>
        <v/>
      </c>
      <c r="D21" s="3" t="n"/>
      <c r="E21" s="3" t="n"/>
      <c r="F21" s="3" t="n"/>
      <c r="G21" s="3" t="n"/>
      <c r="H21" s="8" t="n"/>
      <c r="I21" s="3" t="n"/>
    </row>
    <row r="22" hidden="1">
      <c r="A22" s="3">
        <f>'Production Plan'!B22</f>
        <v/>
      </c>
      <c r="B22" s="3">
        <f>VLOOKUP(A22,'Production Plan'!B:S,16,FALSE)</f>
        <v/>
      </c>
      <c r="C22" s="3">
        <f>VLOOKUP(A22,'Production Plan'!B:F,5,FALSE)</f>
        <v/>
      </c>
      <c r="D22" s="3" t="n"/>
      <c r="E22" s="3" t="n"/>
      <c r="F22" s="3" t="n"/>
      <c r="G22" s="3" t="n"/>
      <c r="H22" s="8" t="n"/>
      <c r="I22" s="3" t="n"/>
    </row>
    <row r="23" hidden="1">
      <c r="A23" s="3">
        <f>'Production Plan'!B23</f>
        <v/>
      </c>
      <c r="B23" s="3">
        <f>VLOOKUP(A23,'Production Plan'!B:S,16,FALSE)</f>
        <v/>
      </c>
      <c r="C23" s="3">
        <f>VLOOKUP(A23,'Production Plan'!B:F,5,FALSE)</f>
        <v/>
      </c>
      <c r="D23" s="3" t="n"/>
      <c r="E23" s="3" t="n"/>
      <c r="F23" s="3" t="n"/>
      <c r="G23" s="3" t="n"/>
      <c r="H23" s="8" t="n"/>
      <c r="I23" s="3" t="n"/>
    </row>
    <row r="24" hidden="1">
      <c r="A24" s="3">
        <f>'Production Plan'!B24</f>
        <v/>
      </c>
      <c r="B24" s="3">
        <f>VLOOKUP(A24,'Production Plan'!B:S,16,FALSE)</f>
        <v/>
      </c>
      <c r="C24" s="3">
        <f>VLOOKUP(A24,'Production Plan'!B:F,5,FALSE)</f>
        <v/>
      </c>
      <c r="D24" s="3" t="n"/>
      <c r="E24" s="3" t="n"/>
      <c r="F24" s="3" t="n"/>
      <c r="G24" s="3" t="n"/>
      <c r="H24" s="8" t="n"/>
      <c r="I24" s="3" t="n"/>
    </row>
    <row r="25" hidden="1">
      <c r="A25" s="3">
        <f>'Production Plan'!B25</f>
        <v/>
      </c>
      <c r="B25" s="3">
        <f>VLOOKUP(A25,'Production Plan'!B:S,16,FALSE)</f>
        <v/>
      </c>
      <c r="C25" s="3">
        <f>VLOOKUP(A25,'Production Plan'!B:F,5,FALSE)</f>
        <v/>
      </c>
      <c r="D25" s="3" t="n"/>
      <c r="E25" s="3" t="n"/>
      <c r="F25" s="3" t="n"/>
      <c r="G25" s="3" t="n"/>
      <c r="H25" s="8" t="n"/>
      <c r="I25" s="3" t="n"/>
    </row>
    <row r="26" hidden="1">
      <c r="A26" s="3">
        <f>'Production Plan'!B26</f>
        <v/>
      </c>
      <c r="B26" s="3">
        <f>VLOOKUP(A26,'Production Plan'!B:S,16,FALSE)</f>
        <v/>
      </c>
      <c r="C26" s="3">
        <f>VLOOKUP(A26,'Production Plan'!B:F,5,FALSE)</f>
        <v/>
      </c>
      <c r="D26" s="3" t="n"/>
      <c r="E26" s="3" t="n"/>
      <c r="F26" s="3" t="n"/>
      <c r="G26" s="3" t="n"/>
      <c r="H26" s="8" t="n"/>
      <c r="I26" s="3" t="n"/>
    </row>
    <row r="27" hidden="1">
      <c r="A27" s="3">
        <f>'Production Plan'!B27</f>
        <v/>
      </c>
      <c r="B27" s="3">
        <f>VLOOKUP(A27,'Production Plan'!B:S,16,FALSE)</f>
        <v/>
      </c>
      <c r="C27" s="3">
        <f>VLOOKUP(A27,'Production Plan'!B:F,5,FALSE)</f>
        <v/>
      </c>
      <c r="D27" s="3" t="n"/>
      <c r="E27" s="3" t="n"/>
      <c r="F27" s="3" t="n"/>
      <c r="G27" s="3" t="n"/>
      <c r="H27" s="8" t="n"/>
      <c r="I27" s="3" t="n"/>
    </row>
    <row r="28" hidden="1">
      <c r="A28" s="3">
        <f>'Production Plan'!B28</f>
        <v/>
      </c>
      <c r="B28" s="3">
        <f>VLOOKUP(A28,'Production Plan'!B:S,16,FALSE)</f>
        <v/>
      </c>
      <c r="C28" s="3">
        <f>VLOOKUP(A28,'Production Plan'!B:F,5,FALSE)</f>
        <v/>
      </c>
      <c r="D28" s="3" t="n"/>
      <c r="E28" s="3" t="n"/>
      <c r="F28" s="3" t="n"/>
      <c r="G28" s="3" t="n"/>
      <c r="H28" s="8" t="n"/>
      <c r="I28" s="3" t="n"/>
    </row>
    <row r="29" hidden="1">
      <c r="A29" s="3">
        <f>'Production Plan'!B29</f>
        <v/>
      </c>
      <c r="B29" s="3">
        <f>VLOOKUP(A29,'Production Plan'!B:S,16,FALSE)</f>
        <v/>
      </c>
      <c r="C29" s="3">
        <f>VLOOKUP(A29,'Production Plan'!B:F,5,FALSE)</f>
        <v/>
      </c>
      <c r="D29" s="3" t="n"/>
      <c r="E29" s="3" t="n"/>
      <c r="F29" s="3" t="n"/>
      <c r="G29" s="3" t="n"/>
      <c r="H29" s="8" t="n"/>
      <c r="I29" s="3" t="n"/>
    </row>
    <row r="30" hidden="1">
      <c r="A30" s="3">
        <f>'Production Plan'!B30</f>
        <v/>
      </c>
      <c r="B30" s="3">
        <f>VLOOKUP(A30,'Production Plan'!B:S,16,FALSE)</f>
        <v/>
      </c>
      <c r="C30" s="3">
        <f>VLOOKUP(A30,'Production Plan'!B:F,5,FALSE)</f>
        <v/>
      </c>
      <c r="D30" s="3" t="n"/>
      <c r="E30" s="3" t="n"/>
      <c r="F30" s="3" t="n"/>
      <c r="G30" s="3" t="n"/>
      <c r="H30" s="8" t="n"/>
      <c r="I30" s="3" t="n"/>
    </row>
    <row r="31" hidden="1">
      <c r="A31" s="3">
        <f>'Production Plan'!B31</f>
        <v/>
      </c>
      <c r="B31" s="3">
        <f>VLOOKUP(A31,'Production Plan'!B:S,16,FALSE)</f>
        <v/>
      </c>
      <c r="C31" s="3">
        <f>VLOOKUP(A31,'Production Plan'!B:F,5,FALSE)</f>
        <v/>
      </c>
      <c r="D31" s="3" t="n"/>
      <c r="E31" s="3" t="n"/>
      <c r="F31" s="3" t="n"/>
      <c r="G31" s="3" t="n"/>
      <c r="H31" s="8" t="n"/>
      <c r="I31" s="3" t="n"/>
    </row>
    <row r="32" hidden="1">
      <c r="A32" s="3">
        <f>'Production Plan'!B32</f>
        <v/>
      </c>
      <c r="B32" s="3">
        <f>VLOOKUP(A32,'Production Plan'!B:S,16,FALSE)</f>
        <v/>
      </c>
      <c r="C32" s="3">
        <f>VLOOKUP(A32,'Production Plan'!B:F,5,FALSE)</f>
        <v/>
      </c>
      <c r="D32" s="3" t="n"/>
      <c r="E32" s="3" t="n"/>
      <c r="F32" s="3" t="n"/>
      <c r="G32" s="3" t="n"/>
      <c r="H32" s="8" t="n"/>
      <c r="I32" s="3" t="n"/>
    </row>
    <row r="33" hidden="1">
      <c r="A33" s="3">
        <f>'Production Plan'!B33</f>
        <v/>
      </c>
      <c r="B33" s="3">
        <f>VLOOKUP(A33,'Production Plan'!B:S,16,FALSE)</f>
        <v/>
      </c>
      <c r="C33" s="3">
        <f>VLOOKUP(A33,'Production Plan'!B:F,5,FALSE)</f>
        <v/>
      </c>
      <c r="D33" s="3" t="n"/>
      <c r="E33" s="3" t="n"/>
      <c r="F33" s="3" t="n"/>
      <c r="G33" s="3" t="n"/>
      <c r="H33" s="8" t="n"/>
      <c r="I33" s="3" t="n"/>
    </row>
    <row r="34" hidden="1">
      <c r="A34" s="3">
        <f>'Production Plan'!B34</f>
        <v/>
      </c>
      <c r="B34" s="3">
        <f>VLOOKUP(A34,'Production Plan'!B:S,16,FALSE)</f>
        <v/>
      </c>
      <c r="C34" s="3">
        <f>VLOOKUP(A34,'Production Plan'!B:F,5,FALSE)</f>
        <v/>
      </c>
      <c r="D34" s="3" t="n"/>
      <c r="E34" s="3" t="n"/>
      <c r="F34" s="3" t="n"/>
      <c r="G34" s="3" t="n"/>
      <c r="H34" s="8" t="n"/>
      <c r="I34" s="3" t="n"/>
    </row>
    <row r="35" hidden="1">
      <c r="A35" s="3">
        <f>'Production Plan'!B35</f>
        <v/>
      </c>
      <c r="B35" s="3">
        <f>VLOOKUP(A35,'Production Plan'!B:S,16,FALSE)</f>
        <v/>
      </c>
      <c r="C35" s="3">
        <f>VLOOKUP(A35,'Production Plan'!B:F,5,FALSE)</f>
        <v/>
      </c>
      <c r="D35" s="3" t="n"/>
      <c r="E35" s="3" t="n"/>
      <c r="F35" s="3" t="n"/>
      <c r="G35" s="3" t="n"/>
      <c r="H35" s="8" t="n"/>
      <c r="I35" s="3" t="n"/>
    </row>
    <row r="36" hidden="1">
      <c r="A36" s="3">
        <f>'Production Plan'!B36</f>
        <v/>
      </c>
      <c r="B36" s="3">
        <f>VLOOKUP(A36,'Production Plan'!B:S,16,FALSE)</f>
        <v/>
      </c>
      <c r="C36" s="3">
        <f>VLOOKUP(A36,'Production Plan'!B:F,5,FALSE)</f>
        <v/>
      </c>
      <c r="D36" s="3" t="n"/>
      <c r="E36" s="3" t="n"/>
      <c r="F36" s="3" t="n"/>
      <c r="G36" s="3" t="n"/>
      <c r="H36" s="8" t="n"/>
      <c r="I36" s="3" t="n"/>
    </row>
    <row r="37" hidden="1">
      <c r="A37" s="3">
        <f>'Production Plan'!B37</f>
        <v/>
      </c>
      <c r="B37" s="3">
        <f>VLOOKUP(A37,'Production Plan'!B:S,16,FALSE)</f>
        <v/>
      </c>
      <c r="C37" s="3">
        <f>VLOOKUP(A37,'Production Plan'!B:F,5,FALSE)</f>
        <v/>
      </c>
      <c r="D37" s="3" t="n"/>
      <c r="E37" s="3" t="n"/>
      <c r="F37" s="3" t="n"/>
      <c r="G37" s="3" t="n"/>
      <c r="H37" s="8" t="n"/>
      <c r="I37" s="3" t="n"/>
    </row>
    <row r="38" hidden="1">
      <c r="A38" s="3">
        <f>'Production Plan'!B38</f>
        <v/>
      </c>
      <c r="B38" s="3">
        <f>VLOOKUP(A38,'Production Plan'!B:S,16,FALSE)</f>
        <v/>
      </c>
      <c r="C38" s="3">
        <f>VLOOKUP(A38,'Production Plan'!B:F,5,FALSE)</f>
        <v/>
      </c>
      <c r="D38" s="3" t="n"/>
      <c r="E38" s="3" t="n"/>
      <c r="F38" s="3" t="n"/>
      <c r="G38" s="3" t="n"/>
      <c r="H38" s="8" t="n"/>
      <c r="I38" s="3" t="n"/>
    </row>
    <row r="39" hidden="1">
      <c r="A39" s="3">
        <f>'Production Plan'!B39</f>
        <v/>
      </c>
      <c r="B39" s="3">
        <f>VLOOKUP(A39,'Production Plan'!B:S,16,FALSE)</f>
        <v/>
      </c>
      <c r="C39" s="3">
        <f>VLOOKUP(A39,'Production Plan'!B:F,5,FALSE)</f>
        <v/>
      </c>
      <c r="D39" s="3" t="n"/>
      <c r="E39" s="3" t="n"/>
      <c r="F39" s="3" t="n"/>
      <c r="G39" s="3" t="n"/>
      <c r="H39" s="8" t="n"/>
      <c r="I39" s="3" t="n"/>
    </row>
    <row r="40" hidden="1">
      <c r="A40" s="3">
        <f>'Production Plan'!B40</f>
        <v/>
      </c>
      <c r="B40" s="3">
        <f>VLOOKUP(A40,'Production Plan'!B:S,16,FALSE)</f>
        <v/>
      </c>
      <c r="C40" s="3">
        <f>VLOOKUP(A40,'Production Plan'!B:F,5,FALSE)</f>
        <v/>
      </c>
      <c r="D40" s="3" t="n"/>
      <c r="E40" s="3" t="n"/>
      <c r="F40" s="3" t="n"/>
      <c r="G40" s="3" t="n"/>
      <c r="H40" s="8" t="n"/>
      <c r="I40" s="3" t="n"/>
    </row>
    <row r="41" hidden="1">
      <c r="A41" s="3">
        <f>'Production Plan'!B41</f>
        <v/>
      </c>
      <c r="B41" s="3">
        <f>VLOOKUP(A41,'Production Plan'!B:S,16,FALSE)</f>
        <v/>
      </c>
      <c r="C41" s="3">
        <f>VLOOKUP(A41,'Production Plan'!B:F,5,FALSE)</f>
        <v/>
      </c>
      <c r="D41" s="3" t="n"/>
      <c r="E41" s="3" t="n"/>
      <c r="F41" s="3" t="n"/>
      <c r="G41" s="3" t="n"/>
      <c r="H41" s="8" t="n"/>
      <c r="I41" s="3" t="n"/>
    </row>
    <row r="42" hidden="1">
      <c r="A42">
        <f>'Production Plan'!B42</f>
        <v/>
      </c>
      <c r="B42">
        <f>VLOOKUP(A42,'Production Plan'!B:S,16,FALSE)</f>
        <v/>
      </c>
      <c r="C42">
        <f>VLOOKUP(A42,'Production Plan'!B:F,5,FALSE)</f>
        <v/>
      </c>
    </row>
    <row r="43" hidden="1">
      <c r="A43">
        <f>'Production Plan'!B43</f>
        <v/>
      </c>
      <c r="B43">
        <f>VLOOKUP(A43,'Production Plan'!B:S,16,FALSE)</f>
        <v/>
      </c>
      <c r="C43">
        <f>VLOOKUP(A43,'Production Plan'!B:F,5,FALSE)</f>
        <v/>
      </c>
    </row>
    <row r="44" hidden="1">
      <c r="A44">
        <f>'Production Plan'!B44</f>
        <v/>
      </c>
      <c r="B44">
        <f>VLOOKUP(A44,'Production Plan'!B:S,16,FALSE)</f>
        <v/>
      </c>
      <c r="C44">
        <f>VLOOKUP(A44,'Production Plan'!B:F,5,FALSE)</f>
        <v/>
      </c>
    </row>
    <row r="45" hidden="1">
      <c r="A45">
        <f>'Production Plan'!B45</f>
        <v/>
      </c>
      <c r="B45">
        <f>VLOOKUP(A45,'Production Plan'!B:S,16,FALSE)</f>
        <v/>
      </c>
      <c r="C45">
        <f>VLOOKUP(A45,'Production Plan'!B:F,5,FALSE)</f>
        <v/>
      </c>
    </row>
    <row r="46" hidden="1">
      <c r="A46">
        <f>'Production Plan'!B46</f>
        <v/>
      </c>
      <c r="B46">
        <f>VLOOKUP(A46,'Production Plan'!B:S,16,FALSE)</f>
        <v/>
      </c>
      <c r="C46">
        <f>VLOOKUP(A46,'Production Plan'!B:F,5,FALSE)</f>
        <v/>
      </c>
    </row>
    <row r="47" hidden="1">
      <c r="A47">
        <f>'Production Plan'!B47</f>
        <v/>
      </c>
      <c r="B47">
        <f>VLOOKUP(A47,'Production Plan'!B:S,16,FALSE)</f>
        <v/>
      </c>
      <c r="C47">
        <f>VLOOKUP(A47,'Production Plan'!B:F,5,FALSE)</f>
        <v/>
      </c>
    </row>
    <row r="48" hidden="1">
      <c r="A48">
        <f>'Production Plan'!B48</f>
        <v/>
      </c>
      <c r="B48">
        <f>VLOOKUP(A48,'Production Plan'!B:S,16,FALSE)</f>
        <v/>
      </c>
      <c r="C48">
        <f>VLOOKUP(A48,'Production Plan'!B:F,5,FALSE)</f>
        <v/>
      </c>
    </row>
    <row r="49" hidden="1">
      <c r="A49">
        <f>'Production Plan'!B49</f>
        <v/>
      </c>
      <c r="B49">
        <f>VLOOKUP(A49,'Production Plan'!B:S,16,FALSE)</f>
        <v/>
      </c>
      <c r="C49">
        <f>VLOOKUP(A49,'Production Plan'!B:F,5,FALSE)</f>
        <v/>
      </c>
    </row>
    <row r="50" hidden="1">
      <c r="A50">
        <f>'Production Plan'!B50</f>
        <v/>
      </c>
      <c r="B50">
        <f>VLOOKUP(A50,'Production Plan'!B:S,16,FALSE)</f>
        <v/>
      </c>
      <c r="C50">
        <f>VLOOKUP(A50,'Production Plan'!B:F,5,FALSE)</f>
        <v/>
      </c>
    </row>
    <row r="51" hidden="1">
      <c r="A51">
        <f>'Production Plan'!B51</f>
        <v/>
      </c>
      <c r="B51">
        <f>VLOOKUP(A51,'Production Plan'!B:S,16,FALSE)</f>
        <v/>
      </c>
      <c r="C51">
        <f>VLOOKUP(A51,'Production Plan'!B:F,5,FALSE)</f>
        <v/>
      </c>
    </row>
    <row r="52" hidden="1">
      <c r="A52">
        <f>'Production Plan'!B52</f>
        <v/>
      </c>
      <c r="B52">
        <f>VLOOKUP(A52,'Production Plan'!B:S,16,FALSE)</f>
        <v/>
      </c>
      <c r="C52">
        <f>VLOOKUP(A52,'Production Plan'!B:F,5,FALSE)</f>
        <v/>
      </c>
    </row>
    <row r="53" hidden="1">
      <c r="A53">
        <f>'Production Plan'!B53</f>
        <v/>
      </c>
      <c r="B53">
        <f>VLOOKUP(A53,'Production Plan'!B:S,16,FALSE)</f>
        <v/>
      </c>
      <c r="C53">
        <f>VLOOKUP(A53,'Production Plan'!B:F,5,FALSE)</f>
        <v/>
      </c>
    </row>
    <row r="54" hidden="1">
      <c r="A54">
        <f>'Production Plan'!B54</f>
        <v/>
      </c>
      <c r="B54">
        <f>VLOOKUP(A54,'Production Plan'!B:S,16,FALSE)</f>
        <v/>
      </c>
      <c r="C54">
        <f>VLOOKUP(A54,'Production Plan'!B:F,5,FALSE)</f>
        <v/>
      </c>
    </row>
    <row r="55" hidden="1">
      <c r="A55">
        <f>'Production Plan'!B55</f>
        <v/>
      </c>
      <c r="B55">
        <f>VLOOKUP(A55,'Production Plan'!B:S,16,FALSE)</f>
        <v/>
      </c>
      <c r="C55">
        <f>VLOOKUP(A55,'Production Plan'!B:F,5,FALSE)</f>
        <v/>
      </c>
    </row>
    <row r="56" hidden="1">
      <c r="A56">
        <f>'Production Plan'!B56</f>
        <v/>
      </c>
      <c r="B56">
        <f>VLOOKUP(A56,'Production Plan'!B:S,16,FALSE)</f>
        <v/>
      </c>
      <c r="C56">
        <f>VLOOKUP(A56,'Production Plan'!B:F,5,FALSE)</f>
        <v/>
      </c>
    </row>
    <row r="57" hidden="1">
      <c r="A57">
        <f>'Production Plan'!B57</f>
        <v/>
      </c>
      <c r="B57">
        <f>VLOOKUP(A57,'Production Plan'!B:S,16,FALSE)</f>
        <v/>
      </c>
      <c r="C57">
        <f>VLOOKUP(A57,'Production Plan'!B:F,5,FALSE)</f>
        <v/>
      </c>
    </row>
    <row r="58" hidden="1">
      <c r="A58">
        <f>'Production Plan'!B58</f>
        <v/>
      </c>
      <c r="B58">
        <f>VLOOKUP(A58,'Production Plan'!B:S,16,FALSE)</f>
        <v/>
      </c>
      <c r="C58">
        <f>VLOOKUP(A58,'Production Plan'!B:F,5,FALSE)</f>
        <v/>
      </c>
    </row>
    <row r="59" hidden="1">
      <c r="A59">
        <f>'Production Plan'!B59</f>
        <v/>
      </c>
      <c r="B59">
        <f>VLOOKUP(A59,'Production Plan'!B:S,16,FALSE)</f>
        <v/>
      </c>
      <c r="C59">
        <f>VLOOKUP(A59,'Production Plan'!B:F,5,FALSE)</f>
        <v/>
      </c>
    </row>
    <row r="60" hidden="1">
      <c r="A60">
        <f>'Production Plan'!B60</f>
        <v/>
      </c>
      <c r="B60">
        <f>VLOOKUP(A60,'Production Plan'!B:S,16,FALSE)</f>
        <v/>
      </c>
      <c r="C60">
        <f>VLOOKUP(A60,'Production Plan'!B:F,5,FALSE)</f>
        <v/>
      </c>
    </row>
    <row r="61" hidden="1">
      <c r="A61">
        <f>'Production Plan'!B61</f>
        <v/>
      </c>
      <c r="B61">
        <f>VLOOKUP(A61,'Production Plan'!B:S,16,FALSE)</f>
        <v/>
      </c>
      <c r="C61">
        <f>VLOOKUP(A61,'Production Plan'!B:F,5,FALSE)</f>
        <v/>
      </c>
    </row>
    <row r="62" hidden="1">
      <c r="A62">
        <f>'Production Plan'!B62</f>
        <v/>
      </c>
      <c r="B62">
        <f>VLOOKUP(A62,'Production Plan'!B:S,16,FALSE)</f>
        <v/>
      </c>
      <c r="C62">
        <f>VLOOKUP(A62,'Production Plan'!B:F,5,FALSE)</f>
        <v/>
      </c>
    </row>
    <row r="63" hidden="1">
      <c r="A63">
        <f>'Production Plan'!B63</f>
        <v/>
      </c>
      <c r="B63">
        <f>VLOOKUP(A63,'Production Plan'!B:S,16,FALSE)</f>
        <v/>
      </c>
      <c r="C63">
        <f>VLOOKUP(A63,'Production Plan'!B:F,5,FALSE)</f>
        <v/>
      </c>
    </row>
    <row r="64" hidden="1">
      <c r="A64">
        <f>'Production Plan'!B64</f>
        <v/>
      </c>
      <c r="B64">
        <f>VLOOKUP(A64,'Production Plan'!B:S,16,FALSE)</f>
        <v/>
      </c>
      <c r="C64">
        <f>VLOOKUP(A64,'Production Plan'!B:F,5,FALSE)</f>
        <v/>
      </c>
    </row>
    <row r="65" hidden="1">
      <c r="A65">
        <f>'Production Plan'!B65</f>
        <v/>
      </c>
      <c r="B65">
        <f>VLOOKUP(A65,'Production Plan'!B:S,16,FALSE)</f>
        <v/>
      </c>
      <c r="C65">
        <f>VLOOKUP(A65,'Production Plan'!B:F,5,FALSE)</f>
        <v/>
      </c>
    </row>
    <row r="66" hidden="1">
      <c r="A66">
        <f>'Production Plan'!B66</f>
        <v/>
      </c>
      <c r="B66">
        <f>VLOOKUP(A66,'Production Plan'!B:S,16,FALSE)</f>
        <v/>
      </c>
      <c r="C66">
        <f>VLOOKUP(A66,'Production Plan'!B:F,5,FALSE)</f>
        <v/>
      </c>
    </row>
    <row r="67" hidden="1">
      <c r="A67">
        <f>'Production Plan'!B67</f>
        <v/>
      </c>
      <c r="B67">
        <f>VLOOKUP(A67,'Production Plan'!B:S,16,FALSE)</f>
        <v/>
      </c>
      <c r="C67">
        <f>VLOOKUP(A67,'Production Plan'!B:F,5,FALSE)</f>
        <v/>
      </c>
    </row>
    <row r="68" hidden="1">
      <c r="A68">
        <f>'Production Plan'!B68</f>
        <v/>
      </c>
      <c r="B68">
        <f>VLOOKUP(A68,'Production Plan'!B:S,16,FALSE)</f>
        <v/>
      </c>
      <c r="C68">
        <f>VLOOKUP(A68,'Production Plan'!B:F,5,FALSE)</f>
        <v/>
      </c>
    </row>
    <row r="69" hidden="1">
      <c r="A69">
        <f>'Production Plan'!B69</f>
        <v/>
      </c>
      <c r="B69">
        <f>VLOOKUP(A69,'Production Plan'!B:S,16,FALSE)</f>
        <v/>
      </c>
      <c r="C69">
        <f>VLOOKUP(A69,'Production Plan'!B:F,5,FALSE)</f>
        <v/>
      </c>
    </row>
    <row r="70" hidden="1">
      <c r="A70">
        <f>'Production Plan'!B70</f>
        <v/>
      </c>
      <c r="B70">
        <f>VLOOKUP(A70,'Production Plan'!B:S,16,FALSE)</f>
        <v/>
      </c>
      <c r="C70">
        <f>VLOOKUP(A70,'Production Plan'!B:F,5,FALSE)</f>
        <v/>
      </c>
    </row>
    <row r="71" hidden="1">
      <c r="A71">
        <f>'Production Plan'!B71</f>
        <v/>
      </c>
      <c r="B71">
        <f>VLOOKUP(A71,'Production Plan'!B:S,16,FALSE)</f>
        <v/>
      </c>
      <c r="C71">
        <f>VLOOKUP(A71,'Production Plan'!B:F,5,FALSE)</f>
        <v/>
      </c>
    </row>
    <row r="72" hidden="1">
      <c r="A72">
        <f>'Production Plan'!B72</f>
        <v/>
      </c>
      <c r="B72">
        <f>VLOOKUP(A72,'Production Plan'!B:S,16,FALSE)</f>
        <v/>
      </c>
      <c r="C72">
        <f>VLOOKUP(A72,'Production Plan'!B:F,5,FALSE)</f>
        <v/>
      </c>
    </row>
    <row r="73" hidden="1">
      <c r="A73">
        <f>'Production Plan'!B73</f>
        <v/>
      </c>
      <c r="B73">
        <f>VLOOKUP(A73,'Production Plan'!B:S,16,FALSE)</f>
        <v/>
      </c>
      <c r="C73">
        <f>VLOOKUP(A73,'Production Plan'!B:F,5,FALSE)</f>
        <v/>
      </c>
    </row>
    <row r="74" hidden="1">
      <c r="A74">
        <f>'Production Plan'!B74</f>
        <v/>
      </c>
      <c r="B74">
        <f>VLOOKUP(A74,'Production Plan'!B:S,16,FALSE)</f>
        <v/>
      </c>
      <c r="C74">
        <f>VLOOKUP(A74,'Production Plan'!B:F,5,FALSE)</f>
        <v/>
      </c>
    </row>
    <row r="75" hidden="1">
      <c r="A75">
        <f>'Production Plan'!B75</f>
        <v/>
      </c>
      <c r="B75">
        <f>VLOOKUP(A75,'Production Plan'!B:S,16,FALSE)</f>
        <v/>
      </c>
      <c r="C75">
        <f>VLOOKUP(A75,'Production Plan'!B:F,5,FALSE)</f>
        <v/>
      </c>
    </row>
    <row r="76" hidden="1">
      <c r="A76">
        <f>'Production Plan'!B76</f>
        <v/>
      </c>
      <c r="B76">
        <f>VLOOKUP(A76,'Production Plan'!B:S,16,FALSE)</f>
        <v/>
      </c>
      <c r="C76">
        <f>VLOOKUP(A76,'Production Plan'!B:F,5,FALSE)</f>
        <v/>
      </c>
    </row>
    <row r="77" hidden="1">
      <c r="A77">
        <f>'Production Plan'!B77</f>
        <v/>
      </c>
      <c r="B77">
        <f>VLOOKUP(A77,'Production Plan'!B:S,16,FALSE)</f>
        <v/>
      </c>
      <c r="C77">
        <f>VLOOKUP(A77,'Production Plan'!B:F,5,FALSE)</f>
        <v/>
      </c>
    </row>
    <row r="78" hidden="1">
      <c r="A78">
        <f>'Production Plan'!B78</f>
        <v/>
      </c>
      <c r="B78">
        <f>VLOOKUP(A78,'Production Plan'!B:S,16,FALSE)</f>
        <v/>
      </c>
      <c r="C78">
        <f>VLOOKUP(A78,'Production Plan'!B:F,5,FALSE)</f>
        <v/>
      </c>
    </row>
    <row r="79" hidden="1">
      <c r="A79">
        <f>'Production Plan'!B79</f>
        <v/>
      </c>
      <c r="B79">
        <f>VLOOKUP(A79,'Production Plan'!B:S,16,FALSE)</f>
        <v/>
      </c>
      <c r="C79">
        <f>VLOOKUP(A79,'Production Plan'!B:F,5,FALSE)</f>
        <v/>
      </c>
    </row>
    <row r="80" hidden="1">
      <c r="A80">
        <f>'Production Plan'!B80</f>
        <v/>
      </c>
      <c r="B80">
        <f>VLOOKUP(A80,'Production Plan'!B:S,16,FALSE)</f>
        <v/>
      </c>
      <c r="C80">
        <f>VLOOKUP(A80,'Production Plan'!B:F,5,FALSE)</f>
        <v/>
      </c>
    </row>
    <row r="81" hidden="1">
      <c r="A81">
        <f>'Production Plan'!B81</f>
        <v/>
      </c>
      <c r="B81">
        <f>VLOOKUP(A81,'Production Plan'!B:S,16,FALSE)</f>
        <v/>
      </c>
      <c r="C81">
        <f>VLOOKUP(A81,'Production Plan'!B:F,5,FALSE)</f>
        <v/>
      </c>
    </row>
    <row r="82" hidden="1">
      <c r="A82">
        <f>'Production Plan'!B82</f>
        <v/>
      </c>
      <c r="B82">
        <f>VLOOKUP(A82,'Production Plan'!B:S,16,FALSE)</f>
        <v/>
      </c>
      <c r="C82">
        <f>VLOOKUP(A82,'Production Plan'!B:F,5,FALSE)</f>
        <v/>
      </c>
    </row>
    <row r="83" hidden="1">
      <c r="A83">
        <f>'Production Plan'!B83</f>
        <v/>
      </c>
      <c r="B83">
        <f>VLOOKUP(A83,'Production Plan'!B:S,16,FALSE)</f>
        <v/>
      </c>
      <c r="C83">
        <f>VLOOKUP(A83,'Production Plan'!B:F,5,FALSE)</f>
        <v/>
      </c>
    </row>
    <row r="84" hidden="1">
      <c r="A84">
        <f>'Production Plan'!B84</f>
        <v/>
      </c>
      <c r="B84">
        <f>VLOOKUP(A84,'Production Plan'!B:S,16,FALSE)</f>
        <v/>
      </c>
      <c r="C84">
        <f>VLOOKUP(A84,'Production Plan'!B:F,5,FALSE)</f>
        <v/>
      </c>
    </row>
    <row r="85" hidden="1">
      <c r="A85">
        <f>'Production Plan'!B85</f>
        <v/>
      </c>
      <c r="B85">
        <f>VLOOKUP(A85,'Production Plan'!B:S,16,FALSE)</f>
        <v/>
      </c>
      <c r="C85">
        <f>VLOOKUP(A85,'Production Plan'!B:F,5,FALSE)</f>
        <v/>
      </c>
    </row>
    <row r="86" hidden="1">
      <c r="A86">
        <f>'Production Plan'!B86</f>
        <v/>
      </c>
      <c r="B86">
        <f>VLOOKUP(A86,'Production Plan'!B:S,16,FALSE)</f>
        <v/>
      </c>
      <c r="C86">
        <f>VLOOKUP(A86,'Production Plan'!B:F,5,FALSE)</f>
        <v/>
      </c>
    </row>
    <row r="87" hidden="1">
      <c r="A87">
        <f>'Production Plan'!B87</f>
        <v/>
      </c>
      <c r="B87">
        <f>VLOOKUP(A87,'Production Plan'!B:S,16,FALSE)</f>
        <v/>
      </c>
      <c r="C87">
        <f>VLOOKUP(A87,'Production Plan'!B:F,5,FALSE)</f>
        <v/>
      </c>
    </row>
    <row r="88" hidden="1">
      <c r="A88">
        <f>'Production Plan'!B88</f>
        <v/>
      </c>
      <c r="B88">
        <f>VLOOKUP(A88,'Production Plan'!B:S,16,FALSE)</f>
        <v/>
      </c>
      <c r="C88">
        <f>VLOOKUP(A88,'Production Plan'!B:F,5,FALSE)</f>
        <v/>
      </c>
    </row>
    <row r="89" hidden="1">
      <c r="A89">
        <f>'Production Plan'!B89</f>
        <v/>
      </c>
      <c r="B89">
        <f>VLOOKUP(A89,'Production Plan'!B:S,16,FALSE)</f>
        <v/>
      </c>
      <c r="C89">
        <f>VLOOKUP(A89,'Production Plan'!B:F,5,FALSE)</f>
        <v/>
      </c>
    </row>
    <row r="90" hidden="1">
      <c r="A90">
        <f>'Production Plan'!B90</f>
        <v/>
      </c>
      <c r="B90">
        <f>VLOOKUP(A90,'Production Plan'!B:S,16,FALSE)</f>
        <v/>
      </c>
      <c r="C90">
        <f>VLOOKUP(A90,'Production Plan'!B:F,5,FALSE)</f>
        <v/>
      </c>
    </row>
    <row r="91" hidden="1">
      <c r="A91">
        <f>'Production Plan'!B91</f>
        <v/>
      </c>
      <c r="B91">
        <f>VLOOKUP(A91,'Production Plan'!B:S,16,FALSE)</f>
        <v/>
      </c>
      <c r="C91">
        <f>VLOOKUP(A91,'Production Plan'!B:F,5,FALSE)</f>
        <v/>
      </c>
    </row>
    <row r="92" hidden="1">
      <c r="A92">
        <f>'Production Plan'!B92</f>
        <v/>
      </c>
      <c r="B92">
        <f>VLOOKUP(A92,'Production Plan'!B:S,16,FALSE)</f>
        <v/>
      </c>
      <c r="C92">
        <f>VLOOKUP(A92,'Production Plan'!B:F,5,FALSE)</f>
        <v/>
      </c>
    </row>
    <row r="93" hidden="1">
      <c r="A93">
        <f>'Production Plan'!B93</f>
        <v/>
      </c>
      <c r="B93">
        <f>VLOOKUP(A93,'Production Plan'!B:S,16,FALSE)</f>
        <v/>
      </c>
      <c r="C93">
        <f>VLOOKUP(A93,'Production Plan'!B:F,5,FALSE)</f>
        <v/>
      </c>
    </row>
    <row r="94" hidden="1">
      <c r="A94">
        <f>'Production Plan'!B94</f>
        <v/>
      </c>
      <c r="B94">
        <f>VLOOKUP(A94,'Production Plan'!B:S,16,FALSE)</f>
        <v/>
      </c>
      <c r="C94">
        <f>VLOOKUP(A94,'Production Plan'!B:F,5,FALSE)</f>
        <v/>
      </c>
    </row>
    <row r="95" hidden="1">
      <c r="A95">
        <f>'Production Plan'!B95</f>
        <v/>
      </c>
      <c r="B95">
        <f>VLOOKUP(A95,'Production Plan'!B:S,16,FALSE)</f>
        <v/>
      </c>
      <c r="C95">
        <f>VLOOKUP(A95,'Production Plan'!B:F,5,FALSE)</f>
        <v/>
      </c>
    </row>
    <row r="96" hidden="1">
      <c r="A96">
        <f>'Production Plan'!B96</f>
        <v/>
      </c>
      <c r="B96">
        <f>VLOOKUP(A96,'Production Plan'!B:S,16,FALSE)</f>
        <v/>
      </c>
      <c r="C96">
        <f>VLOOKUP(A96,'Production Plan'!B:F,5,FALSE)</f>
        <v/>
      </c>
    </row>
    <row r="97" hidden="1">
      <c r="A97">
        <f>'Production Plan'!B97</f>
        <v/>
      </c>
      <c r="B97">
        <f>VLOOKUP(A97,'Production Plan'!B:S,16,FALSE)</f>
        <v/>
      </c>
      <c r="C97">
        <f>VLOOKUP(A97,'Production Plan'!B:F,5,FALSE)</f>
        <v/>
      </c>
    </row>
    <row r="98" hidden="1">
      <c r="A98">
        <f>'Production Plan'!B98</f>
        <v/>
      </c>
      <c r="B98">
        <f>VLOOKUP(A98,'Production Plan'!B:S,16,FALSE)</f>
        <v/>
      </c>
      <c r="C98">
        <f>VLOOKUP(A98,'Production Plan'!B:F,5,FALSE)</f>
        <v/>
      </c>
    </row>
    <row r="99" hidden="1">
      <c r="A99">
        <f>'Production Plan'!B99</f>
        <v/>
      </c>
      <c r="B99">
        <f>VLOOKUP(A99,'Production Plan'!B:S,16,FALSE)</f>
        <v/>
      </c>
      <c r="C99">
        <f>VLOOKUP(A99,'Production Plan'!B:F,5,FALSE)</f>
        <v/>
      </c>
    </row>
    <row r="100" hidden="1">
      <c r="A100">
        <f>'Production Plan'!B100</f>
        <v/>
      </c>
      <c r="B100">
        <f>VLOOKUP(A100,'Production Plan'!B:S,16,FALSE)</f>
        <v/>
      </c>
      <c r="C100">
        <f>VLOOKUP(A100,'Production Plan'!B:F,5,FALSE)</f>
        <v/>
      </c>
    </row>
    <row r="101" hidden="1">
      <c r="A101">
        <f>'Production Plan'!B101</f>
        <v/>
      </c>
      <c r="B101">
        <f>VLOOKUP(A101,'Production Plan'!B:S,16,FALSE)</f>
        <v/>
      </c>
      <c r="C101">
        <f>VLOOKUP(A101,'Production Plan'!B:F,5,FALSE)</f>
        <v/>
      </c>
    </row>
    <row r="102" hidden="1">
      <c r="A102">
        <f>'Production Plan'!B102</f>
        <v/>
      </c>
      <c r="B102">
        <f>VLOOKUP(A102,'Production Plan'!B:S,16,FALSE)</f>
        <v/>
      </c>
      <c r="C102">
        <f>VLOOKUP(A102,'Production Plan'!B:F,5,FALSE)</f>
        <v/>
      </c>
    </row>
    <row r="103" hidden="1">
      <c r="A103">
        <f>'Production Plan'!B103</f>
        <v/>
      </c>
      <c r="B103">
        <f>VLOOKUP(A103,'Production Plan'!B:S,16,FALSE)</f>
        <v/>
      </c>
      <c r="C103">
        <f>VLOOKUP(A103,'Production Plan'!B:F,5,FALSE)</f>
        <v/>
      </c>
    </row>
    <row r="104" hidden="1">
      <c r="A104">
        <f>'Production Plan'!B104</f>
        <v/>
      </c>
      <c r="B104">
        <f>VLOOKUP(A104,'Production Plan'!B:S,16,FALSE)</f>
        <v/>
      </c>
      <c r="C104">
        <f>VLOOKUP(A104,'Production Plan'!B:F,5,FALSE)</f>
        <v/>
      </c>
    </row>
    <row r="105" hidden="1">
      <c r="A105">
        <f>'Production Plan'!B105</f>
        <v/>
      </c>
      <c r="B105">
        <f>VLOOKUP(A105,'Production Plan'!B:S,16,FALSE)</f>
        <v/>
      </c>
      <c r="C105">
        <f>VLOOKUP(A105,'Production Plan'!B:F,5,FALSE)</f>
        <v/>
      </c>
    </row>
    <row r="106" hidden="1">
      <c r="A106">
        <f>'Production Plan'!B106</f>
        <v/>
      </c>
      <c r="B106">
        <f>VLOOKUP(A106,'Production Plan'!B:S,16,FALSE)</f>
        <v/>
      </c>
      <c r="C106">
        <f>VLOOKUP(A106,'Production Plan'!B:F,5,FALSE)</f>
        <v/>
      </c>
    </row>
    <row r="107" hidden="1">
      <c r="A107">
        <f>'Production Plan'!B107</f>
        <v/>
      </c>
      <c r="B107">
        <f>VLOOKUP(A107,'Production Plan'!B:S,16,FALSE)</f>
        <v/>
      </c>
      <c r="C107">
        <f>VLOOKUP(A107,'Production Plan'!B:F,5,FALSE)</f>
        <v/>
      </c>
    </row>
    <row r="108" hidden="1">
      <c r="A108">
        <f>'Production Plan'!B108</f>
        <v/>
      </c>
      <c r="B108">
        <f>VLOOKUP(A108,'Production Plan'!B:S,16,FALSE)</f>
        <v/>
      </c>
      <c r="C108">
        <f>VLOOKUP(A108,'Production Plan'!B:F,5,FALSE)</f>
        <v/>
      </c>
    </row>
    <row r="109" hidden="1">
      <c r="A109">
        <f>'Production Plan'!B109</f>
        <v/>
      </c>
      <c r="B109">
        <f>VLOOKUP(A109,'Production Plan'!B:S,16,FALSE)</f>
        <v/>
      </c>
      <c r="C109">
        <f>VLOOKUP(A109,'Production Plan'!B:F,5,FALSE)</f>
        <v/>
      </c>
    </row>
    <row r="110" hidden="1">
      <c r="A110">
        <f>'Production Plan'!B110</f>
        <v/>
      </c>
      <c r="B110">
        <f>VLOOKUP(A110,'Production Plan'!B:S,16,FALSE)</f>
        <v/>
      </c>
      <c r="C110">
        <f>VLOOKUP(A110,'Production Plan'!B:F,5,FALSE)</f>
        <v/>
      </c>
    </row>
    <row r="111" hidden="1">
      <c r="A111">
        <f>'Production Plan'!B111</f>
        <v/>
      </c>
      <c r="B111">
        <f>VLOOKUP(A111,'Production Plan'!B:S,16,FALSE)</f>
        <v/>
      </c>
      <c r="C111">
        <f>VLOOKUP(A111,'Production Plan'!B:F,5,FALSE)</f>
        <v/>
      </c>
    </row>
    <row r="112" hidden="1">
      <c r="A112">
        <f>'Production Plan'!B112</f>
        <v/>
      </c>
      <c r="B112">
        <f>VLOOKUP(A112,'Production Plan'!B:S,16,FALSE)</f>
        <v/>
      </c>
      <c r="C112">
        <f>VLOOKUP(A112,'Production Plan'!B:F,5,FALSE)</f>
        <v/>
      </c>
    </row>
    <row r="113" hidden="1">
      <c r="A113">
        <f>'Production Plan'!B113</f>
        <v/>
      </c>
      <c r="B113">
        <f>VLOOKUP(A113,'Production Plan'!B:S,16,FALSE)</f>
        <v/>
      </c>
      <c r="C113">
        <f>VLOOKUP(A113,'Production Plan'!B:F,5,FALSE)</f>
        <v/>
      </c>
    </row>
    <row r="114" hidden="1">
      <c r="A114">
        <f>'Production Plan'!B114</f>
        <v/>
      </c>
      <c r="B114">
        <f>VLOOKUP(A114,'Production Plan'!B:S,16,FALSE)</f>
        <v/>
      </c>
      <c r="C114">
        <f>VLOOKUP(A114,'Production Plan'!B:F,5,FALSE)</f>
        <v/>
      </c>
    </row>
    <row r="115" hidden="1">
      <c r="A115">
        <f>'Production Plan'!B115</f>
        <v/>
      </c>
      <c r="B115">
        <f>VLOOKUP(A115,'Production Plan'!B:S,16,FALSE)</f>
        <v/>
      </c>
      <c r="C115">
        <f>VLOOKUP(A115,'Production Plan'!B:F,5,FALSE)</f>
        <v/>
      </c>
    </row>
    <row r="116" hidden="1">
      <c r="A116">
        <f>'Production Plan'!B116</f>
        <v/>
      </c>
      <c r="B116">
        <f>VLOOKUP(A116,'Production Plan'!B:S,16,FALSE)</f>
        <v/>
      </c>
      <c r="C116">
        <f>VLOOKUP(A116,'Production Plan'!B:F,5,FALSE)</f>
        <v/>
      </c>
    </row>
    <row r="117" hidden="1">
      <c r="A117">
        <f>'Production Plan'!B117</f>
        <v/>
      </c>
      <c r="B117">
        <f>VLOOKUP(A117,'Production Plan'!B:S,16,FALSE)</f>
        <v/>
      </c>
      <c r="C117">
        <f>VLOOKUP(A117,'Production Plan'!B:F,5,FALSE)</f>
        <v/>
      </c>
    </row>
    <row r="118" hidden="1">
      <c r="A118">
        <f>'Production Plan'!B118</f>
        <v/>
      </c>
      <c r="B118">
        <f>VLOOKUP(A118,'Production Plan'!B:S,16,FALSE)</f>
        <v/>
      </c>
      <c r="C118">
        <f>VLOOKUP(A118,'Production Plan'!B:F,5,FALSE)</f>
        <v/>
      </c>
    </row>
    <row r="119" hidden="1">
      <c r="A119">
        <f>'Production Plan'!B119</f>
        <v/>
      </c>
      <c r="B119">
        <f>VLOOKUP(A119,'Production Plan'!B:S,16,FALSE)</f>
        <v/>
      </c>
      <c r="C119">
        <f>VLOOKUP(A119,'Production Plan'!B:F,5,FALSE)</f>
        <v/>
      </c>
    </row>
    <row r="120" hidden="1">
      <c r="A120">
        <f>'Production Plan'!B120</f>
        <v/>
      </c>
      <c r="B120">
        <f>VLOOKUP(A120,'Production Plan'!B:S,16,FALSE)</f>
        <v/>
      </c>
      <c r="C120">
        <f>VLOOKUP(A120,'Production Plan'!B:F,5,FALSE)</f>
        <v/>
      </c>
    </row>
    <row r="121" hidden="1">
      <c r="A121">
        <f>'Production Plan'!B121</f>
        <v/>
      </c>
      <c r="B121">
        <f>VLOOKUP(A121,'Production Plan'!B:S,16,FALSE)</f>
        <v/>
      </c>
      <c r="C121">
        <f>VLOOKUP(A121,'Production Plan'!B:F,5,FALSE)</f>
        <v/>
      </c>
    </row>
    <row r="122" hidden="1">
      <c r="A122">
        <f>'Production Plan'!B122</f>
        <v/>
      </c>
      <c r="B122">
        <f>VLOOKUP(A122,'Production Plan'!B:S,16,FALSE)</f>
        <v/>
      </c>
      <c r="C122">
        <f>VLOOKUP(A122,'Production Plan'!B:F,5,FALSE)</f>
        <v/>
      </c>
    </row>
    <row r="123" hidden="1">
      <c r="A123">
        <f>'Production Plan'!B123</f>
        <v/>
      </c>
      <c r="B123">
        <f>VLOOKUP(A123,'Production Plan'!B:S,16,FALSE)</f>
        <v/>
      </c>
      <c r="C123">
        <f>VLOOKUP(A123,'Production Plan'!B:F,5,FALSE)</f>
        <v/>
      </c>
    </row>
    <row r="124" hidden="1">
      <c r="A124">
        <f>'Production Plan'!B124</f>
        <v/>
      </c>
      <c r="B124">
        <f>VLOOKUP(A124,'Production Plan'!B:S,16,FALSE)</f>
        <v/>
      </c>
      <c r="C124">
        <f>VLOOKUP(A124,'Production Plan'!B:F,5,FALSE)</f>
        <v/>
      </c>
    </row>
    <row r="125" hidden="1">
      <c r="A125">
        <f>'Production Plan'!B125</f>
        <v/>
      </c>
      <c r="B125">
        <f>VLOOKUP(A125,'Production Plan'!B:S,16,FALSE)</f>
        <v/>
      </c>
      <c r="C125">
        <f>VLOOKUP(A125,'Production Plan'!B:F,5,FALSE)</f>
        <v/>
      </c>
    </row>
    <row r="126" hidden="1">
      <c r="A126">
        <f>'Production Plan'!B126</f>
        <v/>
      </c>
      <c r="B126">
        <f>VLOOKUP(A126,'Production Plan'!B:S,16,FALSE)</f>
        <v/>
      </c>
      <c r="C126">
        <f>VLOOKUP(A126,'Production Plan'!B:F,5,FALSE)</f>
        <v/>
      </c>
    </row>
    <row r="127" hidden="1">
      <c r="A127">
        <f>'Production Plan'!B127</f>
        <v/>
      </c>
      <c r="B127">
        <f>VLOOKUP(A127,'Production Plan'!B:S,16,FALSE)</f>
        <v/>
      </c>
      <c r="C127">
        <f>VLOOKUP(A127,'Production Plan'!B:F,5,FALSE)</f>
        <v/>
      </c>
    </row>
    <row r="128" hidden="1">
      <c r="A128">
        <f>'Production Plan'!B128</f>
        <v/>
      </c>
      <c r="B128">
        <f>VLOOKUP(A128,'Production Plan'!B:S,16,FALSE)</f>
        <v/>
      </c>
      <c r="C128">
        <f>VLOOKUP(A128,'Production Plan'!B:F,5,FALSE)</f>
        <v/>
      </c>
    </row>
    <row r="129" hidden="1">
      <c r="A129">
        <f>'Production Plan'!B129</f>
        <v/>
      </c>
      <c r="B129">
        <f>VLOOKUP(A129,'Production Plan'!B:S,16,FALSE)</f>
        <v/>
      </c>
      <c r="C129">
        <f>VLOOKUP(A129,'Production Plan'!B:F,5,FALSE)</f>
        <v/>
      </c>
    </row>
    <row r="130" hidden="1">
      <c r="A130">
        <f>'Production Plan'!B130</f>
        <v/>
      </c>
      <c r="B130">
        <f>VLOOKUP(A130,'Production Plan'!B:S,16,FALSE)</f>
        <v/>
      </c>
      <c r="C130">
        <f>VLOOKUP(A130,'Production Plan'!B:F,5,FALSE)</f>
        <v/>
      </c>
    </row>
    <row r="131" hidden="1">
      <c r="A131">
        <f>'Production Plan'!B131</f>
        <v/>
      </c>
      <c r="B131">
        <f>VLOOKUP(A131,'Production Plan'!B:S,16,FALSE)</f>
        <v/>
      </c>
      <c r="C131">
        <f>VLOOKUP(A131,'Production Plan'!B:F,5,FALSE)</f>
        <v/>
      </c>
    </row>
    <row r="132" hidden="1">
      <c r="A132">
        <f>'Production Plan'!B132</f>
        <v/>
      </c>
      <c r="B132">
        <f>VLOOKUP(A132,'Production Plan'!B:S,16,FALSE)</f>
        <v/>
      </c>
      <c r="C132">
        <f>VLOOKUP(A132,'Production Plan'!B:F,5,FALSE)</f>
        <v/>
      </c>
    </row>
    <row r="133" hidden="1">
      <c r="A133">
        <f>'Production Plan'!B133</f>
        <v/>
      </c>
      <c r="B133">
        <f>VLOOKUP(A133,'Production Plan'!B:S,16,FALSE)</f>
        <v/>
      </c>
      <c r="C133">
        <f>VLOOKUP(A133,'Production Plan'!B:F,5,FALSE)</f>
        <v/>
      </c>
    </row>
    <row r="134" hidden="1">
      <c r="A134">
        <f>'Production Plan'!B134</f>
        <v/>
      </c>
      <c r="B134">
        <f>VLOOKUP(A134,'Production Plan'!B:S,16,FALSE)</f>
        <v/>
      </c>
      <c r="C134">
        <f>VLOOKUP(A134,'Production Plan'!B:F,5,FALSE)</f>
        <v/>
      </c>
    </row>
    <row r="135" hidden="1">
      <c r="A135">
        <f>'Production Plan'!B135</f>
        <v/>
      </c>
      <c r="B135">
        <f>VLOOKUP(A135,'Production Plan'!B:S,16,FALSE)</f>
        <v/>
      </c>
      <c r="C135">
        <f>VLOOKUP(A135,'Production Plan'!B:F,5,FALSE)</f>
        <v/>
      </c>
    </row>
    <row r="136" hidden="1">
      <c r="A136">
        <f>'Production Plan'!B136</f>
        <v/>
      </c>
      <c r="B136">
        <f>VLOOKUP(A136,'Production Plan'!B:S,16,FALSE)</f>
        <v/>
      </c>
      <c r="C136">
        <f>VLOOKUP(A136,'Production Plan'!B:F,5,FALSE)</f>
        <v/>
      </c>
    </row>
    <row r="137" hidden="1">
      <c r="A137">
        <f>'Production Plan'!B137</f>
        <v/>
      </c>
      <c r="B137">
        <f>VLOOKUP(A137,'Production Plan'!B:S,16,FALSE)</f>
        <v/>
      </c>
      <c r="C137">
        <f>VLOOKUP(A137,'Production Plan'!B:F,5,FALSE)</f>
        <v/>
      </c>
    </row>
    <row r="138" hidden="1">
      <c r="A138">
        <f>'Production Plan'!B138</f>
        <v/>
      </c>
      <c r="B138">
        <f>VLOOKUP(A138,'Production Plan'!B:S,16,FALSE)</f>
        <v/>
      </c>
      <c r="C138">
        <f>VLOOKUP(A138,'Production Plan'!B:F,5,FALSE)</f>
        <v/>
      </c>
    </row>
    <row r="139" hidden="1">
      <c r="A139">
        <f>'Production Plan'!B139</f>
        <v/>
      </c>
      <c r="B139">
        <f>VLOOKUP(A139,'Production Plan'!B:S,16,FALSE)</f>
        <v/>
      </c>
      <c r="C139">
        <f>VLOOKUP(A139,'Production Plan'!B:F,5,FALSE)</f>
        <v/>
      </c>
    </row>
    <row r="140" hidden="1">
      <c r="A140">
        <f>'Production Plan'!B140</f>
        <v/>
      </c>
      <c r="B140">
        <f>VLOOKUP(A140,'Production Plan'!B:S,16,FALSE)</f>
        <v/>
      </c>
      <c r="C140">
        <f>VLOOKUP(A140,'Production Plan'!B:F,5,FALSE)</f>
        <v/>
      </c>
    </row>
    <row r="141" hidden="1">
      <c r="A141">
        <f>'Production Plan'!B141</f>
        <v/>
      </c>
      <c r="B141">
        <f>VLOOKUP(A141,'Production Plan'!B:S,16,FALSE)</f>
        <v/>
      </c>
      <c r="C141">
        <f>VLOOKUP(A141,'Production Plan'!B:F,5,FALSE)</f>
        <v/>
      </c>
    </row>
    <row r="142" hidden="1">
      <c r="A142">
        <f>'Production Plan'!B142</f>
        <v/>
      </c>
      <c r="B142">
        <f>VLOOKUP(A142,'Production Plan'!B:S,16,FALSE)</f>
        <v/>
      </c>
      <c r="C142">
        <f>VLOOKUP(A142,'Production Plan'!B:F,5,FALSE)</f>
        <v/>
      </c>
    </row>
    <row r="143" hidden="1">
      <c r="A143">
        <f>'Production Plan'!B143</f>
        <v/>
      </c>
      <c r="B143">
        <f>VLOOKUP(A143,'Production Plan'!B:S,16,FALSE)</f>
        <v/>
      </c>
      <c r="C143">
        <f>VLOOKUP(A143,'Production Plan'!B:F,5,FALSE)</f>
        <v/>
      </c>
    </row>
    <row r="144" hidden="1">
      <c r="A144">
        <f>'Production Plan'!B144</f>
        <v/>
      </c>
      <c r="B144">
        <f>VLOOKUP(A144,'Production Plan'!B:S,16,FALSE)</f>
        <v/>
      </c>
      <c r="C144">
        <f>VLOOKUP(A144,'Production Plan'!B:F,5,FALSE)</f>
        <v/>
      </c>
    </row>
    <row r="145" hidden="1">
      <c r="A145">
        <f>'Production Plan'!B145</f>
        <v/>
      </c>
      <c r="B145">
        <f>VLOOKUP(A145,'Production Plan'!B:S,16,FALSE)</f>
        <v/>
      </c>
      <c r="C145">
        <f>VLOOKUP(A145,'Production Plan'!B:F,5,FALSE)</f>
        <v/>
      </c>
    </row>
    <row r="146" hidden="1">
      <c r="A146">
        <f>'Production Plan'!B146</f>
        <v/>
      </c>
      <c r="B146">
        <f>VLOOKUP(A146,'Production Plan'!B:S,16,FALSE)</f>
        <v/>
      </c>
      <c r="C146">
        <f>VLOOKUP(A146,'Production Plan'!B:F,5,FALSE)</f>
        <v/>
      </c>
    </row>
    <row r="147" hidden="1">
      <c r="A147">
        <f>'Production Plan'!B147</f>
        <v/>
      </c>
      <c r="B147">
        <f>VLOOKUP(A147,'Production Plan'!B:S,16,FALSE)</f>
        <v/>
      </c>
      <c r="C147">
        <f>VLOOKUP(A147,'Production Plan'!B:F,5,FALSE)</f>
        <v/>
      </c>
    </row>
    <row r="148" hidden="1">
      <c r="A148">
        <f>'Production Plan'!B148</f>
        <v/>
      </c>
      <c r="B148">
        <f>VLOOKUP(A148,'Production Plan'!B:S,16,FALSE)</f>
        <v/>
      </c>
      <c r="C148">
        <f>VLOOKUP(A148,'Production Plan'!B:F,5,FALSE)</f>
        <v/>
      </c>
    </row>
    <row r="149" hidden="1">
      <c r="A149">
        <f>'Production Plan'!B149</f>
        <v/>
      </c>
      <c r="B149">
        <f>VLOOKUP(A149,'Production Plan'!B:S,16,FALSE)</f>
        <v/>
      </c>
      <c r="C149">
        <f>VLOOKUP(A149,'Production Plan'!B:F,5,FALSE)</f>
        <v/>
      </c>
    </row>
    <row r="150" hidden="1">
      <c r="A150">
        <f>'Production Plan'!B150</f>
        <v/>
      </c>
      <c r="B150">
        <f>VLOOKUP(A150,'Production Plan'!B:S,16,FALSE)</f>
        <v/>
      </c>
      <c r="C150">
        <f>VLOOKUP(A150,'Production Plan'!B:F,5,FALSE)</f>
        <v/>
      </c>
    </row>
    <row r="151" hidden="1">
      <c r="A151">
        <f>'Production Plan'!B151</f>
        <v/>
      </c>
      <c r="B151">
        <f>VLOOKUP(A151,'Production Plan'!B:S,16,FALSE)</f>
        <v/>
      </c>
      <c r="C151">
        <f>VLOOKUP(A151,'Production Plan'!B:F,5,FALSE)</f>
        <v/>
      </c>
    </row>
    <row r="152" hidden="1">
      <c r="A152">
        <f>'Production Plan'!B152</f>
        <v/>
      </c>
      <c r="B152">
        <f>VLOOKUP(A152,'Production Plan'!B:S,16,FALSE)</f>
        <v/>
      </c>
      <c r="C152">
        <f>VLOOKUP(A152,'Production Plan'!B:F,5,FALSE)</f>
        <v/>
      </c>
    </row>
    <row r="153" hidden="1">
      <c r="A153">
        <f>'Production Plan'!B153</f>
        <v/>
      </c>
      <c r="B153">
        <f>VLOOKUP(A153,'Production Plan'!B:S,16,FALSE)</f>
        <v/>
      </c>
      <c r="C153">
        <f>VLOOKUP(A153,'Production Plan'!B:F,5,FALSE)</f>
        <v/>
      </c>
    </row>
    <row r="154" hidden="1">
      <c r="A154">
        <f>'Production Plan'!B154</f>
        <v/>
      </c>
      <c r="B154">
        <f>VLOOKUP(A154,'Production Plan'!B:S,16,FALSE)</f>
        <v/>
      </c>
      <c r="C154">
        <f>VLOOKUP(A154,'Production Plan'!B:F,5,FALSE)</f>
        <v/>
      </c>
    </row>
    <row r="155" hidden="1">
      <c r="A155">
        <f>'Production Plan'!B155</f>
        <v/>
      </c>
      <c r="B155">
        <f>VLOOKUP(A155,'Production Plan'!B:S,16,FALSE)</f>
        <v/>
      </c>
      <c r="C155">
        <f>VLOOKUP(A155,'Production Plan'!B:F,5,FALSE)</f>
        <v/>
      </c>
    </row>
    <row r="156" hidden="1">
      <c r="A156">
        <f>'Production Plan'!B156</f>
        <v/>
      </c>
      <c r="B156">
        <f>VLOOKUP(A156,'Production Plan'!B:S,16,FALSE)</f>
        <v/>
      </c>
      <c r="C156">
        <f>VLOOKUP(A156,'Production Plan'!B:F,5,FALSE)</f>
        <v/>
      </c>
    </row>
    <row r="157" hidden="1">
      <c r="A157">
        <f>'Production Plan'!B157</f>
        <v/>
      </c>
      <c r="B157">
        <f>VLOOKUP(A157,'Production Plan'!B:S,16,FALSE)</f>
        <v/>
      </c>
      <c r="C157">
        <f>VLOOKUP(A157,'Production Plan'!B:F,5,FALSE)</f>
        <v/>
      </c>
    </row>
    <row r="158" hidden="1">
      <c r="A158">
        <f>'Production Plan'!B158</f>
        <v/>
      </c>
      <c r="B158">
        <f>VLOOKUP(A158,'Production Plan'!B:S,16,FALSE)</f>
        <v/>
      </c>
      <c r="C158">
        <f>VLOOKUP(A158,'Production Plan'!B:F,5,FALSE)</f>
        <v/>
      </c>
    </row>
    <row r="159" hidden="1">
      <c r="A159">
        <f>'Production Plan'!B159</f>
        <v/>
      </c>
      <c r="B159">
        <f>VLOOKUP(A159,'Production Plan'!B:S,16,FALSE)</f>
        <v/>
      </c>
      <c r="C159">
        <f>VLOOKUP(A159,'Production Plan'!B:F,5,FALSE)</f>
        <v/>
      </c>
    </row>
    <row r="160" hidden="1">
      <c r="A160">
        <f>'Production Plan'!B160</f>
        <v/>
      </c>
      <c r="B160">
        <f>VLOOKUP(A160,'Production Plan'!B:S,16,FALSE)</f>
        <v/>
      </c>
      <c r="C160">
        <f>VLOOKUP(A160,'Production Plan'!B:F,5,FALSE)</f>
        <v/>
      </c>
    </row>
    <row r="161" hidden="1">
      <c r="A161">
        <f>'Production Plan'!B161</f>
        <v/>
      </c>
      <c r="B161">
        <f>VLOOKUP(A161,'Production Plan'!B:S,16,FALSE)</f>
        <v/>
      </c>
      <c r="C161">
        <f>VLOOKUP(A161,'Production Plan'!B:F,5,FALSE)</f>
        <v/>
      </c>
    </row>
    <row r="162" hidden="1">
      <c r="A162">
        <f>'Production Plan'!B162</f>
        <v/>
      </c>
      <c r="B162">
        <f>VLOOKUP(A162,'Production Plan'!B:S,16,FALSE)</f>
        <v/>
      </c>
      <c r="C162">
        <f>VLOOKUP(A162,'Production Plan'!B:F,5,FALSE)</f>
        <v/>
      </c>
    </row>
    <row r="163" hidden="1">
      <c r="A163">
        <f>'Production Plan'!B163</f>
        <v/>
      </c>
      <c r="B163">
        <f>VLOOKUP(A163,'Production Plan'!B:S,16,FALSE)</f>
        <v/>
      </c>
      <c r="C163">
        <f>VLOOKUP(A163,'Production Plan'!B:F,5,FALSE)</f>
        <v/>
      </c>
    </row>
    <row r="164" hidden="1">
      <c r="A164">
        <f>'Production Plan'!B164</f>
        <v/>
      </c>
      <c r="B164">
        <f>VLOOKUP(A164,'Production Plan'!B:S,16,FALSE)</f>
        <v/>
      </c>
      <c r="C164">
        <f>VLOOKUP(A164,'Production Plan'!B:F,5,FALSE)</f>
        <v/>
      </c>
    </row>
    <row r="165" hidden="1">
      <c r="A165">
        <f>'Production Plan'!B165</f>
        <v/>
      </c>
      <c r="B165">
        <f>VLOOKUP(A165,'Production Plan'!B:S,16,FALSE)</f>
        <v/>
      </c>
      <c r="C165">
        <f>VLOOKUP(A165,'Production Plan'!B:F,5,FALSE)</f>
        <v/>
      </c>
    </row>
    <row r="166" hidden="1">
      <c r="A166">
        <f>'Production Plan'!B166</f>
        <v/>
      </c>
      <c r="B166">
        <f>VLOOKUP(A166,'Production Plan'!B:S,16,FALSE)</f>
        <v/>
      </c>
      <c r="C166">
        <f>VLOOKUP(A166,'Production Plan'!B:F,5,FALSE)</f>
        <v/>
      </c>
    </row>
    <row r="167" hidden="1">
      <c r="A167">
        <f>'Production Plan'!B167</f>
        <v/>
      </c>
      <c r="B167">
        <f>VLOOKUP(A167,'Production Plan'!B:S,16,FALSE)</f>
        <v/>
      </c>
      <c r="C167">
        <f>VLOOKUP(A167,'Production Plan'!B:F,5,FALSE)</f>
        <v/>
      </c>
    </row>
    <row r="168" hidden="1">
      <c r="A168">
        <f>'Production Plan'!B168</f>
        <v/>
      </c>
      <c r="B168">
        <f>VLOOKUP(A168,'Production Plan'!B:S,16,FALSE)</f>
        <v/>
      </c>
      <c r="C168">
        <f>VLOOKUP(A168,'Production Plan'!B:F,5,FALSE)</f>
        <v/>
      </c>
    </row>
    <row r="169" hidden="1">
      <c r="A169">
        <f>'Production Plan'!B169</f>
        <v/>
      </c>
      <c r="B169">
        <f>VLOOKUP(A169,'Production Plan'!B:S,16,FALSE)</f>
        <v/>
      </c>
      <c r="C169">
        <f>VLOOKUP(A169,'Production Plan'!B:F,5,FALSE)</f>
        <v/>
      </c>
    </row>
    <row r="170" hidden="1">
      <c r="A170">
        <f>'Production Plan'!B170</f>
        <v/>
      </c>
      <c r="B170">
        <f>VLOOKUP(A170,'Production Plan'!B:S,16,FALSE)</f>
        <v/>
      </c>
      <c r="C170">
        <f>VLOOKUP(A170,'Production Plan'!B:F,5,FALSE)</f>
        <v/>
      </c>
    </row>
    <row r="171" hidden="1">
      <c r="A171">
        <f>'Production Plan'!B171</f>
        <v/>
      </c>
      <c r="B171">
        <f>VLOOKUP(A171,'Production Plan'!B:S,16,FALSE)</f>
        <v/>
      </c>
      <c r="C171">
        <f>VLOOKUP(A171,'Production Plan'!B:F,5,FALSE)</f>
        <v/>
      </c>
    </row>
    <row r="172" hidden="1">
      <c r="A172">
        <f>'Production Plan'!B172</f>
        <v/>
      </c>
      <c r="B172">
        <f>VLOOKUP(A172,'Production Plan'!B:S,16,FALSE)</f>
        <v/>
      </c>
      <c r="C172">
        <f>VLOOKUP(A172,'Production Plan'!B:F,5,FALSE)</f>
        <v/>
      </c>
    </row>
    <row r="173" hidden="1">
      <c r="A173">
        <f>'Production Plan'!B173</f>
        <v/>
      </c>
      <c r="B173">
        <f>VLOOKUP(A173,'Production Plan'!B:S,16,FALSE)</f>
        <v/>
      </c>
      <c r="C173">
        <f>VLOOKUP(A173,'Production Plan'!B:F,5,FALSE)</f>
        <v/>
      </c>
    </row>
    <row r="174" hidden="1">
      <c r="A174">
        <f>'Production Plan'!B174</f>
        <v/>
      </c>
      <c r="B174">
        <f>VLOOKUP(A174,'Production Plan'!B:S,16,FALSE)</f>
        <v/>
      </c>
      <c r="C174">
        <f>VLOOKUP(A174,'Production Plan'!B:F,5,FALSE)</f>
        <v/>
      </c>
    </row>
    <row r="175" hidden="1">
      <c r="A175">
        <f>'Production Plan'!B175</f>
        <v/>
      </c>
      <c r="B175">
        <f>VLOOKUP(A175,'Production Plan'!B:S,16,FALSE)</f>
        <v/>
      </c>
      <c r="C175">
        <f>VLOOKUP(A175,'Production Plan'!B:F,5,FALSE)</f>
        <v/>
      </c>
    </row>
    <row r="176" hidden="1">
      <c r="A176">
        <f>'Production Plan'!B176</f>
        <v/>
      </c>
      <c r="B176">
        <f>VLOOKUP(A176,'Production Plan'!B:S,16,FALSE)</f>
        <v/>
      </c>
      <c r="C176">
        <f>VLOOKUP(A176,'Production Plan'!B:F,5,FALSE)</f>
        <v/>
      </c>
    </row>
    <row r="177" hidden="1">
      <c r="A177">
        <f>'Production Plan'!B177</f>
        <v/>
      </c>
      <c r="B177">
        <f>VLOOKUP(A177,'Production Plan'!B:S,16,FALSE)</f>
        <v/>
      </c>
      <c r="C177">
        <f>VLOOKUP(A177,'Production Plan'!B:F,5,FALSE)</f>
        <v/>
      </c>
    </row>
    <row r="178" hidden="1">
      <c r="A178">
        <f>'Production Plan'!B178</f>
        <v/>
      </c>
      <c r="B178">
        <f>VLOOKUP(A178,'Production Plan'!B:S,16,FALSE)</f>
        <v/>
      </c>
      <c r="C178">
        <f>VLOOKUP(A178,'Production Plan'!B:F,5,FALSE)</f>
        <v/>
      </c>
    </row>
    <row r="179" hidden="1">
      <c r="A179">
        <f>'Production Plan'!B179</f>
        <v/>
      </c>
      <c r="B179">
        <f>VLOOKUP(A179,'Production Plan'!B:S,16,FALSE)</f>
        <v/>
      </c>
      <c r="C179">
        <f>VLOOKUP(A179,'Production Plan'!B:F,5,FALSE)</f>
        <v/>
      </c>
    </row>
    <row r="180" hidden="1">
      <c r="A180">
        <f>'Production Plan'!B180</f>
        <v/>
      </c>
      <c r="B180">
        <f>VLOOKUP(A180,'Production Plan'!B:S,16,FALSE)</f>
        <v/>
      </c>
      <c r="C180">
        <f>VLOOKUP(A180,'Production Plan'!B:F,5,FALSE)</f>
        <v/>
      </c>
    </row>
    <row r="181" hidden="1">
      <c r="A181">
        <f>'Production Plan'!B181</f>
        <v/>
      </c>
      <c r="B181">
        <f>VLOOKUP(A181,'Production Plan'!B:S,16,FALSE)</f>
        <v/>
      </c>
      <c r="C181">
        <f>VLOOKUP(A181,'Production Plan'!B:F,5,FALSE)</f>
        <v/>
      </c>
    </row>
    <row r="182" hidden="1">
      <c r="A182">
        <f>'Production Plan'!B182</f>
        <v/>
      </c>
      <c r="B182">
        <f>VLOOKUP(A182,'Production Plan'!B:S,16,FALSE)</f>
        <v/>
      </c>
      <c r="C182">
        <f>VLOOKUP(A182,'Production Plan'!B:F,5,FALSE)</f>
        <v/>
      </c>
    </row>
    <row r="183" hidden="1">
      <c r="A183">
        <f>'Production Plan'!B183</f>
        <v/>
      </c>
      <c r="B183">
        <f>VLOOKUP(A183,'Production Plan'!B:S,16,FALSE)</f>
        <v/>
      </c>
      <c r="C183">
        <f>VLOOKUP(A183,'Production Plan'!B:F,5,FALSE)</f>
        <v/>
      </c>
    </row>
    <row r="184" hidden="1">
      <c r="A184">
        <f>'Production Plan'!B184</f>
        <v/>
      </c>
      <c r="B184">
        <f>VLOOKUP(A184,'Production Plan'!B:S,16,FALSE)</f>
        <v/>
      </c>
      <c r="C184">
        <f>VLOOKUP(A184,'Production Plan'!B:F,5,FALSE)</f>
        <v/>
      </c>
    </row>
    <row r="185" hidden="1">
      <c r="A185">
        <f>'Production Plan'!B185</f>
        <v/>
      </c>
      <c r="B185">
        <f>VLOOKUP(A185,'Production Plan'!B:S,16,FALSE)</f>
        <v/>
      </c>
      <c r="C185">
        <f>VLOOKUP(A185,'Production Plan'!B:F,5,FALSE)</f>
        <v/>
      </c>
    </row>
    <row r="186" hidden="1">
      <c r="A186">
        <f>'Production Plan'!B186</f>
        <v/>
      </c>
      <c r="B186">
        <f>VLOOKUP(A186,'Production Plan'!B:S,16,FALSE)</f>
        <v/>
      </c>
      <c r="C186">
        <f>VLOOKUP(A186,'Production Plan'!B:F,5,FALSE)</f>
        <v/>
      </c>
    </row>
    <row r="187" hidden="1">
      <c r="A187">
        <f>'Production Plan'!B187</f>
        <v/>
      </c>
      <c r="B187">
        <f>VLOOKUP(A187,'Production Plan'!B:S,16,FALSE)</f>
        <v/>
      </c>
      <c r="C187">
        <f>VLOOKUP(A187,'Production Plan'!B:F,5,FALSE)</f>
        <v/>
      </c>
    </row>
    <row r="188" hidden="1">
      <c r="A188">
        <f>'Production Plan'!B188</f>
        <v/>
      </c>
      <c r="B188">
        <f>VLOOKUP(A188,'Production Plan'!B:S,16,FALSE)</f>
        <v/>
      </c>
      <c r="C188">
        <f>VLOOKUP(A188,'Production Plan'!B:F,5,FALSE)</f>
        <v/>
      </c>
    </row>
    <row r="189" hidden="1">
      <c r="A189">
        <f>'Production Plan'!B189</f>
        <v/>
      </c>
      <c r="B189">
        <f>VLOOKUP(A189,'Production Plan'!B:S,16,FALSE)</f>
        <v/>
      </c>
      <c r="C189">
        <f>VLOOKUP(A189,'Production Plan'!B:F,5,FALSE)</f>
        <v/>
      </c>
    </row>
    <row r="190" hidden="1">
      <c r="A190">
        <f>'Production Plan'!B190</f>
        <v/>
      </c>
      <c r="B190">
        <f>VLOOKUP(A190,'Production Plan'!B:S,16,FALSE)</f>
        <v/>
      </c>
      <c r="C190">
        <f>VLOOKUP(A190,'Production Plan'!B:F,5,FALSE)</f>
        <v/>
      </c>
    </row>
    <row r="191" hidden="1">
      <c r="A191">
        <f>'Production Plan'!B191</f>
        <v/>
      </c>
      <c r="B191">
        <f>VLOOKUP(A191,'Production Plan'!B:S,16,FALSE)</f>
        <v/>
      </c>
      <c r="C191">
        <f>VLOOKUP(A191,'Production Plan'!B:F,5,FALSE)</f>
        <v/>
      </c>
    </row>
    <row r="192" hidden="1">
      <c r="A192">
        <f>'Production Plan'!B192</f>
        <v/>
      </c>
      <c r="B192">
        <f>VLOOKUP(A192,'Production Plan'!B:S,16,FALSE)</f>
        <v/>
      </c>
      <c r="C192">
        <f>VLOOKUP(A192,'Production Plan'!B:F,5,FALSE)</f>
        <v/>
      </c>
    </row>
    <row r="193" hidden="1">
      <c r="A193">
        <f>'Production Plan'!B193</f>
        <v/>
      </c>
      <c r="B193">
        <f>VLOOKUP(A193,'Production Plan'!B:S,16,FALSE)</f>
        <v/>
      </c>
      <c r="C193">
        <f>VLOOKUP(A193,'Production Plan'!B:F,5,FALSE)</f>
        <v/>
      </c>
    </row>
    <row r="194" hidden="1">
      <c r="A194">
        <f>'Production Plan'!B194</f>
        <v/>
      </c>
      <c r="B194">
        <f>VLOOKUP(A194,'Production Plan'!B:S,16,FALSE)</f>
        <v/>
      </c>
      <c r="C194">
        <f>VLOOKUP(A194,'Production Plan'!B:F,5,FALSE)</f>
        <v/>
      </c>
    </row>
    <row r="195" hidden="1">
      <c r="A195">
        <f>'Production Plan'!B195</f>
        <v/>
      </c>
      <c r="B195">
        <f>VLOOKUP(A195,'Production Plan'!B:S,16,FALSE)</f>
        <v/>
      </c>
      <c r="C195">
        <f>VLOOKUP(A195,'Production Plan'!B:F,5,FALSE)</f>
        <v/>
      </c>
    </row>
    <row r="196" hidden="1">
      <c r="A196">
        <f>'Production Plan'!B196</f>
        <v/>
      </c>
      <c r="B196">
        <f>VLOOKUP(A196,'Production Plan'!B:S,16,FALSE)</f>
        <v/>
      </c>
      <c r="C196">
        <f>VLOOKUP(A196,'Production Plan'!B:F,5,FALSE)</f>
        <v/>
      </c>
    </row>
    <row r="197" hidden="1">
      <c r="A197">
        <f>'Production Plan'!B197</f>
        <v/>
      </c>
      <c r="B197">
        <f>VLOOKUP(A197,'Production Plan'!B:S,16,FALSE)</f>
        <v/>
      </c>
      <c r="C197">
        <f>VLOOKUP(A197,'Production Plan'!B:F,5,FALSE)</f>
        <v/>
      </c>
    </row>
    <row r="198" hidden="1">
      <c r="A198">
        <f>'Production Plan'!B198</f>
        <v/>
      </c>
      <c r="B198">
        <f>VLOOKUP(A198,'Production Plan'!B:S,16,FALSE)</f>
        <v/>
      </c>
      <c r="C198">
        <f>VLOOKUP(A198,'Production Plan'!B:F,5,FALSE)</f>
        <v/>
      </c>
    </row>
    <row r="199" hidden="1">
      <c r="A199">
        <f>'Production Plan'!B199</f>
        <v/>
      </c>
      <c r="B199">
        <f>VLOOKUP(A199,'Production Plan'!B:S,16,FALSE)</f>
        <v/>
      </c>
      <c r="C199">
        <f>VLOOKUP(A199,'Production Plan'!B:F,5,FALSE)</f>
        <v/>
      </c>
    </row>
    <row r="200" hidden="1">
      <c r="A200">
        <f>'Production Plan'!B200</f>
        <v/>
      </c>
      <c r="B200">
        <f>VLOOKUP(A200,'Production Plan'!B:S,16,FALSE)</f>
        <v/>
      </c>
      <c r="C200">
        <f>VLOOKUP(A200,'Production Plan'!B:F,5,FALSE)</f>
        <v/>
      </c>
    </row>
    <row r="201" hidden="1">
      <c r="A201">
        <f>'Production Plan'!B201</f>
        <v/>
      </c>
      <c r="B201">
        <f>VLOOKUP(A201,'Production Plan'!B:S,16,FALSE)</f>
        <v/>
      </c>
      <c r="C201">
        <f>VLOOKUP(A201,'Production Plan'!B:F,5,FALSE)</f>
        <v/>
      </c>
    </row>
    <row r="202" hidden="1">
      <c r="A202">
        <f>'Production Plan'!B202</f>
        <v/>
      </c>
      <c r="B202">
        <f>VLOOKUP(A202,'Production Plan'!B:S,16,FALSE)</f>
        <v/>
      </c>
      <c r="C202">
        <f>VLOOKUP(A202,'Production Plan'!B:F,5,FALSE)</f>
        <v/>
      </c>
    </row>
    <row r="203" hidden="1">
      <c r="A203">
        <f>'Production Plan'!B203</f>
        <v/>
      </c>
      <c r="B203">
        <f>VLOOKUP(A203,'Production Plan'!B:S,16,FALSE)</f>
        <v/>
      </c>
      <c r="C203">
        <f>VLOOKUP(A203,'Production Plan'!B:F,5,FALSE)</f>
        <v/>
      </c>
    </row>
    <row r="204" hidden="1">
      <c r="A204">
        <f>'Production Plan'!B204</f>
        <v/>
      </c>
      <c r="B204">
        <f>VLOOKUP(A204,'Production Plan'!B:S,16,FALSE)</f>
        <v/>
      </c>
      <c r="C204">
        <f>VLOOKUP(A204,'Production Plan'!B:F,5,FALSE)</f>
        <v/>
      </c>
    </row>
    <row r="205" hidden="1">
      <c r="A205">
        <f>'Production Plan'!B205</f>
        <v/>
      </c>
      <c r="B205">
        <f>VLOOKUP(A205,'Production Plan'!B:S,16,FALSE)</f>
        <v/>
      </c>
      <c r="C205">
        <f>VLOOKUP(A205,'Production Plan'!B:F,5,FALSE)</f>
        <v/>
      </c>
    </row>
    <row r="206" hidden="1">
      <c r="A206">
        <f>'Production Plan'!B206</f>
        <v/>
      </c>
      <c r="B206">
        <f>VLOOKUP(A206,'Production Plan'!B:S,16,FALSE)</f>
        <v/>
      </c>
      <c r="C206">
        <f>VLOOKUP(A206,'Production Plan'!B:F,5,FALSE)</f>
        <v/>
      </c>
    </row>
    <row r="207" hidden="1">
      <c r="A207">
        <f>'Production Plan'!B207</f>
        <v/>
      </c>
      <c r="B207">
        <f>VLOOKUP(A207,'Production Plan'!B:S,16,FALSE)</f>
        <v/>
      </c>
      <c r="C207">
        <f>VLOOKUP(A207,'Production Plan'!B:F,5,FALSE)</f>
        <v/>
      </c>
    </row>
    <row r="208" hidden="1">
      <c r="A208">
        <f>'Production Plan'!B208</f>
        <v/>
      </c>
      <c r="B208">
        <f>VLOOKUP(A208,'Production Plan'!B:S,16,FALSE)</f>
        <v/>
      </c>
      <c r="C208">
        <f>VLOOKUP(A208,'Production Plan'!B:F,5,FALSE)</f>
        <v/>
      </c>
    </row>
    <row r="209" hidden="1">
      <c r="A209">
        <f>'Production Plan'!B209</f>
        <v/>
      </c>
      <c r="B209">
        <f>VLOOKUP(A209,'Production Plan'!B:S,16,FALSE)</f>
        <v/>
      </c>
      <c r="C209">
        <f>VLOOKUP(A209,'Production Plan'!B:F,5,FALSE)</f>
        <v/>
      </c>
    </row>
    <row r="210" hidden="1">
      <c r="A210">
        <f>'Production Plan'!B210</f>
        <v/>
      </c>
      <c r="B210">
        <f>VLOOKUP(A210,'Production Plan'!B:S,16,FALSE)</f>
        <v/>
      </c>
      <c r="C210">
        <f>VLOOKUP(A210,'Production Plan'!B:F,5,FALSE)</f>
        <v/>
      </c>
    </row>
    <row r="211" hidden="1">
      <c r="A211">
        <f>'Production Plan'!B211</f>
        <v/>
      </c>
      <c r="B211">
        <f>VLOOKUP(A211,'Production Plan'!B:S,16,FALSE)</f>
        <v/>
      </c>
      <c r="C211">
        <f>VLOOKUP(A211,'Production Plan'!B:F,5,FALSE)</f>
        <v/>
      </c>
    </row>
    <row r="212" hidden="1">
      <c r="A212">
        <f>'Production Plan'!B212</f>
        <v/>
      </c>
      <c r="B212">
        <f>VLOOKUP(A212,'Production Plan'!B:S,16,FALSE)</f>
        <v/>
      </c>
      <c r="C212">
        <f>VLOOKUP(A212,'Production Plan'!B:F,5,FALSE)</f>
        <v/>
      </c>
    </row>
    <row r="213" hidden="1">
      <c r="A213">
        <f>'Production Plan'!B213</f>
        <v/>
      </c>
      <c r="B213">
        <f>VLOOKUP(A213,'Production Plan'!B:S,16,FALSE)</f>
        <v/>
      </c>
      <c r="C213">
        <f>VLOOKUP(A213,'Production Plan'!B:F,5,FALSE)</f>
        <v/>
      </c>
    </row>
    <row r="214" hidden="1">
      <c r="A214">
        <f>'Production Plan'!B214</f>
        <v/>
      </c>
      <c r="B214">
        <f>VLOOKUP(A214,'Production Plan'!B:S,16,FALSE)</f>
        <v/>
      </c>
      <c r="C214">
        <f>VLOOKUP(A214,'Production Plan'!B:F,5,FALSE)</f>
        <v/>
      </c>
    </row>
    <row r="215" hidden="1">
      <c r="A215">
        <f>'Production Plan'!B215</f>
        <v/>
      </c>
      <c r="B215">
        <f>VLOOKUP(A215,'Production Plan'!B:S,16,FALSE)</f>
        <v/>
      </c>
      <c r="C215">
        <f>VLOOKUP(A215,'Production Plan'!B:F,5,FALSE)</f>
        <v/>
      </c>
    </row>
    <row r="216" hidden="1">
      <c r="A216">
        <f>'Production Plan'!B216</f>
        <v/>
      </c>
      <c r="B216">
        <f>VLOOKUP(A216,'Production Plan'!B:S,16,FALSE)</f>
        <v/>
      </c>
      <c r="C216">
        <f>VLOOKUP(A216,'Production Plan'!B:F,5,FALSE)</f>
        <v/>
      </c>
    </row>
    <row r="217" hidden="1">
      <c r="A217">
        <f>'Production Plan'!B217</f>
        <v/>
      </c>
      <c r="B217">
        <f>VLOOKUP(A217,'Production Plan'!B:S,16,FALSE)</f>
        <v/>
      </c>
      <c r="C217">
        <f>VLOOKUP(A217,'Production Plan'!B:F,5,FALSE)</f>
        <v/>
      </c>
    </row>
    <row r="218" hidden="1">
      <c r="A218">
        <f>'Production Plan'!B218</f>
        <v/>
      </c>
      <c r="B218">
        <f>VLOOKUP(A218,'Production Plan'!B:S,16,FALSE)</f>
        <v/>
      </c>
      <c r="C218">
        <f>VLOOKUP(A218,'Production Plan'!B:F,5,FALSE)</f>
        <v/>
      </c>
    </row>
    <row r="219" hidden="1">
      <c r="A219">
        <f>'Production Plan'!B219</f>
        <v/>
      </c>
      <c r="B219">
        <f>VLOOKUP(A219,'Production Plan'!B:S,16,FALSE)</f>
        <v/>
      </c>
      <c r="C219">
        <f>VLOOKUP(A219,'Production Plan'!B:F,5,FALSE)</f>
        <v/>
      </c>
    </row>
    <row r="220" hidden="1">
      <c r="A220">
        <f>'Production Plan'!B220</f>
        <v/>
      </c>
      <c r="B220">
        <f>VLOOKUP(A220,'Production Plan'!B:S,16,FALSE)</f>
        <v/>
      </c>
      <c r="C220">
        <f>VLOOKUP(A220,'Production Plan'!B:F,5,FALSE)</f>
        <v/>
      </c>
    </row>
    <row r="221" hidden="1">
      <c r="A221">
        <f>'Production Plan'!B221</f>
        <v/>
      </c>
      <c r="B221">
        <f>VLOOKUP(A221,'Production Plan'!B:S,16,FALSE)</f>
        <v/>
      </c>
      <c r="C221">
        <f>VLOOKUP(A221,'Production Plan'!B:F,5,FALSE)</f>
        <v/>
      </c>
    </row>
    <row r="222" hidden="1">
      <c r="A222">
        <f>'Production Plan'!B222</f>
        <v/>
      </c>
      <c r="B222">
        <f>VLOOKUP(A222,'Production Plan'!B:S,16,FALSE)</f>
        <v/>
      </c>
      <c r="C222">
        <f>VLOOKUP(A222,'Production Plan'!B:F,5,FALSE)</f>
        <v/>
      </c>
    </row>
    <row r="223" hidden="1">
      <c r="A223">
        <f>'Production Plan'!B223</f>
        <v/>
      </c>
      <c r="B223">
        <f>VLOOKUP(A223,'Production Plan'!B:S,16,FALSE)</f>
        <v/>
      </c>
      <c r="C223">
        <f>VLOOKUP(A223,'Production Plan'!B:F,5,FALSE)</f>
        <v/>
      </c>
    </row>
    <row r="224" hidden="1">
      <c r="A224">
        <f>'Production Plan'!B224</f>
        <v/>
      </c>
      <c r="B224">
        <f>VLOOKUP(A224,'Production Plan'!B:S,16,FALSE)</f>
        <v/>
      </c>
      <c r="C224">
        <f>VLOOKUP(A224,'Production Plan'!B:F,5,FALSE)</f>
        <v/>
      </c>
    </row>
    <row r="225" hidden="1">
      <c r="A225">
        <f>'Production Plan'!B225</f>
        <v/>
      </c>
      <c r="B225">
        <f>VLOOKUP(A225,'Production Plan'!B:S,16,FALSE)</f>
        <v/>
      </c>
      <c r="C225">
        <f>VLOOKUP(A225,'Production Plan'!B:F,5,FALSE)</f>
        <v/>
      </c>
    </row>
    <row r="226" hidden="1">
      <c r="A226">
        <f>'Production Plan'!B226</f>
        <v/>
      </c>
      <c r="B226">
        <f>VLOOKUP(A226,'Production Plan'!B:S,16,FALSE)</f>
        <v/>
      </c>
      <c r="C226">
        <f>VLOOKUP(A226,'Production Plan'!B:F,5,FALSE)</f>
        <v/>
      </c>
    </row>
    <row r="227" hidden="1">
      <c r="A227">
        <f>'Production Plan'!B227</f>
        <v/>
      </c>
      <c r="B227">
        <f>VLOOKUP(A227,'Production Plan'!B:S,16,FALSE)</f>
        <v/>
      </c>
      <c r="C227">
        <f>VLOOKUP(A227,'Production Plan'!B:F,5,FALSE)</f>
        <v/>
      </c>
    </row>
    <row r="228" hidden="1">
      <c r="A228">
        <f>'Production Plan'!B228</f>
        <v/>
      </c>
      <c r="B228">
        <f>VLOOKUP(A228,'Production Plan'!B:S,16,FALSE)</f>
        <v/>
      </c>
      <c r="C228">
        <f>VLOOKUP(A228,'Production Plan'!B:F,5,FALSE)</f>
        <v/>
      </c>
    </row>
    <row r="229" hidden="1">
      <c r="A229">
        <f>'Production Plan'!B229</f>
        <v/>
      </c>
      <c r="B229">
        <f>VLOOKUP(A229,'Production Plan'!B:S,16,FALSE)</f>
        <v/>
      </c>
      <c r="C229">
        <f>VLOOKUP(A229,'Production Plan'!B:F,5,FALSE)</f>
        <v/>
      </c>
    </row>
    <row r="230" hidden="1">
      <c r="A230">
        <f>'Production Plan'!B230</f>
        <v/>
      </c>
      <c r="B230">
        <f>VLOOKUP(A230,'Production Plan'!B:S,16,FALSE)</f>
        <v/>
      </c>
      <c r="C230">
        <f>VLOOKUP(A230,'Production Plan'!B:F,5,FALSE)</f>
        <v/>
      </c>
    </row>
    <row r="231" hidden="1">
      <c r="A231">
        <f>'Production Plan'!B231</f>
        <v/>
      </c>
      <c r="B231">
        <f>VLOOKUP(A231,'Production Plan'!B:S,16,FALSE)</f>
        <v/>
      </c>
      <c r="C231">
        <f>VLOOKUP(A231,'Production Plan'!B:F,5,FALSE)</f>
        <v/>
      </c>
    </row>
    <row r="232" hidden="1">
      <c r="A232">
        <f>'Production Plan'!B232</f>
        <v/>
      </c>
      <c r="B232">
        <f>VLOOKUP(A232,'Production Plan'!B:S,16,FALSE)</f>
        <v/>
      </c>
      <c r="C232">
        <f>VLOOKUP(A232,'Production Plan'!B:F,5,FALSE)</f>
        <v/>
      </c>
    </row>
    <row r="233" hidden="1">
      <c r="A233">
        <f>'Production Plan'!B233</f>
        <v/>
      </c>
      <c r="B233">
        <f>VLOOKUP(A233,'Production Plan'!B:S,16,FALSE)</f>
        <v/>
      </c>
      <c r="C233">
        <f>VLOOKUP(A233,'Production Plan'!B:F,5,FALSE)</f>
        <v/>
      </c>
    </row>
    <row r="234" hidden="1">
      <c r="A234">
        <f>'Production Plan'!B234</f>
        <v/>
      </c>
      <c r="B234">
        <f>VLOOKUP(A234,'Production Plan'!B:S,16,FALSE)</f>
        <v/>
      </c>
      <c r="C234">
        <f>VLOOKUP(A234,'Production Plan'!B:F,5,FALSE)</f>
        <v/>
      </c>
    </row>
    <row r="235" hidden="1">
      <c r="A235">
        <f>'Production Plan'!B235</f>
        <v/>
      </c>
      <c r="B235">
        <f>VLOOKUP(A235,'Production Plan'!B:S,16,FALSE)</f>
        <v/>
      </c>
      <c r="C235">
        <f>VLOOKUP(A235,'Production Plan'!B:F,5,FALSE)</f>
        <v/>
      </c>
    </row>
    <row r="236" hidden="1">
      <c r="A236">
        <f>'Production Plan'!B236</f>
        <v/>
      </c>
      <c r="B236">
        <f>VLOOKUP(A236,'Production Plan'!B:S,16,FALSE)</f>
        <v/>
      </c>
      <c r="C236">
        <f>VLOOKUP(A236,'Production Plan'!B:F,5,FALSE)</f>
        <v/>
      </c>
    </row>
    <row r="237" hidden="1">
      <c r="A237">
        <f>'Production Plan'!B237</f>
        <v/>
      </c>
      <c r="B237">
        <f>VLOOKUP(A237,'Production Plan'!B:S,16,FALSE)</f>
        <v/>
      </c>
      <c r="C237">
        <f>VLOOKUP(A237,'Production Plan'!B:F,5,FALSE)</f>
        <v/>
      </c>
    </row>
    <row r="238" hidden="1">
      <c r="A238">
        <f>'Production Plan'!B238</f>
        <v/>
      </c>
      <c r="B238">
        <f>VLOOKUP(A238,'Production Plan'!B:S,16,FALSE)</f>
        <v/>
      </c>
      <c r="C238">
        <f>VLOOKUP(A238,'Production Plan'!B:F,5,FALSE)</f>
        <v/>
      </c>
    </row>
    <row r="239" hidden="1">
      <c r="A239">
        <f>'Production Plan'!B239</f>
        <v/>
      </c>
      <c r="B239">
        <f>VLOOKUP(A239,'Production Plan'!B:S,16,FALSE)</f>
        <v/>
      </c>
      <c r="C239">
        <f>VLOOKUP(A239,'Production Plan'!B:F,5,FALSE)</f>
        <v/>
      </c>
    </row>
    <row r="240" hidden="1">
      <c r="A240">
        <f>'Production Plan'!B240</f>
        <v/>
      </c>
      <c r="B240">
        <f>VLOOKUP(A240,'Production Plan'!B:S,16,FALSE)</f>
        <v/>
      </c>
      <c r="C240">
        <f>VLOOKUP(A240,'Production Plan'!B:F,5,FALSE)</f>
        <v/>
      </c>
    </row>
    <row r="241" hidden="1">
      <c r="A241">
        <f>'Production Plan'!B241</f>
        <v/>
      </c>
      <c r="B241">
        <f>VLOOKUP(A241,'Production Plan'!B:S,16,FALSE)</f>
        <v/>
      </c>
      <c r="C241">
        <f>VLOOKUP(A241,'Production Plan'!B:F,5,FALSE)</f>
        <v/>
      </c>
    </row>
    <row r="242" hidden="1">
      <c r="A242">
        <f>'Production Plan'!B242</f>
        <v/>
      </c>
      <c r="B242">
        <f>VLOOKUP(A242,'Production Plan'!B:S,16,FALSE)</f>
        <v/>
      </c>
      <c r="C242">
        <f>VLOOKUP(A242,'Production Plan'!B:F,5,FALSE)</f>
        <v/>
      </c>
    </row>
    <row r="243" hidden="1">
      <c r="A243">
        <f>'Production Plan'!B243</f>
        <v/>
      </c>
      <c r="B243">
        <f>VLOOKUP(A243,'Production Plan'!B:S,16,FALSE)</f>
        <v/>
      </c>
      <c r="C243">
        <f>VLOOKUP(A243,'Production Plan'!B:F,5,FALSE)</f>
        <v/>
      </c>
    </row>
    <row r="244" hidden="1">
      <c r="A244">
        <f>'Production Plan'!B244</f>
        <v/>
      </c>
      <c r="B244">
        <f>VLOOKUP(A244,'Production Plan'!B:S,16,FALSE)</f>
        <v/>
      </c>
      <c r="C244">
        <f>VLOOKUP(A244,'Production Plan'!B:F,5,FALSE)</f>
        <v/>
      </c>
    </row>
    <row r="245" hidden="1">
      <c r="A245">
        <f>'Production Plan'!B245</f>
        <v/>
      </c>
      <c r="B245">
        <f>VLOOKUP(A245,'Production Plan'!B:S,16,FALSE)</f>
        <v/>
      </c>
      <c r="C245">
        <f>VLOOKUP(A245,'Production Plan'!B:F,5,FALSE)</f>
        <v/>
      </c>
    </row>
    <row r="246" hidden="1">
      <c r="A246">
        <f>'Production Plan'!B246</f>
        <v/>
      </c>
      <c r="B246">
        <f>VLOOKUP(A246,'Production Plan'!B:S,16,FALSE)</f>
        <v/>
      </c>
      <c r="C246">
        <f>VLOOKUP(A246,'Production Plan'!B:F,5,FALSE)</f>
        <v/>
      </c>
    </row>
    <row r="247" hidden="1">
      <c r="A247">
        <f>'Production Plan'!B247</f>
        <v/>
      </c>
      <c r="B247">
        <f>VLOOKUP(A247,'Production Plan'!B:S,16,FALSE)</f>
        <v/>
      </c>
      <c r="C247">
        <f>VLOOKUP(A247,'Production Plan'!B:F,5,FALSE)</f>
        <v/>
      </c>
    </row>
    <row r="248" hidden="1">
      <c r="A248">
        <f>'Production Plan'!B248</f>
        <v/>
      </c>
      <c r="B248">
        <f>VLOOKUP(A248,'Production Plan'!B:S,16,FALSE)</f>
        <v/>
      </c>
      <c r="C248">
        <f>VLOOKUP(A248,'Production Plan'!B:F,5,FALSE)</f>
        <v/>
      </c>
    </row>
    <row r="249" hidden="1">
      <c r="A249">
        <f>'Production Plan'!B249</f>
        <v/>
      </c>
      <c r="B249">
        <f>VLOOKUP(A249,'Production Plan'!B:S,16,FALSE)</f>
        <v/>
      </c>
      <c r="C249">
        <f>VLOOKUP(A249,'Production Plan'!B:F,5,FALSE)</f>
        <v/>
      </c>
    </row>
    <row r="250" hidden="1">
      <c r="A250">
        <f>'Production Plan'!B250</f>
        <v/>
      </c>
      <c r="B250">
        <f>VLOOKUP(A250,'Production Plan'!B:S,16,FALSE)</f>
        <v/>
      </c>
      <c r="C250">
        <f>VLOOKUP(A250,'Production Plan'!B:F,5,FALSE)</f>
        <v/>
      </c>
    </row>
    <row r="251" hidden="1">
      <c r="A251">
        <f>'Production Plan'!B251</f>
        <v/>
      </c>
      <c r="B251">
        <f>VLOOKUP(A251,'Production Plan'!B:S,16,FALSE)</f>
        <v/>
      </c>
      <c r="C251">
        <f>VLOOKUP(A251,'Production Plan'!B:F,5,FALSE)</f>
        <v/>
      </c>
    </row>
    <row r="252" hidden="1">
      <c r="A252">
        <f>'Production Plan'!B252</f>
        <v/>
      </c>
      <c r="B252">
        <f>VLOOKUP(A252,'Production Plan'!B:S,16,FALSE)</f>
        <v/>
      </c>
      <c r="C252">
        <f>VLOOKUP(A252,'Production Plan'!B:F,5,FALSE)</f>
        <v/>
      </c>
    </row>
    <row r="253" hidden="1">
      <c r="A253">
        <f>'Production Plan'!B253</f>
        <v/>
      </c>
      <c r="B253">
        <f>VLOOKUP(A253,'Production Plan'!B:S,16,FALSE)</f>
        <v/>
      </c>
      <c r="C253">
        <f>VLOOKUP(A253,'Production Plan'!B:F,5,FALSE)</f>
        <v/>
      </c>
    </row>
    <row r="254" hidden="1">
      <c r="A254">
        <f>'Production Plan'!B254</f>
        <v/>
      </c>
      <c r="B254">
        <f>VLOOKUP(A254,'Production Plan'!B:S,16,FALSE)</f>
        <v/>
      </c>
      <c r="C254">
        <f>VLOOKUP(A254,'Production Plan'!B:F,5,FALSE)</f>
        <v/>
      </c>
    </row>
    <row r="255" hidden="1">
      <c r="A255">
        <f>'Production Plan'!B255</f>
        <v/>
      </c>
      <c r="B255">
        <f>VLOOKUP(A255,'Production Plan'!B:S,16,FALSE)</f>
        <v/>
      </c>
      <c r="C255">
        <f>VLOOKUP(A255,'Production Plan'!B:F,5,FALSE)</f>
        <v/>
      </c>
    </row>
    <row r="256" hidden="1">
      <c r="A256">
        <f>'Production Plan'!B256</f>
        <v/>
      </c>
      <c r="B256">
        <f>VLOOKUP(A256,'Production Plan'!B:S,16,FALSE)</f>
        <v/>
      </c>
      <c r="C256">
        <f>VLOOKUP(A256,'Production Plan'!B:F,5,FALSE)</f>
        <v/>
      </c>
    </row>
    <row r="257" hidden="1">
      <c r="A257">
        <f>'Production Plan'!B257</f>
        <v/>
      </c>
      <c r="B257">
        <f>VLOOKUP(A257,'Production Plan'!B:S,16,FALSE)</f>
        <v/>
      </c>
      <c r="C257">
        <f>VLOOKUP(A257,'Production Plan'!B:F,5,FALSE)</f>
        <v/>
      </c>
    </row>
    <row r="258" hidden="1">
      <c r="A258">
        <f>'Production Plan'!B258</f>
        <v/>
      </c>
      <c r="B258">
        <f>VLOOKUP(A258,'Production Plan'!B:S,16,FALSE)</f>
        <v/>
      </c>
      <c r="C258">
        <f>VLOOKUP(A258,'Production Plan'!B:F,5,FALSE)</f>
        <v/>
      </c>
    </row>
    <row r="259" hidden="1">
      <c r="A259">
        <f>'Production Plan'!B259</f>
        <v/>
      </c>
      <c r="B259">
        <f>VLOOKUP(A259,'Production Plan'!B:S,16,FALSE)</f>
        <v/>
      </c>
      <c r="C259">
        <f>VLOOKUP(A259,'Production Plan'!B:F,5,FALSE)</f>
        <v/>
      </c>
    </row>
    <row r="260" hidden="1">
      <c r="A260">
        <f>'Production Plan'!B260</f>
        <v/>
      </c>
      <c r="B260">
        <f>VLOOKUP(A260,'Production Plan'!B:S,16,FALSE)</f>
        <v/>
      </c>
      <c r="C260">
        <f>VLOOKUP(A260,'Production Plan'!B:F,5,FALSE)</f>
        <v/>
      </c>
    </row>
    <row r="261" hidden="1">
      <c r="A261">
        <f>'Production Plan'!B261</f>
        <v/>
      </c>
      <c r="B261">
        <f>VLOOKUP(A261,'Production Plan'!B:S,16,FALSE)</f>
        <v/>
      </c>
      <c r="C261">
        <f>VLOOKUP(A261,'Production Plan'!B:F,5,FALSE)</f>
        <v/>
      </c>
    </row>
    <row r="262" hidden="1">
      <c r="A262">
        <f>'Production Plan'!B262</f>
        <v/>
      </c>
      <c r="B262">
        <f>VLOOKUP(A262,'Production Plan'!B:S,16,FALSE)</f>
        <v/>
      </c>
      <c r="C262">
        <f>VLOOKUP(A262,'Production Plan'!B:F,5,FALSE)</f>
        <v/>
      </c>
    </row>
    <row r="263" hidden="1">
      <c r="A263">
        <f>'Production Plan'!B263</f>
        <v/>
      </c>
      <c r="B263">
        <f>VLOOKUP(A263,'Production Plan'!B:S,16,FALSE)</f>
        <v/>
      </c>
      <c r="C263">
        <f>VLOOKUP(A263,'Production Plan'!B:F,5,FALSE)</f>
        <v/>
      </c>
    </row>
    <row r="264" hidden="1">
      <c r="A264">
        <f>'Production Plan'!B264</f>
        <v/>
      </c>
      <c r="B264">
        <f>VLOOKUP(A264,'Production Plan'!B:S,16,FALSE)</f>
        <v/>
      </c>
      <c r="C264">
        <f>VLOOKUP(A264,'Production Plan'!B:F,5,FALSE)</f>
        <v/>
      </c>
    </row>
    <row r="265" hidden="1">
      <c r="A265">
        <f>'Production Plan'!B265</f>
        <v/>
      </c>
      <c r="B265">
        <f>VLOOKUP(A265,'Production Plan'!B:S,16,FALSE)</f>
        <v/>
      </c>
      <c r="C265">
        <f>VLOOKUP(A265,'Production Plan'!B:F,5,FALSE)</f>
        <v/>
      </c>
    </row>
    <row r="266" hidden="1">
      <c r="A266">
        <f>'Production Plan'!B266</f>
        <v/>
      </c>
      <c r="B266">
        <f>VLOOKUP(A266,'Production Plan'!B:S,16,FALSE)</f>
        <v/>
      </c>
      <c r="C266">
        <f>VLOOKUP(A266,'Production Plan'!B:F,5,FALSE)</f>
        <v/>
      </c>
    </row>
    <row r="267" hidden="1">
      <c r="A267">
        <f>'Production Plan'!B267</f>
        <v/>
      </c>
      <c r="B267">
        <f>VLOOKUP(A267,'Production Plan'!B:S,16,FALSE)</f>
        <v/>
      </c>
      <c r="C267">
        <f>VLOOKUP(A267,'Production Plan'!B:F,5,FALSE)</f>
        <v/>
      </c>
    </row>
    <row r="268" hidden="1">
      <c r="A268">
        <f>'Production Plan'!B268</f>
        <v/>
      </c>
      <c r="B268">
        <f>VLOOKUP(A268,'Production Plan'!B:S,16,FALSE)</f>
        <v/>
      </c>
      <c r="C268">
        <f>VLOOKUP(A268,'Production Plan'!B:F,5,FALSE)</f>
        <v/>
      </c>
    </row>
    <row r="269" hidden="1">
      <c r="A269">
        <f>'Production Plan'!B269</f>
        <v/>
      </c>
      <c r="B269">
        <f>VLOOKUP(A269,'Production Plan'!B:S,16,FALSE)</f>
        <v/>
      </c>
      <c r="C269">
        <f>VLOOKUP(A269,'Production Plan'!B:F,5,FALSE)</f>
        <v/>
      </c>
    </row>
    <row r="270" hidden="1">
      <c r="A270">
        <f>'Production Plan'!B270</f>
        <v/>
      </c>
      <c r="B270">
        <f>VLOOKUP(A270,'Production Plan'!B:S,16,FALSE)</f>
        <v/>
      </c>
      <c r="C270">
        <f>VLOOKUP(A270,'Production Plan'!B:F,5,FALSE)</f>
        <v/>
      </c>
    </row>
    <row r="271" hidden="1">
      <c r="A271">
        <f>'Production Plan'!B271</f>
        <v/>
      </c>
      <c r="B271">
        <f>VLOOKUP(A271,'Production Plan'!B:S,16,FALSE)</f>
        <v/>
      </c>
      <c r="C271">
        <f>VLOOKUP(A271,'Production Plan'!B:F,5,FALSE)</f>
        <v/>
      </c>
    </row>
    <row r="272" hidden="1">
      <c r="A272">
        <f>'Production Plan'!B272</f>
        <v/>
      </c>
      <c r="B272">
        <f>VLOOKUP(A272,'Production Plan'!B:S,16,FALSE)</f>
        <v/>
      </c>
      <c r="C272">
        <f>VLOOKUP(A272,'Production Plan'!B:F,5,FALSE)</f>
        <v/>
      </c>
    </row>
    <row r="273" hidden="1">
      <c r="A273">
        <f>'Production Plan'!B273</f>
        <v/>
      </c>
      <c r="B273">
        <f>VLOOKUP(A273,'Production Plan'!B:S,16,FALSE)</f>
        <v/>
      </c>
      <c r="C273">
        <f>VLOOKUP(A273,'Production Plan'!B:F,5,FALSE)</f>
        <v/>
      </c>
    </row>
    <row r="274" hidden="1">
      <c r="A274">
        <f>'Production Plan'!B274</f>
        <v/>
      </c>
      <c r="B274">
        <f>VLOOKUP(A274,'Production Plan'!B:S,16,FALSE)</f>
        <v/>
      </c>
      <c r="C274">
        <f>VLOOKUP(A274,'Production Plan'!B:F,5,FALSE)</f>
        <v/>
      </c>
    </row>
    <row r="275" hidden="1">
      <c r="A275">
        <f>'Production Plan'!B275</f>
        <v/>
      </c>
      <c r="B275">
        <f>VLOOKUP(A275,'Production Plan'!B:S,16,FALSE)</f>
        <v/>
      </c>
      <c r="C275">
        <f>VLOOKUP(A275,'Production Plan'!B:F,5,FALSE)</f>
        <v/>
      </c>
    </row>
    <row r="276" hidden="1">
      <c r="A276">
        <f>'Production Plan'!B276</f>
        <v/>
      </c>
      <c r="B276">
        <f>VLOOKUP(A276,'Production Plan'!B:S,16,FALSE)</f>
        <v/>
      </c>
      <c r="C276">
        <f>VLOOKUP(A276,'Production Plan'!B:F,5,FALSE)</f>
        <v/>
      </c>
    </row>
    <row r="277" hidden="1">
      <c r="A277">
        <f>'Production Plan'!B277</f>
        <v/>
      </c>
      <c r="B277">
        <f>VLOOKUP(A277,'Production Plan'!B:S,16,FALSE)</f>
        <v/>
      </c>
      <c r="C277">
        <f>VLOOKUP(A277,'Production Plan'!B:F,5,FALSE)</f>
        <v/>
      </c>
    </row>
    <row r="278" hidden="1">
      <c r="A278">
        <f>'Production Plan'!B278</f>
        <v/>
      </c>
      <c r="B278">
        <f>VLOOKUP(A278,'Production Plan'!B:S,16,FALSE)</f>
        <v/>
      </c>
      <c r="C278">
        <f>VLOOKUP(A278,'Production Plan'!B:F,5,FALSE)</f>
        <v/>
      </c>
    </row>
    <row r="279" hidden="1">
      <c r="A279">
        <f>'Production Plan'!B279</f>
        <v/>
      </c>
      <c r="B279">
        <f>VLOOKUP(A279,'Production Plan'!B:S,16,FALSE)</f>
        <v/>
      </c>
      <c r="C279">
        <f>VLOOKUP(A279,'Production Plan'!B:F,5,FALSE)</f>
        <v/>
      </c>
    </row>
    <row r="280" hidden="1">
      <c r="A280">
        <f>'Production Plan'!B280</f>
        <v/>
      </c>
      <c r="B280">
        <f>VLOOKUP(A280,'Production Plan'!B:S,16,FALSE)</f>
        <v/>
      </c>
      <c r="C280">
        <f>VLOOKUP(A280,'Production Plan'!B:F,5,FALSE)</f>
        <v/>
      </c>
    </row>
    <row r="281" hidden="1">
      <c r="A281">
        <f>'Production Plan'!B281</f>
        <v/>
      </c>
      <c r="B281">
        <f>VLOOKUP(A281,'Production Plan'!B:S,16,FALSE)</f>
        <v/>
      </c>
      <c r="C281">
        <f>VLOOKUP(A281,'Production Plan'!B:F,5,FALSE)</f>
        <v/>
      </c>
    </row>
    <row r="282" hidden="1">
      <c r="A282">
        <f>'Production Plan'!B282</f>
        <v/>
      </c>
      <c r="B282">
        <f>VLOOKUP(A282,'Production Plan'!B:S,16,FALSE)</f>
        <v/>
      </c>
      <c r="C282">
        <f>VLOOKUP(A282,'Production Plan'!B:F,5,FALSE)</f>
        <v/>
      </c>
    </row>
    <row r="283" hidden="1">
      <c r="A283">
        <f>'Production Plan'!B283</f>
        <v/>
      </c>
      <c r="B283">
        <f>VLOOKUP(A283,'Production Plan'!B:S,16,FALSE)</f>
        <v/>
      </c>
      <c r="C283">
        <f>VLOOKUP(A283,'Production Plan'!B:F,5,FALSE)</f>
        <v/>
      </c>
    </row>
    <row r="284" hidden="1">
      <c r="A284">
        <f>'Production Plan'!B284</f>
        <v/>
      </c>
      <c r="B284">
        <f>VLOOKUP(A284,'Production Plan'!B:S,16,FALSE)</f>
        <v/>
      </c>
      <c r="C284">
        <f>VLOOKUP(A284,'Production Plan'!B:F,5,FALSE)</f>
        <v/>
      </c>
    </row>
    <row r="285" hidden="1">
      <c r="A285">
        <f>'Production Plan'!B285</f>
        <v/>
      </c>
      <c r="B285">
        <f>VLOOKUP(A285,'Production Plan'!B:S,16,FALSE)</f>
        <v/>
      </c>
      <c r="C285">
        <f>VLOOKUP(A285,'Production Plan'!B:F,5,FALSE)</f>
        <v/>
      </c>
    </row>
    <row r="286" hidden="1">
      <c r="A286">
        <f>'Production Plan'!B286</f>
        <v/>
      </c>
      <c r="B286">
        <f>VLOOKUP(A286,'Production Plan'!B:S,16,FALSE)</f>
        <v/>
      </c>
      <c r="C286">
        <f>VLOOKUP(A286,'Production Plan'!B:F,5,FALSE)</f>
        <v/>
      </c>
    </row>
    <row r="287" hidden="1">
      <c r="A287">
        <f>'Production Plan'!B287</f>
        <v/>
      </c>
      <c r="B287">
        <f>VLOOKUP(A287,'Production Plan'!B:S,16,FALSE)</f>
        <v/>
      </c>
      <c r="C287">
        <f>VLOOKUP(A287,'Production Plan'!B:F,5,FALSE)</f>
        <v/>
      </c>
    </row>
    <row r="288" hidden="1">
      <c r="A288">
        <f>'Production Plan'!B288</f>
        <v/>
      </c>
      <c r="B288">
        <f>VLOOKUP(A288,'Production Plan'!B:S,16,FALSE)</f>
        <v/>
      </c>
      <c r="C288">
        <f>VLOOKUP(A288,'Production Plan'!B:F,5,FALSE)</f>
        <v/>
      </c>
    </row>
    <row r="289" hidden="1">
      <c r="A289">
        <f>'Production Plan'!B289</f>
        <v/>
      </c>
      <c r="B289">
        <f>VLOOKUP(A289,'Production Plan'!B:S,16,FALSE)</f>
        <v/>
      </c>
      <c r="C289">
        <f>VLOOKUP(A289,'Production Plan'!B:F,5,FALSE)</f>
        <v/>
      </c>
    </row>
    <row r="290" hidden="1">
      <c r="A290">
        <f>'Production Plan'!B290</f>
        <v/>
      </c>
      <c r="B290">
        <f>VLOOKUP(A290,'Production Plan'!B:S,16,FALSE)</f>
        <v/>
      </c>
      <c r="C290">
        <f>VLOOKUP(A290,'Production Plan'!B:F,5,FALSE)</f>
        <v/>
      </c>
    </row>
    <row r="291" hidden="1">
      <c r="A291">
        <f>'Production Plan'!B291</f>
        <v/>
      </c>
      <c r="B291">
        <f>VLOOKUP(A291,'Production Plan'!B:S,16,FALSE)</f>
        <v/>
      </c>
      <c r="C291">
        <f>VLOOKUP(A291,'Production Plan'!B:F,5,FALSE)</f>
        <v/>
      </c>
    </row>
    <row r="292" hidden="1">
      <c r="A292">
        <f>'Production Plan'!B292</f>
        <v/>
      </c>
      <c r="B292">
        <f>VLOOKUP(A292,'Production Plan'!B:S,16,FALSE)</f>
        <v/>
      </c>
      <c r="C292">
        <f>VLOOKUP(A292,'Production Plan'!B:F,5,FALSE)</f>
        <v/>
      </c>
    </row>
    <row r="293" hidden="1">
      <c r="A293">
        <f>'Production Plan'!B293</f>
        <v/>
      </c>
      <c r="B293">
        <f>VLOOKUP(A293,'Production Plan'!B:S,16,FALSE)</f>
        <v/>
      </c>
      <c r="C293">
        <f>VLOOKUP(A293,'Production Plan'!B:F,5,FALSE)</f>
        <v/>
      </c>
    </row>
    <row r="294" hidden="1">
      <c r="A294">
        <f>'Production Plan'!B294</f>
        <v/>
      </c>
      <c r="B294">
        <f>VLOOKUP(A294,'Production Plan'!B:S,16,FALSE)</f>
        <v/>
      </c>
      <c r="C294">
        <f>VLOOKUP(A294,'Production Plan'!B:F,5,FALSE)</f>
        <v/>
      </c>
    </row>
    <row r="295" hidden="1">
      <c r="A295">
        <f>'Production Plan'!B295</f>
        <v/>
      </c>
      <c r="B295">
        <f>VLOOKUP(A295,'Production Plan'!B:S,16,FALSE)</f>
        <v/>
      </c>
      <c r="C295">
        <f>VLOOKUP(A295,'Production Plan'!B:F,5,FALSE)</f>
        <v/>
      </c>
    </row>
    <row r="296" hidden="1">
      <c r="A296">
        <f>'Production Plan'!B296</f>
        <v/>
      </c>
      <c r="B296">
        <f>VLOOKUP(A296,'Production Plan'!B:S,16,FALSE)</f>
        <v/>
      </c>
      <c r="C296">
        <f>VLOOKUP(A296,'Production Plan'!B:F,5,FALSE)</f>
        <v/>
      </c>
    </row>
    <row r="297" hidden="1">
      <c r="A297">
        <f>'Production Plan'!B297</f>
        <v/>
      </c>
      <c r="B297">
        <f>VLOOKUP(A297,'Production Plan'!B:S,16,FALSE)</f>
        <v/>
      </c>
      <c r="C297">
        <f>VLOOKUP(A297,'Production Plan'!B:F,5,FALSE)</f>
        <v/>
      </c>
    </row>
    <row r="298" hidden="1">
      <c r="A298">
        <f>'Production Plan'!B298</f>
        <v/>
      </c>
      <c r="B298">
        <f>VLOOKUP(A298,'Production Plan'!B:S,16,FALSE)</f>
        <v/>
      </c>
      <c r="C298">
        <f>VLOOKUP(A298,'Production Plan'!B:F,5,FALSE)</f>
        <v/>
      </c>
    </row>
    <row r="299" hidden="1">
      <c r="A299">
        <f>'Production Plan'!B299</f>
        <v/>
      </c>
      <c r="B299">
        <f>VLOOKUP(A299,'Production Plan'!B:S,16,FALSE)</f>
        <v/>
      </c>
      <c r="C299">
        <f>VLOOKUP(A299,'Production Plan'!B:F,5,FALSE)</f>
        <v/>
      </c>
    </row>
    <row r="300" hidden="1">
      <c r="A300">
        <f>'Production Plan'!B300</f>
        <v/>
      </c>
      <c r="B300">
        <f>VLOOKUP(A300,'Production Plan'!B:S,16,FALSE)</f>
        <v/>
      </c>
      <c r="C300">
        <f>VLOOKUP(A300,'Production Plan'!B:F,5,FALSE)</f>
        <v/>
      </c>
    </row>
    <row r="301" hidden="1">
      <c r="A301">
        <f>'Production Plan'!B301</f>
        <v/>
      </c>
      <c r="B301">
        <f>VLOOKUP(A301,'Production Plan'!B:S,16,FALSE)</f>
        <v/>
      </c>
      <c r="C301">
        <f>VLOOKUP(A301,'Production Plan'!B:F,5,FALSE)</f>
        <v/>
      </c>
    </row>
    <row r="302" hidden="1">
      <c r="A302">
        <f>'Production Plan'!B302</f>
        <v/>
      </c>
      <c r="B302">
        <f>VLOOKUP(A302,'Production Plan'!B:S,16,FALSE)</f>
        <v/>
      </c>
      <c r="C302">
        <f>VLOOKUP(A302,'Production Plan'!B:F,5,FALSE)</f>
        <v/>
      </c>
    </row>
    <row r="303" hidden="1">
      <c r="A303">
        <f>'Production Plan'!B303</f>
        <v/>
      </c>
      <c r="B303">
        <f>VLOOKUP(A303,'Production Plan'!B:S,16,FALSE)</f>
        <v/>
      </c>
      <c r="C303">
        <f>VLOOKUP(A303,'Production Plan'!B:F,5,FALSE)</f>
        <v/>
      </c>
    </row>
    <row r="304" hidden="1">
      <c r="A304">
        <f>'Production Plan'!B304</f>
        <v/>
      </c>
      <c r="B304">
        <f>VLOOKUP(A304,'Production Plan'!B:S,16,FALSE)</f>
        <v/>
      </c>
      <c r="C304">
        <f>VLOOKUP(A304,'Production Plan'!B:F,5,FALSE)</f>
        <v/>
      </c>
    </row>
    <row r="305" hidden="1">
      <c r="A305">
        <f>'Production Plan'!B305</f>
        <v/>
      </c>
      <c r="B305">
        <f>VLOOKUP(A305,'Production Plan'!B:S,16,FALSE)</f>
        <v/>
      </c>
      <c r="C305">
        <f>VLOOKUP(A305,'Production Plan'!B:F,5,FALSE)</f>
        <v/>
      </c>
    </row>
    <row r="306" hidden="1">
      <c r="A306">
        <f>'Production Plan'!B306</f>
        <v/>
      </c>
      <c r="B306">
        <f>VLOOKUP(A306,'Production Plan'!B:S,16,FALSE)</f>
        <v/>
      </c>
      <c r="C306">
        <f>VLOOKUP(A306,'Production Plan'!B:F,5,FALSE)</f>
        <v/>
      </c>
    </row>
    <row r="307" hidden="1">
      <c r="A307">
        <f>'Production Plan'!B307</f>
        <v/>
      </c>
      <c r="B307">
        <f>VLOOKUP(A307,'Production Plan'!B:S,16,FALSE)</f>
        <v/>
      </c>
      <c r="C307">
        <f>VLOOKUP(A307,'Production Plan'!B:F,5,FALSE)</f>
        <v/>
      </c>
    </row>
    <row r="308" hidden="1">
      <c r="A308">
        <f>'Production Plan'!B308</f>
        <v/>
      </c>
      <c r="B308">
        <f>VLOOKUP(A308,'Production Plan'!B:S,16,FALSE)</f>
        <v/>
      </c>
      <c r="C308">
        <f>VLOOKUP(A308,'Production Plan'!B:F,5,FALSE)</f>
        <v/>
      </c>
    </row>
    <row r="309" hidden="1">
      <c r="A309">
        <f>'Production Plan'!B309</f>
        <v/>
      </c>
      <c r="B309">
        <f>VLOOKUP(A309,'Production Plan'!B:S,16,FALSE)</f>
        <v/>
      </c>
      <c r="C309">
        <f>VLOOKUP(A309,'Production Plan'!B:F,5,FALSE)</f>
        <v/>
      </c>
    </row>
    <row r="310" hidden="1">
      <c r="A310">
        <f>'Production Plan'!B310</f>
        <v/>
      </c>
      <c r="B310">
        <f>VLOOKUP(A310,'Production Plan'!B:S,16,FALSE)</f>
        <v/>
      </c>
      <c r="C310">
        <f>VLOOKUP(A310,'Production Plan'!B:F,5,FALSE)</f>
        <v/>
      </c>
    </row>
    <row r="311" hidden="1">
      <c r="A311">
        <f>'Production Plan'!B311</f>
        <v/>
      </c>
      <c r="B311">
        <f>VLOOKUP(A311,'Production Plan'!B:S,16,FALSE)</f>
        <v/>
      </c>
      <c r="C311">
        <f>VLOOKUP(A311,'Production Plan'!B:F,5,FALSE)</f>
        <v/>
      </c>
    </row>
    <row r="312" hidden="1">
      <c r="A312">
        <f>'Production Plan'!B312</f>
        <v/>
      </c>
      <c r="B312">
        <f>VLOOKUP(A312,'Production Plan'!B:S,16,FALSE)</f>
        <v/>
      </c>
      <c r="C312">
        <f>VLOOKUP(A312,'Production Plan'!B:F,5,FALSE)</f>
        <v/>
      </c>
    </row>
    <row r="313" hidden="1">
      <c r="A313">
        <f>'Production Plan'!B313</f>
        <v/>
      </c>
      <c r="B313">
        <f>VLOOKUP(A313,'Production Plan'!B:S,16,FALSE)</f>
        <v/>
      </c>
      <c r="C313">
        <f>VLOOKUP(A313,'Production Plan'!B:F,5,FALSE)</f>
        <v/>
      </c>
    </row>
    <row r="314" hidden="1">
      <c r="A314">
        <f>'Production Plan'!B314</f>
        <v/>
      </c>
      <c r="B314">
        <f>VLOOKUP(A314,'Production Plan'!B:S,16,FALSE)</f>
        <v/>
      </c>
      <c r="C314">
        <f>VLOOKUP(A314,'Production Plan'!B:F,5,FALSE)</f>
        <v/>
      </c>
    </row>
    <row r="315" hidden="1">
      <c r="A315">
        <f>'Production Plan'!B315</f>
        <v/>
      </c>
      <c r="B315">
        <f>VLOOKUP(A315,'Production Plan'!B:S,16,FALSE)</f>
        <v/>
      </c>
      <c r="C315">
        <f>VLOOKUP(A315,'Production Plan'!B:F,5,FALSE)</f>
        <v/>
      </c>
    </row>
    <row r="316" hidden="1">
      <c r="A316">
        <f>'Production Plan'!B316</f>
        <v/>
      </c>
      <c r="B316">
        <f>VLOOKUP(A316,'Production Plan'!B:S,16,FALSE)</f>
        <v/>
      </c>
      <c r="C316">
        <f>VLOOKUP(A316,'Production Plan'!B:F,5,FALSE)</f>
        <v/>
      </c>
    </row>
    <row r="317" hidden="1">
      <c r="A317">
        <f>'Production Plan'!B317</f>
        <v/>
      </c>
      <c r="B317">
        <f>VLOOKUP(A317,'Production Plan'!B:S,16,FALSE)</f>
        <v/>
      </c>
      <c r="C317">
        <f>VLOOKUP(A317,'Production Plan'!B:F,5,FALSE)</f>
        <v/>
      </c>
    </row>
    <row r="318" hidden="1">
      <c r="A318">
        <f>'Production Plan'!B318</f>
        <v/>
      </c>
      <c r="B318">
        <f>VLOOKUP(A318,'Production Plan'!B:S,16,FALSE)</f>
        <v/>
      </c>
      <c r="C318">
        <f>VLOOKUP(A318,'Production Plan'!B:F,5,FALSE)</f>
        <v/>
      </c>
    </row>
    <row r="319" hidden="1">
      <c r="A319">
        <f>'Production Plan'!B319</f>
        <v/>
      </c>
      <c r="B319">
        <f>VLOOKUP(A319,'Production Plan'!B:S,16,FALSE)</f>
        <v/>
      </c>
      <c r="C319">
        <f>VLOOKUP(A319,'Production Plan'!B:F,5,FALSE)</f>
        <v/>
      </c>
    </row>
    <row r="320" hidden="1">
      <c r="A320">
        <f>'Production Plan'!B320</f>
        <v/>
      </c>
      <c r="B320">
        <f>VLOOKUP(A320,'Production Plan'!B:S,16,FALSE)</f>
        <v/>
      </c>
      <c r="C320">
        <f>VLOOKUP(A320,'Production Plan'!B:F,5,FALSE)</f>
        <v/>
      </c>
    </row>
    <row r="321" hidden="1">
      <c r="A321">
        <f>'Production Plan'!B321</f>
        <v/>
      </c>
      <c r="B321">
        <f>VLOOKUP(A321,'Production Plan'!B:S,16,FALSE)</f>
        <v/>
      </c>
      <c r="C321">
        <f>VLOOKUP(A321,'Production Plan'!B:F,5,FALSE)</f>
        <v/>
      </c>
    </row>
    <row r="322" hidden="1">
      <c r="A322">
        <f>'Production Plan'!B322</f>
        <v/>
      </c>
      <c r="B322">
        <f>VLOOKUP(A322,'Production Plan'!B:S,16,FALSE)</f>
        <v/>
      </c>
      <c r="C322">
        <f>VLOOKUP(A322,'Production Plan'!B:F,5,FALSE)</f>
        <v/>
      </c>
    </row>
    <row r="323" hidden="1">
      <c r="A323">
        <f>'Production Plan'!#REF!</f>
        <v/>
      </c>
      <c r="B323">
        <f>VLOOKUP(A323,'Production Plan'!B:S,16,FALSE)</f>
        <v/>
      </c>
      <c r="C323">
        <f>VLOOKUP(A323,'Production Plan'!B:F,5,FALSE)</f>
        <v/>
      </c>
    </row>
    <row r="324" hidden="1">
      <c r="A324">
        <f>'Production Plan'!B323</f>
        <v/>
      </c>
      <c r="B324">
        <f>VLOOKUP(A324,'Production Plan'!B:S,16,FALSE)</f>
        <v/>
      </c>
      <c r="C324">
        <f>VLOOKUP(A324,'Production Plan'!B:F,5,FALSE)</f>
        <v/>
      </c>
    </row>
    <row r="325" hidden="1">
      <c r="A325">
        <f>'Production Plan'!B324</f>
        <v/>
      </c>
      <c r="B325">
        <f>VLOOKUP(A325,'Production Plan'!B:S,16,FALSE)</f>
        <v/>
      </c>
      <c r="C325">
        <f>VLOOKUP(A325,'Production Plan'!B:F,5,FALSE)</f>
        <v/>
      </c>
    </row>
    <row r="326" hidden="1">
      <c r="A326">
        <f>'Production Plan'!B325</f>
        <v/>
      </c>
      <c r="B326">
        <f>VLOOKUP(A326,'Production Plan'!B:S,16,FALSE)</f>
        <v/>
      </c>
      <c r="C326">
        <f>VLOOKUP(A326,'Production Plan'!B:F,5,FALSE)</f>
        <v/>
      </c>
    </row>
    <row r="327" hidden="1">
      <c r="A327">
        <f>'Production Plan'!B326</f>
        <v/>
      </c>
      <c r="B327">
        <f>VLOOKUP(A327,'Production Plan'!B:S,16,FALSE)</f>
        <v/>
      </c>
      <c r="C327">
        <f>VLOOKUP(A327,'Production Plan'!B:F,5,FALSE)</f>
        <v/>
      </c>
    </row>
    <row r="328" hidden="1">
      <c r="A328">
        <f>'Production Plan'!B327</f>
        <v/>
      </c>
      <c r="B328">
        <f>VLOOKUP(A328,'Production Plan'!B:S,16,FALSE)</f>
        <v/>
      </c>
      <c r="C328">
        <f>VLOOKUP(A328,'Production Plan'!B:F,5,FALSE)</f>
        <v/>
      </c>
    </row>
    <row r="329" hidden="1">
      <c r="A329">
        <f>'Production Plan'!B328</f>
        <v/>
      </c>
      <c r="B329">
        <f>VLOOKUP(A329,'Production Plan'!B:S,16,FALSE)</f>
        <v/>
      </c>
      <c r="C329">
        <f>VLOOKUP(A329,'Production Plan'!B:F,5,FALSE)</f>
        <v/>
      </c>
    </row>
    <row r="330" hidden="1">
      <c r="A330">
        <f>'Production Plan'!B329</f>
        <v/>
      </c>
      <c r="B330">
        <f>VLOOKUP(A330,'Production Plan'!B:S,16,FALSE)</f>
        <v/>
      </c>
      <c r="C330">
        <f>VLOOKUP(A330,'Production Plan'!B:F,5,FALSE)</f>
        <v/>
      </c>
    </row>
    <row r="331" hidden="1">
      <c r="A331">
        <f>'Production Plan'!B330</f>
        <v/>
      </c>
      <c r="B331">
        <f>VLOOKUP(A331,'Production Plan'!B:S,16,FALSE)</f>
        <v/>
      </c>
      <c r="C331">
        <f>VLOOKUP(A331,'Production Plan'!B:F,5,FALSE)</f>
        <v/>
      </c>
    </row>
    <row r="332" hidden="1">
      <c r="A332">
        <f>'Production Plan'!B331</f>
        <v/>
      </c>
      <c r="B332">
        <f>VLOOKUP(A332,'Production Plan'!B:S,16,FALSE)</f>
        <v/>
      </c>
      <c r="C332">
        <f>VLOOKUP(A332,'Production Plan'!B:F,5,FALSE)</f>
        <v/>
      </c>
    </row>
    <row r="333" hidden="1">
      <c r="A333">
        <f>'Production Plan'!B332</f>
        <v/>
      </c>
      <c r="B333">
        <f>VLOOKUP(A333,'Production Plan'!B:S,16,FALSE)</f>
        <v/>
      </c>
      <c r="C333">
        <f>VLOOKUP(A333,'Production Plan'!B:F,5,FALSE)</f>
        <v/>
      </c>
    </row>
    <row r="334" hidden="1">
      <c r="A334">
        <f>'Production Plan'!B333</f>
        <v/>
      </c>
      <c r="B334">
        <f>VLOOKUP(A334,'Production Plan'!B:S,16,FALSE)</f>
        <v/>
      </c>
      <c r="C334">
        <f>VLOOKUP(A334,'Production Plan'!B:F,5,FALSE)</f>
        <v/>
      </c>
    </row>
    <row r="335" hidden="1">
      <c r="A335">
        <f>'Production Plan'!B334</f>
        <v/>
      </c>
      <c r="B335">
        <f>VLOOKUP(A335,'Production Plan'!B:S,16,FALSE)</f>
        <v/>
      </c>
      <c r="C335">
        <f>VLOOKUP(A335,'Production Plan'!B:F,5,FALSE)</f>
        <v/>
      </c>
    </row>
    <row r="336" hidden="1">
      <c r="A336">
        <f>'Production Plan'!B335</f>
        <v/>
      </c>
      <c r="B336">
        <f>VLOOKUP(A336,'Production Plan'!B:S,16,FALSE)</f>
        <v/>
      </c>
      <c r="C336">
        <f>VLOOKUP(A336,'Production Plan'!B:F,5,FALSE)</f>
        <v/>
      </c>
    </row>
    <row r="337" hidden="1">
      <c r="A337">
        <f>'Production Plan'!B336</f>
        <v/>
      </c>
      <c r="B337">
        <f>VLOOKUP(A337,'Production Plan'!B:S,16,FALSE)</f>
        <v/>
      </c>
      <c r="C337">
        <f>VLOOKUP(A337,'Production Plan'!B:F,5,FALSE)</f>
        <v/>
      </c>
    </row>
    <row r="338" hidden="1">
      <c r="A338">
        <f>'Production Plan'!B337</f>
        <v/>
      </c>
      <c r="B338">
        <f>VLOOKUP(A338,'Production Plan'!B:S,16,FALSE)</f>
        <v/>
      </c>
      <c r="C338">
        <f>VLOOKUP(A338,'Production Plan'!B:F,5,FALSE)</f>
        <v/>
      </c>
    </row>
    <row r="339" hidden="1">
      <c r="A339">
        <f>'Production Plan'!B338</f>
        <v/>
      </c>
      <c r="B339">
        <f>VLOOKUP(A339,'Production Plan'!B:S,16,FALSE)</f>
        <v/>
      </c>
      <c r="C339">
        <f>VLOOKUP(A339,'Production Plan'!B:F,5,FALSE)</f>
        <v/>
      </c>
    </row>
    <row r="340" hidden="1">
      <c r="A340">
        <f>'Production Plan'!B339</f>
        <v/>
      </c>
      <c r="B340">
        <f>VLOOKUP(A340,'Production Plan'!B:S,16,FALSE)</f>
        <v/>
      </c>
      <c r="C340">
        <f>VLOOKUP(A340,'Production Plan'!B:F,5,FALSE)</f>
        <v/>
      </c>
    </row>
    <row r="341" hidden="1">
      <c r="A341">
        <f>'Production Plan'!B340</f>
        <v/>
      </c>
      <c r="B341">
        <f>VLOOKUP(A341,'Production Plan'!B:S,16,FALSE)</f>
        <v/>
      </c>
      <c r="C341">
        <f>VLOOKUP(A341,'Production Plan'!B:F,5,FALSE)</f>
        <v/>
      </c>
    </row>
    <row r="342" hidden="1">
      <c r="A342">
        <f>'Production Plan'!B341</f>
        <v/>
      </c>
      <c r="B342">
        <f>VLOOKUP(A342,'Production Plan'!B:S,16,FALSE)</f>
        <v/>
      </c>
      <c r="C342">
        <f>VLOOKUP(A342,'Production Plan'!B:F,5,FALSE)</f>
        <v/>
      </c>
    </row>
    <row r="343" hidden="1">
      <c r="A343">
        <f>'Production Plan'!B342</f>
        <v/>
      </c>
      <c r="B343">
        <f>VLOOKUP(A343,'Production Plan'!B:S,16,FALSE)</f>
        <v/>
      </c>
      <c r="C343">
        <f>VLOOKUP(A343,'Production Plan'!B:F,5,FALSE)</f>
        <v/>
      </c>
    </row>
    <row r="344" hidden="1">
      <c r="A344">
        <f>'Production Plan'!B343</f>
        <v/>
      </c>
      <c r="B344">
        <f>VLOOKUP(A344,'Production Plan'!B:S,16,FALSE)</f>
        <v/>
      </c>
      <c r="C344">
        <f>VLOOKUP(A344,'Production Plan'!B:F,5,FALSE)</f>
        <v/>
      </c>
    </row>
    <row r="345" hidden="1">
      <c r="A345">
        <f>'Production Plan'!B344</f>
        <v/>
      </c>
      <c r="B345">
        <f>VLOOKUP(A345,'Production Plan'!B:S,16,FALSE)</f>
        <v/>
      </c>
      <c r="C345">
        <f>VLOOKUP(A345,'Production Plan'!B:F,5,FALSE)</f>
        <v/>
      </c>
    </row>
    <row r="346" hidden="1">
      <c r="A346">
        <f>'Production Plan'!B345</f>
        <v/>
      </c>
      <c r="B346">
        <f>VLOOKUP(A346,'Production Plan'!B:S,16,FALSE)</f>
        <v/>
      </c>
      <c r="C346">
        <f>VLOOKUP(A346,'Production Plan'!B:F,5,FALSE)</f>
        <v/>
      </c>
    </row>
    <row r="347" hidden="1">
      <c r="A347">
        <f>'Production Plan'!B346</f>
        <v/>
      </c>
      <c r="B347">
        <f>VLOOKUP(A347,'Production Plan'!B:S,16,FALSE)</f>
        <v/>
      </c>
      <c r="C347">
        <f>VLOOKUP(A347,'Production Plan'!B:F,5,FALSE)</f>
        <v/>
      </c>
    </row>
    <row r="348" hidden="1">
      <c r="A348">
        <f>'Production Plan'!B347</f>
        <v/>
      </c>
      <c r="B348">
        <f>VLOOKUP(A348,'Production Plan'!B:S,16,FALSE)</f>
        <v/>
      </c>
      <c r="C348">
        <f>VLOOKUP(A348,'Production Plan'!B:F,5,FALSE)</f>
        <v/>
      </c>
    </row>
    <row r="349" hidden="1">
      <c r="A349">
        <f>'Production Plan'!B348</f>
        <v/>
      </c>
      <c r="B349">
        <f>VLOOKUP(A349,'Production Plan'!B:S,16,FALSE)</f>
        <v/>
      </c>
      <c r="C349">
        <f>VLOOKUP(A349,'Production Plan'!B:F,5,FALSE)</f>
        <v/>
      </c>
    </row>
    <row r="350" hidden="1">
      <c r="A350">
        <f>'Production Plan'!B349</f>
        <v/>
      </c>
      <c r="B350">
        <f>VLOOKUP(A350,'Production Plan'!B:S,16,FALSE)</f>
        <v/>
      </c>
      <c r="C350">
        <f>VLOOKUP(A350,'Production Plan'!B:F,5,FALSE)</f>
        <v/>
      </c>
    </row>
    <row r="351" hidden="1">
      <c r="A351">
        <f>'Production Plan'!B350</f>
        <v/>
      </c>
      <c r="B351">
        <f>VLOOKUP(A351,'Production Plan'!B:S,16,FALSE)</f>
        <v/>
      </c>
      <c r="C351">
        <f>VLOOKUP(A351,'Production Plan'!B:F,5,FALSE)</f>
        <v/>
      </c>
    </row>
    <row r="352" hidden="1">
      <c r="A352">
        <f>'Production Plan'!B351</f>
        <v/>
      </c>
      <c r="B352">
        <f>VLOOKUP(A352,'Production Plan'!B:S,16,FALSE)</f>
        <v/>
      </c>
      <c r="C352">
        <f>VLOOKUP(A352,'Production Plan'!B:F,5,FALSE)</f>
        <v/>
      </c>
    </row>
    <row r="353" hidden="1">
      <c r="A353">
        <f>'Production Plan'!B352</f>
        <v/>
      </c>
      <c r="B353">
        <f>VLOOKUP(A353,'Production Plan'!B:S,16,FALSE)</f>
        <v/>
      </c>
      <c r="C353">
        <f>VLOOKUP(A353,'Production Plan'!B:F,5,FALSE)</f>
        <v/>
      </c>
    </row>
    <row r="354" hidden="1">
      <c r="A354">
        <f>'Production Plan'!B353</f>
        <v/>
      </c>
      <c r="B354">
        <f>VLOOKUP(A354,'Production Plan'!B:S,16,FALSE)</f>
        <v/>
      </c>
      <c r="C354">
        <f>VLOOKUP(A354,'Production Plan'!B:F,5,FALSE)</f>
        <v/>
      </c>
    </row>
    <row r="355" hidden="1">
      <c r="A355">
        <f>'Production Plan'!B354</f>
        <v/>
      </c>
      <c r="B355">
        <f>VLOOKUP(A355,'Production Plan'!B:S,16,FALSE)</f>
        <v/>
      </c>
      <c r="C355">
        <f>VLOOKUP(A355,'Production Plan'!B:F,5,FALSE)</f>
        <v/>
      </c>
    </row>
    <row r="356" hidden="1">
      <c r="A356">
        <f>'Production Plan'!B355</f>
        <v/>
      </c>
      <c r="B356">
        <f>VLOOKUP(A356,'Production Plan'!B:S,16,FALSE)</f>
        <v/>
      </c>
      <c r="C356">
        <f>VLOOKUP(A356,'Production Plan'!B:F,5,FALSE)</f>
        <v/>
      </c>
    </row>
    <row r="357" hidden="1">
      <c r="A357">
        <f>'Production Plan'!B356</f>
        <v/>
      </c>
      <c r="B357">
        <f>VLOOKUP(A357,'Production Plan'!B:S,16,FALSE)</f>
        <v/>
      </c>
      <c r="C357">
        <f>VLOOKUP(A357,'Production Plan'!B:F,5,FALSE)</f>
        <v/>
      </c>
    </row>
    <row r="358" hidden="1">
      <c r="A358">
        <f>'Production Plan'!B357</f>
        <v/>
      </c>
      <c r="B358">
        <f>VLOOKUP(A358,'Production Plan'!B:S,16,FALSE)</f>
        <v/>
      </c>
      <c r="C358">
        <f>VLOOKUP(A358,'Production Plan'!B:F,5,FALSE)</f>
        <v/>
      </c>
    </row>
    <row r="359" hidden="1">
      <c r="A359">
        <f>'Production Plan'!#REF!</f>
        <v/>
      </c>
      <c r="B359">
        <f>VLOOKUP(A359,'Production Plan'!B:S,16,FALSE)</f>
        <v/>
      </c>
      <c r="C359">
        <f>VLOOKUP(A359,'Production Plan'!B:F,5,FALSE)</f>
        <v/>
      </c>
    </row>
    <row r="360" hidden="1">
      <c r="A360">
        <f>'Production Plan'!#REF!</f>
        <v/>
      </c>
      <c r="B360">
        <f>VLOOKUP(A360,'Production Plan'!B:S,16,FALSE)</f>
        <v/>
      </c>
      <c r="C360">
        <f>VLOOKUP(A360,'Production Plan'!B:F,5,FALSE)</f>
        <v/>
      </c>
    </row>
    <row r="361" hidden="1">
      <c r="A361">
        <f>'Production Plan'!#REF!</f>
        <v/>
      </c>
      <c r="B361">
        <f>VLOOKUP(A361,'Production Plan'!B:S,16,FALSE)</f>
        <v/>
      </c>
      <c r="C361">
        <f>VLOOKUP(A361,'Production Plan'!B:F,5,FALSE)</f>
        <v/>
      </c>
    </row>
    <row r="362" hidden="1">
      <c r="A362">
        <f>'Production Plan'!#REF!</f>
        <v/>
      </c>
      <c r="B362">
        <f>VLOOKUP(A362,'Production Plan'!B:S,16,FALSE)</f>
        <v/>
      </c>
      <c r="C362">
        <f>VLOOKUP(A362,'Production Plan'!B:F,5,FALSE)</f>
        <v/>
      </c>
    </row>
    <row r="363" hidden="1">
      <c r="A363">
        <f>'Production Plan'!#REF!</f>
        <v/>
      </c>
      <c r="B363">
        <f>VLOOKUP(A363,'Production Plan'!B:S,16,FALSE)</f>
        <v/>
      </c>
      <c r="C363">
        <f>VLOOKUP(A363,'Production Plan'!B:F,5,FALSE)</f>
        <v/>
      </c>
    </row>
    <row r="364" hidden="1">
      <c r="A364">
        <f>'Production Plan'!#REF!</f>
        <v/>
      </c>
      <c r="B364">
        <f>VLOOKUP(A364,'Production Plan'!B:S,16,FALSE)</f>
        <v/>
      </c>
      <c r="C364">
        <f>VLOOKUP(A364,'Production Plan'!B:F,5,FALSE)</f>
        <v/>
      </c>
    </row>
    <row r="365" hidden="1">
      <c r="A365">
        <f>'Production Plan'!#REF!</f>
        <v/>
      </c>
      <c r="B365">
        <f>VLOOKUP(A365,'Production Plan'!B:S,16,FALSE)</f>
        <v/>
      </c>
      <c r="C365">
        <f>VLOOKUP(A365,'Production Plan'!B:F,5,FALSE)</f>
        <v/>
      </c>
    </row>
    <row r="366" hidden="1">
      <c r="A366">
        <f>'Production Plan'!#REF!</f>
        <v/>
      </c>
      <c r="B366">
        <f>VLOOKUP(A366,'Production Plan'!B:S,16,FALSE)</f>
        <v/>
      </c>
      <c r="C366">
        <f>VLOOKUP(A366,'Production Plan'!B:F,5,FALSE)</f>
        <v/>
      </c>
    </row>
    <row r="367" hidden="1">
      <c r="A367">
        <f>'Production Plan'!#REF!</f>
        <v/>
      </c>
      <c r="B367">
        <f>VLOOKUP(A367,'Production Plan'!B:S,16,FALSE)</f>
        <v/>
      </c>
      <c r="C367">
        <f>VLOOKUP(A367,'Production Plan'!B:F,5,FALSE)</f>
        <v/>
      </c>
    </row>
    <row r="368" hidden="1">
      <c r="A368">
        <f>'Production Plan'!#REF!</f>
        <v/>
      </c>
      <c r="B368">
        <f>VLOOKUP(A368,'Production Plan'!B:S,16,FALSE)</f>
        <v/>
      </c>
      <c r="C368">
        <f>VLOOKUP(A368,'Production Plan'!B:F,5,FALSE)</f>
        <v/>
      </c>
    </row>
    <row r="369" hidden="1">
      <c r="A369">
        <f>'Production Plan'!#REF!</f>
        <v/>
      </c>
      <c r="B369">
        <f>VLOOKUP(A369,'Production Plan'!B:S,16,FALSE)</f>
        <v/>
      </c>
      <c r="C369">
        <f>VLOOKUP(A369,'Production Plan'!B:F,5,FALSE)</f>
        <v/>
      </c>
    </row>
    <row r="370" hidden="1">
      <c r="A370">
        <f>'Production Plan'!B358</f>
        <v/>
      </c>
      <c r="B370">
        <f>VLOOKUP(A370,'Production Plan'!B:S,16,FALSE)</f>
        <v/>
      </c>
      <c r="C370">
        <f>VLOOKUP(A370,'Production Plan'!B:F,5,FALSE)</f>
        <v/>
      </c>
    </row>
    <row r="371" hidden="1">
      <c r="A371">
        <f>'Production Plan'!B359</f>
        <v/>
      </c>
      <c r="B371">
        <f>VLOOKUP(A371,'Production Plan'!B:S,16,FALSE)</f>
        <v/>
      </c>
      <c r="C371">
        <f>VLOOKUP(A371,'Production Plan'!B:F,5,FALSE)</f>
        <v/>
      </c>
    </row>
    <row r="372" hidden="1">
      <c r="A372">
        <f>'Production Plan'!B360</f>
        <v/>
      </c>
      <c r="B372">
        <f>VLOOKUP(A372,'Production Plan'!B:S,16,FALSE)</f>
        <v/>
      </c>
      <c r="C372">
        <f>VLOOKUP(A372,'Production Plan'!B:F,5,FALSE)</f>
        <v/>
      </c>
    </row>
    <row r="373" hidden="1">
      <c r="A373">
        <f>'Production Plan'!B361</f>
        <v/>
      </c>
      <c r="B373">
        <f>VLOOKUP(A373,'Production Plan'!B:S,16,FALSE)</f>
        <v/>
      </c>
      <c r="C373">
        <f>VLOOKUP(A373,'Production Plan'!B:F,5,FALSE)</f>
        <v/>
      </c>
    </row>
    <row r="374" hidden="1">
      <c r="A374">
        <f>'Production Plan'!B362</f>
        <v/>
      </c>
      <c r="B374">
        <f>VLOOKUP(A374,'Production Plan'!B:S,16,FALSE)</f>
        <v/>
      </c>
      <c r="C374">
        <f>VLOOKUP(A374,'Production Plan'!B:F,5,FALSE)</f>
        <v/>
      </c>
    </row>
    <row r="375" hidden="1">
      <c r="A375">
        <f>'Production Plan'!B363</f>
        <v/>
      </c>
      <c r="B375">
        <f>VLOOKUP(A375,'Production Plan'!B:S,16,FALSE)</f>
        <v/>
      </c>
      <c r="C375">
        <f>VLOOKUP(A375,'Production Plan'!B:F,5,FALSE)</f>
        <v/>
      </c>
    </row>
    <row r="376" hidden="1">
      <c r="A376">
        <f>'Production Plan'!B364</f>
        <v/>
      </c>
      <c r="B376">
        <f>VLOOKUP(A376,'Production Plan'!B:S,16,FALSE)</f>
        <v/>
      </c>
      <c r="C376">
        <f>VLOOKUP(A376,'Production Plan'!B:F,5,FALSE)</f>
        <v/>
      </c>
    </row>
    <row r="377" hidden="1">
      <c r="A377">
        <f>'Production Plan'!B365</f>
        <v/>
      </c>
      <c r="B377">
        <f>VLOOKUP(A377,'Production Plan'!B:S,16,FALSE)</f>
        <v/>
      </c>
      <c r="C377">
        <f>VLOOKUP(A377,'Production Plan'!B:F,5,FALSE)</f>
        <v/>
      </c>
    </row>
    <row r="378" hidden="1">
      <c r="A378">
        <f>'Production Plan'!B366</f>
        <v/>
      </c>
      <c r="B378">
        <f>VLOOKUP(A378,'Production Plan'!B:S,16,FALSE)</f>
        <v/>
      </c>
      <c r="C378">
        <f>VLOOKUP(A378,'Production Plan'!B:F,5,FALSE)</f>
        <v/>
      </c>
    </row>
    <row r="379" hidden="1">
      <c r="A379">
        <f>'Production Plan'!B367</f>
        <v/>
      </c>
      <c r="B379">
        <f>VLOOKUP(A379,'Production Plan'!B:S,16,FALSE)</f>
        <v/>
      </c>
      <c r="C379">
        <f>VLOOKUP(A379,'Production Plan'!B:F,5,FALSE)</f>
        <v/>
      </c>
    </row>
    <row r="380" hidden="1">
      <c r="A380">
        <f>'Production Plan'!B368</f>
        <v/>
      </c>
      <c r="B380">
        <f>VLOOKUP(A380,'Production Plan'!B:S,16,FALSE)</f>
        <v/>
      </c>
      <c r="C380">
        <f>VLOOKUP(A380,'Production Plan'!B:F,5,FALSE)</f>
        <v/>
      </c>
    </row>
    <row r="381" hidden="1">
      <c r="A381">
        <f>'Production Plan'!B369</f>
        <v/>
      </c>
      <c r="B381">
        <f>VLOOKUP(A381,'Production Plan'!B:S,16,FALSE)</f>
        <v/>
      </c>
      <c r="C381">
        <f>VLOOKUP(A381,'Production Plan'!B:F,5,FALSE)</f>
        <v/>
      </c>
    </row>
    <row r="382" hidden="1">
      <c r="A382">
        <f>'Production Plan'!B370</f>
        <v/>
      </c>
      <c r="B382">
        <f>VLOOKUP(A382,'Production Plan'!B:S,16,FALSE)</f>
        <v/>
      </c>
      <c r="C382">
        <f>VLOOKUP(A382,'Production Plan'!B:F,5,FALSE)</f>
        <v/>
      </c>
    </row>
    <row r="383" hidden="1">
      <c r="A383">
        <f>'Production Plan'!B371</f>
        <v/>
      </c>
      <c r="B383">
        <f>VLOOKUP(A383,'Production Plan'!B:S,16,FALSE)</f>
        <v/>
      </c>
      <c r="C383">
        <f>VLOOKUP(A383,'Production Plan'!B:F,5,FALSE)</f>
        <v/>
      </c>
    </row>
    <row r="384" hidden="1">
      <c r="A384">
        <f>'Production Plan'!B372</f>
        <v/>
      </c>
      <c r="B384">
        <f>VLOOKUP(A384,'Production Plan'!B:S,16,FALSE)</f>
        <v/>
      </c>
      <c r="C384">
        <f>VLOOKUP(A384,'Production Plan'!B:F,5,FALSE)</f>
        <v/>
      </c>
    </row>
    <row r="385" hidden="1">
      <c r="A385">
        <f>'Production Plan'!B373</f>
        <v/>
      </c>
      <c r="B385">
        <f>VLOOKUP(A385,'Production Plan'!B:S,16,FALSE)</f>
        <v/>
      </c>
      <c r="C385">
        <f>VLOOKUP(A385,'Production Plan'!B:F,5,FALSE)</f>
        <v/>
      </c>
    </row>
    <row r="386" hidden="1">
      <c r="A386">
        <f>'Production Plan'!B374</f>
        <v/>
      </c>
      <c r="B386">
        <f>VLOOKUP(A386,'Production Plan'!B:S,16,FALSE)</f>
        <v/>
      </c>
      <c r="C386">
        <f>VLOOKUP(A386,'Production Plan'!B:F,5,FALSE)</f>
        <v/>
      </c>
    </row>
    <row r="387" hidden="1">
      <c r="A387">
        <f>'Production Plan'!B375</f>
        <v/>
      </c>
      <c r="B387">
        <f>VLOOKUP(A387,'Production Plan'!B:S,16,FALSE)</f>
        <v/>
      </c>
      <c r="C387">
        <f>VLOOKUP(A387,'Production Plan'!B:F,5,FALSE)</f>
        <v/>
      </c>
    </row>
    <row r="388" hidden="1">
      <c r="A388">
        <f>'Production Plan'!B376</f>
        <v/>
      </c>
      <c r="B388">
        <f>VLOOKUP(A388,'Production Plan'!B:S,16,FALSE)</f>
        <v/>
      </c>
      <c r="C388">
        <f>VLOOKUP(A388,'Production Plan'!B:F,5,FALSE)</f>
        <v/>
      </c>
    </row>
    <row r="389" hidden="1">
      <c r="A389">
        <f>'Production Plan'!B377</f>
        <v/>
      </c>
      <c r="B389">
        <f>VLOOKUP(A389,'Production Plan'!B:S,16,FALSE)</f>
        <v/>
      </c>
      <c r="C389">
        <f>VLOOKUP(A389,'Production Plan'!B:F,5,FALSE)</f>
        <v/>
      </c>
    </row>
    <row r="390" hidden="1">
      <c r="A390">
        <f>'Production Plan'!B378</f>
        <v/>
      </c>
      <c r="B390">
        <f>VLOOKUP(A390,'Production Plan'!B:S,16,FALSE)</f>
        <v/>
      </c>
      <c r="C390">
        <f>VLOOKUP(A390,'Production Plan'!B:F,5,FALSE)</f>
        <v/>
      </c>
    </row>
    <row r="391" hidden="1">
      <c r="A391">
        <f>'Production Plan'!B379</f>
        <v/>
      </c>
      <c r="B391">
        <f>VLOOKUP(A391,'Production Plan'!B:S,16,FALSE)</f>
        <v/>
      </c>
      <c r="C391">
        <f>VLOOKUP(A391,'Production Plan'!B:F,5,FALSE)</f>
        <v/>
      </c>
    </row>
    <row r="392" hidden="1">
      <c r="A392">
        <f>'Production Plan'!B380</f>
        <v/>
      </c>
      <c r="B392">
        <f>VLOOKUP(A392,'Production Plan'!B:S,16,FALSE)</f>
        <v/>
      </c>
      <c r="C392">
        <f>VLOOKUP(A392,'Production Plan'!B:F,5,FALSE)</f>
        <v/>
      </c>
    </row>
    <row r="393" hidden="1">
      <c r="A393">
        <f>'Production Plan'!B381</f>
        <v/>
      </c>
      <c r="B393">
        <f>VLOOKUP(A393,'Production Plan'!B:S,16,FALSE)</f>
        <v/>
      </c>
      <c r="C393">
        <f>VLOOKUP(A393,'Production Plan'!B:F,5,FALSE)</f>
        <v/>
      </c>
    </row>
    <row r="394" hidden="1">
      <c r="A394">
        <f>'Production Plan'!B382</f>
        <v/>
      </c>
      <c r="B394">
        <f>VLOOKUP(A394,'Production Plan'!B:S,16,FALSE)</f>
        <v/>
      </c>
      <c r="C394">
        <f>VLOOKUP(A394,'Production Plan'!B:F,5,FALSE)</f>
        <v/>
      </c>
    </row>
    <row r="395" hidden="1">
      <c r="A395">
        <f>'Production Plan'!B383</f>
        <v/>
      </c>
      <c r="B395">
        <f>VLOOKUP(A395,'Production Plan'!B:S,16,FALSE)</f>
        <v/>
      </c>
      <c r="C395">
        <f>VLOOKUP(A395,'Production Plan'!B:F,5,FALSE)</f>
        <v/>
      </c>
    </row>
    <row r="396" hidden="1">
      <c r="A396">
        <f>'Production Plan'!B384</f>
        <v/>
      </c>
      <c r="B396">
        <f>VLOOKUP(A396,'Production Plan'!B:S,16,FALSE)</f>
        <v/>
      </c>
      <c r="C396">
        <f>VLOOKUP(A396,'Production Plan'!B:F,5,FALSE)</f>
        <v/>
      </c>
    </row>
    <row r="397" hidden="1">
      <c r="A397">
        <f>'Production Plan'!B385</f>
        <v/>
      </c>
      <c r="B397">
        <f>VLOOKUP(A397,'Production Plan'!B:S,16,FALSE)</f>
        <v/>
      </c>
      <c r="C397">
        <f>VLOOKUP(A397,'Production Plan'!B:F,5,FALSE)</f>
        <v/>
      </c>
    </row>
    <row r="398" hidden="1">
      <c r="A398">
        <f>'Production Plan'!B386</f>
        <v/>
      </c>
      <c r="B398">
        <f>VLOOKUP(A398,'Production Plan'!B:S,16,FALSE)</f>
        <v/>
      </c>
      <c r="C398">
        <f>VLOOKUP(A398,'Production Plan'!B:F,5,FALSE)</f>
        <v/>
      </c>
    </row>
    <row r="399" hidden="1">
      <c r="A399">
        <f>'Production Plan'!B387</f>
        <v/>
      </c>
      <c r="B399">
        <f>VLOOKUP(A399,'Production Plan'!B:S,16,FALSE)</f>
        <v/>
      </c>
      <c r="C399">
        <f>VLOOKUP(A399,'Production Plan'!B:F,5,FALSE)</f>
        <v/>
      </c>
    </row>
    <row r="400" hidden="1">
      <c r="A400">
        <f>'Production Plan'!B388</f>
        <v/>
      </c>
      <c r="B400">
        <f>VLOOKUP(A400,'Production Plan'!B:S,16,FALSE)</f>
        <v/>
      </c>
      <c r="C400">
        <f>VLOOKUP(A400,'Production Plan'!B:F,5,FALSE)</f>
        <v/>
      </c>
    </row>
    <row r="401" hidden="1">
      <c r="A401">
        <f>'Production Plan'!B389</f>
        <v/>
      </c>
      <c r="B401">
        <f>VLOOKUP(A401,'Production Plan'!B:S,16,FALSE)</f>
        <v/>
      </c>
      <c r="C401">
        <f>VLOOKUP(A401,'Production Plan'!B:F,5,FALSE)</f>
        <v/>
      </c>
    </row>
    <row r="402" hidden="1">
      <c r="A402">
        <f>'Production Plan'!B390</f>
        <v/>
      </c>
      <c r="B402">
        <f>VLOOKUP(A402,'Production Plan'!B:S,16,FALSE)</f>
        <v/>
      </c>
      <c r="C402">
        <f>VLOOKUP(A402,'Production Plan'!B:F,5,FALSE)</f>
        <v/>
      </c>
    </row>
    <row r="403" hidden="1">
      <c r="A403">
        <f>'Production Plan'!B391</f>
        <v/>
      </c>
      <c r="B403">
        <f>VLOOKUP(A403,'Production Plan'!B:S,16,FALSE)</f>
        <v/>
      </c>
      <c r="C403">
        <f>VLOOKUP(A403,'Production Plan'!B:F,5,FALSE)</f>
        <v/>
      </c>
    </row>
    <row r="404" hidden="1">
      <c r="A404">
        <f>'Production Plan'!B392</f>
        <v/>
      </c>
      <c r="B404">
        <f>VLOOKUP(A404,'Production Plan'!B:S,16,FALSE)</f>
        <v/>
      </c>
      <c r="C404">
        <f>VLOOKUP(A404,'Production Plan'!B:F,5,FALSE)</f>
        <v/>
      </c>
    </row>
    <row r="405" hidden="1">
      <c r="A405">
        <f>'Production Plan'!B393</f>
        <v/>
      </c>
      <c r="B405">
        <f>VLOOKUP(A405,'Production Plan'!B:S,16,FALSE)</f>
        <v/>
      </c>
      <c r="C405">
        <f>VLOOKUP(A405,'Production Plan'!B:F,5,FALSE)</f>
        <v/>
      </c>
    </row>
    <row r="406" hidden="1">
      <c r="A406">
        <f>'Production Plan'!B394</f>
        <v/>
      </c>
      <c r="B406">
        <f>VLOOKUP(A406,'Production Plan'!B:S,16,FALSE)</f>
        <v/>
      </c>
      <c r="C406">
        <f>VLOOKUP(A406,'Production Plan'!B:F,5,FALSE)</f>
        <v/>
      </c>
    </row>
    <row r="407" hidden="1">
      <c r="A407">
        <f>'Production Plan'!B395</f>
        <v/>
      </c>
      <c r="B407">
        <f>VLOOKUP(A407,'Production Plan'!B:S,16,FALSE)</f>
        <v/>
      </c>
      <c r="C407">
        <f>VLOOKUP(A407,'Production Plan'!B:F,5,FALSE)</f>
        <v/>
      </c>
    </row>
    <row r="408" hidden="1">
      <c r="A408">
        <f>'Production Plan'!B396</f>
        <v/>
      </c>
      <c r="B408">
        <f>VLOOKUP(A408,'Production Plan'!B:S,16,FALSE)</f>
        <v/>
      </c>
      <c r="C408">
        <f>VLOOKUP(A408,'Production Plan'!B:F,5,FALSE)</f>
        <v/>
      </c>
    </row>
    <row r="409" hidden="1">
      <c r="A409">
        <f>'Production Plan'!B397</f>
        <v/>
      </c>
      <c r="B409">
        <f>VLOOKUP(A409,'Production Plan'!B:S,16,FALSE)</f>
        <v/>
      </c>
      <c r="C409">
        <f>VLOOKUP(A409,'Production Plan'!B:F,5,FALSE)</f>
        <v/>
      </c>
    </row>
    <row r="410" hidden="1">
      <c r="A410">
        <f>'Production Plan'!B398</f>
        <v/>
      </c>
      <c r="B410">
        <f>VLOOKUP(A410,'Production Plan'!B:S,16,FALSE)</f>
        <v/>
      </c>
      <c r="C410">
        <f>VLOOKUP(A410,'Production Plan'!B:F,5,FALSE)</f>
        <v/>
      </c>
    </row>
    <row r="411" hidden="1">
      <c r="A411">
        <f>'Production Plan'!B399</f>
        <v/>
      </c>
      <c r="B411">
        <f>VLOOKUP(A411,'Production Plan'!B:S,16,FALSE)</f>
        <v/>
      </c>
      <c r="C411">
        <f>VLOOKUP(A411,'Production Plan'!B:F,5,FALSE)</f>
        <v/>
      </c>
    </row>
    <row r="412" hidden="1">
      <c r="A412">
        <f>'Production Plan'!B400</f>
        <v/>
      </c>
      <c r="B412">
        <f>VLOOKUP(A412,'Production Plan'!B:S,16,FALSE)</f>
        <v/>
      </c>
      <c r="C412">
        <f>VLOOKUP(A412,'Production Plan'!B:F,5,FALSE)</f>
        <v/>
      </c>
    </row>
    <row r="413" hidden="1">
      <c r="A413">
        <f>'Production Plan'!B401</f>
        <v/>
      </c>
      <c r="B413">
        <f>VLOOKUP(A413,'Production Plan'!B:S,16,FALSE)</f>
        <v/>
      </c>
      <c r="C413">
        <f>VLOOKUP(A413,'Production Plan'!B:F,5,FALSE)</f>
        <v/>
      </c>
    </row>
    <row r="414" hidden="1">
      <c r="A414">
        <f>'Production Plan'!B402</f>
        <v/>
      </c>
      <c r="B414">
        <f>VLOOKUP(A414,'Production Plan'!B:S,16,FALSE)</f>
        <v/>
      </c>
      <c r="C414">
        <f>VLOOKUP(A414,'Production Plan'!B:F,5,FALSE)</f>
        <v/>
      </c>
    </row>
    <row r="415" hidden="1">
      <c r="A415">
        <f>'Production Plan'!B403</f>
        <v/>
      </c>
      <c r="B415">
        <f>VLOOKUP(A415,'Production Plan'!B:S,16,FALSE)</f>
        <v/>
      </c>
      <c r="C415">
        <f>VLOOKUP(A415,'Production Plan'!B:F,5,FALSE)</f>
        <v/>
      </c>
    </row>
    <row r="416" hidden="1">
      <c r="A416">
        <f>'Production Plan'!B404</f>
        <v/>
      </c>
      <c r="B416">
        <f>VLOOKUP(A416,'Production Plan'!B:S,16,FALSE)</f>
        <v/>
      </c>
      <c r="C416">
        <f>VLOOKUP(A416,'Production Plan'!B:F,5,FALSE)</f>
        <v/>
      </c>
    </row>
    <row r="417" hidden="1">
      <c r="A417">
        <f>'Production Plan'!B405</f>
        <v/>
      </c>
      <c r="B417">
        <f>VLOOKUP(A417,'Production Plan'!B:S,16,FALSE)</f>
        <v/>
      </c>
      <c r="C417">
        <f>VLOOKUP(A417,'Production Plan'!B:F,5,FALSE)</f>
        <v/>
      </c>
    </row>
    <row r="418" hidden="1">
      <c r="A418">
        <f>'Production Plan'!B406</f>
        <v/>
      </c>
      <c r="B418">
        <f>VLOOKUP(A418,'Production Plan'!B:S,16,FALSE)</f>
        <v/>
      </c>
      <c r="C418">
        <f>VLOOKUP(A418,'Production Plan'!B:F,5,FALSE)</f>
        <v/>
      </c>
    </row>
    <row r="419" hidden="1">
      <c r="A419">
        <f>'Production Plan'!B407</f>
        <v/>
      </c>
      <c r="B419">
        <f>VLOOKUP(A419,'Production Plan'!B:S,16,FALSE)</f>
        <v/>
      </c>
      <c r="C419">
        <f>VLOOKUP(A419,'Production Plan'!B:F,5,FALSE)</f>
        <v/>
      </c>
    </row>
    <row r="420" hidden="1">
      <c r="A420">
        <f>'Production Plan'!B408</f>
        <v/>
      </c>
      <c r="B420">
        <f>VLOOKUP(A420,'Production Plan'!B:S,16,FALSE)</f>
        <v/>
      </c>
      <c r="C420">
        <f>VLOOKUP(A420,'Production Plan'!B:F,5,FALSE)</f>
        <v/>
      </c>
    </row>
    <row r="421" hidden="1">
      <c r="A421">
        <f>'Production Plan'!B409</f>
        <v/>
      </c>
      <c r="B421">
        <f>VLOOKUP(A421,'Production Plan'!B:S,16,FALSE)</f>
        <v/>
      </c>
      <c r="C421">
        <f>VLOOKUP(A421,'Production Plan'!B:F,5,FALSE)</f>
        <v/>
      </c>
    </row>
    <row r="422" hidden="1">
      <c r="A422">
        <f>'Production Plan'!B410</f>
        <v/>
      </c>
      <c r="B422">
        <f>VLOOKUP(A422,'Production Plan'!B:S,16,FALSE)</f>
        <v/>
      </c>
      <c r="C422">
        <f>VLOOKUP(A422,'Production Plan'!B:F,5,FALSE)</f>
        <v/>
      </c>
    </row>
    <row r="423" hidden="1">
      <c r="A423">
        <f>'Production Plan'!B411</f>
        <v/>
      </c>
      <c r="B423">
        <f>VLOOKUP(A423,'Production Plan'!B:S,16,FALSE)</f>
        <v/>
      </c>
      <c r="C423">
        <f>VLOOKUP(A423,'Production Plan'!B:F,5,FALSE)</f>
        <v/>
      </c>
    </row>
    <row r="424" hidden="1">
      <c r="A424">
        <f>'Production Plan'!B412</f>
        <v/>
      </c>
      <c r="B424">
        <f>VLOOKUP(A424,'Production Plan'!B:S,16,FALSE)</f>
        <v/>
      </c>
      <c r="C424">
        <f>VLOOKUP(A424,'Production Plan'!B:F,5,FALSE)</f>
        <v/>
      </c>
    </row>
    <row r="425" hidden="1">
      <c r="A425">
        <f>'Production Plan'!B413</f>
        <v/>
      </c>
      <c r="B425">
        <f>VLOOKUP(A425,'Production Plan'!B:S,16,FALSE)</f>
        <v/>
      </c>
      <c r="C425">
        <f>VLOOKUP(A425,'Production Plan'!B:F,5,FALSE)</f>
        <v/>
      </c>
    </row>
    <row r="426" hidden="1">
      <c r="A426">
        <f>'Production Plan'!B414</f>
        <v/>
      </c>
      <c r="B426">
        <f>VLOOKUP(A426,'Production Plan'!B:S,16,FALSE)</f>
        <v/>
      </c>
      <c r="C426">
        <f>VLOOKUP(A426,'Production Plan'!B:F,5,FALSE)</f>
        <v/>
      </c>
    </row>
    <row r="427" hidden="1">
      <c r="A427">
        <f>'Production Plan'!B415</f>
        <v/>
      </c>
      <c r="B427">
        <f>VLOOKUP(A427,'Production Plan'!B:S,16,FALSE)</f>
        <v/>
      </c>
      <c r="C427">
        <f>VLOOKUP(A427,'Production Plan'!B:F,5,FALSE)</f>
        <v/>
      </c>
    </row>
    <row r="428" hidden="1">
      <c r="A428">
        <f>'Production Plan'!B416</f>
        <v/>
      </c>
      <c r="B428">
        <f>VLOOKUP(A428,'Production Plan'!B:S,16,FALSE)</f>
        <v/>
      </c>
      <c r="C428">
        <f>VLOOKUP(A428,'Production Plan'!B:F,5,FALSE)</f>
        <v/>
      </c>
    </row>
    <row r="429" hidden="1">
      <c r="A429">
        <f>'Production Plan'!B417</f>
        <v/>
      </c>
      <c r="B429">
        <f>VLOOKUP(A429,'Production Plan'!B:S,16,FALSE)</f>
        <v/>
      </c>
      <c r="C429">
        <f>VLOOKUP(A429,'Production Plan'!B:F,5,FALSE)</f>
        <v/>
      </c>
    </row>
    <row r="430" hidden="1">
      <c r="A430">
        <f>'Production Plan'!B418</f>
        <v/>
      </c>
      <c r="B430">
        <f>VLOOKUP(A430,'Production Plan'!B:S,16,FALSE)</f>
        <v/>
      </c>
      <c r="C430">
        <f>VLOOKUP(A430,'Production Plan'!B:F,5,FALSE)</f>
        <v/>
      </c>
    </row>
    <row r="431" hidden="1">
      <c r="A431">
        <f>'Production Plan'!B419</f>
        <v/>
      </c>
      <c r="B431">
        <f>VLOOKUP(A431,'Production Plan'!B:S,16,FALSE)</f>
        <v/>
      </c>
      <c r="C431">
        <f>VLOOKUP(A431,'Production Plan'!B:F,5,FALSE)</f>
        <v/>
      </c>
    </row>
    <row r="432" hidden="1">
      <c r="A432">
        <f>'Production Plan'!B420</f>
        <v/>
      </c>
      <c r="B432">
        <f>VLOOKUP(A432,'Production Plan'!B:S,16,FALSE)</f>
        <v/>
      </c>
      <c r="C432">
        <f>VLOOKUP(A432,'Production Plan'!B:F,5,FALSE)</f>
        <v/>
      </c>
    </row>
    <row r="433" hidden="1">
      <c r="A433">
        <f>'Production Plan'!B421</f>
        <v/>
      </c>
      <c r="B433">
        <f>VLOOKUP(A433,'Production Plan'!B:S,16,FALSE)</f>
        <v/>
      </c>
      <c r="C433">
        <f>VLOOKUP(A433,'Production Plan'!B:F,5,FALSE)</f>
        <v/>
      </c>
    </row>
    <row r="434" hidden="1">
      <c r="A434">
        <f>'Production Plan'!B422</f>
        <v/>
      </c>
      <c r="B434">
        <f>VLOOKUP(A434,'Production Plan'!B:S,16,FALSE)</f>
        <v/>
      </c>
      <c r="C434">
        <f>VLOOKUP(A434,'Production Plan'!B:F,5,FALSE)</f>
        <v/>
      </c>
    </row>
    <row r="435" hidden="1">
      <c r="A435">
        <f>'Production Plan'!B423</f>
        <v/>
      </c>
      <c r="B435">
        <f>VLOOKUP(A435,'Production Plan'!B:S,16,FALSE)</f>
        <v/>
      </c>
      <c r="C435">
        <f>VLOOKUP(A435,'Production Plan'!B:F,5,FALSE)</f>
        <v/>
      </c>
    </row>
    <row r="436" hidden="1">
      <c r="A436">
        <f>'Production Plan'!B424</f>
        <v/>
      </c>
      <c r="B436">
        <f>VLOOKUP(A436,'Production Plan'!B:S,16,FALSE)</f>
        <v/>
      </c>
      <c r="C436">
        <f>VLOOKUP(A436,'Production Plan'!B:F,5,FALSE)</f>
        <v/>
      </c>
    </row>
    <row r="437" hidden="1">
      <c r="A437">
        <f>'Production Plan'!B425</f>
        <v/>
      </c>
      <c r="B437">
        <f>VLOOKUP(A437,'Production Plan'!B:S,16,FALSE)</f>
        <v/>
      </c>
      <c r="C437">
        <f>VLOOKUP(A437,'Production Plan'!B:F,5,FALSE)</f>
        <v/>
      </c>
    </row>
    <row r="438" hidden="1">
      <c r="A438">
        <f>'Production Plan'!B426</f>
        <v/>
      </c>
      <c r="B438">
        <f>VLOOKUP(A438,'Production Plan'!B:S,16,FALSE)</f>
        <v/>
      </c>
      <c r="C438">
        <f>VLOOKUP(A438,'Production Plan'!B:F,5,FALSE)</f>
        <v/>
      </c>
    </row>
    <row r="439" hidden="1">
      <c r="A439">
        <f>'Production Plan'!B427</f>
        <v/>
      </c>
      <c r="B439">
        <f>VLOOKUP(A439,'Production Plan'!B:S,16,FALSE)</f>
        <v/>
      </c>
      <c r="C439">
        <f>VLOOKUP(A439,'Production Plan'!B:F,5,FALSE)</f>
        <v/>
      </c>
    </row>
    <row r="440" hidden="1">
      <c r="A440">
        <f>'Production Plan'!B428</f>
        <v/>
      </c>
      <c r="B440">
        <f>VLOOKUP(A440,'Production Plan'!B:S,16,FALSE)</f>
        <v/>
      </c>
      <c r="C440">
        <f>VLOOKUP(A440,'Production Plan'!B:F,5,FALSE)</f>
        <v/>
      </c>
    </row>
    <row r="441" hidden="1">
      <c r="A441">
        <f>'Production Plan'!B429</f>
        <v/>
      </c>
      <c r="B441">
        <f>VLOOKUP(A441,'Production Plan'!B:S,16,FALSE)</f>
        <v/>
      </c>
      <c r="C441">
        <f>VLOOKUP(A441,'Production Plan'!B:F,5,FALSE)</f>
        <v/>
      </c>
    </row>
    <row r="442" hidden="1">
      <c r="A442">
        <f>'Production Plan'!B430</f>
        <v/>
      </c>
      <c r="B442">
        <f>VLOOKUP(A442,'Production Plan'!B:S,16,FALSE)</f>
        <v/>
      </c>
      <c r="C442">
        <f>VLOOKUP(A442,'Production Plan'!B:F,5,FALSE)</f>
        <v/>
      </c>
    </row>
    <row r="443" hidden="1">
      <c r="A443">
        <f>'Production Plan'!B431</f>
        <v/>
      </c>
      <c r="B443">
        <f>VLOOKUP(A443,'Production Plan'!B:S,16,FALSE)</f>
        <v/>
      </c>
      <c r="C443">
        <f>VLOOKUP(A443,'Production Plan'!B:F,5,FALSE)</f>
        <v/>
      </c>
    </row>
    <row r="444" hidden="1">
      <c r="A444">
        <f>'Production Plan'!B432</f>
        <v/>
      </c>
      <c r="B444">
        <f>VLOOKUP(A444,'Production Plan'!B:S,16,FALSE)</f>
        <v/>
      </c>
      <c r="C444">
        <f>VLOOKUP(A444,'Production Plan'!B:F,5,FALSE)</f>
        <v/>
      </c>
    </row>
    <row r="445" hidden="1">
      <c r="A445">
        <f>'Production Plan'!B433</f>
        <v/>
      </c>
      <c r="B445">
        <f>VLOOKUP(A445,'Production Plan'!B:S,16,FALSE)</f>
        <v/>
      </c>
      <c r="C445">
        <f>VLOOKUP(A445,'Production Plan'!B:F,5,FALSE)</f>
        <v/>
      </c>
    </row>
    <row r="446" hidden="1">
      <c r="A446">
        <f>'Production Plan'!B434</f>
        <v/>
      </c>
      <c r="B446">
        <f>VLOOKUP(A446,'Production Plan'!B:S,16,FALSE)</f>
        <v/>
      </c>
      <c r="C446">
        <f>VLOOKUP(A446,'Production Plan'!B:F,5,FALSE)</f>
        <v/>
      </c>
    </row>
    <row r="447" hidden="1">
      <c r="A447">
        <f>'Production Plan'!B435</f>
        <v/>
      </c>
      <c r="B447">
        <f>VLOOKUP(A447,'Production Plan'!B:S,16,FALSE)</f>
        <v/>
      </c>
      <c r="C447">
        <f>VLOOKUP(A447,'Production Plan'!B:F,5,FALSE)</f>
        <v/>
      </c>
    </row>
    <row r="448" hidden="1">
      <c r="A448">
        <f>'Production Plan'!B436</f>
        <v/>
      </c>
      <c r="B448">
        <f>VLOOKUP(A448,'Production Plan'!B:S,16,FALSE)</f>
        <v/>
      </c>
      <c r="C448">
        <f>VLOOKUP(A448,'Production Plan'!B:F,5,FALSE)</f>
        <v/>
      </c>
    </row>
    <row r="449" hidden="1">
      <c r="A449">
        <f>'Production Plan'!B437</f>
        <v/>
      </c>
      <c r="B449">
        <f>VLOOKUP(A449,'Production Plan'!B:S,16,FALSE)</f>
        <v/>
      </c>
      <c r="C449">
        <f>VLOOKUP(A449,'Production Plan'!B:F,5,FALSE)</f>
        <v/>
      </c>
    </row>
    <row r="450" hidden="1">
      <c r="A450">
        <f>'Production Plan'!B438</f>
        <v/>
      </c>
      <c r="B450">
        <f>VLOOKUP(A450,'Production Plan'!B:S,16,FALSE)</f>
        <v/>
      </c>
      <c r="C450">
        <f>VLOOKUP(A450,'Production Plan'!B:F,5,FALSE)</f>
        <v/>
      </c>
    </row>
    <row r="451" hidden="1">
      <c r="A451">
        <f>'Production Plan'!B439</f>
        <v/>
      </c>
      <c r="B451">
        <f>VLOOKUP(A451,'Production Plan'!B:S,16,FALSE)</f>
        <v/>
      </c>
      <c r="C451">
        <f>VLOOKUP(A451,'Production Plan'!B:F,5,FALSE)</f>
        <v/>
      </c>
    </row>
    <row r="452" hidden="1">
      <c r="A452">
        <f>'Production Plan'!B440</f>
        <v/>
      </c>
      <c r="B452">
        <f>VLOOKUP(A452,'Production Plan'!B:S,16,FALSE)</f>
        <v/>
      </c>
      <c r="C452">
        <f>VLOOKUP(A452,'Production Plan'!B:F,5,FALSE)</f>
        <v/>
      </c>
    </row>
    <row r="453" hidden="1">
      <c r="A453">
        <f>'Production Plan'!B441</f>
        <v/>
      </c>
      <c r="B453">
        <f>VLOOKUP(A453,'Production Plan'!B:S,16,FALSE)</f>
        <v/>
      </c>
      <c r="C453">
        <f>VLOOKUP(A453,'Production Plan'!B:F,5,FALSE)</f>
        <v/>
      </c>
    </row>
    <row r="454" hidden="1">
      <c r="A454">
        <f>'Production Plan'!B442</f>
        <v/>
      </c>
      <c r="B454">
        <f>VLOOKUP(A454,'Production Plan'!B:S,16,FALSE)</f>
        <v/>
      </c>
      <c r="C454">
        <f>VLOOKUP(A454,'Production Plan'!B:F,5,FALSE)</f>
        <v/>
      </c>
    </row>
    <row r="455" hidden="1">
      <c r="A455">
        <f>'Production Plan'!B443</f>
        <v/>
      </c>
      <c r="B455">
        <f>VLOOKUP(A455,'Production Plan'!B:S,16,FALSE)</f>
        <v/>
      </c>
      <c r="C455">
        <f>VLOOKUP(A455,'Production Plan'!B:F,5,FALSE)</f>
        <v/>
      </c>
    </row>
    <row r="456" hidden="1">
      <c r="A456">
        <f>'Production Plan'!B444</f>
        <v/>
      </c>
      <c r="B456">
        <f>VLOOKUP(A456,'Production Plan'!B:S,16,FALSE)</f>
        <v/>
      </c>
      <c r="C456">
        <f>VLOOKUP(A456,'Production Plan'!B:F,5,FALSE)</f>
        <v/>
      </c>
    </row>
    <row r="457" hidden="1">
      <c r="A457">
        <f>'Production Plan'!B445</f>
        <v/>
      </c>
      <c r="B457">
        <f>VLOOKUP(A457,'Production Plan'!B:S,16,FALSE)</f>
        <v/>
      </c>
      <c r="C457">
        <f>VLOOKUP(A457,'Production Plan'!B:F,5,FALSE)</f>
        <v/>
      </c>
    </row>
    <row r="458" hidden="1">
      <c r="A458">
        <f>'Production Plan'!B446</f>
        <v/>
      </c>
      <c r="B458">
        <f>VLOOKUP(A458,'Production Plan'!B:S,16,FALSE)</f>
        <v/>
      </c>
      <c r="C458">
        <f>VLOOKUP(A458,'Production Plan'!B:F,5,FALSE)</f>
        <v/>
      </c>
    </row>
    <row r="459" hidden="1">
      <c r="A459">
        <f>'Production Plan'!B447</f>
        <v/>
      </c>
      <c r="B459">
        <f>VLOOKUP(A459,'Production Plan'!B:S,16,FALSE)</f>
        <v/>
      </c>
      <c r="C459">
        <f>VLOOKUP(A459,'Production Plan'!B:F,5,FALSE)</f>
        <v/>
      </c>
    </row>
    <row r="460" hidden="1">
      <c r="A460">
        <f>'Production Plan'!B448</f>
        <v/>
      </c>
      <c r="B460">
        <f>VLOOKUP(A460,'Production Plan'!B:S,16,FALSE)</f>
        <v/>
      </c>
      <c r="C460">
        <f>VLOOKUP(A460,'Production Plan'!B:F,5,FALSE)</f>
        <v/>
      </c>
    </row>
    <row r="461" hidden="1">
      <c r="A461">
        <f>'Production Plan'!B449</f>
        <v/>
      </c>
      <c r="B461">
        <f>VLOOKUP(A461,'Production Plan'!B:S,16,FALSE)</f>
        <v/>
      </c>
      <c r="C461">
        <f>VLOOKUP(A461,'Production Plan'!B:F,5,FALSE)</f>
        <v/>
      </c>
    </row>
    <row r="462" hidden="1">
      <c r="A462">
        <f>'Production Plan'!B450</f>
        <v/>
      </c>
      <c r="B462">
        <f>VLOOKUP(A462,'Production Plan'!B:S,16,FALSE)</f>
        <v/>
      </c>
      <c r="C462">
        <f>VLOOKUP(A462,'Production Plan'!B:F,5,FALSE)</f>
        <v/>
      </c>
    </row>
    <row r="463" hidden="1">
      <c r="A463">
        <f>'Production Plan'!B451</f>
        <v/>
      </c>
      <c r="B463">
        <f>VLOOKUP(A463,'Production Plan'!B:S,16,FALSE)</f>
        <v/>
      </c>
      <c r="C463">
        <f>VLOOKUP(A463,'Production Plan'!B:F,5,FALSE)</f>
        <v/>
      </c>
    </row>
    <row r="464" hidden="1">
      <c r="A464">
        <f>'Production Plan'!B452</f>
        <v/>
      </c>
      <c r="B464">
        <f>VLOOKUP(A464,'Production Plan'!B:S,16,FALSE)</f>
        <v/>
      </c>
      <c r="C464">
        <f>VLOOKUP(A464,'Production Plan'!B:F,5,FALSE)</f>
        <v/>
      </c>
    </row>
    <row r="465" hidden="1">
      <c r="A465">
        <f>'Production Plan'!B453</f>
        <v/>
      </c>
      <c r="B465">
        <f>VLOOKUP(A465,'Production Plan'!B:S,16,FALSE)</f>
        <v/>
      </c>
      <c r="C465">
        <f>VLOOKUP(A465,'Production Plan'!B:F,5,FALSE)</f>
        <v/>
      </c>
    </row>
    <row r="466" hidden="1">
      <c r="A466">
        <f>'Production Plan'!B454</f>
        <v/>
      </c>
      <c r="B466">
        <f>VLOOKUP(A466,'Production Plan'!B:S,16,FALSE)</f>
        <v/>
      </c>
      <c r="C466">
        <f>VLOOKUP(A466,'Production Plan'!B:F,5,FALSE)</f>
        <v/>
      </c>
    </row>
    <row r="467" hidden="1">
      <c r="A467">
        <f>'Production Plan'!B455</f>
        <v/>
      </c>
      <c r="B467">
        <f>VLOOKUP(A467,'Production Plan'!B:S,16,FALSE)</f>
        <v/>
      </c>
      <c r="C467">
        <f>VLOOKUP(A467,'Production Plan'!B:F,5,FALSE)</f>
        <v/>
      </c>
    </row>
    <row r="468" hidden="1">
      <c r="A468">
        <f>'Production Plan'!B456</f>
        <v/>
      </c>
      <c r="B468">
        <f>VLOOKUP(A468,'Production Plan'!B:S,16,FALSE)</f>
        <v/>
      </c>
      <c r="C468">
        <f>VLOOKUP(A468,'Production Plan'!B:F,5,FALSE)</f>
        <v/>
      </c>
    </row>
    <row r="469" hidden="1">
      <c r="A469">
        <f>'Production Plan'!B457</f>
        <v/>
      </c>
      <c r="B469">
        <f>VLOOKUP(A469,'Production Plan'!B:S,16,FALSE)</f>
        <v/>
      </c>
      <c r="C469">
        <f>VLOOKUP(A469,'Production Plan'!B:F,5,FALSE)</f>
        <v/>
      </c>
    </row>
    <row r="470" hidden="1">
      <c r="A470">
        <f>'Production Plan'!B458</f>
        <v/>
      </c>
      <c r="B470">
        <f>VLOOKUP(A470,'Production Plan'!B:S,16,FALSE)</f>
        <v/>
      </c>
      <c r="C470">
        <f>VLOOKUP(A470,'Production Plan'!B:F,5,FALSE)</f>
        <v/>
      </c>
    </row>
    <row r="471" hidden="1">
      <c r="A471">
        <f>'Production Plan'!B459</f>
        <v/>
      </c>
      <c r="B471">
        <f>VLOOKUP(A471,'Production Plan'!B:S,16,FALSE)</f>
        <v/>
      </c>
      <c r="C471">
        <f>VLOOKUP(A471,'Production Plan'!B:F,5,FALSE)</f>
        <v/>
      </c>
    </row>
    <row r="472" hidden="1">
      <c r="A472">
        <f>'Production Plan'!B460</f>
        <v/>
      </c>
      <c r="B472">
        <f>VLOOKUP(A472,'Production Plan'!B:S,16,FALSE)</f>
        <v/>
      </c>
      <c r="C472">
        <f>VLOOKUP(A472,'Production Plan'!B:F,5,FALSE)</f>
        <v/>
      </c>
    </row>
    <row r="473" hidden="1">
      <c r="A473">
        <f>'Production Plan'!B461</f>
        <v/>
      </c>
      <c r="B473">
        <f>VLOOKUP(A473,'Production Plan'!B:S,16,FALSE)</f>
        <v/>
      </c>
      <c r="C473">
        <f>VLOOKUP(A473,'Production Plan'!B:F,5,FALSE)</f>
        <v/>
      </c>
    </row>
    <row r="474" hidden="1">
      <c r="A474">
        <f>'Production Plan'!B462</f>
        <v/>
      </c>
      <c r="B474">
        <f>VLOOKUP(A474,'Production Plan'!B:S,16,FALSE)</f>
        <v/>
      </c>
      <c r="C474">
        <f>VLOOKUP(A474,'Production Plan'!B:F,5,FALSE)</f>
        <v/>
      </c>
    </row>
    <row r="475" hidden="1">
      <c r="A475">
        <f>'Production Plan'!B463</f>
        <v/>
      </c>
      <c r="B475">
        <f>VLOOKUP(A475,'Production Plan'!B:S,16,FALSE)</f>
        <v/>
      </c>
      <c r="C475">
        <f>VLOOKUP(A475,'Production Plan'!B:F,5,FALSE)</f>
        <v/>
      </c>
    </row>
    <row r="476" hidden="1">
      <c r="A476">
        <f>'Production Plan'!B464</f>
        <v/>
      </c>
      <c r="B476">
        <f>VLOOKUP(A476,'Production Plan'!B:S,16,FALSE)</f>
        <v/>
      </c>
      <c r="C476">
        <f>VLOOKUP(A476,'Production Plan'!B:F,5,FALSE)</f>
        <v/>
      </c>
    </row>
    <row r="477" hidden="1">
      <c r="A477">
        <f>'Production Plan'!B465</f>
        <v/>
      </c>
      <c r="B477">
        <f>VLOOKUP(A477,'Production Plan'!B:S,16,FALSE)</f>
        <v/>
      </c>
      <c r="C477">
        <f>VLOOKUP(A477,'Production Plan'!B:F,5,FALSE)</f>
        <v/>
      </c>
    </row>
    <row r="478" hidden="1">
      <c r="A478">
        <f>'Production Plan'!B466</f>
        <v/>
      </c>
      <c r="B478">
        <f>VLOOKUP(A478,'Production Plan'!B:S,16,FALSE)</f>
        <v/>
      </c>
      <c r="C478">
        <f>VLOOKUP(A478,'Production Plan'!B:F,5,FALSE)</f>
        <v/>
      </c>
    </row>
    <row r="479" hidden="1">
      <c r="A479">
        <f>'Production Plan'!B467</f>
        <v/>
      </c>
      <c r="B479">
        <f>VLOOKUP(A479,'Production Plan'!B:S,16,FALSE)</f>
        <v/>
      </c>
      <c r="C479">
        <f>VLOOKUP(A479,'Production Plan'!B:F,5,FALSE)</f>
        <v/>
      </c>
    </row>
    <row r="480" hidden="1">
      <c r="A480">
        <f>'Production Plan'!B468</f>
        <v/>
      </c>
      <c r="B480">
        <f>VLOOKUP(A480,'Production Plan'!B:S,16,FALSE)</f>
        <v/>
      </c>
      <c r="C480">
        <f>VLOOKUP(A480,'Production Plan'!B:F,5,FALSE)</f>
        <v/>
      </c>
    </row>
    <row r="481" hidden="1">
      <c r="A481">
        <f>'Production Plan'!B469</f>
        <v/>
      </c>
      <c r="B481">
        <f>VLOOKUP(A481,'Production Plan'!B:S,16,FALSE)</f>
        <v/>
      </c>
      <c r="C481">
        <f>VLOOKUP(A481,'Production Plan'!B:F,5,FALSE)</f>
        <v/>
      </c>
    </row>
    <row r="482" hidden="1">
      <c r="A482">
        <f>'Production Plan'!B470</f>
        <v/>
      </c>
      <c r="B482">
        <f>VLOOKUP(A482,'Production Plan'!B:S,16,FALSE)</f>
        <v/>
      </c>
      <c r="C482">
        <f>VLOOKUP(A482,'Production Plan'!B:F,5,FALSE)</f>
        <v/>
      </c>
    </row>
    <row r="483" hidden="1">
      <c r="A483">
        <f>'Production Plan'!B471</f>
        <v/>
      </c>
      <c r="B483">
        <f>VLOOKUP(A483,'Production Plan'!B:S,16,FALSE)</f>
        <v/>
      </c>
      <c r="C483">
        <f>VLOOKUP(A483,'Production Plan'!B:F,5,FALSE)</f>
        <v/>
      </c>
    </row>
    <row r="484" hidden="1">
      <c r="A484">
        <f>'Production Plan'!B472</f>
        <v/>
      </c>
      <c r="B484">
        <f>VLOOKUP(A484,'Production Plan'!B:S,16,FALSE)</f>
        <v/>
      </c>
      <c r="C484">
        <f>VLOOKUP(A484,'Production Plan'!B:F,5,FALSE)</f>
        <v/>
      </c>
    </row>
    <row r="485" hidden="1">
      <c r="A485">
        <f>'Production Plan'!B473</f>
        <v/>
      </c>
      <c r="B485">
        <f>VLOOKUP(A485,'Production Plan'!B:S,16,FALSE)</f>
        <v/>
      </c>
      <c r="C485">
        <f>VLOOKUP(A485,'Production Plan'!B:F,5,FALSE)</f>
        <v/>
      </c>
    </row>
    <row r="486" hidden="1">
      <c r="A486">
        <f>'Production Plan'!B474</f>
        <v/>
      </c>
      <c r="B486">
        <f>VLOOKUP(A486,'Production Plan'!B:S,16,FALSE)</f>
        <v/>
      </c>
      <c r="C486">
        <f>VLOOKUP(A486,'Production Plan'!B:F,5,FALSE)</f>
        <v/>
      </c>
    </row>
    <row r="487" hidden="1">
      <c r="A487">
        <f>'Production Plan'!B475</f>
        <v/>
      </c>
      <c r="B487">
        <f>VLOOKUP(A487,'Production Plan'!B:S,16,FALSE)</f>
        <v/>
      </c>
      <c r="C487">
        <f>VLOOKUP(A487,'Production Plan'!B:F,5,FALSE)</f>
        <v/>
      </c>
    </row>
    <row r="488" hidden="1">
      <c r="A488">
        <f>'Production Plan'!B476</f>
        <v/>
      </c>
      <c r="B488">
        <f>VLOOKUP(A488,'Production Plan'!B:S,16,FALSE)</f>
        <v/>
      </c>
      <c r="C488">
        <f>VLOOKUP(A488,'Production Plan'!B:F,5,FALSE)</f>
        <v/>
      </c>
    </row>
    <row r="489" hidden="1">
      <c r="A489">
        <f>'Production Plan'!B477</f>
        <v/>
      </c>
      <c r="B489">
        <f>VLOOKUP(A489,'Production Plan'!B:S,16,FALSE)</f>
        <v/>
      </c>
      <c r="C489">
        <f>VLOOKUP(A489,'Production Plan'!B:F,5,FALSE)</f>
        <v/>
      </c>
    </row>
    <row r="490" hidden="1">
      <c r="A490">
        <f>'Production Plan'!B478</f>
        <v/>
      </c>
      <c r="B490">
        <f>VLOOKUP(A490,'Production Plan'!B:S,16,FALSE)</f>
        <v/>
      </c>
      <c r="C490">
        <f>VLOOKUP(A490,'Production Plan'!B:F,5,FALSE)</f>
        <v/>
      </c>
    </row>
    <row r="491" hidden="1">
      <c r="A491">
        <f>'Production Plan'!B479</f>
        <v/>
      </c>
      <c r="B491">
        <f>VLOOKUP(A491,'Production Plan'!B:S,16,FALSE)</f>
        <v/>
      </c>
      <c r="C491">
        <f>VLOOKUP(A491,'Production Plan'!B:F,5,FALSE)</f>
        <v/>
      </c>
    </row>
    <row r="492" hidden="1">
      <c r="A492">
        <f>'Production Plan'!B480</f>
        <v/>
      </c>
      <c r="B492">
        <f>VLOOKUP(A492,'Production Plan'!B:S,16,FALSE)</f>
        <v/>
      </c>
      <c r="C492">
        <f>VLOOKUP(A492,'Production Plan'!B:F,5,FALSE)</f>
        <v/>
      </c>
    </row>
    <row r="493" hidden="1">
      <c r="A493">
        <f>'Production Plan'!B481</f>
        <v/>
      </c>
      <c r="B493">
        <f>VLOOKUP(A493,'Production Plan'!B:S,16,FALSE)</f>
        <v/>
      </c>
      <c r="C493">
        <f>VLOOKUP(A493,'Production Plan'!B:F,5,FALSE)</f>
        <v/>
      </c>
    </row>
    <row r="494" hidden="1">
      <c r="A494">
        <f>'Production Plan'!B482</f>
        <v/>
      </c>
      <c r="B494">
        <f>VLOOKUP(A494,'Production Plan'!B:S,16,FALSE)</f>
        <v/>
      </c>
      <c r="C494">
        <f>VLOOKUP(A494,'Production Plan'!B:F,5,FALSE)</f>
        <v/>
      </c>
    </row>
    <row r="495" hidden="1">
      <c r="A495">
        <f>'Production Plan'!B483</f>
        <v/>
      </c>
      <c r="B495">
        <f>VLOOKUP(A495,'Production Plan'!B:S,16,FALSE)</f>
        <v/>
      </c>
      <c r="C495">
        <f>VLOOKUP(A495,'Production Plan'!B:F,5,FALSE)</f>
        <v/>
      </c>
    </row>
    <row r="496" hidden="1">
      <c r="A496">
        <f>'Production Plan'!B484</f>
        <v/>
      </c>
      <c r="B496">
        <f>VLOOKUP(A496,'Production Plan'!B:S,16,FALSE)</f>
        <v/>
      </c>
      <c r="C496">
        <f>VLOOKUP(A496,'Production Plan'!B:F,5,FALSE)</f>
        <v/>
      </c>
    </row>
    <row r="497" hidden="1">
      <c r="A497">
        <f>'Production Plan'!B485</f>
        <v/>
      </c>
      <c r="B497">
        <f>VLOOKUP(A497,'Production Plan'!B:S,16,FALSE)</f>
        <v/>
      </c>
      <c r="C497">
        <f>VLOOKUP(A497,'Production Plan'!B:F,5,FALSE)</f>
        <v/>
      </c>
    </row>
    <row r="498" hidden="1">
      <c r="A498">
        <f>'Production Plan'!B486</f>
        <v/>
      </c>
      <c r="B498">
        <f>VLOOKUP(A498,'Production Plan'!B:S,16,FALSE)</f>
        <v/>
      </c>
      <c r="C498">
        <f>VLOOKUP(A498,'Production Plan'!B:F,5,FALSE)</f>
        <v/>
      </c>
    </row>
    <row r="499" hidden="1">
      <c r="A499">
        <f>'Production Plan'!B487</f>
        <v/>
      </c>
      <c r="B499">
        <f>VLOOKUP(A499,'Production Plan'!B:S,16,FALSE)</f>
        <v/>
      </c>
      <c r="C499">
        <f>VLOOKUP(A499,'Production Plan'!B:F,5,FALSE)</f>
        <v/>
      </c>
    </row>
    <row r="500" hidden="1">
      <c r="A500">
        <f>'Production Plan'!B488</f>
        <v/>
      </c>
      <c r="B500">
        <f>VLOOKUP(A500,'Production Plan'!B:S,16,FALSE)</f>
        <v/>
      </c>
      <c r="C500">
        <f>VLOOKUP(A500,'Production Plan'!B:F,5,FALSE)</f>
        <v/>
      </c>
    </row>
    <row r="501" hidden="1">
      <c r="A501">
        <f>'Production Plan'!B489</f>
        <v/>
      </c>
      <c r="B501">
        <f>VLOOKUP(A501,'Production Plan'!B:S,16,FALSE)</f>
        <v/>
      </c>
      <c r="C501">
        <f>VLOOKUP(A501,'Production Plan'!B:F,5,FALSE)</f>
        <v/>
      </c>
    </row>
    <row r="502" hidden="1">
      <c r="A502">
        <f>'Production Plan'!B490</f>
        <v/>
      </c>
      <c r="B502">
        <f>VLOOKUP(A502,'Production Plan'!B:S,16,FALSE)</f>
        <v/>
      </c>
      <c r="C502">
        <f>VLOOKUP(A502,'Production Plan'!B:F,5,FALSE)</f>
        <v/>
      </c>
    </row>
    <row r="503" hidden="1">
      <c r="A503">
        <f>'Production Plan'!B491</f>
        <v/>
      </c>
      <c r="B503">
        <f>VLOOKUP(A503,'Production Plan'!B:S,16,FALSE)</f>
        <v/>
      </c>
      <c r="C503">
        <f>VLOOKUP(A503,'Production Plan'!B:F,5,FALSE)</f>
        <v/>
      </c>
    </row>
    <row r="504" hidden="1">
      <c r="A504">
        <f>'Production Plan'!B492</f>
        <v/>
      </c>
      <c r="B504">
        <f>VLOOKUP(A504,'Production Plan'!B:S,16,FALSE)</f>
        <v/>
      </c>
      <c r="C504">
        <f>VLOOKUP(A504,'Production Plan'!B:F,5,FALSE)</f>
        <v/>
      </c>
    </row>
    <row r="505" hidden="1">
      <c r="A505">
        <f>'Production Plan'!B493</f>
        <v/>
      </c>
      <c r="B505">
        <f>VLOOKUP(A505,'Production Plan'!B:S,16,FALSE)</f>
        <v/>
      </c>
      <c r="C505">
        <f>VLOOKUP(A505,'Production Plan'!B:F,5,FALSE)</f>
        <v/>
      </c>
    </row>
    <row r="506" hidden="1">
      <c r="A506">
        <f>'Production Plan'!B494</f>
        <v/>
      </c>
      <c r="B506">
        <f>VLOOKUP(A506,'Production Plan'!B:S,16,FALSE)</f>
        <v/>
      </c>
      <c r="C506">
        <f>VLOOKUP(A506,'Production Plan'!B:F,5,FALSE)</f>
        <v/>
      </c>
    </row>
    <row r="507" hidden="1">
      <c r="A507">
        <f>'Production Plan'!B495</f>
        <v/>
      </c>
      <c r="B507">
        <f>VLOOKUP(A507,'Production Plan'!B:S,16,FALSE)</f>
        <v/>
      </c>
      <c r="C507">
        <f>VLOOKUP(A507,'Production Plan'!B:F,5,FALSE)</f>
        <v/>
      </c>
    </row>
    <row r="508" hidden="1">
      <c r="A508">
        <f>'Production Plan'!B496</f>
        <v/>
      </c>
      <c r="B508">
        <f>VLOOKUP(A508,'Production Plan'!B:S,16,FALSE)</f>
        <v/>
      </c>
      <c r="C508">
        <f>VLOOKUP(A508,'Production Plan'!B:F,5,FALSE)</f>
        <v/>
      </c>
    </row>
    <row r="509" hidden="1">
      <c r="A509">
        <f>'Production Plan'!B497</f>
        <v/>
      </c>
      <c r="B509">
        <f>VLOOKUP(A509,'Production Plan'!B:S,16,FALSE)</f>
        <v/>
      </c>
      <c r="C509">
        <f>VLOOKUP(A509,'Production Plan'!B:F,5,FALSE)</f>
        <v/>
      </c>
    </row>
    <row r="510" hidden="1">
      <c r="A510">
        <f>'Production Plan'!B498</f>
        <v/>
      </c>
      <c r="B510">
        <f>VLOOKUP(A510,'Production Plan'!B:S,16,FALSE)</f>
        <v/>
      </c>
      <c r="C510">
        <f>VLOOKUP(A510,'Production Plan'!B:F,5,FALSE)</f>
        <v/>
      </c>
    </row>
    <row r="511" hidden="1">
      <c r="A511">
        <f>'Production Plan'!B499</f>
        <v/>
      </c>
      <c r="B511">
        <f>VLOOKUP(A511,'Production Plan'!B:S,16,FALSE)</f>
        <v/>
      </c>
      <c r="C511">
        <f>VLOOKUP(A511,'Production Plan'!B:F,5,FALSE)</f>
        <v/>
      </c>
    </row>
    <row r="512" hidden="1">
      <c r="A512">
        <f>'Production Plan'!B500</f>
        <v/>
      </c>
      <c r="B512">
        <f>VLOOKUP(A512,'Production Plan'!B:S,16,FALSE)</f>
        <v/>
      </c>
      <c r="C512">
        <f>VLOOKUP(A512,'Production Plan'!B:F,5,FALSE)</f>
        <v/>
      </c>
    </row>
    <row r="513" hidden="1">
      <c r="A513">
        <f>'Production Plan'!B501</f>
        <v/>
      </c>
      <c r="B513">
        <f>VLOOKUP(A513,'Production Plan'!B:S,16,FALSE)</f>
        <v/>
      </c>
      <c r="C513">
        <f>VLOOKUP(A513,'Production Plan'!B:F,5,FALSE)</f>
        <v/>
      </c>
    </row>
    <row r="514" hidden="1">
      <c r="A514">
        <f>'Production Plan'!B502</f>
        <v/>
      </c>
      <c r="B514">
        <f>VLOOKUP(A514,'Production Plan'!B:S,16,FALSE)</f>
        <v/>
      </c>
      <c r="C514">
        <f>VLOOKUP(A514,'Production Plan'!B:F,5,FALSE)</f>
        <v/>
      </c>
    </row>
    <row r="515" hidden="1">
      <c r="A515">
        <f>'Production Plan'!B503</f>
        <v/>
      </c>
      <c r="B515">
        <f>VLOOKUP(A515,'Production Plan'!B:S,16,FALSE)</f>
        <v/>
      </c>
      <c r="C515">
        <f>VLOOKUP(A515,'Production Plan'!B:F,5,FALSE)</f>
        <v/>
      </c>
    </row>
    <row r="516" hidden="1">
      <c r="A516">
        <f>'Production Plan'!B504</f>
        <v/>
      </c>
      <c r="B516">
        <f>VLOOKUP(A516,'Production Plan'!B:S,16,FALSE)</f>
        <v/>
      </c>
      <c r="C516">
        <f>VLOOKUP(A516,'Production Plan'!B:F,5,FALSE)</f>
        <v/>
      </c>
    </row>
    <row r="517" hidden="1">
      <c r="A517">
        <f>'Production Plan'!B505</f>
        <v/>
      </c>
      <c r="B517">
        <f>VLOOKUP(A517,'Production Plan'!B:S,16,FALSE)</f>
        <v/>
      </c>
      <c r="C517">
        <f>VLOOKUP(A517,'Production Plan'!B:F,5,FALSE)</f>
        <v/>
      </c>
    </row>
    <row r="518" hidden="1">
      <c r="A518">
        <f>'Production Plan'!B506</f>
        <v/>
      </c>
      <c r="B518">
        <f>VLOOKUP(A518,'Production Plan'!B:S,16,FALSE)</f>
        <v/>
      </c>
      <c r="C518">
        <f>VLOOKUP(A518,'Production Plan'!B:F,5,FALSE)</f>
        <v/>
      </c>
    </row>
    <row r="519" hidden="1">
      <c r="A519">
        <f>'Production Plan'!B507</f>
        <v/>
      </c>
      <c r="B519">
        <f>VLOOKUP(A519,'Production Plan'!B:S,16,FALSE)</f>
        <v/>
      </c>
      <c r="C519">
        <f>VLOOKUP(A519,'Production Plan'!B:F,5,FALSE)</f>
        <v/>
      </c>
    </row>
    <row r="520" hidden="1">
      <c r="A520">
        <f>'Production Plan'!B508</f>
        <v/>
      </c>
      <c r="B520">
        <f>VLOOKUP(A520,'Production Plan'!B:S,16,FALSE)</f>
        <v/>
      </c>
      <c r="C520">
        <f>VLOOKUP(A520,'Production Plan'!B:F,5,FALSE)</f>
        <v/>
      </c>
    </row>
    <row r="521" hidden="1">
      <c r="A521">
        <f>'Production Plan'!B509</f>
        <v/>
      </c>
      <c r="B521">
        <f>VLOOKUP(A521,'Production Plan'!B:S,16,FALSE)</f>
        <v/>
      </c>
      <c r="C521">
        <f>VLOOKUP(A521,'Production Plan'!B:F,5,FALSE)</f>
        <v/>
      </c>
    </row>
    <row r="522" hidden="1">
      <c r="A522">
        <f>'Production Plan'!B510</f>
        <v/>
      </c>
      <c r="B522">
        <f>VLOOKUP(A522,'Production Plan'!B:S,16,FALSE)</f>
        <v/>
      </c>
      <c r="C522">
        <f>VLOOKUP(A522,'Production Plan'!B:F,5,FALSE)</f>
        <v/>
      </c>
    </row>
    <row r="523" hidden="1">
      <c r="A523">
        <f>'Production Plan'!B511</f>
        <v/>
      </c>
      <c r="B523">
        <f>VLOOKUP(A523,'Production Plan'!B:S,16,FALSE)</f>
        <v/>
      </c>
      <c r="C523">
        <f>VLOOKUP(A523,'Production Plan'!B:F,5,FALSE)</f>
        <v/>
      </c>
    </row>
    <row r="524" hidden="1">
      <c r="A524">
        <f>'Production Plan'!B512</f>
        <v/>
      </c>
      <c r="B524">
        <f>VLOOKUP(A524,'Production Plan'!B:S,16,FALSE)</f>
        <v/>
      </c>
      <c r="C524">
        <f>VLOOKUP(A524,'Production Plan'!B:F,5,FALSE)</f>
        <v/>
      </c>
    </row>
    <row r="525" hidden="1">
      <c r="A525">
        <f>'Production Plan'!B513</f>
        <v/>
      </c>
      <c r="B525">
        <f>VLOOKUP(A525,'Production Plan'!B:S,16,FALSE)</f>
        <v/>
      </c>
      <c r="C525">
        <f>VLOOKUP(A525,'Production Plan'!B:F,5,FALSE)</f>
        <v/>
      </c>
    </row>
    <row r="526" hidden="1">
      <c r="A526">
        <f>'Production Plan'!B514</f>
        <v/>
      </c>
      <c r="B526">
        <f>VLOOKUP(A526,'Production Plan'!B:S,16,FALSE)</f>
        <v/>
      </c>
      <c r="C526">
        <f>VLOOKUP(A526,'Production Plan'!B:F,5,FALSE)</f>
        <v/>
      </c>
    </row>
    <row r="527" hidden="1">
      <c r="A527">
        <f>'Production Plan'!B515</f>
        <v/>
      </c>
      <c r="B527">
        <f>VLOOKUP(A527,'Production Plan'!B:S,16,FALSE)</f>
        <v/>
      </c>
      <c r="C527">
        <f>VLOOKUP(A527,'Production Plan'!B:F,5,FALSE)</f>
        <v/>
      </c>
    </row>
    <row r="528" hidden="1">
      <c r="A528">
        <f>'Production Plan'!B516</f>
        <v/>
      </c>
      <c r="B528">
        <f>VLOOKUP(A528,'Production Plan'!B:S,16,FALSE)</f>
        <v/>
      </c>
      <c r="C528">
        <f>VLOOKUP(A528,'Production Plan'!B:F,5,FALSE)</f>
        <v/>
      </c>
    </row>
    <row r="529" hidden="1">
      <c r="A529">
        <f>'Production Plan'!B517</f>
        <v/>
      </c>
      <c r="B529">
        <f>VLOOKUP(A529,'Production Plan'!B:S,16,FALSE)</f>
        <v/>
      </c>
      <c r="C529">
        <f>VLOOKUP(A529,'Production Plan'!B:F,5,FALSE)</f>
        <v/>
      </c>
    </row>
    <row r="530" hidden="1">
      <c r="A530">
        <f>'Production Plan'!B518</f>
        <v/>
      </c>
      <c r="B530">
        <f>VLOOKUP(A530,'Production Plan'!B:S,16,FALSE)</f>
        <v/>
      </c>
      <c r="C530">
        <f>VLOOKUP(A530,'Production Plan'!B:F,5,FALSE)</f>
        <v/>
      </c>
    </row>
    <row r="531" hidden="1">
      <c r="A531">
        <f>'Production Plan'!B519</f>
        <v/>
      </c>
      <c r="B531">
        <f>VLOOKUP(A531,'Production Plan'!B:S,16,FALSE)</f>
        <v/>
      </c>
      <c r="C531">
        <f>VLOOKUP(A531,'Production Plan'!B:F,5,FALSE)</f>
        <v/>
      </c>
    </row>
    <row r="532" hidden="1">
      <c r="A532">
        <f>'Production Plan'!B520</f>
        <v/>
      </c>
      <c r="B532">
        <f>VLOOKUP(A532,'Production Plan'!B:S,16,FALSE)</f>
        <v/>
      </c>
      <c r="C532">
        <f>VLOOKUP(A532,'Production Plan'!B:F,5,FALSE)</f>
        <v/>
      </c>
    </row>
    <row r="533" hidden="1">
      <c r="A533">
        <f>'Production Plan'!B521</f>
        <v/>
      </c>
      <c r="B533">
        <f>VLOOKUP(A533,'Production Plan'!B:S,16,FALSE)</f>
        <v/>
      </c>
      <c r="C533">
        <f>VLOOKUP(A533,'Production Plan'!B:F,5,FALSE)</f>
        <v/>
      </c>
    </row>
    <row r="534" hidden="1">
      <c r="A534">
        <f>'Production Plan'!B522</f>
        <v/>
      </c>
      <c r="B534">
        <f>VLOOKUP(A534,'Production Plan'!B:S,16,FALSE)</f>
        <v/>
      </c>
      <c r="C534">
        <f>VLOOKUP(A534,'Production Plan'!B:F,5,FALSE)</f>
        <v/>
      </c>
    </row>
    <row r="535" hidden="1">
      <c r="A535">
        <f>'Production Plan'!B523</f>
        <v/>
      </c>
      <c r="B535">
        <f>VLOOKUP(A535,'Production Plan'!B:S,16,FALSE)</f>
        <v/>
      </c>
      <c r="C535">
        <f>VLOOKUP(A535,'Production Plan'!B:F,5,FALSE)</f>
        <v/>
      </c>
    </row>
    <row r="536" hidden="1">
      <c r="A536">
        <f>'Production Plan'!B524</f>
        <v/>
      </c>
      <c r="B536">
        <f>VLOOKUP(A536,'Production Plan'!B:S,16,FALSE)</f>
        <v/>
      </c>
      <c r="C536">
        <f>VLOOKUP(A536,'Production Plan'!B:F,5,FALSE)</f>
        <v/>
      </c>
    </row>
    <row r="537" hidden="1">
      <c r="A537">
        <f>'Production Plan'!B525</f>
        <v/>
      </c>
      <c r="B537">
        <f>VLOOKUP(A537,'Production Plan'!B:S,16,FALSE)</f>
        <v/>
      </c>
      <c r="C537">
        <f>VLOOKUP(A537,'Production Plan'!B:F,5,FALSE)</f>
        <v/>
      </c>
    </row>
    <row r="538" hidden="1">
      <c r="A538">
        <f>'Production Plan'!B526</f>
        <v/>
      </c>
      <c r="B538">
        <f>VLOOKUP(A538,'Production Plan'!B:S,16,FALSE)</f>
        <v/>
      </c>
      <c r="C538">
        <f>VLOOKUP(A538,'Production Plan'!B:F,5,FALSE)</f>
        <v/>
      </c>
    </row>
    <row r="539" hidden="1">
      <c r="A539">
        <f>'Production Plan'!B527</f>
        <v/>
      </c>
      <c r="B539">
        <f>VLOOKUP(A539,'Production Plan'!B:S,16,FALSE)</f>
        <v/>
      </c>
      <c r="C539">
        <f>VLOOKUP(A539,'Production Plan'!B:F,5,FALSE)</f>
        <v/>
      </c>
    </row>
    <row r="540" hidden="1">
      <c r="A540">
        <f>'Production Plan'!B528</f>
        <v/>
      </c>
      <c r="B540">
        <f>VLOOKUP(A540,'Production Plan'!B:S,16,FALSE)</f>
        <v/>
      </c>
      <c r="C540">
        <f>VLOOKUP(A540,'Production Plan'!B:F,5,FALSE)</f>
        <v/>
      </c>
    </row>
    <row r="541" hidden="1">
      <c r="A541">
        <f>'Production Plan'!B529</f>
        <v/>
      </c>
      <c r="B541">
        <f>VLOOKUP(A541,'Production Plan'!B:S,16,FALSE)</f>
        <v/>
      </c>
      <c r="C541">
        <f>VLOOKUP(A541,'Production Plan'!B:F,5,FALSE)</f>
        <v/>
      </c>
    </row>
    <row r="542" hidden="1">
      <c r="A542">
        <f>'Production Plan'!B530</f>
        <v/>
      </c>
      <c r="B542">
        <f>VLOOKUP(A542,'Production Plan'!B:S,16,FALSE)</f>
        <v/>
      </c>
      <c r="C542">
        <f>VLOOKUP(A542,'Production Plan'!B:F,5,FALSE)</f>
        <v/>
      </c>
    </row>
    <row r="543" hidden="1">
      <c r="A543">
        <f>'Production Plan'!B531</f>
        <v/>
      </c>
      <c r="B543">
        <f>VLOOKUP(A543,'Production Plan'!B:S,16,FALSE)</f>
        <v/>
      </c>
      <c r="C543">
        <f>VLOOKUP(A543,'Production Plan'!B:F,5,FALSE)</f>
        <v/>
      </c>
    </row>
    <row r="544" hidden="1">
      <c r="A544">
        <f>'Production Plan'!B532</f>
        <v/>
      </c>
      <c r="B544">
        <f>VLOOKUP(A544,'Production Plan'!B:S,16,FALSE)</f>
        <v/>
      </c>
      <c r="C544">
        <f>VLOOKUP(A544,'Production Plan'!B:F,5,FALSE)</f>
        <v/>
      </c>
    </row>
    <row r="545" hidden="1">
      <c r="A545">
        <f>'Production Plan'!B533</f>
        <v/>
      </c>
      <c r="B545">
        <f>VLOOKUP(A545,'Production Plan'!B:S,16,FALSE)</f>
        <v/>
      </c>
      <c r="C545">
        <f>VLOOKUP(A545,'Production Plan'!B:F,5,FALSE)</f>
        <v/>
      </c>
    </row>
    <row r="546" hidden="1">
      <c r="A546">
        <f>'Production Plan'!B534</f>
        <v/>
      </c>
      <c r="B546">
        <f>VLOOKUP(A546,'Production Plan'!B:S,16,FALSE)</f>
        <v/>
      </c>
      <c r="C546">
        <f>VLOOKUP(A546,'Production Plan'!B:F,5,FALSE)</f>
        <v/>
      </c>
    </row>
    <row r="547" hidden="1">
      <c r="A547">
        <f>'Production Plan'!B535</f>
        <v/>
      </c>
      <c r="B547">
        <f>VLOOKUP(A547,'Production Plan'!B:S,16,FALSE)</f>
        <v/>
      </c>
      <c r="C547">
        <f>VLOOKUP(A547,'Production Plan'!B:F,5,FALSE)</f>
        <v/>
      </c>
    </row>
    <row r="548" hidden="1">
      <c r="A548">
        <f>'Production Plan'!B536</f>
        <v/>
      </c>
      <c r="B548">
        <f>VLOOKUP(A548,'Production Plan'!B:S,16,FALSE)</f>
        <v/>
      </c>
      <c r="C548">
        <f>VLOOKUP(A548,'Production Plan'!B:F,5,FALSE)</f>
        <v/>
      </c>
    </row>
    <row r="549" hidden="1">
      <c r="A549">
        <f>'Production Plan'!B537</f>
        <v/>
      </c>
      <c r="B549">
        <f>VLOOKUP(A549,'Production Plan'!B:S,16,FALSE)</f>
        <v/>
      </c>
      <c r="C549">
        <f>VLOOKUP(A549,'Production Plan'!B:F,5,FALSE)</f>
        <v/>
      </c>
    </row>
    <row r="550" hidden="1">
      <c r="A550">
        <f>'Production Plan'!B538</f>
        <v/>
      </c>
      <c r="B550">
        <f>VLOOKUP(A550,'Production Plan'!B:S,16,FALSE)</f>
        <v/>
      </c>
      <c r="C550">
        <f>VLOOKUP(A550,'Production Plan'!B:F,5,FALSE)</f>
        <v/>
      </c>
    </row>
    <row r="551" hidden="1">
      <c r="A551">
        <f>'Production Plan'!B539</f>
        <v/>
      </c>
      <c r="B551">
        <f>VLOOKUP(A551,'Production Plan'!B:S,16,FALSE)</f>
        <v/>
      </c>
      <c r="C551">
        <f>VLOOKUP(A551,'Production Plan'!B:F,5,FALSE)</f>
        <v/>
      </c>
    </row>
    <row r="552" hidden="1">
      <c r="A552">
        <f>'Production Plan'!B540</f>
        <v/>
      </c>
      <c r="B552">
        <f>VLOOKUP(A552,'Production Plan'!B:S,16,FALSE)</f>
        <v/>
      </c>
      <c r="C552">
        <f>VLOOKUP(A552,'Production Plan'!B:F,5,FALSE)</f>
        <v/>
      </c>
    </row>
    <row r="553" hidden="1">
      <c r="A553">
        <f>'Production Plan'!B541</f>
        <v/>
      </c>
      <c r="B553">
        <f>VLOOKUP(A553,'Production Plan'!B:S,16,FALSE)</f>
        <v/>
      </c>
      <c r="C553">
        <f>VLOOKUP(A553,'Production Plan'!B:F,5,FALSE)</f>
        <v/>
      </c>
    </row>
    <row r="554" hidden="1">
      <c r="A554">
        <f>'Production Plan'!B542</f>
        <v/>
      </c>
      <c r="B554">
        <f>VLOOKUP(A554,'Production Plan'!B:S,16,FALSE)</f>
        <v/>
      </c>
      <c r="C554">
        <f>VLOOKUP(A554,'Production Plan'!B:F,5,FALSE)</f>
        <v/>
      </c>
    </row>
    <row r="555" hidden="1">
      <c r="A555">
        <f>'Production Plan'!B543</f>
        <v/>
      </c>
      <c r="B555">
        <f>VLOOKUP(A555,'Production Plan'!B:S,16,FALSE)</f>
        <v/>
      </c>
      <c r="C555">
        <f>VLOOKUP(A555,'Production Plan'!B:F,5,FALSE)</f>
        <v/>
      </c>
    </row>
    <row r="556" hidden="1">
      <c r="A556">
        <f>'Production Plan'!B544</f>
        <v/>
      </c>
      <c r="B556">
        <f>VLOOKUP(A556,'Production Plan'!B:S,16,FALSE)</f>
        <v/>
      </c>
      <c r="C556">
        <f>VLOOKUP(A556,'Production Plan'!B:F,5,FALSE)</f>
        <v/>
      </c>
    </row>
    <row r="557" hidden="1">
      <c r="A557">
        <f>'Production Plan'!B545</f>
        <v/>
      </c>
      <c r="B557">
        <f>VLOOKUP(A557,'Production Plan'!B:S,16,FALSE)</f>
        <v/>
      </c>
      <c r="C557">
        <f>VLOOKUP(A557,'Production Plan'!B:F,5,FALSE)</f>
        <v/>
      </c>
    </row>
    <row r="558" hidden="1">
      <c r="A558">
        <f>'Production Plan'!B546</f>
        <v/>
      </c>
      <c r="B558">
        <f>VLOOKUP(A558,'Production Plan'!B:S,16,FALSE)</f>
        <v/>
      </c>
      <c r="C558">
        <f>VLOOKUP(A558,'Production Plan'!B:F,5,FALSE)</f>
        <v/>
      </c>
    </row>
    <row r="559" hidden="1">
      <c r="A559">
        <f>'Production Plan'!B547</f>
        <v/>
      </c>
      <c r="B559">
        <f>VLOOKUP(A559,'Production Plan'!B:S,16,FALSE)</f>
        <v/>
      </c>
      <c r="C559">
        <f>VLOOKUP(A559,'Production Plan'!B:F,5,FALSE)</f>
        <v/>
      </c>
    </row>
    <row r="560" hidden="1">
      <c r="A560">
        <f>'Production Plan'!B548</f>
        <v/>
      </c>
      <c r="B560">
        <f>VLOOKUP(A560,'Production Plan'!B:S,16,FALSE)</f>
        <v/>
      </c>
      <c r="C560">
        <f>VLOOKUP(A560,'Production Plan'!B:F,5,FALSE)</f>
        <v/>
      </c>
    </row>
    <row r="561" hidden="1">
      <c r="A561">
        <f>'Production Plan'!B549</f>
        <v/>
      </c>
      <c r="B561">
        <f>VLOOKUP(A561,'Production Plan'!B:S,16,FALSE)</f>
        <v/>
      </c>
      <c r="C561">
        <f>VLOOKUP(A561,'Production Plan'!B:F,5,FALSE)</f>
        <v/>
      </c>
    </row>
    <row r="562" hidden="1">
      <c r="A562">
        <f>'Production Plan'!B550</f>
        <v/>
      </c>
      <c r="B562">
        <f>VLOOKUP(A562,'Production Plan'!B:S,16,FALSE)</f>
        <v/>
      </c>
      <c r="C562">
        <f>VLOOKUP(A562,'Production Plan'!B:F,5,FALSE)</f>
        <v/>
      </c>
    </row>
    <row r="563" hidden="1">
      <c r="A563">
        <f>'Production Plan'!B551</f>
        <v/>
      </c>
      <c r="B563">
        <f>VLOOKUP(A563,'Production Plan'!B:S,16,FALSE)</f>
        <v/>
      </c>
      <c r="C563">
        <f>VLOOKUP(A563,'Production Plan'!B:F,5,FALSE)</f>
        <v/>
      </c>
    </row>
    <row r="564" hidden="1">
      <c r="A564">
        <f>'Production Plan'!B552</f>
        <v/>
      </c>
      <c r="B564">
        <f>VLOOKUP(A564,'Production Plan'!B:S,16,FALSE)</f>
        <v/>
      </c>
      <c r="C564">
        <f>VLOOKUP(A564,'Production Plan'!B:F,5,FALSE)</f>
        <v/>
      </c>
    </row>
    <row r="565" hidden="1">
      <c r="A565">
        <f>'Production Plan'!B553</f>
        <v/>
      </c>
      <c r="B565">
        <f>VLOOKUP(A565,'Production Plan'!B:S,16,FALSE)</f>
        <v/>
      </c>
      <c r="C565">
        <f>VLOOKUP(A565,'Production Plan'!B:F,5,FALSE)</f>
        <v/>
      </c>
    </row>
    <row r="566" hidden="1">
      <c r="A566">
        <f>'Production Plan'!B554</f>
        <v/>
      </c>
      <c r="B566">
        <f>VLOOKUP(A566,'Production Plan'!B:S,16,FALSE)</f>
        <v/>
      </c>
      <c r="C566">
        <f>VLOOKUP(A566,'Production Plan'!B:F,5,FALSE)</f>
        <v/>
      </c>
    </row>
    <row r="567" hidden="1">
      <c r="A567">
        <f>'Production Plan'!B555</f>
        <v/>
      </c>
      <c r="B567">
        <f>VLOOKUP(A567,'Production Plan'!B:S,16,FALSE)</f>
        <v/>
      </c>
      <c r="C567">
        <f>VLOOKUP(A567,'Production Plan'!B:F,5,FALSE)</f>
        <v/>
      </c>
    </row>
    <row r="568" hidden="1">
      <c r="A568">
        <f>'Production Plan'!B556</f>
        <v/>
      </c>
      <c r="B568">
        <f>VLOOKUP(A568,'Production Plan'!B:S,16,FALSE)</f>
        <v/>
      </c>
      <c r="C568">
        <f>VLOOKUP(A568,'Production Plan'!B:F,5,FALSE)</f>
        <v/>
      </c>
    </row>
    <row r="569" hidden="1">
      <c r="A569">
        <f>'Production Plan'!B557</f>
        <v/>
      </c>
      <c r="B569">
        <f>VLOOKUP(A569,'Production Plan'!B:S,16,FALSE)</f>
        <v/>
      </c>
      <c r="C569">
        <f>VLOOKUP(A569,'Production Plan'!B:F,5,FALSE)</f>
        <v/>
      </c>
    </row>
    <row r="570" hidden="1">
      <c r="A570">
        <f>'Production Plan'!B558</f>
        <v/>
      </c>
      <c r="B570">
        <f>VLOOKUP(A570,'Production Plan'!B:S,16,FALSE)</f>
        <v/>
      </c>
      <c r="C570">
        <f>VLOOKUP(A570,'Production Plan'!B:F,5,FALSE)</f>
        <v/>
      </c>
    </row>
    <row r="571" hidden="1">
      <c r="A571">
        <f>'Production Plan'!B559</f>
        <v/>
      </c>
      <c r="B571">
        <f>VLOOKUP(A571,'Production Plan'!B:S,16,FALSE)</f>
        <v/>
      </c>
      <c r="C571">
        <f>VLOOKUP(A571,'Production Plan'!B:F,5,FALSE)</f>
        <v/>
      </c>
    </row>
    <row r="572" hidden="1">
      <c r="A572">
        <f>'Production Plan'!B560</f>
        <v/>
      </c>
      <c r="B572">
        <f>VLOOKUP(A572,'Production Plan'!B:S,16,FALSE)</f>
        <v/>
      </c>
      <c r="C572">
        <f>VLOOKUP(A572,'Production Plan'!B:F,5,FALSE)</f>
        <v/>
      </c>
    </row>
    <row r="573" hidden="1">
      <c r="A573">
        <f>'Production Plan'!B561</f>
        <v/>
      </c>
      <c r="B573">
        <f>VLOOKUP(A573,'Production Plan'!B:S,16,FALSE)</f>
        <v/>
      </c>
      <c r="C573">
        <f>VLOOKUP(A573,'Production Plan'!B:F,5,FALSE)</f>
        <v/>
      </c>
    </row>
    <row r="574" hidden="1">
      <c r="A574">
        <f>'Production Plan'!B562</f>
        <v/>
      </c>
      <c r="B574">
        <f>VLOOKUP(A574,'Production Plan'!B:S,16,FALSE)</f>
        <v/>
      </c>
      <c r="C574">
        <f>VLOOKUP(A574,'Production Plan'!B:F,5,FALSE)</f>
        <v/>
      </c>
    </row>
    <row r="575" hidden="1">
      <c r="A575">
        <f>'Production Plan'!B563</f>
        <v/>
      </c>
      <c r="B575">
        <f>VLOOKUP(A575,'Production Plan'!B:S,16,FALSE)</f>
        <v/>
      </c>
      <c r="C575">
        <f>VLOOKUP(A575,'Production Plan'!B:F,5,FALSE)</f>
        <v/>
      </c>
    </row>
    <row r="576" hidden="1">
      <c r="A576">
        <f>'Production Plan'!B564</f>
        <v/>
      </c>
      <c r="B576">
        <f>VLOOKUP(A576,'Production Plan'!B:S,16,FALSE)</f>
        <v/>
      </c>
      <c r="C576">
        <f>VLOOKUP(A576,'Production Plan'!B:F,5,FALSE)</f>
        <v/>
      </c>
    </row>
    <row r="577" hidden="1">
      <c r="A577">
        <f>'Production Plan'!B565</f>
        <v/>
      </c>
      <c r="B577">
        <f>VLOOKUP(A577,'Production Plan'!B:S,16,FALSE)</f>
        <v/>
      </c>
      <c r="C577">
        <f>VLOOKUP(A577,'Production Plan'!B:F,5,FALSE)</f>
        <v/>
      </c>
    </row>
    <row r="578" hidden="1">
      <c r="A578">
        <f>'Production Plan'!B566</f>
        <v/>
      </c>
      <c r="B578">
        <f>VLOOKUP(A578,'Production Plan'!B:S,16,FALSE)</f>
        <v/>
      </c>
      <c r="C578">
        <f>VLOOKUP(A578,'Production Plan'!B:F,5,FALSE)</f>
        <v/>
      </c>
    </row>
    <row r="579" hidden="1">
      <c r="A579">
        <f>'Production Plan'!B567</f>
        <v/>
      </c>
      <c r="B579">
        <f>VLOOKUP(A579,'Production Plan'!B:S,16,FALSE)</f>
        <v/>
      </c>
      <c r="C579">
        <f>VLOOKUP(A579,'Production Plan'!B:F,5,FALSE)</f>
        <v/>
      </c>
    </row>
    <row r="580" hidden="1">
      <c r="A580">
        <f>'Production Plan'!B568</f>
        <v/>
      </c>
      <c r="B580">
        <f>VLOOKUP(A580,'Production Plan'!B:S,16,FALSE)</f>
        <v/>
      </c>
      <c r="C580">
        <f>VLOOKUP(A580,'Production Plan'!B:F,5,FALSE)</f>
        <v/>
      </c>
    </row>
    <row r="581" hidden="1">
      <c r="A581">
        <f>'Production Plan'!B569</f>
        <v/>
      </c>
      <c r="B581">
        <f>VLOOKUP(A581,'Production Plan'!B:S,16,FALSE)</f>
        <v/>
      </c>
      <c r="C581">
        <f>VLOOKUP(A581,'Production Plan'!B:F,5,FALSE)</f>
        <v/>
      </c>
    </row>
    <row r="582" hidden="1">
      <c r="A582">
        <f>'Production Plan'!B570</f>
        <v/>
      </c>
      <c r="B582">
        <f>VLOOKUP(A582,'Production Plan'!B:S,16,FALSE)</f>
        <v/>
      </c>
      <c r="C582">
        <f>VLOOKUP(A582,'Production Plan'!B:F,5,FALSE)</f>
        <v/>
      </c>
    </row>
    <row r="583" hidden="1">
      <c r="A583">
        <f>'Production Plan'!B571</f>
        <v/>
      </c>
      <c r="B583">
        <f>VLOOKUP(A583,'Production Plan'!B:S,16,FALSE)</f>
        <v/>
      </c>
      <c r="C583">
        <f>VLOOKUP(A583,'Production Plan'!B:F,5,FALSE)</f>
        <v/>
      </c>
    </row>
    <row r="584" hidden="1">
      <c r="A584">
        <f>'Production Plan'!B572</f>
        <v/>
      </c>
      <c r="B584">
        <f>VLOOKUP(A584,'Production Plan'!B:S,16,FALSE)</f>
        <v/>
      </c>
      <c r="C584">
        <f>VLOOKUP(A584,'Production Plan'!B:F,5,FALSE)</f>
        <v/>
      </c>
    </row>
    <row r="585" hidden="1">
      <c r="A585">
        <f>'Production Plan'!B573</f>
        <v/>
      </c>
      <c r="B585">
        <f>VLOOKUP(A585,'Production Plan'!B:S,16,FALSE)</f>
        <v/>
      </c>
      <c r="C585">
        <f>VLOOKUP(A585,'Production Plan'!B:F,5,FALSE)</f>
        <v/>
      </c>
    </row>
    <row r="586" hidden="1">
      <c r="A586">
        <f>'Production Plan'!B574</f>
        <v/>
      </c>
      <c r="B586">
        <f>VLOOKUP(A586,'Production Plan'!B:S,16,FALSE)</f>
        <v/>
      </c>
      <c r="C586">
        <f>VLOOKUP(A586,'Production Plan'!B:F,5,FALSE)</f>
        <v/>
      </c>
    </row>
    <row r="587" hidden="1">
      <c r="A587">
        <f>'Production Plan'!B575</f>
        <v/>
      </c>
      <c r="B587">
        <f>VLOOKUP(A587,'Production Plan'!B:S,16,FALSE)</f>
        <v/>
      </c>
      <c r="C587">
        <f>VLOOKUP(A587,'Production Plan'!B:F,5,FALSE)</f>
        <v/>
      </c>
    </row>
    <row r="588" hidden="1">
      <c r="A588">
        <f>'Production Plan'!B576</f>
        <v/>
      </c>
      <c r="B588">
        <f>VLOOKUP(A588,'Production Plan'!B:S,16,FALSE)</f>
        <v/>
      </c>
      <c r="C588">
        <f>VLOOKUP(A588,'Production Plan'!B:F,5,FALSE)</f>
        <v/>
      </c>
    </row>
    <row r="589" hidden="1">
      <c r="A589">
        <f>'Production Plan'!B577</f>
        <v/>
      </c>
      <c r="B589">
        <f>VLOOKUP(A589,'Production Plan'!B:S,16,FALSE)</f>
        <v/>
      </c>
      <c r="C589">
        <f>VLOOKUP(A589,'Production Plan'!B:F,5,FALSE)</f>
        <v/>
      </c>
    </row>
    <row r="590" hidden="1">
      <c r="A590">
        <f>'Production Plan'!B578</f>
        <v/>
      </c>
      <c r="B590">
        <f>VLOOKUP(A590,'Production Plan'!B:S,16,FALSE)</f>
        <v/>
      </c>
      <c r="C590">
        <f>VLOOKUP(A590,'Production Plan'!B:F,5,FALSE)</f>
        <v/>
      </c>
    </row>
    <row r="591" hidden="1">
      <c r="A591">
        <f>'Production Plan'!B579</f>
        <v/>
      </c>
      <c r="B591">
        <f>VLOOKUP(A591,'Production Plan'!B:S,16,FALSE)</f>
        <v/>
      </c>
      <c r="C591">
        <f>VLOOKUP(A591,'Production Plan'!B:F,5,FALSE)</f>
        <v/>
      </c>
    </row>
    <row r="592" hidden="1">
      <c r="A592">
        <f>'Production Plan'!B580</f>
        <v/>
      </c>
      <c r="B592">
        <f>VLOOKUP(A592,'Production Plan'!B:S,16,FALSE)</f>
        <v/>
      </c>
      <c r="C592">
        <f>VLOOKUP(A592,'Production Plan'!B:F,5,FALSE)</f>
        <v/>
      </c>
    </row>
    <row r="593" hidden="1">
      <c r="A593">
        <f>'Production Plan'!B581</f>
        <v/>
      </c>
      <c r="B593">
        <f>VLOOKUP(A593,'Production Plan'!B:S,16,FALSE)</f>
        <v/>
      </c>
      <c r="C593">
        <f>VLOOKUP(A593,'Production Plan'!B:F,5,FALSE)</f>
        <v/>
      </c>
    </row>
    <row r="594" hidden="1">
      <c r="A594">
        <f>'Production Plan'!B582</f>
        <v/>
      </c>
      <c r="B594">
        <f>VLOOKUP(A594,'Production Plan'!B:S,16,FALSE)</f>
        <v/>
      </c>
      <c r="C594">
        <f>VLOOKUP(A594,'Production Plan'!B:F,5,FALSE)</f>
        <v/>
      </c>
    </row>
    <row r="595" hidden="1">
      <c r="A595">
        <f>'Production Plan'!B583</f>
        <v/>
      </c>
      <c r="B595">
        <f>VLOOKUP(A595,'Production Plan'!B:S,16,FALSE)</f>
        <v/>
      </c>
      <c r="C595">
        <f>VLOOKUP(A595,'Production Plan'!B:F,5,FALSE)</f>
        <v/>
      </c>
    </row>
    <row r="596" hidden="1">
      <c r="A596">
        <f>'Production Plan'!B584</f>
        <v/>
      </c>
      <c r="B596">
        <f>VLOOKUP(A596,'Production Plan'!B:S,16,FALSE)</f>
        <v/>
      </c>
      <c r="C596">
        <f>VLOOKUP(A596,'Production Plan'!B:F,5,FALSE)</f>
        <v/>
      </c>
    </row>
    <row r="597" hidden="1">
      <c r="A597">
        <f>'Production Plan'!B585</f>
        <v/>
      </c>
      <c r="B597">
        <f>VLOOKUP(A597,'Production Plan'!B:S,16,FALSE)</f>
        <v/>
      </c>
      <c r="C597">
        <f>VLOOKUP(A597,'Production Plan'!B:F,5,FALSE)</f>
        <v/>
      </c>
    </row>
    <row r="598" hidden="1">
      <c r="A598">
        <f>'Production Plan'!B586</f>
        <v/>
      </c>
      <c r="B598">
        <f>VLOOKUP(A598,'Production Plan'!B:S,16,FALSE)</f>
        <v/>
      </c>
      <c r="C598">
        <f>VLOOKUP(A598,'Production Plan'!B:F,5,FALSE)</f>
        <v/>
      </c>
    </row>
    <row r="599" hidden="1">
      <c r="A599">
        <f>'Production Plan'!B587</f>
        <v/>
      </c>
      <c r="B599">
        <f>VLOOKUP(A599,'Production Plan'!B:S,16,FALSE)</f>
        <v/>
      </c>
      <c r="C599">
        <f>VLOOKUP(A599,'Production Plan'!B:F,5,FALSE)</f>
        <v/>
      </c>
    </row>
    <row r="600" hidden="1">
      <c r="A600">
        <f>'Production Plan'!B588</f>
        <v/>
      </c>
      <c r="B600">
        <f>VLOOKUP(A600,'Production Plan'!B:S,16,FALSE)</f>
        <v/>
      </c>
      <c r="C600">
        <f>VLOOKUP(A600,'Production Plan'!B:F,5,FALSE)</f>
        <v/>
      </c>
    </row>
    <row r="601" hidden="1">
      <c r="A601">
        <f>'Production Plan'!B589</f>
        <v/>
      </c>
      <c r="B601">
        <f>VLOOKUP(A601,'Production Plan'!B:S,16,FALSE)</f>
        <v/>
      </c>
      <c r="C601">
        <f>VLOOKUP(A601,'Production Plan'!B:F,5,FALSE)</f>
        <v/>
      </c>
    </row>
    <row r="602" hidden="1">
      <c r="A602">
        <f>'Production Plan'!B590</f>
        <v/>
      </c>
      <c r="B602">
        <f>VLOOKUP(A602,'Production Plan'!B:S,16,FALSE)</f>
        <v/>
      </c>
      <c r="C602">
        <f>VLOOKUP(A602,'Production Plan'!B:F,5,FALSE)</f>
        <v/>
      </c>
    </row>
    <row r="603" hidden="1">
      <c r="A603">
        <f>'Production Plan'!B591</f>
        <v/>
      </c>
      <c r="B603">
        <f>VLOOKUP(A603,'Production Plan'!B:S,16,FALSE)</f>
        <v/>
      </c>
      <c r="C603">
        <f>VLOOKUP(A603,'Production Plan'!B:F,5,FALSE)</f>
        <v/>
      </c>
    </row>
    <row r="604" hidden="1">
      <c r="A604">
        <f>'Production Plan'!B592</f>
        <v/>
      </c>
      <c r="B604">
        <f>VLOOKUP(A604,'Production Plan'!B:S,16,FALSE)</f>
        <v/>
      </c>
      <c r="C604">
        <f>VLOOKUP(A604,'Production Plan'!B:F,5,FALSE)</f>
        <v/>
      </c>
    </row>
    <row r="605" hidden="1">
      <c r="A605">
        <f>'Production Plan'!B593</f>
        <v/>
      </c>
      <c r="B605">
        <f>VLOOKUP(A605,'Production Plan'!B:S,16,FALSE)</f>
        <v/>
      </c>
      <c r="C605">
        <f>VLOOKUP(A605,'Production Plan'!B:F,5,FALSE)</f>
        <v/>
      </c>
    </row>
    <row r="606" hidden="1">
      <c r="A606">
        <f>'Production Plan'!B594</f>
        <v/>
      </c>
      <c r="B606">
        <f>VLOOKUP(A606,'Production Plan'!B:S,16,FALSE)</f>
        <v/>
      </c>
      <c r="C606">
        <f>VLOOKUP(A606,'Production Plan'!B:F,5,FALSE)</f>
        <v/>
      </c>
    </row>
    <row r="607" hidden="1">
      <c r="A607">
        <f>'Production Plan'!B595</f>
        <v/>
      </c>
      <c r="B607">
        <f>VLOOKUP(A607,'Production Plan'!B:S,16,FALSE)</f>
        <v/>
      </c>
      <c r="C607">
        <f>VLOOKUP(A607,'Production Plan'!B:F,5,FALSE)</f>
        <v/>
      </c>
    </row>
    <row r="608" hidden="1">
      <c r="A608">
        <f>'Production Plan'!B596</f>
        <v/>
      </c>
      <c r="B608">
        <f>VLOOKUP(A608,'Production Plan'!B:S,16,FALSE)</f>
        <v/>
      </c>
      <c r="C608">
        <f>VLOOKUP(A608,'Production Plan'!B:F,5,FALSE)</f>
        <v/>
      </c>
    </row>
    <row r="609" hidden="1">
      <c r="A609">
        <f>'Production Plan'!B597</f>
        <v/>
      </c>
      <c r="B609">
        <f>VLOOKUP(A609,'Production Plan'!B:S,16,FALSE)</f>
        <v/>
      </c>
      <c r="C609">
        <f>VLOOKUP(A609,'Production Plan'!B:F,5,FALSE)</f>
        <v/>
      </c>
    </row>
    <row r="610" hidden="1">
      <c r="A610">
        <f>'Production Plan'!B598</f>
        <v/>
      </c>
      <c r="B610">
        <f>VLOOKUP(A610,'Production Plan'!B:S,16,FALSE)</f>
        <v/>
      </c>
      <c r="C610">
        <f>VLOOKUP(A610,'Production Plan'!B:F,5,FALSE)</f>
        <v/>
      </c>
    </row>
    <row r="611" hidden="1">
      <c r="A611">
        <f>'Production Plan'!B599</f>
        <v/>
      </c>
      <c r="B611">
        <f>VLOOKUP(A611,'Production Plan'!B:S,16,FALSE)</f>
        <v/>
      </c>
      <c r="C611">
        <f>VLOOKUP(A611,'Production Plan'!B:F,5,FALSE)</f>
        <v/>
      </c>
    </row>
    <row r="612" hidden="1">
      <c r="A612">
        <f>'Production Plan'!B600</f>
        <v/>
      </c>
      <c r="B612">
        <f>VLOOKUP(A612,'Production Plan'!B:S,16,FALSE)</f>
        <v/>
      </c>
      <c r="C612">
        <f>VLOOKUP(A612,'Production Plan'!B:F,5,FALSE)</f>
        <v/>
      </c>
    </row>
    <row r="613" hidden="1">
      <c r="A613">
        <f>'Production Plan'!B601</f>
        <v/>
      </c>
      <c r="B613">
        <f>VLOOKUP(A613,'Production Plan'!B:S,16,FALSE)</f>
        <v/>
      </c>
      <c r="C613">
        <f>VLOOKUP(A613,'Production Plan'!B:F,5,FALSE)</f>
        <v/>
      </c>
    </row>
    <row r="614" hidden="1">
      <c r="A614">
        <f>'Production Plan'!B602</f>
        <v/>
      </c>
      <c r="B614">
        <f>VLOOKUP(A614,'Production Plan'!B:S,16,FALSE)</f>
        <v/>
      </c>
      <c r="C614">
        <f>VLOOKUP(A614,'Production Plan'!B:F,5,FALSE)</f>
        <v/>
      </c>
    </row>
    <row r="615" hidden="1">
      <c r="A615">
        <f>'Production Plan'!B603</f>
        <v/>
      </c>
      <c r="B615">
        <f>VLOOKUP(A615,'Production Plan'!B:S,16,FALSE)</f>
        <v/>
      </c>
      <c r="C615">
        <f>VLOOKUP(A615,'Production Plan'!B:F,5,FALSE)</f>
        <v/>
      </c>
    </row>
    <row r="616" hidden="1">
      <c r="A616">
        <f>'Production Plan'!B604</f>
        <v/>
      </c>
      <c r="B616">
        <f>VLOOKUP(A616,'Production Plan'!B:S,16,FALSE)</f>
        <v/>
      </c>
      <c r="C616">
        <f>VLOOKUP(A616,'Production Plan'!B:F,5,FALSE)</f>
        <v/>
      </c>
    </row>
    <row r="617" hidden="1">
      <c r="A617">
        <f>'Production Plan'!B605</f>
        <v/>
      </c>
      <c r="B617">
        <f>VLOOKUP(A617,'Production Plan'!B:S,16,FALSE)</f>
        <v/>
      </c>
      <c r="C617">
        <f>VLOOKUP(A617,'Production Plan'!B:F,5,FALSE)</f>
        <v/>
      </c>
    </row>
    <row r="618" hidden="1">
      <c r="A618">
        <f>'Production Plan'!B606</f>
        <v/>
      </c>
      <c r="B618">
        <f>VLOOKUP(A618,'Production Plan'!B:S,16,FALSE)</f>
        <v/>
      </c>
      <c r="C618">
        <f>VLOOKUP(A618,'Production Plan'!B:F,5,FALSE)</f>
        <v/>
      </c>
    </row>
    <row r="619" hidden="1">
      <c r="A619">
        <f>'Production Plan'!B607</f>
        <v/>
      </c>
      <c r="B619">
        <f>VLOOKUP(A619,'Production Plan'!B:S,16,FALSE)</f>
        <v/>
      </c>
      <c r="C619">
        <f>VLOOKUP(A619,'Production Plan'!B:F,5,FALSE)</f>
        <v/>
      </c>
    </row>
    <row r="620" hidden="1">
      <c r="A620">
        <f>'Production Plan'!B608</f>
        <v/>
      </c>
      <c r="B620">
        <f>VLOOKUP(A620,'Production Plan'!B:S,16,FALSE)</f>
        <v/>
      </c>
      <c r="C620">
        <f>VLOOKUP(A620,'Production Plan'!B:F,5,FALSE)</f>
        <v/>
      </c>
    </row>
    <row r="621" hidden="1">
      <c r="A621">
        <f>'Production Plan'!B609</f>
        <v/>
      </c>
      <c r="B621">
        <f>VLOOKUP(A621,'Production Plan'!B:S,16,FALSE)</f>
        <v/>
      </c>
      <c r="C621">
        <f>VLOOKUP(A621,'Production Plan'!B:F,5,FALSE)</f>
        <v/>
      </c>
    </row>
    <row r="622" hidden="1">
      <c r="A622">
        <f>'Production Plan'!B610</f>
        <v/>
      </c>
      <c r="B622">
        <f>VLOOKUP(A622,'Production Plan'!B:S,16,FALSE)</f>
        <v/>
      </c>
      <c r="C622">
        <f>VLOOKUP(A622,'Production Plan'!B:F,5,FALSE)</f>
        <v/>
      </c>
    </row>
    <row r="623" hidden="1">
      <c r="A623">
        <f>'Production Plan'!B611</f>
        <v/>
      </c>
      <c r="B623">
        <f>VLOOKUP(A623,'Production Plan'!B:S,16,FALSE)</f>
        <v/>
      </c>
      <c r="C623">
        <f>VLOOKUP(A623,'Production Plan'!B:F,5,FALSE)</f>
        <v/>
      </c>
    </row>
    <row r="624" hidden="1">
      <c r="A624">
        <f>'Production Plan'!B612</f>
        <v/>
      </c>
      <c r="B624">
        <f>VLOOKUP(A624,'Production Plan'!B:S,16,FALSE)</f>
        <v/>
      </c>
      <c r="C624">
        <f>VLOOKUP(A624,'Production Plan'!B:F,5,FALSE)</f>
        <v/>
      </c>
    </row>
    <row r="625" hidden="1">
      <c r="A625">
        <f>'Production Plan'!B613</f>
        <v/>
      </c>
      <c r="B625">
        <f>VLOOKUP(A625,'Production Plan'!B:S,16,FALSE)</f>
        <v/>
      </c>
      <c r="C625">
        <f>VLOOKUP(A625,'Production Plan'!B:F,5,FALSE)</f>
        <v/>
      </c>
    </row>
    <row r="626" hidden="1">
      <c r="A626">
        <f>'Production Plan'!B614</f>
        <v/>
      </c>
      <c r="B626">
        <f>VLOOKUP(A626,'Production Plan'!B:S,16,FALSE)</f>
        <v/>
      </c>
      <c r="C626">
        <f>VLOOKUP(A626,'Production Plan'!B:F,5,FALSE)</f>
        <v/>
      </c>
    </row>
    <row r="627" hidden="1">
      <c r="A627">
        <f>'Production Plan'!B615</f>
        <v/>
      </c>
      <c r="B627">
        <f>VLOOKUP(A627,'Production Plan'!B:S,16,FALSE)</f>
        <v/>
      </c>
      <c r="C627">
        <f>VLOOKUP(A627,'Production Plan'!B:F,5,FALSE)</f>
        <v/>
      </c>
    </row>
    <row r="628" hidden="1">
      <c r="A628">
        <f>'Production Plan'!B616</f>
        <v/>
      </c>
      <c r="B628">
        <f>VLOOKUP(A628,'Production Plan'!B:S,16,FALSE)</f>
        <v/>
      </c>
      <c r="C628">
        <f>VLOOKUP(A628,'Production Plan'!B:F,5,FALSE)</f>
        <v/>
      </c>
    </row>
    <row r="629" hidden="1">
      <c r="A629">
        <f>'Production Plan'!B617</f>
        <v/>
      </c>
      <c r="B629">
        <f>VLOOKUP(A629,'Production Plan'!B:S,16,FALSE)</f>
        <v/>
      </c>
      <c r="C629">
        <f>VLOOKUP(A629,'Production Plan'!B:F,5,FALSE)</f>
        <v/>
      </c>
    </row>
    <row r="630" hidden="1">
      <c r="A630">
        <f>'Production Plan'!B618</f>
        <v/>
      </c>
      <c r="B630">
        <f>VLOOKUP(A630,'Production Plan'!B:S,16,FALSE)</f>
        <v/>
      </c>
      <c r="C630">
        <f>VLOOKUP(A630,'Production Plan'!B:F,5,FALSE)</f>
        <v/>
      </c>
    </row>
    <row r="631" hidden="1">
      <c r="A631">
        <f>'Production Plan'!B619</f>
        <v/>
      </c>
      <c r="B631">
        <f>VLOOKUP(A631,'Production Plan'!B:S,16,FALSE)</f>
        <v/>
      </c>
      <c r="C631">
        <f>VLOOKUP(A631,'Production Plan'!B:F,5,FALSE)</f>
        <v/>
      </c>
    </row>
    <row r="632" hidden="1">
      <c r="A632">
        <f>'Production Plan'!B620</f>
        <v/>
      </c>
      <c r="B632">
        <f>VLOOKUP(A632,'Production Plan'!B:S,16,FALSE)</f>
        <v/>
      </c>
      <c r="C632">
        <f>VLOOKUP(A632,'Production Plan'!B:F,5,FALSE)</f>
        <v/>
      </c>
    </row>
    <row r="633" hidden="1">
      <c r="A633">
        <f>'Production Plan'!B621</f>
        <v/>
      </c>
      <c r="B633">
        <f>VLOOKUP(A633,'Production Plan'!B:S,16,FALSE)</f>
        <v/>
      </c>
      <c r="C633">
        <f>VLOOKUP(A633,'Production Plan'!B:F,5,FALSE)</f>
        <v/>
      </c>
    </row>
    <row r="634" hidden="1">
      <c r="A634">
        <f>'Production Plan'!B622</f>
        <v/>
      </c>
      <c r="B634">
        <f>VLOOKUP(A634,'Production Plan'!B:S,16,FALSE)</f>
        <v/>
      </c>
      <c r="C634">
        <f>VLOOKUP(A634,'Production Plan'!B:F,5,FALSE)</f>
        <v/>
      </c>
    </row>
    <row r="635" hidden="1">
      <c r="A635">
        <f>'Production Plan'!B623</f>
        <v/>
      </c>
      <c r="B635">
        <f>VLOOKUP(A635,'Production Plan'!B:S,16,FALSE)</f>
        <v/>
      </c>
      <c r="C635">
        <f>VLOOKUP(A635,'Production Plan'!B:F,5,FALSE)</f>
        <v/>
      </c>
    </row>
    <row r="636" hidden="1">
      <c r="A636">
        <f>'Production Plan'!B624</f>
        <v/>
      </c>
      <c r="B636">
        <f>VLOOKUP(A636,'Production Plan'!B:S,16,FALSE)</f>
        <v/>
      </c>
      <c r="C636">
        <f>VLOOKUP(A636,'Production Plan'!B:F,5,FALSE)</f>
        <v/>
      </c>
    </row>
    <row r="637" hidden="1">
      <c r="A637">
        <f>'Production Plan'!B625</f>
        <v/>
      </c>
      <c r="B637">
        <f>VLOOKUP(A637,'Production Plan'!B:S,16,FALSE)</f>
        <v/>
      </c>
      <c r="C637">
        <f>VLOOKUP(A637,'Production Plan'!B:F,5,FALSE)</f>
        <v/>
      </c>
    </row>
    <row r="638" hidden="1">
      <c r="A638">
        <f>'Production Plan'!B626</f>
        <v/>
      </c>
      <c r="B638">
        <f>VLOOKUP(A638,'Production Plan'!B:S,16,FALSE)</f>
        <v/>
      </c>
      <c r="C638">
        <f>VLOOKUP(A638,'Production Plan'!B:F,5,FALSE)</f>
        <v/>
      </c>
    </row>
    <row r="639" hidden="1">
      <c r="A639">
        <f>'Production Plan'!B627</f>
        <v/>
      </c>
      <c r="B639">
        <f>VLOOKUP(A639,'Production Plan'!B:S,16,FALSE)</f>
        <v/>
      </c>
      <c r="C639">
        <f>VLOOKUP(A639,'Production Plan'!B:F,5,FALSE)</f>
        <v/>
      </c>
    </row>
    <row r="640" hidden="1">
      <c r="A640">
        <f>'Production Plan'!B628</f>
        <v/>
      </c>
      <c r="B640">
        <f>VLOOKUP(A640,'Production Plan'!B:S,16,FALSE)</f>
        <v/>
      </c>
      <c r="C640">
        <f>VLOOKUP(A640,'Production Plan'!B:F,5,FALSE)</f>
        <v/>
      </c>
    </row>
    <row r="641" hidden="1">
      <c r="A641">
        <f>'Production Plan'!B629</f>
        <v/>
      </c>
      <c r="B641">
        <f>VLOOKUP(A641,'Production Plan'!B:S,16,FALSE)</f>
        <v/>
      </c>
      <c r="C641">
        <f>VLOOKUP(A641,'Production Plan'!B:F,5,FALSE)</f>
        <v/>
      </c>
    </row>
    <row r="642" hidden="1">
      <c r="A642">
        <f>'Production Plan'!B630</f>
        <v/>
      </c>
      <c r="B642">
        <f>VLOOKUP(A642,'Production Plan'!B:S,16,FALSE)</f>
        <v/>
      </c>
      <c r="C642">
        <f>VLOOKUP(A642,'Production Plan'!B:F,5,FALSE)</f>
        <v/>
      </c>
    </row>
    <row r="643" hidden="1">
      <c r="A643">
        <f>'Production Plan'!B631</f>
        <v/>
      </c>
      <c r="B643">
        <f>VLOOKUP(A643,'Production Plan'!B:S,16,FALSE)</f>
        <v/>
      </c>
      <c r="C643">
        <f>VLOOKUP(A643,'Production Plan'!B:F,5,FALSE)</f>
        <v/>
      </c>
    </row>
    <row r="644" hidden="1">
      <c r="A644">
        <f>'Production Plan'!B632</f>
        <v/>
      </c>
      <c r="B644">
        <f>VLOOKUP(A644,'Production Plan'!B:S,16,FALSE)</f>
        <v/>
      </c>
      <c r="C644">
        <f>VLOOKUP(A644,'Production Plan'!B:F,5,FALSE)</f>
        <v/>
      </c>
    </row>
    <row r="645" hidden="1">
      <c r="A645">
        <f>'Production Plan'!B633</f>
        <v/>
      </c>
      <c r="B645">
        <f>VLOOKUP(A645,'Production Plan'!B:S,16,FALSE)</f>
        <v/>
      </c>
      <c r="C645">
        <f>VLOOKUP(A645,'Production Plan'!B:F,5,FALSE)</f>
        <v/>
      </c>
    </row>
    <row r="646" hidden="1">
      <c r="A646">
        <f>'Production Plan'!B634</f>
        <v/>
      </c>
      <c r="B646">
        <f>VLOOKUP(A646,'Production Plan'!B:S,16,FALSE)</f>
        <v/>
      </c>
      <c r="C646">
        <f>VLOOKUP(A646,'Production Plan'!B:F,5,FALSE)</f>
        <v/>
      </c>
    </row>
    <row r="647" hidden="1">
      <c r="A647">
        <f>'Production Plan'!B635</f>
        <v/>
      </c>
      <c r="B647">
        <f>VLOOKUP(A647,'Production Plan'!B:S,16,FALSE)</f>
        <v/>
      </c>
      <c r="C647">
        <f>VLOOKUP(A647,'Production Plan'!B:F,5,FALSE)</f>
        <v/>
      </c>
    </row>
    <row r="648" hidden="1">
      <c r="A648">
        <f>'Production Plan'!B636</f>
        <v/>
      </c>
      <c r="B648">
        <f>VLOOKUP(A648,'Production Plan'!B:S,16,FALSE)</f>
        <v/>
      </c>
      <c r="C648">
        <f>VLOOKUP(A648,'Production Plan'!B:F,5,FALSE)</f>
        <v/>
      </c>
    </row>
    <row r="649" hidden="1">
      <c r="A649">
        <f>'Production Plan'!B637</f>
        <v/>
      </c>
      <c r="B649">
        <f>VLOOKUP(A649,'Production Plan'!B:S,16,FALSE)</f>
        <v/>
      </c>
      <c r="C649">
        <f>VLOOKUP(A649,'Production Plan'!B:F,5,FALSE)</f>
        <v/>
      </c>
    </row>
    <row r="650" hidden="1">
      <c r="A650">
        <f>'Production Plan'!B638</f>
        <v/>
      </c>
      <c r="B650">
        <f>VLOOKUP(A650,'Production Plan'!B:S,16,FALSE)</f>
        <v/>
      </c>
      <c r="C650">
        <f>VLOOKUP(A650,'Production Plan'!B:F,5,FALSE)</f>
        <v/>
      </c>
    </row>
    <row r="651" hidden="1">
      <c r="A651">
        <f>'Production Plan'!B639</f>
        <v/>
      </c>
      <c r="B651">
        <f>VLOOKUP(A651,'Production Plan'!B:S,16,FALSE)</f>
        <v/>
      </c>
      <c r="C651">
        <f>VLOOKUP(A651,'Production Plan'!B:F,5,FALSE)</f>
        <v/>
      </c>
    </row>
    <row r="652" hidden="1">
      <c r="A652">
        <f>'Production Plan'!B640</f>
        <v/>
      </c>
      <c r="B652">
        <f>VLOOKUP(A652,'Production Plan'!B:S,16,FALSE)</f>
        <v/>
      </c>
      <c r="C652">
        <f>VLOOKUP(A652,'Production Plan'!B:F,5,FALSE)</f>
        <v/>
      </c>
    </row>
    <row r="653" hidden="1">
      <c r="A653">
        <f>'Production Plan'!B641</f>
        <v/>
      </c>
      <c r="B653">
        <f>VLOOKUP(A653,'Production Plan'!B:S,16,FALSE)</f>
        <v/>
      </c>
      <c r="C653">
        <f>VLOOKUP(A653,'Production Plan'!B:F,5,FALSE)</f>
        <v/>
      </c>
    </row>
    <row r="654" hidden="1">
      <c r="A654">
        <f>'Production Plan'!B642</f>
        <v/>
      </c>
      <c r="B654">
        <f>VLOOKUP(A654,'Production Plan'!B:S,16,FALSE)</f>
        <v/>
      </c>
      <c r="C654">
        <f>VLOOKUP(A654,'Production Plan'!B:F,5,FALSE)</f>
        <v/>
      </c>
    </row>
    <row r="655" hidden="1">
      <c r="A655">
        <f>'Production Plan'!B643</f>
        <v/>
      </c>
      <c r="B655">
        <f>VLOOKUP(A655,'Production Plan'!B:S,16,FALSE)</f>
        <v/>
      </c>
      <c r="C655">
        <f>VLOOKUP(A655,'Production Plan'!B:F,5,FALSE)</f>
        <v/>
      </c>
    </row>
    <row r="656" hidden="1">
      <c r="A656">
        <f>'Production Plan'!B644</f>
        <v/>
      </c>
      <c r="B656">
        <f>VLOOKUP(A656,'Production Plan'!B:S,16,FALSE)</f>
        <v/>
      </c>
      <c r="C656">
        <f>VLOOKUP(A656,'Production Plan'!B:F,5,FALSE)</f>
        <v/>
      </c>
    </row>
    <row r="657" hidden="1">
      <c r="A657">
        <f>'Production Plan'!B645</f>
        <v/>
      </c>
      <c r="B657">
        <f>VLOOKUP(A657,'Production Plan'!B:S,16,FALSE)</f>
        <v/>
      </c>
      <c r="C657">
        <f>VLOOKUP(A657,'Production Plan'!B:F,5,FALSE)</f>
        <v/>
      </c>
    </row>
    <row r="658" hidden="1">
      <c r="A658">
        <f>'Production Plan'!B646</f>
        <v/>
      </c>
      <c r="B658">
        <f>VLOOKUP(A658,'Production Plan'!B:S,16,FALSE)</f>
        <v/>
      </c>
      <c r="C658">
        <f>VLOOKUP(A658,'Production Plan'!B:F,5,FALSE)</f>
        <v/>
      </c>
    </row>
    <row r="659" hidden="1">
      <c r="A659">
        <f>'Production Plan'!B647</f>
        <v/>
      </c>
      <c r="B659">
        <f>VLOOKUP(A659,'Production Plan'!B:S,16,FALSE)</f>
        <v/>
      </c>
      <c r="C659">
        <f>VLOOKUP(A659,'Production Plan'!B:F,5,FALSE)</f>
        <v/>
      </c>
    </row>
    <row r="660" hidden="1">
      <c r="A660">
        <f>'Production Plan'!B648</f>
        <v/>
      </c>
      <c r="B660">
        <f>VLOOKUP(A660,'Production Plan'!B:S,16,FALSE)</f>
        <v/>
      </c>
      <c r="C660">
        <f>VLOOKUP(A660,'Production Plan'!B:F,5,FALSE)</f>
        <v/>
      </c>
    </row>
    <row r="661" hidden="1">
      <c r="A661">
        <f>'Production Plan'!B649</f>
        <v/>
      </c>
      <c r="B661">
        <f>VLOOKUP(A661,'Production Plan'!B:S,16,FALSE)</f>
        <v/>
      </c>
      <c r="C661">
        <f>VLOOKUP(A661,'Production Plan'!B:F,5,FALSE)</f>
        <v/>
      </c>
    </row>
    <row r="662" hidden="1">
      <c r="A662">
        <f>'Production Plan'!B650</f>
        <v/>
      </c>
      <c r="B662">
        <f>VLOOKUP(A662,'Production Plan'!B:S,16,FALSE)</f>
        <v/>
      </c>
      <c r="C662">
        <f>VLOOKUP(A662,'Production Plan'!B:F,5,FALSE)</f>
        <v/>
      </c>
    </row>
    <row r="663" hidden="1">
      <c r="A663">
        <f>'Production Plan'!B651</f>
        <v/>
      </c>
      <c r="B663">
        <f>VLOOKUP(A663,'Production Plan'!B:S,16,FALSE)</f>
        <v/>
      </c>
      <c r="C663">
        <f>VLOOKUP(A663,'Production Plan'!B:F,5,FALSE)</f>
        <v/>
      </c>
    </row>
    <row r="664" hidden="1">
      <c r="A664">
        <f>'Production Plan'!B652</f>
        <v/>
      </c>
      <c r="B664">
        <f>VLOOKUP(A664,'Production Plan'!B:S,16,FALSE)</f>
        <v/>
      </c>
      <c r="C664">
        <f>VLOOKUP(A664,'Production Plan'!B:F,5,FALSE)</f>
        <v/>
      </c>
    </row>
    <row r="665" hidden="1">
      <c r="A665">
        <f>'Production Plan'!B653</f>
        <v/>
      </c>
      <c r="B665">
        <f>VLOOKUP(A665,'Production Plan'!B:S,16,FALSE)</f>
        <v/>
      </c>
      <c r="C665">
        <f>VLOOKUP(A665,'Production Plan'!B:F,5,FALSE)</f>
        <v/>
      </c>
    </row>
    <row r="666" hidden="1">
      <c r="A666">
        <f>'Production Plan'!B654</f>
        <v/>
      </c>
      <c r="B666">
        <f>VLOOKUP(A666,'Production Plan'!B:S,16,FALSE)</f>
        <v/>
      </c>
      <c r="C666">
        <f>VLOOKUP(A666,'Production Plan'!B:F,5,FALSE)</f>
        <v/>
      </c>
    </row>
    <row r="667" hidden="1">
      <c r="A667">
        <f>'Production Plan'!B655</f>
        <v/>
      </c>
      <c r="B667">
        <f>VLOOKUP(A667,'Production Plan'!B:S,16,FALSE)</f>
        <v/>
      </c>
      <c r="C667">
        <f>VLOOKUP(A667,'Production Plan'!B:F,5,FALSE)</f>
        <v/>
      </c>
    </row>
    <row r="668" hidden="1">
      <c r="A668">
        <f>'Production Plan'!B656</f>
        <v/>
      </c>
      <c r="B668">
        <f>VLOOKUP(A668,'Production Plan'!B:S,16,FALSE)</f>
        <v/>
      </c>
      <c r="C668">
        <f>VLOOKUP(A668,'Production Plan'!B:F,5,FALSE)</f>
        <v/>
      </c>
    </row>
    <row r="669" hidden="1">
      <c r="A669">
        <f>'Production Plan'!B657</f>
        <v/>
      </c>
      <c r="B669">
        <f>VLOOKUP(A669,'Production Plan'!B:S,16,FALSE)</f>
        <v/>
      </c>
      <c r="C669">
        <f>VLOOKUP(A669,'Production Plan'!B:F,5,FALSE)</f>
        <v/>
      </c>
    </row>
    <row r="670" hidden="1">
      <c r="A670">
        <f>'Production Plan'!B658</f>
        <v/>
      </c>
      <c r="B670">
        <f>VLOOKUP(A670,'Production Plan'!B:S,16,FALSE)</f>
        <v/>
      </c>
      <c r="C670">
        <f>VLOOKUP(A670,'Production Plan'!B:F,5,FALSE)</f>
        <v/>
      </c>
    </row>
    <row r="671" hidden="1">
      <c r="A671">
        <f>'Production Plan'!B659</f>
        <v/>
      </c>
      <c r="B671">
        <f>VLOOKUP(A671,'Production Plan'!B:S,16,FALSE)</f>
        <v/>
      </c>
      <c r="C671">
        <f>VLOOKUP(A671,'Production Plan'!B:F,5,FALSE)</f>
        <v/>
      </c>
    </row>
    <row r="672" hidden="1">
      <c r="A672">
        <f>'Production Plan'!B660</f>
        <v/>
      </c>
      <c r="B672">
        <f>VLOOKUP(A672,'Production Plan'!B:S,16,FALSE)</f>
        <v/>
      </c>
      <c r="C672">
        <f>VLOOKUP(A672,'Production Plan'!B:F,5,FALSE)</f>
        <v/>
      </c>
    </row>
    <row r="673" hidden="1">
      <c r="A673">
        <f>'Production Plan'!B661</f>
        <v/>
      </c>
      <c r="B673">
        <f>VLOOKUP(A673,'Production Plan'!B:S,16,FALSE)</f>
        <v/>
      </c>
      <c r="C673">
        <f>VLOOKUP(A673,'Production Plan'!B:F,5,FALSE)</f>
        <v/>
      </c>
    </row>
    <row r="674" hidden="1">
      <c r="A674">
        <f>'Production Plan'!B662</f>
        <v/>
      </c>
      <c r="B674">
        <f>VLOOKUP(A674,'Production Plan'!B:S,16,FALSE)</f>
        <v/>
      </c>
      <c r="C674">
        <f>VLOOKUP(A674,'Production Plan'!B:F,5,FALSE)</f>
        <v/>
      </c>
    </row>
    <row r="675" hidden="1">
      <c r="A675">
        <f>'Production Plan'!B663</f>
        <v/>
      </c>
      <c r="B675">
        <f>VLOOKUP(A675,'Production Plan'!B:S,16,FALSE)</f>
        <v/>
      </c>
      <c r="C675">
        <f>VLOOKUP(A675,'Production Plan'!B:F,5,FALSE)</f>
        <v/>
      </c>
    </row>
    <row r="676" hidden="1">
      <c r="A676">
        <f>'Production Plan'!B664</f>
        <v/>
      </c>
      <c r="B676">
        <f>VLOOKUP(A676,'Production Plan'!B:S,16,FALSE)</f>
        <v/>
      </c>
      <c r="C676">
        <f>VLOOKUP(A676,'Production Plan'!B:F,5,FALSE)</f>
        <v/>
      </c>
    </row>
    <row r="677" hidden="1">
      <c r="A677">
        <f>'Production Plan'!B665</f>
        <v/>
      </c>
      <c r="B677">
        <f>VLOOKUP(A677,'Production Plan'!B:S,16,FALSE)</f>
        <v/>
      </c>
      <c r="C677">
        <f>VLOOKUP(A677,'Production Plan'!B:F,5,FALSE)</f>
        <v/>
      </c>
    </row>
    <row r="678" hidden="1">
      <c r="A678">
        <f>'Production Plan'!B666</f>
        <v/>
      </c>
      <c r="B678">
        <f>VLOOKUP(A678,'Production Plan'!B:S,16,FALSE)</f>
        <v/>
      </c>
      <c r="C678">
        <f>VLOOKUP(A678,'Production Plan'!B:F,5,FALSE)</f>
        <v/>
      </c>
    </row>
    <row r="679" hidden="1">
      <c r="A679">
        <f>'Production Plan'!B667</f>
        <v/>
      </c>
      <c r="B679">
        <f>VLOOKUP(A679,'Production Plan'!B:S,16,FALSE)</f>
        <v/>
      </c>
      <c r="C679">
        <f>VLOOKUP(A679,'Production Plan'!B:F,5,FALSE)</f>
        <v/>
      </c>
    </row>
    <row r="680" hidden="1">
      <c r="A680">
        <f>'Production Plan'!B668</f>
        <v/>
      </c>
      <c r="B680">
        <f>VLOOKUP(A680,'Production Plan'!B:S,16,FALSE)</f>
        <v/>
      </c>
      <c r="C680">
        <f>VLOOKUP(A680,'Production Plan'!B:F,5,FALSE)</f>
        <v/>
      </c>
    </row>
    <row r="681" hidden="1">
      <c r="A681">
        <f>'Production Plan'!B669</f>
        <v/>
      </c>
      <c r="B681">
        <f>VLOOKUP(A681,'Production Plan'!B:S,16,FALSE)</f>
        <v/>
      </c>
      <c r="C681">
        <f>VLOOKUP(A681,'Production Plan'!B:F,5,FALSE)</f>
        <v/>
      </c>
    </row>
    <row r="682" hidden="1">
      <c r="A682">
        <f>'Production Plan'!B670</f>
        <v/>
      </c>
      <c r="B682">
        <f>VLOOKUP(A682,'Production Plan'!B:S,16,FALSE)</f>
        <v/>
      </c>
      <c r="C682">
        <f>VLOOKUP(A682,'Production Plan'!B:F,5,FALSE)</f>
        <v/>
      </c>
    </row>
    <row r="683" hidden="1">
      <c r="A683">
        <f>'Production Plan'!B671</f>
        <v/>
      </c>
      <c r="B683">
        <f>VLOOKUP(A683,'Production Plan'!B:S,16,FALSE)</f>
        <v/>
      </c>
      <c r="C683">
        <f>VLOOKUP(A683,'Production Plan'!B:F,5,FALSE)</f>
        <v/>
      </c>
    </row>
    <row r="684" hidden="1">
      <c r="A684">
        <f>'Production Plan'!B672</f>
        <v/>
      </c>
      <c r="B684">
        <f>VLOOKUP(A684,'Production Plan'!B:S,16,FALSE)</f>
        <v/>
      </c>
      <c r="C684">
        <f>VLOOKUP(A684,'Production Plan'!B:F,5,FALSE)</f>
        <v/>
      </c>
    </row>
    <row r="685" hidden="1">
      <c r="A685">
        <f>'Production Plan'!B673</f>
        <v/>
      </c>
      <c r="B685">
        <f>VLOOKUP(A685,'Production Plan'!B:S,16,FALSE)</f>
        <v/>
      </c>
      <c r="C685">
        <f>VLOOKUP(A685,'Production Plan'!B:F,5,FALSE)</f>
        <v/>
      </c>
    </row>
    <row r="686" hidden="1">
      <c r="A686">
        <f>'Production Plan'!B674</f>
        <v/>
      </c>
      <c r="B686">
        <f>VLOOKUP(A686,'Production Plan'!B:S,16,FALSE)</f>
        <v/>
      </c>
      <c r="C686">
        <f>VLOOKUP(A686,'Production Plan'!B:F,5,FALSE)</f>
        <v/>
      </c>
    </row>
    <row r="687" hidden="1">
      <c r="A687">
        <f>'Production Plan'!B675</f>
        <v/>
      </c>
      <c r="B687">
        <f>VLOOKUP(A687,'Production Plan'!B:S,16,FALSE)</f>
        <v/>
      </c>
      <c r="C687">
        <f>VLOOKUP(A687,'Production Plan'!B:F,5,FALSE)</f>
        <v/>
      </c>
    </row>
    <row r="688" hidden="1">
      <c r="A688">
        <f>'Production Plan'!B676</f>
        <v/>
      </c>
      <c r="B688">
        <f>VLOOKUP(A688,'Production Plan'!B:S,16,FALSE)</f>
        <v/>
      </c>
      <c r="C688">
        <f>VLOOKUP(A688,'Production Plan'!B:F,5,FALSE)</f>
        <v/>
      </c>
    </row>
    <row r="689" hidden="1">
      <c r="A689">
        <f>'Production Plan'!B677</f>
        <v/>
      </c>
      <c r="B689">
        <f>VLOOKUP(A689,'Production Plan'!B:S,16,FALSE)</f>
        <v/>
      </c>
      <c r="C689">
        <f>VLOOKUP(A689,'Production Plan'!B:F,5,FALSE)</f>
        <v/>
      </c>
    </row>
    <row r="690" hidden="1">
      <c r="A690">
        <f>'Production Plan'!B678</f>
        <v/>
      </c>
      <c r="B690">
        <f>VLOOKUP(A690,'Production Plan'!B:S,16,FALSE)</f>
        <v/>
      </c>
      <c r="C690">
        <f>VLOOKUP(A690,'Production Plan'!B:F,5,FALSE)</f>
        <v/>
      </c>
    </row>
    <row r="691" hidden="1">
      <c r="A691">
        <f>'Production Plan'!B679</f>
        <v/>
      </c>
      <c r="B691">
        <f>VLOOKUP(A691,'Production Plan'!B:S,16,FALSE)</f>
        <v/>
      </c>
      <c r="C691">
        <f>VLOOKUP(A691,'Production Plan'!B:F,5,FALSE)</f>
        <v/>
      </c>
    </row>
    <row r="692" hidden="1">
      <c r="A692">
        <f>'Production Plan'!B680</f>
        <v/>
      </c>
      <c r="B692">
        <f>VLOOKUP(A692,'Production Plan'!B:S,16,FALSE)</f>
        <v/>
      </c>
      <c r="C692">
        <f>VLOOKUP(A692,'Production Plan'!B:F,5,FALSE)</f>
        <v/>
      </c>
    </row>
    <row r="693" hidden="1">
      <c r="A693">
        <f>'Production Plan'!B681</f>
        <v/>
      </c>
      <c r="B693">
        <f>VLOOKUP(A693,'Production Plan'!B:S,16,FALSE)</f>
        <v/>
      </c>
      <c r="C693">
        <f>VLOOKUP(A693,'Production Plan'!B:F,5,FALSE)</f>
        <v/>
      </c>
    </row>
    <row r="694" hidden="1">
      <c r="A694">
        <f>'Production Plan'!B682</f>
        <v/>
      </c>
      <c r="B694">
        <f>VLOOKUP(A694,'Production Plan'!B:S,16,FALSE)</f>
        <v/>
      </c>
      <c r="C694">
        <f>VLOOKUP(A694,'Production Plan'!B:F,5,FALSE)</f>
        <v/>
      </c>
    </row>
    <row r="695" hidden="1">
      <c r="A695">
        <f>'Production Plan'!B683</f>
        <v/>
      </c>
      <c r="B695">
        <f>VLOOKUP(A695,'Production Plan'!B:S,16,FALSE)</f>
        <v/>
      </c>
      <c r="C695">
        <f>VLOOKUP(A695,'Production Plan'!B:F,5,FALSE)</f>
        <v/>
      </c>
    </row>
    <row r="696" hidden="1">
      <c r="A696">
        <f>'Production Plan'!B684</f>
        <v/>
      </c>
      <c r="B696">
        <f>VLOOKUP(A696,'Production Plan'!B:S,16,FALSE)</f>
        <v/>
      </c>
      <c r="C696">
        <f>VLOOKUP(A696,'Production Plan'!B:F,5,FALSE)</f>
        <v/>
      </c>
    </row>
    <row r="697" hidden="1">
      <c r="A697">
        <f>'Production Plan'!B685</f>
        <v/>
      </c>
      <c r="B697">
        <f>VLOOKUP(A697,'Production Plan'!B:S,16,FALSE)</f>
        <v/>
      </c>
      <c r="C697">
        <f>VLOOKUP(A697,'Production Plan'!B:F,5,FALSE)</f>
        <v/>
      </c>
    </row>
    <row r="698" hidden="1">
      <c r="A698">
        <f>'Production Plan'!B686</f>
        <v/>
      </c>
      <c r="B698">
        <f>VLOOKUP(A698,'Production Plan'!B:S,16,FALSE)</f>
        <v/>
      </c>
      <c r="C698">
        <f>VLOOKUP(A698,'Production Plan'!B:F,5,FALSE)</f>
        <v/>
      </c>
    </row>
    <row r="699" hidden="1">
      <c r="A699">
        <f>'Production Plan'!B687</f>
        <v/>
      </c>
      <c r="B699">
        <f>VLOOKUP(A699,'Production Plan'!B:S,16,FALSE)</f>
        <v/>
      </c>
      <c r="C699">
        <f>VLOOKUP(A699,'Production Plan'!B:F,5,FALSE)</f>
        <v/>
      </c>
    </row>
    <row r="700" hidden="1">
      <c r="A700">
        <f>'Production Plan'!B688</f>
        <v/>
      </c>
      <c r="B700">
        <f>VLOOKUP(A700,'Production Plan'!B:S,16,FALSE)</f>
        <v/>
      </c>
      <c r="C700">
        <f>VLOOKUP(A700,'Production Plan'!B:F,5,FALSE)</f>
        <v/>
      </c>
    </row>
    <row r="701" hidden="1">
      <c r="A701">
        <f>'Production Plan'!B689</f>
        <v/>
      </c>
      <c r="B701">
        <f>VLOOKUP(A701,'Production Plan'!B:S,16,FALSE)</f>
        <v/>
      </c>
      <c r="C701">
        <f>VLOOKUP(A701,'Production Plan'!B:F,5,FALSE)</f>
        <v/>
      </c>
    </row>
    <row r="702" hidden="1">
      <c r="A702">
        <f>'Production Plan'!B690</f>
        <v/>
      </c>
      <c r="B702">
        <f>VLOOKUP(A702,'Production Plan'!B:S,16,FALSE)</f>
        <v/>
      </c>
      <c r="C702">
        <f>VLOOKUP(A702,'Production Plan'!B:F,5,FALSE)</f>
        <v/>
      </c>
    </row>
    <row r="703" hidden="1">
      <c r="A703">
        <f>'Production Plan'!B691</f>
        <v/>
      </c>
      <c r="B703">
        <f>VLOOKUP(A703,'Production Plan'!B:S,16,FALSE)</f>
        <v/>
      </c>
      <c r="C703">
        <f>VLOOKUP(A703,'Production Plan'!B:F,5,FALSE)</f>
        <v/>
      </c>
    </row>
    <row r="704" hidden="1">
      <c r="A704">
        <f>'Production Plan'!B692</f>
        <v/>
      </c>
      <c r="B704">
        <f>VLOOKUP(A704,'Production Plan'!B:S,16,FALSE)</f>
        <v/>
      </c>
      <c r="C704">
        <f>VLOOKUP(A704,'Production Plan'!B:F,5,FALSE)</f>
        <v/>
      </c>
    </row>
    <row r="705" hidden="1">
      <c r="A705">
        <f>'Production Plan'!B693</f>
        <v/>
      </c>
      <c r="B705">
        <f>VLOOKUP(A705,'Production Plan'!B:S,16,FALSE)</f>
        <v/>
      </c>
      <c r="C705">
        <f>VLOOKUP(A705,'Production Plan'!B:F,5,FALSE)</f>
        <v/>
      </c>
    </row>
    <row r="706" hidden="1">
      <c r="A706">
        <f>'Production Plan'!B694</f>
        <v/>
      </c>
      <c r="B706">
        <f>VLOOKUP(A706,'Production Plan'!B:S,16,FALSE)</f>
        <v/>
      </c>
      <c r="C706">
        <f>VLOOKUP(A706,'Production Plan'!B:F,5,FALSE)</f>
        <v/>
      </c>
    </row>
    <row r="707" hidden="1">
      <c r="A707">
        <f>'Production Plan'!B695</f>
        <v/>
      </c>
      <c r="B707">
        <f>VLOOKUP(A707,'Production Plan'!B:S,16,FALSE)</f>
        <v/>
      </c>
      <c r="C707">
        <f>VLOOKUP(A707,'Production Plan'!B:F,5,FALSE)</f>
        <v/>
      </c>
    </row>
    <row r="708" hidden="1">
      <c r="A708">
        <f>'Production Plan'!B696</f>
        <v/>
      </c>
      <c r="B708">
        <f>VLOOKUP(A708,'Production Plan'!B:S,16,FALSE)</f>
        <v/>
      </c>
      <c r="C708">
        <f>VLOOKUP(A708,'Production Plan'!B:F,5,FALSE)</f>
        <v/>
      </c>
    </row>
    <row r="709" hidden="1">
      <c r="A709">
        <f>'Production Plan'!B697</f>
        <v/>
      </c>
      <c r="B709">
        <f>VLOOKUP(A709,'Production Plan'!B:S,16,FALSE)</f>
        <v/>
      </c>
      <c r="C709">
        <f>VLOOKUP(A709,'Production Plan'!B:F,5,FALSE)</f>
        <v/>
      </c>
    </row>
    <row r="710" hidden="1">
      <c r="A710">
        <f>'Production Plan'!B698</f>
        <v/>
      </c>
      <c r="B710">
        <f>VLOOKUP(A710,'Production Plan'!B:S,16,FALSE)</f>
        <v/>
      </c>
      <c r="C710">
        <f>VLOOKUP(A710,'Production Plan'!B:F,5,FALSE)</f>
        <v/>
      </c>
    </row>
    <row r="711" hidden="1">
      <c r="A711">
        <f>'Production Plan'!B699</f>
        <v/>
      </c>
      <c r="B711">
        <f>VLOOKUP(A711,'Production Plan'!B:S,16,FALSE)</f>
        <v/>
      </c>
      <c r="C711">
        <f>VLOOKUP(A711,'Production Plan'!B:F,5,FALSE)</f>
        <v/>
      </c>
    </row>
    <row r="712" hidden="1">
      <c r="A712">
        <f>'Production Plan'!B700</f>
        <v/>
      </c>
      <c r="B712">
        <f>VLOOKUP(A712,'Production Plan'!B:S,16,FALSE)</f>
        <v/>
      </c>
      <c r="C712">
        <f>VLOOKUP(A712,'Production Plan'!B:F,5,FALSE)</f>
        <v/>
      </c>
    </row>
    <row r="713" hidden="1">
      <c r="A713">
        <f>'Production Plan'!B701</f>
        <v/>
      </c>
      <c r="B713">
        <f>VLOOKUP(A713,'Production Plan'!B:S,16,FALSE)</f>
        <v/>
      </c>
      <c r="C713">
        <f>VLOOKUP(A713,'Production Plan'!B:F,5,FALSE)</f>
        <v/>
      </c>
    </row>
    <row r="714" hidden="1">
      <c r="A714">
        <f>'Production Plan'!B702</f>
        <v/>
      </c>
      <c r="B714">
        <f>VLOOKUP(A714,'Production Plan'!B:S,16,FALSE)</f>
        <v/>
      </c>
      <c r="C714">
        <f>VLOOKUP(A714,'Production Plan'!B:F,5,FALSE)</f>
        <v/>
      </c>
    </row>
    <row r="715" hidden="1">
      <c r="A715">
        <f>'Production Plan'!B703</f>
        <v/>
      </c>
      <c r="B715">
        <f>VLOOKUP(A715,'Production Plan'!B:S,16,FALSE)</f>
        <v/>
      </c>
      <c r="C715">
        <f>VLOOKUP(A715,'Production Plan'!B:F,5,FALSE)</f>
        <v/>
      </c>
    </row>
    <row r="716" hidden="1">
      <c r="A716">
        <f>'Production Plan'!B704</f>
        <v/>
      </c>
      <c r="B716">
        <f>VLOOKUP(A716,'Production Plan'!B:S,16,FALSE)</f>
        <v/>
      </c>
      <c r="C716">
        <f>VLOOKUP(A716,'Production Plan'!B:F,5,FALSE)</f>
        <v/>
      </c>
    </row>
    <row r="717" hidden="1">
      <c r="A717">
        <f>'Production Plan'!B705</f>
        <v/>
      </c>
      <c r="B717">
        <f>VLOOKUP(A717,'Production Plan'!B:S,16,FALSE)</f>
        <v/>
      </c>
      <c r="C717">
        <f>VLOOKUP(A717,'Production Plan'!B:F,5,FALSE)</f>
        <v/>
      </c>
    </row>
    <row r="718" hidden="1">
      <c r="A718">
        <f>'Production Plan'!B706</f>
        <v/>
      </c>
      <c r="B718">
        <f>VLOOKUP(A718,'Production Plan'!B:S,16,FALSE)</f>
        <v/>
      </c>
      <c r="C718">
        <f>VLOOKUP(A718,'Production Plan'!B:F,5,FALSE)</f>
        <v/>
      </c>
    </row>
    <row r="719" hidden="1">
      <c r="A719">
        <f>'Production Plan'!B707</f>
        <v/>
      </c>
      <c r="B719">
        <f>VLOOKUP(A719,'Production Plan'!B:S,16,FALSE)</f>
        <v/>
      </c>
      <c r="C719">
        <f>VLOOKUP(A719,'Production Plan'!B:F,5,FALSE)</f>
        <v/>
      </c>
    </row>
    <row r="720" hidden="1">
      <c r="A720">
        <f>'Production Plan'!B708</f>
        <v/>
      </c>
      <c r="B720">
        <f>VLOOKUP(A720,'Production Plan'!B:S,16,FALSE)</f>
        <v/>
      </c>
      <c r="C720">
        <f>VLOOKUP(A720,'Production Plan'!B:F,5,FALSE)</f>
        <v/>
      </c>
    </row>
    <row r="721" hidden="1">
      <c r="A721">
        <f>'Production Plan'!B709</f>
        <v/>
      </c>
      <c r="B721">
        <f>VLOOKUP(A721,'Production Plan'!B:S,16,FALSE)</f>
        <v/>
      </c>
      <c r="C721">
        <f>VLOOKUP(A721,'Production Plan'!B:F,5,FALSE)</f>
        <v/>
      </c>
    </row>
    <row r="722" hidden="1">
      <c r="A722">
        <f>'Production Plan'!B710</f>
        <v/>
      </c>
      <c r="B722">
        <f>VLOOKUP(A722,'Production Plan'!B:S,16,FALSE)</f>
        <v/>
      </c>
      <c r="C722">
        <f>VLOOKUP(A722,'Production Plan'!B:F,5,FALSE)</f>
        <v/>
      </c>
    </row>
    <row r="723" hidden="1">
      <c r="A723">
        <f>'Production Plan'!B711</f>
        <v/>
      </c>
      <c r="B723">
        <f>VLOOKUP(A723,'Production Plan'!B:S,16,FALSE)</f>
        <v/>
      </c>
      <c r="C723">
        <f>VLOOKUP(A723,'Production Plan'!B:F,5,FALSE)</f>
        <v/>
      </c>
    </row>
    <row r="724" hidden="1">
      <c r="A724">
        <f>'Production Plan'!B712</f>
        <v/>
      </c>
      <c r="B724">
        <f>VLOOKUP(A724,'Production Plan'!B:S,16,FALSE)</f>
        <v/>
      </c>
      <c r="C724">
        <f>VLOOKUP(A724,'Production Plan'!B:F,5,FALSE)</f>
        <v/>
      </c>
    </row>
    <row r="725" hidden="1">
      <c r="A725">
        <f>'Production Plan'!B713</f>
        <v/>
      </c>
      <c r="B725">
        <f>VLOOKUP(A725,'Production Plan'!B:S,16,FALSE)</f>
        <v/>
      </c>
      <c r="C725">
        <f>VLOOKUP(A725,'Production Plan'!B:F,5,FALSE)</f>
        <v/>
      </c>
    </row>
    <row r="726" hidden="1">
      <c r="A726">
        <f>'Production Plan'!B714</f>
        <v/>
      </c>
      <c r="B726">
        <f>VLOOKUP(A726,'Production Plan'!B:S,16,FALSE)</f>
        <v/>
      </c>
      <c r="C726">
        <f>VLOOKUP(A726,'Production Plan'!B:F,5,FALSE)</f>
        <v/>
      </c>
    </row>
    <row r="727" hidden="1">
      <c r="A727">
        <f>'Production Plan'!B715</f>
        <v/>
      </c>
      <c r="B727">
        <f>VLOOKUP(A727,'Production Plan'!B:S,16,FALSE)</f>
        <v/>
      </c>
      <c r="C727">
        <f>VLOOKUP(A727,'Production Plan'!B:F,5,FALSE)</f>
        <v/>
      </c>
    </row>
    <row r="728" hidden="1">
      <c r="A728">
        <f>'Production Plan'!B716</f>
        <v/>
      </c>
      <c r="B728">
        <f>VLOOKUP(A728,'Production Plan'!B:S,16,FALSE)</f>
        <v/>
      </c>
      <c r="C728">
        <f>VLOOKUP(A728,'Production Plan'!B:F,5,FALSE)</f>
        <v/>
      </c>
    </row>
    <row r="729" hidden="1">
      <c r="A729">
        <f>'Production Plan'!B717</f>
        <v/>
      </c>
      <c r="B729">
        <f>VLOOKUP(A729,'Production Plan'!B:S,16,FALSE)</f>
        <v/>
      </c>
      <c r="C729">
        <f>VLOOKUP(A729,'Production Plan'!B:F,5,FALSE)</f>
        <v/>
      </c>
    </row>
    <row r="730" hidden="1">
      <c r="A730">
        <f>'Production Plan'!B718</f>
        <v/>
      </c>
      <c r="B730">
        <f>VLOOKUP(A730,'Production Plan'!B:S,16,FALSE)</f>
        <v/>
      </c>
      <c r="C730">
        <f>VLOOKUP(A730,'Production Plan'!B:F,5,FALSE)</f>
        <v/>
      </c>
    </row>
    <row r="731" hidden="1">
      <c r="A731">
        <f>'Production Plan'!B719</f>
        <v/>
      </c>
      <c r="B731">
        <f>VLOOKUP(A731,'Production Plan'!B:S,16,FALSE)</f>
        <v/>
      </c>
      <c r="C731">
        <f>VLOOKUP(A731,'Production Plan'!B:F,5,FALSE)</f>
        <v/>
      </c>
    </row>
    <row r="732" hidden="1">
      <c r="A732">
        <f>'Production Plan'!B720</f>
        <v/>
      </c>
      <c r="B732">
        <f>VLOOKUP(A732,'Production Plan'!B:S,16,FALSE)</f>
        <v/>
      </c>
      <c r="C732">
        <f>VLOOKUP(A732,'Production Plan'!B:F,5,FALSE)</f>
        <v/>
      </c>
    </row>
    <row r="733" hidden="1">
      <c r="A733">
        <f>'Production Plan'!B721</f>
        <v/>
      </c>
      <c r="B733">
        <f>VLOOKUP(A733,'Production Plan'!B:S,16,FALSE)</f>
        <v/>
      </c>
      <c r="C733">
        <f>VLOOKUP(A733,'Production Plan'!B:F,5,FALSE)</f>
        <v/>
      </c>
    </row>
    <row r="734" hidden="1">
      <c r="A734">
        <f>'Production Plan'!B722</f>
        <v/>
      </c>
      <c r="B734">
        <f>VLOOKUP(A734,'Production Plan'!B:S,16,FALSE)</f>
        <v/>
      </c>
      <c r="C734">
        <f>VLOOKUP(A734,'Production Plan'!B:F,5,FALSE)</f>
        <v/>
      </c>
    </row>
    <row r="735" hidden="1">
      <c r="A735">
        <f>'Production Plan'!B723</f>
        <v/>
      </c>
      <c r="B735">
        <f>VLOOKUP(A735,'Production Plan'!B:S,16,FALSE)</f>
        <v/>
      </c>
      <c r="C735">
        <f>VLOOKUP(A735,'Production Plan'!B:F,5,FALSE)</f>
        <v/>
      </c>
    </row>
    <row r="736" hidden="1">
      <c r="A736">
        <f>'Production Plan'!B724</f>
        <v/>
      </c>
      <c r="B736">
        <f>VLOOKUP(A736,'Production Plan'!B:S,16,FALSE)</f>
        <v/>
      </c>
      <c r="C736">
        <f>VLOOKUP(A736,'Production Plan'!B:F,5,FALSE)</f>
        <v/>
      </c>
    </row>
    <row r="737" hidden="1">
      <c r="A737">
        <f>'Production Plan'!B725</f>
        <v/>
      </c>
      <c r="B737">
        <f>VLOOKUP(A737,'Production Plan'!B:S,16,FALSE)</f>
        <v/>
      </c>
      <c r="C737">
        <f>VLOOKUP(A737,'Production Plan'!B:F,5,FALSE)</f>
        <v/>
      </c>
    </row>
    <row r="738" hidden="1">
      <c r="A738">
        <f>'Production Plan'!B726</f>
        <v/>
      </c>
      <c r="B738">
        <f>VLOOKUP(A738,'Production Plan'!B:S,16,FALSE)</f>
        <v/>
      </c>
      <c r="C738">
        <f>VLOOKUP(A738,'Production Plan'!B:F,5,FALSE)</f>
        <v/>
      </c>
    </row>
    <row r="739" hidden="1">
      <c r="A739">
        <f>'Production Plan'!B727</f>
        <v/>
      </c>
      <c r="B739">
        <f>VLOOKUP(A739,'Production Plan'!B:S,16,FALSE)</f>
        <v/>
      </c>
      <c r="C739">
        <f>VLOOKUP(A739,'Production Plan'!B:F,5,FALSE)</f>
        <v/>
      </c>
    </row>
    <row r="740" hidden="1">
      <c r="A740">
        <f>'Production Plan'!B728</f>
        <v/>
      </c>
      <c r="B740">
        <f>VLOOKUP(A740,'Production Plan'!B:S,16,FALSE)</f>
        <v/>
      </c>
      <c r="C740">
        <f>VLOOKUP(A740,'Production Plan'!B:F,5,FALSE)</f>
        <v/>
      </c>
    </row>
    <row r="741" hidden="1">
      <c r="A741">
        <f>'Production Plan'!B729</f>
        <v/>
      </c>
      <c r="B741">
        <f>VLOOKUP(A741,'Production Plan'!B:S,16,FALSE)</f>
        <v/>
      </c>
      <c r="C741">
        <f>VLOOKUP(A741,'Production Plan'!B:F,5,FALSE)</f>
        <v/>
      </c>
    </row>
    <row r="742" hidden="1">
      <c r="A742">
        <f>'Production Plan'!B730</f>
        <v/>
      </c>
      <c r="B742">
        <f>VLOOKUP(A742,'Production Plan'!B:S,16,FALSE)</f>
        <v/>
      </c>
      <c r="C742">
        <f>VLOOKUP(A742,'Production Plan'!B:F,5,FALSE)</f>
        <v/>
      </c>
    </row>
    <row r="743" hidden="1">
      <c r="A743">
        <f>'Production Plan'!B731</f>
        <v/>
      </c>
      <c r="B743">
        <f>VLOOKUP(A743,'Production Plan'!B:S,16,FALSE)</f>
        <v/>
      </c>
      <c r="C743">
        <f>VLOOKUP(A743,'Production Plan'!B:F,5,FALSE)</f>
        <v/>
      </c>
    </row>
    <row r="744" hidden="1">
      <c r="A744">
        <f>'Production Plan'!B732</f>
        <v/>
      </c>
      <c r="B744">
        <f>VLOOKUP(A744,'Production Plan'!B:S,16,FALSE)</f>
        <v/>
      </c>
      <c r="C744">
        <f>VLOOKUP(A744,'Production Plan'!B:F,5,FALSE)</f>
        <v/>
      </c>
    </row>
    <row r="745" hidden="1">
      <c r="A745">
        <f>'Production Plan'!B733</f>
        <v/>
      </c>
      <c r="B745">
        <f>VLOOKUP(A745,'Production Plan'!B:S,16,FALSE)</f>
        <v/>
      </c>
      <c r="C745">
        <f>VLOOKUP(A745,'Production Plan'!B:F,5,FALSE)</f>
        <v/>
      </c>
    </row>
    <row r="746" hidden="1">
      <c r="A746">
        <f>'Production Plan'!B734</f>
        <v/>
      </c>
      <c r="B746">
        <f>VLOOKUP(A746,'Production Plan'!B:S,16,FALSE)</f>
        <v/>
      </c>
      <c r="C746">
        <f>VLOOKUP(A746,'Production Plan'!B:F,5,FALSE)</f>
        <v/>
      </c>
    </row>
    <row r="747" hidden="1">
      <c r="A747">
        <f>'Production Plan'!B735</f>
        <v/>
      </c>
      <c r="B747">
        <f>VLOOKUP(A747,'Production Plan'!B:S,16,FALSE)</f>
        <v/>
      </c>
      <c r="C747">
        <f>VLOOKUP(A747,'Production Plan'!B:F,5,FALSE)</f>
        <v/>
      </c>
    </row>
    <row r="748" hidden="1">
      <c r="A748">
        <f>'Production Plan'!B736</f>
        <v/>
      </c>
      <c r="B748">
        <f>VLOOKUP(A748,'Production Plan'!B:S,16,FALSE)</f>
        <v/>
      </c>
      <c r="C748">
        <f>VLOOKUP(A748,'Production Plan'!B:F,5,FALSE)</f>
        <v/>
      </c>
    </row>
    <row r="749" hidden="1">
      <c r="A749">
        <f>'Production Plan'!B737</f>
        <v/>
      </c>
      <c r="B749">
        <f>VLOOKUP(A749,'Production Plan'!B:S,16,FALSE)</f>
        <v/>
      </c>
      <c r="C749">
        <f>VLOOKUP(A749,'Production Plan'!B:F,5,FALSE)</f>
        <v/>
      </c>
    </row>
    <row r="750" hidden="1">
      <c r="A750">
        <f>'Production Plan'!B738</f>
        <v/>
      </c>
      <c r="B750">
        <f>VLOOKUP(A750,'Production Plan'!B:S,16,FALSE)</f>
        <v/>
      </c>
      <c r="C750">
        <f>VLOOKUP(A750,'Production Plan'!B:F,5,FALSE)</f>
        <v/>
      </c>
    </row>
    <row r="751" hidden="1">
      <c r="A751">
        <f>'Production Plan'!B739</f>
        <v/>
      </c>
      <c r="B751">
        <f>VLOOKUP(A751,'Production Plan'!B:S,16,FALSE)</f>
        <v/>
      </c>
      <c r="C751">
        <f>VLOOKUP(A751,'Production Plan'!B:F,5,FALSE)</f>
        <v/>
      </c>
    </row>
    <row r="752" hidden="1">
      <c r="A752">
        <f>'Production Plan'!B740</f>
        <v/>
      </c>
      <c r="B752">
        <f>VLOOKUP(A752,'Production Plan'!B:S,16,FALSE)</f>
        <v/>
      </c>
      <c r="C752">
        <f>VLOOKUP(A752,'Production Plan'!B:F,5,FALSE)</f>
        <v/>
      </c>
    </row>
    <row r="753" hidden="1">
      <c r="A753">
        <f>'Production Plan'!B741</f>
        <v/>
      </c>
      <c r="B753">
        <f>VLOOKUP(A753,'Production Plan'!B:S,16,FALSE)</f>
        <v/>
      </c>
      <c r="C753">
        <f>VLOOKUP(A753,'Production Plan'!B:F,5,FALSE)</f>
        <v/>
      </c>
    </row>
    <row r="754" hidden="1">
      <c r="A754">
        <f>'Production Plan'!B742</f>
        <v/>
      </c>
      <c r="B754">
        <f>VLOOKUP(A754,'Production Plan'!B:S,16,FALSE)</f>
        <v/>
      </c>
      <c r="C754">
        <f>VLOOKUP(A754,'Production Plan'!B:F,5,FALSE)</f>
        <v/>
      </c>
    </row>
    <row r="755" hidden="1">
      <c r="A755">
        <f>'Production Plan'!B743</f>
        <v/>
      </c>
      <c r="B755">
        <f>VLOOKUP(A755,'Production Plan'!B:S,16,FALSE)</f>
        <v/>
      </c>
      <c r="C755">
        <f>VLOOKUP(A755,'Production Plan'!B:F,5,FALSE)</f>
        <v/>
      </c>
    </row>
    <row r="756" hidden="1">
      <c r="A756">
        <f>'Production Plan'!B744</f>
        <v/>
      </c>
      <c r="B756">
        <f>VLOOKUP(A756,'Production Plan'!B:S,16,FALSE)</f>
        <v/>
      </c>
      <c r="C756">
        <f>VLOOKUP(A756,'Production Plan'!B:F,5,FALSE)</f>
        <v/>
      </c>
    </row>
    <row r="757" hidden="1">
      <c r="A757">
        <f>'Production Plan'!B745</f>
        <v/>
      </c>
      <c r="B757">
        <f>VLOOKUP(A757,'Production Plan'!B:S,16,FALSE)</f>
        <v/>
      </c>
      <c r="C757">
        <f>VLOOKUP(A757,'Production Plan'!B:F,5,FALSE)</f>
        <v/>
      </c>
    </row>
    <row r="758" hidden="1">
      <c r="A758">
        <f>'Production Plan'!B746</f>
        <v/>
      </c>
      <c r="B758">
        <f>VLOOKUP(A758,'Production Plan'!B:S,16,FALSE)</f>
        <v/>
      </c>
      <c r="C758">
        <f>VLOOKUP(A758,'Production Plan'!B:F,5,FALSE)</f>
        <v/>
      </c>
    </row>
    <row r="759" hidden="1">
      <c r="A759">
        <f>'Production Plan'!B747</f>
        <v/>
      </c>
      <c r="B759">
        <f>VLOOKUP(A759,'Production Plan'!B:S,16,FALSE)</f>
        <v/>
      </c>
      <c r="C759">
        <f>VLOOKUP(A759,'Production Plan'!B:F,5,FALSE)</f>
        <v/>
      </c>
    </row>
    <row r="760" hidden="1">
      <c r="A760">
        <f>'Production Plan'!B748</f>
        <v/>
      </c>
      <c r="B760">
        <f>VLOOKUP(A760,'Production Plan'!B:S,16,FALSE)</f>
        <v/>
      </c>
      <c r="C760">
        <f>VLOOKUP(A760,'Production Plan'!B:F,5,FALSE)</f>
        <v/>
      </c>
    </row>
    <row r="761" hidden="1">
      <c r="A761">
        <f>'Production Plan'!B749</f>
        <v/>
      </c>
      <c r="B761">
        <f>VLOOKUP(A761,'Production Plan'!B:S,16,FALSE)</f>
        <v/>
      </c>
      <c r="C761">
        <f>VLOOKUP(A761,'Production Plan'!B:F,5,FALSE)</f>
        <v/>
      </c>
    </row>
    <row r="762" hidden="1">
      <c r="A762">
        <f>'Production Plan'!B750</f>
        <v/>
      </c>
      <c r="B762">
        <f>VLOOKUP(A762,'Production Plan'!B:S,16,FALSE)</f>
        <v/>
      </c>
      <c r="C762">
        <f>VLOOKUP(A762,'Production Plan'!B:F,5,FALSE)</f>
        <v/>
      </c>
    </row>
    <row r="763" hidden="1">
      <c r="A763">
        <f>'Production Plan'!B751</f>
        <v/>
      </c>
      <c r="B763">
        <f>VLOOKUP(A763,'Production Plan'!B:S,16,FALSE)</f>
        <v/>
      </c>
      <c r="C763">
        <f>VLOOKUP(A763,'Production Plan'!B:F,5,FALSE)</f>
        <v/>
      </c>
    </row>
    <row r="764" hidden="1">
      <c r="A764">
        <f>'Production Plan'!B752</f>
        <v/>
      </c>
      <c r="B764">
        <f>VLOOKUP(A764,'Production Plan'!B:S,16,FALSE)</f>
        <v/>
      </c>
      <c r="C764">
        <f>VLOOKUP(A764,'Production Plan'!B:F,5,FALSE)</f>
        <v/>
      </c>
    </row>
    <row r="765" hidden="1">
      <c r="A765">
        <f>'Production Plan'!B753</f>
        <v/>
      </c>
      <c r="B765">
        <f>VLOOKUP(A765,'Production Plan'!B:S,16,FALSE)</f>
        <v/>
      </c>
      <c r="C765">
        <f>VLOOKUP(A765,'Production Plan'!B:F,5,FALSE)</f>
        <v/>
      </c>
    </row>
    <row r="766" hidden="1">
      <c r="A766">
        <f>'Production Plan'!B754</f>
        <v/>
      </c>
      <c r="B766">
        <f>VLOOKUP(A766,'Production Plan'!B:S,16,FALSE)</f>
        <v/>
      </c>
      <c r="C766">
        <f>VLOOKUP(A766,'Production Plan'!B:F,5,FALSE)</f>
        <v/>
      </c>
    </row>
    <row r="767" hidden="1">
      <c r="A767">
        <f>'Production Plan'!B755</f>
        <v/>
      </c>
      <c r="B767">
        <f>VLOOKUP(A767,'Production Plan'!B:S,16,FALSE)</f>
        <v/>
      </c>
      <c r="C767">
        <f>VLOOKUP(A767,'Production Plan'!B:F,5,FALSE)</f>
        <v/>
      </c>
    </row>
    <row r="768" hidden="1">
      <c r="A768">
        <f>'Production Plan'!B756</f>
        <v/>
      </c>
      <c r="B768">
        <f>VLOOKUP(A768,'Production Plan'!B:S,16,FALSE)</f>
        <v/>
      </c>
      <c r="C768">
        <f>VLOOKUP(A768,'Production Plan'!B:F,5,FALSE)</f>
        <v/>
      </c>
    </row>
    <row r="769" hidden="1">
      <c r="A769">
        <f>'Production Plan'!B757</f>
        <v/>
      </c>
      <c r="B769">
        <f>VLOOKUP(A769,'Production Plan'!B:S,16,FALSE)</f>
        <v/>
      </c>
      <c r="C769">
        <f>VLOOKUP(A769,'Production Plan'!B:F,5,FALSE)</f>
        <v/>
      </c>
    </row>
    <row r="770" hidden="1">
      <c r="A770">
        <f>'Production Plan'!B758</f>
        <v/>
      </c>
      <c r="B770">
        <f>VLOOKUP(A770,'Production Plan'!B:S,16,FALSE)</f>
        <v/>
      </c>
      <c r="C770">
        <f>VLOOKUP(A770,'Production Plan'!B:F,5,FALSE)</f>
        <v/>
      </c>
    </row>
    <row r="771" hidden="1">
      <c r="A771">
        <f>'Production Plan'!B759</f>
        <v/>
      </c>
      <c r="B771">
        <f>VLOOKUP(A771,'Production Plan'!B:S,16,FALSE)</f>
        <v/>
      </c>
      <c r="C771">
        <f>VLOOKUP(A771,'Production Plan'!B:F,5,FALSE)</f>
        <v/>
      </c>
    </row>
    <row r="772" hidden="1">
      <c r="A772">
        <f>'Production Plan'!B760</f>
        <v/>
      </c>
      <c r="B772">
        <f>VLOOKUP(A772,'Production Plan'!B:S,16,FALSE)</f>
        <v/>
      </c>
      <c r="C772">
        <f>VLOOKUP(A772,'Production Plan'!B:F,5,FALSE)</f>
        <v/>
      </c>
    </row>
    <row r="773" hidden="1">
      <c r="A773">
        <f>'Production Plan'!B761</f>
        <v/>
      </c>
      <c r="B773">
        <f>VLOOKUP(A773,'Production Plan'!B:S,16,FALSE)</f>
        <v/>
      </c>
      <c r="C773">
        <f>VLOOKUP(A773,'Production Plan'!B:F,5,FALSE)</f>
        <v/>
      </c>
    </row>
    <row r="774" hidden="1">
      <c r="A774">
        <f>'Production Plan'!B762</f>
        <v/>
      </c>
      <c r="B774">
        <f>VLOOKUP(A774,'Production Plan'!B:S,16,FALSE)</f>
        <v/>
      </c>
      <c r="C774">
        <f>VLOOKUP(A774,'Production Plan'!B:F,5,FALSE)</f>
        <v/>
      </c>
    </row>
    <row r="775" hidden="1">
      <c r="A775">
        <f>'Production Plan'!B763</f>
        <v/>
      </c>
      <c r="B775">
        <f>VLOOKUP(A775,'Production Plan'!B:S,16,FALSE)</f>
        <v/>
      </c>
      <c r="C775">
        <f>VLOOKUP(A775,'Production Plan'!B:F,5,FALSE)</f>
        <v/>
      </c>
    </row>
    <row r="776" hidden="1">
      <c r="A776">
        <f>'Production Plan'!B764</f>
        <v/>
      </c>
      <c r="B776">
        <f>VLOOKUP(A776,'Production Plan'!B:S,16,FALSE)</f>
        <v/>
      </c>
      <c r="C776">
        <f>VLOOKUP(A776,'Production Plan'!B:F,5,FALSE)</f>
        <v/>
      </c>
    </row>
    <row r="777" hidden="1">
      <c r="A777">
        <f>'Production Plan'!B765</f>
        <v/>
      </c>
      <c r="B777">
        <f>VLOOKUP(A777,'Production Plan'!B:S,16,FALSE)</f>
        <v/>
      </c>
      <c r="C777">
        <f>VLOOKUP(A777,'Production Plan'!B:F,5,FALSE)</f>
        <v/>
      </c>
    </row>
    <row r="778" hidden="1">
      <c r="A778">
        <f>'Production Plan'!B766</f>
        <v/>
      </c>
      <c r="B778">
        <f>VLOOKUP(A778,'Production Plan'!B:S,16,FALSE)</f>
        <v/>
      </c>
      <c r="C778">
        <f>VLOOKUP(A778,'Production Plan'!B:F,5,FALSE)</f>
        <v/>
      </c>
    </row>
    <row r="779" hidden="1">
      <c r="A779">
        <f>'Production Plan'!B767</f>
        <v/>
      </c>
      <c r="B779">
        <f>VLOOKUP(A779,'Production Plan'!B:S,16,FALSE)</f>
        <v/>
      </c>
      <c r="C779">
        <f>VLOOKUP(A779,'Production Plan'!B:F,5,FALSE)</f>
        <v/>
      </c>
    </row>
    <row r="780" hidden="1">
      <c r="A780">
        <f>'Production Plan'!B768</f>
        <v/>
      </c>
      <c r="B780">
        <f>VLOOKUP(A780,'Production Plan'!B:S,16,FALSE)</f>
        <v/>
      </c>
      <c r="C780">
        <f>VLOOKUP(A780,'Production Plan'!B:F,5,FALSE)</f>
        <v/>
      </c>
    </row>
    <row r="781" hidden="1">
      <c r="A781">
        <f>'Production Plan'!B769</f>
        <v/>
      </c>
      <c r="B781">
        <f>VLOOKUP(A781,'Production Plan'!B:S,16,FALSE)</f>
        <v/>
      </c>
      <c r="C781">
        <f>VLOOKUP(A781,'Production Plan'!B:F,5,FALSE)</f>
        <v/>
      </c>
    </row>
    <row r="782" hidden="1">
      <c r="A782">
        <f>'Production Plan'!B770</f>
        <v/>
      </c>
      <c r="B782">
        <f>VLOOKUP(A782,'Production Plan'!B:S,16,FALSE)</f>
        <v/>
      </c>
      <c r="C782">
        <f>VLOOKUP(A782,'Production Plan'!B:F,5,FALSE)</f>
        <v/>
      </c>
    </row>
    <row r="783" hidden="1">
      <c r="A783">
        <f>'Production Plan'!B771</f>
        <v/>
      </c>
      <c r="B783">
        <f>VLOOKUP(A783,'Production Plan'!B:S,16,FALSE)</f>
        <v/>
      </c>
      <c r="C783">
        <f>VLOOKUP(A783,'Production Plan'!B:F,5,FALSE)</f>
        <v/>
      </c>
    </row>
    <row r="784" hidden="1">
      <c r="A784">
        <f>'Production Plan'!B772</f>
        <v/>
      </c>
      <c r="B784">
        <f>VLOOKUP(A784,'Production Plan'!B:S,16,FALSE)</f>
        <v/>
      </c>
      <c r="C784">
        <f>VLOOKUP(A784,'Production Plan'!B:F,5,FALSE)</f>
        <v/>
      </c>
    </row>
    <row r="785" hidden="1">
      <c r="A785">
        <f>'Production Plan'!B773</f>
        <v/>
      </c>
      <c r="B785">
        <f>VLOOKUP(A785,'Production Plan'!B:S,16,FALSE)</f>
        <v/>
      </c>
      <c r="C785">
        <f>VLOOKUP(A785,'Production Plan'!B:F,5,FALSE)</f>
        <v/>
      </c>
    </row>
    <row r="786" hidden="1">
      <c r="A786">
        <f>'Production Plan'!B774</f>
        <v/>
      </c>
      <c r="B786">
        <f>VLOOKUP(A786,'Production Plan'!B:S,16,FALSE)</f>
        <v/>
      </c>
      <c r="C786">
        <f>VLOOKUP(A786,'Production Plan'!B:F,5,FALSE)</f>
        <v/>
      </c>
    </row>
    <row r="787" hidden="1">
      <c r="A787">
        <f>'Production Plan'!B775</f>
        <v/>
      </c>
      <c r="B787">
        <f>VLOOKUP(A787,'Production Plan'!B:S,16,FALSE)</f>
        <v/>
      </c>
      <c r="C787">
        <f>VLOOKUP(A787,'Production Plan'!B:F,5,FALSE)</f>
        <v/>
      </c>
    </row>
    <row r="788" hidden="1">
      <c r="A788">
        <f>'Production Plan'!B776</f>
        <v/>
      </c>
      <c r="B788">
        <f>VLOOKUP(A788,'Production Plan'!B:S,16,FALSE)</f>
        <v/>
      </c>
      <c r="C788">
        <f>VLOOKUP(A788,'Production Plan'!B:F,5,FALSE)</f>
        <v/>
      </c>
    </row>
    <row r="789" hidden="1">
      <c r="A789">
        <f>'Production Plan'!B777</f>
        <v/>
      </c>
      <c r="B789">
        <f>VLOOKUP(A789,'Production Plan'!B:S,16,FALSE)</f>
        <v/>
      </c>
      <c r="C789">
        <f>VLOOKUP(A789,'Production Plan'!B:F,5,FALSE)</f>
        <v/>
      </c>
    </row>
    <row r="790" hidden="1">
      <c r="A790">
        <f>'Production Plan'!B778</f>
        <v/>
      </c>
      <c r="B790">
        <f>VLOOKUP(A790,'Production Plan'!B:S,16,FALSE)</f>
        <v/>
      </c>
      <c r="C790">
        <f>VLOOKUP(A790,'Production Plan'!B:F,5,FALSE)</f>
        <v/>
      </c>
    </row>
    <row r="791" hidden="1">
      <c r="A791">
        <f>'Production Plan'!B779</f>
        <v/>
      </c>
      <c r="B791">
        <f>VLOOKUP(A791,'Production Plan'!B:S,16,FALSE)</f>
        <v/>
      </c>
      <c r="C791">
        <f>VLOOKUP(A791,'Production Plan'!B:F,5,FALSE)</f>
        <v/>
      </c>
    </row>
    <row r="792" hidden="1">
      <c r="A792">
        <f>'Production Plan'!B780</f>
        <v/>
      </c>
      <c r="B792">
        <f>VLOOKUP(A792,'Production Plan'!B:S,16,FALSE)</f>
        <v/>
      </c>
      <c r="C792">
        <f>VLOOKUP(A792,'Production Plan'!B:F,5,FALSE)</f>
        <v/>
      </c>
    </row>
    <row r="793" hidden="1">
      <c r="A793">
        <f>'Production Plan'!B781</f>
        <v/>
      </c>
      <c r="B793">
        <f>VLOOKUP(A793,'Production Plan'!B:S,16,FALSE)</f>
        <v/>
      </c>
      <c r="C793">
        <f>VLOOKUP(A793,'Production Plan'!B:F,5,FALSE)</f>
        <v/>
      </c>
    </row>
    <row r="794" hidden="1">
      <c r="A794">
        <f>'Production Plan'!B782</f>
        <v/>
      </c>
      <c r="B794">
        <f>VLOOKUP(A794,'Production Plan'!B:S,16,FALSE)</f>
        <v/>
      </c>
      <c r="C794">
        <f>VLOOKUP(A794,'Production Plan'!B:F,5,FALSE)</f>
        <v/>
      </c>
    </row>
    <row r="795" hidden="1">
      <c r="A795">
        <f>'Production Plan'!B783</f>
        <v/>
      </c>
      <c r="B795">
        <f>VLOOKUP(A795,'Production Plan'!B:S,16,FALSE)</f>
        <v/>
      </c>
      <c r="C795">
        <f>VLOOKUP(A795,'Production Plan'!B:F,5,FALSE)</f>
        <v/>
      </c>
    </row>
    <row r="796" hidden="1">
      <c r="A796">
        <f>'Production Plan'!B784</f>
        <v/>
      </c>
      <c r="B796">
        <f>VLOOKUP(A796,'Production Plan'!B:S,16,FALSE)</f>
        <v/>
      </c>
      <c r="C796">
        <f>VLOOKUP(A796,'Production Plan'!B:F,5,FALSE)</f>
        <v/>
      </c>
    </row>
    <row r="797" hidden="1">
      <c r="A797">
        <f>'Production Plan'!B785</f>
        <v/>
      </c>
      <c r="B797">
        <f>VLOOKUP(A797,'Production Plan'!B:S,16,FALSE)</f>
        <v/>
      </c>
      <c r="C797">
        <f>VLOOKUP(A797,'Production Plan'!B:F,5,FALSE)</f>
        <v/>
      </c>
    </row>
    <row r="798" hidden="1">
      <c r="A798">
        <f>'Production Plan'!B786</f>
        <v/>
      </c>
      <c r="B798">
        <f>VLOOKUP(A798,'Production Plan'!B:S,16,FALSE)</f>
        <v/>
      </c>
      <c r="C798">
        <f>VLOOKUP(A798,'Production Plan'!B:F,5,FALSE)</f>
        <v/>
      </c>
    </row>
    <row r="799" hidden="1">
      <c r="A799">
        <f>'Production Plan'!B787</f>
        <v/>
      </c>
      <c r="B799">
        <f>VLOOKUP(A799,'Production Plan'!B:S,16,FALSE)</f>
        <v/>
      </c>
      <c r="C799">
        <f>VLOOKUP(A799,'Production Plan'!B:F,5,FALSE)</f>
        <v/>
      </c>
    </row>
    <row r="800" hidden="1">
      <c r="A800">
        <f>'Production Plan'!B788</f>
        <v/>
      </c>
      <c r="B800">
        <f>VLOOKUP(A800,'Production Plan'!B:S,16,FALSE)</f>
        <v/>
      </c>
      <c r="C800">
        <f>VLOOKUP(A800,'Production Plan'!B:F,5,FALSE)</f>
        <v/>
      </c>
    </row>
    <row r="801" hidden="1">
      <c r="A801">
        <f>'Production Plan'!B789</f>
        <v/>
      </c>
      <c r="B801">
        <f>VLOOKUP(A801,'Production Plan'!B:S,16,FALSE)</f>
        <v/>
      </c>
      <c r="C801">
        <f>VLOOKUP(A801,'Production Plan'!B:F,5,FALSE)</f>
        <v/>
      </c>
    </row>
    <row r="802" hidden="1">
      <c r="A802">
        <f>'Production Plan'!B790</f>
        <v/>
      </c>
      <c r="B802">
        <f>VLOOKUP(A802,'Production Plan'!B:S,16,FALSE)</f>
        <v/>
      </c>
      <c r="C802">
        <f>VLOOKUP(A802,'Production Plan'!B:F,5,FALSE)</f>
        <v/>
      </c>
    </row>
    <row r="803" hidden="1">
      <c r="A803">
        <f>'Production Plan'!B791</f>
        <v/>
      </c>
      <c r="B803">
        <f>VLOOKUP(A803,'Production Plan'!B:S,16,FALSE)</f>
        <v/>
      </c>
      <c r="C803">
        <f>VLOOKUP(A803,'Production Plan'!B:F,5,FALSE)</f>
        <v/>
      </c>
    </row>
    <row r="804" hidden="1">
      <c r="A804">
        <f>'Production Plan'!B792</f>
        <v/>
      </c>
      <c r="B804">
        <f>VLOOKUP(A804,'Production Plan'!B:S,16,FALSE)</f>
        <v/>
      </c>
      <c r="C804">
        <f>VLOOKUP(A804,'Production Plan'!B:F,5,FALSE)</f>
        <v/>
      </c>
    </row>
    <row r="805" hidden="1">
      <c r="A805">
        <f>'Production Plan'!B793</f>
        <v/>
      </c>
      <c r="B805">
        <f>VLOOKUP(A805,'Production Plan'!B:S,16,FALSE)</f>
        <v/>
      </c>
      <c r="C805">
        <f>VLOOKUP(A805,'Production Plan'!B:F,5,FALSE)</f>
        <v/>
      </c>
    </row>
    <row r="806" hidden="1">
      <c r="A806">
        <f>'Production Plan'!B794</f>
        <v/>
      </c>
      <c r="B806">
        <f>VLOOKUP(A806,'Production Plan'!B:S,16,FALSE)</f>
        <v/>
      </c>
      <c r="C806">
        <f>VLOOKUP(A806,'Production Plan'!B:F,5,FALSE)</f>
        <v/>
      </c>
    </row>
    <row r="807" hidden="1">
      <c r="A807">
        <f>'Production Plan'!B795</f>
        <v/>
      </c>
      <c r="B807">
        <f>VLOOKUP(A807,'Production Plan'!B:S,16,FALSE)</f>
        <v/>
      </c>
      <c r="C807">
        <f>VLOOKUP(A807,'Production Plan'!B:F,5,FALSE)</f>
        <v/>
      </c>
    </row>
    <row r="808" hidden="1">
      <c r="A808">
        <f>'Production Plan'!B796</f>
        <v/>
      </c>
      <c r="B808">
        <f>VLOOKUP(A808,'Production Plan'!B:S,16,FALSE)</f>
        <v/>
      </c>
      <c r="C808">
        <f>VLOOKUP(A808,'Production Plan'!B:F,5,FALSE)</f>
        <v/>
      </c>
    </row>
    <row r="809" hidden="1">
      <c r="A809">
        <f>'Production Plan'!B797</f>
        <v/>
      </c>
      <c r="B809">
        <f>VLOOKUP(A809,'Production Plan'!B:S,16,FALSE)</f>
        <v/>
      </c>
      <c r="C809">
        <f>VLOOKUP(A809,'Production Plan'!B:F,5,FALSE)</f>
        <v/>
      </c>
    </row>
    <row r="810" hidden="1">
      <c r="A810">
        <f>'Production Plan'!B798</f>
        <v/>
      </c>
      <c r="B810">
        <f>VLOOKUP(A810,'Production Plan'!B:S,16,FALSE)</f>
        <v/>
      </c>
      <c r="C810">
        <f>VLOOKUP(A810,'Production Plan'!B:F,5,FALSE)</f>
        <v/>
      </c>
    </row>
    <row r="811" hidden="1">
      <c r="A811">
        <f>'Production Plan'!B799</f>
        <v/>
      </c>
      <c r="B811">
        <f>VLOOKUP(A811,'Production Plan'!B:S,16,FALSE)</f>
        <v/>
      </c>
      <c r="C811">
        <f>VLOOKUP(A811,'Production Plan'!B:F,5,FALSE)</f>
        <v/>
      </c>
    </row>
    <row r="812" hidden="1">
      <c r="A812">
        <f>'Production Plan'!B800</f>
        <v/>
      </c>
      <c r="B812">
        <f>VLOOKUP(A812,'Production Plan'!B:S,16,FALSE)</f>
        <v/>
      </c>
      <c r="C812">
        <f>VLOOKUP(A812,'Production Plan'!B:F,5,FALSE)</f>
        <v/>
      </c>
    </row>
    <row r="813" hidden="1">
      <c r="A813">
        <f>'Production Plan'!B801</f>
        <v/>
      </c>
      <c r="B813">
        <f>VLOOKUP(A813,'Production Plan'!B:S,16,FALSE)</f>
        <v/>
      </c>
      <c r="C813">
        <f>VLOOKUP(A813,'Production Plan'!B:F,5,FALSE)</f>
        <v/>
      </c>
    </row>
    <row r="814" hidden="1">
      <c r="A814">
        <f>'Production Plan'!B802</f>
        <v/>
      </c>
      <c r="B814">
        <f>VLOOKUP(A814,'Production Plan'!B:S,16,FALSE)</f>
        <v/>
      </c>
      <c r="C814">
        <f>VLOOKUP(A814,'Production Plan'!B:F,5,FALSE)</f>
        <v/>
      </c>
    </row>
    <row r="815" hidden="1">
      <c r="A815">
        <f>'Production Plan'!B803</f>
        <v/>
      </c>
      <c r="B815">
        <f>VLOOKUP(A815,'Production Plan'!B:S,16,FALSE)</f>
        <v/>
      </c>
      <c r="C815">
        <f>VLOOKUP(A815,'Production Plan'!B:F,5,FALSE)</f>
        <v/>
      </c>
    </row>
    <row r="816" hidden="1">
      <c r="A816">
        <f>'Production Plan'!B804</f>
        <v/>
      </c>
      <c r="B816">
        <f>VLOOKUP(A816,'Production Plan'!B:S,16,FALSE)</f>
        <v/>
      </c>
      <c r="C816">
        <f>VLOOKUP(A816,'Production Plan'!B:F,5,FALSE)</f>
        <v/>
      </c>
    </row>
    <row r="817" hidden="1">
      <c r="A817">
        <f>'Production Plan'!B805</f>
        <v/>
      </c>
      <c r="B817">
        <f>VLOOKUP(A817,'Production Plan'!B:S,16,FALSE)</f>
        <v/>
      </c>
      <c r="C817">
        <f>VLOOKUP(A817,'Production Plan'!B:F,5,FALSE)</f>
        <v/>
      </c>
    </row>
    <row r="818" hidden="1">
      <c r="A818">
        <f>'Production Plan'!B806</f>
        <v/>
      </c>
      <c r="B818">
        <f>VLOOKUP(A818,'Production Plan'!B:S,16,FALSE)</f>
        <v/>
      </c>
      <c r="C818">
        <f>VLOOKUP(A818,'Production Plan'!B:F,5,FALSE)</f>
        <v/>
      </c>
    </row>
    <row r="819" hidden="1">
      <c r="A819">
        <f>'Production Plan'!B807</f>
        <v/>
      </c>
      <c r="B819">
        <f>VLOOKUP(A819,'Production Plan'!B:S,16,FALSE)</f>
        <v/>
      </c>
      <c r="C819">
        <f>VLOOKUP(A819,'Production Plan'!B:F,5,FALSE)</f>
        <v/>
      </c>
    </row>
    <row r="820" hidden="1">
      <c r="A820">
        <f>'Production Plan'!B808</f>
        <v/>
      </c>
      <c r="B820">
        <f>VLOOKUP(A820,'Production Plan'!B:S,16,FALSE)</f>
        <v/>
      </c>
      <c r="C820">
        <f>VLOOKUP(A820,'Production Plan'!B:F,5,FALSE)</f>
        <v/>
      </c>
    </row>
    <row r="821" hidden="1">
      <c r="A821">
        <f>'Production Plan'!B809</f>
        <v/>
      </c>
      <c r="B821">
        <f>VLOOKUP(A821,'Production Plan'!B:S,16,FALSE)</f>
        <v/>
      </c>
      <c r="C821">
        <f>VLOOKUP(A821,'Production Plan'!B:F,5,FALSE)</f>
        <v/>
      </c>
    </row>
    <row r="822" hidden="1">
      <c r="A822">
        <f>'Production Plan'!B810</f>
        <v/>
      </c>
      <c r="B822">
        <f>VLOOKUP(A822,'Production Plan'!B:S,16,FALSE)</f>
        <v/>
      </c>
      <c r="C822">
        <f>VLOOKUP(A822,'Production Plan'!B:F,5,FALSE)</f>
        <v/>
      </c>
    </row>
    <row r="823" hidden="1">
      <c r="A823">
        <f>'Production Plan'!B811</f>
        <v/>
      </c>
      <c r="B823">
        <f>VLOOKUP(A823,'Production Plan'!B:S,16,FALSE)</f>
        <v/>
      </c>
      <c r="C823">
        <f>VLOOKUP(A823,'Production Plan'!B:F,5,FALSE)</f>
        <v/>
      </c>
    </row>
    <row r="824" hidden="1">
      <c r="A824">
        <f>'Production Plan'!B812</f>
        <v/>
      </c>
      <c r="B824">
        <f>VLOOKUP(A824,'Production Plan'!B:S,16,FALSE)</f>
        <v/>
      </c>
      <c r="C824">
        <f>VLOOKUP(A824,'Production Plan'!B:F,5,FALSE)</f>
        <v/>
      </c>
    </row>
    <row r="825" hidden="1">
      <c r="A825">
        <f>'Production Plan'!B813</f>
        <v/>
      </c>
      <c r="B825">
        <f>VLOOKUP(A825,'Production Plan'!B:S,16,FALSE)</f>
        <v/>
      </c>
      <c r="C825">
        <f>VLOOKUP(A825,'Production Plan'!B:F,5,FALSE)</f>
        <v/>
      </c>
    </row>
    <row r="826" hidden="1">
      <c r="A826">
        <f>'Production Plan'!B814</f>
        <v/>
      </c>
      <c r="B826">
        <f>VLOOKUP(A826,'Production Plan'!B:S,16,FALSE)</f>
        <v/>
      </c>
      <c r="C826">
        <f>VLOOKUP(A826,'Production Plan'!B:F,5,FALSE)</f>
        <v/>
      </c>
    </row>
    <row r="827" hidden="1">
      <c r="A827">
        <f>'Production Plan'!B815</f>
        <v/>
      </c>
      <c r="B827">
        <f>VLOOKUP(A827,'Production Plan'!B:S,16,FALSE)</f>
        <v/>
      </c>
      <c r="C827">
        <f>VLOOKUP(A827,'Production Plan'!B:F,5,FALSE)</f>
        <v/>
      </c>
    </row>
    <row r="828" hidden="1">
      <c r="A828">
        <f>'Production Plan'!B816</f>
        <v/>
      </c>
      <c r="B828">
        <f>VLOOKUP(A828,'Production Plan'!B:S,16,FALSE)</f>
        <v/>
      </c>
      <c r="C828">
        <f>VLOOKUP(A828,'Production Plan'!B:F,5,FALSE)</f>
        <v/>
      </c>
    </row>
    <row r="829" hidden="1">
      <c r="A829">
        <f>'Production Plan'!B817</f>
        <v/>
      </c>
      <c r="B829">
        <f>VLOOKUP(A829,'Production Plan'!B:S,16,FALSE)</f>
        <v/>
      </c>
      <c r="C829">
        <f>VLOOKUP(A829,'Production Plan'!B:F,5,FALSE)</f>
        <v/>
      </c>
    </row>
    <row r="830" hidden="1">
      <c r="A830">
        <f>'Production Plan'!B818</f>
        <v/>
      </c>
      <c r="B830">
        <f>VLOOKUP(A830,'Production Plan'!B:S,16,FALSE)</f>
        <v/>
      </c>
      <c r="C830">
        <f>VLOOKUP(A830,'Production Plan'!B:F,5,FALSE)</f>
        <v/>
      </c>
    </row>
    <row r="831" hidden="1">
      <c r="A831">
        <f>'Production Plan'!B819</f>
        <v/>
      </c>
      <c r="B831">
        <f>VLOOKUP(A831,'Production Plan'!B:S,16,FALSE)</f>
        <v/>
      </c>
      <c r="C831">
        <f>VLOOKUP(A831,'Production Plan'!B:F,5,FALSE)</f>
        <v/>
      </c>
    </row>
    <row r="832" hidden="1">
      <c r="A832">
        <f>'Production Plan'!B820</f>
        <v/>
      </c>
      <c r="B832">
        <f>VLOOKUP(A832,'Production Plan'!B:S,16,FALSE)</f>
        <v/>
      </c>
      <c r="C832">
        <f>VLOOKUP(A832,'Production Plan'!B:F,5,FALSE)</f>
        <v/>
      </c>
    </row>
    <row r="833" hidden="1">
      <c r="A833">
        <f>'Production Plan'!B821</f>
        <v/>
      </c>
      <c r="B833">
        <f>VLOOKUP(A833,'Production Plan'!B:S,16,FALSE)</f>
        <v/>
      </c>
      <c r="C833">
        <f>VLOOKUP(A833,'Production Plan'!B:F,5,FALSE)</f>
        <v/>
      </c>
    </row>
    <row r="834" hidden="1">
      <c r="A834">
        <f>'Production Plan'!B822</f>
        <v/>
      </c>
      <c r="B834">
        <f>VLOOKUP(A834,'Production Plan'!B:S,16,FALSE)</f>
        <v/>
      </c>
      <c r="C834">
        <f>VLOOKUP(A834,'Production Plan'!B:F,5,FALSE)</f>
        <v/>
      </c>
    </row>
    <row r="835" hidden="1">
      <c r="A835">
        <f>'Production Plan'!B823</f>
        <v/>
      </c>
      <c r="B835">
        <f>VLOOKUP(A835,'Production Plan'!B:S,16,FALSE)</f>
        <v/>
      </c>
      <c r="C835">
        <f>VLOOKUP(A835,'Production Plan'!B:F,5,FALSE)</f>
        <v/>
      </c>
    </row>
    <row r="836" hidden="1">
      <c r="A836">
        <f>'Production Plan'!B824</f>
        <v/>
      </c>
      <c r="B836">
        <f>VLOOKUP(A836,'Production Plan'!B:S,16,FALSE)</f>
        <v/>
      </c>
      <c r="C836">
        <f>VLOOKUP(A836,'Production Plan'!B:F,5,FALSE)</f>
        <v/>
      </c>
    </row>
    <row r="837" hidden="1">
      <c r="A837">
        <f>'Production Plan'!B825</f>
        <v/>
      </c>
      <c r="B837">
        <f>VLOOKUP(A837,'Production Plan'!B:S,16,FALSE)</f>
        <v/>
      </c>
      <c r="C837">
        <f>VLOOKUP(A837,'Production Plan'!B:F,5,FALSE)</f>
        <v/>
      </c>
    </row>
    <row r="838" hidden="1">
      <c r="A838">
        <f>'Production Plan'!B826</f>
        <v/>
      </c>
      <c r="B838">
        <f>VLOOKUP(A838,'Production Plan'!B:S,16,FALSE)</f>
        <v/>
      </c>
      <c r="C838">
        <f>VLOOKUP(A838,'Production Plan'!B:F,5,FALSE)</f>
        <v/>
      </c>
    </row>
    <row r="839" hidden="1">
      <c r="A839">
        <f>'Production Plan'!B827</f>
        <v/>
      </c>
      <c r="B839">
        <f>VLOOKUP(A839,'Production Plan'!B:S,16,FALSE)</f>
        <v/>
      </c>
      <c r="C839">
        <f>VLOOKUP(A839,'Production Plan'!B:F,5,FALSE)</f>
        <v/>
      </c>
    </row>
    <row r="840" hidden="1">
      <c r="A840">
        <f>'Production Plan'!B828</f>
        <v/>
      </c>
      <c r="B840">
        <f>VLOOKUP(A840,'Production Plan'!B:S,16,FALSE)</f>
        <v/>
      </c>
      <c r="C840">
        <f>VLOOKUP(A840,'Production Plan'!B:F,5,FALSE)</f>
        <v/>
      </c>
    </row>
    <row r="841" hidden="1">
      <c r="A841">
        <f>'Production Plan'!B829</f>
        <v/>
      </c>
      <c r="B841">
        <f>VLOOKUP(A841,'Production Plan'!B:S,16,FALSE)</f>
        <v/>
      </c>
      <c r="C841">
        <f>VLOOKUP(A841,'Production Plan'!B:F,5,FALSE)</f>
        <v/>
      </c>
    </row>
    <row r="842" hidden="1">
      <c r="A842">
        <f>'Production Plan'!B830</f>
        <v/>
      </c>
      <c r="B842">
        <f>VLOOKUP(A842,'Production Plan'!B:S,16,FALSE)</f>
        <v/>
      </c>
      <c r="C842">
        <f>VLOOKUP(A842,'Production Plan'!B:F,5,FALSE)</f>
        <v/>
      </c>
    </row>
    <row r="843" hidden="1">
      <c r="A843">
        <f>'Production Plan'!B831</f>
        <v/>
      </c>
      <c r="B843">
        <f>VLOOKUP(A843,'Production Plan'!B:S,16,FALSE)</f>
        <v/>
      </c>
      <c r="C843">
        <f>VLOOKUP(A843,'Production Plan'!B:F,5,FALSE)</f>
        <v/>
      </c>
    </row>
    <row r="844" hidden="1">
      <c r="A844">
        <f>'Production Plan'!B832</f>
        <v/>
      </c>
      <c r="B844">
        <f>VLOOKUP(A844,'Production Plan'!B:S,16,FALSE)</f>
        <v/>
      </c>
      <c r="C844">
        <f>VLOOKUP(A844,'Production Plan'!B:F,5,FALSE)</f>
        <v/>
      </c>
    </row>
    <row r="845" hidden="1">
      <c r="A845">
        <f>'Production Plan'!B833</f>
        <v/>
      </c>
      <c r="B845">
        <f>VLOOKUP(A845,'Production Plan'!B:S,16,FALSE)</f>
        <v/>
      </c>
      <c r="C845">
        <f>VLOOKUP(A845,'Production Plan'!B:F,5,FALSE)</f>
        <v/>
      </c>
    </row>
    <row r="846" hidden="1">
      <c r="A846">
        <f>'Production Plan'!B834</f>
        <v/>
      </c>
      <c r="B846">
        <f>VLOOKUP(A846,'Production Plan'!B:S,16,FALSE)</f>
        <v/>
      </c>
      <c r="C846">
        <f>VLOOKUP(A846,'Production Plan'!B:F,5,FALSE)</f>
        <v/>
      </c>
    </row>
    <row r="847" hidden="1">
      <c r="A847">
        <f>'Production Plan'!B835</f>
        <v/>
      </c>
      <c r="B847">
        <f>VLOOKUP(A847,'Production Plan'!B:S,16,FALSE)</f>
        <v/>
      </c>
      <c r="C847">
        <f>VLOOKUP(A847,'Production Plan'!B:F,5,FALSE)</f>
        <v/>
      </c>
    </row>
    <row r="848" hidden="1">
      <c r="A848">
        <f>'Production Plan'!B836</f>
        <v/>
      </c>
      <c r="B848">
        <f>VLOOKUP(A848,'Production Plan'!B:S,16,FALSE)</f>
        <v/>
      </c>
      <c r="C848">
        <f>VLOOKUP(A848,'Production Plan'!B:F,5,FALSE)</f>
        <v/>
      </c>
    </row>
    <row r="849" hidden="1">
      <c r="A849">
        <f>'Production Plan'!B837</f>
        <v/>
      </c>
      <c r="B849">
        <f>VLOOKUP(A849,'Production Plan'!B:S,16,FALSE)</f>
        <v/>
      </c>
      <c r="C849">
        <f>VLOOKUP(A849,'Production Plan'!B:F,5,FALSE)</f>
        <v/>
      </c>
    </row>
    <row r="850" hidden="1">
      <c r="A850">
        <f>'Production Plan'!B838</f>
        <v/>
      </c>
      <c r="B850">
        <f>VLOOKUP(A850,'Production Plan'!B:S,16,FALSE)</f>
        <v/>
      </c>
      <c r="C850">
        <f>VLOOKUP(A850,'Production Plan'!B:F,5,FALSE)</f>
        <v/>
      </c>
    </row>
    <row r="851" hidden="1">
      <c r="A851">
        <f>'Production Plan'!B839</f>
        <v/>
      </c>
      <c r="B851">
        <f>VLOOKUP(A851,'Production Plan'!B:S,16,FALSE)</f>
        <v/>
      </c>
      <c r="C851">
        <f>VLOOKUP(A851,'Production Plan'!B:F,5,FALSE)</f>
        <v/>
      </c>
    </row>
    <row r="852" hidden="1">
      <c r="A852">
        <f>'Production Plan'!B840</f>
        <v/>
      </c>
      <c r="B852">
        <f>VLOOKUP(A852,'Production Plan'!B:S,16,FALSE)</f>
        <v/>
      </c>
      <c r="C852">
        <f>VLOOKUP(A852,'Production Plan'!B:F,5,FALSE)</f>
        <v/>
      </c>
    </row>
    <row r="853" hidden="1">
      <c r="A853">
        <f>'Production Plan'!B841</f>
        <v/>
      </c>
      <c r="B853">
        <f>VLOOKUP(A853,'Production Plan'!B:S,16,FALSE)</f>
        <v/>
      </c>
      <c r="C853">
        <f>VLOOKUP(A853,'Production Plan'!B:F,5,FALSE)</f>
        <v/>
      </c>
    </row>
    <row r="854" hidden="1">
      <c r="A854">
        <f>'Production Plan'!B842</f>
        <v/>
      </c>
      <c r="B854">
        <f>VLOOKUP(A854,'Production Plan'!B:S,16,FALSE)</f>
        <v/>
      </c>
      <c r="C854">
        <f>VLOOKUP(A854,'Production Plan'!B:F,5,FALSE)</f>
        <v/>
      </c>
    </row>
    <row r="855" hidden="1">
      <c r="A855">
        <f>'Production Plan'!B843</f>
        <v/>
      </c>
      <c r="B855">
        <f>VLOOKUP(A855,'Production Plan'!B:S,16,FALSE)</f>
        <v/>
      </c>
      <c r="C855">
        <f>VLOOKUP(A855,'Production Plan'!B:F,5,FALSE)</f>
        <v/>
      </c>
    </row>
    <row r="856" hidden="1">
      <c r="A856">
        <f>'Production Plan'!B844</f>
        <v/>
      </c>
      <c r="B856">
        <f>VLOOKUP(A856,'Production Plan'!B:S,16,FALSE)</f>
        <v/>
      </c>
      <c r="C856">
        <f>VLOOKUP(A856,'Production Plan'!B:F,5,FALSE)</f>
        <v/>
      </c>
    </row>
    <row r="857" hidden="1">
      <c r="A857">
        <f>'Production Plan'!B845</f>
        <v/>
      </c>
      <c r="B857">
        <f>VLOOKUP(A857,'Production Plan'!B:S,16,FALSE)</f>
        <v/>
      </c>
      <c r="C857">
        <f>VLOOKUP(A857,'Production Plan'!B:F,5,FALSE)</f>
        <v/>
      </c>
    </row>
    <row r="858" hidden="1">
      <c r="A858">
        <f>'Production Plan'!B846</f>
        <v/>
      </c>
      <c r="B858">
        <f>VLOOKUP(A858,'Production Plan'!B:S,16,FALSE)</f>
        <v/>
      </c>
      <c r="C858">
        <f>VLOOKUP(A858,'Production Plan'!B:F,5,FALSE)</f>
        <v/>
      </c>
    </row>
    <row r="859" hidden="1">
      <c r="A859">
        <f>'Production Plan'!B847</f>
        <v/>
      </c>
      <c r="B859">
        <f>VLOOKUP(A859,'Production Plan'!B:S,16,FALSE)</f>
        <v/>
      </c>
      <c r="C859">
        <f>VLOOKUP(A859,'Production Plan'!B:F,5,FALSE)</f>
        <v/>
      </c>
    </row>
    <row r="860" hidden="1">
      <c r="A860">
        <f>'Production Plan'!B848</f>
        <v/>
      </c>
      <c r="B860">
        <f>VLOOKUP(A860,'Production Plan'!B:S,16,FALSE)</f>
        <v/>
      </c>
      <c r="C860">
        <f>VLOOKUP(A860,'Production Plan'!B:F,5,FALSE)</f>
        <v/>
      </c>
    </row>
    <row r="861" hidden="1">
      <c r="A861">
        <f>'Production Plan'!B849</f>
        <v/>
      </c>
      <c r="B861">
        <f>VLOOKUP(A861,'Production Plan'!B:S,16,FALSE)</f>
        <v/>
      </c>
      <c r="C861">
        <f>VLOOKUP(A861,'Production Plan'!B:F,5,FALSE)</f>
        <v/>
      </c>
    </row>
    <row r="862" hidden="1">
      <c r="A862">
        <f>'Production Plan'!B850</f>
        <v/>
      </c>
      <c r="B862">
        <f>VLOOKUP(A862,'Production Plan'!B:S,16,FALSE)</f>
        <v/>
      </c>
      <c r="C862">
        <f>VLOOKUP(A862,'Production Plan'!B:F,5,FALSE)</f>
        <v/>
      </c>
    </row>
    <row r="863" hidden="1">
      <c r="A863">
        <f>'Production Plan'!B851</f>
        <v/>
      </c>
      <c r="B863">
        <f>VLOOKUP(A863,'Production Plan'!B:S,16,FALSE)</f>
        <v/>
      </c>
      <c r="C863">
        <f>VLOOKUP(A863,'Production Plan'!B:F,5,FALSE)</f>
        <v/>
      </c>
    </row>
    <row r="864" hidden="1">
      <c r="A864">
        <f>'Production Plan'!B852</f>
        <v/>
      </c>
      <c r="B864">
        <f>VLOOKUP(A864,'Production Plan'!B:S,16,FALSE)</f>
        <v/>
      </c>
      <c r="C864">
        <f>VLOOKUP(A864,'Production Plan'!B:F,5,FALSE)</f>
        <v/>
      </c>
    </row>
    <row r="865" hidden="1">
      <c r="A865">
        <f>'Production Plan'!B853</f>
        <v/>
      </c>
      <c r="B865">
        <f>VLOOKUP(A865,'Production Plan'!B:S,16,FALSE)</f>
        <v/>
      </c>
      <c r="C865">
        <f>VLOOKUP(A865,'Production Plan'!B:F,5,FALSE)</f>
        <v/>
      </c>
    </row>
    <row r="866" hidden="1">
      <c r="A866">
        <f>'Production Plan'!B854</f>
        <v/>
      </c>
      <c r="B866">
        <f>VLOOKUP(A866,'Production Plan'!B:S,16,FALSE)</f>
        <v/>
      </c>
      <c r="C866">
        <f>VLOOKUP(A866,'Production Plan'!B:F,5,FALSE)</f>
        <v/>
      </c>
    </row>
    <row r="867" hidden="1">
      <c r="A867">
        <f>'Production Plan'!B855</f>
        <v/>
      </c>
      <c r="B867">
        <f>VLOOKUP(A867,'Production Plan'!B:S,16,FALSE)</f>
        <v/>
      </c>
      <c r="C867">
        <f>VLOOKUP(A867,'Production Plan'!B:F,5,FALSE)</f>
        <v/>
      </c>
    </row>
    <row r="868" hidden="1">
      <c r="A868">
        <f>'Production Plan'!B856</f>
        <v/>
      </c>
      <c r="B868">
        <f>VLOOKUP(A868,'Production Plan'!B:S,16,FALSE)</f>
        <v/>
      </c>
      <c r="C868">
        <f>VLOOKUP(A868,'Production Plan'!B:F,5,FALSE)</f>
        <v/>
      </c>
    </row>
    <row r="869" hidden="1">
      <c r="A869">
        <f>'Production Plan'!B857</f>
        <v/>
      </c>
      <c r="B869">
        <f>VLOOKUP(A869,'Production Plan'!B:S,16,FALSE)</f>
        <v/>
      </c>
      <c r="C869">
        <f>VLOOKUP(A869,'Production Plan'!B:F,5,FALSE)</f>
        <v/>
      </c>
    </row>
    <row r="870" hidden="1">
      <c r="A870">
        <f>'Production Plan'!B858</f>
        <v/>
      </c>
      <c r="B870">
        <f>VLOOKUP(A870,'Production Plan'!B:S,16,FALSE)</f>
        <v/>
      </c>
      <c r="C870">
        <f>VLOOKUP(A870,'Production Plan'!B:F,5,FALSE)</f>
        <v/>
      </c>
    </row>
    <row r="871" hidden="1">
      <c r="A871">
        <f>'Production Plan'!B859</f>
        <v/>
      </c>
      <c r="B871">
        <f>VLOOKUP(A871,'Production Plan'!B:S,16,FALSE)</f>
        <v/>
      </c>
      <c r="C871">
        <f>VLOOKUP(A871,'Production Plan'!B:F,5,FALSE)</f>
        <v/>
      </c>
    </row>
    <row r="872" hidden="1">
      <c r="A872">
        <f>'Production Plan'!B860</f>
        <v/>
      </c>
      <c r="B872">
        <f>VLOOKUP(A872,'Production Plan'!B:S,16,FALSE)</f>
        <v/>
      </c>
      <c r="C872">
        <f>VLOOKUP(A872,'Production Plan'!B:F,5,FALSE)</f>
        <v/>
      </c>
    </row>
    <row r="873" hidden="1">
      <c r="A873">
        <f>'Production Plan'!B861</f>
        <v/>
      </c>
      <c r="B873">
        <f>VLOOKUP(A873,'Production Plan'!B:S,16,FALSE)</f>
        <v/>
      </c>
      <c r="C873">
        <f>VLOOKUP(A873,'Production Plan'!B:F,5,FALSE)</f>
        <v/>
      </c>
    </row>
    <row r="874" hidden="1">
      <c r="A874">
        <f>'Production Plan'!B862</f>
        <v/>
      </c>
      <c r="B874">
        <f>VLOOKUP(A874,'Production Plan'!B:S,16,FALSE)</f>
        <v/>
      </c>
      <c r="C874">
        <f>VLOOKUP(A874,'Production Plan'!B:F,5,FALSE)</f>
        <v/>
      </c>
    </row>
    <row r="875" hidden="1">
      <c r="A875">
        <f>'Production Plan'!B863</f>
        <v/>
      </c>
      <c r="B875">
        <f>VLOOKUP(A875,'Production Plan'!B:S,16,FALSE)</f>
        <v/>
      </c>
      <c r="C875">
        <f>VLOOKUP(A875,'Production Plan'!B:F,5,FALSE)</f>
        <v/>
      </c>
    </row>
    <row r="876" hidden="1">
      <c r="A876">
        <f>'Production Plan'!B864</f>
        <v/>
      </c>
      <c r="B876">
        <f>VLOOKUP(A876,'Production Plan'!B:S,16,FALSE)</f>
        <v/>
      </c>
      <c r="C876">
        <f>VLOOKUP(A876,'Production Plan'!B:F,5,FALSE)</f>
        <v/>
      </c>
    </row>
    <row r="877" hidden="1">
      <c r="A877">
        <f>'Production Plan'!B865</f>
        <v/>
      </c>
      <c r="B877">
        <f>VLOOKUP(A877,'Production Plan'!B:S,16,FALSE)</f>
        <v/>
      </c>
      <c r="C877">
        <f>VLOOKUP(A877,'Production Plan'!B:F,5,FALSE)</f>
        <v/>
      </c>
    </row>
    <row r="878" hidden="1">
      <c r="A878">
        <f>'Production Plan'!B866</f>
        <v/>
      </c>
      <c r="B878">
        <f>VLOOKUP(A878,'Production Plan'!B:S,16,FALSE)</f>
        <v/>
      </c>
      <c r="C878">
        <f>VLOOKUP(A878,'Production Plan'!B:F,5,FALSE)</f>
        <v/>
      </c>
    </row>
    <row r="879" hidden="1">
      <c r="A879">
        <f>'Production Plan'!B867</f>
        <v/>
      </c>
      <c r="B879">
        <f>VLOOKUP(A879,'Production Plan'!B:S,16,FALSE)</f>
        <v/>
      </c>
      <c r="C879">
        <f>VLOOKUP(A879,'Production Plan'!B:F,5,FALSE)</f>
        <v/>
      </c>
    </row>
    <row r="880" hidden="1">
      <c r="A880">
        <f>'Production Plan'!B868</f>
        <v/>
      </c>
      <c r="B880">
        <f>VLOOKUP(A880,'Production Plan'!B:S,16,FALSE)</f>
        <v/>
      </c>
      <c r="C880">
        <f>VLOOKUP(A880,'Production Plan'!B:F,5,FALSE)</f>
        <v/>
      </c>
    </row>
    <row r="881" hidden="1">
      <c r="A881">
        <f>'Production Plan'!B869</f>
        <v/>
      </c>
      <c r="B881">
        <f>VLOOKUP(A881,'Production Plan'!B:S,16,FALSE)</f>
        <v/>
      </c>
      <c r="C881">
        <f>VLOOKUP(A881,'Production Plan'!B:F,5,FALSE)</f>
        <v/>
      </c>
    </row>
    <row r="882" hidden="1">
      <c r="A882">
        <f>'Production Plan'!B870</f>
        <v/>
      </c>
      <c r="B882">
        <f>VLOOKUP(A882,'Production Plan'!B:S,16,FALSE)</f>
        <v/>
      </c>
      <c r="C882">
        <f>VLOOKUP(A882,'Production Plan'!B:F,5,FALSE)</f>
        <v/>
      </c>
    </row>
    <row r="883" hidden="1">
      <c r="A883">
        <f>'Production Plan'!B871</f>
        <v/>
      </c>
      <c r="B883">
        <f>VLOOKUP(A883,'Production Plan'!B:S,16,FALSE)</f>
        <v/>
      </c>
      <c r="C883">
        <f>VLOOKUP(A883,'Production Plan'!B:F,5,FALSE)</f>
        <v/>
      </c>
    </row>
    <row r="884" hidden="1">
      <c r="A884">
        <f>'Production Plan'!B872</f>
        <v/>
      </c>
      <c r="B884">
        <f>VLOOKUP(A884,'Production Plan'!B:S,16,FALSE)</f>
        <v/>
      </c>
      <c r="C884">
        <f>VLOOKUP(A884,'Production Plan'!B:F,5,FALSE)</f>
        <v/>
      </c>
    </row>
    <row r="885" hidden="1">
      <c r="A885">
        <f>'Production Plan'!B873</f>
        <v/>
      </c>
      <c r="B885">
        <f>VLOOKUP(A885,'Production Plan'!B:S,16,FALSE)</f>
        <v/>
      </c>
      <c r="C885">
        <f>VLOOKUP(A885,'Production Plan'!B:F,5,FALSE)</f>
        <v/>
      </c>
    </row>
    <row r="886" hidden="1">
      <c r="A886">
        <f>'Production Plan'!B874</f>
        <v/>
      </c>
      <c r="B886">
        <f>VLOOKUP(A886,'Production Plan'!B:S,16,FALSE)</f>
        <v/>
      </c>
      <c r="C886">
        <f>VLOOKUP(A886,'Production Plan'!B:F,5,FALSE)</f>
        <v/>
      </c>
    </row>
    <row r="887" hidden="1">
      <c r="A887">
        <f>'Production Plan'!B875</f>
        <v/>
      </c>
      <c r="B887">
        <f>VLOOKUP(A887,'Production Plan'!B:S,16,FALSE)</f>
        <v/>
      </c>
      <c r="C887">
        <f>VLOOKUP(A887,'Production Plan'!B:F,5,FALSE)</f>
        <v/>
      </c>
    </row>
    <row r="888" hidden="1">
      <c r="A888">
        <f>'Production Plan'!B876</f>
        <v/>
      </c>
      <c r="B888">
        <f>VLOOKUP(A888,'Production Plan'!B:S,16,FALSE)</f>
        <v/>
      </c>
      <c r="C888">
        <f>VLOOKUP(A888,'Production Plan'!B:F,5,FALSE)</f>
        <v/>
      </c>
    </row>
    <row r="889" hidden="1">
      <c r="A889">
        <f>'Production Plan'!B877</f>
        <v/>
      </c>
      <c r="B889">
        <f>VLOOKUP(A889,'Production Plan'!B:S,16,FALSE)</f>
        <v/>
      </c>
      <c r="C889">
        <f>VLOOKUP(A889,'Production Plan'!B:F,5,FALSE)</f>
        <v/>
      </c>
    </row>
    <row r="890" hidden="1">
      <c r="A890">
        <f>'Production Plan'!B878</f>
        <v/>
      </c>
      <c r="B890">
        <f>VLOOKUP(A890,'Production Plan'!B:S,16,FALSE)</f>
        <v/>
      </c>
      <c r="C890">
        <f>VLOOKUP(A890,'Production Plan'!B:F,5,FALSE)</f>
        <v/>
      </c>
    </row>
    <row r="891" hidden="1">
      <c r="A891">
        <f>'Production Plan'!B879</f>
        <v/>
      </c>
      <c r="B891">
        <f>VLOOKUP(A891,'Production Plan'!B:S,16,FALSE)</f>
        <v/>
      </c>
      <c r="C891">
        <f>VLOOKUP(A891,'Production Plan'!B:F,5,FALSE)</f>
        <v/>
      </c>
    </row>
    <row r="892" hidden="1">
      <c r="A892">
        <f>'Production Plan'!B880</f>
        <v/>
      </c>
      <c r="B892">
        <f>VLOOKUP(A892,'Production Plan'!B:S,16,FALSE)</f>
        <v/>
      </c>
      <c r="C892">
        <f>VLOOKUP(A892,'Production Plan'!B:F,5,FALSE)</f>
        <v/>
      </c>
    </row>
    <row r="893" hidden="1">
      <c r="A893">
        <f>'Production Plan'!B881</f>
        <v/>
      </c>
      <c r="B893">
        <f>VLOOKUP(A893,'Production Plan'!B:S,16,FALSE)</f>
        <v/>
      </c>
      <c r="C893">
        <f>VLOOKUP(A893,'Production Plan'!B:F,5,FALSE)</f>
        <v/>
      </c>
    </row>
    <row r="894" hidden="1">
      <c r="A894">
        <f>'Production Plan'!B882</f>
        <v/>
      </c>
      <c r="B894">
        <f>VLOOKUP(A894,'Production Plan'!B:S,16,FALSE)</f>
        <v/>
      </c>
      <c r="C894">
        <f>VLOOKUP(A894,'Production Plan'!B:F,5,FALSE)</f>
        <v/>
      </c>
    </row>
    <row r="895" hidden="1">
      <c r="A895">
        <f>'Production Plan'!B883</f>
        <v/>
      </c>
      <c r="B895">
        <f>VLOOKUP(A895,'Production Plan'!B:S,16,FALSE)</f>
        <v/>
      </c>
      <c r="C895">
        <f>VLOOKUP(A895,'Production Plan'!B:F,5,FALSE)</f>
        <v/>
      </c>
    </row>
    <row r="896" hidden="1">
      <c r="A896">
        <f>'Production Plan'!B884</f>
        <v/>
      </c>
      <c r="B896">
        <f>VLOOKUP(A896,'Production Plan'!B:S,16,FALSE)</f>
        <v/>
      </c>
      <c r="C896">
        <f>VLOOKUP(A896,'Production Plan'!B:F,5,FALSE)</f>
        <v/>
      </c>
    </row>
    <row r="897" hidden="1">
      <c r="A897">
        <f>'Production Plan'!B885</f>
        <v/>
      </c>
      <c r="B897">
        <f>VLOOKUP(A897,'Production Plan'!B:S,16,FALSE)</f>
        <v/>
      </c>
      <c r="C897">
        <f>VLOOKUP(A897,'Production Plan'!B:F,5,FALSE)</f>
        <v/>
      </c>
    </row>
    <row r="898" hidden="1">
      <c r="A898">
        <f>'Production Plan'!B886</f>
        <v/>
      </c>
      <c r="B898">
        <f>VLOOKUP(A898,'Production Plan'!B:S,16,FALSE)</f>
        <v/>
      </c>
      <c r="C898">
        <f>VLOOKUP(A898,'Production Plan'!B:F,5,FALSE)</f>
        <v/>
      </c>
    </row>
    <row r="899" hidden="1">
      <c r="A899">
        <f>'Production Plan'!B887</f>
        <v/>
      </c>
      <c r="B899">
        <f>VLOOKUP(A899,'Production Plan'!B:S,16,FALSE)</f>
        <v/>
      </c>
      <c r="C899">
        <f>VLOOKUP(A899,'Production Plan'!B:F,5,FALSE)</f>
        <v/>
      </c>
    </row>
    <row r="900" hidden="1">
      <c r="A900">
        <f>'Production Plan'!B888</f>
        <v/>
      </c>
      <c r="B900">
        <f>VLOOKUP(A900,'Production Plan'!B:S,16,FALSE)</f>
        <v/>
      </c>
      <c r="C900">
        <f>VLOOKUP(A900,'Production Plan'!B:F,5,FALSE)</f>
        <v/>
      </c>
    </row>
    <row r="901" hidden="1">
      <c r="A901">
        <f>'Production Plan'!B889</f>
        <v/>
      </c>
      <c r="B901">
        <f>VLOOKUP(A901,'Production Plan'!B:S,16,FALSE)</f>
        <v/>
      </c>
      <c r="C901">
        <f>VLOOKUP(A901,'Production Plan'!B:F,5,FALSE)</f>
        <v/>
      </c>
    </row>
    <row r="902" hidden="1">
      <c r="A902">
        <f>'Production Plan'!B890</f>
        <v/>
      </c>
      <c r="B902">
        <f>VLOOKUP(A902,'Production Plan'!B:S,16,FALSE)</f>
        <v/>
      </c>
      <c r="C902">
        <f>VLOOKUP(A902,'Production Plan'!B:F,5,FALSE)</f>
        <v/>
      </c>
    </row>
    <row r="903" hidden="1">
      <c r="A903">
        <f>'Production Plan'!B891</f>
        <v/>
      </c>
      <c r="B903">
        <f>VLOOKUP(A903,'Production Plan'!B:S,16,FALSE)</f>
        <v/>
      </c>
      <c r="C903">
        <f>VLOOKUP(A903,'Production Plan'!B:F,5,FALSE)</f>
        <v/>
      </c>
    </row>
    <row r="904" hidden="1">
      <c r="A904">
        <f>'Production Plan'!B892</f>
        <v/>
      </c>
      <c r="B904">
        <f>VLOOKUP(A904,'Production Plan'!B:S,16,FALSE)</f>
        <v/>
      </c>
      <c r="C904">
        <f>VLOOKUP(A904,'Production Plan'!B:F,5,FALSE)</f>
        <v/>
      </c>
    </row>
    <row r="905" hidden="1">
      <c r="A905">
        <f>'Production Plan'!B893</f>
        <v/>
      </c>
      <c r="B905">
        <f>VLOOKUP(A905,'Production Plan'!B:S,16,FALSE)</f>
        <v/>
      </c>
      <c r="C905">
        <f>VLOOKUP(A905,'Production Plan'!B:F,5,FALSE)</f>
        <v/>
      </c>
    </row>
    <row r="906" hidden="1">
      <c r="A906">
        <f>'Production Plan'!B894</f>
        <v/>
      </c>
      <c r="B906">
        <f>VLOOKUP(A906,'Production Plan'!B:S,16,FALSE)</f>
        <v/>
      </c>
      <c r="C906">
        <f>VLOOKUP(A906,'Production Plan'!B:F,5,FALSE)</f>
        <v/>
      </c>
    </row>
    <row r="907" hidden="1">
      <c r="A907">
        <f>'Production Plan'!B895</f>
        <v/>
      </c>
      <c r="B907">
        <f>VLOOKUP(A907,'Production Plan'!B:S,16,FALSE)</f>
        <v/>
      </c>
      <c r="C907">
        <f>VLOOKUP(A907,'Production Plan'!B:F,5,FALSE)</f>
        <v/>
      </c>
    </row>
    <row r="908" hidden="1">
      <c r="A908">
        <f>'Production Plan'!B896</f>
        <v/>
      </c>
      <c r="B908">
        <f>VLOOKUP(A908,'Production Plan'!B:S,16,FALSE)</f>
        <v/>
      </c>
      <c r="C908">
        <f>VLOOKUP(A908,'Production Plan'!B:F,5,FALSE)</f>
        <v/>
      </c>
    </row>
    <row r="909" hidden="1">
      <c r="A909">
        <f>'Production Plan'!B897</f>
        <v/>
      </c>
      <c r="B909">
        <f>VLOOKUP(A909,'Production Plan'!B:S,16,FALSE)</f>
        <v/>
      </c>
      <c r="C909">
        <f>VLOOKUP(A909,'Production Plan'!B:F,5,FALSE)</f>
        <v/>
      </c>
    </row>
    <row r="910" hidden="1">
      <c r="A910">
        <f>'Production Plan'!B898</f>
        <v/>
      </c>
      <c r="B910">
        <f>VLOOKUP(A910,'Production Plan'!B:S,16,FALSE)</f>
        <v/>
      </c>
      <c r="C910">
        <f>VLOOKUP(A910,'Production Plan'!B:F,5,FALSE)</f>
        <v/>
      </c>
    </row>
    <row r="911" hidden="1">
      <c r="A911">
        <f>'Production Plan'!B899</f>
        <v/>
      </c>
      <c r="B911">
        <f>VLOOKUP(A911,'Production Plan'!B:S,16,FALSE)</f>
        <v/>
      </c>
      <c r="C911">
        <f>VLOOKUP(A911,'Production Plan'!B:F,5,FALSE)</f>
        <v/>
      </c>
    </row>
    <row r="912" hidden="1">
      <c r="A912">
        <f>'Production Plan'!B900</f>
        <v/>
      </c>
      <c r="B912">
        <f>VLOOKUP(A912,'Production Plan'!B:S,16,FALSE)</f>
        <v/>
      </c>
      <c r="C912">
        <f>VLOOKUP(A912,'Production Plan'!B:F,5,FALSE)</f>
        <v/>
      </c>
    </row>
    <row r="913" hidden="1">
      <c r="A913">
        <f>'Production Plan'!B901</f>
        <v/>
      </c>
      <c r="B913">
        <f>VLOOKUP(A913,'Production Plan'!B:S,16,FALSE)</f>
        <v/>
      </c>
      <c r="C913">
        <f>VLOOKUP(A913,'Production Plan'!B:F,5,FALSE)</f>
        <v/>
      </c>
    </row>
    <row r="914" hidden="1">
      <c r="A914">
        <f>'Production Plan'!B902</f>
        <v/>
      </c>
      <c r="B914">
        <f>VLOOKUP(A914,'Production Plan'!B:S,16,FALSE)</f>
        <v/>
      </c>
      <c r="C914">
        <f>VLOOKUP(A914,'Production Plan'!B:F,5,FALSE)</f>
        <v/>
      </c>
    </row>
    <row r="915" hidden="1">
      <c r="A915">
        <f>'Production Plan'!B903</f>
        <v/>
      </c>
      <c r="B915">
        <f>VLOOKUP(A915,'Production Plan'!B:S,16,FALSE)</f>
        <v/>
      </c>
      <c r="C915">
        <f>VLOOKUP(A915,'Production Plan'!B:F,5,FALSE)</f>
        <v/>
      </c>
    </row>
    <row r="916" hidden="1">
      <c r="A916">
        <f>'Production Plan'!B904</f>
        <v/>
      </c>
      <c r="B916">
        <f>VLOOKUP(A916,'Production Plan'!B:S,16,FALSE)</f>
        <v/>
      </c>
      <c r="C916">
        <f>VLOOKUP(A916,'Production Plan'!B:F,5,FALSE)</f>
        <v/>
      </c>
    </row>
    <row r="917" hidden="1">
      <c r="A917">
        <f>'Production Plan'!B905</f>
        <v/>
      </c>
      <c r="B917">
        <f>VLOOKUP(A917,'Production Plan'!B:S,16,FALSE)</f>
        <v/>
      </c>
      <c r="C917">
        <f>VLOOKUP(A917,'Production Plan'!B:F,5,FALSE)</f>
        <v/>
      </c>
    </row>
    <row r="918" hidden="1">
      <c r="A918">
        <f>'Production Plan'!B906</f>
        <v/>
      </c>
      <c r="B918">
        <f>VLOOKUP(A918,'Production Plan'!B:S,16,FALSE)</f>
        <v/>
      </c>
      <c r="C918">
        <f>VLOOKUP(A918,'Production Plan'!B:F,5,FALSE)</f>
        <v/>
      </c>
    </row>
    <row r="919" hidden="1">
      <c r="A919">
        <f>'Production Plan'!B907</f>
        <v/>
      </c>
      <c r="B919">
        <f>VLOOKUP(A919,'Production Plan'!B:S,16,FALSE)</f>
        <v/>
      </c>
      <c r="C919">
        <f>VLOOKUP(A919,'Production Plan'!B:F,5,FALSE)</f>
        <v/>
      </c>
    </row>
    <row r="920" hidden="1">
      <c r="A920">
        <f>'Production Plan'!B908</f>
        <v/>
      </c>
      <c r="B920">
        <f>VLOOKUP(A920,'Production Plan'!B:S,16,FALSE)</f>
        <v/>
      </c>
      <c r="C920">
        <f>VLOOKUP(A920,'Production Plan'!B:F,5,FALSE)</f>
        <v/>
      </c>
    </row>
    <row r="921" hidden="1">
      <c r="A921">
        <f>'Production Plan'!B909</f>
        <v/>
      </c>
      <c r="B921">
        <f>VLOOKUP(A921,'Production Plan'!B:S,16,FALSE)</f>
        <v/>
      </c>
      <c r="C921">
        <f>VLOOKUP(A921,'Production Plan'!B:F,5,FALSE)</f>
        <v/>
      </c>
    </row>
    <row r="922" hidden="1">
      <c r="A922">
        <f>'Production Plan'!B910</f>
        <v/>
      </c>
      <c r="B922">
        <f>VLOOKUP(A922,'Production Plan'!B:S,16,FALSE)</f>
        <v/>
      </c>
      <c r="C922">
        <f>VLOOKUP(A922,'Production Plan'!B:F,5,FALSE)</f>
        <v/>
      </c>
    </row>
    <row r="923" hidden="1">
      <c r="A923">
        <f>'Production Plan'!B911</f>
        <v/>
      </c>
      <c r="B923">
        <f>VLOOKUP(A923,'Production Plan'!B:S,16,FALSE)</f>
        <v/>
      </c>
      <c r="C923">
        <f>VLOOKUP(A923,'Production Plan'!B:F,5,FALSE)</f>
        <v/>
      </c>
    </row>
    <row r="924" hidden="1">
      <c r="A924">
        <f>'Production Plan'!B912</f>
        <v/>
      </c>
      <c r="B924">
        <f>VLOOKUP(A924,'Production Plan'!B:S,16,FALSE)</f>
        <v/>
      </c>
      <c r="C924">
        <f>VLOOKUP(A924,'Production Plan'!B:F,5,FALSE)</f>
        <v/>
      </c>
    </row>
    <row r="925" hidden="1">
      <c r="A925">
        <f>'Production Plan'!B913</f>
        <v/>
      </c>
      <c r="B925">
        <f>VLOOKUP(A925,'Production Plan'!B:S,16,FALSE)</f>
        <v/>
      </c>
      <c r="C925">
        <f>VLOOKUP(A925,'Production Plan'!B:F,5,FALSE)</f>
        <v/>
      </c>
    </row>
    <row r="926" hidden="1">
      <c r="A926">
        <f>'Production Plan'!B914</f>
        <v/>
      </c>
      <c r="B926">
        <f>VLOOKUP(A926,'Production Plan'!B:S,16,FALSE)</f>
        <v/>
      </c>
      <c r="C926">
        <f>VLOOKUP(A926,'Production Plan'!B:F,5,FALSE)</f>
        <v/>
      </c>
    </row>
    <row r="927" hidden="1">
      <c r="A927">
        <f>'Production Plan'!B915</f>
        <v/>
      </c>
      <c r="B927">
        <f>VLOOKUP(A927,'Production Plan'!B:S,16,FALSE)</f>
        <v/>
      </c>
      <c r="C927">
        <f>VLOOKUP(A927,'Production Plan'!B:F,5,FALSE)</f>
        <v/>
      </c>
    </row>
    <row r="928" hidden="1">
      <c r="A928">
        <f>'Production Plan'!B916</f>
        <v/>
      </c>
      <c r="B928">
        <f>VLOOKUP(A928,'Production Plan'!B:S,16,FALSE)</f>
        <v/>
      </c>
      <c r="C928">
        <f>VLOOKUP(A928,'Production Plan'!B:F,5,FALSE)</f>
        <v/>
      </c>
    </row>
    <row r="929" hidden="1">
      <c r="A929">
        <f>'Production Plan'!B917</f>
        <v/>
      </c>
      <c r="B929">
        <f>VLOOKUP(A929,'Production Plan'!B:S,16,FALSE)</f>
        <v/>
      </c>
      <c r="C929">
        <f>VLOOKUP(A929,'Production Plan'!B:F,5,FALSE)</f>
        <v/>
      </c>
    </row>
    <row r="930" hidden="1">
      <c r="A930">
        <f>'Production Plan'!B918</f>
        <v/>
      </c>
      <c r="B930">
        <f>VLOOKUP(A930,'Production Plan'!B:S,16,FALSE)</f>
        <v/>
      </c>
      <c r="C930">
        <f>VLOOKUP(A930,'Production Plan'!B:F,5,FALSE)</f>
        <v/>
      </c>
    </row>
    <row r="931" hidden="1">
      <c r="A931">
        <f>'Production Plan'!B919</f>
        <v/>
      </c>
      <c r="B931">
        <f>VLOOKUP(A931,'Production Plan'!B:S,16,FALSE)</f>
        <v/>
      </c>
      <c r="C931">
        <f>VLOOKUP(A931,'Production Plan'!B:F,5,FALSE)</f>
        <v/>
      </c>
    </row>
    <row r="932" hidden="1">
      <c r="A932">
        <f>'Production Plan'!B920</f>
        <v/>
      </c>
      <c r="B932">
        <f>VLOOKUP(A932,'Production Plan'!B:S,16,FALSE)</f>
        <v/>
      </c>
      <c r="C932">
        <f>VLOOKUP(A932,'Production Plan'!B:F,5,FALSE)</f>
        <v/>
      </c>
    </row>
    <row r="933" hidden="1">
      <c r="A933">
        <f>'Production Plan'!B921</f>
        <v/>
      </c>
      <c r="B933">
        <f>VLOOKUP(A933,'Production Plan'!B:S,16,FALSE)</f>
        <v/>
      </c>
      <c r="C933">
        <f>VLOOKUP(A933,'Production Plan'!B:F,5,FALSE)</f>
        <v/>
      </c>
    </row>
    <row r="934" hidden="1">
      <c r="A934">
        <f>'Production Plan'!B922</f>
        <v/>
      </c>
      <c r="B934">
        <f>VLOOKUP(A934,'Production Plan'!B:S,16,FALSE)</f>
        <v/>
      </c>
      <c r="C934">
        <f>VLOOKUP(A934,'Production Plan'!B:F,5,FALSE)</f>
        <v/>
      </c>
    </row>
    <row r="935" hidden="1">
      <c r="A935">
        <f>'Production Plan'!B923</f>
        <v/>
      </c>
      <c r="B935">
        <f>VLOOKUP(A935,'Production Plan'!B:S,16,FALSE)</f>
        <v/>
      </c>
      <c r="C935">
        <f>VLOOKUP(A935,'Production Plan'!B:F,5,FALSE)</f>
        <v/>
      </c>
    </row>
    <row r="936" hidden="1">
      <c r="A936">
        <f>'Production Plan'!B924</f>
        <v/>
      </c>
      <c r="B936">
        <f>VLOOKUP(A936,'Production Plan'!B:S,16,FALSE)</f>
        <v/>
      </c>
      <c r="C936">
        <f>VLOOKUP(A936,'Production Plan'!B:F,5,FALSE)</f>
        <v/>
      </c>
    </row>
    <row r="937" hidden="1">
      <c r="A937">
        <f>'Production Plan'!B925</f>
        <v/>
      </c>
      <c r="B937">
        <f>VLOOKUP(A937,'Production Plan'!B:S,16,FALSE)</f>
        <v/>
      </c>
      <c r="C937">
        <f>VLOOKUP(A937,'Production Plan'!B:F,5,FALSE)</f>
        <v/>
      </c>
    </row>
    <row r="938" hidden="1">
      <c r="A938">
        <f>'Production Plan'!B926</f>
        <v/>
      </c>
      <c r="B938">
        <f>VLOOKUP(A938,'Production Plan'!B:S,16,FALSE)</f>
        <v/>
      </c>
      <c r="C938">
        <f>VLOOKUP(A938,'Production Plan'!B:F,5,FALSE)</f>
        <v/>
      </c>
    </row>
    <row r="939" hidden="1">
      <c r="A939">
        <f>'Production Plan'!B927</f>
        <v/>
      </c>
      <c r="B939">
        <f>VLOOKUP(A939,'Production Plan'!B:S,16,FALSE)</f>
        <v/>
      </c>
      <c r="C939">
        <f>VLOOKUP(A939,'Production Plan'!B:F,5,FALSE)</f>
        <v/>
      </c>
    </row>
    <row r="940" hidden="1">
      <c r="A940">
        <f>'Production Plan'!B928</f>
        <v/>
      </c>
      <c r="B940">
        <f>VLOOKUP(A940,'Production Plan'!B:S,16,FALSE)</f>
        <v/>
      </c>
      <c r="C940">
        <f>VLOOKUP(A940,'Production Plan'!B:F,5,FALSE)</f>
        <v/>
      </c>
    </row>
    <row r="941" hidden="1">
      <c r="A941">
        <f>'Production Plan'!B929</f>
        <v/>
      </c>
      <c r="B941">
        <f>VLOOKUP(A941,'Production Plan'!B:S,16,FALSE)</f>
        <v/>
      </c>
      <c r="C941">
        <f>VLOOKUP(A941,'Production Plan'!B:F,5,FALSE)</f>
        <v/>
      </c>
    </row>
    <row r="942" hidden="1">
      <c r="A942">
        <f>'Production Plan'!B930</f>
        <v/>
      </c>
      <c r="B942">
        <f>VLOOKUP(A942,'Production Plan'!B:S,16,FALSE)</f>
        <v/>
      </c>
      <c r="C942">
        <f>VLOOKUP(A942,'Production Plan'!B:F,5,FALSE)</f>
        <v/>
      </c>
    </row>
    <row r="943" hidden="1">
      <c r="A943">
        <f>'Production Plan'!B931</f>
        <v/>
      </c>
      <c r="B943">
        <f>VLOOKUP(A943,'Production Plan'!B:S,16,FALSE)</f>
        <v/>
      </c>
      <c r="C943">
        <f>VLOOKUP(A943,'Production Plan'!B:F,5,FALSE)</f>
        <v/>
      </c>
    </row>
    <row r="944" hidden="1">
      <c r="A944">
        <f>'Production Plan'!B932</f>
        <v/>
      </c>
      <c r="B944">
        <f>VLOOKUP(A944,'Production Plan'!B:S,16,FALSE)</f>
        <v/>
      </c>
      <c r="C944">
        <f>VLOOKUP(A944,'Production Plan'!B:F,5,FALSE)</f>
        <v/>
      </c>
    </row>
    <row r="945" hidden="1">
      <c r="A945">
        <f>'Production Plan'!B933</f>
        <v/>
      </c>
      <c r="B945">
        <f>VLOOKUP(A945,'Production Plan'!B:S,16,FALSE)</f>
        <v/>
      </c>
      <c r="C945">
        <f>VLOOKUP(A945,'Production Plan'!B:F,5,FALSE)</f>
        <v/>
      </c>
    </row>
    <row r="946" hidden="1">
      <c r="A946">
        <f>'Production Plan'!B934</f>
        <v/>
      </c>
      <c r="B946">
        <f>VLOOKUP(A946,'Production Plan'!B:S,16,FALSE)</f>
        <v/>
      </c>
      <c r="C946">
        <f>VLOOKUP(A946,'Production Plan'!B:F,5,FALSE)</f>
        <v/>
      </c>
    </row>
    <row r="947" hidden="1">
      <c r="A947">
        <f>'Production Plan'!B935</f>
        <v/>
      </c>
      <c r="B947">
        <f>VLOOKUP(A947,'Production Plan'!B:S,16,FALSE)</f>
        <v/>
      </c>
      <c r="C947">
        <f>VLOOKUP(A947,'Production Plan'!B:F,5,FALSE)</f>
        <v/>
      </c>
    </row>
    <row r="948" hidden="1">
      <c r="A948">
        <f>'Production Plan'!B936</f>
        <v/>
      </c>
      <c r="B948">
        <f>VLOOKUP(A948,'Production Plan'!B:S,16,FALSE)</f>
        <v/>
      </c>
      <c r="C948">
        <f>VLOOKUP(A948,'Production Plan'!B:F,5,FALSE)</f>
        <v/>
      </c>
    </row>
    <row r="949" hidden="1">
      <c r="A949">
        <f>'Production Plan'!B937</f>
        <v/>
      </c>
      <c r="B949">
        <f>VLOOKUP(A949,'Production Plan'!B:S,16,FALSE)</f>
        <v/>
      </c>
      <c r="C949">
        <f>VLOOKUP(A949,'Production Plan'!B:F,5,FALSE)</f>
        <v/>
      </c>
    </row>
    <row r="950" hidden="1">
      <c r="A950">
        <f>'Production Plan'!B938</f>
        <v/>
      </c>
      <c r="B950">
        <f>VLOOKUP(A950,'Production Plan'!B:S,16,FALSE)</f>
        <v/>
      </c>
      <c r="C950">
        <f>VLOOKUP(A950,'Production Plan'!B:F,5,FALSE)</f>
        <v/>
      </c>
    </row>
    <row r="951" hidden="1">
      <c r="A951">
        <f>'Production Plan'!B939</f>
        <v/>
      </c>
      <c r="B951">
        <f>VLOOKUP(A951,'Production Plan'!B:S,16,FALSE)</f>
        <v/>
      </c>
      <c r="C951">
        <f>VLOOKUP(A951,'Production Plan'!B:F,5,FALSE)</f>
        <v/>
      </c>
    </row>
    <row r="952" hidden="1">
      <c r="A952">
        <f>'Production Plan'!B940</f>
        <v/>
      </c>
      <c r="B952">
        <f>VLOOKUP(A952,'Production Plan'!B:S,16,FALSE)</f>
        <v/>
      </c>
      <c r="C952">
        <f>VLOOKUP(A952,'Production Plan'!B:F,5,FALSE)</f>
        <v/>
      </c>
    </row>
    <row r="953" hidden="1">
      <c r="A953">
        <f>'Production Plan'!B941</f>
        <v/>
      </c>
      <c r="B953">
        <f>VLOOKUP(A953,'Production Plan'!B:S,16,FALSE)</f>
        <v/>
      </c>
      <c r="C953">
        <f>VLOOKUP(A953,'Production Plan'!B:F,5,FALSE)</f>
        <v/>
      </c>
    </row>
    <row r="954" hidden="1">
      <c r="A954">
        <f>'Production Plan'!B942</f>
        <v/>
      </c>
      <c r="B954">
        <f>VLOOKUP(A954,'Production Plan'!B:S,16,FALSE)</f>
        <v/>
      </c>
      <c r="C954">
        <f>VLOOKUP(A954,'Production Plan'!B:F,5,FALSE)</f>
        <v/>
      </c>
    </row>
    <row r="955" hidden="1">
      <c r="A955">
        <f>'Production Plan'!B943</f>
        <v/>
      </c>
      <c r="B955">
        <f>VLOOKUP(A955,'Production Plan'!B:S,16,FALSE)</f>
        <v/>
      </c>
      <c r="C955">
        <f>VLOOKUP(A955,'Production Plan'!B:F,5,FALSE)</f>
        <v/>
      </c>
    </row>
    <row r="956" hidden="1">
      <c r="A956">
        <f>'Production Plan'!B944</f>
        <v/>
      </c>
      <c r="B956">
        <f>VLOOKUP(A956,'Production Plan'!B:S,16,FALSE)</f>
        <v/>
      </c>
      <c r="C956">
        <f>VLOOKUP(A956,'Production Plan'!B:F,5,FALSE)</f>
        <v/>
      </c>
    </row>
    <row r="957" hidden="1">
      <c r="A957">
        <f>'Production Plan'!B945</f>
        <v/>
      </c>
      <c r="B957">
        <f>VLOOKUP(A957,'Production Plan'!B:S,16,FALSE)</f>
        <v/>
      </c>
      <c r="C957">
        <f>VLOOKUP(A957,'Production Plan'!B:F,5,FALSE)</f>
        <v/>
      </c>
    </row>
    <row r="958" hidden="1">
      <c r="A958">
        <f>'Production Plan'!B946</f>
        <v/>
      </c>
      <c r="B958">
        <f>VLOOKUP(A958,'Production Plan'!B:S,16,FALSE)</f>
        <v/>
      </c>
      <c r="C958">
        <f>VLOOKUP(A958,'Production Plan'!B:F,5,FALSE)</f>
        <v/>
      </c>
    </row>
    <row r="959" hidden="1">
      <c r="A959">
        <f>'Production Plan'!B947</f>
        <v/>
      </c>
      <c r="B959">
        <f>VLOOKUP(A959,'Production Plan'!B:S,16,FALSE)</f>
        <v/>
      </c>
      <c r="C959">
        <f>VLOOKUP(A959,'Production Plan'!B:F,5,FALSE)</f>
        <v/>
      </c>
    </row>
    <row r="960" hidden="1">
      <c r="A960">
        <f>'Production Plan'!B948</f>
        <v/>
      </c>
      <c r="B960">
        <f>VLOOKUP(A960,'Production Plan'!B:S,16,FALSE)</f>
        <v/>
      </c>
      <c r="C960">
        <f>VLOOKUP(A960,'Production Plan'!B:F,5,FALSE)</f>
        <v/>
      </c>
    </row>
    <row r="961" hidden="1">
      <c r="A961">
        <f>'Production Plan'!B949</f>
        <v/>
      </c>
      <c r="B961">
        <f>VLOOKUP(A961,'Production Plan'!B:S,16,FALSE)</f>
        <v/>
      </c>
      <c r="C961">
        <f>VLOOKUP(A961,'Production Plan'!B:F,5,FALSE)</f>
        <v/>
      </c>
    </row>
    <row r="962" hidden="1">
      <c r="A962">
        <f>'Production Plan'!B950</f>
        <v/>
      </c>
      <c r="B962">
        <f>VLOOKUP(A962,'Production Plan'!B:S,16,FALSE)</f>
        <v/>
      </c>
      <c r="C962">
        <f>VLOOKUP(A962,'Production Plan'!B:F,5,FALSE)</f>
        <v/>
      </c>
    </row>
    <row r="963" hidden="1">
      <c r="A963">
        <f>'Production Plan'!B951</f>
        <v/>
      </c>
      <c r="B963">
        <f>VLOOKUP(A963,'Production Plan'!B:S,16,FALSE)</f>
        <v/>
      </c>
      <c r="C963">
        <f>VLOOKUP(A963,'Production Plan'!B:F,5,FALSE)</f>
        <v/>
      </c>
    </row>
    <row r="964" hidden="1">
      <c r="A964">
        <f>'Production Plan'!B952</f>
        <v/>
      </c>
      <c r="B964">
        <f>VLOOKUP(A964,'Production Plan'!B:S,16,FALSE)</f>
        <v/>
      </c>
      <c r="C964">
        <f>VLOOKUP(A964,'Production Plan'!B:F,5,FALSE)</f>
        <v/>
      </c>
    </row>
    <row r="965" hidden="1">
      <c r="A965">
        <f>'Production Plan'!B953</f>
        <v/>
      </c>
      <c r="B965">
        <f>VLOOKUP(A965,'Production Plan'!B:S,16,FALSE)</f>
        <v/>
      </c>
      <c r="C965">
        <f>VLOOKUP(A965,'Production Plan'!B:F,5,FALSE)</f>
        <v/>
      </c>
    </row>
    <row r="966" hidden="1">
      <c r="A966">
        <f>'Production Plan'!B954</f>
        <v/>
      </c>
      <c r="B966">
        <f>VLOOKUP(A966,'Production Plan'!B:S,16,FALSE)</f>
        <v/>
      </c>
      <c r="C966">
        <f>VLOOKUP(A966,'Production Plan'!B:F,5,FALSE)</f>
        <v/>
      </c>
    </row>
    <row r="967" hidden="1">
      <c r="A967">
        <f>'Production Plan'!B955</f>
        <v/>
      </c>
      <c r="B967">
        <f>VLOOKUP(A967,'Production Plan'!B:S,16,FALSE)</f>
        <v/>
      </c>
      <c r="C967">
        <f>VLOOKUP(A967,'Production Plan'!B:F,5,FALSE)</f>
        <v/>
      </c>
    </row>
    <row r="968" hidden="1">
      <c r="A968">
        <f>'Production Plan'!B956</f>
        <v/>
      </c>
      <c r="B968">
        <f>VLOOKUP(A968,'Production Plan'!B:S,16,FALSE)</f>
        <v/>
      </c>
      <c r="C968">
        <f>VLOOKUP(A968,'Production Plan'!B:F,5,FALSE)</f>
        <v/>
      </c>
    </row>
    <row r="969" hidden="1">
      <c r="A969">
        <f>'Production Plan'!B957</f>
        <v/>
      </c>
      <c r="B969">
        <f>VLOOKUP(A969,'Production Plan'!B:S,16,FALSE)</f>
        <v/>
      </c>
      <c r="C969">
        <f>VLOOKUP(A969,'Production Plan'!B:F,5,FALSE)</f>
        <v/>
      </c>
    </row>
    <row r="970" hidden="1">
      <c r="A970">
        <f>'Production Plan'!B958</f>
        <v/>
      </c>
      <c r="B970">
        <f>VLOOKUP(A970,'Production Plan'!B:S,16,FALSE)</f>
        <v/>
      </c>
      <c r="C970">
        <f>VLOOKUP(A970,'Production Plan'!B:F,5,FALSE)</f>
        <v/>
      </c>
    </row>
    <row r="971" hidden="1">
      <c r="A971">
        <f>'Production Plan'!B959</f>
        <v/>
      </c>
      <c r="B971">
        <f>VLOOKUP(A971,'Production Plan'!B:S,16,FALSE)</f>
        <v/>
      </c>
      <c r="C971">
        <f>VLOOKUP(A971,'Production Plan'!B:F,5,FALSE)</f>
        <v/>
      </c>
    </row>
    <row r="972" hidden="1">
      <c r="A972">
        <f>'Production Plan'!B960</f>
        <v/>
      </c>
      <c r="B972">
        <f>VLOOKUP(A972,'Production Plan'!B:S,16,FALSE)</f>
        <v/>
      </c>
      <c r="C972">
        <f>VLOOKUP(A972,'Production Plan'!B:F,5,FALSE)</f>
        <v/>
      </c>
    </row>
    <row r="973" hidden="1">
      <c r="A973">
        <f>'Production Plan'!B961</f>
        <v/>
      </c>
      <c r="B973">
        <f>VLOOKUP(A973,'Production Plan'!B:S,16,FALSE)</f>
        <v/>
      </c>
      <c r="C973">
        <f>VLOOKUP(A973,'Production Plan'!B:F,5,FALSE)</f>
        <v/>
      </c>
    </row>
    <row r="974" hidden="1">
      <c r="A974">
        <f>'Production Plan'!B962</f>
        <v/>
      </c>
      <c r="B974">
        <f>VLOOKUP(A974,'Production Plan'!B:S,16,FALSE)</f>
        <v/>
      </c>
      <c r="C974">
        <f>VLOOKUP(A974,'Production Plan'!B:F,5,FALSE)</f>
        <v/>
      </c>
    </row>
    <row r="975" hidden="1">
      <c r="A975">
        <f>'Production Plan'!B963</f>
        <v/>
      </c>
      <c r="B975">
        <f>VLOOKUP(A975,'Production Plan'!B:S,16,FALSE)</f>
        <v/>
      </c>
      <c r="C975">
        <f>VLOOKUP(A975,'Production Plan'!B:F,5,FALSE)</f>
        <v/>
      </c>
    </row>
    <row r="976" hidden="1">
      <c r="A976">
        <f>'Production Plan'!B964</f>
        <v/>
      </c>
      <c r="B976">
        <f>VLOOKUP(A976,'Production Plan'!B:S,16,FALSE)</f>
        <v/>
      </c>
      <c r="C976">
        <f>VLOOKUP(A976,'Production Plan'!B:F,5,FALSE)</f>
        <v/>
      </c>
    </row>
    <row r="977" hidden="1">
      <c r="A977">
        <f>'Production Plan'!B965</f>
        <v/>
      </c>
      <c r="B977">
        <f>VLOOKUP(A977,'Production Plan'!B:S,16,FALSE)</f>
        <v/>
      </c>
      <c r="C977">
        <f>VLOOKUP(A977,'Production Plan'!B:F,5,FALSE)</f>
        <v/>
      </c>
    </row>
    <row r="978" hidden="1">
      <c r="A978">
        <f>'Production Plan'!B966</f>
        <v/>
      </c>
      <c r="B978">
        <f>VLOOKUP(A978,'Production Plan'!B:S,16,FALSE)</f>
        <v/>
      </c>
      <c r="C978">
        <f>VLOOKUP(A978,'Production Plan'!B:F,5,FALSE)</f>
        <v/>
      </c>
    </row>
    <row r="979" hidden="1">
      <c r="A979">
        <f>'Production Plan'!B967</f>
        <v/>
      </c>
      <c r="B979">
        <f>VLOOKUP(A979,'Production Plan'!B:S,16,FALSE)</f>
        <v/>
      </c>
      <c r="C979">
        <f>VLOOKUP(A979,'Production Plan'!B:F,5,FALSE)</f>
        <v/>
      </c>
    </row>
    <row r="980" hidden="1">
      <c r="A980">
        <f>'Production Plan'!B968</f>
        <v/>
      </c>
      <c r="B980">
        <f>VLOOKUP(A980,'Production Plan'!B:S,16,FALSE)</f>
        <v/>
      </c>
      <c r="C980">
        <f>VLOOKUP(A980,'Production Plan'!B:F,5,FALSE)</f>
        <v/>
      </c>
    </row>
    <row r="981" hidden="1">
      <c r="A981">
        <f>'Production Plan'!B969</f>
        <v/>
      </c>
      <c r="B981">
        <f>VLOOKUP(A981,'Production Plan'!B:S,16,FALSE)</f>
        <v/>
      </c>
      <c r="C981">
        <f>VLOOKUP(A981,'Production Plan'!B:F,5,FALSE)</f>
        <v/>
      </c>
    </row>
    <row r="982" hidden="1">
      <c r="A982">
        <f>'Production Plan'!B970</f>
        <v/>
      </c>
      <c r="B982">
        <f>VLOOKUP(A982,'Production Plan'!B:S,16,FALSE)</f>
        <v/>
      </c>
      <c r="C982">
        <f>VLOOKUP(A982,'Production Plan'!B:F,5,FALSE)</f>
        <v/>
      </c>
    </row>
    <row r="983" hidden="1">
      <c r="A983">
        <f>'Production Plan'!B971</f>
        <v/>
      </c>
      <c r="B983">
        <f>VLOOKUP(A983,'Production Plan'!B:S,16,FALSE)</f>
        <v/>
      </c>
      <c r="C983">
        <f>VLOOKUP(A983,'Production Plan'!B:F,5,FALSE)</f>
        <v/>
      </c>
    </row>
    <row r="984" hidden="1">
      <c r="A984">
        <f>'Production Plan'!B972</f>
        <v/>
      </c>
      <c r="B984">
        <f>VLOOKUP(A984,'Production Plan'!B:S,16,FALSE)</f>
        <v/>
      </c>
      <c r="C984">
        <f>VLOOKUP(A984,'Production Plan'!B:F,5,FALSE)</f>
        <v/>
      </c>
    </row>
    <row r="985" hidden="1">
      <c r="A985">
        <f>'Production Plan'!B973</f>
        <v/>
      </c>
      <c r="B985">
        <f>VLOOKUP(A985,'Production Plan'!B:S,16,FALSE)</f>
        <v/>
      </c>
      <c r="C985">
        <f>VLOOKUP(A985,'Production Plan'!B:F,5,FALSE)</f>
        <v/>
      </c>
    </row>
    <row r="986" hidden="1">
      <c r="A986">
        <f>'Production Plan'!B974</f>
        <v/>
      </c>
      <c r="B986">
        <f>VLOOKUP(A986,'Production Plan'!B:S,16,FALSE)</f>
        <v/>
      </c>
      <c r="C986">
        <f>VLOOKUP(A986,'Production Plan'!B:F,5,FALSE)</f>
        <v/>
      </c>
    </row>
    <row r="987" hidden="1">
      <c r="A987">
        <f>'Production Plan'!B975</f>
        <v/>
      </c>
      <c r="B987">
        <f>VLOOKUP(A987,'Production Plan'!B:S,16,FALSE)</f>
        <v/>
      </c>
      <c r="C987">
        <f>VLOOKUP(A987,'Production Plan'!B:F,5,FALSE)</f>
        <v/>
      </c>
    </row>
    <row r="988" hidden="1">
      <c r="A988">
        <f>'Production Plan'!B976</f>
        <v/>
      </c>
      <c r="B988">
        <f>VLOOKUP(A988,'Production Plan'!B:S,16,FALSE)</f>
        <v/>
      </c>
      <c r="C988">
        <f>VLOOKUP(A988,'Production Plan'!B:F,5,FALSE)</f>
        <v/>
      </c>
    </row>
    <row r="989" hidden="1">
      <c r="A989">
        <f>'Production Plan'!B977</f>
        <v/>
      </c>
      <c r="B989">
        <f>VLOOKUP(A989,'Production Plan'!B:S,16,FALSE)</f>
        <v/>
      </c>
      <c r="C989">
        <f>VLOOKUP(A989,'Production Plan'!B:F,5,FALSE)</f>
        <v/>
      </c>
    </row>
    <row r="990" hidden="1">
      <c r="A990">
        <f>'Production Plan'!B978</f>
        <v/>
      </c>
      <c r="B990">
        <f>VLOOKUP(A990,'Production Plan'!B:S,16,FALSE)</f>
        <v/>
      </c>
      <c r="C990">
        <f>VLOOKUP(A990,'Production Plan'!B:F,5,FALSE)</f>
        <v/>
      </c>
    </row>
    <row r="991" hidden="1">
      <c r="A991">
        <f>'Production Plan'!B979</f>
        <v/>
      </c>
      <c r="B991">
        <f>VLOOKUP(A991,'Production Plan'!B:S,16,FALSE)</f>
        <v/>
      </c>
      <c r="C991">
        <f>VLOOKUP(A991,'Production Plan'!B:F,5,FALSE)</f>
        <v/>
      </c>
    </row>
    <row r="992" hidden="1">
      <c r="A992">
        <f>'Production Plan'!B980</f>
        <v/>
      </c>
      <c r="B992">
        <f>VLOOKUP(A992,'Production Plan'!B:S,16,FALSE)</f>
        <v/>
      </c>
      <c r="C992">
        <f>VLOOKUP(A992,'Production Plan'!B:F,5,FALSE)</f>
        <v/>
      </c>
    </row>
    <row r="993" hidden="1">
      <c r="A993">
        <f>'Production Plan'!B981</f>
        <v/>
      </c>
      <c r="B993">
        <f>VLOOKUP(A993,'Production Plan'!B:S,16,FALSE)</f>
        <v/>
      </c>
      <c r="C993">
        <f>VLOOKUP(A993,'Production Plan'!B:F,5,FALSE)</f>
        <v/>
      </c>
    </row>
    <row r="994" hidden="1">
      <c r="A994">
        <f>'Production Plan'!B982</f>
        <v/>
      </c>
      <c r="B994">
        <f>VLOOKUP(A994,'Production Plan'!B:S,16,FALSE)</f>
        <v/>
      </c>
      <c r="C994">
        <f>VLOOKUP(A994,'Production Plan'!B:F,5,FALSE)</f>
        <v/>
      </c>
    </row>
    <row r="995" hidden="1">
      <c r="A995">
        <f>'Production Plan'!B983</f>
        <v/>
      </c>
      <c r="B995">
        <f>VLOOKUP(A995,'Production Plan'!B:S,16,FALSE)</f>
        <v/>
      </c>
      <c r="C995">
        <f>VLOOKUP(A995,'Production Plan'!B:F,5,FALSE)</f>
        <v/>
      </c>
    </row>
    <row r="996" hidden="1">
      <c r="A996">
        <f>'Production Plan'!B984</f>
        <v/>
      </c>
      <c r="B996">
        <f>VLOOKUP(A996,'Production Plan'!B:S,16,FALSE)</f>
        <v/>
      </c>
      <c r="C996">
        <f>VLOOKUP(A996,'Production Plan'!B:F,5,FALSE)</f>
        <v/>
      </c>
    </row>
    <row r="997" hidden="1">
      <c r="A997">
        <f>'Production Plan'!B985</f>
        <v/>
      </c>
      <c r="B997">
        <f>VLOOKUP(A997,'Production Plan'!B:S,16,FALSE)</f>
        <v/>
      </c>
      <c r="C997">
        <f>VLOOKUP(A997,'Production Plan'!B:F,5,FALSE)</f>
        <v/>
      </c>
    </row>
    <row r="998" hidden="1">
      <c r="A998">
        <f>'Production Plan'!B986</f>
        <v/>
      </c>
      <c r="B998">
        <f>VLOOKUP(A998,'Production Plan'!B:S,16,FALSE)</f>
        <v/>
      </c>
      <c r="C998">
        <f>VLOOKUP(A998,'Production Plan'!B:F,5,FALSE)</f>
        <v/>
      </c>
    </row>
    <row r="999" hidden="1">
      <c r="A999">
        <f>'Production Plan'!B987</f>
        <v/>
      </c>
      <c r="B999">
        <f>VLOOKUP(A999,'Production Plan'!B:S,16,FALSE)</f>
        <v/>
      </c>
      <c r="C999">
        <f>VLOOKUP(A999,'Production Plan'!B:F,5,FALSE)</f>
        <v/>
      </c>
    </row>
    <row r="1000" hidden="1">
      <c r="A1000">
        <f>'Production Plan'!B988</f>
        <v/>
      </c>
      <c r="B1000">
        <f>VLOOKUP(A1000,'Production Plan'!B:S,16,FALSE)</f>
        <v/>
      </c>
      <c r="C1000">
        <f>VLOOKUP(A1000,'Production Plan'!B:F,5,FALSE)</f>
        <v/>
      </c>
    </row>
    <row r="1001" hidden="1">
      <c r="A1001">
        <f>'Production Plan'!B989</f>
        <v/>
      </c>
      <c r="B1001">
        <f>VLOOKUP(A1001,'Production Plan'!B:S,16,FALSE)</f>
        <v/>
      </c>
      <c r="C1001">
        <f>VLOOKUP(A1001,'Production Plan'!B:F,5,FALSE)</f>
        <v/>
      </c>
    </row>
    <row r="1002" hidden="1">
      <c r="A1002">
        <f>'Production Plan'!B990</f>
        <v/>
      </c>
      <c r="B1002">
        <f>VLOOKUP(A1002,'Production Plan'!B:S,16,FALSE)</f>
        <v/>
      </c>
      <c r="C1002">
        <f>VLOOKUP(A1002,'Production Plan'!B:F,5,FALSE)</f>
        <v/>
      </c>
    </row>
    <row r="1003" hidden="1">
      <c r="A1003">
        <f>'Production Plan'!B991</f>
        <v/>
      </c>
      <c r="B1003">
        <f>VLOOKUP(A1003,'Production Plan'!B:S,16,FALSE)</f>
        <v/>
      </c>
      <c r="C1003">
        <f>VLOOKUP(A1003,'Production Plan'!B:F,5,FALSE)</f>
        <v/>
      </c>
    </row>
    <row r="1004" hidden="1">
      <c r="A1004">
        <f>'Production Plan'!B992</f>
        <v/>
      </c>
      <c r="B1004">
        <f>VLOOKUP(A1004,'Production Plan'!B:S,16,FALSE)</f>
        <v/>
      </c>
      <c r="C1004">
        <f>VLOOKUP(A1004,'Production Plan'!B:F,5,FALSE)</f>
        <v/>
      </c>
    </row>
    <row r="1005" hidden="1">
      <c r="A1005">
        <f>'Production Plan'!B993</f>
        <v/>
      </c>
      <c r="B1005">
        <f>VLOOKUP(A1005,'Production Plan'!B:S,16,FALSE)</f>
        <v/>
      </c>
      <c r="C1005">
        <f>VLOOKUP(A1005,'Production Plan'!B:F,5,FALSE)</f>
        <v/>
      </c>
    </row>
    <row r="1006" hidden="1">
      <c r="A1006">
        <f>'Production Plan'!B994</f>
        <v/>
      </c>
      <c r="B1006">
        <f>VLOOKUP(A1006,'Production Plan'!B:S,16,FALSE)</f>
        <v/>
      </c>
      <c r="C1006">
        <f>VLOOKUP(A1006,'Production Plan'!B:F,5,FALSE)</f>
        <v/>
      </c>
    </row>
    <row r="1007" hidden="1">
      <c r="A1007">
        <f>'Production Plan'!B995</f>
        <v/>
      </c>
      <c r="B1007">
        <f>VLOOKUP(A1007,'Production Plan'!B:S,16,FALSE)</f>
        <v/>
      </c>
      <c r="C1007">
        <f>VLOOKUP(A1007,'Production Plan'!B:F,5,FALSE)</f>
        <v/>
      </c>
    </row>
    <row r="1008" hidden="1">
      <c r="A1008">
        <f>'Production Plan'!B996</f>
        <v/>
      </c>
      <c r="B1008">
        <f>VLOOKUP(A1008,'Production Plan'!B:S,16,FALSE)</f>
        <v/>
      </c>
      <c r="C1008">
        <f>VLOOKUP(A1008,'Production Plan'!B:F,5,FALSE)</f>
        <v/>
      </c>
    </row>
    <row r="1009" hidden="1">
      <c r="A1009">
        <f>'Production Plan'!B997</f>
        <v/>
      </c>
      <c r="B1009">
        <f>VLOOKUP(A1009,'Production Plan'!B:S,16,FALSE)</f>
        <v/>
      </c>
      <c r="C1009">
        <f>VLOOKUP(A1009,'Production Plan'!B:F,5,FALSE)</f>
        <v/>
      </c>
    </row>
    <row r="1010" hidden="1">
      <c r="A1010">
        <f>'Production Plan'!B998</f>
        <v/>
      </c>
      <c r="B1010">
        <f>VLOOKUP(A1010,'Production Plan'!B:S,16,FALSE)</f>
        <v/>
      </c>
      <c r="C1010">
        <f>VLOOKUP(A1010,'Production Plan'!B:F,5,FALSE)</f>
        <v/>
      </c>
    </row>
    <row r="1011" hidden="1">
      <c r="A1011">
        <f>'Production Plan'!B999</f>
        <v/>
      </c>
      <c r="B1011">
        <f>VLOOKUP(A1011,'Production Plan'!B:S,16,FALSE)</f>
        <v/>
      </c>
      <c r="C1011">
        <f>VLOOKUP(A1011,'Production Plan'!B:F,5,FALSE)</f>
        <v/>
      </c>
    </row>
    <row r="1012" hidden="1">
      <c r="A1012">
        <f>'Production Plan'!B1000</f>
        <v/>
      </c>
      <c r="B1012">
        <f>VLOOKUP(A1012,'Production Plan'!B:S,16,FALSE)</f>
        <v/>
      </c>
      <c r="C1012">
        <f>VLOOKUP(A1012,'Production Plan'!B:F,5,FALSE)</f>
        <v/>
      </c>
    </row>
    <row r="1013" hidden="1">
      <c r="A1013">
        <f>'Production Plan'!B1001</f>
        <v/>
      </c>
      <c r="B1013">
        <f>VLOOKUP(A1013,'Production Plan'!B:S,16,FALSE)</f>
        <v/>
      </c>
      <c r="C1013">
        <f>VLOOKUP(A1013,'Production Plan'!B:F,5,FALSE)</f>
        <v/>
      </c>
    </row>
    <row r="1014" hidden="1">
      <c r="A1014">
        <f>'Production Plan'!B1002</f>
        <v/>
      </c>
      <c r="B1014">
        <f>VLOOKUP(A1014,'Production Plan'!B:S,16,FALSE)</f>
        <v/>
      </c>
      <c r="C1014">
        <f>VLOOKUP(A1014,'Production Plan'!B:F,5,FALSE)</f>
        <v/>
      </c>
    </row>
    <row r="1015" hidden="1">
      <c r="A1015">
        <f>'Production Plan'!B1003</f>
        <v/>
      </c>
      <c r="B1015">
        <f>VLOOKUP(A1015,'Production Plan'!B:S,16,FALSE)</f>
        <v/>
      </c>
      <c r="C1015">
        <f>VLOOKUP(A1015,'Production Plan'!B:F,5,FALSE)</f>
        <v/>
      </c>
    </row>
    <row r="1016" hidden="1">
      <c r="A1016">
        <f>'Production Plan'!B1004</f>
        <v/>
      </c>
      <c r="B1016">
        <f>VLOOKUP(A1016,'Production Plan'!B:S,16,FALSE)</f>
        <v/>
      </c>
      <c r="C1016">
        <f>VLOOKUP(A1016,'Production Plan'!B:F,5,FALSE)</f>
        <v/>
      </c>
    </row>
    <row r="1017" hidden="1">
      <c r="A1017">
        <f>'Production Plan'!B1005</f>
        <v/>
      </c>
      <c r="B1017">
        <f>VLOOKUP(A1017,'Production Plan'!B:S,16,FALSE)</f>
        <v/>
      </c>
      <c r="C1017">
        <f>VLOOKUP(A1017,'Production Plan'!B:F,5,FALSE)</f>
        <v/>
      </c>
    </row>
    <row r="1018" hidden="1">
      <c r="A1018">
        <f>'Production Plan'!B1006</f>
        <v/>
      </c>
      <c r="B1018">
        <f>VLOOKUP(A1018,'Production Plan'!B:S,16,FALSE)</f>
        <v/>
      </c>
      <c r="C1018">
        <f>VLOOKUP(A1018,'Production Plan'!B:F,5,FALSE)</f>
        <v/>
      </c>
    </row>
    <row r="1019" hidden="1">
      <c r="A1019">
        <f>'Production Plan'!B1007</f>
        <v/>
      </c>
      <c r="B1019">
        <f>VLOOKUP(A1019,'Production Plan'!B:S,16,FALSE)</f>
        <v/>
      </c>
      <c r="C1019">
        <f>VLOOKUP(A1019,'Production Plan'!B:F,5,FALSE)</f>
        <v/>
      </c>
    </row>
    <row r="1020" hidden="1">
      <c r="A1020">
        <f>'Production Plan'!B1008</f>
        <v/>
      </c>
      <c r="B1020">
        <f>VLOOKUP(A1020,'Production Plan'!B:S,16,FALSE)</f>
        <v/>
      </c>
      <c r="C1020">
        <f>VLOOKUP(A1020,'Production Plan'!B:F,5,FALSE)</f>
        <v/>
      </c>
    </row>
    <row r="1021" hidden="1">
      <c r="A1021">
        <f>'Production Plan'!B1009</f>
        <v/>
      </c>
      <c r="B1021">
        <f>VLOOKUP(A1021,'Production Plan'!B:S,16,FALSE)</f>
        <v/>
      </c>
      <c r="C1021">
        <f>VLOOKUP(A1021,'Production Plan'!B:F,5,FALSE)</f>
        <v/>
      </c>
    </row>
    <row r="1022" hidden="1">
      <c r="A1022">
        <f>'Production Plan'!B1010</f>
        <v/>
      </c>
      <c r="B1022">
        <f>VLOOKUP(A1022,'Production Plan'!B:S,16,FALSE)</f>
        <v/>
      </c>
      <c r="C1022">
        <f>VLOOKUP(A1022,'Production Plan'!B:F,5,FALSE)</f>
        <v/>
      </c>
    </row>
    <row r="1023" hidden="1">
      <c r="A1023">
        <f>'Production Plan'!B1011</f>
        <v/>
      </c>
      <c r="B1023">
        <f>VLOOKUP(A1023,'Production Plan'!B:S,16,FALSE)</f>
        <v/>
      </c>
      <c r="C1023">
        <f>VLOOKUP(A1023,'Production Plan'!B:F,5,FALSE)</f>
        <v/>
      </c>
    </row>
    <row r="1024" hidden="1">
      <c r="A1024">
        <f>'Production Plan'!B1012</f>
        <v/>
      </c>
      <c r="B1024">
        <f>VLOOKUP(A1024,'Production Plan'!B:S,16,FALSE)</f>
        <v/>
      </c>
      <c r="C1024">
        <f>VLOOKUP(A1024,'Production Plan'!B:F,5,FALSE)</f>
        <v/>
      </c>
    </row>
    <row r="1025" hidden="1">
      <c r="A1025">
        <f>'Production Plan'!B1013</f>
        <v/>
      </c>
      <c r="B1025">
        <f>VLOOKUP(A1025,'Production Plan'!B:S,16,FALSE)</f>
        <v/>
      </c>
      <c r="C1025">
        <f>VLOOKUP(A1025,'Production Plan'!B:F,5,FALSE)</f>
        <v/>
      </c>
    </row>
    <row r="1026" hidden="1">
      <c r="A1026">
        <f>'Production Plan'!B1014</f>
        <v/>
      </c>
      <c r="B1026">
        <f>VLOOKUP(A1026,'Production Plan'!B:S,16,FALSE)</f>
        <v/>
      </c>
      <c r="C1026">
        <f>VLOOKUP(A1026,'Production Plan'!B:F,5,FALSE)</f>
        <v/>
      </c>
    </row>
    <row r="1027" hidden="1">
      <c r="A1027">
        <f>'Production Plan'!B1015</f>
        <v/>
      </c>
      <c r="B1027">
        <f>VLOOKUP(A1027,'Production Plan'!B:S,16,FALSE)</f>
        <v/>
      </c>
      <c r="C1027">
        <f>VLOOKUP(A1027,'Production Plan'!B:F,5,FALSE)</f>
        <v/>
      </c>
    </row>
    <row r="1028" hidden="1">
      <c r="A1028">
        <f>'Production Plan'!B1016</f>
        <v/>
      </c>
      <c r="B1028">
        <f>VLOOKUP(A1028,'Production Plan'!B:S,16,FALSE)</f>
        <v/>
      </c>
      <c r="C1028">
        <f>VLOOKUP(A1028,'Production Plan'!B:F,5,FALSE)</f>
        <v/>
      </c>
    </row>
    <row r="1029" hidden="1">
      <c r="A1029">
        <f>'Production Plan'!B1017</f>
        <v/>
      </c>
      <c r="B1029">
        <f>VLOOKUP(A1029,'Production Plan'!B:S,16,FALSE)</f>
        <v/>
      </c>
      <c r="C1029">
        <f>VLOOKUP(A1029,'Production Plan'!B:F,5,FALSE)</f>
        <v/>
      </c>
    </row>
    <row r="1030" hidden="1">
      <c r="A1030">
        <f>'Production Plan'!B1018</f>
        <v/>
      </c>
      <c r="B1030">
        <f>VLOOKUP(A1030,'Production Plan'!B:S,16,FALSE)</f>
        <v/>
      </c>
      <c r="C1030">
        <f>VLOOKUP(A1030,'Production Plan'!B:F,5,FALSE)</f>
        <v/>
      </c>
    </row>
    <row r="1031" hidden="1">
      <c r="A1031">
        <f>'Production Plan'!B1019</f>
        <v/>
      </c>
      <c r="B1031">
        <f>VLOOKUP(A1031,'Production Plan'!B:S,16,FALSE)</f>
        <v/>
      </c>
      <c r="C1031">
        <f>VLOOKUP(A1031,'Production Plan'!B:F,5,FALSE)</f>
        <v/>
      </c>
    </row>
    <row r="1032" hidden="1">
      <c r="A1032">
        <f>'Production Plan'!B1020</f>
        <v/>
      </c>
      <c r="B1032">
        <f>VLOOKUP(A1032,'Production Plan'!B:S,16,FALSE)</f>
        <v/>
      </c>
      <c r="C1032">
        <f>VLOOKUP(A1032,'Production Plan'!B:F,5,FALSE)</f>
        <v/>
      </c>
    </row>
    <row r="1033" hidden="1">
      <c r="A1033">
        <f>'Production Plan'!B1021</f>
        <v/>
      </c>
      <c r="B1033">
        <f>VLOOKUP(A1033,'Production Plan'!B:S,16,FALSE)</f>
        <v/>
      </c>
      <c r="C1033">
        <f>VLOOKUP(A1033,'Production Plan'!B:F,5,FALSE)</f>
        <v/>
      </c>
    </row>
    <row r="1034" hidden="1">
      <c r="A1034">
        <f>'Production Plan'!B1022</f>
        <v/>
      </c>
      <c r="B1034">
        <f>VLOOKUP(A1034,'Production Plan'!B:S,16,FALSE)</f>
        <v/>
      </c>
      <c r="C1034">
        <f>VLOOKUP(A1034,'Production Plan'!B:F,5,FALSE)</f>
        <v/>
      </c>
    </row>
    <row r="1035" hidden="1">
      <c r="A1035">
        <f>'Production Plan'!B1023</f>
        <v/>
      </c>
      <c r="B1035">
        <f>VLOOKUP(A1035,'Production Plan'!B:S,16,FALSE)</f>
        <v/>
      </c>
      <c r="C1035">
        <f>VLOOKUP(A1035,'Production Plan'!B:F,5,FALSE)</f>
        <v/>
      </c>
    </row>
    <row r="1036" hidden="1">
      <c r="A1036">
        <f>'Production Plan'!B1024</f>
        <v/>
      </c>
      <c r="B1036">
        <f>VLOOKUP(A1036,'Production Plan'!B:S,16,FALSE)</f>
        <v/>
      </c>
      <c r="C1036">
        <f>VLOOKUP(A1036,'Production Plan'!B:F,5,FALSE)</f>
        <v/>
      </c>
    </row>
    <row r="1037" hidden="1">
      <c r="A1037">
        <f>'Production Plan'!B1025</f>
        <v/>
      </c>
      <c r="B1037">
        <f>VLOOKUP(A1037,'Production Plan'!B:S,16,FALSE)</f>
        <v/>
      </c>
      <c r="C1037">
        <f>VLOOKUP(A1037,'Production Plan'!B:F,5,FALSE)</f>
        <v/>
      </c>
    </row>
    <row r="1038" hidden="1">
      <c r="A1038">
        <f>'Production Plan'!B1026</f>
        <v/>
      </c>
      <c r="B1038">
        <f>VLOOKUP(A1038,'Production Plan'!B:S,16,FALSE)</f>
        <v/>
      </c>
      <c r="C1038">
        <f>VLOOKUP(A1038,'Production Plan'!B:F,5,FALSE)</f>
        <v/>
      </c>
    </row>
    <row r="1039" hidden="1">
      <c r="A1039">
        <f>'Production Plan'!B1027</f>
        <v/>
      </c>
      <c r="B1039">
        <f>VLOOKUP(A1039,'Production Plan'!B:S,16,FALSE)</f>
        <v/>
      </c>
      <c r="C1039">
        <f>VLOOKUP(A1039,'Production Plan'!B:F,5,FALSE)</f>
        <v/>
      </c>
    </row>
    <row r="1040" hidden="1">
      <c r="A1040">
        <f>'Production Plan'!B1028</f>
        <v/>
      </c>
      <c r="B1040">
        <f>VLOOKUP(A1040,'Production Plan'!B:S,16,FALSE)</f>
        <v/>
      </c>
      <c r="C1040">
        <f>VLOOKUP(A1040,'Production Plan'!B:F,5,FALSE)</f>
        <v/>
      </c>
    </row>
    <row r="1041" hidden="1">
      <c r="A1041">
        <f>'Production Plan'!B1029</f>
        <v/>
      </c>
      <c r="B1041">
        <f>VLOOKUP(A1041,'Production Plan'!B:S,16,FALSE)</f>
        <v/>
      </c>
      <c r="C1041">
        <f>VLOOKUP(A1041,'Production Plan'!B:F,5,FALSE)</f>
        <v/>
      </c>
    </row>
    <row r="1042" hidden="1">
      <c r="A1042">
        <f>'Production Plan'!B1030</f>
        <v/>
      </c>
      <c r="B1042">
        <f>VLOOKUP(A1042,'Production Plan'!B:S,16,FALSE)</f>
        <v/>
      </c>
      <c r="C1042">
        <f>VLOOKUP(A1042,'Production Plan'!B:F,5,FALSE)</f>
        <v/>
      </c>
    </row>
    <row r="1043" hidden="1">
      <c r="A1043">
        <f>'Production Plan'!B1031</f>
        <v/>
      </c>
      <c r="B1043">
        <f>VLOOKUP(A1043,'Production Plan'!B:S,16,FALSE)</f>
        <v/>
      </c>
      <c r="C1043">
        <f>VLOOKUP(A1043,'Production Plan'!B:F,5,FALSE)</f>
        <v/>
      </c>
    </row>
    <row r="1044" hidden="1">
      <c r="A1044">
        <f>'Production Plan'!B1032</f>
        <v/>
      </c>
      <c r="B1044">
        <f>VLOOKUP(A1044,'Production Plan'!B:S,16,FALSE)</f>
        <v/>
      </c>
      <c r="C1044">
        <f>VLOOKUP(A1044,'Production Plan'!B:F,5,FALSE)</f>
        <v/>
      </c>
    </row>
    <row r="1045" hidden="1">
      <c r="A1045">
        <f>'Production Plan'!B1033</f>
        <v/>
      </c>
      <c r="B1045">
        <f>VLOOKUP(A1045,'Production Plan'!B:S,16,FALSE)</f>
        <v/>
      </c>
      <c r="C1045">
        <f>VLOOKUP(A1045,'Production Plan'!B:F,5,FALSE)</f>
        <v/>
      </c>
    </row>
    <row r="1046" hidden="1">
      <c r="A1046">
        <f>'Production Plan'!B1034</f>
        <v/>
      </c>
      <c r="B1046">
        <f>VLOOKUP(A1046,'Production Plan'!B:S,16,FALSE)</f>
        <v/>
      </c>
      <c r="C1046">
        <f>VLOOKUP(A1046,'Production Plan'!B:F,5,FALSE)</f>
        <v/>
      </c>
    </row>
    <row r="1047" hidden="1">
      <c r="A1047">
        <f>'Production Plan'!B1035</f>
        <v/>
      </c>
      <c r="B1047">
        <f>VLOOKUP(A1047,'Production Plan'!B:S,16,FALSE)</f>
        <v/>
      </c>
      <c r="C1047">
        <f>VLOOKUP(A1047,'Production Plan'!B:F,5,FALSE)</f>
        <v/>
      </c>
    </row>
    <row r="1048" hidden="1">
      <c r="A1048">
        <f>'Production Plan'!B1036</f>
        <v/>
      </c>
      <c r="B1048">
        <f>VLOOKUP(A1048,'Production Plan'!B:S,16,FALSE)</f>
        <v/>
      </c>
      <c r="C1048">
        <f>VLOOKUP(A1048,'Production Plan'!B:F,5,FALSE)</f>
        <v/>
      </c>
    </row>
    <row r="1049" hidden="1">
      <c r="A1049">
        <f>'Production Plan'!B1037</f>
        <v/>
      </c>
      <c r="B1049">
        <f>VLOOKUP(A1049,'Production Plan'!B:S,16,FALSE)</f>
        <v/>
      </c>
      <c r="C1049">
        <f>VLOOKUP(A1049,'Production Plan'!B:F,5,FALSE)</f>
        <v/>
      </c>
    </row>
    <row r="1050" hidden="1">
      <c r="A1050">
        <f>'Production Plan'!B1038</f>
        <v/>
      </c>
      <c r="B1050">
        <f>VLOOKUP(A1050,'Production Plan'!B:S,16,FALSE)</f>
        <v/>
      </c>
      <c r="C1050">
        <f>VLOOKUP(A1050,'Production Plan'!B:F,5,FALSE)</f>
        <v/>
      </c>
    </row>
    <row r="1051" hidden="1">
      <c r="A1051">
        <f>'Production Plan'!B1039</f>
        <v/>
      </c>
      <c r="B1051">
        <f>VLOOKUP(A1051,'Production Plan'!B:S,16,FALSE)</f>
        <v/>
      </c>
      <c r="C1051">
        <f>VLOOKUP(A1051,'Production Plan'!B:F,5,FALSE)</f>
        <v/>
      </c>
    </row>
    <row r="1052" hidden="1">
      <c r="A1052">
        <f>'Production Plan'!B1040</f>
        <v/>
      </c>
      <c r="B1052">
        <f>VLOOKUP(A1052,'Production Plan'!B:S,16,FALSE)</f>
        <v/>
      </c>
      <c r="C1052">
        <f>VLOOKUP(A1052,'Production Plan'!B:F,5,FALSE)</f>
        <v/>
      </c>
    </row>
    <row r="1053" hidden="1">
      <c r="A1053">
        <f>'Production Plan'!B1041</f>
        <v/>
      </c>
      <c r="B1053">
        <f>VLOOKUP(A1053,'Production Plan'!B:S,16,FALSE)</f>
        <v/>
      </c>
      <c r="C1053">
        <f>VLOOKUP(A1053,'Production Plan'!B:F,5,FALSE)</f>
        <v/>
      </c>
    </row>
    <row r="1054" hidden="1">
      <c r="A1054">
        <f>'Production Plan'!B1042</f>
        <v/>
      </c>
      <c r="B1054">
        <f>VLOOKUP(A1054,'Production Plan'!B:S,16,FALSE)</f>
        <v/>
      </c>
      <c r="C1054">
        <f>VLOOKUP(A1054,'Production Plan'!B:F,5,FALSE)</f>
        <v/>
      </c>
    </row>
    <row r="1055" hidden="1">
      <c r="A1055">
        <f>'Production Plan'!B1043</f>
        <v/>
      </c>
      <c r="B1055">
        <f>VLOOKUP(A1055,'Production Plan'!B:S,16,FALSE)</f>
        <v/>
      </c>
      <c r="C1055">
        <f>VLOOKUP(A1055,'Production Plan'!B:F,5,FALSE)</f>
        <v/>
      </c>
    </row>
    <row r="1056" hidden="1">
      <c r="A1056">
        <f>'Production Plan'!B1044</f>
        <v/>
      </c>
      <c r="B1056">
        <f>VLOOKUP(A1056,'Production Plan'!B:S,16,FALSE)</f>
        <v/>
      </c>
      <c r="C1056">
        <f>VLOOKUP(A1056,'Production Plan'!B:F,5,FALSE)</f>
        <v/>
      </c>
    </row>
    <row r="1057" hidden="1">
      <c r="A1057">
        <f>'Production Plan'!B1045</f>
        <v/>
      </c>
      <c r="B1057">
        <f>VLOOKUP(A1057,'Production Plan'!B:S,16,FALSE)</f>
        <v/>
      </c>
      <c r="C1057">
        <f>VLOOKUP(A1057,'Production Plan'!B:F,5,FALSE)</f>
        <v/>
      </c>
    </row>
    <row r="1058" hidden="1">
      <c r="A1058">
        <f>'Production Plan'!B1046</f>
        <v/>
      </c>
      <c r="B1058">
        <f>VLOOKUP(A1058,'Production Plan'!B:S,16,FALSE)</f>
        <v/>
      </c>
      <c r="C1058">
        <f>VLOOKUP(A1058,'Production Plan'!B:F,5,FALSE)</f>
        <v/>
      </c>
    </row>
    <row r="1059" hidden="1">
      <c r="A1059">
        <f>'Production Plan'!B1047</f>
        <v/>
      </c>
      <c r="B1059">
        <f>VLOOKUP(A1059,'Production Plan'!B:S,16,FALSE)</f>
        <v/>
      </c>
      <c r="C1059">
        <f>VLOOKUP(A1059,'Production Plan'!B:F,5,FALSE)</f>
        <v/>
      </c>
    </row>
    <row r="1060" hidden="1">
      <c r="A1060">
        <f>'Production Plan'!B1048</f>
        <v/>
      </c>
      <c r="B1060">
        <f>VLOOKUP(A1060,'Production Plan'!B:S,16,FALSE)</f>
        <v/>
      </c>
      <c r="C1060">
        <f>VLOOKUP(A1060,'Production Plan'!B:F,5,FALSE)</f>
        <v/>
      </c>
    </row>
    <row r="1061" hidden="1">
      <c r="A1061">
        <f>'Production Plan'!B1049</f>
        <v/>
      </c>
      <c r="B1061">
        <f>VLOOKUP(A1061,'Production Plan'!B:S,16,FALSE)</f>
        <v/>
      </c>
      <c r="C1061">
        <f>VLOOKUP(A1061,'Production Plan'!B:F,5,FALSE)</f>
        <v/>
      </c>
    </row>
    <row r="1062" hidden="1">
      <c r="A1062">
        <f>'Production Plan'!B1050</f>
        <v/>
      </c>
      <c r="B1062">
        <f>VLOOKUP(A1062,'Production Plan'!B:S,16,FALSE)</f>
        <v/>
      </c>
      <c r="C1062">
        <f>VLOOKUP(A1062,'Production Plan'!B:F,5,FALSE)</f>
        <v/>
      </c>
    </row>
    <row r="1063" hidden="1">
      <c r="A1063">
        <f>'Production Plan'!B1051</f>
        <v/>
      </c>
      <c r="B1063">
        <f>VLOOKUP(A1063,'Production Plan'!B:S,16,FALSE)</f>
        <v/>
      </c>
      <c r="C1063">
        <f>VLOOKUP(A1063,'Production Plan'!B:F,5,FALSE)</f>
        <v/>
      </c>
    </row>
    <row r="1064" hidden="1">
      <c r="A1064">
        <f>'Production Plan'!B1052</f>
        <v/>
      </c>
      <c r="B1064">
        <f>VLOOKUP(A1064,'Production Plan'!B:S,16,FALSE)</f>
        <v/>
      </c>
      <c r="C1064">
        <f>VLOOKUP(A1064,'Production Plan'!B:F,5,FALSE)</f>
        <v/>
      </c>
    </row>
    <row r="1065" hidden="1">
      <c r="A1065">
        <f>'Production Plan'!B1053</f>
        <v/>
      </c>
      <c r="B1065">
        <f>VLOOKUP(A1065,'Production Plan'!B:S,16,FALSE)</f>
        <v/>
      </c>
      <c r="C1065">
        <f>VLOOKUP(A1065,'Production Plan'!B:F,5,FALSE)</f>
        <v/>
      </c>
    </row>
    <row r="1066" hidden="1">
      <c r="A1066">
        <f>'Production Plan'!B1054</f>
        <v/>
      </c>
      <c r="B1066">
        <f>VLOOKUP(A1066,'Production Plan'!B:S,16,FALSE)</f>
        <v/>
      </c>
      <c r="C1066">
        <f>VLOOKUP(A1066,'Production Plan'!B:F,5,FALSE)</f>
        <v/>
      </c>
    </row>
    <row r="1067" hidden="1">
      <c r="A1067">
        <f>'Production Plan'!B1055</f>
        <v/>
      </c>
      <c r="B1067">
        <f>VLOOKUP(A1067,'Production Plan'!B:S,16,FALSE)</f>
        <v/>
      </c>
      <c r="C1067">
        <f>VLOOKUP(A1067,'Production Plan'!B:F,5,FALSE)</f>
        <v/>
      </c>
    </row>
    <row r="1068" hidden="1">
      <c r="A1068">
        <f>'Production Plan'!B1056</f>
        <v/>
      </c>
      <c r="B1068">
        <f>VLOOKUP(A1068,'Production Plan'!B:S,16,FALSE)</f>
        <v/>
      </c>
      <c r="C1068">
        <f>VLOOKUP(A1068,'Production Plan'!B:F,5,FALSE)</f>
        <v/>
      </c>
    </row>
    <row r="1069" hidden="1">
      <c r="A1069">
        <f>'Production Plan'!B1057</f>
        <v/>
      </c>
      <c r="B1069">
        <f>VLOOKUP(A1069,'Production Plan'!B:S,16,FALSE)</f>
        <v/>
      </c>
      <c r="C1069">
        <f>VLOOKUP(A1069,'Production Plan'!B:F,5,FALSE)</f>
        <v/>
      </c>
    </row>
    <row r="1070" hidden="1">
      <c r="A1070">
        <f>'Production Plan'!B1058</f>
        <v/>
      </c>
      <c r="B1070">
        <f>VLOOKUP(A1070,'Production Plan'!B:S,16,FALSE)</f>
        <v/>
      </c>
      <c r="C1070">
        <f>VLOOKUP(A1070,'Production Plan'!B:F,5,FALSE)</f>
        <v/>
      </c>
    </row>
    <row r="1071" hidden="1">
      <c r="A1071">
        <f>'Production Plan'!B1059</f>
        <v/>
      </c>
      <c r="B1071">
        <f>VLOOKUP(A1071,'Production Plan'!B:S,16,FALSE)</f>
        <v/>
      </c>
      <c r="C1071">
        <f>VLOOKUP(A1071,'Production Plan'!B:F,5,FALSE)</f>
        <v/>
      </c>
    </row>
    <row r="1072" hidden="1">
      <c r="A1072">
        <f>'Production Plan'!B1060</f>
        <v/>
      </c>
      <c r="B1072">
        <f>VLOOKUP(A1072,'Production Plan'!B:S,16,FALSE)</f>
        <v/>
      </c>
      <c r="C1072">
        <f>VLOOKUP(A1072,'Production Plan'!B:F,5,FALSE)</f>
        <v/>
      </c>
    </row>
    <row r="1073" hidden="1">
      <c r="A1073">
        <f>'Production Plan'!B1061</f>
        <v/>
      </c>
      <c r="B1073">
        <f>VLOOKUP(A1073,'Production Plan'!B:S,16,FALSE)</f>
        <v/>
      </c>
      <c r="C1073">
        <f>VLOOKUP(A1073,'Production Plan'!B:F,5,FALSE)</f>
        <v/>
      </c>
    </row>
    <row r="1074" hidden="1">
      <c r="A1074">
        <f>'Production Plan'!B1062</f>
        <v/>
      </c>
      <c r="B1074">
        <f>VLOOKUP(A1074,'Production Plan'!B:S,16,FALSE)</f>
        <v/>
      </c>
      <c r="C1074">
        <f>VLOOKUP(A1074,'Production Plan'!B:F,5,FALSE)</f>
        <v/>
      </c>
    </row>
    <row r="1075" hidden="1">
      <c r="A1075">
        <f>'Production Plan'!B1063</f>
        <v/>
      </c>
      <c r="B1075">
        <f>VLOOKUP(A1075,'Production Plan'!B:S,16,FALSE)</f>
        <v/>
      </c>
      <c r="C1075">
        <f>VLOOKUP(A1075,'Production Plan'!B:F,5,FALSE)</f>
        <v/>
      </c>
    </row>
    <row r="1076" hidden="1">
      <c r="A1076">
        <f>'Production Plan'!B1064</f>
        <v/>
      </c>
      <c r="B1076">
        <f>VLOOKUP(A1076,'Production Plan'!B:S,16,FALSE)</f>
        <v/>
      </c>
      <c r="C1076">
        <f>VLOOKUP(A1076,'Production Plan'!B:F,5,FALSE)</f>
        <v/>
      </c>
    </row>
    <row r="1077" hidden="1">
      <c r="A1077">
        <f>'Production Plan'!B1065</f>
        <v/>
      </c>
      <c r="B1077">
        <f>VLOOKUP(A1077,'Production Plan'!B:S,16,FALSE)</f>
        <v/>
      </c>
      <c r="C1077">
        <f>VLOOKUP(A1077,'Production Plan'!B:F,5,FALSE)</f>
        <v/>
      </c>
    </row>
    <row r="1078" hidden="1">
      <c r="A1078">
        <f>'Production Plan'!B1066</f>
        <v/>
      </c>
      <c r="B1078">
        <f>VLOOKUP(A1078,'Production Plan'!B:S,16,FALSE)</f>
        <v/>
      </c>
      <c r="C1078">
        <f>VLOOKUP(A1078,'Production Plan'!B:F,5,FALSE)</f>
        <v/>
      </c>
    </row>
  </sheetData>
  <autoFilter ref="A1:I1078">
    <filterColumn colId="1" hiddenButton="0" showButton="1">
      <filters>
        <filter val="Yes"/>
      </filters>
    </filterColumn>
  </autoFilter>
  <conditionalFormatting sqref="E2:E5">
    <cfRule type="expression" priority="4" dxfId="2">
      <formula>E2="Low"</formula>
    </cfRule>
    <cfRule type="expression" priority="5" dxfId="1">
      <formula>E2="Medium"</formula>
    </cfRule>
    <cfRule type="expression" priority="6" dxfId="0">
      <formula>E2="High"</formula>
    </cfRule>
  </conditionalFormatting>
  <conditionalFormatting sqref="E7">
    <cfRule type="expression" priority="1" dxfId="2">
      <formula>E7="Low"</formula>
    </cfRule>
    <cfRule type="expression" priority="2" dxfId="1">
      <formula>E7="Medium"</formula>
    </cfRule>
    <cfRule type="expression" priority="3" dxfId="0">
      <formula>E7="High"</formula>
    </cfRule>
  </conditionalFormatting>
  <dataValidations count="2">
    <dataValidation sqref="E2:E5 E7" showDropDown="0" showInputMessage="1" showErrorMessage="1" allowBlank="1" type="list">
      <formula1>"High,Medium,Low"</formula1>
    </dataValidation>
    <dataValidation sqref="I2:I1048576" showDropDown="0" showInputMessage="1" showErrorMessage="1" allowBlank="1" type="list">
      <formula1>"Yes,No"</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4:B7"/>
  <sheetViews>
    <sheetView workbookViewId="0">
      <selection activeCell="B5" sqref="B5"/>
    </sheetView>
  </sheetViews>
  <sheetFormatPr baseColWidth="8" defaultRowHeight="16"/>
  <cols>
    <col width="19.69140625" bestFit="1" customWidth="1" min="2" max="2"/>
  </cols>
  <sheetData>
    <row r="4">
      <c r="B4" s="1" t="inlineStr">
        <is>
          <t>Link to Price Model:</t>
        </is>
      </c>
    </row>
    <row r="5">
      <c r="B5" s="1" t="inlineStr">
        <is>
          <t>Modules total price:</t>
        </is>
      </c>
    </row>
    <row r="6">
      <c r="B6" s="1" t="n"/>
    </row>
    <row r="7">
      <c r="B7" s="1" t="inlineStr">
        <is>
          <t>Estimates for delivery: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7"/>
  <sheetViews>
    <sheetView topLeftCell="A4" workbookViewId="0">
      <selection activeCell="H21" sqref="H21"/>
    </sheetView>
  </sheetViews>
  <sheetFormatPr baseColWidth="8" defaultRowHeight="16"/>
  <sheetData>
    <row r="1">
      <c r="B1" t="inlineStr">
        <is>
          <t>max point</t>
        </is>
      </c>
      <c r="C1" t="inlineStr">
        <is>
          <t>krav</t>
        </is>
      </c>
    </row>
    <row r="2" ht="409.5" customHeight="1">
      <c r="A2" t="inlineStr">
        <is>
          <t>Implementering/installa-tion og/eller konfigura-tion</t>
        </is>
      </c>
      <c r="B2" t="n">
        <v>40</v>
      </c>
      <c r="C2" s="33" t="inlineStr">
        <is>
          <t>•
EK-1 – Udlændingeoverblik
•
EK-3 – Brugergrænseflade
•
EK-5 – Administratormodul
•
EK-6 – Datamodel
•
EK-7 – Konfiguration af brugergrænseflade
•
EK-8 – Afgørelsesmodul</t>
        </is>
      </c>
    </row>
    <row r="3" ht="409.5" customHeight="1">
      <c r="A3" t="inlineStr">
        <is>
          <t>funktionalitet</t>
        </is>
      </c>
      <c r="B3" t="n">
        <v>40</v>
      </c>
      <c r="C3" s="33" t="inlineStr">
        <is>
          <t>EK-2 – Dashboards
•
EK-4 – Aktindsigt
•
EK-9 – Organisatoriske rolle/rettigheder
•
EK-10 – Brugerrettet logning og sagsgang i brugergrænsefladen
•
EK-11 – Outlook integration til journalisering
•
EK-12 – ESDH Standard API</t>
        </is>
      </c>
    </row>
    <row r="4">
      <c r="A4" t="inlineStr">
        <is>
          <t>brugsvilkår</t>
        </is>
      </c>
      <c r="B4" t="n">
        <v>20</v>
      </c>
      <c r="C4" t="inlineStr">
        <is>
          <t>K-Krav i Bilag 1.b Krav til standardsoftware og Bilag 1.e Krav til IT- og informationssikkerhed</t>
        </is>
      </c>
    </row>
    <row r="7">
      <c r="B7" t="inlineStr">
        <is>
          <t>10 point for k-krav ja, 1 point for k-krav nej</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c r="A1" s="54" t="inlineStr">
        <is>
          <t>Field</t>
        </is>
      </c>
      <c r="B1" s="54" t="inlineStr">
        <is>
          <t>Description</t>
        </is>
      </c>
    </row>
    <row r="2">
      <c r="A2" t="inlineStr">
        <is>
          <t>Purpose</t>
        </is>
      </c>
      <c r="B2" t="inlineStr">
        <is>
          <t>AI-generated draft compliance input. Not official bid text until reviewed.</t>
        </is>
      </c>
    </row>
    <row r="3">
      <c r="A3" t="inlineStr">
        <is>
          <t>Editable columns</t>
        </is>
      </c>
      <c r="B3" t="inlineStr">
        <is>
          <t>W–AG on Production Plan only. Columns A–V are human/tool fields.</t>
        </is>
      </c>
    </row>
    <row r="4">
      <c r="A4" t="inlineStr">
        <is>
          <t>Promotion</t>
        </is>
      </c>
      <c r="B4" t="inlineStr">
        <is>
          <t>Copy accepted values to O/P manually after setting Review status = Accepted.</t>
        </is>
      </c>
    </row>
    <row r="5">
      <c r="A5" t="inlineStr">
        <is>
          <t>Regeneration</t>
        </is>
      </c>
      <c r="B5" t="inlineStr">
        <is>
          <t>Re-running the script overwrites AI columns for matched ReqID rows only.</t>
        </is>
      </c>
    </row>
    <row r="6">
      <c r="A6" t="inlineStr">
        <is>
          <t>Disambiguation</t>
        </is>
      </c>
      <c r="B6" t="inlineStr">
        <is>
          <t>Use document (Bilag) in draft JSON when ReqID appears on multiple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Anita Odsbjerg Pedersen</dc:creator>
  <dcterms:created xsi:type="dcterms:W3CDTF">2026-02-11T08:54:15Z</dcterms:created>
  <dcterms:modified xsi:type="dcterms:W3CDTF">2026-07-07T15:26:14Z</dcterms:modified>
  <cp:lastModifiedBy>Morten Jensen</cp:lastModifiedBy>
</cp:coreProperties>
</file>

<file path=docProps/custom.xml><?xml version="1.0" encoding="utf-8"?>
<Properties xmlns:vt="http://schemas.openxmlformats.org/officeDocument/2006/docPropsVTypes" xmlns="http://schemas.openxmlformats.org/officeDocument/2006/custom-properties">
  <property name="TemplafyTenantId" fmtid="{D5CDD505-2E9C-101B-9397-08002B2CF9AE}" pid="2">
    <vt:lpwstr>tietoevry</vt:lpwstr>
  </property>
  <property name="TemplafyTemplateId" fmtid="{D5CDD505-2E9C-101B-9397-08002B2CF9AE}" pid="3">
    <vt:lpwstr>1370459459990324460</vt:lpwstr>
  </property>
  <property name="TemplafyUserProfileId" fmtid="{D5CDD505-2E9C-101B-9397-08002B2CF9AE}" pid="4">
    <vt:lpwstr>1378293969334304885</vt:lpwstr>
  </property>
  <property name="TemplafyLanguageCode" fmtid="{D5CDD505-2E9C-101B-9397-08002B2CF9AE}" pid="5">
    <vt:lpwstr>en-GB</vt:lpwstr>
  </property>
  <property name="TemplafyFromBlank" fmtid="{D5CDD505-2E9C-101B-9397-08002B2CF9AE}" pid="6">
    <vt:bool>1</vt:bool>
  </property>
  <property name="ContentTypeId" fmtid="{D5CDD505-2E9C-101B-9397-08002B2CF9AE}" pid="7">
    <vt:lpwstr>0x010100D9C1001A0C32584A94199C02B2639F76</vt:lpwstr>
  </property>
  <property name="Order" fmtid="{D5CDD505-2E9C-101B-9397-08002B2CF9AE}" pid="8">
    <vt:r8>600</vt:r8>
  </property>
  <property name="xd_Signature" fmtid="{D5CDD505-2E9C-101B-9397-08002B2CF9AE}" pid="9">
    <vt:bool>0</vt:bool>
  </property>
  <property name="xd_ProgID" fmtid="{D5CDD505-2E9C-101B-9397-08002B2CF9AE}" pid="10">
    <vt:lpwstr/>
  </property>
  <property name="ComplianceAssetId" fmtid="{D5CDD505-2E9C-101B-9397-08002B2CF9AE}" pid="11">
    <vt:lpwstr/>
  </property>
  <property name="TemplateUrl" fmtid="{D5CDD505-2E9C-101B-9397-08002B2CF9AE}" pid="12">
    <vt:lpwstr/>
  </property>
  <property name="_ExtendedDescription" fmtid="{D5CDD505-2E9C-101B-9397-08002B2CF9AE}" pid="13">
    <vt:lpwstr/>
  </property>
  <property name="TriggerFlowInfo" fmtid="{D5CDD505-2E9C-101B-9397-08002B2CF9AE}" pid="14">
    <vt:lpwstr/>
  </property>
  <property name="MediaServiceImageTags" fmtid="{D5CDD505-2E9C-101B-9397-08002B2CF9AE}" pid="15">
    <vt:lpwstr/>
  </property>
  <property name="MSIP_Label_3b623b29-abd1-4de3-a20c-27566d79b7c7_Enabled" fmtid="{D5CDD505-2E9C-101B-9397-08002B2CF9AE}" pid="16">
    <vt:lpwstr>true</vt:lpwstr>
  </property>
  <property name="MSIP_Label_3b623b29-abd1-4de3-a20c-27566d79b7c7_SetDate" fmtid="{D5CDD505-2E9C-101B-9397-08002B2CF9AE}" pid="17">
    <vt:lpwstr>2026-07-06T07:20:27Z</vt:lpwstr>
  </property>
  <property name="MSIP_Label_3b623b29-abd1-4de3-a20c-27566d79b7c7_Method" fmtid="{D5CDD505-2E9C-101B-9397-08002B2CF9AE}" pid="18">
    <vt:lpwstr>Standard</vt:lpwstr>
  </property>
  <property name="MSIP_Label_3b623b29-abd1-4de3-a20c-27566d79b7c7_Name" fmtid="{D5CDD505-2E9C-101B-9397-08002B2CF9AE}" pid="19">
    <vt:lpwstr>3b623b29-abd1-4de3-a20c-27566d79b7c7</vt:lpwstr>
  </property>
  <property name="MSIP_Label_3b623b29-abd1-4de3-a20c-27566d79b7c7_SiteId" fmtid="{D5CDD505-2E9C-101B-9397-08002B2CF9AE}" pid="20">
    <vt:lpwstr>cbede638-a3d9-459f-8f4e-24ced73b4e5e</vt:lpwstr>
  </property>
  <property name="MSIP_Label_3b623b29-abd1-4de3-a20c-27566d79b7c7_ActionId" fmtid="{D5CDD505-2E9C-101B-9397-08002B2CF9AE}" pid="21">
    <vt:lpwstr>aec4d5fd-9074-4876-a3ca-d5f69191fdaf</vt:lpwstr>
  </property>
  <property name="MSIP_Label_3b623b29-abd1-4de3-a20c-27566d79b7c7_ContentBits" fmtid="{D5CDD505-2E9C-101B-9397-08002B2CF9AE}" pid="22">
    <vt:lpwstr>0</vt:lpwstr>
  </property>
  <property name="MSIP_Label_3b623b29-abd1-4de3-a20c-27566d79b7c7_Tag" fmtid="{D5CDD505-2E9C-101B-9397-08002B2CF9AE}" pid="23">
    <vt:lpwstr>10, 3, 0, 2</vt:lpwstr>
  </property>
</Properties>
</file>